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13362ca80da55a94/Documents/hardball-dynasty-draft-optimizer/"/>
    </mc:Choice>
  </mc:AlternateContent>
  <xr:revisionPtr revIDLastSave="12" documentId="13_ncr:1_{7F539934-F661-4AA3-BA5B-9B5C3F8FDDAC}" xr6:coauthVersionLast="47" xr6:coauthVersionMax="47" xr10:uidLastSave="{A4A6E41B-B920-4826-824B-E20F97D11AED}"/>
  <bookViews>
    <workbookView xWindow="-30828" yWindow="-108" windowWidth="30936" windowHeight="17496" xr2:uid="{00000000-000D-0000-FFFF-FFFF00000000}"/>
  </bookViews>
  <sheets>
    <sheet name="Hitters" sheetId="1" r:id="rId1"/>
    <sheet name="Pitchers" sheetId="3" r:id="rId2"/>
    <sheet name="Algorithm" sheetId="2" r:id="rId3"/>
  </sheets>
  <definedNames>
    <definedName name="_xlnm._FilterDatabase" localSheetId="0" hidden="1">Hitters!$A$6:$AM$6</definedName>
    <definedName name="_xlnm._FilterDatabase" localSheetId="1" hidden="1">Pitchers!$A$5:$Y$5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7" i="3" l="1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A26" i="3" s="1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A46" i="3" s="1"/>
  <c r="V47" i="3"/>
  <c r="V48" i="3"/>
  <c r="V49" i="3"/>
  <c r="V50" i="3"/>
  <c r="V51" i="3"/>
  <c r="V52" i="3"/>
  <c r="V53" i="3"/>
  <c r="V54" i="3"/>
  <c r="V55" i="3"/>
  <c r="V56" i="3"/>
  <c r="V57" i="3"/>
  <c r="V58" i="3"/>
  <c r="V59" i="3"/>
  <c r="V60" i="3"/>
  <c r="V61" i="3"/>
  <c r="V62" i="3"/>
  <c r="V63" i="3"/>
  <c r="V64" i="3"/>
  <c r="V65" i="3"/>
  <c r="V66" i="3"/>
  <c r="V67" i="3"/>
  <c r="A67" i="3" s="1"/>
  <c r="V68" i="3"/>
  <c r="V69" i="3"/>
  <c r="V70" i="3"/>
  <c r="A70" i="3" s="1"/>
  <c r="V71" i="3"/>
  <c r="V72" i="3"/>
  <c r="A72" i="3" s="1"/>
  <c r="V73" i="3"/>
  <c r="V74" i="3"/>
  <c r="X74" i="3" s="1"/>
  <c r="V75" i="3"/>
  <c r="V76" i="3"/>
  <c r="V77" i="3"/>
  <c r="V78" i="3"/>
  <c r="A78" i="3" s="1"/>
  <c r="V79" i="3"/>
  <c r="V80" i="3"/>
  <c r="V81" i="3"/>
  <c r="V82" i="3"/>
  <c r="V83" i="3"/>
  <c r="V84" i="3"/>
  <c r="V85" i="3"/>
  <c r="V86" i="3"/>
  <c r="V87" i="3"/>
  <c r="V88" i="3"/>
  <c r="V89" i="3"/>
  <c r="V90" i="3"/>
  <c r="A90" i="3" s="1"/>
  <c r="V91" i="3"/>
  <c r="V92" i="3"/>
  <c r="V93" i="3"/>
  <c r="V94" i="3"/>
  <c r="V95" i="3"/>
  <c r="V96" i="3"/>
  <c r="V97" i="3"/>
  <c r="V98" i="3"/>
  <c r="V99" i="3"/>
  <c r="V100" i="3"/>
  <c r="V101" i="3"/>
  <c r="V102" i="3"/>
  <c r="V103" i="3"/>
  <c r="V104" i="3"/>
  <c r="V105" i="3"/>
  <c r="V106" i="3"/>
  <c r="V107" i="3"/>
  <c r="V108" i="3"/>
  <c r="V109" i="3"/>
  <c r="V110" i="3"/>
  <c r="V111" i="3"/>
  <c r="V112" i="3"/>
  <c r="V113" i="3"/>
  <c r="V114" i="3"/>
  <c r="V115" i="3"/>
  <c r="V116" i="3"/>
  <c r="V117" i="3"/>
  <c r="V118" i="3"/>
  <c r="V119" i="3"/>
  <c r="V120" i="3"/>
  <c r="V121" i="3"/>
  <c r="V122" i="3"/>
  <c r="V123" i="3"/>
  <c r="A123" i="3" s="1"/>
  <c r="V124" i="3"/>
  <c r="V125" i="3"/>
  <c r="V126" i="3"/>
  <c r="A126" i="3" s="1"/>
  <c r="V127" i="3"/>
  <c r="V128" i="3"/>
  <c r="V129" i="3"/>
  <c r="V130" i="3"/>
  <c r="V131" i="3"/>
  <c r="V132" i="3"/>
  <c r="V133" i="3"/>
  <c r="V134" i="3"/>
  <c r="V135" i="3"/>
  <c r="V136" i="3"/>
  <c r="V137" i="3"/>
  <c r="V138" i="3"/>
  <c r="V139" i="3"/>
  <c r="V140" i="3"/>
  <c r="V141" i="3"/>
  <c r="V142" i="3"/>
  <c r="V143" i="3"/>
  <c r="V144" i="3"/>
  <c r="V145" i="3"/>
  <c r="V146" i="3"/>
  <c r="V147" i="3"/>
  <c r="V148" i="3"/>
  <c r="V149" i="3"/>
  <c r="V150" i="3"/>
  <c r="V151" i="3"/>
  <c r="V152" i="3"/>
  <c r="V153" i="3"/>
  <c r="V154" i="3"/>
  <c r="V155" i="3"/>
  <c r="V156" i="3"/>
  <c r="V157" i="3"/>
  <c r="V158" i="3"/>
  <c r="V159" i="3"/>
  <c r="V160" i="3"/>
  <c r="A160" i="3" s="1"/>
  <c r="V161" i="3"/>
  <c r="V162" i="3"/>
  <c r="V163" i="3"/>
  <c r="A163" i="3" s="1"/>
  <c r="V164" i="3"/>
  <c r="V165" i="3"/>
  <c r="V166" i="3"/>
  <c r="V167" i="3"/>
  <c r="V168" i="3"/>
  <c r="V169" i="3"/>
  <c r="V170" i="3"/>
  <c r="A170" i="3" s="1"/>
  <c r="V171" i="3"/>
  <c r="A171" i="3" s="1"/>
  <c r="V172" i="3"/>
  <c r="V173" i="3"/>
  <c r="V174" i="3"/>
  <c r="V175" i="3"/>
  <c r="V176" i="3"/>
  <c r="V177" i="3"/>
  <c r="V178" i="3"/>
  <c r="V179" i="3"/>
  <c r="V180" i="3"/>
  <c r="V181" i="3"/>
  <c r="V182" i="3"/>
  <c r="V183" i="3"/>
  <c r="V184" i="3"/>
  <c r="V185" i="3"/>
  <c r="V186" i="3"/>
  <c r="V187" i="3"/>
  <c r="V188" i="3"/>
  <c r="V189" i="3"/>
  <c r="V190" i="3"/>
  <c r="V191" i="3"/>
  <c r="V192" i="3"/>
  <c r="V193" i="3"/>
  <c r="V194" i="3"/>
  <c r="V195" i="3"/>
  <c r="V196" i="3"/>
  <c r="X196" i="3" s="1"/>
  <c r="V197" i="3"/>
  <c r="V198" i="3"/>
  <c r="V199" i="3"/>
  <c r="V200" i="3"/>
  <c r="V201" i="3"/>
  <c r="V202" i="3"/>
  <c r="V203" i="3"/>
  <c r="V204" i="3"/>
  <c r="V205" i="3"/>
  <c r="V206" i="3"/>
  <c r="V6" i="3"/>
  <c r="A178" i="3"/>
  <c r="A130" i="3"/>
  <c r="A158" i="3"/>
  <c r="A200" i="3"/>
  <c r="A188" i="3"/>
  <c r="A110" i="3"/>
  <c r="A42" i="3"/>
  <c r="A55" i="3"/>
  <c r="A92" i="3"/>
  <c r="A146" i="3"/>
  <c r="A177" i="3"/>
  <c r="A58" i="3"/>
  <c r="A180" i="3"/>
  <c r="A86" i="3"/>
  <c r="A36" i="3"/>
  <c r="A88" i="3"/>
  <c r="A21" i="3"/>
  <c r="A161" i="3"/>
  <c r="A69" i="3"/>
  <c r="A190" i="3"/>
  <c r="A181" i="3"/>
  <c r="A59" i="3"/>
  <c r="Y140" i="3"/>
  <c r="W140" i="3"/>
  <c r="A140" i="3" s="1"/>
  <c r="U140" i="3"/>
  <c r="Y116" i="3"/>
  <c r="W116" i="3"/>
  <c r="U116" i="3"/>
  <c r="Y192" i="3"/>
  <c r="W192" i="3"/>
  <c r="U192" i="3"/>
  <c r="Y133" i="3"/>
  <c r="W133" i="3"/>
  <c r="A133" i="3" s="1"/>
  <c r="U133" i="3"/>
  <c r="Y164" i="3"/>
  <c r="W164" i="3"/>
  <c r="U164" i="3"/>
  <c r="Y179" i="3"/>
  <c r="W179" i="3"/>
  <c r="A179" i="3" s="1"/>
  <c r="U179" i="3"/>
  <c r="X179" i="3" s="1"/>
  <c r="Y204" i="3"/>
  <c r="W204" i="3"/>
  <c r="A204" i="3" s="1"/>
  <c r="U204" i="3"/>
  <c r="Y171" i="3"/>
  <c r="W171" i="3"/>
  <c r="U171" i="3"/>
  <c r="X171" i="3" s="1"/>
  <c r="Y166" i="3"/>
  <c r="W166" i="3"/>
  <c r="A166" i="3" s="1"/>
  <c r="U166" i="3"/>
  <c r="Y157" i="3"/>
  <c r="W157" i="3"/>
  <c r="A157" i="3" s="1"/>
  <c r="U157" i="3"/>
  <c r="Y178" i="3"/>
  <c r="W178" i="3"/>
  <c r="U178" i="3"/>
  <c r="X178" i="3" s="1"/>
  <c r="Y170" i="3"/>
  <c r="W170" i="3"/>
  <c r="U170" i="3"/>
  <c r="Y130" i="3"/>
  <c r="W130" i="3"/>
  <c r="U130" i="3"/>
  <c r="X130" i="3" s="1"/>
  <c r="Y121" i="3"/>
  <c r="W121" i="3"/>
  <c r="U121" i="3"/>
  <c r="Y149" i="3"/>
  <c r="W149" i="3"/>
  <c r="U149" i="3"/>
  <c r="Y198" i="3"/>
  <c r="W198" i="3"/>
  <c r="U198" i="3"/>
  <c r="Y123" i="3"/>
  <c r="W123" i="3"/>
  <c r="U123" i="3"/>
  <c r="Y158" i="3"/>
  <c r="W158" i="3"/>
  <c r="U158" i="3"/>
  <c r="Y200" i="3"/>
  <c r="W200" i="3"/>
  <c r="U200" i="3"/>
  <c r="X200" i="3" s="1"/>
  <c r="Y188" i="3"/>
  <c r="W188" i="3"/>
  <c r="U188" i="3"/>
  <c r="Y97" i="3"/>
  <c r="W97" i="3"/>
  <c r="U97" i="3"/>
  <c r="Y110" i="3"/>
  <c r="W110" i="3"/>
  <c r="U110" i="3"/>
  <c r="Y42" i="3"/>
  <c r="W42" i="3"/>
  <c r="U42" i="3"/>
  <c r="X42" i="3" s="1"/>
  <c r="Y95" i="3"/>
  <c r="W95" i="3"/>
  <c r="A95" i="3" s="1"/>
  <c r="X95" i="3"/>
  <c r="U95" i="3"/>
  <c r="Y98" i="3"/>
  <c r="W98" i="3"/>
  <c r="U98" i="3"/>
  <c r="Y184" i="3"/>
  <c r="W184" i="3"/>
  <c r="U184" i="3"/>
  <c r="Y193" i="3"/>
  <c r="W193" i="3"/>
  <c r="U193" i="3"/>
  <c r="Y106" i="3"/>
  <c r="W106" i="3"/>
  <c r="A106" i="3" s="1"/>
  <c r="U106" i="3"/>
  <c r="Y100" i="3"/>
  <c r="W100" i="3"/>
  <c r="U100" i="3"/>
  <c r="Y105" i="3"/>
  <c r="W105" i="3"/>
  <c r="A105" i="3" s="1"/>
  <c r="U105" i="3"/>
  <c r="Y103" i="3"/>
  <c r="W103" i="3"/>
  <c r="A103" i="3" s="1"/>
  <c r="U103" i="3"/>
  <c r="X103" i="3" s="1"/>
  <c r="Y107" i="3"/>
  <c r="W107" i="3"/>
  <c r="A107" i="3" s="1"/>
  <c r="U107" i="3"/>
  <c r="X107" i="3" s="1"/>
  <c r="Y99" i="3"/>
  <c r="W99" i="3"/>
  <c r="U99" i="3"/>
  <c r="Y55" i="3"/>
  <c r="W55" i="3"/>
  <c r="U55" i="3"/>
  <c r="X55" i="3" s="1"/>
  <c r="Y108" i="3"/>
  <c r="W108" i="3"/>
  <c r="U108" i="3"/>
  <c r="X108" i="3" s="1"/>
  <c r="Y104" i="3"/>
  <c r="W104" i="3"/>
  <c r="X104" i="3" s="1"/>
  <c r="U104" i="3"/>
  <c r="Y82" i="3"/>
  <c r="W82" i="3"/>
  <c r="A82" i="3" s="1"/>
  <c r="U82" i="3"/>
  <c r="X82" i="3" s="1"/>
  <c r="Y94" i="3"/>
  <c r="W94" i="3"/>
  <c r="U94" i="3"/>
  <c r="X94" i="3" s="1"/>
  <c r="Y101" i="3"/>
  <c r="W101" i="3"/>
  <c r="U101" i="3"/>
  <c r="Y92" i="3"/>
  <c r="W92" i="3"/>
  <c r="U92" i="3"/>
  <c r="X92" i="3" s="1"/>
  <c r="Y146" i="3"/>
  <c r="W146" i="3"/>
  <c r="U146" i="3"/>
  <c r="Y177" i="3"/>
  <c r="W177" i="3"/>
  <c r="U177" i="3"/>
  <c r="X177" i="3" s="1"/>
  <c r="Y58" i="3"/>
  <c r="W58" i="3"/>
  <c r="U58" i="3"/>
  <c r="X58" i="3" s="1"/>
  <c r="Y73" i="3"/>
  <c r="W73" i="3"/>
  <c r="U73" i="3"/>
  <c r="Y72" i="3"/>
  <c r="W72" i="3"/>
  <c r="U72" i="3"/>
  <c r="Y160" i="3"/>
  <c r="W160" i="3"/>
  <c r="U160" i="3"/>
  <c r="X160" i="3" s="1"/>
  <c r="Y163" i="3"/>
  <c r="W163" i="3"/>
  <c r="U163" i="3"/>
  <c r="Y102" i="3"/>
  <c r="W102" i="3"/>
  <c r="U102" i="3"/>
  <c r="Y93" i="3"/>
  <c r="W93" i="3"/>
  <c r="U93" i="3"/>
  <c r="Y87" i="3"/>
  <c r="W87" i="3"/>
  <c r="U87" i="3"/>
  <c r="Y84" i="3"/>
  <c r="W84" i="3"/>
  <c r="A84" i="3" s="1"/>
  <c r="X84" i="3"/>
  <c r="U84" i="3"/>
  <c r="Y154" i="3"/>
  <c r="W154" i="3"/>
  <c r="A154" i="3" s="1"/>
  <c r="U154" i="3"/>
  <c r="X154" i="3" s="1"/>
  <c r="Y96" i="3"/>
  <c r="W96" i="3"/>
  <c r="U96" i="3"/>
  <c r="Y175" i="3"/>
  <c r="W175" i="3"/>
  <c r="A175" i="3" s="1"/>
  <c r="U175" i="3"/>
  <c r="X175" i="3" s="1"/>
  <c r="Y112" i="3"/>
  <c r="W112" i="3"/>
  <c r="A112" i="3" s="1"/>
  <c r="U112" i="3"/>
  <c r="X112" i="3" s="1"/>
  <c r="Y89" i="3"/>
  <c r="W89" i="3"/>
  <c r="A89" i="3" s="1"/>
  <c r="U89" i="3"/>
  <c r="X89" i="3" s="1"/>
  <c r="Y46" i="3"/>
  <c r="W46" i="3"/>
  <c r="U46" i="3"/>
  <c r="Y67" i="3"/>
  <c r="W67" i="3"/>
  <c r="U67" i="3"/>
  <c r="Y167" i="3"/>
  <c r="W167" i="3"/>
  <c r="U167" i="3"/>
  <c r="Y203" i="3"/>
  <c r="W203" i="3"/>
  <c r="A203" i="3" s="1"/>
  <c r="U203" i="3"/>
  <c r="Y156" i="3"/>
  <c r="W156" i="3"/>
  <c r="A156" i="3" s="1"/>
  <c r="U156" i="3"/>
  <c r="X156" i="3" s="1"/>
  <c r="Y169" i="3"/>
  <c r="W169" i="3"/>
  <c r="U169" i="3"/>
  <c r="Y196" i="3"/>
  <c r="W196" i="3"/>
  <c r="U196" i="3"/>
  <c r="Y180" i="3"/>
  <c r="W180" i="3"/>
  <c r="U180" i="3"/>
  <c r="Y90" i="3"/>
  <c r="W90" i="3"/>
  <c r="U90" i="3"/>
  <c r="Y91" i="3"/>
  <c r="W91" i="3"/>
  <c r="U91" i="3"/>
  <c r="Y68" i="3"/>
  <c r="W68" i="3"/>
  <c r="U68" i="3"/>
  <c r="Y74" i="3"/>
  <c r="W74" i="3"/>
  <c r="U74" i="3"/>
  <c r="Y86" i="3"/>
  <c r="W86" i="3"/>
  <c r="U86" i="3"/>
  <c r="X86" i="3" s="1"/>
  <c r="Y78" i="3"/>
  <c r="W78" i="3"/>
  <c r="U78" i="3"/>
  <c r="Y36" i="3"/>
  <c r="W36" i="3"/>
  <c r="U36" i="3"/>
  <c r="X36" i="3" s="1"/>
  <c r="Y120" i="3"/>
  <c r="W120" i="3"/>
  <c r="U120" i="3"/>
  <c r="Y128" i="3"/>
  <c r="W128" i="3"/>
  <c r="A128" i="3" s="1"/>
  <c r="U128" i="3"/>
  <c r="Y176" i="3"/>
  <c r="W176" i="3"/>
  <c r="A176" i="3" s="1"/>
  <c r="U176" i="3"/>
  <c r="Y77" i="3"/>
  <c r="W77" i="3"/>
  <c r="U77" i="3"/>
  <c r="Y63" i="3"/>
  <c r="W63" i="3"/>
  <c r="A63" i="3" s="1"/>
  <c r="U63" i="3"/>
  <c r="Y22" i="3"/>
  <c r="W22" i="3"/>
  <c r="U22" i="3"/>
  <c r="Y124" i="3"/>
  <c r="W124" i="3"/>
  <c r="U124" i="3"/>
  <c r="Y65" i="3"/>
  <c r="W65" i="3"/>
  <c r="A65" i="3" s="1"/>
  <c r="U65" i="3"/>
  <c r="Y26" i="3"/>
  <c r="W26" i="3"/>
  <c r="U26" i="3"/>
  <c r="Y70" i="3"/>
  <c r="W70" i="3"/>
  <c r="U70" i="3"/>
  <c r="Y174" i="3"/>
  <c r="W174" i="3"/>
  <c r="U174" i="3"/>
  <c r="Y79" i="3"/>
  <c r="W79" i="3"/>
  <c r="A79" i="3" s="1"/>
  <c r="U79" i="3"/>
  <c r="X79" i="3" s="1"/>
  <c r="Y38" i="3"/>
  <c r="W38" i="3"/>
  <c r="A38" i="3" s="1"/>
  <c r="U38" i="3"/>
  <c r="Y80" i="3"/>
  <c r="W80" i="3"/>
  <c r="A80" i="3" s="1"/>
  <c r="U80" i="3"/>
  <c r="Y88" i="3"/>
  <c r="W88" i="3"/>
  <c r="U88" i="3"/>
  <c r="Y21" i="3"/>
  <c r="W21" i="3"/>
  <c r="U21" i="3"/>
  <c r="X21" i="3" s="1"/>
  <c r="Y161" i="3"/>
  <c r="W161" i="3"/>
  <c r="U161" i="3"/>
  <c r="Y71" i="3"/>
  <c r="W71" i="3"/>
  <c r="U71" i="3"/>
  <c r="Y45" i="3"/>
  <c r="W45" i="3"/>
  <c r="U45" i="3"/>
  <c r="Y39" i="3"/>
  <c r="W39" i="3"/>
  <c r="A39" i="3" s="1"/>
  <c r="U39" i="3"/>
  <c r="Y69" i="3"/>
  <c r="W69" i="3"/>
  <c r="U69" i="3"/>
  <c r="Y190" i="3"/>
  <c r="W190" i="3"/>
  <c r="U190" i="3"/>
  <c r="X190" i="3" s="1"/>
  <c r="Y181" i="3"/>
  <c r="W181" i="3"/>
  <c r="U181" i="3"/>
  <c r="X181" i="3" s="1"/>
  <c r="Y59" i="3"/>
  <c r="W59" i="3"/>
  <c r="U59" i="3"/>
  <c r="X59" i="3" s="1"/>
  <c r="Y85" i="3"/>
  <c r="W85" i="3"/>
  <c r="A85" i="3" s="1"/>
  <c r="U85" i="3"/>
  <c r="Y202" i="3"/>
  <c r="W202" i="3"/>
  <c r="A202" i="3" s="1"/>
  <c r="U202" i="3"/>
  <c r="Y172" i="3"/>
  <c r="W172" i="3"/>
  <c r="U172" i="3"/>
  <c r="Y139" i="3"/>
  <c r="W139" i="3"/>
  <c r="U139" i="3"/>
  <c r="Y61" i="3"/>
  <c r="W61" i="3"/>
  <c r="A61" i="3" s="1"/>
  <c r="U61" i="3"/>
  <c r="X61" i="3" s="1"/>
  <c r="Y66" i="3"/>
  <c r="W66" i="3"/>
  <c r="A66" i="3" s="1"/>
  <c r="U66" i="3"/>
  <c r="Y83" i="3"/>
  <c r="W83" i="3"/>
  <c r="A83" i="3" s="1"/>
  <c r="U83" i="3"/>
  <c r="X83" i="3" s="1"/>
  <c r="Y64" i="3"/>
  <c r="W64" i="3"/>
  <c r="A64" i="3" s="1"/>
  <c r="U64" i="3"/>
  <c r="Y126" i="3"/>
  <c r="W126" i="3"/>
  <c r="U126" i="3"/>
  <c r="AM77" i="1"/>
  <c r="AL77" i="1"/>
  <c r="AK77" i="1"/>
  <c r="AJ77" i="1"/>
  <c r="AI77" i="1"/>
  <c r="AM78" i="1"/>
  <c r="AL78" i="1"/>
  <c r="AK78" i="1"/>
  <c r="AJ78" i="1"/>
  <c r="AI78" i="1"/>
  <c r="AM117" i="1"/>
  <c r="AL117" i="1"/>
  <c r="AK117" i="1"/>
  <c r="AJ117" i="1"/>
  <c r="AI117" i="1"/>
  <c r="AM91" i="1"/>
  <c r="AL91" i="1"/>
  <c r="AK91" i="1"/>
  <c r="AJ91" i="1"/>
  <c r="AI91" i="1"/>
  <c r="AM76" i="1"/>
  <c r="AL76" i="1"/>
  <c r="AK76" i="1"/>
  <c r="AJ76" i="1"/>
  <c r="AI76" i="1"/>
  <c r="AM61" i="1"/>
  <c r="AL61" i="1"/>
  <c r="AK61" i="1"/>
  <c r="AJ61" i="1"/>
  <c r="AI61" i="1"/>
  <c r="AM98" i="1"/>
  <c r="AL98" i="1"/>
  <c r="AK98" i="1"/>
  <c r="AJ98" i="1"/>
  <c r="AI98" i="1"/>
  <c r="AM111" i="1"/>
  <c r="AL111" i="1"/>
  <c r="AK111" i="1"/>
  <c r="AJ111" i="1"/>
  <c r="AI111" i="1"/>
  <c r="AM125" i="1"/>
  <c r="AL125" i="1"/>
  <c r="AK125" i="1"/>
  <c r="AJ125" i="1"/>
  <c r="AI125" i="1"/>
  <c r="AM93" i="1"/>
  <c r="AL93" i="1"/>
  <c r="AK93" i="1"/>
  <c r="AJ93" i="1"/>
  <c r="AI93" i="1"/>
  <c r="AM64" i="1"/>
  <c r="AL64" i="1"/>
  <c r="AK64" i="1"/>
  <c r="AJ64" i="1"/>
  <c r="AI64" i="1"/>
  <c r="AM37" i="1"/>
  <c r="AL37" i="1"/>
  <c r="AK37" i="1"/>
  <c r="AJ37" i="1"/>
  <c r="AI37" i="1"/>
  <c r="AM80" i="1"/>
  <c r="AL80" i="1"/>
  <c r="AK80" i="1"/>
  <c r="AJ80" i="1"/>
  <c r="AI80" i="1"/>
  <c r="AM65" i="1"/>
  <c r="AL65" i="1"/>
  <c r="AK65" i="1"/>
  <c r="AJ65" i="1"/>
  <c r="AI65" i="1"/>
  <c r="AM71" i="1"/>
  <c r="AL71" i="1"/>
  <c r="AK71" i="1"/>
  <c r="AJ71" i="1"/>
  <c r="AI71" i="1"/>
  <c r="AM89" i="1"/>
  <c r="AL89" i="1"/>
  <c r="AK89" i="1"/>
  <c r="AJ89" i="1"/>
  <c r="AI89" i="1"/>
  <c r="AM69" i="1"/>
  <c r="AL69" i="1"/>
  <c r="AK69" i="1"/>
  <c r="AJ69" i="1"/>
  <c r="AI69" i="1"/>
  <c r="AM42" i="1"/>
  <c r="AL42" i="1"/>
  <c r="AK42" i="1"/>
  <c r="AJ42" i="1"/>
  <c r="AI42" i="1"/>
  <c r="AM38" i="1"/>
  <c r="AL38" i="1"/>
  <c r="AK38" i="1"/>
  <c r="AJ38" i="1"/>
  <c r="AI38" i="1"/>
  <c r="AM29" i="1"/>
  <c r="AL29" i="1"/>
  <c r="AK29" i="1"/>
  <c r="AJ29" i="1"/>
  <c r="AI29" i="1"/>
  <c r="AM160" i="1"/>
  <c r="AL160" i="1"/>
  <c r="AK160" i="1"/>
  <c r="AJ160" i="1"/>
  <c r="AI160" i="1"/>
  <c r="AM87" i="1"/>
  <c r="AL87" i="1"/>
  <c r="AK87" i="1"/>
  <c r="AJ87" i="1"/>
  <c r="AI87" i="1"/>
  <c r="AM127" i="1"/>
  <c r="AL127" i="1"/>
  <c r="AK127" i="1"/>
  <c r="AJ127" i="1"/>
  <c r="AI127" i="1"/>
  <c r="AM131" i="1"/>
  <c r="AL131" i="1"/>
  <c r="AK131" i="1"/>
  <c r="AJ131" i="1"/>
  <c r="AI131" i="1"/>
  <c r="AM150" i="1"/>
  <c r="AL150" i="1"/>
  <c r="AK150" i="1"/>
  <c r="AJ150" i="1"/>
  <c r="AI150" i="1"/>
  <c r="AM52" i="1"/>
  <c r="AL52" i="1"/>
  <c r="AK52" i="1"/>
  <c r="AJ52" i="1"/>
  <c r="AI52" i="1"/>
  <c r="AM83" i="1"/>
  <c r="AL83" i="1"/>
  <c r="AK83" i="1"/>
  <c r="AJ83" i="1"/>
  <c r="AI83" i="1"/>
  <c r="AM207" i="1"/>
  <c r="AL207" i="1"/>
  <c r="AK207" i="1"/>
  <c r="AJ207" i="1"/>
  <c r="AI207" i="1"/>
  <c r="AM146" i="1"/>
  <c r="AL146" i="1"/>
  <c r="AK146" i="1"/>
  <c r="AJ146" i="1"/>
  <c r="AI146" i="1"/>
  <c r="AM188" i="1"/>
  <c r="AL188" i="1"/>
  <c r="AK188" i="1"/>
  <c r="AJ188" i="1"/>
  <c r="AI188" i="1"/>
  <c r="AM101" i="1"/>
  <c r="AL101" i="1"/>
  <c r="AK101" i="1"/>
  <c r="AJ101" i="1"/>
  <c r="AI101" i="1"/>
  <c r="AM74" i="1"/>
  <c r="AL74" i="1"/>
  <c r="AK74" i="1"/>
  <c r="AJ74" i="1"/>
  <c r="AI74" i="1"/>
  <c r="AM102" i="1"/>
  <c r="AL102" i="1"/>
  <c r="AK102" i="1"/>
  <c r="AJ102" i="1"/>
  <c r="AI102" i="1"/>
  <c r="AM163" i="1"/>
  <c r="AL163" i="1"/>
  <c r="AK163" i="1"/>
  <c r="AJ163" i="1"/>
  <c r="AI163" i="1"/>
  <c r="AM62" i="1"/>
  <c r="AL62" i="1"/>
  <c r="AK62" i="1"/>
  <c r="AJ62" i="1"/>
  <c r="AI62" i="1"/>
  <c r="AM176" i="1"/>
  <c r="AL176" i="1"/>
  <c r="AK176" i="1"/>
  <c r="AJ176" i="1"/>
  <c r="AI176" i="1"/>
  <c r="AM190" i="1"/>
  <c r="AL190" i="1"/>
  <c r="AK190" i="1"/>
  <c r="AJ190" i="1"/>
  <c r="AI190" i="1"/>
  <c r="AM187" i="1"/>
  <c r="AL187" i="1"/>
  <c r="AK187" i="1"/>
  <c r="AJ187" i="1"/>
  <c r="AI187" i="1"/>
  <c r="AM165" i="1"/>
  <c r="AL165" i="1"/>
  <c r="AK165" i="1"/>
  <c r="AJ165" i="1"/>
  <c r="AI165" i="1"/>
  <c r="AM197" i="1"/>
  <c r="AL197" i="1"/>
  <c r="AK197" i="1"/>
  <c r="AJ197" i="1"/>
  <c r="AI197" i="1"/>
  <c r="AM45" i="1"/>
  <c r="AL45" i="1"/>
  <c r="AK45" i="1"/>
  <c r="AJ45" i="1"/>
  <c r="AI45" i="1"/>
  <c r="AM120" i="1"/>
  <c r="AL120" i="1"/>
  <c r="AK120" i="1"/>
  <c r="AJ120" i="1"/>
  <c r="AI120" i="1"/>
  <c r="AM148" i="1"/>
  <c r="AL148" i="1"/>
  <c r="AK148" i="1"/>
  <c r="AJ148" i="1"/>
  <c r="AI148" i="1"/>
  <c r="AM143" i="1"/>
  <c r="AL143" i="1"/>
  <c r="AK143" i="1"/>
  <c r="AJ143" i="1"/>
  <c r="AI143" i="1"/>
  <c r="AM122" i="1"/>
  <c r="AL122" i="1"/>
  <c r="AK122" i="1"/>
  <c r="AJ122" i="1"/>
  <c r="AI122" i="1"/>
  <c r="AM105" i="1"/>
  <c r="AL105" i="1"/>
  <c r="AK105" i="1"/>
  <c r="AJ105" i="1"/>
  <c r="AI105" i="1"/>
  <c r="AM107" i="1"/>
  <c r="AL107" i="1"/>
  <c r="AK107" i="1"/>
  <c r="AJ107" i="1"/>
  <c r="AI107" i="1"/>
  <c r="AM173" i="1"/>
  <c r="AL173" i="1"/>
  <c r="AK173" i="1"/>
  <c r="AJ173" i="1"/>
  <c r="AI173" i="1"/>
  <c r="AM202" i="1"/>
  <c r="AL202" i="1"/>
  <c r="AK202" i="1"/>
  <c r="AJ202" i="1"/>
  <c r="AI202" i="1"/>
  <c r="AM186" i="1"/>
  <c r="AL186" i="1"/>
  <c r="AK186" i="1"/>
  <c r="AJ186" i="1"/>
  <c r="AI186" i="1"/>
  <c r="AM134" i="1"/>
  <c r="AL134" i="1"/>
  <c r="AK134" i="1"/>
  <c r="AJ134" i="1"/>
  <c r="AI134" i="1"/>
  <c r="AM92" i="1"/>
  <c r="AL92" i="1"/>
  <c r="AK92" i="1"/>
  <c r="AJ92" i="1"/>
  <c r="AI92" i="1"/>
  <c r="AM205" i="1"/>
  <c r="AL205" i="1"/>
  <c r="AK205" i="1"/>
  <c r="AJ205" i="1"/>
  <c r="AI205" i="1"/>
  <c r="AM99" i="1"/>
  <c r="AL99" i="1"/>
  <c r="AK99" i="1"/>
  <c r="AJ99" i="1"/>
  <c r="AI99" i="1"/>
  <c r="AM96" i="1"/>
  <c r="AL96" i="1"/>
  <c r="AK96" i="1"/>
  <c r="AJ96" i="1"/>
  <c r="AI96" i="1"/>
  <c r="AM154" i="1"/>
  <c r="AL154" i="1"/>
  <c r="AK154" i="1"/>
  <c r="AJ154" i="1"/>
  <c r="AI154" i="1"/>
  <c r="AM81" i="1"/>
  <c r="AL81" i="1"/>
  <c r="AK81" i="1"/>
  <c r="AJ81" i="1"/>
  <c r="AI81" i="1"/>
  <c r="AM95" i="1"/>
  <c r="AL95" i="1"/>
  <c r="AK95" i="1"/>
  <c r="AJ95" i="1"/>
  <c r="AI95" i="1"/>
  <c r="AM103" i="1"/>
  <c r="AL103" i="1"/>
  <c r="AK103" i="1"/>
  <c r="AJ103" i="1"/>
  <c r="AI103" i="1"/>
  <c r="AM94" i="1"/>
  <c r="AL94" i="1"/>
  <c r="AK94" i="1"/>
  <c r="AJ94" i="1"/>
  <c r="AI94" i="1"/>
  <c r="AM100" i="1"/>
  <c r="AL100" i="1"/>
  <c r="AK100" i="1"/>
  <c r="AJ100" i="1"/>
  <c r="AI100" i="1"/>
  <c r="AM86" i="1"/>
  <c r="AL86" i="1"/>
  <c r="AK86" i="1"/>
  <c r="AJ86" i="1"/>
  <c r="AI86" i="1"/>
  <c r="AM88" i="1"/>
  <c r="AL88" i="1"/>
  <c r="AK88" i="1"/>
  <c r="AJ88" i="1"/>
  <c r="AI88" i="1"/>
  <c r="AM97" i="1"/>
  <c r="AL97" i="1"/>
  <c r="AK97" i="1"/>
  <c r="AJ97" i="1"/>
  <c r="AI97" i="1"/>
  <c r="AM172" i="1"/>
  <c r="AL172" i="1"/>
  <c r="AK172" i="1"/>
  <c r="AJ172" i="1"/>
  <c r="AI172" i="1"/>
  <c r="AM141" i="1"/>
  <c r="AL141" i="1"/>
  <c r="AK141" i="1"/>
  <c r="AJ141" i="1"/>
  <c r="AI141" i="1"/>
  <c r="AM174" i="1"/>
  <c r="AL174" i="1"/>
  <c r="AK174" i="1"/>
  <c r="AJ174" i="1"/>
  <c r="AI174" i="1"/>
  <c r="AM198" i="1"/>
  <c r="AL198" i="1"/>
  <c r="AK198" i="1"/>
  <c r="AJ198" i="1"/>
  <c r="AI198" i="1"/>
  <c r="AM135" i="1"/>
  <c r="AL135" i="1"/>
  <c r="AK135" i="1"/>
  <c r="AJ135" i="1"/>
  <c r="AI135" i="1"/>
  <c r="AM191" i="1"/>
  <c r="AL191" i="1"/>
  <c r="AK191" i="1"/>
  <c r="AJ191" i="1"/>
  <c r="AI191" i="1"/>
  <c r="AM182" i="1"/>
  <c r="AL182" i="1"/>
  <c r="AK182" i="1"/>
  <c r="AJ182" i="1"/>
  <c r="AI182" i="1"/>
  <c r="AM75" i="1"/>
  <c r="AL75" i="1"/>
  <c r="AK75" i="1"/>
  <c r="AJ75" i="1"/>
  <c r="AI75" i="1"/>
  <c r="AM84" i="1"/>
  <c r="AL84" i="1"/>
  <c r="AK84" i="1"/>
  <c r="AJ84" i="1"/>
  <c r="AI84" i="1"/>
  <c r="AM67" i="1"/>
  <c r="AL67" i="1"/>
  <c r="AK67" i="1"/>
  <c r="AJ67" i="1"/>
  <c r="AI67" i="1"/>
  <c r="AM199" i="1"/>
  <c r="AL199" i="1"/>
  <c r="AK199" i="1"/>
  <c r="AJ199" i="1"/>
  <c r="AI199" i="1"/>
  <c r="AM145" i="1"/>
  <c r="AL145" i="1"/>
  <c r="AK145" i="1"/>
  <c r="AJ145" i="1"/>
  <c r="AI145" i="1"/>
  <c r="AM129" i="1"/>
  <c r="AL129" i="1"/>
  <c r="AK129" i="1"/>
  <c r="AJ129" i="1"/>
  <c r="AI129" i="1"/>
  <c r="AM82" i="1"/>
  <c r="AL82" i="1"/>
  <c r="AK82" i="1"/>
  <c r="AJ82" i="1"/>
  <c r="AI82" i="1"/>
  <c r="AM194" i="1"/>
  <c r="AL194" i="1"/>
  <c r="AK194" i="1"/>
  <c r="AJ194" i="1"/>
  <c r="AI194" i="1"/>
  <c r="AM168" i="1"/>
  <c r="AL168" i="1"/>
  <c r="AK168" i="1"/>
  <c r="AJ168" i="1"/>
  <c r="AI168" i="1"/>
  <c r="AM156" i="1"/>
  <c r="AL156" i="1"/>
  <c r="AK156" i="1"/>
  <c r="AJ156" i="1"/>
  <c r="AI156" i="1"/>
  <c r="AM53" i="1"/>
  <c r="AL53" i="1"/>
  <c r="AK53" i="1"/>
  <c r="AJ53" i="1"/>
  <c r="AI53" i="1"/>
  <c r="AM180" i="1"/>
  <c r="AL180" i="1"/>
  <c r="AK180" i="1"/>
  <c r="AJ180" i="1"/>
  <c r="AI180" i="1"/>
  <c r="AM203" i="1"/>
  <c r="AL203" i="1"/>
  <c r="AK203" i="1"/>
  <c r="AJ203" i="1"/>
  <c r="AI203" i="1"/>
  <c r="AM206" i="1"/>
  <c r="AL206" i="1"/>
  <c r="AK206" i="1"/>
  <c r="AJ206" i="1"/>
  <c r="AI206" i="1"/>
  <c r="AM158" i="1"/>
  <c r="AL158" i="1"/>
  <c r="AK158" i="1"/>
  <c r="AJ158" i="1"/>
  <c r="AI158" i="1"/>
  <c r="AM167" i="1"/>
  <c r="AL167" i="1"/>
  <c r="AK167" i="1"/>
  <c r="AJ167" i="1"/>
  <c r="AI167" i="1"/>
  <c r="AM104" i="1"/>
  <c r="AL104" i="1"/>
  <c r="AK104" i="1"/>
  <c r="AJ104" i="1"/>
  <c r="AI104" i="1"/>
  <c r="AM201" i="1"/>
  <c r="AL201" i="1"/>
  <c r="AK201" i="1"/>
  <c r="AJ201" i="1"/>
  <c r="AI201" i="1"/>
  <c r="AM178" i="1"/>
  <c r="AL178" i="1"/>
  <c r="AK178" i="1"/>
  <c r="AJ178" i="1"/>
  <c r="AI178" i="1"/>
  <c r="AM189" i="1"/>
  <c r="AL189" i="1"/>
  <c r="AK189" i="1"/>
  <c r="AJ189" i="1"/>
  <c r="AI189" i="1"/>
  <c r="AM140" i="1"/>
  <c r="AL140" i="1"/>
  <c r="AK140" i="1"/>
  <c r="AJ140" i="1"/>
  <c r="AI140" i="1"/>
  <c r="U56" i="3"/>
  <c r="W56" i="3"/>
  <c r="Y56" i="3"/>
  <c r="U168" i="3"/>
  <c r="W168" i="3"/>
  <c r="Y168" i="3"/>
  <c r="U37" i="3"/>
  <c r="W37" i="3"/>
  <c r="Y37" i="3"/>
  <c r="U159" i="3"/>
  <c r="W159" i="3"/>
  <c r="Y159" i="3"/>
  <c r="U195" i="3"/>
  <c r="W195" i="3"/>
  <c r="Y195" i="3"/>
  <c r="U8" i="3"/>
  <c r="W8" i="3"/>
  <c r="Y8" i="3"/>
  <c r="U134" i="3"/>
  <c r="W134" i="3"/>
  <c r="Y134" i="3"/>
  <c r="U14" i="3"/>
  <c r="W14" i="3"/>
  <c r="Y14" i="3"/>
  <c r="U76" i="3"/>
  <c r="W76" i="3"/>
  <c r="Y76" i="3"/>
  <c r="U197" i="3"/>
  <c r="W197" i="3"/>
  <c r="Y197" i="3"/>
  <c r="U18" i="3"/>
  <c r="W18" i="3"/>
  <c r="Y18" i="3"/>
  <c r="U41" i="3"/>
  <c r="W41" i="3"/>
  <c r="Y41" i="3"/>
  <c r="U57" i="3"/>
  <c r="W57" i="3"/>
  <c r="Y57" i="3"/>
  <c r="U24" i="3"/>
  <c r="W24" i="3"/>
  <c r="Y24" i="3"/>
  <c r="U199" i="3"/>
  <c r="W199" i="3"/>
  <c r="Y199" i="3"/>
  <c r="U11" i="3"/>
  <c r="W11" i="3"/>
  <c r="Y11" i="3"/>
  <c r="U33" i="3"/>
  <c r="W33" i="3"/>
  <c r="Y33" i="3"/>
  <c r="U54" i="3"/>
  <c r="W54" i="3"/>
  <c r="Y54" i="3"/>
  <c r="U49" i="3"/>
  <c r="W49" i="3"/>
  <c r="Y49" i="3"/>
  <c r="U23" i="3"/>
  <c r="W23" i="3"/>
  <c r="Y23" i="3"/>
  <c r="U47" i="3"/>
  <c r="W47" i="3"/>
  <c r="Y47" i="3"/>
  <c r="U137" i="3"/>
  <c r="W137" i="3"/>
  <c r="Y137" i="3"/>
  <c r="U40" i="3"/>
  <c r="W40" i="3"/>
  <c r="Y40" i="3"/>
  <c r="U152" i="3"/>
  <c r="W152" i="3"/>
  <c r="Y152" i="3"/>
  <c r="U29" i="3"/>
  <c r="W29" i="3"/>
  <c r="Y29" i="3"/>
  <c r="U125" i="3"/>
  <c r="W125" i="3"/>
  <c r="Y125" i="3"/>
  <c r="U19" i="3"/>
  <c r="W19" i="3"/>
  <c r="Y19" i="3"/>
  <c r="U194" i="3"/>
  <c r="W194" i="3"/>
  <c r="Y194" i="3"/>
  <c r="U187" i="3"/>
  <c r="W187" i="3"/>
  <c r="Y187" i="3"/>
  <c r="U30" i="3"/>
  <c r="W30" i="3"/>
  <c r="Y30" i="3"/>
  <c r="U182" i="3"/>
  <c r="W182" i="3"/>
  <c r="Y182" i="3"/>
  <c r="U119" i="3"/>
  <c r="W119" i="3"/>
  <c r="Y119" i="3"/>
  <c r="U31" i="3"/>
  <c r="W31" i="3"/>
  <c r="Y31" i="3"/>
  <c r="U143" i="3"/>
  <c r="W143" i="3"/>
  <c r="Y143" i="3"/>
  <c r="U28" i="3"/>
  <c r="W28" i="3"/>
  <c r="Y28" i="3"/>
  <c r="U81" i="3"/>
  <c r="W81" i="3"/>
  <c r="Y81" i="3"/>
  <c r="U53" i="3"/>
  <c r="W53" i="3"/>
  <c r="Y53" i="3"/>
  <c r="U183" i="3"/>
  <c r="W183" i="3"/>
  <c r="Y183" i="3"/>
  <c r="U151" i="3"/>
  <c r="W151" i="3"/>
  <c r="Y151" i="3"/>
  <c r="U165" i="3"/>
  <c r="W165" i="3"/>
  <c r="Y165" i="3"/>
  <c r="U145" i="3"/>
  <c r="W145" i="3"/>
  <c r="Y145" i="3"/>
  <c r="U44" i="3"/>
  <c r="W44" i="3"/>
  <c r="Y44" i="3"/>
  <c r="U206" i="3"/>
  <c r="W206" i="3"/>
  <c r="Y206" i="3"/>
  <c r="U148" i="3"/>
  <c r="W148" i="3"/>
  <c r="Y148" i="3"/>
  <c r="U111" i="3"/>
  <c r="W111" i="3"/>
  <c r="Y111" i="3"/>
  <c r="U34" i="3"/>
  <c r="W34" i="3"/>
  <c r="Y34" i="3"/>
  <c r="U52" i="3"/>
  <c r="W52" i="3"/>
  <c r="Y52" i="3"/>
  <c r="U113" i="3"/>
  <c r="W113" i="3"/>
  <c r="Y113" i="3"/>
  <c r="U138" i="3"/>
  <c r="W138" i="3"/>
  <c r="Y138" i="3"/>
  <c r="AI142" i="1"/>
  <c r="AJ142" i="1"/>
  <c r="AK142" i="1"/>
  <c r="AL142" i="1"/>
  <c r="AM142" i="1"/>
  <c r="AI56" i="1"/>
  <c r="AJ56" i="1"/>
  <c r="AK56" i="1"/>
  <c r="AL56" i="1"/>
  <c r="AM56" i="1"/>
  <c r="AI183" i="1"/>
  <c r="AJ183" i="1"/>
  <c r="AK183" i="1"/>
  <c r="AL183" i="1"/>
  <c r="AM183" i="1"/>
  <c r="AI139" i="1"/>
  <c r="AJ139" i="1"/>
  <c r="AK139" i="1"/>
  <c r="AL139" i="1"/>
  <c r="AM139" i="1"/>
  <c r="AI184" i="1"/>
  <c r="AJ184" i="1"/>
  <c r="AK184" i="1"/>
  <c r="AL184" i="1"/>
  <c r="AM184" i="1"/>
  <c r="AI59" i="1"/>
  <c r="AJ59" i="1"/>
  <c r="AK59" i="1"/>
  <c r="AL59" i="1"/>
  <c r="AM59" i="1"/>
  <c r="AI193" i="1"/>
  <c r="AJ193" i="1"/>
  <c r="AK193" i="1"/>
  <c r="AL193" i="1"/>
  <c r="AM193" i="1"/>
  <c r="AI40" i="1"/>
  <c r="AJ40" i="1"/>
  <c r="AK40" i="1"/>
  <c r="AL40" i="1"/>
  <c r="AM40" i="1"/>
  <c r="AI106" i="1"/>
  <c r="AJ106" i="1"/>
  <c r="AK106" i="1"/>
  <c r="AL106" i="1"/>
  <c r="AM106" i="1"/>
  <c r="AI116" i="1"/>
  <c r="AJ116" i="1"/>
  <c r="AK116" i="1"/>
  <c r="AL116" i="1"/>
  <c r="AM116" i="1"/>
  <c r="AI195" i="1"/>
  <c r="AJ195" i="1"/>
  <c r="AK195" i="1"/>
  <c r="AL195" i="1"/>
  <c r="AM195" i="1"/>
  <c r="AI33" i="1"/>
  <c r="AJ33" i="1"/>
  <c r="AK33" i="1"/>
  <c r="AL33" i="1"/>
  <c r="AM33" i="1"/>
  <c r="AI124" i="1"/>
  <c r="AJ124" i="1"/>
  <c r="AK124" i="1"/>
  <c r="AL124" i="1"/>
  <c r="AM124" i="1"/>
  <c r="AI175" i="1"/>
  <c r="AJ175" i="1"/>
  <c r="AK175" i="1"/>
  <c r="AL175" i="1"/>
  <c r="AM175" i="1"/>
  <c r="AI79" i="1"/>
  <c r="AJ79" i="1"/>
  <c r="AK79" i="1"/>
  <c r="AL79" i="1"/>
  <c r="AM79" i="1"/>
  <c r="AI60" i="1"/>
  <c r="AJ60" i="1"/>
  <c r="AK60" i="1"/>
  <c r="AL60" i="1"/>
  <c r="AM60" i="1"/>
  <c r="AI27" i="1"/>
  <c r="AJ27" i="1"/>
  <c r="AK27" i="1"/>
  <c r="AL27" i="1"/>
  <c r="AM27" i="1"/>
  <c r="AI128" i="1"/>
  <c r="AJ128" i="1"/>
  <c r="AK128" i="1"/>
  <c r="AL128" i="1"/>
  <c r="AM128" i="1"/>
  <c r="AI36" i="1"/>
  <c r="AJ36" i="1"/>
  <c r="AK36" i="1"/>
  <c r="AL36" i="1"/>
  <c r="AM36" i="1"/>
  <c r="AI24" i="1"/>
  <c r="AJ24" i="1"/>
  <c r="AK24" i="1"/>
  <c r="AL24" i="1"/>
  <c r="AM24" i="1"/>
  <c r="AI162" i="1"/>
  <c r="AJ162" i="1"/>
  <c r="AK162" i="1"/>
  <c r="AL162" i="1"/>
  <c r="AM162" i="1"/>
  <c r="AI63" i="1"/>
  <c r="AJ63" i="1"/>
  <c r="AK63" i="1"/>
  <c r="AL63" i="1"/>
  <c r="AM63" i="1"/>
  <c r="AI15" i="1"/>
  <c r="AJ15" i="1"/>
  <c r="AK15" i="1"/>
  <c r="AL15" i="1"/>
  <c r="AM15" i="1"/>
  <c r="AI12" i="1"/>
  <c r="AJ12" i="1"/>
  <c r="AK12" i="1"/>
  <c r="AL12" i="1"/>
  <c r="AM12" i="1"/>
  <c r="AI68" i="1"/>
  <c r="AJ68" i="1"/>
  <c r="AK68" i="1"/>
  <c r="AL68" i="1"/>
  <c r="AM68" i="1"/>
  <c r="AI138" i="1"/>
  <c r="AJ138" i="1"/>
  <c r="AK138" i="1"/>
  <c r="AL138" i="1"/>
  <c r="AM138" i="1"/>
  <c r="AI85" i="1"/>
  <c r="AJ85" i="1"/>
  <c r="AK85" i="1"/>
  <c r="AL85" i="1"/>
  <c r="AM85" i="1"/>
  <c r="AI118" i="1"/>
  <c r="AJ118" i="1"/>
  <c r="AK118" i="1"/>
  <c r="AL118" i="1"/>
  <c r="AM118" i="1"/>
  <c r="AI121" i="1"/>
  <c r="AJ121" i="1"/>
  <c r="AK121" i="1"/>
  <c r="AL121" i="1"/>
  <c r="AM121" i="1"/>
  <c r="AI44" i="1"/>
  <c r="AJ44" i="1"/>
  <c r="AK44" i="1"/>
  <c r="AL44" i="1"/>
  <c r="AM44" i="1"/>
  <c r="AI13" i="1"/>
  <c r="AJ13" i="1"/>
  <c r="AK13" i="1"/>
  <c r="AL13" i="1"/>
  <c r="AM13" i="1"/>
  <c r="AI133" i="1"/>
  <c r="AJ133" i="1"/>
  <c r="AK133" i="1"/>
  <c r="AL133" i="1"/>
  <c r="AM133" i="1"/>
  <c r="AI152" i="1"/>
  <c r="AJ152" i="1"/>
  <c r="AK152" i="1"/>
  <c r="AL152" i="1"/>
  <c r="AM152" i="1"/>
  <c r="AI204" i="1"/>
  <c r="AJ204" i="1"/>
  <c r="AK204" i="1"/>
  <c r="AL204" i="1"/>
  <c r="AM204" i="1"/>
  <c r="AI50" i="1"/>
  <c r="AJ50" i="1"/>
  <c r="AK50" i="1"/>
  <c r="AL50" i="1"/>
  <c r="AM50" i="1"/>
  <c r="AI49" i="1"/>
  <c r="AJ49" i="1"/>
  <c r="AK49" i="1"/>
  <c r="AL49" i="1"/>
  <c r="AM49" i="1"/>
  <c r="AI73" i="1"/>
  <c r="AJ73" i="1"/>
  <c r="AK73" i="1"/>
  <c r="AL73" i="1"/>
  <c r="AM73" i="1"/>
  <c r="AI147" i="1"/>
  <c r="AJ147" i="1"/>
  <c r="AK147" i="1"/>
  <c r="AL147" i="1"/>
  <c r="AM147" i="1"/>
  <c r="AI170" i="1"/>
  <c r="AJ170" i="1"/>
  <c r="AK170" i="1"/>
  <c r="AL170" i="1"/>
  <c r="AM170" i="1"/>
  <c r="AI55" i="1"/>
  <c r="AJ55" i="1"/>
  <c r="AK55" i="1"/>
  <c r="AL55" i="1"/>
  <c r="AM55" i="1"/>
  <c r="AI136" i="1"/>
  <c r="AJ136" i="1"/>
  <c r="AK136" i="1"/>
  <c r="AL136" i="1"/>
  <c r="AM136" i="1"/>
  <c r="AI9" i="1"/>
  <c r="AJ9" i="1"/>
  <c r="AK9" i="1"/>
  <c r="AL9" i="1"/>
  <c r="AM9" i="1"/>
  <c r="AI113" i="1"/>
  <c r="AJ113" i="1"/>
  <c r="AK113" i="1"/>
  <c r="AL113" i="1"/>
  <c r="AM113" i="1"/>
  <c r="AI31" i="1"/>
  <c r="AJ31" i="1"/>
  <c r="AK31" i="1"/>
  <c r="AL31" i="1"/>
  <c r="AM31" i="1"/>
  <c r="AI8" i="1"/>
  <c r="AJ8" i="1"/>
  <c r="AK8" i="1"/>
  <c r="AL8" i="1"/>
  <c r="AM8" i="1"/>
  <c r="AI179" i="1"/>
  <c r="AI10" i="1"/>
  <c r="AI171" i="1"/>
  <c r="AI112" i="1"/>
  <c r="AI47" i="1"/>
  <c r="AI7" i="1"/>
  <c r="AI16" i="1"/>
  <c r="AI19" i="1"/>
  <c r="AI39" i="1"/>
  <c r="AI151" i="1"/>
  <c r="AI11" i="1"/>
  <c r="AI114" i="1"/>
  <c r="AI23" i="1"/>
  <c r="AI177" i="1"/>
  <c r="AI58" i="1"/>
  <c r="AI130" i="1"/>
  <c r="AI185" i="1"/>
  <c r="AI32" i="1"/>
  <c r="AI57" i="1"/>
  <c r="AI115" i="1"/>
  <c r="AI20" i="1"/>
  <c r="AI119" i="1"/>
  <c r="AI181" i="1"/>
  <c r="AI51" i="1"/>
  <c r="AI22" i="1"/>
  <c r="AI200" i="1"/>
  <c r="AI149" i="1"/>
  <c r="AI109" i="1"/>
  <c r="AI166" i="1"/>
  <c r="AI25" i="1"/>
  <c r="AI18" i="1"/>
  <c r="AI157" i="1"/>
  <c r="AI164" i="1"/>
  <c r="AI169" i="1"/>
  <c r="AI34" i="1"/>
  <c r="AI54" i="1"/>
  <c r="AI108" i="1"/>
  <c r="AI70" i="1"/>
  <c r="AI196" i="1"/>
  <c r="AI48" i="1"/>
  <c r="AI153" i="1"/>
  <c r="AI72" i="1"/>
  <c r="AI192" i="1"/>
  <c r="AI126" i="1"/>
  <c r="AI46" i="1"/>
  <c r="AI132" i="1"/>
  <c r="AI159" i="1"/>
  <c r="AI41" i="1"/>
  <c r="AI123" i="1"/>
  <c r="AI155" i="1"/>
  <c r="AI28" i="1"/>
  <c r="AI43" i="1"/>
  <c r="AI14" i="1"/>
  <c r="AI161" i="1"/>
  <c r="AI137" i="1"/>
  <c r="AI90" i="1"/>
  <c r="AI144" i="1"/>
  <c r="AI35" i="1"/>
  <c r="AI66" i="1"/>
  <c r="AI21" i="1"/>
  <c r="AI110" i="1"/>
  <c r="AI26" i="1"/>
  <c r="AI30" i="1"/>
  <c r="AI17" i="1"/>
  <c r="X101" i="3" l="1"/>
  <c r="A94" i="3"/>
  <c r="X97" i="3"/>
  <c r="A97" i="3"/>
  <c r="A74" i="3"/>
  <c r="X172" i="3"/>
  <c r="X45" i="3"/>
  <c r="X174" i="3"/>
  <c r="A167" i="3"/>
  <c r="A172" i="3"/>
  <c r="A45" i="3"/>
  <c r="A174" i="3"/>
  <c r="X91" i="3"/>
  <c r="A193" i="3"/>
  <c r="X67" i="3"/>
  <c r="A192" i="3"/>
  <c r="A196" i="3"/>
  <c r="A139" i="3"/>
  <c r="X71" i="3"/>
  <c r="X70" i="3"/>
  <c r="X184" i="3"/>
  <c r="A124" i="3"/>
  <c r="A121" i="3"/>
  <c r="X69" i="3"/>
  <c r="A96" i="3"/>
  <c r="X73" i="3"/>
  <c r="A73" i="3"/>
  <c r="X90" i="3"/>
  <c r="A87" i="3"/>
  <c r="A184" i="3"/>
  <c r="X158" i="3"/>
  <c r="X116" i="3"/>
  <c r="A102" i="3"/>
  <c r="X121" i="3"/>
  <c r="X68" i="3"/>
  <c r="A68" i="3"/>
  <c r="A116" i="3"/>
  <c r="A169" i="3"/>
  <c r="A77" i="3"/>
  <c r="X188" i="3"/>
  <c r="X87" i="3"/>
  <c r="X126" i="3"/>
  <c r="X161" i="3"/>
  <c r="X93" i="3"/>
  <c r="X146" i="3"/>
  <c r="X99" i="3"/>
  <c r="A198" i="3"/>
  <c r="X124" i="3"/>
  <c r="A164" i="3"/>
  <c r="A120" i="3"/>
  <c r="X180" i="3"/>
  <c r="A93" i="3"/>
  <c r="A99" i="3"/>
  <c r="A98" i="3"/>
  <c r="X123" i="3"/>
  <c r="X166" i="3"/>
  <c r="X149" i="3"/>
  <c r="X80" i="3"/>
  <c r="X169" i="3"/>
  <c r="X133" i="3"/>
  <c r="X128" i="3"/>
  <c r="X37" i="3"/>
  <c r="X125" i="3"/>
  <c r="X98" i="3"/>
  <c r="X22" i="3"/>
  <c r="X167" i="3"/>
  <c r="X204" i="3"/>
  <c r="X140" i="3"/>
  <c r="A104" i="3"/>
  <c r="X63" i="3"/>
  <c r="X78" i="3"/>
  <c r="X163" i="3"/>
  <c r="X105" i="3"/>
  <c r="A108" i="3"/>
  <c r="X120" i="3"/>
  <c r="X170" i="3"/>
  <c r="X157" i="3"/>
  <c r="X102" i="3"/>
  <c r="X77" i="3"/>
  <c r="X65" i="3"/>
  <c r="X192" i="3"/>
  <c r="X134" i="3"/>
  <c r="X100" i="3"/>
  <c r="A22" i="3"/>
  <c r="A100" i="3"/>
  <c r="X193" i="3"/>
  <c r="X38" i="3"/>
  <c r="A91" i="3"/>
  <c r="X66" i="3"/>
  <c r="A101" i="3"/>
  <c r="X203" i="3"/>
  <c r="X96" i="3"/>
  <c r="X88" i="3"/>
  <c r="A71" i="3"/>
  <c r="X26" i="3"/>
  <c r="X176" i="3"/>
  <c r="X46" i="3"/>
  <c r="X72" i="3"/>
  <c r="X106" i="3"/>
  <c r="X110" i="3"/>
  <c r="X85" i="3"/>
  <c r="A149" i="3"/>
  <c r="X139" i="3"/>
  <c r="X164" i="3"/>
  <c r="X64" i="3"/>
  <c r="X202" i="3"/>
  <c r="X39" i="3"/>
  <c r="X198" i="3"/>
  <c r="X159" i="3"/>
  <c r="X11" i="3"/>
  <c r="X148" i="3"/>
  <c r="X183" i="3"/>
  <c r="X165" i="3"/>
  <c r="X33" i="3"/>
  <c r="X54" i="3"/>
  <c r="X31" i="3"/>
  <c r="X76" i="3"/>
  <c r="X14" i="3"/>
  <c r="X41" i="3"/>
  <c r="X194" i="3"/>
  <c r="X151" i="3"/>
  <c r="X40" i="3"/>
  <c r="X29" i="3"/>
  <c r="X111" i="3"/>
  <c r="X199" i="3"/>
  <c r="X30" i="3"/>
  <c r="X23" i="3"/>
  <c r="X197" i="3"/>
  <c r="X52" i="3"/>
  <c r="X195" i="3"/>
  <c r="X81" i="3"/>
  <c r="X137" i="3"/>
  <c r="X145" i="3"/>
  <c r="X138" i="3"/>
  <c r="X113" i="3"/>
  <c r="X182" i="3"/>
  <c r="X57" i="3"/>
  <c r="X56" i="3"/>
  <c r="X47" i="3"/>
  <c r="X152" i="3"/>
  <c r="X8" i="3"/>
  <c r="X18" i="3"/>
  <c r="X19" i="3"/>
  <c r="X143" i="3"/>
  <c r="X28" i="3"/>
  <c r="X187" i="3"/>
  <c r="X34" i="3"/>
  <c r="X206" i="3"/>
  <c r="X24" i="3"/>
  <c r="X49" i="3"/>
  <c r="X44" i="3"/>
  <c r="X53" i="3"/>
  <c r="X119" i="3"/>
  <c r="X168" i="3"/>
  <c r="U147" i="3"/>
  <c r="W147" i="3"/>
  <c r="Y147" i="3"/>
  <c r="U185" i="3"/>
  <c r="W185" i="3"/>
  <c r="Y185" i="3"/>
  <c r="U150" i="3"/>
  <c r="W150" i="3"/>
  <c r="Y150" i="3"/>
  <c r="U162" i="3"/>
  <c r="W162" i="3"/>
  <c r="Y162" i="3"/>
  <c r="U17" i="3"/>
  <c r="W17" i="3"/>
  <c r="Y17" i="3"/>
  <c r="X162" i="3" l="1"/>
  <c r="X147" i="3"/>
  <c r="X150" i="3"/>
  <c r="X185" i="3"/>
  <c r="X17" i="3"/>
  <c r="U60" i="3"/>
  <c r="W60" i="3"/>
  <c r="Y60" i="3"/>
  <c r="U173" i="3"/>
  <c r="W173" i="3"/>
  <c r="Y173" i="3"/>
  <c r="U142" i="3"/>
  <c r="W142" i="3"/>
  <c r="Y142" i="3"/>
  <c r="AJ32" i="1"/>
  <c r="AK32" i="1"/>
  <c r="AL32" i="1"/>
  <c r="AM32" i="1"/>
  <c r="AJ66" i="1"/>
  <c r="AK66" i="1"/>
  <c r="AL66" i="1"/>
  <c r="AM66" i="1"/>
  <c r="AJ126" i="1"/>
  <c r="AK126" i="1"/>
  <c r="AL126" i="1"/>
  <c r="AM126" i="1"/>
  <c r="W4" i="3"/>
  <c r="U20" i="3"/>
  <c r="U62" i="3"/>
  <c r="U27" i="3"/>
  <c r="U48" i="3"/>
  <c r="U153" i="3"/>
  <c r="U135" i="3"/>
  <c r="U32" i="3"/>
  <c r="U205" i="3"/>
  <c r="U136" i="3"/>
  <c r="U35" i="3"/>
  <c r="U16" i="3"/>
  <c r="U109" i="3"/>
  <c r="U201" i="3"/>
  <c r="U131" i="3"/>
  <c r="U186" i="3"/>
  <c r="U25" i="3"/>
  <c r="U144" i="3"/>
  <c r="U15" i="3"/>
  <c r="U118" i="3"/>
  <c r="U141" i="3"/>
  <c r="U155" i="3"/>
  <c r="U132" i="3"/>
  <c r="U129" i="3"/>
  <c r="U117" i="3"/>
  <c r="U6" i="3"/>
  <c r="U10" i="3"/>
  <c r="U122" i="3"/>
  <c r="U115" i="3"/>
  <c r="U191" i="3"/>
  <c r="U43" i="3"/>
  <c r="U13" i="3"/>
  <c r="U12" i="3"/>
  <c r="U51" i="3"/>
  <c r="U114" i="3"/>
  <c r="U127" i="3"/>
  <c r="U50" i="3"/>
  <c r="U7" i="3"/>
  <c r="U75" i="3"/>
  <c r="U9" i="3"/>
  <c r="U189" i="3"/>
  <c r="U4" i="3"/>
  <c r="W20" i="3"/>
  <c r="W62" i="3"/>
  <c r="W27" i="3"/>
  <c r="W48" i="3"/>
  <c r="W153" i="3"/>
  <c r="W135" i="3"/>
  <c r="W32" i="3"/>
  <c r="W205" i="3"/>
  <c r="W136" i="3"/>
  <c r="W35" i="3"/>
  <c r="W16" i="3"/>
  <c r="W109" i="3"/>
  <c r="W201" i="3"/>
  <c r="W131" i="3"/>
  <c r="W186" i="3"/>
  <c r="W25" i="3"/>
  <c r="W144" i="3"/>
  <c r="W15" i="3"/>
  <c r="W118" i="3"/>
  <c r="W141" i="3"/>
  <c r="W155" i="3"/>
  <c r="W132" i="3"/>
  <c r="W129" i="3"/>
  <c r="W117" i="3"/>
  <c r="W6" i="3"/>
  <c r="W10" i="3"/>
  <c r="W122" i="3"/>
  <c r="W115" i="3"/>
  <c r="W191" i="3"/>
  <c r="W43" i="3"/>
  <c r="W13" i="3"/>
  <c r="W12" i="3"/>
  <c r="W51" i="3"/>
  <c r="W114" i="3"/>
  <c r="W127" i="3"/>
  <c r="W50" i="3"/>
  <c r="W7" i="3"/>
  <c r="W75" i="3"/>
  <c r="W9" i="3"/>
  <c r="W189" i="3"/>
  <c r="AK5" i="1"/>
  <c r="AK11" i="1"/>
  <c r="AK151" i="1"/>
  <c r="AK47" i="1"/>
  <c r="AK7" i="1"/>
  <c r="AK130" i="1"/>
  <c r="AK35" i="1"/>
  <c r="AK109" i="1"/>
  <c r="AK115" i="1"/>
  <c r="AK112" i="1"/>
  <c r="AK19" i="1"/>
  <c r="AK144" i="1"/>
  <c r="AK54" i="1"/>
  <c r="AK164" i="1"/>
  <c r="AK14" i="1"/>
  <c r="AK169" i="1"/>
  <c r="AK119" i="1"/>
  <c r="AK17" i="1"/>
  <c r="AK196" i="1"/>
  <c r="AK43" i="1"/>
  <c r="AK114" i="1"/>
  <c r="AK25" i="1"/>
  <c r="AK10" i="1"/>
  <c r="AK166" i="1"/>
  <c r="AK41" i="1"/>
  <c r="AK18" i="1"/>
  <c r="AK153" i="1"/>
  <c r="AK192" i="1"/>
  <c r="AK132" i="1"/>
  <c r="AK90" i="1"/>
  <c r="AK137" i="1"/>
  <c r="AK28" i="1"/>
  <c r="AK200" i="1"/>
  <c r="AK70" i="1"/>
  <c r="AK157" i="1"/>
  <c r="AK46" i="1"/>
  <c r="AK23" i="1"/>
  <c r="AK181" i="1"/>
  <c r="AK26" i="1"/>
  <c r="AK20" i="1"/>
  <c r="AK39" i="1"/>
  <c r="AK16" i="1"/>
  <c r="AK34" i="1"/>
  <c r="AK185" i="1"/>
  <c r="AK110" i="1"/>
  <c r="AK48" i="1"/>
  <c r="AK21" i="1"/>
  <c r="AK159" i="1"/>
  <c r="AK57" i="1"/>
  <c r="AK161" i="1"/>
  <c r="AK72" i="1"/>
  <c r="AK30" i="1"/>
  <c r="AK123" i="1"/>
  <c r="AK108" i="1"/>
  <c r="AK171" i="1"/>
  <c r="AK58" i="1"/>
  <c r="AK149" i="1"/>
  <c r="AK51" i="1"/>
  <c r="AK177" i="1"/>
  <c r="AK155" i="1"/>
  <c r="AK179" i="1"/>
  <c r="AK22" i="1"/>
  <c r="AM11" i="1"/>
  <c r="AM35" i="1"/>
  <c r="AM7" i="1"/>
  <c r="AM112" i="1"/>
  <c r="AM130" i="1"/>
  <c r="AM119" i="1"/>
  <c r="AM151" i="1"/>
  <c r="AM109" i="1"/>
  <c r="AM115" i="1"/>
  <c r="AM10" i="1"/>
  <c r="AM47" i="1"/>
  <c r="AM166" i="1"/>
  <c r="AM54" i="1"/>
  <c r="AM144" i="1"/>
  <c r="AM18" i="1"/>
  <c r="AM41" i="1"/>
  <c r="AM114" i="1"/>
  <c r="AM19" i="1"/>
  <c r="AM43" i="1"/>
  <c r="AM137" i="1"/>
  <c r="AM164" i="1"/>
  <c r="AM169" i="1"/>
  <c r="AM28" i="1"/>
  <c r="AM46" i="1"/>
  <c r="AM192" i="1"/>
  <c r="AM181" i="1"/>
  <c r="AM70" i="1"/>
  <c r="AM90" i="1"/>
  <c r="AM14" i="1"/>
  <c r="AM196" i="1"/>
  <c r="AM132" i="1"/>
  <c r="AM153" i="1"/>
  <c r="AM16" i="1"/>
  <c r="AM108" i="1"/>
  <c r="AM200" i="1"/>
  <c r="AM34" i="1"/>
  <c r="AM23" i="1"/>
  <c r="AM110" i="1"/>
  <c r="AM157" i="1"/>
  <c r="AM17" i="1"/>
  <c r="AM161" i="1"/>
  <c r="AM25" i="1"/>
  <c r="AM21" i="1"/>
  <c r="AM72" i="1"/>
  <c r="AM30" i="1"/>
  <c r="AM123" i="1"/>
  <c r="AM39" i="1"/>
  <c r="AM185" i="1"/>
  <c r="AM20" i="1"/>
  <c r="AM26" i="1"/>
  <c r="AM48" i="1"/>
  <c r="AM159" i="1"/>
  <c r="AM58" i="1"/>
  <c r="AM179" i="1"/>
  <c r="AM22" i="1"/>
  <c r="AM57" i="1"/>
  <c r="AM177" i="1"/>
  <c r="AM149" i="1"/>
  <c r="AM51" i="1"/>
  <c r="AM155" i="1"/>
  <c r="AM171" i="1"/>
  <c r="AM5" i="1"/>
  <c r="AI5" i="1"/>
  <c r="AJ11" i="1"/>
  <c r="AJ35" i="1"/>
  <c r="AJ7" i="1"/>
  <c r="AJ112" i="1"/>
  <c r="AJ130" i="1"/>
  <c r="AJ119" i="1"/>
  <c r="AJ151" i="1"/>
  <c r="AJ109" i="1"/>
  <c r="AJ115" i="1"/>
  <c r="AJ10" i="1"/>
  <c r="AJ47" i="1"/>
  <c r="AJ166" i="1"/>
  <c r="AJ54" i="1"/>
  <c r="AJ144" i="1"/>
  <c r="AJ18" i="1"/>
  <c r="AJ41" i="1"/>
  <c r="AJ114" i="1"/>
  <c r="AJ19" i="1"/>
  <c r="AJ43" i="1"/>
  <c r="AJ137" i="1"/>
  <c r="AJ164" i="1"/>
  <c r="AJ169" i="1"/>
  <c r="AJ28" i="1"/>
  <c r="AJ46" i="1"/>
  <c r="AJ192" i="1"/>
  <c r="AJ181" i="1"/>
  <c r="AJ70" i="1"/>
  <c r="AJ90" i="1"/>
  <c r="AJ14" i="1"/>
  <c r="AJ196" i="1"/>
  <c r="AJ132" i="1"/>
  <c r="AJ153" i="1"/>
  <c r="AJ16" i="1"/>
  <c r="AJ108" i="1"/>
  <c r="AJ200" i="1"/>
  <c r="AJ34" i="1"/>
  <c r="AJ23" i="1"/>
  <c r="AJ110" i="1"/>
  <c r="AJ157" i="1"/>
  <c r="AJ17" i="1"/>
  <c r="AJ161" i="1"/>
  <c r="AJ25" i="1"/>
  <c r="AJ21" i="1"/>
  <c r="AJ72" i="1"/>
  <c r="AJ30" i="1"/>
  <c r="AJ123" i="1"/>
  <c r="AJ39" i="1"/>
  <c r="AJ185" i="1"/>
  <c r="AJ20" i="1"/>
  <c r="AJ26" i="1"/>
  <c r="AJ48" i="1"/>
  <c r="AJ159" i="1"/>
  <c r="AJ58" i="1"/>
  <c r="AJ179" i="1"/>
  <c r="AJ22" i="1"/>
  <c r="AJ57" i="1"/>
  <c r="AJ177" i="1"/>
  <c r="AJ149" i="1"/>
  <c r="AJ51" i="1"/>
  <c r="AJ155" i="1"/>
  <c r="AJ171" i="1"/>
  <c r="AJ5" i="1"/>
  <c r="Y15" i="3"/>
  <c r="Y16" i="3"/>
  <c r="Y205" i="3"/>
  <c r="Y109" i="3"/>
  <c r="Y135" i="3"/>
  <c r="Y32" i="3"/>
  <c r="Y51" i="3"/>
  <c r="Y115" i="3"/>
  <c r="Y136" i="3"/>
  <c r="Y141" i="3"/>
  <c r="Y13" i="3"/>
  <c r="Y127" i="3"/>
  <c r="Y9" i="3"/>
  <c r="Y132" i="3"/>
  <c r="Y43" i="3"/>
  <c r="Y191" i="3"/>
  <c r="Y186" i="3"/>
  <c r="Y10" i="3"/>
  <c r="Y144" i="3"/>
  <c r="Y118" i="3"/>
  <c r="Y25" i="3"/>
  <c r="Y117" i="3"/>
  <c r="Y201" i="3"/>
  <c r="Y129" i="3"/>
  <c r="Y6" i="3"/>
  <c r="Y7" i="3"/>
  <c r="Y12" i="3"/>
  <c r="Y50" i="3"/>
  <c r="Y155" i="3"/>
  <c r="Y122" i="3"/>
  <c r="Y75" i="3"/>
  <c r="Y189" i="3"/>
  <c r="Y114" i="3"/>
  <c r="V4" i="3"/>
  <c r="Y27" i="3"/>
  <c r="Y62" i="3"/>
  <c r="Y20" i="3"/>
  <c r="Y153" i="3"/>
  <c r="Y48" i="3"/>
  <c r="Y131" i="3"/>
  <c r="Y35" i="3"/>
  <c r="AL110" i="1"/>
  <c r="AL132" i="1"/>
  <c r="AL26" i="1"/>
  <c r="AL17" i="1"/>
  <c r="AL57" i="1"/>
  <c r="AL185" i="1"/>
  <c r="AL112" i="1"/>
  <c r="AL22" i="1"/>
  <c r="AL155" i="1"/>
  <c r="AL115" i="1"/>
  <c r="AL54" i="1"/>
  <c r="AL11" i="1"/>
  <c r="AL72" i="1"/>
  <c r="AL164" i="1"/>
  <c r="AL171" i="1"/>
  <c r="AL144" i="1"/>
  <c r="AL25" i="1"/>
  <c r="AL7" i="1"/>
  <c r="AL21" i="1"/>
  <c r="AL123" i="1"/>
  <c r="AL153" i="1"/>
  <c r="AL58" i="1"/>
  <c r="AL10" i="1"/>
  <c r="AL151" i="1"/>
  <c r="AL161" i="1"/>
  <c r="AL200" i="1"/>
  <c r="AL41" i="1"/>
  <c r="AL109" i="1"/>
  <c r="AL114" i="1"/>
  <c r="AL20" i="1"/>
  <c r="AL149" i="1"/>
  <c r="AL47" i="1"/>
  <c r="AL137" i="1"/>
  <c r="AL159" i="1"/>
  <c r="AL108" i="1"/>
  <c r="AL196" i="1"/>
  <c r="AL169" i="1"/>
  <c r="AL34" i="1"/>
  <c r="AL14" i="1"/>
  <c r="AL35" i="1"/>
  <c r="AL16" i="1"/>
  <c r="AL130" i="1"/>
  <c r="AL30" i="1"/>
  <c r="AL119" i="1"/>
  <c r="AL46" i="1"/>
  <c r="AL51" i="1"/>
  <c r="AL48" i="1"/>
  <c r="AL19" i="1"/>
  <c r="AL28" i="1"/>
  <c r="AL23" i="1"/>
  <c r="AL70" i="1"/>
  <c r="AL179" i="1"/>
  <c r="AL90" i="1"/>
  <c r="AL39" i="1"/>
  <c r="AL166" i="1"/>
  <c r="AL43" i="1"/>
  <c r="AL157" i="1"/>
  <c r="AL192" i="1"/>
  <c r="AL18" i="1"/>
  <c r="AL177" i="1"/>
  <c r="AL181" i="1"/>
  <c r="A29" i="1" l="1"/>
  <c r="A143" i="1"/>
  <c r="A173" i="1"/>
  <c r="A187" i="1"/>
  <c r="A148" i="1"/>
  <c r="A65" i="1"/>
  <c r="A125" i="1"/>
  <c r="A38" i="1"/>
  <c r="A165" i="1"/>
  <c r="A122" i="1"/>
  <c r="A131" i="1"/>
  <c r="A102" i="1"/>
  <c r="A81" i="1"/>
  <c r="A135" i="1"/>
  <c r="A89" i="1"/>
  <c r="A69" i="1"/>
  <c r="A190" i="1"/>
  <c r="A42" i="1"/>
  <c r="A163" i="1"/>
  <c r="A174" i="1"/>
  <c r="A83" i="1"/>
  <c r="A99" i="1"/>
  <c r="A188" i="1"/>
  <c r="A62" i="1"/>
  <c r="A199" i="1"/>
  <c r="A76" i="1"/>
  <c r="A194" i="1"/>
  <c r="A64" i="1"/>
  <c r="A52" i="1"/>
  <c r="A206" i="1"/>
  <c r="A104" i="1"/>
  <c r="A197" i="1"/>
  <c r="A198" i="1"/>
  <c r="A154" i="1"/>
  <c r="A94" i="1"/>
  <c r="A172" i="1"/>
  <c r="A37" i="1"/>
  <c r="A93" i="1"/>
  <c r="A82" i="1"/>
  <c r="A191" i="1"/>
  <c r="A203" i="1"/>
  <c r="A61" i="1"/>
  <c r="A84" i="1"/>
  <c r="A150" i="1"/>
  <c r="A77" i="1"/>
  <c r="A141" i="1"/>
  <c r="A101" i="1"/>
  <c r="A134" i="1"/>
  <c r="A145" i="1"/>
  <c r="A117" i="1"/>
  <c r="A127" i="1"/>
  <c r="A88" i="1"/>
  <c r="A74" i="1"/>
  <c r="A96" i="1"/>
  <c r="A180" i="1"/>
  <c r="A75" i="1"/>
  <c r="A86" i="1"/>
  <c r="A160" i="1"/>
  <c r="A201" i="1"/>
  <c r="A202" i="1"/>
  <c r="A146" i="1"/>
  <c r="A45" i="1"/>
  <c r="A111" i="1"/>
  <c r="A67" i="1"/>
  <c r="A53" i="1"/>
  <c r="A167" i="1"/>
  <c r="A168" i="1"/>
  <c r="A92" i="1"/>
  <c r="A107" i="1"/>
  <c r="A120" i="1"/>
  <c r="A71" i="1"/>
  <c r="A95" i="1"/>
  <c r="A98" i="1"/>
  <c r="A189" i="1"/>
  <c r="A156" i="1"/>
  <c r="A129" i="1"/>
  <c r="A205" i="1"/>
  <c r="A105" i="1"/>
  <c r="A176" i="1"/>
  <c r="A140" i="1"/>
  <c r="A186" i="1"/>
  <c r="A178" i="1"/>
  <c r="A182" i="1"/>
  <c r="A97" i="1"/>
  <c r="A87" i="1"/>
  <c r="A100" i="1"/>
  <c r="A103" i="1"/>
  <c r="A207" i="1"/>
  <c r="A158" i="1"/>
  <c r="A78" i="1"/>
  <c r="A91" i="1"/>
  <c r="A80" i="1"/>
  <c r="A56" i="3"/>
  <c r="A81" i="3"/>
  <c r="A138" i="3"/>
  <c r="A113" i="3"/>
  <c r="A206" i="3"/>
  <c r="A197" i="3"/>
  <c r="A52" i="3"/>
  <c r="A40" i="3"/>
  <c r="A49" i="3"/>
  <c r="A119" i="3"/>
  <c r="A44" i="3"/>
  <c r="A30" i="3"/>
  <c r="A76" i="3"/>
  <c r="A11" i="3"/>
  <c r="A168" i="3"/>
  <c r="A28" i="3"/>
  <c r="A159" i="3"/>
  <c r="A33" i="3"/>
  <c r="A47" i="3"/>
  <c r="A195" i="3"/>
  <c r="A23" i="3"/>
  <c r="A183" i="3"/>
  <c r="A137" i="3"/>
  <c r="A148" i="3"/>
  <c r="A31" i="3"/>
  <c r="A134" i="3"/>
  <c r="A34" i="3"/>
  <c r="A194" i="3"/>
  <c r="A53" i="3"/>
  <c r="A182" i="3"/>
  <c r="A143" i="3"/>
  <c r="A57" i="3"/>
  <c r="A165" i="3"/>
  <c r="A54" i="3"/>
  <c r="A29" i="3"/>
  <c r="A14" i="3"/>
  <c r="A199" i="3"/>
  <c r="A152" i="3"/>
  <c r="A8" i="3"/>
  <c r="A24" i="3"/>
  <c r="A125" i="3"/>
  <c r="A111" i="3"/>
  <c r="A187" i="3"/>
  <c r="A151" i="3"/>
  <c r="A18" i="3"/>
  <c r="A145" i="3"/>
  <c r="A19" i="3"/>
  <c r="A41" i="3"/>
  <c r="A37" i="3"/>
  <c r="A147" i="3"/>
  <c r="A17" i="3"/>
  <c r="A185" i="3"/>
  <c r="A150" i="3"/>
  <c r="A162" i="3"/>
  <c r="X142" i="3"/>
  <c r="A173" i="3"/>
  <c r="A60" i="3"/>
  <c r="A142" i="3"/>
  <c r="X173" i="3"/>
  <c r="X60" i="3"/>
  <c r="X75" i="3"/>
  <c r="X25" i="3"/>
  <c r="X118" i="3"/>
  <c r="X186" i="3"/>
  <c r="X43" i="3"/>
  <c r="A136" i="3"/>
  <c r="X155" i="3"/>
  <c r="X50" i="3"/>
  <c r="X129" i="3"/>
  <c r="A127" i="3"/>
  <c r="A186" i="3"/>
  <c r="X122" i="3"/>
  <c r="A25" i="3"/>
  <c r="A114" i="3"/>
  <c r="A50" i="3"/>
  <c r="A129" i="3"/>
  <c r="X115" i="3"/>
  <c r="A132" i="3"/>
  <c r="X7" i="3"/>
  <c r="X201" i="3"/>
  <c r="A191" i="3"/>
  <c r="X132" i="3"/>
  <c r="X9" i="3"/>
  <c r="X127" i="3"/>
  <c r="A16" i="3"/>
  <c r="X15" i="3"/>
  <c r="X141" i="3"/>
  <c r="X144" i="3"/>
  <c r="A205" i="3"/>
  <c r="A15" i="3"/>
  <c r="A10" i="3"/>
  <c r="A109" i="3"/>
  <c r="A141" i="3"/>
  <c r="A32" i="3"/>
  <c r="A12" i="3"/>
  <c r="A144" i="3"/>
  <c r="X136" i="3"/>
  <c r="X16" i="3"/>
  <c r="X114" i="3"/>
  <c r="A155" i="3"/>
  <c r="X6" i="3"/>
  <c r="A201" i="3"/>
  <c r="X10" i="3"/>
  <c r="A51" i="3"/>
  <c r="X51" i="3"/>
  <c r="A189" i="3"/>
  <c r="A117" i="3"/>
  <c r="A13" i="3"/>
  <c r="X191" i="3"/>
  <c r="X32" i="3"/>
  <c r="X205" i="3"/>
  <c r="A6" i="3"/>
  <c r="A43" i="3"/>
  <c r="A9" i="3"/>
  <c r="X109" i="3"/>
  <c r="A122" i="3"/>
  <c r="X12" i="3"/>
  <c r="A135" i="3"/>
  <c r="X135" i="3"/>
  <c r="X189" i="3"/>
  <c r="A75" i="3"/>
  <c r="A7" i="3"/>
  <c r="X117" i="3"/>
  <c r="A118" i="3"/>
  <c r="X13" i="3"/>
  <c r="A115" i="3"/>
  <c r="X4" i="3"/>
  <c r="A4" i="3"/>
  <c r="A62" i="3"/>
  <c r="A48" i="3"/>
  <c r="A20" i="3"/>
  <c r="A27" i="3"/>
  <c r="A131" i="3"/>
  <c r="X131" i="3"/>
  <c r="X62" i="3"/>
  <c r="A153" i="3"/>
  <c r="X35" i="3"/>
  <c r="A35" i="3"/>
  <c r="X20" i="3"/>
  <c r="X27" i="3"/>
  <c r="X48" i="3"/>
  <c r="X153" i="3"/>
  <c r="AL5" i="1" l="1"/>
  <c r="A31" i="1" l="1"/>
  <c r="A116" i="1"/>
  <c r="A68" i="1"/>
  <c r="A50" i="1"/>
  <c r="A184" i="1"/>
  <c r="A147" i="1"/>
  <c r="A73" i="1"/>
  <c r="A63" i="1"/>
  <c r="A121" i="1"/>
  <c r="A139" i="1"/>
  <c r="A9" i="1"/>
  <c r="A204" i="1"/>
  <c r="A142" i="1"/>
  <c r="A15" i="1"/>
  <c r="A36" i="1"/>
  <c r="A40" i="1"/>
  <c r="A106" i="1"/>
  <c r="A60" i="1"/>
  <c r="A152" i="1"/>
  <c r="A79" i="1"/>
  <c r="A27" i="1"/>
  <c r="A44" i="1"/>
  <c r="A162" i="1"/>
  <c r="A33" i="1"/>
  <c r="A133" i="1"/>
  <c r="A59" i="1"/>
  <c r="A85" i="1"/>
  <c r="A128" i="1"/>
  <c r="A49" i="1"/>
  <c r="A8" i="1"/>
  <c r="A118" i="1"/>
  <c r="A183" i="1"/>
  <c r="A193" i="1"/>
  <c r="A13" i="1"/>
  <c r="A175" i="1"/>
  <c r="A12" i="1"/>
  <c r="A55" i="1"/>
  <c r="A170" i="1"/>
  <c r="A56" i="1"/>
  <c r="A113" i="1"/>
  <c r="A195" i="1"/>
  <c r="A136" i="1"/>
  <c r="A24" i="1"/>
  <c r="A138" i="1"/>
  <c r="A124" i="1"/>
  <c r="A32" i="1"/>
  <c r="A126" i="1"/>
  <c r="A66" i="1"/>
  <c r="A57" i="1"/>
  <c r="A157" i="1"/>
  <c r="A28" i="1"/>
  <c r="A161" i="1"/>
  <c r="A26" i="1"/>
  <c r="A177" i="1"/>
  <c r="A108" i="1"/>
  <c r="A11" i="1"/>
  <c r="A18" i="1"/>
  <c r="A48" i="1"/>
  <c r="A54" i="1"/>
  <c r="A159" i="1"/>
  <c r="A200" i="1"/>
  <c r="A171" i="1"/>
  <c r="A34" i="1"/>
  <c r="A25" i="1"/>
  <c r="A46" i="1"/>
  <c r="A196" i="1"/>
  <c r="A166" i="1"/>
  <c r="A149" i="1"/>
  <c r="A39" i="1"/>
  <c r="A151" i="1"/>
  <c r="A181" i="1"/>
  <c r="A23" i="1"/>
  <c r="A10" i="1"/>
  <c r="A43" i="1"/>
  <c r="A5" i="1"/>
  <c r="A169" i="1"/>
  <c r="A119" i="1"/>
  <c r="A144" i="1"/>
  <c r="A137" i="1"/>
  <c r="A41" i="1"/>
  <c r="A35" i="1"/>
  <c r="A72" i="1"/>
  <c r="A164" i="1"/>
  <c r="A7" i="1"/>
  <c r="A115" i="1"/>
  <c r="A114" i="1"/>
  <c r="A109" i="1"/>
  <c r="A155" i="1"/>
  <c r="A20" i="1"/>
  <c r="A110" i="1"/>
  <c r="A21" i="1"/>
  <c r="A192" i="1"/>
  <c r="A130" i="1"/>
  <c r="A70" i="1"/>
  <c r="A90" i="1"/>
  <c r="A14" i="1"/>
  <c r="A47" i="1"/>
  <c r="A30" i="1"/>
  <c r="A132" i="1"/>
  <c r="A22" i="1"/>
  <c r="A17" i="1"/>
  <c r="A123" i="1"/>
  <c r="A153" i="1"/>
  <c r="A16" i="1"/>
  <c r="A51" i="1"/>
  <c r="A19" i="1"/>
  <c r="A185" i="1"/>
  <c r="A112" i="1"/>
  <c r="A58" i="1"/>
  <c r="A179" i="1"/>
  <c r="E2" i="2"/>
  <c r="E3" i="2"/>
  <c r="E4" i="2"/>
  <c r="E5" i="2"/>
  <c r="E6" i="2"/>
  <c r="E7" i="2"/>
  <c r="E8" i="2"/>
  <c r="E9" i="2"/>
  <c r="E10" i="2"/>
  <c r="E11" i="2"/>
  <c r="E12" i="2"/>
  <c r="E13" i="2"/>
  <c r="E14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" i="2"/>
  <c r="G2" i="2"/>
  <c r="G3" i="2"/>
  <c r="G4" i="2"/>
  <c r="G5" i="2"/>
  <c r="G6" i="2"/>
  <c r="K6" i="2" s="1"/>
  <c r="G7" i="2"/>
  <c r="K7" i="2" s="1"/>
  <c r="G8" i="2"/>
  <c r="G9" i="2"/>
  <c r="G10" i="2"/>
  <c r="G11" i="2"/>
  <c r="G12" i="2"/>
  <c r="G13" i="2"/>
  <c r="K13" i="2" s="1"/>
  <c r="G14" i="2"/>
  <c r="K14" i="2" s="1"/>
  <c r="G1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" i="2"/>
  <c r="C6" i="2"/>
  <c r="C5" i="2"/>
  <c r="C4" i="2"/>
  <c r="C2" i="2"/>
  <c r="C3" i="2"/>
  <c r="C7" i="2"/>
  <c r="C8" i="2"/>
  <c r="C9" i="2"/>
  <c r="C10" i="2"/>
  <c r="C11" i="2"/>
  <c r="C12" i="2"/>
  <c r="C13" i="2"/>
  <c r="C14" i="2"/>
  <c r="C1" i="2"/>
  <c r="E1" i="2"/>
  <c r="K5" i="2" l="1"/>
  <c r="K9" i="2"/>
  <c r="K10" i="2"/>
  <c r="K2" i="2"/>
  <c r="K11" i="2"/>
  <c r="K3" i="2"/>
  <c r="K1" i="2"/>
  <c r="K4" i="2"/>
  <c r="K12" i="2"/>
  <c r="K8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1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</futureMetadata>
  <valueMetadata count="31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</valueMetadata>
</metadata>
</file>

<file path=xl/sharedStrings.xml><?xml version="1.0" encoding="utf-8"?>
<sst xmlns="http://schemas.openxmlformats.org/spreadsheetml/2006/main" count="2443" uniqueCount="230">
  <si>
    <t>Player</t>
  </si>
  <si>
    <t>Pos</t>
  </si>
  <si>
    <t>Age</t>
  </si>
  <si>
    <t>SS</t>
  </si>
  <si>
    <t>DH</t>
  </si>
  <si>
    <t>3B</t>
  </si>
  <si>
    <t>LF</t>
  </si>
  <si>
    <t>C</t>
  </si>
  <si>
    <t>2B</t>
  </si>
  <si>
    <t>1B</t>
  </si>
  <si>
    <t>RF</t>
  </si>
  <si>
    <t>hitting</t>
  </si>
  <si>
    <t>fielding</t>
  </si>
  <si>
    <t>durabilityhealth</t>
  </si>
  <si>
    <t>total</t>
  </si>
  <si>
    <t>(-2*10^-6)*A1^3+0.00032*A1^2-0.0021*A1</t>
  </si>
  <si>
    <t>P</t>
  </si>
  <si>
    <t>pitching</t>
  </si>
  <si>
    <t>pitches</t>
  </si>
  <si>
    <t>R</t>
  </si>
  <si>
    <t>L</t>
  </si>
  <si>
    <t>S</t>
  </si>
  <si>
    <t>baserunning</t>
  </si>
  <si>
    <t>speed/intangibles</t>
  </si>
  <si>
    <t>durabilitystamina</t>
  </si>
  <si>
    <t>Overall Projection</t>
  </si>
  <si>
    <t>Rnk</t>
  </si>
  <si>
    <t>B</t>
  </si>
  <si>
    <t>T</t>
  </si>
  <si>
    <t>Knotts, Kennie</t>
  </si>
  <si>
    <t>Burkett, Red</t>
  </si>
  <si>
    <t>Craig, Jo-jo</t>
  </si>
  <si>
    <t>Workman, Hub</t>
  </si>
  <si>
    <t>Trujillo, Bob</t>
  </si>
  <si>
    <t>Bowles, Justin</t>
  </si>
  <si>
    <t>Batista, Javy</t>
  </si>
  <si>
    <t>Yount, Phillip</t>
  </si>
  <si>
    <t>Capuano, Boone</t>
  </si>
  <si>
    <t>Henley, Chris</t>
  </si>
  <si>
    <t>Head, Larry</t>
  </si>
  <si>
    <t>Schneider, Jim</t>
  </si>
  <si>
    <t>Phillips, Brian</t>
  </si>
  <si>
    <t>Howard, Phillip</t>
  </si>
  <si>
    <t>Romero, Sam</t>
  </si>
  <si>
    <t>Doster, Theodore</t>
  </si>
  <si>
    <t>Lee, Marino</t>
  </si>
  <si>
    <t>Chang, Calvin</t>
  </si>
  <si>
    <t>Chisenhall, Felix</t>
  </si>
  <si>
    <t>Williamson, Willis</t>
  </si>
  <si>
    <t>Lewis, Joe</t>
  </si>
  <si>
    <t>Riley, Mason</t>
  </si>
  <si>
    <t>Dempster, Aaron</t>
  </si>
  <si>
    <t>Benitez, Tony</t>
  </si>
  <si>
    <t>Hermida, Vincent</t>
  </si>
  <si>
    <t>Dawkins, Marvin</t>
  </si>
  <si>
    <t>Bittle, Tommie</t>
  </si>
  <si>
    <t>Seager, Sean</t>
  </si>
  <si>
    <t>Kent, Stewart</t>
  </si>
  <si>
    <t>Brewington, Beamer</t>
  </si>
  <si>
    <t>Turnbow, Flash</t>
  </si>
  <si>
    <t>Lockwood, Lou</t>
  </si>
  <si>
    <t>Nelson, Kordell</t>
  </si>
  <si>
    <t>Carson, Eric</t>
  </si>
  <si>
    <t>Reagan, Stuffy</t>
  </si>
  <si>
    <t>Griffiths, Eddie</t>
  </si>
  <si>
    <t>Crawford, Sherman</t>
  </si>
  <si>
    <t>Freel, Vinny</t>
  </si>
  <si>
    <t>Surhoff, Teddy</t>
  </si>
  <si>
    <t>Hague, Jecksson</t>
  </si>
  <si>
    <t>Parrott, Matthew</t>
  </si>
  <si>
    <t>Butler, Allen</t>
  </si>
  <si>
    <t>Castro, David</t>
  </si>
  <si>
    <t>Medica, Kirt</t>
  </si>
  <si>
    <t>Gagne, Victor</t>
  </si>
  <si>
    <t>Lee, Carlos</t>
  </si>
  <si>
    <t>Tapies, Matty</t>
  </si>
  <si>
    <t>Wall, Stew</t>
  </si>
  <si>
    <t>Rodriguez, Arquimedes</t>
  </si>
  <si>
    <t>Morey, Goose</t>
  </si>
  <si>
    <t>Whitehead, Kevin</t>
  </si>
  <si>
    <t>Olerud, Eddie</t>
  </si>
  <si>
    <t>Doubront, Damaso</t>
  </si>
  <si>
    <t>Oswalt, Gaylord</t>
  </si>
  <si>
    <t>Cruz, Dilson</t>
  </si>
  <si>
    <t>Bergesen, Pete</t>
  </si>
  <si>
    <t>Mitchell, Jacob</t>
  </si>
  <si>
    <t>Torres, Ed</t>
  </si>
  <si>
    <t>Maduro, Branden</t>
  </si>
  <si>
    <t>Rivers, Denny</t>
  </si>
  <si>
    <t>Burch, Gerald</t>
  </si>
  <si>
    <t>Porter, Fred</t>
  </si>
  <si>
    <t>Camilli, Dustin</t>
  </si>
  <si>
    <t>Wilhelmsen, Trevor</t>
  </si>
  <si>
    <t>Gilmore, Freddie</t>
  </si>
  <si>
    <t>Rain, Abel</t>
  </si>
  <si>
    <t>Torres, Emmanuel</t>
  </si>
  <si>
    <t>Frieri, Omar</t>
  </si>
  <si>
    <t>Chen, Pat</t>
  </si>
  <si>
    <t>Jodie, Roy</t>
  </si>
  <si>
    <t>Grahe, Jonathan</t>
  </si>
  <si>
    <t>Brooks, Jody</t>
  </si>
  <si>
    <t>Garza, Hector</t>
  </si>
  <si>
    <t>Miles, Scott</t>
  </si>
  <si>
    <t>Montas, Marquis</t>
  </si>
  <si>
    <t>Figureoa, Julio</t>
  </si>
  <si>
    <t>Osich, Kenny</t>
  </si>
  <si>
    <t>Swift, Brent</t>
  </si>
  <si>
    <t>Cruz, Carlos</t>
  </si>
  <si>
    <t>Guzman, Ivan</t>
  </si>
  <si>
    <t>Paredes, Joaquin</t>
  </si>
  <si>
    <t>Darwin, Kareem</t>
  </si>
  <si>
    <t>Travis, Pierce</t>
  </si>
  <si>
    <t>McDade, Marshall</t>
  </si>
  <si>
    <t>Lee, Jerry</t>
  </si>
  <si>
    <t>Jefferson, Cameron</t>
  </si>
  <si>
    <t>Bantz, Mickey</t>
  </si>
  <si>
    <t>Telis, Victor</t>
  </si>
  <si>
    <t>McKay, Roy</t>
  </si>
  <si>
    <t>Bridges, Luther</t>
  </si>
  <si>
    <t>Woodall, Timothy</t>
  </si>
  <si>
    <t>Adams, Jett</t>
  </si>
  <si>
    <t>Rolls, Tom</t>
  </si>
  <si>
    <t>McCormick, Terrence</t>
  </si>
  <si>
    <t>Stairs, Leo</t>
  </si>
  <si>
    <t>Kintzler, Sonny</t>
  </si>
  <si>
    <t>Garcia, Jerrud</t>
  </si>
  <si>
    <t>Ward, Ken</t>
  </si>
  <si>
    <t>Rodgers, Gil</t>
  </si>
  <si>
    <t>Conger, Bud</t>
  </si>
  <si>
    <t>Lowry, Howard</t>
  </si>
  <si>
    <t>Buford, Aaron</t>
  </si>
  <si>
    <t>Schoop, Yogi</t>
  </si>
  <si>
    <t>Brandt, Vin</t>
  </si>
  <si>
    <t>Milton, Rick</t>
  </si>
  <si>
    <t>Carter, Freddie</t>
  </si>
  <si>
    <t>Egan, Jody</t>
  </si>
  <si>
    <t>Killefer, Daniel</t>
  </si>
  <si>
    <t>Constanza, Brian</t>
  </si>
  <si>
    <t>Delgado, Tomas</t>
  </si>
  <si>
    <t>Ordonez, Del</t>
  </si>
  <si>
    <t>Cunnane, Herb</t>
  </si>
  <si>
    <t>Bastardo, Juan</t>
  </si>
  <si>
    <t>Viciedo, Everth</t>
  </si>
  <si>
    <t>Paulson, Dusty</t>
  </si>
  <si>
    <t>Krause, Randy</t>
  </si>
  <si>
    <t>Walls, Joe</t>
  </si>
  <si>
    <t>Esposito, Rafael</t>
  </si>
  <si>
    <t>Below, Rick</t>
  </si>
  <si>
    <t>Stevenson, Bob</t>
  </si>
  <si>
    <t>Teixeira, Howie</t>
  </si>
  <si>
    <t>Drese, Sid</t>
  </si>
  <si>
    <t>Ordonez, Kendrys</t>
  </si>
  <si>
    <t>Jenkins, Chaz</t>
  </si>
  <si>
    <t>Terrero, Osvaldo</t>
  </si>
  <si>
    <t>Pfisterer, Randal</t>
  </si>
  <si>
    <t>Buckley, Phillippe</t>
  </si>
  <si>
    <t>Camilli, Billy Ray</t>
  </si>
  <si>
    <t>Delcarmen, Richie</t>
  </si>
  <si>
    <t>Watson, Roy</t>
  </si>
  <si>
    <t>Kirk, Clinton</t>
  </si>
  <si>
    <t>Henry, Ron</t>
  </si>
  <si>
    <t>Hendrick, Tim</t>
  </si>
  <si>
    <t>Garcia, Cody</t>
  </si>
  <si>
    <t>Fleming, Morgan</t>
  </si>
  <si>
    <t>Walker, Willie</t>
  </si>
  <si>
    <t>Mullin, Ted</t>
  </si>
  <si>
    <t>Garko, Dustin</t>
  </si>
  <si>
    <t>Relaford, Tex</t>
  </si>
  <si>
    <t>Henry, Chipper</t>
  </si>
  <si>
    <t>Morris, Blake</t>
  </si>
  <si>
    <t>Gallagher, Vance</t>
  </si>
  <si>
    <t>Martin, Placido</t>
  </si>
  <si>
    <t>Lennon, Dennis</t>
  </si>
  <si>
    <t>Scheffer, Jimmy</t>
  </si>
  <si>
    <t>Barnum, Fred</t>
  </si>
  <si>
    <t>Sewell, Bruce</t>
  </si>
  <si>
    <t>Lynn, Lyle</t>
  </si>
  <si>
    <t>Stowers, Bill</t>
  </si>
  <si>
    <t>Rhodes, Chadd</t>
  </si>
  <si>
    <t>Quinlan, Drake</t>
  </si>
  <si>
    <t>Lombard, Allen</t>
  </si>
  <si>
    <t>Fleming, Tommy</t>
  </si>
  <si>
    <t>Lamm, Duke</t>
  </si>
  <si>
    <t>Wagner, Doug</t>
  </si>
  <si>
    <t>Cordero, Alfredo</t>
  </si>
  <si>
    <t>Randolph, Jamie</t>
  </si>
  <si>
    <t>Greinke, Trayce</t>
  </si>
  <si>
    <t>Giles, Matt</t>
  </si>
  <si>
    <t>Cashman, Tony</t>
  </si>
  <si>
    <t>Carlson, Jon</t>
  </si>
  <si>
    <t>Toregas, Alexei</t>
  </si>
  <si>
    <t>Ryan, Sal</t>
  </si>
  <si>
    <t>Oliva, Julian</t>
  </si>
  <si>
    <t>Spencer, Bret</t>
  </si>
  <si>
    <t>Kerr, Roger</t>
  </si>
  <si>
    <t>Elcano, Dilson</t>
  </si>
  <si>
    <t>Diaz, Dante</t>
  </si>
  <si>
    <t>Leskanic, Gene</t>
  </si>
  <si>
    <t>Garland, Darryl</t>
  </si>
  <si>
    <t>Ruf, Todd</t>
  </si>
  <si>
    <t>Taylor, Lonnie</t>
  </si>
  <si>
    <t>Shirley, Darrell</t>
  </si>
  <si>
    <t>Ogea, Ryan</t>
  </si>
  <si>
    <t>Young, Kevin</t>
  </si>
  <si>
    <t>Drabek, Darren</t>
  </si>
  <si>
    <t>Monzon, Gabby</t>
  </si>
  <si>
    <t>Jacobson, Stephen</t>
  </si>
  <si>
    <t>Abreu, Jesus</t>
  </si>
  <si>
    <t>Bolick, Christopher</t>
  </si>
  <si>
    <t>Ishii, O'Koyea</t>
  </si>
  <si>
    <t>Yoshii, Del</t>
  </si>
  <si>
    <t>Bullinger, Woodie</t>
  </si>
  <si>
    <t>Amaro, Alving</t>
  </si>
  <si>
    <t>Martinez, Angel</t>
  </si>
  <si>
    <t>Alexander, Levi</t>
  </si>
  <si>
    <t>Milliard, Gary</t>
  </si>
  <si>
    <t>Morton, Mike</t>
  </si>
  <si>
    <t>Hernandez, Dale</t>
  </si>
  <si>
    <t>Taylor, Freddy</t>
  </si>
  <si>
    <t>Mazzaro, Burch</t>
  </si>
  <si>
    <t>Castillo, Juan</t>
  </si>
  <si>
    <t>Cunningham, Clem</t>
  </si>
  <si>
    <t>Aybar, Addison</t>
  </si>
  <si>
    <t>Vaughn, Lawrence</t>
  </si>
  <si>
    <t>Reynoso, Leandro</t>
  </si>
  <si>
    <t>Graves, Dion</t>
  </si>
  <si>
    <t>Ayala, R.J.</t>
  </si>
  <si>
    <t>Murray, Cap</t>
  </si>
  <si>
    <t>Slaughter, Milt</t>
  </si>
  <si>
    <t>Happ, Jon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</si>
</sst>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8" x14ac:knownFonts="1">
    <font>
      <sz val="11"/>
      <color theme="1"/>
      <name val="Calibri"/>
      <family val="2"/>
      <scheme val="minor"/>
    </font>
    <font>
      <b/>
      <sz val="8"/>
      <color rgb="FF242022"/>
      <name val="Tahoma"/>
      <family val="2"/>
    </font>
    <font>
      <u/>
      <sz val="11"/>
      <color theme="10"/>
      <name val="Calibri"/>
      <family val="2"/>
    </font>
    <font>
      <b/>
      <sz val="11"/>
      <color theme="1"/>
      <name val="Calibri"/>
      <family val="2"/>
      <scheme val="minor"/>
    </font>
    <font>
      <b/>
      <u/>
      <sz val="11"/>
      <color theme="10"/>
      <name val="Calibri"/>
      <family val="2"/>
    </font>
    <font>
      <b/>
      <sz val="7"/>
      <color rgb="FF000000"/>
      <name val="Tahoma"/>
      <family val="2"/>
    </font>
    <font>
      <sz val="7"/>
      <color rgb="FF000000"/>
      <name val="Tahoma"/>
      <family val="2"/>
    </font>
    <font>
      <b/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BEB8"/>
        <bgColor indexed="64"/>
      </patternFill>
    </fill>
    <fill>
      <patternFill patternType="solid">
        <fgColor rgb="FFDEDDD5"/>
        <bgColor indexed="64"/>
      </patternFill>
    </fill>
    <fill>
      <patternFill patternType="solid">
        <fgColor rgb="FFF1F1F1"/>
        <bgColor indexed="64"/>
      </patternFill>
    </fill>
    <fill>
      <patternFill patternType="solid">
        <fgColor rgb="FFB8B6AF"/>
        <bgColor indexed="64"/>
      </patternFill>
    </fill>
  </fills>
  <borders count="9">
    <border>
      <left/>
      <right/>
      <top/>
      <bottom/>
      <diagonal/>
    </border>
    <border>
      <left style="medium">
        <color rgb="FFBCA399"/>
      </left>
      <right style="medium">
        <color rgb="FFBCA399"/>
      </right>
      <top style="medium">
        <color rgb="FFBCA399"/>
      </top>
      <bottom style="medium">
        <color rgb="FFBCA399"/>
      </bottom>
      <diagonal/>
    </border>
    <border>
      <left style="medium">
        <color rgb="FFBCA399"/>
      </left>
      <right/>
      <top style="medium">
        <color rgb="FFBCA399"/>
      </top>
      <bottom style="medium">
        <color rgb="FFBCA399"/>
      </bottom>
      <diagonal/>
    </border>
    <border>
      <left/>
      <right/>
      <top style="medium">
        <color rgb="FFBCA399"/>
      </top>
      <bottom style="medium">
        <color rgb="FFBCA399"/>
      </bottom>
      <diagonal/>
    </border>
    <border>
      <left/>
      <right style="medium">
        <color rgb="FFBCA399"/>
      </right>
      <top style="medium">
        <color rgb="FFBCA399"/>
      </top>
      <bottom style="medium">
        <color rgb="FFBCA399"/>
      </bottom>
      <diagonal/>
    </border>
    <border>
      <left style="medium">
        <color rgb="FFBCA399"/>
      </left>
      <right style="medium">
        <color rgb="FFBCA399"/>
      </right>
      <top/>
      <bottom/>
      <diagonal/>
    </border>
    <border>
      <left style="medium">
        <color rgb="FFBCA399"/>
      </left>
      <right/>
      <top/>
      <bottom/>
      <diagonal/>
    </border>
    <border>
      <left/>
      <right/>
      <top/>
      <bottom style="medium">
        <color rgb="FFCCCBC4"/>
      </bottom>
      <diagonal/>
    </border>
    <border>
      <left style="medium">
        <color rgb="FFCCCBC4"/>
      </left>
      <right/>
      <top/>
      <bottom style="medium">
        <color rgb="FFCCCBC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1" applyFill="1" applyBorder="1" applyAlignment="1" applyProtection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44" fontId="2" fillId="2" borderId="1" xfId="1" applyNumberFormat="1" applyFill="1" applyBorder="1" applyAlignment="1" applyProtection="1">
      <alignment horizontal="center" vertical="center" wrapText="1"/>
    </xf>
    <xf numFmtId="44" fontId="0" fillId="0" borderId="0" xfId="0" applyNumberFormat="1"/>
    <xf numFmtId="0" fontId="3" fillId="0" borderId="0" xfId="0" applyFont="1"/>
    <xf numFmtId="0" fontId="1" fillId="2" borderId="3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4" fillId="2" borderId="1" xfId="1" applyFont="1" applyFill="1" applyBorder="1" applyAlignment="1" applyProtection="1">
      <alignment horizontal="center" vertical="center" wrapText="1"/>
    </xf>
    <xf numFmtId="0" fontId="2" fillId="4" borderId="8" xfId="1" applyFill="1" applyBorder="1" applyAlignment="1" applyProtection="1">
      <alignment horizontal="left" vertical="center"/>
    </xf>
    <xf numFmtId="0" fontId="2" fillId="3" borderId="8" xfId="1" applyFill="1" applyBorder="1" applyAlignment="1" applyProtection="1">
      <alignment horizontal="left" vertical="center"/>
    </xf>
    <xf numFmtId="0" fontId="2" fillId="5" borderId="0" xfId="1" applyFill="1" applyAlignment="1" applyProtection="1">
      <alignment horizontal="left" vertical="center"/>
    </xf>
    <xf numFmtId="0" fontId="2" fillId="5" borderId="0" xfId="1" applyFill="1" applyAlignment="1" applyProtection="1">
      <alignment horizontal="left" vertical="center" wrapText="1"/>
    </xf>
    <xf numFmtId="0" fontId="2" fillId="5" borderId="0" xfId="1" applyFill="1" applyAlignment="1" applyProtection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6" fillId="4" borderId="7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7" fillId="0" borderId="0" xfId="0" applyFont="1"/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og"/>
            <c:dispRSqr val="0"/>
            <c:dispEq val="0"/>
          </c:trendline>
          <c:trendline>
            <c:trendlineType val="poly"/>
            <c:order val="3"/>
            <c:dispRSqr val="0"/>
            <c:dispEq val="0"/>
          </c:trendline>
          <c:trendline>
            <c:trendlineType val="poly"/>
            <c:order val="3"/>
            <c:dispRSqr val="0"/>
            <c:dispEq val="1"/>
            <c:trendlineLbl>
              <c:numFmt formatCode="General" sourceLinked="0"/>
            </c:trendlineLbl>
          </c:trendline>
          <c:xVal>
            <c:numRef>
              <c:f>Algorithm!$A$1:$A$14</c:f>
              <c:numCache>
                <c:formatCode>General</c:formatCode>
                <c:ptCount val="14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22</c:v>
                </c:pt>
                <c:pt idx="4">
                  <c:v>24</c:v>
                </c:pt>
                <c:pt idx="5">
                  <c:v>26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90</c:v>
                </c:pt>
                <c:pt idx="13">
                  <c:v>100</c:v>
                </c:pt>
              </c:numCache>
            </c:numRef>
          </c:xVal>
          <c:yVal>
            <c:numRef>
              <c:f>Algorithm!$B$1:$B$14</c:f>
              <c:numCache>
                <c:formatCode>General</c:formatCode>
                <c:ptCount val="14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0.11</c:v>
                </c:pt>
                <c:pt idx="4">
                  <c:v>0.12</c:v>
                </c:pt>
                <c:pt idx="5">
                  <c:v>0.13</c:v>
                </c:pt>
                <c:pt idx="6">
                  <c:v>0.15</c:v>
                </c:pt>
                <c:pt idx="7">
                  <c:v>0.3</c:v>
                </c:pt>
                <c:pt idx="8">
                  <c:v>0.45</c:v>
                </c:pt>
                <c:pt idx="9">
                  <c:v>0.6</c:v>
                </c:pt>
                <c:pt idx="10">
                  <c:v>0.75</c:v>
                </c:pt>
                <c:pt idx="11">
                  <c:v>0.85</c:v>
                </c:pt>
                <c:pt idx="12">
                  <c:v>0.95</c:v>
                </c:pt>
                <c:pt idx="1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4F8-48DE-A4BA-FD6406431B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9964032"/>
        <c:axId val="157220864"/>
      </c:scatterChart>
      <c:valAx>
        <c:axId val="2299640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57220864"/>
        <c:crosses val="autoZero"/>
        <c:crossBetween val="midCat"/>
      </c:valAx>
      <c:valAx>
        <c:axId val="15722086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2996403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1" l="0.70000000000000062" r="0.70000000000000062" t="0.750000000000001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39.gif"/><Relationship Id="rId13" Type="http://schemas.openxmlformats.org/officeDocument/2006/relationships/image" Target="../media/image43.gif"/><Relationship Id="rId18" Type="http://schemas.openxmlformats.org/officeDocument/2006/relationships/image" Target="../media/image48.gif"/><Relationship Id="rId3" Type="http://schemas.openxmlformats.org/officeDocument/2006/relationships/image" Target="../media/image34.gif"/><Relationship Id="rId21" Type="http://schemas.openxmlformats.org/officeDocument/2006/relationships/image" Target="../media/image51.gif"/><Relationship Id="rId7" Type="http://schemas.openxmlformats.org/officeDocument/2006/relationships/image" Target="../media/image38.gif"/><Relationship Id="rId12" Type="http://schemas.openxmlformats.org/officeDocument/2006/relationships/image" Target="../media/image42.gif"/><Relationship Id="rId17" Type="http://schemas.openxmlformats.org/officeDocument/2006/relationships/image" Target="../media/image47.gif"/><Relationship Id="rId2" Type="http://schemas.openxmlformats.org/officeDocument/2006/relationships/image" Target="../media/image33.gif"/><Relationship Id="rId16" Type="http://schemas.openxmlformats.org/officeDocument/2006/relationships/image" Target="../media/image46.gif"/><Relationship Id="rId20" Type="http://schemas.openxmlformats.org/officeDocument/2006/relationships/image" Target="../media/image50.gif"/><Relationship Id="rId1" Type="http://schemas.openxmlformats.org/officeDocument/2006/relationships/image" Target="../media/image32.gif"/><Relationship Id="rId6" Type="http://schemas.openxmlformats.org/officeDocument/2006/relationships/image" Target="../media/image37.gif"/><Relationship Id="rId11" Type="http://schemas.openxmlformats.org/officeDocument/2006/relationships/image" Target="../media/image41.gif"/><Relationship Id="rId5" Type="http://schemas.openxmlformats.org/officeDocument/2006/relationships/image" Target="../media/image36.gif"/><Relationship Id="rId15" Type="http://schemas.openxmlformats.org/officeDocument/2006/relationships/image" Target="../media/image45.gif"/><Relationship Id="rId10" Type="http://schemas.openxmlformats.org/officeDocument/2006/relationships/hyperlink" Target="https://www.whatifsports.com/hbd/Pages/GM/AmateurDraftPlayerPool.aspx" TargetMode="External"/><Relationship Id="rId19" Type="http://schemas.openxmlformats.org/officeDocument/2006/relationships/image" Target="../media/image49.gif"/><Relationship Id="rId4" Type="http://schemas.openxmlformats.org/officeDocument/2006/relationships/image" Target="../media/image35.gif"/><Relationship Id="rId9" Type="http://schemas.openxmlformats.org/officeDocument/2006/relationships/image" Target="../media/image40.gif"/><Relationship Id="rId14" Type="http://schemas.openxmlformats.org/officeDocument/2006/relationships/image" Target="../media/image44.gif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57.gif"/><Relationship Id="rId13" Type="http://schemas.openxmlformats.org/officeDocument/2006/relationships/image" Target="../media/image62.gif"/><Relationship Id="rId18" Type="http://schemas.openxmlformats.org/officeDocument/2006/relationships/image" Target="../media/image41.gif"/><Relationship Id="rId3" Type="http://schemas.openxmlformats.org/officeDocument/2006/relationships/image" Target="../media/image52.gif"/><Relationship Id="rId21" Type="http://schemas.openxmlformats.org/officeDocument/2006/relationships/image" Target="../media/image40.gif"/><Relationship Id="rId7" Type="http://schemas.openxmlformats.org/officeDocument/2006/relationships/image" Target="../media/image56.gif"/><Relationship Id="rId12" Type="http://schemas.openxmlformats.org/officeDocument/2006/relationships/image" Target="../media/image61.gif"/><Relationship Id="rId17" Type="http://schemas.openxmlformats.org/officeDocument/2006/relationships/image" Target="../media/image39.gif"/><Relationship Id="rId2" Type="http://schemas.openxmlformats.org/officeDocument/2006/relationships/image" Target="../media/image32.gif"/><Relationship Id="rId16" Type="http://schemas.openxmlformats.org/officeDocument/2006/relationships/image" Target="../media/image38.gif"/><Relationship Id="rId20" Type="http://schemas.openxmlformats.org/officeDocument/2006/relationships/image" Target="../media/image43.gif"/><Relationship Id="rId1" Type="http://schemas.openxmlformats.org/officeDocument/2006/relationships/image" Target="../media/image44.gif"/><Relationship Id="rId6" Type="http://schemas.openxmlformats.org/officeDocument/2006/relationships/image" Target="../media/image55.gif"/><Relationship Id="rId11" Type="http://schemas.openxmlformats.org/officeDocument/2006/relationships/image" Target="../media/image60.gif"/><Relationship Id="rId24" Type="http://schemas.openxmlformats.org/officeDocument/2006/relationships/image" Target="../media/image47.gif"/><Relationship Id="rId5" Type="http://schemas.openxmlformats.org/officeDocument/2006/relationships/image" Target="../media/image54.gif"/><Relationship Id="rId15" Type="http://schemas.openxmlformats.org/officeDocument/2006/relationships/image" Target="../media/image48.gif"/><Relationship Id="rId23" Type="http://schemas.openxmlformats.org/officeDocument/2006/relationships/image" Target="../media/image46.gif"/><Relationship Id="rId10" Type="http://schemas.openxmlformats.org/officeDocument/2006/relationships/image" Target="../media/image59.gif"/><Relationship Id="rId19" Type="http://schemas.openxmlformats.org/officeDocument/2006/relationships/image" Target="../media/image42.gif"/><Relationship Id="rId4" Type="http://schemas.openxmlformats.org/officeDocument/2006/relationships/image" Target="../media/image53.gif"/><Relationship Id="rId9" Type="http://schemas.openxmlformats.org/officeDocument/2006/relationships/image" Target="../media/image58.gif"/><Relationship Id="rId14" Type="http://schemas.openxmlformats.org/officeDocument/2006/relationships/hyperlink" Target="https://www.whatifsports.com/hbd/Pages/GM/AmateurDraftPlayerPool.aspx" TargetMode="External"/><Relationship Id="rId22" Type="http://schemas.openxmlformats.org/officeDocument/2006/relationships/image" Target="../media/image45.gi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5</xdr:row>
      <xdr:rowOff>0</xdr:rowOff>
    </xdr:from>
    <xdr:to>
      <xdr:col>7</xdr:col>
      <xdr:colOff>171450</xdr:colOff>
      <xdr:row>5</xdr:row>
      <xdr:rowOff>171450</xdr:rowOff>
    </xdr:to>
    <xdr:pic>
      <xdr:nvPicPr>
        <xdr:cNvPr id="1026" name="Picture 2" descr="http://www.whatifsports.com/HBD/Images/Icons/PlayerRatings/Health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0480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171450</xdr:colOff>
      <xdr:row>5</xdr:row>
      <xdr:rowOff>171450</xdr:rowOff>
    </xdr:to>
    <xdr:pic>
      <xdr:nvPicPr>
        <xdr:cNvPr id="1027" name="Picture 3" descr="http://www.whatifsports.com/HBD/Images/Icons/PlayerRatings/Contact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576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171450</xdr:colOff>
      <xdr:row>5</xdr:row>
      <xdr:rowOff>171450</xdr:rowOff>
    </xdr:to>
    <xdr:pic>
      <xdr:nvPicPr>
        <xdr:cNvPr id="1028" name="Picture 4" descr="http://www.whatifsports.com/HBD/Images/Icons/PlayerRatings/Power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672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171450</xdr:colOff>
      <xdr:row>5</xdr:row>
      <xdr:rowOff>171450</xdr:rowOff>
    </xdr:to>
    <xdr:pic>
      <xdr:nvPicPr>
        <xdr:cNvPr id="1029" name="Picture 5" descr="http://www.whatifsports.com/HBD/Images/Icons/PlayerRatings/battingVsLHP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8768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10</xdr:col>
      <xdr:colOff>171450</xdr:colOff>
      <xdr:row>5</xdr:row>
      <xdr:rowOff>171450</xdr:rowOff>
    </xdr:to>
    <xdr:pic>
      <xdr:nvPicPr>
        <xdr:cNvPr id="1030" name="Picture 6" descr="http://www.whatifsports.com/HBD/Images/Icons/PlayerRatings/battingVsRHP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4864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171450</xdr:colOff>
      <xdr:row>5</xdr:row>
      <xdr:rowOff>171450</xdr:rowOff>
    </xdr:to>
    <xdr:pic>
      <xdr:nvPicPr>
        <xdr:cNvPr id="1031" name="Picture 7" descr="http://www.whatifsports.com/HBD/Images/Icons/PlayerRatings/BattingEye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0960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171450</xdr:colOff>
      <xdr:row>5</xdr:row>
      <xdr:rowOff>171450</xdr:rowOff>
    </xdr:to>
    <xdr:pic>
      <xdr:nvPicPr>
        <xdr:cNvPr id="1033" name="Picture 9" descr="http://www.whatifsports.com/HBD/Images/Icons/PlayerRatings/Range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152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23</xdr:col>
      <xdr:colOff>0</xdr:colOff>
      <xdr:row>5</xdr:row>
      <xdr:rowOff>0</xdr:rowOff>
    </xdr:from>
    <xdr:to>
      <xdr:col>23</xdr:col>
      <xdr:colOff>171450</xdr:colOff>
      <xdr:row>5</xdr:row>
      <xdr:rowOff>171450</xdr:rowOff>
    </xdr:to>
    <xdr:pic>
      <xdr:nvPicPr>
        <xdr:cNvPr id="1034" name="Picture 10" descr="http://www.whatifsports.com/HBD/Images/Icons/PlayerRatings/Glove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79248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171450</xdr:colOff>
      <xdr:row>5</xdr:row>
      <xdr:rowOff>171450</xdr:rowOff>
    </xdr:to>
    <xdr:pic>
      <xdr:nvPicPr>
        <xdr:cNvPr id="1039" name="Picture 15" descr="http://www.whatifsports.com/HBD/Images/Icons/PlayerRatings/Health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0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0480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171450</xdr:colOff>
      <xdr:row>5</xdr:row>
      <xdr:rowOff>171450</xdr:rowOff>
    </xdr:to>
    <xdr:pic>
      <xdr:nvPicPr>
        <xdr:cNvPr id="1040" name="Picture 16" descr="http://www.whatifsports.com/HBD/Images/Icons/PlayerRatings/Contact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576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171450</xdr:colOff>
      <xdr:row>5</xdr:row>
      <xdr:rowOff>171450</xdr:rowOff>
    </xdr:to>
    <xdr:pic>
      <xdr:nvPicPr>
        <xdr:cNvPr id="1041" name="Picture 17" descr="http://www.whatifsports.com/HBD/Images/Icons/PlayerRatings/Power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672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171450</xdr:colOff>
      <xdr:row>5</xdr:row>
      <xdr:rowOff>171450</xdr:rowOff>
    </xdr:to>
    <xdr:pic>
      <xdr:nvPicPr>
        <xdr:cNvPr id="1042" name="Picture 18" descr="http://www.whatifsports.com/HBD/Images/Icons/PlayerRatings/battingVsLHP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8768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10</xdr:col>
      <xdr:colOff>171450</xdr:colOff>
      <xdr:row>5</xdr:row>
      <xdr:rowOff>171450</xdr:rowOff>
    </xdr:to>
    <xdr:pic>
      <xdr:nvPicPr>
        <xdr:cNvPr id="1043" name="Picture 19" descr="http://www.whatifsports.com/HBD/Images/Icons/PlayerRatings/battingVsRHP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4864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171450</xdr:colOff>
      <xdr:row>5</xdr:row>
      <xdr:rowOff>171450</xdr:rowOff>
    </xdr:to>
    <xdr:pic>
      <xdr:nvPicPr>
        <xdr:cNvPr id="1044" name="Picture 20" descr="http://www.whatifsports.com/HBD/Images/Icons/PlayerRatings/BattingEye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0960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171450</xdr:colOff>
      <xdr:row>5</xdr:row>
      <xdr:rowOff>171450</xdr:rowOff>
    </xdr:to>
    <xdr:pic>
      <xdr:nvPicPr>
        <xdr:cNvPr id="1046" name="Picture 22" descr="http://www.whatifsports.com/HBD/Images/Icons/PlayerRatings/Range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152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23</xdr:col>
      <xdr:colOff>0</xdr:colOff>
      <xdr:row>5</xdr:row>
      <xdr:rowOff>0</xdr:rowOff>
    </xdr:from>
    <xdr:to>
      <xdr:col>23</xdr:col>
      <xdr:colOff>171450</xdr:colOff>
      <xdr:row>5</xdr:row>
      <xdr:rowOff>171450</xdr:rowOff>
    </xdr:to>
    <xdr:pic>
      <xdr:nvPicPr>
        <xdr:cNvPr id="1047" name="Picture 23" descr="http://www.whatifsports.com/HBD/Images/Icons/PlayerRatings/Glove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79248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29</xdr:col>
      <xdr:colOff>0</xdr:colOff>
      <xdr:row>5</xdr:row>
      <xdr:rowOff>0</xdr:rowOff>
    </xdr:from>
    <xdr:to>
      <xdr:col>29</xdr:col>
      <xdr:colOff>171450</xdr:colOff>
      <xdr:row>5</xdr:row>
      <xdr:rowOff>171450</xdr:rowOff>
    </xdr:to>
    <xdr:pic>
      <xdr:nvPicPr>
        <xdr:cNvPr id="20" name="Picture 8" descr="http://www.whatifsports.com/HBD/Images/Icons/PlayerRatings/Speed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737235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171450</xdr:colOff>
      <xdr:row>5</xdr:row>
      <xdr:rowOff>171450</xdr:rowOff>
    </xdr:to>
    <xdr:pic>
      <xdr:nvPicPr>
        <xdr:cNvPr id="32" name="Picture 31" descr="Rang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A1BCF0C5-7127-44D0-8DC1-B904205EC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583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0</xdr:colOff>
      <xdr:row>5</xdr:row>
      <xdr:rowOff>0</xdr:rowOff>
    </xdr:from>
    <xdr:to>
      <xdr:col>23</xdr:col>
      <xdr:colOff>171450</xdr:colOff>
      <xdr:row>5</xdr:row>
      <xdr:rowOff>171450</xdr:rowOff>
    </xdr:to>
    <xdr:pic>
      <xdr:nvPicPr>
        <xdr:cNvPr id="33" name="Picture 32" descr="Glov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60CB34D-D75F-43D6-BB3B-D4230D0F83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377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24</xdr:col>
      <xdr:colOff>171450</xdr:colOff>
      <xdr:row>5</xdr:row>
      <xdr:rowOff>171450</xdr:rowOff>
    </xdr:to>
    <xdr:pic>
      <xdr:nvPicPr>
        <xdr:cNvPr id="34" name="Picture 33" descr="ArmStreng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2960BF1-DA85-449F-9C52-053E6752CC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171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25</xdr:col>
      <xdr:colOff>0</xdr:colOff>
      <xdr:row>5</xdr:row>
      <xdr:rowOff>0</xdr:rowOff>
    </xdr:from>
    <xdr:to>
      <xdr:col>25</xdr:col>
      <xdr:colOff>171450</xdr:colOff>
      <xdr:row>5</xdr:row>
      <xdr:rowOff>171450</xdr:rowOff>
    </xdr:to>
    <xdr:pic>
      <xdr:nvPicPr>
        <xdr:cNvPr id="35" name="Picture 34" descr="ArmAccurac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F7A4F39-55A2-42AC-8DCD-BCCE926790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26</xdr:col>
      <xdr:colOff>0</xdr:colOff>
      <xdr:row>5</xdr:row>
      <xdr:rowOff>0</xdr:rowOff>
    </xdr:from>
    <xdr:to>
      <xdr:col>26</xdr:col>
      <xdr:colOff>171450</xdr:colOff>
      <xdr:row>5</xdr:row>
      <xdr:rowOff>171450</xdr:rowOff>
    </xdr:to>
    <xdr:pic>
      <xdr:nvPicPr>
        <xdr:cNvPr id="36" name="Picture 35" descr="PitchCall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6CC0D973-78DB-4143-BDFC-E61223CCCD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782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0</xdr:colOff>
      <xdr:row>5</xdr:row>
      <xdr:rowOff>0</xdr:rowOff>
    </xdr:from>
    <xdr:to>
      <xdr:col>27</xdr:col>
      <xdr:colOff>171450</xdr:colOff>
      <xdr:row>5</xdr:row>
      <xdr:rowOff>171450</xdr:rowOff>
    </xdr:to>
    <xdr:pic>
      <xdr:nvPicPr>
        <xdr:cNvPr id="37" name="Picture 36" descr="Durabilit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C733F7D1-C2EC-4933-88B1-C23C35E138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331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5</xdr:row>
      <xdr:rowOff>0</xdr:rowOff>
    </xdr:from>
    <xdr:to>
      <xdr:col>28</xdr:col>
      <xdr:colOff>171450</xdr:colOff>
      <xdr:row>5</xdr:row>
      <xdr:rowOff>171450</xdr:rowOff>
    </xdr:to>
    <xdr:pic>
      <xdr:nvPicPr>
        <xdr:cNvPr id="38" name="Picture 37" descr="Heal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82173A2-A765-4AB1-B6E6-E879B2BA84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12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29</xdr:col>
      <xdr:colOff>0</xdr:colOff>
      <xdr:row>5</xdr:row>
      <xdr:rowOff>0</xdr:rowOff>
    </xdr:from>
    <xdr:to>
      <xdr:col>29</xdr:col>
      <xdr:colOff>171450</xdr:colOff>
      <xdr:row>5</xdr:row>
      <xdr:rowOff>171450</xdr:rowOff>
    </xdr:to>
    <xdr:pic>
      <xdr:nvPicPr>
        <xdr:cNvPr id="39" name="Picture 38" descr="Speed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C271A80-066F-488B-8933-AB08B45106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98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0</xdr:colOff>
      <xdr:row>5</xdr:row>
      <xdr:rowOff>0</xdr:rowOff>
    </xdr:from>
    <xdr:to>
      <xdr:col>30</xdr:col>
      <xdr:colOff>171450</xdr:colOff>
      <xdr:row>5</xdr:row>
      <xdr:rowOff>171450</xdr:rowOff>
    </xdr:to>
    <xdr:pic>
      <xdr:nvPicPr>
        <xdr:cNvPr id="40" name="Picture 39" descr="Patienc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8FCD70A1-8296-4772-B438-9CD830C351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0777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31</xdr:col>
      <xdr:colOff>0</xdr:colOff>
      <xdr:row>5</xdr:row>
      <xdr:rowOff>0</xdr:rowOff>
    </xdr:from>
    <xdr:to>
      <xdr:col>31</xdr:col>
      <xdr:colOff>171450</xdr:colOff>
      <xdr:row>5</xdr:row>
      <xdr:rowOff>171450</xdr:rowOff>
    </xdr:to>
    <xdr:pic>
      <xdr:nvPicPr>
        <xdr:cNvPr id="41" name="Picture 40" descr="Temp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D71F20D3-65CE-4E66-A751-E3B0C7390F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33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32</xdr:col>
      <xdr:colOff>0</xdr:colOff>
      <xdr:row>5</xdr:row>
      <xdr:rowOff>0</xdr:rowOff>
    </xdr:from>
    <xdr:to>
      <xdr:col>32</xdr:col>
      <xdr:colOff>171450</xdr:colOff>
      <xdr:row>5</xdr:row>
      <xdr:rowOff>171450</xdr:rowOff>
    </xdr:to>
    <xdr:pic>
      <xdr:nvPicPr>
        <xdr:cNvPr id="42" name="Picture 41" descr="Makeu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AE7C9E22-F0D4-43F6-B8ED-19BB505D15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07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33</xdr:col>
      <xdr:colOff>0</xdr:colOff>
      <xdr:row>5</xdr:row>
      <xdr:rowOff>0</xdr:rowOff>
    </xdr:from>
    <xdr:to>
      <xdr:col>33</xdr:col>
      <xdr:colOff>171450</xdr:colOff>
      <xdr:row>5</xdr:row>
      <xdr:rowOff>171450</xdr:rowOff>
    </xdr:to>
    <xdr:pic>
      <xdr:nvPicPr>
        <xdr:cNvPr id="43" name="Picture 42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F1FA901-350C-40FF-8162-2451ECAABA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188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171450</xdr:colOff>
      <xdr:row>5</xdr:row>
      <xdr:rowOff>171450</xdr:rowOff>
    </xdr:to>
    <xdr:pic>
      <xdr:nvPicPr>
        <xdr:cNvPr id="44" name="Picture 43" descr="Contac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EAF6DE6-5482-462D-B165-5B5F622FA5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560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171450</xdr:colOff>
      <xdr:row>5</xdr:row>
      <xdr:rowOff>171450</xdr:rowOff>
    </xdr:to>
    <xdr:pic>
      <xdr:nvPicPr>
        <xdr:cNvPr id="45" name="Picture 44" descr="Pow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77B34F5-4E47-4810-A9E3-EE502C26B9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354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171450</xdr:colOff>
      <xdr:row>5</xdr:row>
      <xdr:rowOff>171450</xdr:rowOff>
    </xdr:to>
    <xdr:pic>
      <xdr:nvPicPr>
        <xdr:cNvPr id="46" name="Picture 45" descr="battingVsL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0E54E88-BB3D-4B01-AABC-E4FE152D0A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10</xdr:col>
      <xdr:colOff>171450</xdr:colOff>
      <xdr:row>5</xdr:row>
      <xdr:rowOff>171450</xdr:rowOff>
    </xdr:to>
    <xdr:pic>
      <xdr:nvPicPr>
        <xdr:cNvPr id="47" name="Picture 46" descr="battingVsR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126DFFD7-16CD-449E-9A49-2C76C9F204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942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171450</xdr:colOff>
      <xdr:row>5</xdr:row>
      <xdr:rowOff>171450</xdr:rowOff>
    </xdr:to>
    <xdr:pic>
      <xdr:nvPicPr>
        <xdr:cNvPr id="48" name="Picture 47" descr="BattingEy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C5E2B14-ABD4-49C1-8C27-202141A6D8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36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5</xdr:row>
      <xdr:rowOff>0</xdr:rowOff>
    </xdr:from>
    <xdr:to>
      <xdr:col>12</xdr:col>
      <xdr:colOff>171450</xdr:colOff>
      <xdr:row>5</xdr:row>
      <xdr:rowOff>171450</xdr:rowOff>
    </xdr:to>
    <xdr:pic>
      <xdr:nvPicPr>
        <xdr:cNvPr id="49" name="Picture 48" descr="Baserunn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4DB3C7D-587C-4739-907C-366A8869AE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171450</xdr:colOff>
      <xdr:row>5</xdr:row>
      <xdr:rowOff>171450</xdr:rowOff>
    </xdr:to>
    <xdr:pic>
      <xdr:nvPicPr>
        <xdr:cNvPr id="50" name="Picture 49" descr="Bun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61CD5B7A-81E2-49AB-BCFF-C389F69D2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817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171450</xdr:colOff>
      <xdr:row>5</xdr:row>
      <xdr:rowOff>171450</xdr:rowOff>
    </xdr:to>
    <xdr:pic>
      <xdr:nvPicPr>
        <xdr:cNvPr id="51" name="Picture 50" descr="Pushpu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C242B5-58B3-4189-B021-A568144368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05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5</xdr:row>
      <xdr:rowOff>0</xdr:rowOff>
    </xdr:from>
    <xdr:to>
      <xdr:col>15</xdr:col>
      <xdr:colOff>171450</xdr:colOff>
      <xdr:row>5</xdr:row>
      <xdr:rowOff>171450</xdr:rowOff>
    </xdr:to>
    <xdr:pic>
      <xdr:nvPicPr>
        <xdr:cNvPr id="52" name="Picture 51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34AD1BE-A69A-4BE4-8F3F-7B67F1BC9A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38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171450</xdr:colOff>
      <xdr:row>5</xdr:row>
      <xdr:rowOff>171450</xdr:rowOff>
    </xdr:to>
    <xdr:pic>
      <xdr:nvPicPr>
        <xdr:cNvPr id="2" name="Picture 1" descr="Contac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EDDAFBED-D052-A327-0C16-26B586FDBB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560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171450</xdr:colOff>
      <xdr:row>5</xdr:row>
      <xdr:rowOff>171450</xdr:rowOff>
    </xdr:to>
    <xdr:pic>
      <xdr:nvPicPr>
        <xdr:cNvPr id="3" name="Picture 2" descr="Pow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F962FC9-B7DA-B2CA-3497-403C92978E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354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171450</xdr:colOff>
      <xdr:row>5</xdr:row>
      <xdr:rowOff>171450</xdr:rowOff>
    </xdr:to>
    <xdr:pic>
      <xdr:nvPicPr>
        <xdr:cNvPr id="4" name="Picture 3" descr="battingVsL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53B3EC9-BFBB-528A-827F-793588ECC6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10</xdr:col>
      <xdr:colOff>171450</xdr:colOff>
      <xdr:row>5</xdr:row>
      <xdr:rowOff>171450</xdr:rowOff>
    </xdr:to>
    <xdr:pic>
      <xdr:nvPicPr>
        <xdr:cNvPr id="5" name="Picture 4" descr="battingVsR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9C05BD7-8DD9-4BD4-2BFA-98467051C1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942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171450</xdr:colOff>
      <xdr:row>5</xdr:row>
      <xdr:rowOff>171450</xdr:rowOff>
    </xdr:to>
    <xdr:pic>
      <xdr:nvPicPr>
        <xdr:cNvPr id="6" name="Picture 5" descr="BattingEy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D3FFA346-20BA-8680-91AE-951762A3DC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36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5</xdr:row>
      <xdr:rowOff>0</xdr:rowOff>
    </xdr:from>
    <xdr:to>
      <xdr:col>12</xdr:col>
      <xdr:colOff>171450</xdr:colOff>
      <xdr:row>5</xdr:row>
      <xdr:rowOff>171450</xdr:rowOff>
    </xdr:to>
    <xdr:pic>
      <xdr:nvPicPr>
        <xdr:cNvPr id="7" name="Picture 6" descr="Baserunn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5D77309-1062-B950-616B-76A38F760B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171450</xdr:colOff>
      <xdr:row>5</xdr:row>
      <xdr:rowOff>171450</xdr:rowOff>
    </xdr:to>
    <xdr:pic>
      <xdr:nvPicPr>
        <xdr:cNvPr id="8" name="Picture 7" descr="Bun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05F421D-9FBD-2996-9DBC-573520D18B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817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171450</xdr:colOff>
      <xdr:row>5</xdr:row>
      <xdr:rowOff>171450</xdr:rowOff>
    </xdr:to>
    <xdr:pic>
      <xdr:nvPicPr>
        <xdr:cNvPr id="9" name="Picture 8" descr="Pushpu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50A9237-55A3-31CC-C0ED-B1D81BEB9B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05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5</xdr:row>
      <xdr:rowOff>0</xdr:rowOff>
    </xdr:from>
    <xdr:to>
      <xdr:col>15</xdr:col>
      <xdr:colOff>171450</xdr:colOff>
      <xdr:row>5</xdr:row>
      <xdr:rowOff>171450</xdr:rowOff>
    </xdr:to>
    <xdr:pic>
      <xdr:nvPicPr>
        <xdr:cNvPr id="10" name="Picture 9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CB7F14D1-3396-7068-E1C3-4202C30D6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38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171450</xdr:colOff>
      <xdr:row>5</xdr:row>
      <xdr:rowOff>171450</xdr:rowOff>
    </xdr:to>
    <xdr:pic>
      <xdr:nvPicPr>
        <xdr:cNvPr id="24" name="Picture 23" descr="Rang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3C61C14-866C-A97C-C3F1-7452404AA3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583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0</xdr:colOff>
      <xdr:row>5</xdr:row>
      <xdr:rowOff>0</xdr:rowOff>
    </xdr:from>
    <xdr:to>
      <xdr:col>23</xdr:col>
      <xdr:colOff>171450</xdr:colOff>
      <xdr:row>5</xdr:row>
      <xdr:rowOff>171450</xdr:rowOff>
    </xdr:to>
    <xdr:pic>
      <xdr:nvPicPr>
        <xdr:cNvPr id="25" name="Picture 24" descr="Glov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B9DBFC0-7C76-B559-6FA3-6172C2129E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377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24</xdr:col>
      <xdr:colOff>171450</xdr:colOff>
      <xdr:row>5</xdr:row>
      <xdr:rowOff>171450</xdr:rowOff>
    </xdr:to>
    <xdr:pic>
      <xdr:nvPicPr>
        <xdr:cNvPr id="26" name="Picture 25" descr="ArmStreng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67C765F7-12C5-F039-8D8C-9AB8571430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171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25</xdr:col>
      <xdr:colOff>0</xdr:colOff>
      <xdr:row>5</xdr:row>
      <xdr:rowOff>0</xdr:rowOff>
    </xdr:from>
    <xdr:to>
      <xdr:col>25</xdr:col>
      <xdr:colOff>171450</xdr:colOff>
      <xdr:row>5</xdr:row>
      <xdr:rowOff>171450</xdr:rowOff>
    </xdr:to>
    <xdr:pic>
      <xdr:nvPicPr>
        <xdr:cNvPr id="27" name="Picture 26" descr="ArmAccurac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3E9C59E-2C6C-68F8-6D31-68ED3A0BA9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26</xdr:col>
      <xdr:colOff>0</xdr:colOff>
      <xdr:row>5</xdr:row>
      <xdr:rowOff>0</xdr:rowOff>
    </xdr:from>
    <xdr:to>
      <xdr:col>26</xdr:col>
      <xdr:colOff>171450</xdr:colOff>
      <xdr:row>5</xdr:row>
      <xdr:rowOff>171450</xdr:rowOff>
    </xdr:to>
    <xdr:pic>
      <xdr:nvPicPr>
        <xdr:cNvPr id="28" name="Picture 27" descr="PitchCall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3A1321A-36F7-8D59-7935-B6C4BC814D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782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0</xdr:colOff>
      <xdr:row>5</xdr:row>
      <xdr:rowOff>0</xdr:rowOff>
    </xdr:from>
    <xdr:to>
      <xdr:col>27</xdr:col>
      <xdr:colOff>171450</xdr:colOff>
      <xdr:row>5</xdr:row>
      <xdr:rowOff>171450</xdr:rowOff>
    </xdr:to>
    <xdr:pic>
      <xdr:nvPicPr>
        <xdr:cNvPr id="29" name="Picture 28" descr="Durabilit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A0EAE7BC-A5CA-AB81-830D-5698F9AE48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331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5</xdr:row>
      <xdr:rowOff>0</xdr:rowOff>
    </xdr:from>
    <xdr:to>
      <xdr:col>28</xdr:col>
      <xdr:colOff>171450</xdr:colOff>
      <xdr:row>5</xdr:row>
      <xdr:rowOff>171450</xdr:rowOff>
    </xdr:to>
    <xdr:pic>
      <xdr:nvPicPr>
        <xdr:cNvPr id="30" name="Picture 29" descr="Heal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16F6495-37AF-A603-2D4B-4C3F4966A4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12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29</xdr:col>
      <xdr:colOff>0</xdr:colOff>
      <xdr:row>5</xdr:row>
      <xdr:rowOff>0</xdr:rowOff>
    </xdr:from>
    <xdr:to>
      <xdr:col>29</xdr:col>
      <xdr:colOff>171450</xdr:colOff>
      <xdr:row>5</xdr:row>
      <xdr:rowOff>171450</xdr:rowOff>
    </xdr:to>
    <xdr:pic>
      <xdr:nvPicPr>
        <xdr:cNvPr id="31" name="Picture 30" descr="Speed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2529526-1514-D31B-C10F-593ADEC601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98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0</xdr:colOff>
      <xdr:row>5</xdr:row>
      <xdr:rowOff>0</xdr:rowOff>
    </xdr:from>
    <xdr:to>
      <xdr:col>30</xdr:col>
      <xdr:colOff>171450</xdr:colOff>
      <xdr:row>5</xdr:row>
      <xdr:rowOff>171450</xdr:rowOff>
    </xdr:to>
    <xdr:pic>
      <xdr:nvPicPr>
        <xdr:cNvPr id="53" name="Picture 52" descr="Patienc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88CB567-5AC5-3CE0-59DB-AE6881BF05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0777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31</xdr:col>
      <xdr:colOff>0</xdr:colOff>
      <xdr:row>5</xdr:row>
      <xdr:rowOff>0</xdr:rowOff>
    </xdr:from>
    <xdr:to>
      <xdr:col>31</xdr:col>
      <xdr:colOff>171450</xdr:colOff>
      <xdr:row>5</xdr:row>
      <xdr:rowOff>171450</xdr:rowOff>
    </xdr:to>
    <xdr:pic>
      <xdr:nvPicPr>
        <xdr:cNvPr id="54" name="Picture 53" descr="Temp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663AD52-0A78-6915-797C-989C9A75BF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33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32</xdr:col>
      <xdr:colOff>0</xdr:colOff>
      <xdr:row>5</xdr:row>
      <xdr:rowOff>0</xdr:rowOff>
    </xdr:from>
    <xdr:to>
      <xdr:col>32</xdr:col>
      <xdr:colOff>171450</xdr:colOff>
      <xdr:row>5</xdr:row>
      <xdr:rowOff>171450</xdr:rowOff>
    </xdr:to>
    <xdr:pic>
      <xdr:nvPicPr>
        <xdr:cNvPr id="55" name="Picture 54" descr="Makeu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BBEECA7-3A96-C373-F7D2-8E98AC8B98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07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33</xdr:col>
      <xdr:colOff>0</xdr:colOff>
      <xdr:row>5</xdr:row>
      <xdr:rowOff>0</xdr:rowOff>
    </xdr:from>
    <xdr:to>
      <xdr:col>33</xdr:col>
      <xdr:colOff>171450</xdr:colOff>
      <xdr:row>5</xdr:row>
      <xdr:rowOff>171450</xdr:rowOff>
    </xdr:to>
    <xdr:pic>
      <xdr:nvPicPr>
        <xdr:cNvPr id="56" name="Picture 55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4EBE15A-EEFF-F7F3-A8FC-17B2E8530B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188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171450</xdr:colOff>
      <xdr:row>5</xdr:row>
      <xdr:rowOff>171450</xdr:rowOff>
    </xdr:to>
    <xdr:pic>
      <xdr:nvPicPr>
        <xdr:cNvPr id="11" name="Picture 10" descr="Contac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2C0EB86-A02A-234C-F1AE-1373295C93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560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171450</xdr:colOff>
      <xdr:row>5</xdr:row>
      <xdr:rowOff>171450</xdr:rowOff>
    </xdr:to>
    <xdr:pic>
      <xdr:nvPicPr>
        <xdr:cNvPr id="12" name="Picture 11" descr="Pow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C450E994-BFFC-A04E-1892-2F4AA9C3C1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354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171450</xdr:colOff>
      <xdr:row>5</xdr:row>
      <xdr:rowOff>171450</xdr:rowOff>
    </xdr:to>
    <xdr:pic>
      <xdr:nvPicPr>
        <xdr:cNvPr id="13" name="Picture 12" descr="battingVsL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F00C010-8B5B-AB50-5195-6BDC4E241C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148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10</xdr:col>
      <xdr:colOff>171450</xdr:colOff>
      <xdr:row>5</xdr:row>
      <xdr:rowOff>171450</xdr:rowOff>
    </xdr:to>
    <xdr:pic>
      <xdr:nvPicPr>
        <xdr:cNvPr id="14" name="Picture 13" descr="battingVsR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E00260D-8A51-3958-6839-E4B0E0FD9B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942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171450</xdr:colOff>
      <xdr:row>5</xdr:row>
      <xdr:rowOff>171450</xdr:rowOff>
    </xdr:to>
    <xdr:pic>
      <xdr:nvPicPr>
        <xdr:cNvPr id="15" name="Picture 14" descr="BattingEy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E6995BE7-08D4-B08D-32B1-9ED3182AD6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736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5</xdr:row>
      <xdr:rowOff>0</xdr:rowOff>
    </xdr:from>
    <xdr:to>
      <xdr:col>12</xdr:col>
      <xdr:colOff>171450</xdr:colOff>
      <xdr:row>5</xdr:row>
      <xdr:rowOff>171450</xdr:rowOff>
    </xdr:to>
    <xdr:pic>
      <xdr:nvPicPr>
        <xdr:cNvPr id="16" name="Picture 15" descr="Baserunn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96C11D5-A4F9-8E8A-CE75-B666D63FCA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171450</xdr:colOff>
      <xdr:row>5</xdr:row>
      <xdr:rowOff>171450</xdr:rowOff>
    </xdr:to>
    <xdr:pic>
      <xdr:nvPicPr>
        <xdr:cNvPr id="17" name="Picture 16" descr="Bun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7F08101-E87A-A7BC-83DA-F4DA4F10E2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817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171450</xdr:colOff>
      <xdr:row>5</xdr:row>
      <xdr:rowOff>171450</xdr:rowOff>
    </xdr:to>
    <xdr:pic>
      <xdr:nvPicPr>
        <xdr:cNvPr id="18" name="Picture 17" descr="Pushpu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36B68C6-4EEB-E49B-C6F6-C35B7D0ED7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05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5</xdr:row>
      <xdr:rowOff>0</xdr:rowOff>
    </xdr:from>
    <xdr:to>
      <xdr:col>15</xdr:col>
      <xdr:colOff>171450</xdr:colOff>
      <xdr:row>5</xdr:row>
      <xdr:rowOff>171450</xdr:rowOff>
    </xdr:to>
    <xdr:pic>
      <xdr:nvPicPr>
        <xdr:cNvPr id="19" name="Picture 18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5A8FFBB-F91C-582E-36EF-649BE74116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38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171450</xdr:colOff>
      <xdr:row>5</xdr:row>
      <xdr:rowOff>171450</xdr:rowOff>
    </xdr:to>
    <xdr:pic>
      <xdr:nvPicPr>
        <xdr:cNvPr id="21" name="Picture 20" descr="Rang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E318181-C732-AE6F-534C-3A27CECCDC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583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0</xdr:colOff>
      <xdr:row>5</xdr:row>
      <xdr:rowOff>0</xdr:rowOff>
    </xdr:from>
    <xdr:to>
      <xdr:col>23</xdr:col>
      <xdr:colOff>171450</xdr:colOff>
      <xdr:row>5</xdr:row>
      <xdr:rowOff>171450</xdr:rowOff>
    </xdr:to>
    <xdr:pic>
      <xdr:nvPicPr>
        <xdr:cNvPr id="22" name="Picture 21" descr="Glov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6F91853E-D508-577A-2472-21AD934D54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377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24</xdr:col>
      <xdr:colOff>171450</xdr:colOff>
      <xdr:row>5</xdr:row>
      <xdr:rowOff>171450</xdr:rowOff>
    </xdr:to>
    <xdr:pic>
      <xdr:nvPicPr>
        <xdr:cNvPr id="23" name="Picture 22" descr="ArmStreng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DBAA640-F7FD-8937-6BE6-D05098EF17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171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25</xdr:col>
      <xdr:colOff>0</xdr:colOff>
      <xdr:row>5</xdr:row>
      <xdr:rowOff>0</xdr:rowOff>
    </xdr:from>
    <xdr:to>
      <xdr:col>25</xdr:col>
      <xdr:colOff>171450</xdr:colOff>
      <xdr:row>5</xdr:row>
      <xdr:rowOff>171450</xdr:rowOff>
    </xdr:to>
    <xdr:pic>
      <xdr:nvPicPr>
        <xdr:cNvPr id="57" name="Picture 56" descr="ArmAccurac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177CD27-92E0-DFB6-E45A-45393ADE59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26</xdr:col>
      <xdr:colOff>0</xdr:colOff>
      <xdr:row>5</xdr:row>
      <xdr:rowOff>0</xdr:rowOff>
    </xdr:from>
    <xdr:to>
      <xdr:col>26</xdr:col>
      <xdr:colOff>171450</xdr:colOff>
      <xdr:row>5</xdr:row>
      <xdr:rowOff>171450</xdr:rowOff>
    </xdr:to>
    <xdr:pic>
      <xdr:nvPicPr>
        <xdr:cNvPr id="58" name="Picture 57" descr="PitchCall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D77BF788-186A-8F00-172A-C7EE2982A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782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0</xdr:colOff>
      <xdr:row>5</xdr:row>
      <xdr:rowOff>0</xdr:rowOff>
    </xdr:from>
    <xdr:to>
      <xdr:col>27</xdr:col>
      <xdr:colOff>171450</xdr:colOff>
      <xdr:row>5</xdr:row>
      <xdr:rowOff>171450</xdr:rowOff>
    </xdr:to>
    <xdr:pic>
      <xdr:nvPicPr>
        <xdr:cNvPr id="59" name="Picture 58" descr="Durabilit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E8901BB-3997-3E99-87DF-A8860897EE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331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5</xdr:row>
      <xdr:rowOff>0</xdr:rowOff>
    </xdr:from>
    <xdr:to>
      <xdr:col>28</xdr:col>
      <xdr:colOff>171450</xdr:colOff>
      <xdr:row>5</xdr:row>
      <xdr:rowOff>171450</xdr:rowOff>
    </xdr:to>
    <xdr:pic>
      <xdr:nvPicPr>
        <xdr:cNvPr id="60" name="Picture 59" descr="Heal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E0DE847-59FC-8974-E7C9-895D0E6ABF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125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29</xdr:col>
      <xdr:colOff>0</xdr:colOff>
      <xdr:row>5</xdr:row>
      <xdr:rowOff>0</xdr:rowOff>
    </xdr:from>
    <xdr:to>
      <xdr:col>29</xdr:col>
      <xdr:colOff>171450</xdr:colOff>
      <xdr:row>5</xdr:row>
      <xdr:rowOff>171450</xdr:rowOff>
    </xdr:to>
    <xdr:pic>
      <xdr:nvPicPr>
        <xdr:cNvPr id="61" name="Picture 60" descr="Speed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1C142A4-16A7-8120-493F-F9ABA46D42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98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0</xdr:colOff>
      <xdr:row>5</xdr:row>
      <xdr:rowOff>0</xdr:rowOff>
    </xdr:from>
    <xdr:to>
      <xdr:col>30</xdr:col>
      <xdr:colOff>171450</xdr:colOff>
      <xdr:row>5</xdr:row>
      <xdr:rowOff>171450</xdr:rowOff>
    </xdr:to>
    <xdr:pic>
      <xdr:nvPicPr>
        <xdr:cNvPr id="62" name="Picture 61" descr="Patienc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03B47C9-0B10-B9F7-AE7C-8F505D31A3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0777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31</xdr:col>
      <xdr:colOff>0</xdr:colOff>
      <xdr:row>5</xdr:row>
      <xdr:rowOff>0</xdr:rowOff>
    </xdr:from>
    <xdr:to>
      <xdr:col>31</xdr:col>
      <xdr:colOff>171450</xdr:colOff>
      <xdr:row>5</xdr:row>
      <xdr:rowOff>171450</xdr:rowOff>
    </xdr:to>
    <xdr:pic>
      <xdr:nvPicPr>
        <xdr:cNvPr id="63" name="Picture 62" descr="Temp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866E4E50-52FA-0CA2-703E-710603F40B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3330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32</xdr:col>
      <xdr:colOff>0</xdr:colOff>
      <xdr:row>5</xdr:row>
      <xdr:rowOff>0</xdr:rowOff>
    </xdr:from>
    <xdr:to>
      <xdr:col>32</xdr:col>
      <xdr:colOff>171450</xdr:colOff>
      <xdr:row>5</xdr:row>
      <xdr:rowOff>171450</xdr:rowOff>
    </xdr:to>
    <xdr:pic>
      <xdr:nvPicPr>
        <xdr:cNvPr id="1024" name="Picture 1023" descr="Makeu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D790195F-B463-5D13-93FD-E1182515AD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07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33</xdr:col>
      <xdr:colOff>0</xdr:colOff>
      <xdr:row>5</xdr:row>
      <xdr:rowOff>0</xdr:rowOff>
    </xdr:from>
    <xdr:to>
      <xdr:col>33</xdr:col>
      <xdr:colOff>171450</xdr:colOff>
      <xdr:row>5</xdr:row>
      <xdr:rowOff>171450</xdr:rowOff>
    </xdr:to>
    <xdr:pic>
      <xdr:nvPicPr>
        <xdr:cNvPr id="1025" name="Picture 1024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B43B8179-2FCF-6F3A-A3C3-8B543DE361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188950" y="9525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5</xdr:row>
      <xdr:rowOff>0</xdr:rowOff>
    </xdr:from>
    <xdr:to>
      <xdr:col>7</xdr:col>
      <xdr:colOff>175260</xdr:colOff>
      <xdr:row>5</xdr:row>
      <xdr:rowOff>175260</xdr:rowOff>
    </xdr:to>
    <xdr:pic>
      <xdr:nvPicPr>
        <xdr:cNvPr id="1032" name="Picture 1031" descr="Contac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2FA9499-BC6A-713D-EC86-EEA64341A8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8</xdr:col>
      <xdr:colOff>175260</xdr:colOff>
      <xdr:row>5</xdr:row>
      <xdr:rowOff>175260</xdr:rowOff>
    </xdr:to>
    <xdr:pic>
      <xdr:nvPicPr>
        <xdr:cNvPr id="1035" name="Picture 1034" descr="Pow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A2BE0DE-4F73-DC31-DE9E-0533A822A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6052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5</xdr:row>
      <xdr:rowOff>0</xdr:rowOff>
    </xdr:from>
    <xdr:to>
      <xdr:col>9</xdr:col>
      <xdr:colOff>175260</xdr:colOff>
      <xdr:row>5</xdr:row>
      <xdr:rowOff>175260</xdr:rowOff>
    </xdr:to>
    <xdr:pic>
      <xdr:nvPicPr>
        <xdr:cNvPr id="1036" name="Picture 1035" descr="battingVsL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8426FF5-80AC-C310-E804-991EC45F4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3484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5</xdr:row>
      <xdr:rowOff>0</xdr:rowOff>
    </xdr:from>
    <xdr:to>
      <xdr:col>10</xdr:col>
      <xdr:colOff>175260</xdr:colOff>
      <xdr:row>5</xdr:row>
      <xdr:rowOff>175260</xdr:rowOff>
    </xdr:to>
    <xdr:pic>
      <xdr:nvPicPr>
        <xdr:cNvPr id="1037" name="Picture 1036" descr="battingVsRH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94A86F0-909F-2204-71EE-7699A1B3B8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0916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175260</xdr:colOff>
      <xdr:row>5</xdr:row>
      <xdr:rowOff>175260</xdr:rowOff>
    </xdr:to>
    <xdr:pic>
      <xdr:nvPicPr>
        <xdr:cNvPr id="1038" name="Picture 1037" descr="BattingEy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7B0736C-30EB-B67B-98C2-1A81C0F366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8348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5</xdr:row>
      <xdr:rowOff>0</xdr:rowOff>
    </xdr:from>
    <xdr:to>
      <xdr:col>12</xdr:col>
      <xdr:colOff>175260</xdr:colOff>
      <xdr:row>5</xdr:row>
      <xdr:rowOff>175260</xdr:rowOff>
    </xdr:to>
    <xdr:pic>
      <xdr:nvPicPr>
        <xdr:cNvPr id="1045" name="Picture 1044" descr="Baserunn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814BF21-B09B-7756-523A-DB3CA5504B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5780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175260</xdr:colOff>
      <xdr:row>5</xdr:row>
      <xdr:rowOff>175260</xdr:rowOff>
    </xdr:to>
    <xdr:pic>
      <xdr:nvPicPr>
        <xdr:cNvPr id="1048" name="Picture 1047" descr="Bunt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37BE80F-83F5-0B8E-352F-5B8BC2FE10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7502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175260</xdr:colOff>
      <xdr:row>5</xdr:row>
      <xdr:rowOff>175260</xdr:rowOff>
    </xdr:to>
    <xdr:pic>
      <xdr:nvPicPr>
        <xdr:cNvPr id="1049" name="Picture 1048" descr="Pushpu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C5B710F6-FE87-9DB8-26F2-1B8BECCC70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9506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5</xdr:row>
      <xdr:rowOff>0</xdr:rowOff>
    </xdr:from>
    <xdr:to>
      <xdr:col>15</xdr:col>
      <xdr:colOff>175260</xdr:colOff>
      <xdr:row>5</xdr:row>
      <xdr:rowOff>175260</xdr:rowOff>
    </xdr:to>
    <xdr:pic>
      <xdr:nvPicPr>
        <xdr:cNvPr id="1050" name="Picture 1049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A142B94-818A-2615-AFDF-50094FF6CD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2084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22</xdr:col>
      <xdr:colOff>0</xdr:colOff>
      <xdr:row>5</xdr:row>
      <xdr:rowOff>0</xdr:rowOff>
    </xdr:from>
    <xdr:to>
      <xdr:col>22</xdr:col>
      <xdr:colOff>175260</xdr:colOff>
      <xdr:row>5</xdr:row>
      <xdr:rowOff>175260</xdr:rowOff>
    </xdr:to>
    <xdr:pic>
      <xdr:nvPicPr>
        <xdr:cNvPr id="1051" name="Picture 1050" descr="Rang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7C925CA-B589-3A6B-C775-3DF3252F69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9452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0</xdr:colOff>
      <xdr:row>5</xdr:row>
      <xdr:rowOff>0</xdr:rowOff>
    </xdr:from>
    <xdr:to>
      <xdr:col>23</xdr:col>
      <xdr:colOff>175260</xdr:colOff>
      <xdr:row>5</xdr:row>
      <xdr:rowOff>175260</xdr:rowOff>
    </xdr:to>
    <xdr:pic>
      <xdr:nvPicPr>
        <xdr:cNvPr id="1052" name="Picture 1051" descr="Glov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1A5F025-5332-732C-787C-2B665304FE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76884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0</xdr:colOff>
      <xdr:row>5</xdr:row>
      <xdr:rowOff>0</xdr:rowOff>
    </xdr:from>
    <xdr:to>
      <xdr:col>24</xdr:col>
      <xdr:colOff>175260</xdr:colOff>
      <xdr:row>5</xdr:row>
      <xdr:rowOff>175260</xdr:rowOff>
    </xdr:to>
    <xdr:pic>
      <xdr:nvPicPr>
        <xdr:cNvPr id="1053" name="Picture 1052" descr="ArmStreng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6356D52A-EEBF-5685-4B23-896D114C71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4316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25</xdr:col>
      <xdr:colOff>0</xdr:colOff>
      <xdr:row>5</xdr:row>
      <xdr:rowOff>0</xdr:rowOff>
    </xdr:from>
    <xdr:to>
      <xdr:col>25</xdr:col>
      <xdr:colOff>175260</xdr:colOff>
      <xdr:row>5</xdr:row>
      <xdr:rowOff>175260</xdr:rowOff>
    </xdr:to>
    <xdr:pic>
      <xdr:nvPicPr>
        <xdr:cNvPr id="1054" name="Picture 1053" descr="ArmAccurac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717B2E4-1293-FCF9-B5CD-398D5847BC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1748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26</xdr:col>
      <xdr:colOff>0</xdr:colOff>
      <xdr:row>5</xdr:row>
      <xdr:rowOff>0</xdr:rowOff>
    </xdr:from>
    <xdr:to>
      <xdr:col>26</xdr:col>
      <xdr:colOff>175260</xdr:colOff>
      <xdr:row>5</xdr:row>
      <xdr:rowOff>175260</xdr:rowOff>
    </xdr:to>
    <xdr:pic>
      <xdr:nvPicPr>
        <xdr:cNvPr id="1055" name="Picture 1054" descr="PitchCalling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17F0DD91-C746-C7BF-76C6-8CF0EB28C3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59942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0</xdr:colOff>
      <xdr:row>5</xdr:row>
      <xdr:rowOff>0</xdr:rowOff>
    </xdr:from>
    <xdr:to>
      <xdr:col>27</xdr:col>
      <xdr:colOff>175260</xdr:colOff>
      <xdr:row>5</xdr:row>
      <xdr:rowOff>175260</xdr:rowOff>
    </xdr:to>
    <xdr:pic>
      <xdr:nvPicPr>
        <xdr:cNvPr id="1056" name="Picture 1055" descr="Durability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E093A26D-1862-A8CD-6B55-80E3215276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4138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5</xdr:row>
      <xdr:rowOff>0</xdr:rowOff>
    </xdr:from>
    <xdr:to>
      <xdr:col>28</xdr:col>
      <xdr:colOff>175260</xdr:colOff>
      <xdr:row>5</xdr:row>
      <xdr:rowOff>175260</xdr:rowOff>
    </xdr:to>
    <xdr:pic>
      <xdr:nvPicPr>
        <xdr:cNvPr id="1057" name="Picture 1056" descr="Health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09C2407-DDF2-8FF4-B0F5-34D4092DBC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1570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29</xdr:col>
      <xdr:colOff>0</xdr:colOff>
      <xdr:row>5</xdr:row>
      <xdr:rowOff>0</xdr:rowOff>
    </xdr:from>
    <xdr:to>
      <xdr:col>29</xdr:col>
      <xdr:colOff>175260</xdr:colOff>
      <xdr:row>5</xdr:row>
      <xdr:rowOff>175260</xdr:rowOff>
    </xdr:to>
    <xdr:pic>
      <xdr:nvPicPr>
        <xdr:cNvPr id="1058" name="Picture 1057" descr="Speed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21975CF-AED5-551E-D541-B4DCDBEE3F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59764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0</xdr:colOff>
      <xdr:row>5</xdr:row>
      <xdr:rowOff>0</xdr:rowOff>
    </xdr:from>
    <xdr:to>
      <xdr:col>30</xdr:col>
      <xdr:colOff>175260</xdr:colOff>
      <xdr:row>5</xdr:row>
      <xdr:rowOff>175260</xdr:rowOff>
    </xdr:to>
    <xdr:pic>
      <xdr:nvPicPr>
        <xdr:cNvPr id="1059" name="Picture 1058" descr="Patience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C98F101C-998F-400C-9E28-7F7F24A47B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87196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31</xdr:col>
      <xdr:colOff>0</xdr:colOff>
      <xdr:row>5</xdr:row>
      <xdr:rowOff>0</xdr:rowOff>
    </xdr:from>
    <xdr:to>
      <xdr:col>31</xdr:col>
      <xdr:colOff>175260</xdr:colOff>
      <xdr:row>5</xdr:row>
      <xdr:rowOff>175260</xdr:rowOff>
    </xdr:to>
    <xdr:pic>
      <xdr:nvPicPr>
        <xdr:cNvPr id="1060" name="Picture 1059" descr="Temper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897CC52-B08B-C3B4-C989-4BF0D537E9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2248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32</xdr:col>
      <xdr:colOff>0</xdr:colOff>
      <xdr:row>5</xdr:row>
      <xdr:rowOff>0</xdr:rowOff>
    </xdr:from>
    <xdr:to>
      <xdr:col>32</xdr:col>
      <xdr:colOff>175260</xdr:colOff>
      <xdr:row>5</xdr:row>
      <xdr:rowOff>175260</xdr:rowOff>
    </xdr:to>
    <xdr:pic>
      <xdr:nvPicPr>
        <xdr:cNvPr id="1061" name="Picture 1060" descr="Makeup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8329E88-0B5B-BB0F-6A9A-0985DF2954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8824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33</xdr:col>
      <xdr:colOff>0</xdr:colOff>
      <xdr:row>5</xdr:row>
      <xdr:rowOff>0</xdr:rowOff>
    </xdr:from>
    <xdr:to>
      <xdr:col>33</xdr:col>
      <xdr:colOff>175260</xdr:colOff>
      <xdr:row>5</xdr:row>
      <xdr:rowOff>175260</xdr:rowOff>
    </xdr:to>
    <xdr:pic>
      <xdr:nvPicPr>
        <xdr:cNvPr id="1062" name="Picture 1061" descr="Overal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C8DC98C-CF6F-CA83-35E0-8719DCCC0A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61620" y="95250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4</xdr:row>
      <xdr:rowOff>0</xdr:rowOff>
    </xdr:from>
    <xdr:to>
      <xdr:col>7</xdr:col>
      <xdr:colOff>171450</xdr:colOff>
      <xdr:row>5</xdr:row>
      <xdr:rowOff>0</xdr:rowOff>
    </xdr:to>
    <xdr:pic>
      <xdr:nvPicPr>
        <xdr:cNvPr id="1025" name="Picture 1" descr="http://www.whatifsports.com/HBD/Images/Icons/PlayerRatings/Durability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4384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0</xdr:colOff>
      <xdr:row>4</xdr:row>
      <xdr:rowOff>0</xdr:rowOff>
    </xdr:from>
    <xdr:to>
      <xdr:col>8</xdr:col>
      <xdr:colOff>171450</xdr:colOff>
      <xdr:row>5</xdr:row>
      <xdr:rowOff>0</xdr:rowOff>
    </xdr:to>
    <xdr:pic>
      <xdr:nvPicPr>
        <xdr:cNvPr id="1026" name="Picture 2" descr="http://www.whatifsports.com/HBD/Images/Icons/PlayerRatings/Health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0480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8</xdr:col>
      <xdr:colOff>0</xdr:colOff>
      <xdr:row>4</xdr:row>
      <xdr:rowOff>0</xdr:rowOff>
    </xdr:from>
    <xdr:to>
      <xdr:col>8</xdr:col>
      <xdr:colOff>171450</xdr:colOff>
      <xdr:row>5</xdr:row>
      <xdr:rowOff>0</xdr:rowOff>
    </xdr:to>
    <xdr:pic>
      <xdr:nvPicPr>
        <xdr:cNvPr id="1027" name="Picture 3" descr="http://www.whatifsports.com/HBD/Images/Icons/PlayerRatings/Stamina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36576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9</xdr:col>
      <xdr:colOff>0</xdr:colOff>
      <xdr:row>4</xdr:row>
      <xdr:rowOff>0</xdr:rowOff>
    </xdr:from>
    <xdr:to>
      <xdr:col>9</xdr:col>
      <xdr:colOff>171450</xdr:colOff>
      <xdr:row>5</xdr:row>
      <xdr:rowOff>0</xdr:rowOff>
    </xdr:to>
    <xdr:pic>
      <xdr:nvPicPr>
        <xdr:cNvPr id="1028" name="Picture 4" descr="http://www.whatifsports.com/HBD/Images/Icons/PlayerRatings/Control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672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10</xdr:col>
      <xdr:colOff>0</xdr:colOff>
      <xdr:row>4</xdr:row>
      <xdr:rowOff>0</xdr:rowOff>
    </xdr:from>
    <xdr:to>
      <xdr:col>10</xdr:col>
      <xdr:colOff>171450</xdr:colOff>
      <xdr:row>5</xdr:row>
      <xdr:rowOff>0</xdr:rowOff>
    </xdr:to>
    <xdr:pic>
      <xdr:nvPicPr>
        <xdr:cNvPr id="1029" name="Picture 5" descr="http://www.whatifsports.com/HBD/Images/Icons/PlayerRatings/EffectivenessVsLHB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48768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11</xdr:col>
      <xdr:colOff>0</xdr:colOff>
      <xdr:row>4</xdr:row>
      <xdr:rowOff>0</xdr:rowOff>
    </xdr:from>
    <xdr:to>
      <xdr:col>11</xdr:col>
      <xdr:colOff>171450</xdr:colOff>
      <xdr:row>5</xdr:row>
      <xdr:rowOff>0</xdr:rowOff>
    </xdr:to>
    <xdr:pic>
      <xdr:nvPicPr>
        <xdr:cNvPr id="1030" name="Picture 6" descr="http://www.whatifsports.com/HBD/Images/Icons/PlayerRatings/EffectivenessVsRHB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54864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12</xdr:col>
      <xdr:colOff>0</xdr:colOff>
      <xdr:row>4</xdr:row>
      <xdr:rowOff>0</xdr:rowOff>
    </xdr:from>
    <xdr:to>
      <xdr:col>12</xdr:col>
      <xdr:colOff>171450</xdr:colOff>
      <xdr:row>5</xdr:row>
      <xdr:rowOff>0</xdr:rowOff>
    </xdr:to>
    <xdr:pic>
      <xdr:nvPicPr>
        <xdr:cNvPr id="1031" name="Picture 7" descr="http://www.whatifsports.com/HBD/Images/Icons/PlayerRatings/Velocity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60960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13</xdr:col>
      <xdr:colOff>0</xdr:colOff>
      <xdr:row>4</xdr:row>
      <xdr:rowOff>0</xdr:rowOff>
    </xdr:from>
    <xdr:to>
      <xdr:col>13</xdr:col>
      <xdr:colOff>171450</xdr:colOff>
      <xdr:row>5</xdr:row>
      <xdr:rowOff>0</xdr:rowOff>
    </xdr:to>
    <xdr:pic>
      <xdr:nvPicPr>
        <xdr:cNvPr id="1032" name="Picture 8" descr="http://www.whatifsports.com/HBD/Images/Icons/PlayerRatings/GroundBallFlyBall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67056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14</xdr:col>
      <xdr:colOff>0</xdr:colOff>
      <xdr:row>4</xdr:row>
      <xdr:rowOff>0</xdr:rowOff>
    </xdr:from>
    <xdr:to>
      <xdr:col>14</xdr:col>
      <xdr:colOff>171450</xdr:colOff>
      <xdr:row>5</xdr:row>
      <xdr:rowOff>0</xdr:rowOff>
    </xdr:to>
    <xdr:pic>
      <xdr:nvPicPr>
        <xdr:cNvPr id="1033" name="Picture 9" descr="http://www.whatifsports.com/HBD/Images/Icons/PlayerRatings/Pitch_1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73152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15</xdr:col>
      <xdr:colOff>0</xdr:colOff>
      <xdr:row>4</xdr:row>
      <xdr:rowOff>0</xdr:rowOff>
    </xdr:from>
    <xdr:to>
      <xdr:col>15</xdr:col>
      <xdr:colOff>171450</xdr:colOff>
      <xdr:row>5</xdr:row>
      <xdr:rowOff>0</xdr:rowOff>
    </xdr:to>
    <xdr:pic>
      <xdr:nvPicPr>
        <xdr:cNvPr id="1034" name="Picture 10" descr="http://www.whatifsports.com/HBD/Images/Icons/PlayerRatings/Pitch_2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79248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16</xdr:col>
      <xdr:colOff>0</xdr:colOff>
      <xdr:row>4</xdr:row>
      <xdr:rowOff>0</xdr:rowOff>
    </xdr:from>
    <xdr:to>
      <xdr:col>16</xdr:col>
      <xdr:colOff>171450</xdr:colOff>
      <xdr:row>5</xdr:row>
      <xdr:rowOff>0</xdr:rowOff>
    </xdr:to>
    <xdr:pic>
      <xdr:nvPicPr>
        <xdr:cNvPr id="1035" name="Picture 11" descr="http://www.whatifsports.com/HBD/Images/Icons/PlayerRatings/Pitch_3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5344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17</xdr:col>
      <xdr:colOff>0</xdr:colOff>
      <xdr:row>4</xdr:row>
      <xdr:rowOff>0</xdr:rowOff>
    </xdr:from>
    <xdr:to>
      <xdr:col>17</xdr:col>
      <xdr:colOff>171450</xdr:colOff>
      <xdr:row>5</xdr:row>
      <xdr:rowOff>0</xdr:rowOff>
    </xdr:to>
    <xdr:pic>
      <xdr:nvPicPr>
        <xdr:cNvPr id="1036" name="Picture 12" descr="http://www.whatifsports.com/HBD/Images/Icons/PlayerRatings/Pitch_4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91440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18</xdr:col>
      <xdr:colOff>0</xdr:colOff>
      <xdr:row>4</xdr:row>
      <xdr:rowOff>0</xdr:rowOff>
    </xdr:from>
    <xdr:to>
      <xdr:col>18</xdr:col>
      <xdr:colOff>171450</xdr:colOff>
      <xdr:row>5</xdr:row>
      <xdr:rowOff>0</xdr:rowOff>
    </xdr:to>
    <xdr:pic>
      <xdr:nvPicPr>
        <xdr:cNvPr id="1037" name="Picture 13" descr="http://www.whatifsports.com/HBD/Images/Icons/PlayerRatings/Pitch_5.gif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200-00000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/>
        <a:srcRect/>
        <a:stretch>
          <a:fillRect/>
        </a:stretch>
      </xdr:blipFill>
      <xdr:spPr bwMode="auto">
        <a:xfrm>
          <a:off x="9753600" y="0"/>
          <a:ext cx="171450" cy="171450"/>
        </a:xfrm>
        <a:prstGeom prst="rect">
          <a:avLst/>
        </a:prstGeom>
        <a:noFill/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7</xdr:col>
      <xdr:colOff>171450</xdr:colOff>
      <xdr:row>5</xdr:row>
      <xdr:rowOff>0</xdr:rowOff>
    </xdr:to>
    <xdr:pic>
      <xdr:nvPicPr>
        <xdr:cNvPr id="41" name="Picture 40" descr="Durabilit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8481843F-9EEC-4A2B-960D-F822044B0E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11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4</xdr:row>
      <xdr:rowOff>0</xdr:rowOff>
    </xdr:from>
    <xdr:to>
      <xdr:col>8</xdr:col>
      <xdr:colOff>171450</xdr:colOff>
      <xdr:row>5</xdr:row>
      <xdr:rowOff>0</xdr:rowOff>
    </xdr:to>
    <xdr:pic>
      <xdr:nvPicPr>
        <xdr:cNvPr id="42" name="Picture 41" descr="Stamina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9AE310CD-70F5-4AFF-AA6B-E44350A304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911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4</xdr:row>
      <xdr:rowOff>0</xdr:rowOff>
    </xdr:from>
    <xdr:to>
      <xdr:col>9</xdr:col>
      <xdr:colOff>171450</xdr:colOff>
      <xdr:row>5</xdr:row>
      <xdr:rowOff>0</xdr:rowOff>
    </xdr:to>
    <xdr:pic>
      <xdr:nvPicPr>
        <xdr:cNvPr id="43" name="Picture 42" descr="Contro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5670E116-A8DE-4B51-934C-C54B22AAF1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705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4</xdr:row>
      <xdr:rowOff>0</xdr:rowOff>
    </xdr:from>
    <xdr:to>
      <xdr:col>10</xdr:col>
      <xdr:colOff>171450</xdr:colOff>
      <xdr:row>5</xdr:row>
      <xdr:rowOff>0</xdr:rowOff>
    </xdr:to>
    <xdr:pic>
      <xdr:nvPicPr>
        <xdr:cNvPr id="44" name="Picture 43" descr="EffectivenessVsLHB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D9DE00E9-B08A-4A40-B747-926E32980C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134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4</xdr:row>
      <xdr:rowOff>0</xdr:rowOff>
    </xdr:from>
    <xdr:to>
      <xdr:col>11</xdr:col>
      <xdr:colOff>171450</xdr:colOff>
      <xdr:row>5</xdr:row>
      <xdr:rowOff>0</xdr:rowOff>
    </xdr:to>
    <xdr:pic>
      <xdr:nvPicPr>
        <xdr:cNvPr id="45" name="Picture 44" descr="EffectivenessVsRHB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69DF4E43-898E-4033-84AA-AFB0D28FD9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563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4</xdr:row>
      <xdr:rowOff>0</xdr:rowOff>
    </xdr:from>
    <xdr:to>
      <xdr:col>12</xdr:col>
      <xdr:colOff>171450</xdr:colOff>
      <xdr:row>5</xdr:row>
      <xdr:rowOff>0</xdr:rowOff>
    </xdr:to>
    <xdr:pic>
      <xdr:nvPicPr>
        <xdr:cNvPr id="46" name="Picture 45" descr="Velocit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CB6998A2-499D-4B54-8767-1B704D9525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35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4</xdr:row>
      <xdr:rowOff>0</xdr:rowOff>
    </xdr:from>
    <xdr:to>
      <xdr:col>13</xdr:col>
      <xdr:colOff>171450</xdr:colOff>
      <xdr:row>5</xdr:row>
      <xdr:rowOff>0</xdr:rowOff>
    </xdr:to>
    <xdr:pic>
      <xdr:nvPicPr>
        <xdr:cNvPr id="47" name="Picture 46" descr="GroundBallFlyBal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358E3994-B22C-4747-B9A8-15F2A20B72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786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4</xdr:row>
      <xdr:rowOff>0</xdr:rowOff>
    </xdr:from>
    <xdr:to>
      <xdr:col>14</xdr:col>
      <xdr:colOff>171450</xdr:colOff>
      <xdr:row>5</xdr:row>
      <xdr:rowOff>0</xdr:rowOff>
    </xdr:to>
    <xdr:pic>
      <xdr:nvPicPr>
        <xdr:cNvPr id="48" name="Picture 47" descr="Pitch_1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DB7A35D3-6672-464F-9D40-86EFF40254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215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4</xdr:row>
      <xdr:rowOff>0</xdr:rowOff>
    </xdr:from>
    <xdr:to>
      <xdr:col>15</xdr:col>
      <xdr:colOff>171450</xdr:colOff>
      <xdr:row>5</xdr:row>
      <xdr:rowOff>0</xdr:rowOff>
    </xdr:to>
    <xdr:pic>
      <xdr:nvPicPr>
        <xdr:cNvPr id="49" name="Picture 48" descr="Pitch_2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EA328617-685C-4CB9-95C8-52D38F6C14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644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4</xdr:row>
      <xdr:rowOff>0</xdr:rowOff>
    </xdr:from>
    <xdr:to>
      <xdr:col>16</xdr:col>
      <xdr:colOff>171450</xdr:colOff>
      <xdr:row>5</xdr:row>
      <xdr:rowOff>0</xdr:rowOff>
    </xdr:to>
    <xdr:pic>
      <xdr:nvPicPr>
        <xdr:cNvPr id="50" name="Picture 49" descr="Pitch_3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E2FFBB80-5EF4-4BC5-B96F-F6EFDFA2C4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73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0</xdr:colOff>
      <xdr:row>4</xdr:row>
      <xdr:rowOff>0</xdr:rowOff>
    </xdr:from>
    <xdr:to>
      <xdr:col>17</xdr:col>
      <xdr:colOff>171450</xdr:colOff>
      <xdr:row>5</xdr:row>
      <xdr:rowOff>0</xdr:rowOff>
    </xdr:to>
    <xdr:pic>
      <xdr:nvPicPr>
        <xdr:cNvPr id="51" name="Picture 50" descr="Pitch_4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36501217-2C7B-4DCF-BC9B-1D7FA3D5D6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86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0</xdr:colOff>
      <xdr:row>4</xdr:row>
      <xdr:rowOff>0</xdr:rowOff>
    </xdr:from>
    <xdr:to>
      <xdr:col>18</xdr:col>
      <xdr:colOff>171450</xdr:colOff>
      <xdr:row>5</xdr:row>
      <xdr:rowOff>0</xdr:rowOff>
    </xdr:to>
    <xdr:pic>
      <xdr:nvPicPr>
        <xdr:cNvPr id="52" name="Picture 51" descr="Pitch_5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6B31FC68-4342-4CFD-A566-36ABD0FD51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4</xdr:row>
      <xdr:rowOff>0</xdr:rowOff>
    </xdr:from>
    <xdr:to>
      <xdr:col>19</xdr:col>
      <xdr:colOff>171450</xdr:colOff>
      <xdr:row>5</xdr:row>
      <xdr:rowOff>0</xdr:rowOff>
    </xdr:to>
    <xdr:pic>
      <xdr:nvPicPr>
        <xdr:cNvPr id="53" name="Picture 52" descr="Overal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CE1631C7-F386-49D4-A1FA-D2CCEBD49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9090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7</xdr:col>
      <xdr:colOff>171450</xdr:colOff>
      <xdr:row>5</xdr:row>
      <xdr:rowOff>0</xdr:rowOff>
    </xdr:to>
    <xdr:pic>
      <xdr:nvPicPr>
        <xdr:cNvPr id="26" name="Picture 25" descr="Range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64C9B36A-10F2-E806-F8E3-DF750CD367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11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4</xdr:row>
      <xdr:rowOff>0</xdr:rowOff>
    </xdr:from>
    <xdr:to>
      <xdr:col>8</xdr:col>
      <xdr:colOff>171450</xdr:colOff>
      <xdr:row>5</xdr:row>
      <xdr:rowOff>0</xdr:rowOff>
    </xdr:to>
    <xdr:pic>
      <xdr:nvPicPr>
        <xdr:cNvPr id="27" name="Picture 26" descr="Glove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5EB720C1-EF4B-C6ED-8763-436BF293D6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911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4</xdr:row>
      <xdr:rowOff>0</xdr:rowOff>
    </xdr:from>
    <xdr:to>
      <xdr:col>9</xdr:col>
      <xdr:colOff>171450</xdr:colOff>
      <xdr:row>5</xdr:row>
      <xdr:rowOff>0</xdr:rowOff>
    </xdr:to>
    <xdr:pic>
      <xdr:nvPicPr>
        <xdr:cNvPr id="28" name="Picture 27" descr="ArmStrength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360DFD5D-E2E2-1527-51BB-F99F80B93A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705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4</xdr:row>
      <xdr:rowOff>0</xdr:rowOff>
    </xdr:from>
    <xdr:to>
      <xdr:col>10</xdr:col>
      <xdr:colOff>171450</xdr:colOff>
      <xdr:row>5</xdr:row>
      <xdr:rowOff>0</xdr:rowOff>
    </xdr:to>
    <xdr:pic>
      <xdr:nvPicPr>
        <xdr:cNvPr id="29" name="Picture 28" descr="ArmAccurac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38537479-4BFA-E774-DF59-AE4D4C87B6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134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4</xdr:row>
      <xdr:rowOff>0</xdr:rowOff>
    </xdr:from>
    <xdr:to>
      <xdr:col>11</xdr:col>
      <xdr:colOff>171450</xdr:colOff>
      <xdr:row>5</xdr:row>
      <xdr:rowOff>0</xdr:rowOff>
    </xdr:to>
    <xdr:pic>
      <xdr:nvPicPr>
        <xdr:cNvPr id="30" name="Picture 29" descr="PitchCalling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C1D231D0-2AD8-2DB3-BB8B-ACBE14B61C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563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4</xdr:row>
      <xdr:rowOff>0</xdr:rowOff>
    </xdr:from>
    <xdr:to>
      <xdr:col>12</xdr:col>
      <xdr:colOff>171450</xdr:colOff>
      <xdr:row>5</xdr:row>
      <xdr:rowOff>0</xdr:rowOff>
    </xdr:to>
    <xdr:pic>
      <xdr:nvPicPr>
        <xdr:cNvPr id="31" name="Picture 30" descr="Durabilit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2F1E8D80-FBD5-CEC0-7CD3-48A97D37E0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35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4</xdr:row>
      <xdr:rowOff>0</xdr:rowOff>
    </xdr:from>
    <xdr:to>
      <xdr:col>13</xdr:col>
      <xdr:colOff>171450</xdr:colOff>
      <xdr:row>5</xdr:row>
      <xdr:rowOff>0</xdr:rowOff>
    </xdr:to>
    <xdr:pic>
      <xdr:nvPicPr>
        <xdr:cNvPr id="32" name="Picture 31" descr="Health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417744E3-1878-EB09-B84C-941D9B64BE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786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4</xdr:row>
      <xdr:rowOff>0</xdr:rowOff>
    </xdr:from>
    <xdr:to>
      <xdr:col>14</xdr:col>
      <xdr:colOff>171450</xdr:colOff>
      <xdr:row>5</xdr:row>
      <xdr:rowOff>0</xdr:rowOff>
    </xdr:to>
    <xdr:pic>
      <xdr:nvPicPr>
        <xdr:cNvPr id="33" name="Picture 32" descr="Speed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226B8F52-5484-9FCD-C029-4B26684EF0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215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4</xdr:row>
      <xdr:rowOff>0</xdr:rowOff>
    </xdr:from>
    <xdr:to>
      <xdr:col>15</xdr:col>
      <xdr:colOff>171450</xdr:colOff>
      <xdr:row>5</xdr:row>
      <xdr:rowOff>0</xdr:rowOff>
    </xdr:to>
    <xdr:pic>
      <xdr:nvPicPr>
        <xdr:cNvPr id="34" name="Picture 33" descr="Patience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25C1DFFF-0998-4CB8-A3D8-370B71D3E2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644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4</xdr:row>
      <xdr:rowOff>0</xdr:rowOff>
    </xdr:from>
    <xdr:to>
      <xdr:col>16</xdr:col>
      <xdr:colOff>171450</xdr:colOff>
      <xdr:row>5</xdr:row>
      <xdr:rowOff>0</xdr:rowOff>
    </xdr:to>
    <xdr:pic>
      <xdr:nvPicPr>
        <xdr:cNvPr id="35" name="Picture 34" descr="Temper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81E0AA44-E514-4143-ABDF-E6977FF45B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73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0</xdr:colOff>
      <xdr:row>4</xdr:row>
      <xdr:rowOff>0</xdr:rowOff>
    </xdr:from>
    <xdr:to>
      <xdr:col>17</xdr:col>
      <xdr:colOff>171450</xdr:colOff>
      <xdr:row>5</xdr:row>
      <xdr:rowOff>0</xdr:rowOff>
    </xdr:to>
    <xdr:pic>
      <xdr:nvPicPr>
        <xdr:cNvPr id="36" name="Picture 35" descr="Makeup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FF0A9C25-F486-56AB-AE1A-5E101D5449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86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0</xdr:colOff>
      <xdr:row>4</xdr:row>
      <xdr:rowOff>0</xdr:rowOff>
    </xdr:from>
    <xdr:to>
      <xdr:col>18</xdr:col>
      <xdr:colOff>171450</xdr:colOff>
      <xdr:row>5</xdr:row>
      <xdr:rowOff>0</xdr:rowOff>
    </xdr:to>
    <xdr:pic>
      <xdr:nvPicPr>
        <xdr:cNvPr id="37" name="Picture 36" descr="Overal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9E1EC975-7C9B-2FB3-C6DB-E9183809A2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7</xdr:col>
      <xdr:colOff>171450</xdr:colOff>
      <xdr:row>5</xdr:row>
      <xdr:rowOff>0</xdr:rowOff>
    </xdr:to>
    <xdr:pic>
      <xdr:nvPicPr>
        <xdr:cNvPr id="63" name="Picture 62" descr="Durabilit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8BD2C734-C625-4A03-AA47-757DFDE72D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11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4</xdr:row>
      <xdr:rowOff>0</xdr:rowOff>
    </xdr:from>
    <xdr:to>
      <xdr:col>8</xdr:col>
      <xdr:colOff>171450</xdr:colOff>
      <xdr:row>5</xdr:row>
      <xdr:rowOff>0</xdr:rowOff>
    </xdr:to>
    <xdr:pic>
      <xdr:nvPicPr>
        <xdr:cNvPr id="1024" name="Picture 1023" descr="Stamina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A47544F2-4AF4-C1BC-6AB1-2FBBC83F6A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911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4</xdr:row>
      <xdr:rowOff>0</xdr:rowOff>
    </xdr:from>
    <xdr:to>
      <xdr:col>9</xdr:col>
      <xdr:colOff>171450</xdr:colOff>
      <xdr:row>5</xdr:row>
      <xdr:rowOff>0</xdr:rowOff>
    </xdr:to>
    <xdr:pic>
      <xdr:nvPicPr>
        <xdr:cNvPr id="1038" name="Picture 1037" descr="Contro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34C1F3E3-D082-C26D-204B-E841A92604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705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4</xdr:row>
      <xdr:rowOff>0</xdr:rowOff>
    </xdr:from>
    <xdr:to>
      <xdr:col>10</xdr:col>
      <xdr:colOff>171450</xdr:colOff>
      <xdr:row>5</xdr:row>
      <xdr:rowOff>0</xdr:rowOff>
    </xdr:to>
    <xdr:pic>
      <xdr:nvPicPr>
        <xdr:cNvPr id="1039" name="Picture 1038" descr="EffectivenessVsLHB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6FB1F784-9E9E-E073-E4A3-07E170E8C6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134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4</xdr:row>
      <xdr:rowOff>0</xdr:rowOff>
    </xdr:from>
    <xdr:to>
      <xdr:col>11</xdr:col>
      <xdr:colOff>171450</xdr:colOff>
      <xdr:row>5</xdr:row>
      <xdr:rowOff>0</xdr:rowOff>
    </xdr:to>
    <xdr:pic>
      <xdr:nvPicPr>
        <xdr:cNvPr id="1040" name="Picture 1039" descr="EffectivenessVsRHB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88B4675E-50D0-AB36-3F5B-80EF2441F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563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4</xdr:row>
      <xdr:rowOff>0</xdr:rowOff>
    </xdr:from>
    <xdr:to>
      <xdr:col>12</xdr:col>
      <xdr:colOff>171450</xdr:colOff>
      <xdr:row>5</xdr:row>
      <xdr:rowOff>0</xdr:rowOff>
    </xdr:to>
    <xdr:pic>
      <xdr:nvPicPr>
        <xdr:cNvPr id="1041" name="Picture 1040" descr="Velocit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F3A9731F-4ECA-4CAD-9987-CCFFF86C34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35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4</xdr:row>
      <xdr:rowOff>0</xdr:rowOff>
    </xdr:from>
    <xdr:to>
      <xdr:col>13</xdr:col>
      <xdr:colOff>171450</xdr:colOff>
      <xdr:row>5</xdr:row>
      <xdr:rowOff>0</xdr:rowOff>
    </xdr:to>
    <xdr:pic>
      <xdr:nvPicPr>
        <xdr:cNvPr id="1042" name="Picture 1041" descr="GroundBallFlyBal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76073D98-2969-F304-7F1E-739D10A6EA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786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4</xdr:row>
      <xdr:rowOff>0</xdr:rowOff>
    </xdr:from>
    <xdr:to>
      <xdr:col>14</xdr:col>
      <xdr:colOff>171450</xdr:colOff>
      <xdr:row>5</xdr:row>
      <xdr:rowOff>0</xdr:rowOff>
    </xdr:to>
    <xdr:pic>
      <xdr:nvPicPr>
        <xdr:cNvPr id="1043" name="Picture 1042" descr="Pitch_1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B61510F4-2659-43C2-AC18-3AA410C550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215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4</xdr:row>
      <xdr:rowOff>0</xdr:rowOff>
    </xdr:from>
    <xdr:to>
      <xdr:col>15</xdr:col>
      <xdr:colOff>171450</xdr:colOff>
      <xdr:row>5</xdr:row>
      <xdr:rowOff>0</xdr:rowOff>
    </xdr:to>
    <xdr:pic>
      <xdr:nvPicPr>
        <xdr:cNvPr id="1044" name="Picture 1043" descr="Pitch_2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C8ADC843-3742-34F2-6A47-A555C1A14F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644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4</xdr:row>
      <xdr:rowOff>0</xdr:rowOff>
    </xdr:from>
    <xdr:to>
      <xdr:col>16</xdr:col>
      <xdr:colOff>171450</xdr:colOff>
      <xdr:row>5</xdr:row>
      <xdr:rowOff>0</xdr:rowOff>
    </xdr:to>
    <xdr:pic>
      <xdr:nvPicPr>
        <xdr:cNvPr id="1045" name="Picture 1044" descr="Pitch_3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F9AF6A78-E3BE-B54B-0C33-0132916C80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73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0</xdr:colOff>
      <xdr:row>4</xdr:row>
      <xdr:rowOff>0</xdr:rowOff>
    </xdr:from>
    <xdr:to>
      <xdr:col>17</xdr:col>
      <xdr:colOff>171450</xdr:colOff>
      <xdr:row>5</xdr:row>
      <xdr:rowOff>0</xdr:rowOff>
    </xdr:to>
    <xdr:pic>
      <xdr:nvPicPr>
        <xdr:cNvPr id="1046" name="Picture 1045" descr="Pitch_4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740A8E3D-7EBA-373B-1B0A-FD86A4754D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867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0</xdr:colOff>
      <xdr:row>4</xdr:row>
      <xdr:rowOff>0</xdr:rowOff>
    </xdr:from>
    <xdr:to>
      <xdr:col>18</xdr:col>
      <xdr:colOff>171450</xdr:colOff>
      <xdr:row>5</xdr:row>
      <xdr:rowOff>0</xdr:rowOff>
    </xdr:to>
    <xdr:pic>
      <xdr:nvPicPr>
        <xdr:cNvPr id="1047" name="Picture 1046" descr="Pitch_5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6A69AB0D-87AB-4B6F-019F-F25B29AB67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4</xdr:row>
      <xdr:rowOff>0</xdr:rowOff>
    </xdr:from>
    <xdr:to>
      <xdr:col>19</xdr:col>
      <xdr:colOff>171450</xdr:colOff>
      <xdr:row>5</xdr:row>
      <xdr:rowOff>0</xdr:rowOff>
    </xdr:to>
    <xdr:pic>
      <xdr:nvPicPr>
        <xdr:cNvPr id="1048" name="Picture 1047" descr="Overal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DAD8B804-3197-9A31-5CDE-046336A6E9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909050" y="6858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7</xdr:col>
      <xdr:colOff>175260</xdr:colOff>
      <xdr:row>5</xdr:row>
      <xdr:rowOff>7620</xdr:rowOff>
    </xdr:to>
    <xdr:pic>
      <xdr:nvPicPr>
        <xdr:cNvPr id="2" name="Picture 1" descr="Durabilit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E618146-A4C6-7E83-B082-C1D0AE336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158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4</xdr:row>
      <xdr:rowOff>0</xdr:rowOff>
    </xdr:from>
    <xdr:to>
      <xdr:col>8</xdr:col>
      <xdr:colOff>175260</xdr:colOff>
      <xdr:row>5</xdr:row>
      <xdr:rowOff>7620</xdr:rowOff>
    </xdr:to>
    <xdr:pic>
      <xdr:nvPicPr>
        <xdr:cNvPr id="3" name="Picture 2" descr="Stamina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DB689AE8-6201-FB27-8ECD-F1156F351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9590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4</xdr:row>
      <xdr:rowOff>0</xdr:rowOff>
    </xdr:from>
    <xdr:to>
      <xdr:col>9</xdr:col>
      <xdr:colOff>175260</xdr:colOff>
      <xdr:row>5</xdr:row>
      <xdr:rowOff>7620</xdr:rowOff>
    </xdr:to>
    <xdr:pic>
      <xdr:nvPicPr>
        <xdr:cNvPr id="4" name="Picture 3" descr="Contro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17B5B31-4B7E-B4D9-92CB-4DEB4BD677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7022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4</xdr:row>
      <xdr:rowOff>0</xdr:rowOff>
    </xdr:from>
    <xdr:to>
      <xdr:col>10</xdr:col>
      <xdr:colOff>175260</xdr:colOff>
      <xdr:row>5</xdr:row>
      <xdr:rowOff>7620</xdr:rowOff>
    </xdr:to>
    <xdr:pic>
      <xdr:nvPicPr>
        <xdr:cNvPr id="5" name="Picture 4" descr="EffectivenessVsLHB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D7EC74B3-23E3-7152-F76E-8CD0ABCB47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0550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4</xdr:row>
      <xdr:rowOff>0</xdr:rowOff>
    </xdr:from>
    <xdr:to>
      <xdr:col>11</xdr:col>
      <xdr:colOff>175260</xdr:colOff>
      <xdr:row>5</xdr:row>
      <xdr:rowOff>7620</xdr:rowOff>
    </xdr:to>
    <xdr:pic>
      <xdr:nvPicPr>
        <xdr:cNvPr id="6" name="Picture 5" descr="EffectivenessVsRHB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E6175E09-7010-C4A8-7E65-1FAF767552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078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4</xdr:row>
      <xdr:rowOff>0</xdr:rowOff>
    </xdr:from>
    <xdr:to>
      <xdr:col>12</xdr:col>
      <xdr:colOff>175260</xdr:colOff>
      <xdr:row>5</xdr:row>
      <xdr:rowOff>7620</xdr:rowOff>
    </xdr:to>
    <xdr:pic>
      <xdr:nvPicPr>
        <xdr:cNvPr id="7" name="Picture 6" descr="Velocity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F5001670-B706-B339-A4F8-A3636C4770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1510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4</xdr:row>
      <xdr:rowOff>0</xdr:rowOff>
    </xdr:from>
    <xdr:to>
      <xdr:col>13</xdr:col>
      <xdr:colOff>175260</xdr:colOff>
      <xdr:row>5</xdr:row>
      <xdr:rowOff>7620</xdr:rowOff>
    </xdr:to>
    <xdr:pic>
      <xdr:nvPicPr>
        <xdr:cNvPr id="8" name="Picture 7" descr="GroundBallFlyBal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CCBFDF03-4AE2-F53E-7E0C-0F3836D5BF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038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4</xdr:row>
      <xdr:rowOff>0</xdr:rowOff>
    </xdr:from>
    <xdr:to>
      <xdr:col>14</xdr:col>
      <xdr:colOff>175260</xdr:colOff>
      <xdr:row>5</xdr:row>
      <xdr:rowOff>7620</xdr:rowOff>
    </xdr:to>
    <xdr:pic>
      <xdr:nvPicPr>
        <xdr:cNvPr id="9" name="Picture 8" descr="Pitch_1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C0CCDD39-34B9-DDC0-CE2A-AB87A1354C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566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4</xdr:row>
      <xdr:rowOff>0</xdr:rowOff>
    </xdr:from>
    <xdr:to>
      <xdr:col>15</xdr:col>
      <xdr:colOff>175260</xdr:colOff>
      <xdr:row>5</xdr:row>
      <xdr:rowOff>7620</xdr:rowOff>
    </xdr:to>
    <xdr:pic>
      <xdr:nvPicPr>
        <xdr:cNvPr id="10" name="Picture 9" descr="Pitch_2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E2AE9E89-66E8-F0B5-1C55-23E96821C5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094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4</xdr:row>
      <xdr:rowOff>0</xdr:rowOff>
    </xdr:from>
    <xdr:to>
      <xdr:col>16</xdr:col>
      <xdr:colOff>175260</xdr:colOff>
      <xdr:row>5</xdr:row>
      <xdr:rowOff>7620</xdr:rowOff>
    </xdr:to>
    <xdr:pic>
      <xdr:nvPicPr>
        <xdr:cNvPr id="11" name="Picture 10" descr="Pitch_3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E2DCA498-E25E-E4D2-6FE3-216A532772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5622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0</xdr:colOff>
      <xdr:row>4</xdr:row>
      <xdr:rowOff>0</xdr:rowOff>
    </xdr:from>
    <xdr:to>
      <xdr:col>17</xdr:col>
      <xdr:colOff>175260</xdr:colOff>
      <xdr:row>5</xdr:row>
      <xdr:rowOff>7620</xdr:rowOff>
    </xdr:to>
    <xdr:pic>
      <xdr:nvPicPr>
        <xdr:cNvPr id="12" name="Picture 11" descr="Pitch_4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62D3816C-71E2-7F90-80B0-7BE717C31C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054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0</xdr:colOff>
      <xdr:row>4</xdr:row>
      <xdr:rowOff>0</xdr:rowOff>
    </xdr:from>
    <xdr:to>
      <xdr:col>18</xdr:col>
      <xdr:colOff>175260</xdr:colOff>
      <xdr:row>5</xdr:row>
      <xdr:rowOff>7620</xdr:rowOff>
    </xdr:to>
    <xdr:pic>
      <xdr:nvPicPr>
        <xdr:cNvPr id="13" name="Picture 12" descr="Pitch_5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4F740F64-97E2-4E69-9D24-3A6E002CB5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6582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4</xdr:row>
      <xdr:rowOff>0</xdr:rowOff>
    </xdr:from>
    <xdr:to>
      <xdr:col>19</xdr:col>
      <xdr:colOff>175260</xdr:colOff>
      <xdr:row>5</xdr:row>
      <xdr:rowOff>7620</xdr:rowOff>
    </xdr:to>
    <xdr:pic>
      <xdr:nvPicPr>
        <xdr:cNvPr id="14" name="Picture 13" descr="Overal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44176F1D-796B-5CF8-DFB0-7B66B6C1BE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40140" y="670560"/>
          <a:ext cx="175260" cy="1752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11</xdr:row>
      <xdr:rowOff>76200</xdr:rowOff>
    </xdr:from>
    <xdr:to>
      <xdr:col>23</xdr:col>
      <xdr:colOff>142875</xdr:colOff>
      <xdr:row>34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gif"/><Relationship Id="rId13" Type="http://schemas.openxmlformats.org/officeDocument/2006/relationships/image" Target="../media/image13.gif"/><Relationship Id="rId18" Type="http://schemas.openxmlformats.org/officeDocument/2006/relationships/image" Target="../media/image18.gif"/><Relationship Id="rId26" Type="http://schemas.openxmlformats.org/officeDocument/2006/relationships/image" Target="../media/image26.gif"/><Relationship Id="rId3" Type="http://schemas.openxmlformats.org/officeDocument/2006/relationships/image" Target="../media/image3.gif"/><Relationship Id="rId21" Type="http://schemas.openxmlformats.org/officeDocument/2006/relationships/image" Target="../media/image21.gif"/><Relationship Id="rId7" Type="http://schemas.openxmlformats.org/officeDocument/2006/relationships/image" Target="../media/image7.gif"/><Relationship Id="rId12" Type="http://schemas.openxmlformats.org/officeDocument/2006/relationships/image" Target="../media/image12.gif"/><Relationship Id="rId17" Type="http://schemas.openxmlformats.org/officeDocument/2006/relationships/image" Target="../media/image17.gif"/><Relationship Id="rId25" Type="http://schemas.openxmlformats.org/officeDocument/2006/relationships/image" Target="../media/image25.gif"/><Relationship Id="rId2" Type="http://schemas.openxmlformats.org/officeDocument/2006/relationships/image" Target="../media/image2.gif"/><Relationship Id="rId16" Type="http://schemas.openxmlformats.org/officeDocument/2006/relationships/image" Target="../media/image16.gif"/><Relationship Id="rId20" Type="http://schemas.openxmlformats.org/officeDocument/2006/relationships/image" Target="../media/image20.gif"/><Relationship Id="rId29" Type="http://schemas.openxmlformats.org/officeDocument/2006/relationships/image" Target="../media/image29.gif"/><Relationship Id="rId1" Type="http://schemas.openxmlformats.org/officeDocument/2006/relationships/image" Target="../media/image1.gif"/><Relationship Id="rId6" Type="http://schemas.openxmlformats.org/officeDocument/2006/relationships/image" Target="../media/image6.gif"/><Relationship Id="rId11" Type="http://schemas.openxmlformats.org/officeDocument/2006/relationships/image" Target="../media/image11.gif"/><Relationship Id="rId24" Type="http://schemas.openxmlformats.org/officeDocument/2006/relationships/image" Target="../media/image24.gif"/><Relationship Id="rId5" Type="http://schemas.openxmlformats.org/officeDocument/2006/relationships/image" Target="../media/image5.gif"/><Relationship Id="rId15" Type="http://schemas.openxmlformats.org/officeDocument/2006/relationships/image" Target="../media/image15.gif"/><Relationship Id="rId23" Type="http://schemas.openxmlformats.org/officeDocument/2006/relationships/image" Target="../media/image23.gif"/><Relationship Id="rId28" Type="http://schemas.openxmlformats.org/officeDocument/2006/relationships/image" Target="../media/image28.gif"/><Relationship Id="rId10" Type="http://schemas.openxmlformats.org/officeDocument/2006/relationships/image" Target="../media/image10.gif"/><Relationship Id="rId19" Type="http://schemas.openxmlformats.org/officeDocument/2006/relationships/image" Target="../media/image19.gif"/><Relationship Id="rId31" Type="http://schemas.openxmlformats.org/officeDocument/2006/relationships/image" Target="../media/image31.gif"/><Relationship Id="rId4" Type="http://schemas.openxmlformats.org/officeDocument/2006/relationships/image" Target="../media/image4.gif"/><Relationship Id="rId9" Type="http://schemas.openxmlformats.org/officeDocument/2006/relationships/image" Target="../media/image9.gif"/><Relationship Id="rId14" Type="http://schemas.openxmlformats.org/officeDocument/2006/relationships/image" Target="../media/image14.gif"/><Relationship Id="rId22" Type="http://schemas.openxmlformats.org/officeDocument/2006/relationships/image" Target="../media/image22.gif"/><Relationship Id="rId27" Type="http://schemas.openxmlformats.org/officeDocument/2006/relationships/image" Target="../media/image27.gif"/><Relationship Id="rId30" Type="http://schemas.openxmlformats.org/officeDocument/2006/relationships/image" Target="../media/image30.gif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1">
  <rv s="0">
    <v>0</v>
    <v>5</v>
    <v>Contact</v>
  </rv>
  <rv s="0">
    <v>1</v>
    <v>5</v>
    <v>Power</v>
  </rv>
  <rv s="0">
    <v>2</v>
    <v>5</v>
    <v>battingVsLHP</v>
  </rv>
  <rv s="0">
    <v>3</v>
    <v>5</v>
    <v>battingVsRHP</v>
  </rv>
  <rv s="0">
    <v>4</v>
    <v>5</v>
    <v>BattingEye</v>
  </rv>
  <rv s="0">
    <v>5</v>
    <v>5</v>
    <v>Baserunning</v>
  </rv>
  <rv s="0">
    <v>6</v>
    <v>5</v>
    <v>Bunt</v>
  </rv>
  <rv s="0">
    <v>7</v>
    <v>5</v>
    <v>Pushpull</v>
  </rv>
  <rv s="0">
    <v>8</v>
    <v>5</v>
    <v>Overall</v>
  </rv>
  <rv s="0">
    <v>9</v>
    <v>5</v>
    <v>Range</v>
  </rv>
  <rv s="0">
    <v>10</v>
    <v>5</v>
    <v>Glove</v>
  </rv>
  <rv s="0">
    <v>11</v>
    <v>5</v>
    <v>ArmStrength</v>
  </rv>
  <rv s="0">
    <v>12</v>
    <v>5</v>
    <v>ArmAccuracy</v>
  </rv>
  <rv s="0">
    <v>13</v>
    <v>5</v>
    <v>PitchCalling</v>
  </rv>
  <rv s="0">
    <v>14</v>
    <v>5</v>
    <v>Durability</v>
  </rv>
  <rv s="0">
    <v>15</v>
    <v>5</v>
    <v>Health</v>
  </rv>
  <rv s="0">
    <v>16</v>
    <v>5</v>
    <v>Speed</v>
  </rv>
  <rv s="0">
    <v>17</v>
    <v>5</v>
    <v>Patience</v>
  </rv>
  <rv s="0">
    <v>18</v>
    <v>5</v>
    <v>Temper</v>
  </rv>
  <rv s="0">
    <v>19</v>
    <v>5</v>
    <v>Makeup</v>
  </rv>
  <rv s="0">
    <v>20</v>
    <v>5</v>
    <v>Stamina</v>
  </rv>
  <rv s="0">
    <v>21</v>
    <v>5</v>
    <v>Control</v>
  </rv>
  <rv s="0">
    <v>22</v>
    <v>5</v>
    <v>EffectivenessVsLHB</v>
  </rv>
  <rv s="0">
    <v>23</v>
    <v>5</v>
    <v>EffectivenessVsRHB</v>
  </rv>
  <rv s="0">
    <v>24</v>
    <v>5</v>
    <v>Velocity</v>
  </rv>
  <rv s="0">
    <v>25</v>
    <v>5</v>
    <v>GroundBallFlyBall</v>
  </rv>
  <rv s="0">
    <v>26</v>
    <v>5</v>
    <v>Pitch_1</v>
  </rv>
  <rv s="0">
    <v>27</v>
    <v>5</v>
    <v>Pitch_2</v>
  </rv>
  <rv s="0">
    <v>28</v>
    <v>5</v>
    <v>Pitch_3</v>
  </rv>
  <rv s="0">
    <v>29</v>
    <v>5</v>
    <v>Pitch_4</v>
  </rv>
  <rv s="0">
    <v>30</v>
    <v>5</v>
    <v>Pitch_5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</richValueRel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whatifsports.com/hbd/Pages/Popups/ProspectProfile.aspx?pid=13632186" TargetMode="External"/><Relationship Id="rId299" Type="http://schemas.openxmlformats.org/officeDocument/2006/relationships/hyperlink" Target="https://www.whatifsports.com/hbd/Pages/Popups/ProspectProfile.aspx?pid=13631482" TargetMode="External"/><Relationship Id="rId21" Type="http://schemas.openxmlformats.org/officeDocument/2006/relationships/hyperlink" Target="https://www.whatifsports.com/hbd/Pages/Popups/ProspectProfile.aspx?pid=13631505" TargetMode="External"/><Relationship Id="rId63" Type="http://schemas.openxmlformats.org/officeDocument/2006/relationships/hyperlink" Target="https://www.whatifsports.com/hbd/Pages/Popups/ProspectProfile.aspx?pid=13631701" TargetMode="External"/><Relationship Id="rId159" Type="http://schemas.openxmlformats.org/officeDocument/2006/relationships/hyperlink" Target="https://www.whatifsports.com/hbd/Pages/Popups/ProspectProfile.aspx?pid=13631996" TargetMode="External"/><Relationship Id="rId324" Type="http://schemas.openxmlformats.org/officeDocument/2006/relationships/hyperlink" Target="https://www.whatifsports.com/hbd/Pages/Popups/ProspectProfile.aspx?pid=13632186" TargetMode="External"/><Relationship Id="rId366" Type="http://schemas.openxmlformats.org/officeDocument/2006/relationships/hyperlink" Target="https://www.whatifsports.com/hbd/Pages/Popups/ProspectProfile.aspx?pid=13631996" TargetMode="External"/><Relationship Id="rId170" Type="http://schemas.openxmlformats.org/officeDocument/2006/relationships/hyperlink" Target="https://www.whatifsports.com/hbd/Pages/Popups/ProspectProfile.aspx?pid=13631914" TargetMode="External"/><Relationship Id="rId226" Type="http://schemas.openxmlformats.org/officeDocument/2006/relationships/hyperlink" Target="https://www.whatifsports.com/hbd/Pages/Popups/ProspectProfile.aspx?pid=13631714" TargetMode="External"/><Relationship Id="rId268" Type="http://schemas.openxmlformats.org/officeDocument/2006/relationships/hyperlink" Target="https://www.whatifsports.com/hbd/Pages/Popups/ProspectProfile.aspx?pid=13631768" TargetMode="External"/><Relationship Id="rId32" Type="http://schemas.openxmlformats.org/officeDocument/2006/relationships/hyperlink" Target="https://www.whatifsports.com/hbd/Pages/Popups/ProspectProfile.aspx?pid=13631551" TargetMode="External"/><Relationship Id="rId74" Type="http://schemas.openxmlformats.org/officeDocument/2006/relationships/hyperlink" Target="https://www.whatifsports.com/hbd/Pages/Popups/ProspectProfile.aspx?pid=13631585" TargetMode="External"/><Relationship Id="rId128" Type="http://schemas.openxmlformats.org/officeDocument/2006/relationships/hyperlink" Target="https://www.whatifsports.com/hbd/Pages/Popups/ProspectProfile.aspx?pid=13632071" TargetMode="External"/><Relationship Id="rId335" Type="http://schemas.openxmlformats.org/officeDocument/2006/relationships/hyperlink" Target="https://www.whatifsports.com/hbd/Pages/Popups/ProspectProfile.aspx?pid=13632071" TargetMode="External"/><Relationship Id="rId377" Type="http://schemas.openxmlformats.org/officeDocument/2006/relationships/hyperlink" Target="https://www.whatifsports.com/hbd/Pages/Popups/ProspectProfile.aspx?pid=13631914" TargetMode="External"/><Relationship Id="rId5" Type="http://schemas.openxmlformats.org/officeDocument/2006/relationships/hyperlink" Target="https://www.whatifsports.com/hbd/Pages/GM/AmateurDraftPlayerPool.aspx" TargetMode="External"/><Relationship Id="rId181" Type="http://schemas.openxmlformats.org/officeDocument/2006/relationships/hyperlink" Target="https://www.whatifsports.com/hbd/Pages/Popups/ProspectProfile.aspx?pid=13631703" TargetMode="External"/><Relationship Id="rId237" Type="http://schemas.openxmlformats.org/officeDocument/2006/relationships/hyperlink" Target="https://www.whatifsports.com/hbd/Pages/Popups/ProspectProfile.aspx?pid=13632217" TargetMode="External"/><Relationship Id="rId402" Type="http://schemas.openxmlformats.org/officeDocument/2006/relationships/hyperlink" Target="https://www.whatifsports.com/hbd/Pages/Popups/ProspectProfile.aspx?pid=13631789" TargetMode="External"/><Relationship Id="rId258" Type="http://schemas.openxmlformats.org/officeDocument/2006/relationships/hyperlink" Target="https://www.whatifsports.com/hbd/Pages/Popups/ProspectProfile.aspx?pid=13632172" TargetMode="External"/><Relationship Id="rId279" Type="http://schemas.openxmlformats.org/officeDocument/2006/relationships/hyperlink" Target="https://www.whatifsports.com/hbd/Pages/Popups/ProspectProfile.aspx?pid=13631838" TargetMode="External"/><Relationship Id="rId22" Type="http://schemas.openxmlformats.org/officeDocument/2006/relationships/hyperlink" Target="https://www.whatifsports.com/hbd/Pages/Popups/ProspectProfile.aspx?pid=13632233" TargetMode="External"/><Relationship Id="rId43" Type="http://schemas.openxmlformats.org/officeDocument/2006/relationships/hyperlink" Target="https://www.whatifsports.com/hbd/Pages/Popups/ProspectProfile.aspx?pid=13632197" TargetMode="External"/><Relationship Id="rId64" Type="http://schemas.openxmlformats.org/officeDocument/2006/relationships/hyperlink" Target="https://www.whatifsports.com/hbd/Pages/Popups/ProspectProfile.aspx?pid=13631541" TargetMode="External"/><Relationship Id="rId118" Type="http://schemas.openxmlformats.org/officeDocument/2006/relationships/hyperlink" Target="https://www.whatifsports.com/hbd/Pages/Popups/ProspectProfile.aspx?pid=13632149" TargetMode="External"/><Relationship Id="rId139" Type="http://schemas.openxmlformats.org/officeDocument/2006/relationships/hyperlink" Target="https://www.whatifsports.com/hbd/Pages/Popups/ProspectProfile.aspx?pid=13632048" TargetMode="External"/><Relationship Id="rId290" Type="http://schemas.openxmlformats.org/officeDocument/2006/relationships/hyperlink" Target="https://www.whatifsports.com/hbd/Pages/Popups/ProspectProfile.aspx?pid=13631946" TargetMode="External"/><Relationship Id="rId304" Type="http://schemas.openxmlformats.org/officeDocument/2006/relationships/hyperlink" Target="https://www.whatifsports.com/hbd/Pages/Popups/ProspectProfile.aspx?pid=13631555" TargetMode="External"/><Relationship Id="rId325" Type="http://schemas.openxmlformats.org/officeDocument/2006/relationships/hyperlink" Target="https://www.whatifsports.com/hbd/Pages/Popups/ProspectProfile.aspx?pid=13632149" TargetMode="External"/><Relationship Id="rId346" Type="http://schemas.openxmlformats.org/officeDocument/2006/relationships/hyperlink" Target="https://www.whatifsports.com/hbd/Pages/Popups/ProspectProfile.aspx?pid=13632048" TargetMode="External"/><Relationship Id="rId367" Type="http://schemas.openxmlformats.org/officeDocument/2006/relationships/hyperlink" Target="https://www.whatifsports.com/hbd/Pages/Popups/ProspectProfile.aspx?pid=13631863" TargetMode="External"/><Relationship Id="rId388" Type="http://schemas.openxmlformats.org/officeDocument/2006/relationships/hyperlink" Target="https://www.whatifsports.com/hbd/Pages/Popups/ProspectProfile.aspx?pid=13631703" TargetMode="External"/><Relationship Id="rId85" Type="http://schemas.openxmlformats.org/officeDocument/2006/relationships/hyperlink" Target="https://www.whatifsports.com/hbd/Pages/Popups/ProspectProfile.aspx?pid=13632160" TargetMode="External"/><Relationship Id="rId150" Type="http://schemas.openxmlformats.org/officeDocument/2006/relationships/hyperlink" Target="https://www.whatifsports.com/hbd/Pages/Popups/ProspectProfile.aspx?pid=13632013" TargetMode="External"/><Relationship Id="rId171" Type="http://schemas.openxmlformats.org/officeDocument/2006/relationships/hyperlink" Target="https://www.whatifsports.com/hbd/Pages/Popups/ProspectProfile.aspx?pid=13632023" TargetMode="External"/><Relationship Id="rId192" Type="http://schemas.openxmlformats.org/officeDocument/2006/relationships/hyperlink" Target="https://www.whatifsports.com/hbd/Pages/Popups/ProspectProfile.aspx?pid=13631803" TargetMode="External"/><Relationship Id="rId206" Type="http://schemas.openxmlformats.org/officeDocument/2006/relationships/hyperlink" Target="https://www.whatifsports.com/hbd/Pages/Popups/ProspectProfile.aspx?pid=13631514" TargetMode="External"/><Relationship Id="rId227" Type="http://schemas.openxmlformats.org/officeDocument/2006/relationships/hyperlink" Target="https://www.whatifsports.com/hbd/Pages/Popups/ProspectProfile.aspx?pid=13632205" TargetMode="External"/><Relationship Id="rId413" Type="http://schemas.openxmlformats.org/officeDocument/2006/relationships/hyperlink" Target="https://www.whatifsports.com/hbd/Pages/Popups/ProspectProfile.aspx?pid=13631514" TargetMode="External"/><Relationship Id="rId248" Type="http://schemas.openxmlformats.org/officeDocument/2006/relationships/hyperlink" Target="https://www.whatifsports.com/hbd/Pages/Popups/ProspectProfile.aspx?pid=13632229" TargetMode="External"/><Relationship Id="rId269" Type="http://schemas.openxmlformats.org/officeDocument/2006/relationships/hyperlink" Target="https://www.whatifsports.com/hbd/Pages/Popups/ProspectProfile.aspx?pid=13631725" TargetMode="External"/><Relationship Id="rId12" Type="http://schemas.openxmlformats.org/officeDocument/2006/relationships/hyperlink" Target="https://www.whatifsports.com/hbd/Pages/Popups/ProspectProfile.aspx?pid=13632232" TargetMode="External"/><Relationship Id="rId33" Type="http://schemas.openxmlformats.org/officeDocument/2006/relationships/hyperlink" Target="https://www.whatifsports.com/hbd/Pages/Popups/ProspectProfile.aspx?pid=13631767" TargetMode="External"/><Relationship Id="rId108" Type="http://schemas.openxmlformats.org/officeDocument/2006/relationships/hyperlink" Target="https://www.whatifsports.com/hbd/Pages/Popups/ProspectProfile.aspx?pid=13631916" TargetMode="External"/><Relationship Id="rId129" Type="http://schemas.openxmlformats.org/officeDocument/2006/relationships/hyperlink" Target="https://www.whatifsports.com/hbd/Pages/Popups/ProspectProfile.aspx?pid=13631926" TargetMode="External"/><Relationship Id="rId280" Type="http://schemas.openxmlformats.org/officeDocument/2006/relationships/hyperlink" Target="https://www.whatifsports.com/hbd/Pages/Popups/ProspectProfile.aspx?pid=13631718" TargetMode="External"/><Relationship Id="rId315" Type="http://schemas.openxmlformats.org/officeDocument/2006/relationships/hyperlink" Target="https://www.whatifsports.com/hbd/Pages/Popups/ProspectProfile.aspx?pid=13631916" TargetMode="External"/><Relationship Id="rId336" Type="http://schemas.openxmlformats.org/officeDocument/2006/relationships/hyperlink" Target="https://www.whatifsports.com/hbd/Pages/Popups/ProspectProfile.aspx?pid=13631926" TargetMode="External"/><Relationship Id="rId357" Type="http://schemas.openxmlformats.org/officeDocument/2006/relationships/hyperlink" Target="https://www.whatifsports.com/hbd/Pages/Popups/ProspectProfile.aspx?pid=13632013" TargetMode="External"/><Relationship Id="rId54" Type="http://schemas.openxmlformats.org/officeDocument/2006/relationships/hyperlink" Target="https://www.whatifsports.com/hbd/Pages/Popups/ProspectProfile.aspx?pid=13631497" TargetMode="External"/><Relationship Id="rId75" Type="http://schemas.openxmlformats.org/officeDocument/2006/relationships/hyperlink" Target="https://www.whatifsports.com/hbd/Pages/Popups/ProspectProfile.aspx?pid=13631409" TargetMode="External"/><Relationship Id="rId96" Type="http://schemas.openxmlformats.org/officeDocument/2006/relationships/hyperlink" Target="https://www.whatifsports.com/hbd/Pages/Popups/ProspectProfile.aspx?pid=13631584" TargetMode="External"/><Relationship Id="rId140" Type="http://schemas.openxmlformats.org/officeDocument/2006/relationships/hyperlink" Target="https://www.whatifsports.com/hbd/Pages/Popups/ProspectProfile.aspx?pid=13631952" TargetMode="External"/><Relationship Id="rId161" Type="http://schemas.openxmlformats.org/officeDocument/2006/relationships/hyperlink" Target="https://www.whatifsports.com/hbd/Pages/Popups/ProspectProfile.aspx?pid=13631680" TargetMode="External"/><Relationship Id="rId182" Type="http://schemas.openxmlformats.org/officeDocument/2006/relationships/hyperlink" Target="https://www.whatifsports.com/hbd/Pages/Popups/ProspectProfile.aspx?pid=13631610" TargetMode="External"/><Relationship Id="rId217" Type="http://schemas.openxmlformats.org/officeDocument/2006/relationships/hyperlink" Target="https://www.whatifsports.com/hbd/Pages/Popups/ProspectProfile.aspx?pid=13631500" TargetMode="External"/><Relationship Id="rId378" Type="http://schemas.openxmlformats.org/officeDocument/2006/relationships/hyperlink" Target="https://www.whatifsports.com/hbd/Pages/Popups/ProspectProfile.aspx?pid=13632023" TargetMode="External"/><Relationship Id="rId399" Type="http://schemas.openxmlformats.org/officeDocument/2006/relationships/hyperlink" Target="https://www.whatifsports.com/hbd/Pages/Popups/ProspectProfile.aspx?pid=13631803" TargetMode="External"/><Relationship Id="rId403" Type="http://schemas.openxmlformats.org/officeDocument/2006/relationships/hyperlink" Target="https://www.whatifsports.com/hbd/Pages/Popups/ProspectProfile.aspx?pid=13631763" TargetMode="External"/><Relationship Id="rId6" Type="http://schemas.openxmlformats.org/officeDocument/2006/relationships/hyperlink" Target="https://www.whatifsports.com/hbd/Pages/GM/AmateurDraftPlayerPool.aspx" TargetMode="External"/><Relationship Id="rId238" Type="http://schemas.openxmlformats.org/officeDocument/2006/relationships/hyperlink" Target="https://www.whatifsports.com/hbd/Pages/Popups/ProspectProfile.aspx?pid=13632171" TargetMode="External"/><Relationship Id="rId259" Type="http://schemas.openxmlformats.org/officeDocument/2006/relationships/hyperlink" Target="https://www.whatifsports.com/hbd/Pages/Popups/ProspectProfile.aspx?pid=13632087" TargetMode="External"/><Relationship Id="rId23" Type="http://schemas.openxmlformats.org/officeDocument/2006/relationships/hyperlink" Target="https://www.whatifsports.com/hbd/Pages/Popups/ProspectProfile.aspx?pid=13632194" TargetMode="External"/><Relationship Id="rId119" Type="http://schemas.openxmlformats.org/officeDocument/2006/relationships/hyperlink" Target="https://www.whatifsports.com/hbd/Pages/Popups/ProspectProfile.aspx?pid=13632019" TargetMode="External"/><Relationship Id="rId270" Type="http://schemas.openxmlformats.org/officeDocument/2006/relationships/hyperlink" Target="https://www.whatifsports.com/hbd/Pages/Popups/ProspectProfile.aspx?pid=13631701" TargetMode="External"/><Relationship Id="rId291" Type="http://schemas.openxmlformats.org/officeDocument/2006/relationships/hyperlink" Target="https://www.whatifsports.com/hbd/Pages/Popups/ProspectProfile.aspx?pid=13631478" TargetMode="External"/><Relationship Id="rId305" Type="http://schemas.openxmlformats.org/officeDocument/2006/relationships/hyperlink" Target="https://www.whatifsports.com/hbd/Pages/Popups/ProspectProfile.aspx?pid=13632123" TargetMode="External"/><Relationship Id="rId326" Type="http://schemas.openxmlformats.org/officeDocument/2006/relationships/hyperlink" Target="https://www.whatifsports.com/hbd/Pages/Popups/ProspectProfile.aspx?pid=13632019" TargetMode="External"/><Relationship Id="rId347" Type="http://schemas.openxmlformats.org/officeDocument/2006/relationships/hyperlink" Target="https://www.whatifsports.com/hbd/Pages/Popups/ProspectProfile.aspx?pid=13631952" TargetMode="External"/><Relationship Id="rId44" Type="http://schemas.openxmlformats.org/officeDocument/2006/relationships/hyperlink" Target="https://www.whatifsports.com/hbd/Pages/Popups/ProspectProfile.aspx?pid=13632178" TargetMode="External"/><Relationship Id="rId65" Type="http://schemas.openxmlformats.org/officeDocument/2006/relationships/hyperlink" Target="https://www.whatifsports.com/hbd/Pages/Popups/ProspectProfile.aspx?pid=13631579" TargetMode="External"/><Relationship Id="rId86" Type="http://schemas.openxmlformats.org/officeDocument/2006/relationships/hyperlink" Target="https://www.whatifsports.com/hbd/Pages/Popups/ProspectProfile.aspx?pid=13631835" TargetMode="External"/><Relationship Id="rId130" Type="http://schemas.openxmlformats.org/officeDocument/2006/relationships/hyperlink" Target="https://www.whatifsports.com/hbd/Pages/Popups/ProspectProfile.aspx?pid=13631698" TargetMode="External"/><Relationship Id="rId151" Type="http://schemas.openxmlformats.org/officeDocument/2006/relationships/hyperlink" Target="https://www.whatifsports.com/hbd/Pages/Popups/ProspectProfile.aspx?pid=13632078" TargetMode="External"/><Relationship Id="rId368" Type="http://schemas.openxmlformats.org/officeDocument/2006/relationships/hyperlink" Target="https://www.whatifsports.com/hbd/Pages/Popups/ProspectProfile.aspx?pid=13631680" TargetMode="External"/><Relationship Id="rId389" Type="http://schemas.openxmlformats.org/officeDocument/2006/relationships/hyperlink" Target="https://www.whatifsports.com/hbd/Pages/Popups/ProspectProfile.aspx?pid=13631610" TargetMode="External"/><Relationship Id="rId172" Type="http://schemas.openxmlformats.org/officeDocument/2006/relationships/hyperlink" Target="https://www.whatifsports.com/hbd/Pages/Popups/ProspectProfile.aspx?pid=13631860" TargetMode="External"/><Relationship Id="rId193" Type="http://schemas.openxmlformats.org/officeDocument/2006/relationships/hyperlink" Target="https://www.whatifsports.com/hbd/Pages/Popups/ProspectProfile.aspx?pid=13631792" TargetMode="External"/><Relationship Id="rId207" Type="http://schemas.openxmlformats.org/officeDocument/2006/relationships/hyperlink" Target="https://www.whatifsports.com/hbd/Pages/Popups/ProspectProfile.aspx?pid=13631406" TargetMode="External"/><Relationship Id="rId228" Type="http://schemas.openxmlformats.org/officeDocument/2006/relationships/hyperlink" Target="https://www.whatifsports.com/hbd/Pages/Popups/ProspectProfile.aspx?pid=13631505" TargetMode="External"/><Relationship Id="rId249" Type="http://schemas.openxmlformats.org/officeDocument/2006/relationships/hyperlink" Target="https://www.whatifsports.com/hbd/Pages/Popups/ProspectProfile.aspx?pid=13631678" TargetMode="External"/><Relationship Id="rId414" Type="http://schemas.openxmlformats.org/officeDocument/2006/relationships/hyperlink" Target="https://www.whatifsports.com/hbd/Pages/Popups/ProspectProfile.aspx?pid=13631406" TargetMode="External"/><Relationship Id="rId13" Type="http://schemas.openxmlformats.org/officeDocument/2006/relationships/hyperlink" Target="https://www.whatifsports.com/hbd/Pages/Popups/ProspectProfile.aspx?pid=13632221" TargetMode="External"/><Relationship Id="rId109" Type="http://schemas.openxmlformats.org/officeDocument/2006/relationships/hyperlink" Target="https://www.whatifsports.com/hbd/Pages/Popups/ProspectProfile.aspx?pid=13631716" TargetMode="External"/><Relationship Id="rId260" Type="http://schemas.openxmlformats.org/officeDocument/2006/relationships/hyperlink" Target="https://www.whatifsports.com/hbd/Pages/Popups/ProspectProfile.aspx?pid=13631674" TargetMode="External"/><Relationship Id="rId281" Type="http://schemas.openxmlformats.org/officeDocument/2006/relationships/hyperlink" Target="https://www.whatifsports.com/hbd/Pages/Popups/ProspectProfile.aspx?pid=13631585" TargetMode="External"/><Relationship Id="rId316" Type="http://schemas.openxmlformats.org/officeDocument/2006/relationships/hyperlink" Target="https://www.whatifsports.com/hbd/Pages/Popups/ProspectProfile.aspx?pid=13631716" TargetMode="External"/><Relationship Id="rId337" Type="http://schemas.openxmlformats.org/officeDocument/2006/relationships/hyperlink" Target="https://www.whatifsports.com/hbd/Pages/Popups/ProspectProfile.aspx?pid=13631698" TargetMode="External"/><Relationship Id="rId34" Type="http://schemas.openxmlformats.org/officeDocument/2006/relationships/hyperlink" Target="https://www.whatifsports.com/hbd/Pages/Popups/ProspectProfile.aspx?pid=13631591" TargetMode="External"/><Relationship Id="rId55" Type="http://schemas.openxmlformats.org/officeDocument/2006/relationships/hyperlink" Target="https://www.whatifsports.com/hbd/Pages/Popups/ProspectProfile.aspx?pid=13631429" TargetMode="External"/><Relationship Id="rId76" Type="http://schemas.openxmlformats.org/officeDocument/2006/relationships/hyperlink" Target="https://www.whatifsports.com/hbd/Pages/Popups/ProspectProfile.aspx?pid=13631852" TargetMode="External"/><Relationship Id="rId97" Type="http://schemas.openxmlformats.org/officeDocument/2006/relationships/hyperlink" Target="https://www.whatifsports.com/hbd/Pages/Popups/ProspectProfile.aspx?pid=13631555" TargetMode="External"/><Relationship Id="rId120" Type="http://schemas.openxmlformats.org/officeDocument/2006/relationships/hyperlink" Target="https://www.whatifsports.com/hbd/Pages/Popups/ProspectProfile.aspx?pid=13631836" TargetMode="External"/><Relationship Id="rId141" Type="http://schemas.openxmlformats.org/officeDocument/2006/relationships/hyperlink" Target="https://www.whatifsports.com/hbd/Pages/Popups/ProspectProfile.aspx?pid=13631896" TargetMode="External"/><Relationship Id="rId358" Type="http://schemas.openxmlformats.org/officeDocument/2006/relationships/hyperlink" Target="https://www.whatifsports.com/hbd/Pages/Popups/ProspectProfile.aspx?pid=13632078" TargetMode="External"/><Relationship Id="rId379" Type="http://schemas.openxmlformats.org/officeDocument/2006/relationships/hyperlink" Target="https://www.whatifsports.com/hbd/Pages/Popups/ProspectProfile.aspx?pid=13631860" TargetMode="External"/><Relationship Id="rId7" Type="http://schemas.openxmlformats.org/officeDocument/2006/relationships/hyperlink" Target="https://www.whatifsports.com/hbd/Pages/Popups/ProspectProfile.aspx?pid=13631431" TargetMode="External"/><Relationship Id="rId162" Type="http://schemas.openxmlformats.org/officeDocument/2006/relationships/hyperlink" Target="https://www.whatifsports.com/hbd/Pages/Popups/ProspectProfile.aspx?pid=13631630" TargetMode="External"/><Relationship Id="rId183" Type="http://schemas.openxmlformats.org/officeDocument/2006/relationships/hyperlink" Target="https://www.whatifsports.com/hbd/Pages/Popups/ProspectProfile.aspx?pid=13631963" TargetMode="External"/><Relationship Id="rId218" Type="http://schemas.openxmlformats.org/officeDocument/2006/relationships/hyperlink" Target="https://www.whatifsports.com/hbd/Pages/Popups/ProspectProfile.aspx?pid=13631732" TargetMode="External"/><Relationship Id="rId239" Type="http://schemas.openxmlformats.org/officeDocument/2006/relationships/hyperlink" Target="https://www.whatifsports.com/hbd/Pages/Popups/ProspectProfile.aspx?pid=13631551" TargetMode="External"/><Relationship Id="rId390" Type="http://schemas.openxmlformats.org/officeDocument/2006/relationships/hyperlink" Target="https://www.whatifsports.com/hbd/Pages/Popups/ProspectProfile.aspx?pid=13631963" TargetMode="External"/><Relationship Id="rId404" Type="http://schemas.openxmlformats.org/officeDocument/2006/relationships/hyperlink" Target="https://www.whatifsports.com/hbd/Pages/Popups/ProspectProfile.aspx?pid=13631762" TargetMode="External"/><Relationship Id="rId250" Type="http://schemas.openxmlformats.org/officeDocument/2006/relationships/hyperlink" Target="https://www.whatifsports.com/hbd/Pages/Popups/ProspectProfile.aspx?pid=13632197" TargetMode="External"/><Relationship Id="rId271" Type="http://schemas.openxmlformats.org/officeDocument/2006/relationships/hyperlink" Target="https://www.whatifsports.com/hbd/Pages/Popups/ProspectProfile.aspx?pid=13631541" TargetMode="External"/><Relationship Id="rId292" Type="http://schemas.openxmlformats.org/officeDocument/2006/relationships/hyperlink" Target="https://www.whatifsports.com/hbd/Pages/Popups/ProspectProfile.aspx?pid=13632160" TargetMode="External"/><Relationship Id="rId306" Type="http://schemas.openxmlformats.org/officeDocument/2006/relationships/hyperlink" Target="https://www.whatifsports.com/hbd/Pages/Popups/ProspectProfile.aspx?pid=13632104" TargetMode="External"/><Relationship Id="rId24" Type="http://schemas.openxmlformats.org/officeDocument/2006/relationships/hyperlink" Target="https://www.whatifsports.com/hbd/Pages/Popups/ProspectProfile.aspx?pid=13631607" TargetMode="External"/><Relationship Id="rId45" Type="http://schemas.openxmlformats.org/officeDocument/2006/relationships/hyperlink" Target="https://www.whatifsports.com/hbd/Pages/Popups/ProspectProfile.aspx?pid=13631839" TargetMode="External"/><Relationship Id="rId66" Type="http://schemas.openxmlformats.org/officeDocument/2006/relationships/hyperlink" Target="https://www.whatifsports.com/hbd/Pages/Popups/ProspectProfile.aspx?pid=13631552" TargetMode="External"/><Relationship Id="rId87" Type="http://schemas.openxmlformats.org/officeDocument/2006/relationships/hyperlink" Target="https://www.whatifsports.com/hbd/Pages/Popups/ProspectProfile.aspx?pid=13631567" TargetMode="External"/><Relationship Id="rId110" Type="http://schemas.openxmlformats.org/officeDocument/2006/relationships/hyperlink" Target="https://www.whatifsports.com/hbd/Pages/Popups/ProspectProfile.aspx?pid=13631471" TargetMode="External"/><Relationship Id="rId131" Type="http://schemas.openxmlformats.org/officeDocument/2006/relationships/hyperlink" Target="https://www.whatifsports.com/hbd/Pages/Popups/ProspectProfile.aspx?pid=13632164" TargetMode="External"/><Relationship Id="rId327" Type="http://schemas.openxmlformats.org/officeDocument/2006/relationships/hyperlink" Target="https://www.whatifsports.com/hbd/Pages/Popups/ProspectProfile.aspx?pid=13631836" TargetMode="External"/><Relationship Id="rId348" Type="http://schemas.openxmlformats.org/officeDocument/2006/relationships/hyperlink" Target="https://www.whatifsports.com/hbd/Pages/Popups/ProspectProfile.aspx?pid=13631896" TargetMode="External"/><Relationship Id="rId369" Type="http://schemas.openxmlformats.org/officeDocument/2006/relationships/hyperlink" Target="https://www.whatifsports.com/hbd/Pages/Popups/ProspectProfile.aspx?pid=13631630" TargetMode="External"/><Relationship Id="rId152" Type="http://schemas.openxmlformats.org/officeDocument/2006/relationships/hyperlink" Target="https://www.whatifsports.com/hbd/Pages/Popups/ProspectProfile.aspx?pid=13631910" TargetMode="External"/><Relationship Id="rId173" Type="http://schemas.openxmlformats.org/officeDocument/2006/relationships/hyperlink" Target="https://www.whatifsports.com/hbd/Pages/Popups/ProspectProfile.aspx?pid=13631526" TargetMode="External"/><Relationship Id="rId194" Type="http://schemas.openxmlformats.org/officeDocument/2006/relationships/hyperlink" Target="https://www.whatifsports.com/hbd/Pages/Popups/ProspectProfile.aspx?pid=13631791" TargetMode="External"/><Relationship Id="rId208" Type="http://schemas.openxmlformats.org/officeDocument/2006/relationships/hyperlink" Target="https://www.whatifsports.com/hbd/Pages/GM/AmateurDraftPlayerPool.aspx" TargetMode="External"/><Relationship Id="rId229" Type="http://schemas.openxmlformats.org/officeDocument/2006/relationships/hyperlink" Target="https://www.whatifsports.com/hbd/Pages/Popups/ProspectProfile.aspx?pid=13632233" TargetMode="External"/><Relationship Id="rId380" Type="http://schemas.openxmlformats.org/officeDocument/2006/relationships/hyperlink" Target="https://www.whatifsports.com/hbd/Pages/Popups/ProspectProfile.aspx?pid=13631526" TargetMode="External"/><Relationship Id="rId415" Type="http://schemas.openxmlformats.org/officeDocument/2006/relationships/printerSettings" Target="../printerSettings/printerSettings1.bin"/><Relationship Id="rId240" Type="http://schemas.openxmlformats.org/officeDocument/2006/relationships/hyperlink" Target="https://www.whatifsports.com/hbd/Pages/Popups/ProspectProfile.aspx?pid=13631767" TargetMode="External"/><Relationship Id="rId261" Type="http://schemas.openxmlformats.org/officeDocument/2006/relationships/hyperlink" Target="https://www.whatifsports.com/hbd/Pages/Popups/ProspectProfile.aspx?pid=13631497" TargetMode="External"/><Relationship Id="rId14" Type="http://schemas.openxmlformats.org/officeDocument/2006/relationships/hyperlink" Target="https://www.whatifsports.com/hbd/Pages/Popups/ProspectProfile.aspx?pid=13631506" TargetMode="External"/><Relationship Id="rId35" Type="http://schemas.openxmlformats.org/officeDocument/2006/relationships/hyperlink" Target="https://www.whatifsports.com/hbd/Pages/Popups/ProspectProfile.aspx?pid=13632212" TargetMode="External"/><Relationship Id="rId56" Type="http://schemas.openxmlformats.org/officeDocument/2006/relationships/hyperlink" Target="https://www.whatifsports.com/hbd/Pages/Popups/ProspectProfile.aspx?pid=13632208" TargetMode="External"/><Relationship Id="rId77" Type="http://schemas.openxmlformats.org/officeDocument/2006/relationships/hyperlink" Target="https://www.whatifsports.com/hbd/Pages/Popups/ProspectProfile.aspx?pid=13631699" TargetMode="External"/><Relationship Id="rId100" Type="http://schemas.openxmlformats.org/officeDocument/2006/relationships/hyperlink" Target="https://www.whatifsports.com/hbd/Pages/Popups/ProspectProfile.aspx?pid=13631459" TargetMode="External"/><Relationship Id="rId282" Type="http://schemas.openxmlformats.org/officeDocument/2006/relationships/hyperlink" Target="https://www.whatifsports.com/hbd/Pages/Popups/ProspectProfile.aspx?pid=13631409" TargetMode="External"/><Relationship Id="rId317" Type="http://schemas.openxmlformats.org/officeDocument/2006/relationships/hyperlink" Target="https://www.whatifsports.com/hbd/Pages/Popups/ProspectProfile.aspx?pid=13631471" TargetMode="External"/><Relationship Id="rId338" Type="http://schemas.openxmlformats.org/officeDocument/2006/relationships/hyperlink" Target="https://www.whatifsports.com/hbd/Pages/Popups/ProspectProfile.aspx?pid=13632164" TargetMode="External"/><Relationship Id="rId359" Type="http://schemas.openxmlformats.org/officeDocument/2006/relationships/hyperlink" Target="https://www.whatifsports.com/hbd/Pages/Popups/ProspectProfile.aspx?pid=13631910" TargetMode="External"/><Relationship Id="rId8" Type="http://schemas.openxmlformats.org/officeDocument/2006/relationships/hyperlink" Target="https://www.whatifsports.com/hbd/Pages/Popups/ProspectProfile.aspx?pid=13631837" TargetMode="External"/><Relationship Id="rId98" Type="http://schemas.openxmlformats.org/officeDocument/2006/relationships/hyperlink" Target="https://www.whatifsports.com/hbd/Pages/Popups/ProspectProfile.aspx?pid=13632123" TargetMode="External"/><Relationship Id="rId121" Type="http://schemas.openxmlformats.org/officeDocument/2006/relationships/hyperlink" Target="https://www.whatifsports.com/hbd/Pages/Popups/ProspectProfile.aspx?pid=13632201" TargetMode="External"/><Relationship Id="rId142" Type="http://schemas.openxmlformats.org/officeDocument/2006/relationships/hyperlink" Target="https://www.whatifsports.com/hbd/Pages/Popups/ProspectProfile.aspx?pid=13631877" TargetMode="External"/><Relationship Id="rId163" Type="http://schemas.openxmlformats.org/officeDocument/2006/relationships/hyperlink" Target="https://www.whatifsports.com/hbd/Pages/Popups/ProspectProfile.aspx?pid=13632115" TargetMode="External"/><Relationship Id="rId184" Type="http://schemas.openxmlformats.org/officeDocument/2006/relationships/hyperlink" Target="https://www.whatifsports.com/hbd/Pages/Popups/ProspectProfile.aspx?pid=13631882" TargetMode="External"/><Relationship Id="rId219" Type="http://schemas.openxmlformats.org/officeDocument/2006/relationships/hyperlink" Target="https://www.whatifsports.com/hbd/Pages/Popups/ProspectProfile.aspx?pid=13632232" TargetMode="External"/><Relationship Id="rId370" Type="http://schemas.openxmlformats.org/officeDocument/2006/relationships/hyperlink" Target="https://www.whatifsports.com/hbd/Pages/Popups/ProspectProfile.aspx?pid=13632115" TargetMode="External"/><Relationship Id="rId391" Type="http://schemas.openxmlformats.org/officeDocument/2006/relationships/hyperlink" Target="https://www.whatifsports.com/hbd/Pages/Popups/ProspectProfile.aspx?pid=13631882" TargetMode="External"/><Relationship Id="rId405" Type="http://schemas.openxmlformats.org/officeDocument/2006/relationships/hyperlink" Target="https://www.whatifsports.com/hbd/Pages/Popups/ProspectProfile.aspx?pid=13631752" TargetMode="External"/><Relationship Id="rId230" Type="http://schemas.openxmlformats.org/officeDocument/2006/relationships/hyperlink" Target="https://www.whatifsports.com/hbd/Pages/Popups/ProspectProfile.aspx?pid=13632194" TargetMode="External"/><Relationship Id="rId251" Type="http://schemas.openxmlformats.org/officeDocument/2006/relationships/hyperlink" Target="https://www.whatifsports.com/hbd/Pages/Popups/ProspectProfile.aspx?pid=13632178" TargetMode="External"/><Relationship Id="rId25" Type="http://schemas.openxmlformats.org/officeDocument/2006/relationships/hyperlink" Target="https://www.whatifsports.com/hbd/Pages/Popups/ProspectProfile.aspx?pid=13632223" TargetMode="External"/><Relationship Id="rId46" Type="http://schemas.openxmlformats.org/officeDocument/2006/relationships/hyperlink" Target="https://www.whatifsports.com/hbd/Pages/Popups/ProspectProfile.aspx?pid=13631730" TargetMode="External"/><Relationship Id="rId67" Type="http://schemas.openxmlformats.org/officeDocument/2006/relationships/hyperlink" Target="https://www.whatifsports.com/hbd/Pages/Popups/ProspectProfile.aspx?pid=13632224" TargetMode="External"/><Relationship Id="rId272" Type="http://schemas.openxmlformats.org/officeDocument/2006/relationships/hyperlink" Target="https://www.whatifsports.com/hbd/Pages/Popups/ProspectProfile.aspx?pid=13631579" TargetMode="External"/><Relationship Id="rId293" Type="http://schemas.openxmlformats.org/officeDocument/2006/relationships/hyperlink" Target="https://www.whatifsports.com/hbd/Pages/Popups/ProspectProfile.aspx?pid=13631835" TargetMode="External"/><Relationship Id="rId307" Type="http://schemas.openxmlformats.org/officeDocument/2006/relationships/hyperlink" Target="https://www.whatifsports.com/hbd/Pages/Popups/ProspectProfile.aspx?pid=13631459" TargetMode="External"/><Relationship Id="rId328" Type="http://schemas.openxmlformats.org/officeDocument/2006/relationships/hyperlink" Target="https://www.whatifsports.com/hbd/Pages/Popups/ProspectProfile.aspx?pid=13632201" TargetMode="External"/><Relationship Id="rId349" Type="http://schemas.openxmlformats.org/officeDocument/2006/relationships/hyperlink" Target="https://www.whatifsports.com/hbd/Pages/Popups/ProspectProfile.aspx?pid=13631877" TargetMode="External"/><Relationship Id="rId88" Type="http://schemas.openxmlformats.org/officeDocument/2006/relationships/hyperlink" Target="https://www.whatifsports.com/hbd/Pages/Popups/ProspectProfile.aspx?pid=13632099" TargetMode="External"/><Relationship Id="rId111" Type="http://schemas.openxmlformats.org/officeDocument/2006/relationships/hyperlink" Target="https://www.whatifsports.com/hbd/Pages/Popups/ProspectProfile.aspx?pid=13631437" TargetMode="External"/><Relationship Id="rId132" Type="http://schemas.openxmlformats.org/officeDocument/2006/relationships/hyperlink" Target="https://www.whatifsports.com/hbd/Pages/Popups/ProspectProfile.aspx?pid=13632113" TargetMode="External"/><Relationship Id="rId153" Type="http://schemas.openxmlformats.org/officeDocument/2006/relationships/hyperlink" Target="https://www.whatifsports.com/hbd/Pages/Popups/ProspectProfile.aspx?pid=13631448" TargetMode="External"/><Relationship Id="rId174" Type="http://schemas.openxmlformats.org/officeDocument/2006/relationships/hyperlink" Target="https://www.whatifsports.com/hbd/Pages/Popups/ProspectProfile.aspx?pid=13631876" TargetMode="External"/><Relationship Id="rId195" Type="http://schemas.openxmlformats.org/officeDocument/2006/relationships/hyperlink" Target="https://www.whatifsports.com/hbd/Pages/Popups/ProspectProfile.aspx?pid=13631789" TargetMode="External"/><Relationship Id="rId209" Type="http://schemas.openxmlformats.org/officeDocument/2006/relationships/hyperlink" Target="https://www.whatifsports.com/hbd/Pages/GM/AmateurDraftPlayerPool.aspx" TargetMode="External"/><Relationship Id="rId360" Type="http://schemas.openxmlformats.org/officeDocument/2006/relationships/hyperlink" Target="https://www.whatifsports.com/hbd/Pages/Popups/ProspectProfile.aspx?pid=13631448" TargetMode="External"/><Relationship Id="rId381" Type="http://schemas.openxmlformats.org/officeDocument/2006/relationships/hyperlink" Target="https://www.whatifsports.com/hbd/Pages/Popups/ProspectProfile.aspx?pid=13631876" TargetMode="External"/><Relationship Id="rId416" Type="http://schemas.openxmlformats.org/officeDocument/2006/relationships/drawing" Target="../drawings/drawing1.xml"/><Relationship Id="rId220" Type="http://schemas.openxmlformats.org/officeDocument/2006/relationships/hyperlink" Target="https://www.whatifsports.com/hbd/Pages/Popups/ProspectProfile.aspx?pid=13632221" TargetMode="External"/><Relationship Id="rId241" Type="http://schemas.openxmlformats.org/officeDocument/2006/relationships/hyperlink" Target="https://www.whatifsports.com/hbd/Pages/Popups/ProspectProfile.aspx?pid=13631591" TargetMode="External"/><Relationship Id="rId15" Type="http://schemas.openxmlformats.org/officeDocument/2006/relationships/hyperlink" Target="https://www.whatifsports.com/hbd/Pages/Popups/ProspectProfile.aspx?pid=13632238" TargetMode="External"/><Relationship Id="rId36" Type="http://schemas.openxmlformats.org/officeDocument/2006/relationships/hyperlink" Target="https://www.whatifsports.com/hbd/Pages/Popups/ProspectProfile.aspx?pid=13631672" TargetMode="External"/><Relationship Id="rId57" Type="http://schemas.openxmlformats.org/officeDocument/2006/relationships/hyperlink" Target="https://www.whatifsports.com/hbd/Pages/Popups/ProspectProfile.aspx?pid=13632206" TargetMode="External"/><Relationship Id="rId262" Type="http://schemas.openxmlformats.org/officeDocument/2006/relationships/hyperlink" Target="https://www.whatifsports.com/hbd/Pages/Popups/ProspectProfile.aspx?pid=13631429" TargetMode="External"/><Relationship Id="rId283" Type="http://schemas.openxmlformats.org/officeDocument/2006/relationships/hyperlink" Target="https://www.whatifsports.com/hbd/Pages/Popups/ProspectProfile.aspx?pid=13631852" TargetMode="External"/><Relationship Id="rId318" Type="http://schemas.openxmlformats.org/officeDocument/2006/relationships/hyperlink" Target="https://www.whatifsports.com/hbd/Pages/Popups/ProspectProfile.aspx?pid=13631437" TargetMode="External"/><Relationship Id="rId339" Type="http://schemas.openxmlformats.org/officeDocument/2006/relationships/hyperlink" Target="https://www.whatifsports.com/hbd/Pages/Popups/ProspectProfile.aspx?pid=13632113" TargetMode="External"/><Relationship Id="rId78" Type="http://schemas.openxmlformats.org/officeDocument/2006/relationships/hyperlink" Target="https://www.whatifsports.com/hbd/Pages/Popups/ProspectProfile.aspx?pid=13631667" TargetMode="External"/><Relationship Id="rId99" Type="http://schemas.openxmlformats.org/officeDocument/2006/relationships/hyperlink" Target="https://www.whatifsports.com/hbd/Pages/Popups/ProspectProfile.aspx?pid=13632104" TargetMode="External"/><Relationship Id="rId101" Type="http://schemas.openxmlformats.org/officeDocument/2006/relationships/hyperlink" Target="https://www.whatifsports.com/hbd/Pages/Popups/ProspectProfile.aspx?pid=13632001" TargetMode="External"/><Relationship Id="rId122" Type="http://schemas.openxmlformats.org/officeDocument/2006/relationships/hyperlink" Target="https://www.whatifsports.com/hbd/Pages/Popups/ProspectProfile.aspx?pid=13632085" TargetMode="External"/><Relationship Id="rId143" Type="http://schemas.openxmlformats.org/officeDocument/2006/relationships/hyperlink" Target="https://www.whatifsports.com/hbd/Pages/Popups/ProspectProfile.aspx?pid=13631875" TargetMode="External"/><Relationship Id="rId164" Type="http://schemas.openxmlformats.org/officeDocument/2006/relationships/hyperlink" Target="https://www.whatifsports.com/hbd/Pages/Popups/ProspectProfile.aspx?pid=13631994" TargetMode="External"/><Relationship Id="rId185" Type="http://schemas.openxmlformats.org/officeDocument/2006/relationships/hyperlink" Target="https://www.whatifsports.com/hbd/Pages/Popups/ProspectProfile.aspx?pid=13632154" TargetMode="External"/><Relationship Id="rId350" Type="http://schemas.openxmlformats.org/officeDocument/2006/relationships/hyperlink" Target="https://www.whatifsports.com/hbd/Pages/Popups/ProspectProfile.aspx?pid=13631875" TargetMode="External"/><Relationship Id="rId371" Type="http://schemas.openxmlformats.org/officeDocument/2006/relationships/hyperlink" Target="https://www.whatifsports.com/hbd/Pages/Popups/ProspectProfile.aspx?pid=13631994" TargetMode="External"/><Relationship Id="rId406" Type="http://schemas.openxmlformats.org/officeDocument/2006/relationships/hyperlink" Target="https://www.whatifsports.com/hbd/Pages/Popups/ProspectProfile.aspx?pid=13631802" TargetMode="External"/><Relationship Id="rId9" Type="http://schemas.openxmlformats.org/officeDocument/2006/relationships/hyperlink" Target="https://www.whatifsports.com/hbd/Pages/Popups/ProspectProfile.aspx?pid=13632168" TargetMode="External"/><Relationship Id="rId210" Type="http://schemas.openxmlformats.org/officeDocument/2006/relationships/hyperlink" Target="https://www.whatifsports.com/hbd/Pages/GM/AmateurDraftPlayerPool.aspx" TargetMode="External"/><Relationship Id="rId392" Type="http://schemas.openxmlformats.org/officeDocument/2006/relationships/hyperlink" Target="https://www.whatifsports.com/hbd/Pages/Popups/ProspectProfile.aspx?pid=13632154" TargetMode="External"/><Relationship Id="rId26" Type="http://schemas.openxmlformats.org/officeDocument/2006/relationships/hyperlink" Target="https://www.whatifsports.com/hbd/Pages/Popups/ProspectProfile.aspx?pid=13632216" TargetMode="External"/><Relationship Id="rId231" Type="http://schemas.openxmlformats.org/officeDocument/2006/relationships/hyperlink" Target="https://www.whatifsports.com/hbd/Pages/Popups/ProspectProfile.aspx?pid=13631607" TargetMode="External"/><Relationship Id="rId252" Type="http://schemas.openxmlformats.org/officeDocument/2006/relationships/hyperlink" Target="https://www.whatifsports.com/hbd/Pages/Popups/ProspectProfile.aspx?pid=13631839" TargetMode="External"/><Relationship Id="rId273" Type="http://schemas.openxmlformats.org/officeDocument/2006/relationships/hyperlink" Target="https://www.whatifsports.com/hbd/Pages/Popups/ProspectProfile.aspx?pid=13631552" TargetMode="External"/><Relationship Id="rId294" Type="http://schemas.openxmlformats.org/officeDocument/2006/relationships/hyperlink" Target="https://www.whatifsports.com/hbd/Pages/Popups/ProspectProfile.aspx?pid=13631567" TargetMode="External"/><Relationship Id="rId308" Type="http://schemas.openxmlformats.org/officeDocument/2006/relationships/hyperlink" Target="https://www.whatifsports.com/hbd/Pages/Popups/ProspectProfile.aspx?pid=13632001" TargetMode="External"/><Relationship Id="rId329" Type="http://schemas.openxmlformats.org/officeDocument/2006/relationships/hyperlink" Target="https://www.whatifsports.com/hbd/Pages/Popups/ProspectProfile.aspx?pid=13632085" TargetMode="External"/><Relationship Id="rId47" Type="http://schemas.openxmlformats.org/officeDocument/2006/relationships/hyperlink" Target="https://www.whatifsports.com/hbd/Pages/Popups/ProspectProfile.aspx?pid=13632199" TargetMode="External"/><Relationship Id="rId68" Type="http://schemas.openxmlformats.org/officeDocument/2006/relationships/hyperlink" Target="https://www.whatifsports.com/hbd/Pages/Popups/ProspectProfile.aspx?pid=13632130" TargetMode="External"/><Relationship Id="rId89" Type="http://schemas.openxmlformats.org/officeDocument/2006/relationships/hyperlink" Target="https://www.whatifsports.com/hbd/Pages/Popups/ProspectProfile.aspx?pid=13632030" TargetMode="External"/><Relationship Id="rId112" Type="http://schemas.openxmlformats.org/officeDocument/2006/relationships/hyperlink" Target="https://www.whatifsports.com/hbd/Pages/Popups/ProspectProfile.aspx?pid=13632236" TargetMode="External"/><Relationship Id="rId133" Type="http://schemas.openxmlformats.org/officeDocument/2006/relationships/hyperlink" Target="https://www.whatifsports.com/hbd/Pages/Popups/ProspectProfile.aspx?pid=13632063" TargetMode="External"/><Relationship Id="rId154" Type="http://schemas.openxmlformats.org/officeDocument/2006/relationships/hyperlink" Target="https://www.whatifsports.com/hbd/Pages/Popups/ProspectProfile.aspx?pid=13631442" TargetMode="External"/><Relationship Id="rId175" Type="http://schemas.openxmlformats.org/officeDocument/2006/relationships/hyperlink" Target="https://www.whatifsports.com/hbd/Pages/Popups/ProspectProfile.aspx?pid=13631849" TargetMode="External"/><Relationship Id="rId340" Type="http://schemas.openxmlformats.org/officeDocument/2006/relationships/hyperlink" Target="https://www.whatifsports.com/hbd/Pages/Popups/ProspectProfile.aspx?pid=13632063" TargetMode="External"/><Relationship Id="rId361" Type="http://schemas.openxmlformats.org/officeDocument/2006/relationships/hyperlink" Target="https://www.whatifsports.com/hbd/Pages/Popups/ProspectProfile.aspx?pid=13631442" TargetMode="External"/><Relationship Id="rId196" Type="http://schemas.openxmlformats.org/officeDocument/2006/relationships/hyperlink" Target="https://www.whatifsports.com/hbd/Pages/Popups/ProspectProfile.aspx?pid=13631763" TargetMode="External"/><Relationship Id="rId200" Type="http://schemas.openxmlformats.org/officeDocument/2006/relationships/hyperlink" Target="https://www.whatifsports.com/hbd/Pages/Popups/ProspectProfile.aspx?pid=13631780" TargetMode="External"/><Relationship Id="rId382" Type="http://schemas.openxmlformats.org/officeDocument/2006/relationships/hyperlink" Target="https://www.whatifsports.com/hbd/Pages/Popups/ProspectProfile.aspx?pid=13631849" TargetMode="External"/><Relationship Id="rId16" Type="http://schemas.openxmlformats.org/officeDocument/2006/relationships/hyperlink" Target="https://www.whatifsports.com/hbd/Pages/Popups/ProspectProfile.aspx?pid=13631433" TargetMode="External"/><Relationship Id="rId221" Type="http://schemas.openxmlformats.org/officeDocument/2006/relationships/hyperlink" Target="https://www.whatifsports.com/hbd/Pages/Popups/ProspectProfile.aspx?pid=13631506" TargetMode="External"/><Relationship Id="rId242" Type="http://schemas.openxmlformats.org/officeDocument/2006/relationships/hyperlink" Target="https://www.whatifsports.com/hbd/Pages/Popups/ProspectProfile.aspx?pid=13632212" TargetMode="External"/><Relationship Id="rId263" Type="http://schemas.openxmlformats.org/officeDocument/2006/relationships/hyperlink" Target="https://www.whatifsports.com/hbd/Pages/Popups/ProspectProfile.aspx?pid=13632208" TargetMode="External"/><Relationship Id="rId284" Type="http://schemas.openxmlformats.org/officeDocument/2006/relationships/hyperlink" Target="https://www.whatifsports.com/hbd/Pages/Popups/ProspectProfile.aspx?pid=13631699" TargetMode="External"/><Relationship Id="rId319" Type="http://schemas.openxmlformats.org/officeDocument/2006/relationships/hyperlink" Target="https://www.whatifsports.com/hbd/Pages/Popups/ProspectProfile.aspx?pid=13632236" TargetMode="External"/><Relationship Id="rId37" Type="http://schemas.openxmlformats.org/officeDocument/2006/relationships/hyperlink" Target="https://www.whatifsports.com/hbd/Pages/Popups/ProspectProfile.aspx?pid=13631617" TargetMode="External"/><Relationship Id="rId58" Type="http://schemas.openxmlformats.org/officeDocument/2006/relationships/hyperlink" Target="https://www.whatifsports.com/hbd/Pages/Popups/ProspectProfile.aspx?pid=13632169" TargetMode="External"/><Relationship Id="rId79" Type="http://schemas.openxmlformats.org/officeDocument/2006/relationships/hyperlink" Target="https://www.whatifsports.com/hbd/Pages/Popups/ProspectProfile.aspx?pid=13631484" TargetMode="External"/><Relationship Id="rId102" Type="http://schemas.openxmlformats.org/officeDocument/2006/relationships/hyperlink" Target="https://www.whatifsports.com/hbd/Pages/Popups/ProspectProfile.aspx?pid=13631874" TargetMode="External"/><Relationship Id="rId123" Type="http://schemas.openxmlformats.org/officeDocument/2006/relationships/hyperlink" Target="https://www.whatifsports.com/hbd/Pages/Popups/ProspectProfile.aspx?pid=13632055" TargetMode="External"/><Relationship Id="rId144" Type="http://schemas.openxmlformats.org/officeDocument/2006/relationships/hyperlink" Target="https://www.whatifsports.com/hbd/Pages/Popups/ProspectProfile.aspx?pid=13631796" TargetMode="External"/><Relationship Id="rId330" Type="http://schemas.openxmlformats.org/officeDocument/2006/relationships/hyperlink" Target="https://www.whatifsports.com/hbd/Pages/Popups/ProspectProfile.aspx?pid=13632055" TargetMode="External"/><Relationship Id="rId90" Type="http://schemas.openxmlformats.org/officeDocument/2006/relationships/hyperlink" Target="https://www.whatifsports.com/hbd/Pages/Popups/ProspectProfile.aspx?pid=13631731" TargetMode="External"/><Relationship Id="rId165" Type="http://schemas.openxmlformats.org/officeDocument/2006/relationships/hyperlink" Target="https://www.whatifsports.com/hbd/Pages/Popups/ProspectProfile.aspx?pid=13631871" TargetMode="External"/><Relationship Id="rId186" Type="http://schemas.openxmlformats.org/officeDocument/2006/relationships/hyperlink" Target="https://www.whatifsports.com/hbd/Pages/Popups/ProspectProfile.aspx?pid=13631636" TargetMode="External"/><Relationship Id="rId351" Type="http://schemas.openxmlformats.org/officeDocument/2006/relationships/hyperlink" Target="https://www.whatifsports.com/hbd/Pages/Popups/ProspectProfile.aspx?pid=13631796" TargetMode="External"/><Relationship Id="rId372" Type="http://schemas.openxmlformats.org/officeDocument/2006/relationships/hyperlink" Target="https://www.whatifsports.com/hbd/Pages/Popups/ProspectProfile.aspx?pid=13631871" TargetMode="External"/><Relationship Id="rId393" Type="http://schemas.openxmlformats.org/officeDocument/2006/relationships/hyperlink" Target="https://www.whatifsports.com/hbd/Pages/Popups/ProspectProfile.aspx?pid=13631636" TargetMode="External"/><Relationship Id="rId407" Type="http://schemas.openxmlformats.org/officeDocument/2006/relationships/hyperlink" Target="https://www.whatifsports.com/hbd/Pages/Popups/ProspectProfile.aspx?pid=13631780" TargetMode="External"/><Relationship Id="rId211" Type="http://schemas.openxmlformats.org/officeDocument/2006/relationships/hyperlink" Target="https://www.whatifsports.com/hbd/Pages/GM/AmateurDraftPlayerPool.aspx" TargetMode="External"/><Relationship Id="rId232" Type="http://schemas.openxmlformats.org/officeDocument/2006/relationships/hyperlink" Target="https://www.whatifsports.com/hbd/Pages/Popups/ProspectProfile.aspx?pid=13632223" TargetMode="External"/><Relationship Id="rId253" Type="http://schemas.openxmlformats.org/officeDocument/2006/relationships/hyperlink" Target="https://www.whatifsports.com/hbd/Pages/Popups/ProspectProfile.aspx?pid=13631730" TargetMode="External"/><Relationship Id="rId274" Type="http://schemas.openxmlformats.org/officeDocument/2006/relationships/hyperlink" Target="https://www.whatifsports.com/hbd/Pages/Popups/ProspectProfile.aspx?pid=13632224" TargetMode="External"/><Relationship Id="rId295" Type="http://schemas.openxmlformats.org/officeDocument/2006/relationships/hyperlink" Target="https://www.whatifsports.com/hbd/Pages/Popups/ProspectProfile.aspx?pid=13632099" TargetMode="External"/><Relationship Id="rId309" Type="http://schemas.openxmlformats.org/officeDocument/2006/relationships/hyperlink" Target="https://www.whatifsports.com/hbd/Pages/Popups/ProspectProfile.aspx?pid=13631874" TargetMode="External"/><Relationship Id="rId27" Type="http://schemas.openxmlformats.org/officeDocument/2006/relationships/hyperlink" Target="https://www.whatifsports.com/hbd/Pages/Popups/ProspectProfile.aspx?pid=13631677" TargetMode="External"/><Relationship Id="rId48" Type="http://schemas.openxmlformats.org/officeDocument/2006/relationships/hyperlink" Target="https://www.whatifsports.com/hbd/Pages/Popups/ProspectProfile.aspx?pid=13631833" TargetMode="External"/><Relationship Id="rId69" Type="http://schemas.openxmlformats.org/officeDocument/2006/relationships/hyperlink" Target="https://www.whatifsports.com/hbd/Pages/Popups/ProspectProfile.aspx?pid=13632035" TargetMode="External"/><Relationship Id="rId113" Type="http://schemas.openxmlformats.org/officeDocument/2006/relationships/hyperlink" Target="https://www.whatifsports.com/hbd/Pages/Popups/ProspectProfile.aspx?pid=13631904" TargetMode="External"/><Relationship Id="rId134" Type="http://schemas.openxmlformats.org/officeDocument/2006/relationships/hyperlink" Target="https://www.whatifsports.com/hbd/Pages/Popups/ProspectProfile.aspx?pid=13631650" TargetMode="External"/><Relationship Id="rId320" Type="http://schemas.openxmlformats.org/officeDocument/2006/relationships/hyperlink" Target="https://www.whatifsports.com/hbd/Pages/Popups/ProspectProfile.aspx?pid=13631904" TargetMode="External"/><Relationship Id="rId80" Type="http://schemas.openxmlformats.org/officeDocument/2006/relationships/hyperlink" Target="https://www.whatifsports.com/hbd/Pages/Popups/ProspectProfile.aspx?pid=13632075" TargetMode="External"/><Relationship Id="rId155" Type="http://schemas.openxmlformats.org/officeDocument/2006/relationships/hyperlink" Target="https://www.whatifsports.com/hbd/Pages/Popups/ProspectProfile.aspx?pid=13632156" TargetMode="External"/><Relationship Id="rId176" Type="http://schemas.openxmlformats.org/officeDocument/2006/relationships/hyperlink" Target="https://www.whatifsports.com/hbd/Pages/Popups/ProspectProfile.aspx?pid=13631576" TargetMode="External"/><Relationship Id="rId197" Type="http://schemas.openxmlformats.org/officeDocument/2006/relationships/hyperlink" Target="https://www.whatifsports.com/hbd/Pages/Popups/ProspectProfile.aspx?pid=13631762" TargetMode="External"/><Relationship Id="rId341" Type="http://schemas.openxmlformats.org/officeDocument/2006/relationships/hyperlink" Target="https://www.whatifsports.com/hbd/Pages/Popups/ProspectProfile.aspx?pid=13631650" TargetMode="External"/><Relationship Id="rId362" Type="http://schemas.openxmlformats.org/officeDocument/2006/relationships/hyperlink" Target="https://www.whatifsports.com/hbd/Pages/Popups/ProspectProfile.aspx?pid=13632156" TargetMode="External"/><Relationship Id="rId383" Type="http://schemas.openxmlformats.org/officeDocument/2006/relationships/hyperlink" Target="https://www.whatifsports.com/hbd/Pages/Popups/ProspectProfile.aspx?pid=13631576" TargetMode="External"/><Relationship Id="rId201" Type="http://schemas.openxmlformats.org/officeDocument/2006/relationships/hyperlink" Target="https://www.whatifsports.com/hbd/Pages/Popups/ProspectProfile.aspx?pid=13631742" TargetMode="External"/><Relationship Id="rId222" Type="http://schemas.openxmlformats.org/officeDocument/2006/relationships/hyperlink" Target="https://www.whatifsports.com/hbd/Pages/Popups/ProspectProfile.aspx?pid=13632238" TargetMode="External"/><Relationship Id="rId243" Type="http://schemas.openxmlformats.org/officeDocument/2006/relationships/hyperlink" Target="https://www.whatifsports.com/hbd/Pages/Popups/ProspectProfile.aspx?pid=13631672" TargetMode="External"/><Relationship Id="rId264" Type="http://schemas.openxmlformats.org/officeDocument/2006/relationships/hyperlink" Target="https://www.whatifsports.com/hbd/Pages/Popups/ProspectProfile.aspx?pid=13632206" TargetMode="External"/><Relationship Id="rId285" Type="http://schemas.openxmlformats.org/officeDocument/2006/relationships/hyperlink" Target="https://www.whatifsports.com/hbd/Pages/Popups/ProspectProfile.aspx?pid=13631667" TargetMode="External"/><Relationship Id="rId17" Type="http://schemas.openxmlformats.org/officeDocument/2006/relationships/hyperlink" Target="https://www.whatifsports.com/hbd/Pages/Popups/ProspectProfile.aspx?pid=13632211" TargetMode="External"/><Relationship Id="rId38" Type="http://schemas.openxmlformats.org/officeDocument/2006/relationships/hyperlink" Target="https://www.whatifsports.com/hbd/Pages/Popups/ProspectProfile.aspx?pid=13631507" TargetMode="External"/><Relationship Id="rId59" Type="http://schemas.openxmlformats.org/officeDocument/2006/relationships/hyperlink" Target="https://www.whatifsports.com/hbd/Pages/Popups/ProspectProfile.aspx?pid=13632143" TargetMode="External"/><Relationship Id="rId103" Type="http://schemas.openxmlformats.org/officeDocument/2006/relationships/hyperlink" Target="https://www.whatifsports.com/hbd/Pages/Popups/ProspectProfile.aspx?pid=13631457" TargetMode="External"/><Relationship Id="rId124" Type="http://schemas.openxmlformats.org/officeDocument/2006/relationships/hyperlink" Target="https://www.whatifsports.com/hbd/Pages/Popups/ProspectProfile.aspx?pid=13632036" TargetMode="External"/><Relationship Id="rId310" Type="http://schemas.openxmlformats.org/officeDocument/2006/relationships/hyperlink" Target="https://www.whatifsports.com/hbd/Pages/Popups/ProspectProfile.aspx?pid=13631457" TargetMode="External"/><Relationship Id="rId70" Type="http://schemas.openxmlformats.org/officeDocument/2006/relationships/hyperlink" Target="https://www.whatifsports.com/hbd/Pages/Popups/ProspectProfile.aspx?pid=13632066" TargetMode="External"/><Relationship Id="rId91" Type="http://schemas.openxmlformats.org/officeDocument/2006/relationships/hyperlink" Target="https://www.whatifsports.com/hbd/Pages/Popups/ProspectProfile.aspx?pid=13631583" TargetMode="External"/><Relationship Id="rId145" Type="http://schemas.openxmlformats.org/officeDocument/2006/relationships/hyperlink" Target="https://www.whatifsports.com/hbd/Pages/Popups/ProspectProfile.aspx?pid=13631713" TargetMode="External"/><Relationship Id="rId166" Type="http://schemas.openxmlformats.org/officeDocument/2006/relationships/hyperlink" Target="https://www.whatifsports.com/hbd/Pages/Popups/ProspectProfile.aspx?pid=13631808" TargetMode="External"/><Relationship Id="rId187" Type="http://schemas.openxmlformats.org/officeDocument/2006/relationships/hyperlink" Target="https://www.whatifsports.com/hbd/Pages/Popups/ProspectProfile.aspx?pid=13631844" TargetMode="External"/><Relationship Id="rId331" Type="http://schemas.openxmlformats.org/officeDocument/2006/relationships/hyperlink" Target="https://www.whatifsports.com/hbd/Pages/Popups/ProspectProfile.aspx?pid=13632036" TargetMode="External"/><Relationship Id="rId352" Type="http://schemas.openxmlformats.org/officeDocument/2006/relationships/hyperlink" Target="https://www.whatifsports.com/hbd/Pages/Popups/ProspectProfile.aspx?pid=13631713" TargetMode="External"/><Relationship Id="rId373" Type="http://schemas.openxmlformats.org/officeDocument/2006/relationships/hyperlink" Target="https://www.whatifsports.com/hbd/Pages/Popups/ProspectProfile.aspx?pid=13631808" TargetMode="External"/><Relationship Id="rId394" Type="http://schemas.openxmlformats.org/officeDocument/2006/relationships/hyperlink" Target="https://www.whatifsports.com/hbd/Pages/Popups/ProspectProfile.aspx?pid=13631844" TargetMode="External"/><Relationship Id="rId408" Type="http://schemas.openxmlformats.org/officeDocument/2006/relationships/hyperlink" Target="https://www.whatifsports.com/hbd/Pages/Popups/ProspectProfile.aspx?pid=13631742" TargetMode="External"/><Relationship Id="rId1" Type="http://schemas.openxmlformats.org/officeDocument/2006/relationships/hyperlink" Target="https://www.whatifsports.com/hbd/Pages/GM/AmateurDraftPlayerPool.aspx" TargetMode="External"/><Relationship Id="rId212" Type="http://schemas.openxmlformats.org/officeDocument/2006/relationships/hyperlink" Target="https://www.whatifsports.com/hbd/Pages/GM/AmateurDraftPlayerPool.aspx" TargetMode="External"/><Relationship Id="rId233" Type="http://schemas.openxmlformats.org/officeDocument/2006/relationships/hyperlink" Target="https://www.whatifsports.com/hbd/Pages/Popups/ProspectProfile.aspx?pid=13632216" TargetMode="External"/><Relationship Id="rId254" Type="http://schemas.openxmlformats.org/officeDocument/2006/relationships/hyperlink" Target="https://www.whatifsports.com/hbd/Pages/Popups/ProspectProfile.aspx?pid=13632199" TargetMode="External"/><Relationship Id="rId28" Type="http://schemas.openxmlformats.org/officeDocument/2006/relationships/hyperlink" Target="https://www.whatifsports.com/hbd/Pages/Popups/ProspectProfile.aspx?pid=13632237" TargetMode="External"/><Relationship Id="rId49" Type="http://schemas.openxmlformats.org/officeDocument/2006/relationships/hyperlink" Target="https://www.whatifsports.com/hbd/Pages/Popups/ProspectProfile.aspx?pid=13631673" TargetMode="External"/><Relationship Id="rId114" Type="http://schemas.openxmlformats.org/officeDocument/2006/relationships/hyperlink" Target="https://www.whatifsports.com/hbd/Pages/Popups/ProspectProfile.aspx?pid=13631468" TargetMode="External"/><Relationship Id="rId275" Type="http://schemas.openxmlformats.org/officeDocument/2006/relationships/hyperlink" Target="https://www.whatifsports.com/hbd/Pages/Popups/ProspectProfile.aspx?pid=13632130" TargetMode="External"/><Relationship Id="rId296" Type="http://schemas.openxmlformats.org/officeDocument/2006/relationships/hyperlink" Target="https://www.whatifsports.com/hbd/Pages/Popups/ProspectProfile.aspx?pid=13632030" TargetMode="External"/><Relationship Id="rId300" Type="http://schemas.openxmlformats.org/officeDocument/2006/relationships/hyperlink" Target="https://www.whatifsports.com/hbd/Pages/Popups/ProspectProfile.aspx?pid=13632183" TargetMode="External"/><Relationship Id="rId60" Type="http://schemas.openxmlformats.org/officeDocument/2006/relationships/hyperlink" Target="https://www.whatifsports.com/hbd/Pages/Popups/ProspectProfile.aspx?pid=13631900" TargetMode="External"/><Relationship Id="rId81" Type="http://schemas.openxmlformats.org/officeDocument/2006/relationships/hyperlink" Target="https://www.whatifsports.com/hbd/Pages/Popups/ProspectProfile.aspx?pid=13631977" TargetMode="External"/><Relationship Id="rId135" Type="http://schemas.openxmlformats.org/officeDocument/2006/relationships/hyperlink" Target="https://www.whatifsports.com/hbd/Pages/Popups/ProspectProfile.aspx?pid=13631565" TargetMode="External"/><Relationship Id="rId156" Type="http://schemas.openxmlformats.org/officeDocument/2006/relationships/hyperlink" Target="https://www.whatifsports.com/hbd/Pages/Popups/ProspectProfile.aspx?pid=13631642" TargetMode="External"/><Relationship Id="rId177" Type="http://schemas.openxmlformats.org/officeDocument/2006/relationships/hyperlink" Target="https://www.whatifsports.com/hbd/Pages/Popups/ProspectProfile.aspx?pid=13631939" TargetMode="External"/><Relationship Id="rId198" Type="http://schemas.openxmlformats.org/officeDocument/2006/relationships/hyperlink" Target="https://www.whatifsports.com/hbd/Pages/Popups/ProspectProfile.aspx?pid=13631752" TargetMode="External"/><Relationship Id="rId321" Type="http://schemas.openxmlformats.org/officeDocument/2006/relationships/hyperlink" Target="https://www.whatifsports.com/hbd/Pages/Popups/ProspectProfile.aspx?pid=13631468" TargetMode="External"/><Relationship Id="rId342" Type="http://schemas.openxmlformats.org/officeDocument/2006/relationships/hyperlink" Target="https://www.whatifsports.com/hbd/Pages/Popups/ProspectProfile.aspx?pid=13631565" TargetMode="External"/><Relationship Id="rId363" Type="http://schemas.openxmlformats.org/officeDocument/2006/relationships/hyperlink" Target="https://www.whatifsports.com/hbd/Pages/Popups/ProspectProfile.aspx?pid=13631642" TargetMode="External"/><Relationship Id="rId384" Type="http://schemas.openxmlformats.org/officeDocument/2006/relationships/hyperlink" Target="https://www.whatifsports.com/hbd/Pages/Popups/ProspectProfile.aspx?pid=13631939" TargetMode="External"/><Relationship Id="rId202" Type="http://schemas.openxmlformats.org/officeDocument/2006/relationships/hyperlink" Target="https://www.whatifsports.com/hbd/Pages/Popups/ProspectProfile.aspx?pid=13631648" TargetMode="External"/><Relationship Id="rId223" Type="http://schemas.openxmlformats.org/officeDocument/2006/relationships/hyperlink" Target="https://www.whatifsports.com/hbd/Pages/Popups/ProspectProfile.aspx?pid=13631433" TargetMode="External"/><Relationship Id="rId244" Type="http://schemas.openxmlformats.org/officeDocument/2006/relationships/hyperlink" Target="https://www.whatifsports.com/hbd/Pages/Popups/ProspectProfile.aspx?pid=13631617" TargetMode="External"/><Relationship Id="rId18" Type="http://schemas.openxmlformats.org/officeDocument/2006/relationships/hyperlink" Target="https://www.whatifsports.com/hbd/Pages/Popups/ProspectProfile.aspx?pid=13631772" TargetMode="External"/><Relationship Id="rId39" Type="http://schemas.openxmlformats.org/officeDocument/2006/relationships/hyperlink" Target="https://www.whatifsports.com/hbd/Pages/Popups/ProspectProfile.aspx?pid=13632207" TargetMode="External"/><Relationship Id="rId265" Type="http://schemas.openxmlformats.org/officeDocument/2006/relationships/hyperlink" Target="https://www.whatifsports.com/hbd/Pages/Popups/ProspectProfile.aspx?pid=13632169" TargetMode="External"/><Relationship Id="rId286" Type="http://schemas.openxmlformats.org/officeDocument/2006/relationships/hyperlink" Target="https://www.whatifsports.com/hbd/Pages/Popups/ProspectProfile.aspx?pid=13631484" TargetMode="External"/><Relationship Id="rId50" Type="http://schemas.openxmlformats.org/officeDocument/2006/relationships/hyperlink" Target="https://www.whatifsports.com/hbd/Pages/Popups/ProspectProfile.aspx?pid=13631454" TargetMode="External"/><Relationship Id="rId104" Type="http://schemas.openxmlformats.org/officeDocument/2006/relationships/hyperlink" Target="https://www.whatifsports.com/hbd/Pages/Popups/ProspectProfile.aspx?pid=13631635" TargetMode="External"/><Relationship Id="rId125" Type="http://schemas.openxmlformats.org/officeDocument/2006/relationships/hyperlink" Target="https://www.whatifsports.com/hbd/Pages/Popups/ProspectProfile.aspx?pid=13631991" TargetMode="External"/><Relationship Id="rId146" Type="http://schemas.openxmlformats.org/officeDocument/2006/relationships/hyperlink" Target="https://www.whatifsports.com/hbd/Pages/Popups/ProspectProfile.aspx?pid=13631560" TargetMode="External"/><Relationship Id="rId167" Type="http://schemas.openxmlformats.org/officeDocument/2006/relationships/hyperlink" Target="https://www.whatifsports.com/hbd/Pages/Popups/ProspectProfile.aspx?pid=13631601" TargetMode="External"/><Relationship Id="rId188" Type="http://schemas.openxmlformats.org/officeDocument/2006/relationships/hyperlink" Target="https://www.whatifsports.com/hbd/Pages/Popups/ProspectProfile.aspx?pid=13631775" TargetMode="External"/><Relationship Id="rId311" Type="http://schemas.openxmlformats.org/officeDocument/2006/relationships/hyperlink" Target="https://www.whatifsports.com/hbd/Pages/Popups/ProspectProfile.aspx?pid=13631635" TargetMode="External"/><Relationship Id="rId332" Type="http://schemas.openxmlformats.org/officeDocument/2006/relationships/hyperlink" Target="https://www.whatifsports.com/hbd/Pages/Popups/ProspectProfile.aspx?pid=13631991" TargetMode="External"/><Relationship Id="rId353" Type="http://schemas.openxmlformats.org/officeDocument/2006/relationships/hyperlink" Target="https://www.whatifsports.com/hbd/Pages/Popups/ProspectProfile.aspx?pid=13631560" TargetMode="External"/><Relationship Id="rId374" Type="http://schemas.openxmlformats.org/officeDocument/2006/relationships/hyperlink" Target="https://www.whatifsports.com/hbd/Pages/Popups/ProspectProfile.aspx?pid=13631601" TargetMode="External"/><Relationship Id="rId395" Type="http://schemas.openxmlformats.org/officeDocument/2006/relationships/hyperlink" Target="https://www.whatifsports.com/hbd/Pages/Popups/ProspectProfile.aspx?pid=13631775" TargetMode="External"/><Relationship Id="rId409" Type="http://schemas.openxmlformats.org/officeDocument/2006/relationships/hyperlink" Target="https://www.whatifsports.com/hbd/Pages/Popups/ProspectProfile.aspx?pid=13631648" TargetMode="External"/><Relationship Id="rId71" Type="http://schemas.openxmlformats.org/officeDocument/2006/relationships/hyperlink" Target="https://www.whatifsports.com/hbd/Pages/Popups/ProspectProfile.aspx?pid=13632052" TargetMode="External"/><Relationship Id="rId92" Type="http://schemas.openxmlformats.org/officeDocument/2006/relationships/hyperlink" Target="https://www.whatifsports.com/hbd/Pages/Popups/ProspectProfile.aspx?pid=13631482" TargetMode="External"/><Relationship Id="rId213" Type="http://schemas.openxmlformats.org/officeDocument/2006/relationships/hyperlink" Target="https://www.whatifsports.com/hbd/Pages/GM/AmateurDraftPlayerPool.aspx" TargetMode="External"/><Relationship Id="rId234" Type="http://schemas.openxmlformats.org/officeDocument/2006/relationships/hyperlink" Target="https://www.whatifsports.com/hbd/Pages/Popups/ProspectProfile.aspx?pid=13631677" TargetMode="External"/><Relationship Id="rId2" Type="http://schemas.openxmlformats.org/officeDocument/2006/relationships/hyperlink" Target="https://www.whatifsports.com/hbd/Pages/GM/AmateurDraftPlayerPool.aspx" TargetMode="External"/><Relationship Id="rId29" Type="http://schemas.openxmlformats.org/officeDocument/2006/relationships/hyperlink" Target="https://www.whatifsports.com/hbd/Pages/Popups/ProspectProfile.aspx?pid=13632234" TargetMode="External"/><Relationship Id="rId255" Type="http://schemas.openxmlformats.org/officeDocument/2006/relationships/hyperlink" Target="https://www.whatifsports.com/hbd/Pages/Popups/ProspectProfile.aspx?pid=13631833" TargetMode="External"/><Relationship Id="rId276" Type="http://schemas.openxmlformats.org/officeDocument/2006/relationships/hyperlink" Target="https://www.whatifsports.com/hbd/Pages/Popups/ProspectProfile.aspx?pid=13632035" TargetMode="External"/><Relationship Id="rId297" Type="http://schemas.openxmlformats.org/officeDocument/2006/relationships/hyperlink" Target="https://www.whatifsports.com/hbd/Pages/Popups/ProspectProfile.aspx?pid=13631731" TargetMode="External"/><Relationship Id="rId40" Type="http://schemas.openxmlformats.org/officeDocument/2006/relationships/hyperlink" Target="https://www.whatifsports.com/hbd/Pages/Popups/ProspectProfile.aspx?pid=13631605" TargetMode="External"/><Relationship Id="rId115" Type="http://schemas.openxmlformats.org/officeDocument/2006/relationships/hyperlink" Target="https://www.whatifsports.com/hbd/Pages/Popups/ProspectProfile.aspx?pid=13631453" TargetMode="External"/><Relationship Id="rId136" Type="http://schemas.openxmlformats.org/officeDocument/2006/relationships/hyperlink" Target="https://www.whatifsports.com/hbd/Pages/Popups/ProspectProfile.aspx?pid=13631391" TargetMode="External"/><Relationship Id="rId157" Type="http://schemas.openxmlformats.org/officeDocument/2006/relationships/hyperlink" Target="https://www.whatifsports.com/hbd/Pages/Popups/ProspectProfile.aspx?pid=13631885" TargetMode="External"/><Relationship Id="rId178" Type="http://schemas.openxmlformats.org/officeDocument/2006/relationships/hyperlink" Target="https://www.whatifsports.com/hbd/Pages/Popups/ProspectProfile.aspx?pid=13631853" TargetMode="External"/><Relationship Id="rId301" Type="http://schemas.openxmlformats.org/officeDocument/2006/relationships/hyperlink" Target="https://www.whatifsports.com/hbd/Pages/Popups/ProspectProfile.aspx?pid=13632084" TargetMode="External"/><Relationship Id="rId322" Type="http://schemas.openxmlformats.org/officeDocument/2006/relationships/hyperlink" Target="https://www.whatifsports.com/hbd/Pages/Popups/ProspectProfile.aspx?pid=13631453" TargetMode="External"/><Relationship Id="rId343" Type="http://schemas.openxmlformats.org/officeDocument/2006/relationships/hyperlink" Target="https://www.whatifsports.com/hbd/Pages/Popups/ProspectProfile.aspx?pid=13631391" TargetMode="External"/><Relationship Id="rId364" Type="http://schemas.openxmlformats.org/officeDocument/2006/relationships/hyperlink" Target="https://www.whatifsports.com/hbd/Pages/Popups/ProspectProfile.aspx?pid=13631885" TargetMode="External"/><Relationship Id="rId61" Type="http://schemas.openxmlformats.org/officeDocument/2006/relationships/hyperlink" Target="https://www.whatifsports.com/hbd/Pages/Popups/ProspectProfile.aspx?pid=13631768" TargetMode="External"/><Relationship Id="rId82" Type="http://schemas.openxmlformats.org/officeDocument/2006/relationships/hyperlink" Target="https://www.whatifsports.com/hbd/Pages/Popups/ProspectProfile.aspx?pid=13631972" TargetMode="External"/><Relationship Id="rId199" Type="http://schemas.openxmlformats.org/officeDocument/2006/relationships/hyperlink" Target="https://www.whatifsports.com/hbd/Pages/Popups/ProspectProfile.aspx?pid=13631802" TargetMode="External"/><Relationship Id="rId203" Type="http://schemas.openxmlformats.org/officeDocument/2006/relationships/hyperlink" Target="https://www.whatifsports.com/hbd/Pages/Popups/ProspectProfile.aspx?pid=13631532" TargetMode="External"/><Relationship Id="rId385" Type="http://schemas.openxmlformats.org/officeDocument/2006/relationships/hyperlink" Target="https://www.whatifsports.com/hbd/Pages/Popups/ProspectProfile.aspx?pid=13631853" TargetMode="External"/><Relationship Id="rId19" Type="http://schemas.openxmlformats.org/officeDocument/2006/relationships/hyperlink" Target="https://www.whatifsports.com/hbd/Pages/Popups/ProspectProfile.aspx?pid=13631714" TargetMode="External"/><Relationship Id="rId224" Type="http://schemas.openxmlformats.org/officeDocument/2006/relationships/hyperlink" Target="https://www.whatifsports.com/hbd/Pages/Popups/ProspectProfile.aspx?pid=13632211" TargetMode="External"/><Relationship Id="rId245" Type="http://schemas.openxmlformats.org/officeDocument/2006/relationships/hyperlink" Target="https://www.whatifsports.com/hbd/Pages/Popups/ProspectProfile.aspx?pid=13631507" TargetMode="External"/><Relationship Id="rId266" Type="http://schemas.openxmlformats.org/officeDocument/2006/relationships/hyperlink" Target="https://www.whatifsports.com/hbd/Pages/Popups/ProspectProfile.aspx?pid=13632143" TargetMode="External"/><Relationship Id="rId287" Type="http://schemas.openxmlformats.org/officeDocument/2006/relationships/hyperlink" Target="https://www.whatifsports.com/hbd/Pages/Popups/ProspectProfile.aspx?pid=13632075" TargetMode="External"/><Relationship Id="rId410" Type="http://schemas.openxmlformats.org/officeDocument/2006/relationships/hyperlink" Target="https://www.whatifsports.com/hbd/Pages/Popups/ProspectProfile.aspx?pid=13631532" TargetMode="External"/><Relationship Id="rId30" Type="http://schemas.openxmlformats.org/officeDocument/2006/relationships/hyperlink" Target="https://www.whatifsports.com/hbd/Pages/Popups/ProspectProfile.aspx?pid=13632217" TargetMode="External"/><Relationship Id="rId105" Type="http://schemas.openxmlformats.org/officeDocument/2006/relationships/hyperlink" Target="https://www.whatifsports.com/hbd/Pages/Popups/ProspectProfile.aspx?pid=13632213" TargetMode="External"/><Relationship Id="rId126" Type="http://schemas.openxmlformats.org/officeDocument/2006/relationships/hyperlink" Target="https://www.whatifsports.com/hbd/Pages/Popups/ProspectProfile.aspx?pid=13631414" TargetMode="External"/><Relationship Id="rId147" Type="http://schemas.openxmlformats.org/officeDocument/2006/relationships/hyperlink" Target="https://www.whatifsports.com/hbd/Pages/Popups/ProspectProfile.aspx?pid=13631518" TargetMode="External"/><Relationship Id="rId168" Type="http://schemas.openxmlformats.org/officeDocument/2006/relationships/hyperlink" Target="https://www.whatifsports.com/hbd/Pages/Popups/ProspectProfile.aspx?pid=13631968" TargetMode="External"/><Relationship Id="rId312" Type="http://schemas.openxmlformats.org/officeDocument/2006/relationships/hyperlink" Target="https://www.whatifsports.com/hbd/Pages/Popups/ProspectProfile.aspx?pid=13632213" TargetMode="External"/><Relationship Id="rId333" Type="http://schemas.openxmlformats.org/officeDocument/2006/relationships/hyperlink" Target="https://www.whatifsports.com/hbd/Pages/Popups/ProspectProfile.aspx?pid=13631414" TargetMode="External"/><Relationship Id="rId354" Type="http://schemas.openxmlformats.org/officeDocument/2006/relationships/hyperlink" Target="https://www.whatifsports.com/hbd/Pages/Popups/ProspectProfile.aspx?pid=13631518" TargetMode="External"/><Relationship Id="rId51" Type="http://schemas.openxmlformats.org/officeDocument/2006/relationships/hyperlink" Target="https://www.whatifsports.com/hbd/Pages/Popups/ProspectProfile.aspx?pid=13632172" TargetMode="External"/><Relationship Id="rId72" Type="http://schemas.openxmlformats.org/officeDocument/2006/relationships/hyperlink" Target="https://www.whatifsports.com/hbd/Pages/Popups/ProspectProfile.aspx?pid=13631838" TargetMode="External"/><Relationship Id="rId93" Type="http://schemas.openxmlformats.org/officeDocument/2006/relationships/hyperlink" Target="https://www.whatifsports.com/hbd/Pages/Popups/ProspectProfile.aspx?pid=13632183" TargetMode="External"/><Relationship Id="rId189" Type="http://schemas.openxmlformats.org/officeDocument/2006/relationships/hyperlink" Target="https://www.whatifsports.com/hbd/Pages/Popups/ProspectProfile.aspx?pid=13631823" TargetMode="External"/><Relationship Id="rId375" Type="http://schemas.openxmlformats.org/officeDocument/2006/relationships/hyperlink" Target="https://www.whatifsports.com/hbd/Pages/Popups/ProspectProfile.aspx?pid=13631968" TargetMode="External"/><Relationship Id="rId396" Type="http://schemas.openxmlformats.org/officeDocument/2006/relationships/hyperlink" Target="https://www.whatifsports.com/hbd/Pages/Popups/ProspectProfile.aspx?pid=13631823" TargetMode="External"/><Relationship Id="rId3" Type="http://schemas.openxmlformats.org/officeDocument/2006/relationships/hyperlink" Target="https://www.whatifsports.com/hbd/Pages/GM/AmateurDraftPlayerPool.aspx" TargetMode="External"/><Relationship Id="rId214" Type="http://schemas.openxmlformats.org/officeDocument/2006/relationships/hyperlink" Target="https://www.whatifsports.com/hbd/Pages/Popups/ProspectProfile.aspx?pid=13631431" TargetMode="External"/><Relationship Id="rId235" Type="http://schemas.openxmlformats.org/officeDocument/2006/relationships/hyperlink" Target="https://www.whatifsports.com/hbd/Pages/Popups/ProspectProfile.aspx?pid=13632237" TargetMode="External"/><Relationship Id="rId256" Type="http://schemas.openxmlformats.org/officeDocument/2006/relationships/hyperlink" Target="https://www.whatifsports.com/hbd/Pages/Popups/ProspectProfile.aspx?pid=13631673" TargetMode="External"/><Relationship Id="rId277" Type="http://schemas.openxmlformats.org/officeDocument/2006/relationships/hyperlink" Target="https://www.whatifsports.com/hbd/Pages/Popups/ProspectProfile.aspx?pid=13632066" TargetMode="External"/><Relationship Id="rId298" Type="http://schemas.openxmlformats.org/officeDocument/2006/relationships/hyperlink" Target="https://www.whatifsports.com/hbd/Pages/Popups/ProspectProfile.aspx?pid=13631583" TargetMode="External"/><Relationship Id="rId400" Type="http://schemas.openxmlformats.org/officeDocument/2006/relationships/hyperlink" Target="https://www.whatifsports.com/hbd/Pages/Popups/ProspectProfile.aspx?pid=13631792" TargetMode="External"/><Relationship Id="rId116" Type="http://schemas.openxmlformats.org/officeDocument/2006/relationships/hyperlink" Target="https://www.whatifsports.com/hbd/Pages/Popups/ProspectProfile.aspx?pid=13632204" TargetMode="External"/><Relationship Id="rId137" Type="http://schemas.openxmlformats.org/officeDocument/2006/relationships/hyperlink" Target="https://www.whatifsports.com/hbd/Pages/Popups/ProspectProfile.aspx?pid=13632116" TargetMode="External"/><Relationship Id="rId158" Type="http://schemas.openxmlformats.org/officeDocument/2006/relationships/hyperlink" Target="https://www.whatifsports.com/hbd/Pages/Popups/ProspectProfile.aspx?pid=13632029" TargetMode="External"/><Relationship Id="rId302" Type="http://schemas.openxmlformats.org/officeDocument/2006/relationships/hyperlink" Target="https://www.whatifsports.com/hbd/Pages/Popups/ProspectProfile.aspx?pid=13632022" TargetMode="External"/><Relationship Id="rId323" Type="http://schemas.openxmlformats.org/officeDocument/2006/relationships/hyperlink" Target="https://www.whatifsports.com/hbd/Pages/Popups/ProspectProfile.aspx?pid=13632204" TargetMode="External"/><Relationship Id="rId344" Type="http://schemas.openxmlformats.org/officeDocument/2006/relationships/hyperlink" Target="https://www.whatifsports.com/hbd/Pages/Popups/ProspectProfile.aspx?pid=13632116" TargetMode="External"/><Relationship Id="rId20" Type="http://schemas.openxmlformats.org/officeDocument/2006/relationships/hyperlink" Target="https://www.whatifsports.com/hbd/Pages/Popups/ProspectProfile.aspx?pid=13632205" TargetMode="External"/><Relationship Id="rId41" Type="http://schemas.openxmlformats.org/officeDocument/2006/relationships/hyperlink" Target="https://www.whatifsports.com/hbd/Pages/Popups/ProspectProfile.aspx?pid=13632229" TargetMode="External"/><Relationship Id="rId62" Type="http://schemas.openxmlformats.org/officeDocument/2006/relationships/hyperlink" Target="https://www.whatifsports.com/hbd/Pages/Popups/ProspectProfile.aspx?pid=13631725" TargetMode="External"/><Relationship Id="rId83" Type="http://schemas.openxmlformats.org/officeDocument/2006/relationships/hyperlink" Target="https://www.whatifsports.com/hbd/Pages/Popups/ProspectProfile.aspx?pid=13631946" TargetMode="External"/><Relationship Id="rId179" Type="http://schemas.openxmlformats.org/officeDocument/2006/relationships/hyperlink" Target="https://www.whatifsports.com/hbd/Pages/Popups/ProspectProfile.aspx?pid=13631913" TargetMode="External"/><Relationship Id="rId365" Type="http://schemas.openxmlformats.org/officeDocument/2006/relationships/hyperlink" Target="https://www.whatifsports.com/hbd/Pages/Popups/ProspectProfile.aspx?pid=13632029" TargetMode="External"/><Relationship Id="rId386" Type="http://schemas.openxmlformats.org/officeDocument/2006/relationships/hyperlink" Target="https://www.whatifsports.com/hbd/Pages/Popups/ProspectProfile.aspx?pid=13631913" TargetMode="External"/><Relationship Id="rId190" Type="http://schemas.openxmlformats.org/officeDocument/2006/relationships/hyperlink" Target="https://www.whatifsports.com/hbd/Pages/Popups/ProspectProfile.aspx?pid=13631818" TargetMode="External"/><Relationship Id="rId204" Type="http://schemas.openxmlformats.org/officeDocument/2006/relationships/hyperlink" Target="https://www.whatifsports.com/hbd/Pages/Popups/ProspectProfile.aspx?pid=13631531" TargetMode="External"/><Relationship Id="rId225" Type="http://schemas.openxmlformats.org/officeDocument/2006/relationships/hyperlink" Target="https://www.whatifsports.com/hbd/Pages/Popups/ProspectProfile.aspx?pid=13631772" TargetMode="External"/><Relationship Id="rId246" Type="http://schemas.openxmlformats.org/officeDocument/2006/relationships/hyperlink" Target="https://www.whatifsports.com/hbd/Pages/Popups/ProspectProfile.aspx?pid=13632207" TargetMode="External"/><Relationship Id="rId267" Type="http://schemas.openxmlformats.org/officeDocument/2006/relationships/hyperlink" Target="https://www.whatifsports.com/hbd/Pages/Popups/ProspectProfile.aspx?pid=13631900" TargetMode="External"/><Relationship Id="rId288" Type="http://schemas.openxmlformats.org/officeDocument/2006/relationships/hyperlink" Target="https://www.whatifsports.com/hbd/Pages/Popups/ProspectProfile.aspx?pid=13631977" TargetMode="External"/><Relationship Id="rId411" Type="http://schemas.openxmlformats.org/officeDocument/2006/relationships/hyperlink" Target="https://www.whatifsports.com/hbd/Pages/Popups/ProspectProfile.aspx?pid=13631531" TargetMode="External"/><Relationship Id="rId106" Type="http://schemas.openxmlformats.org/officeDocument/2006/relationships/hyperlink" Target="https://www.whatifsports.com/hbd/Pages/Popups/ProspectProfile.aspx?pid=13632131" TargetMode="External"/><Relationship Id="rId127" Type="http://schemas.openxmlformats.org/officeDocument/2006/relationships/hyperlink" Target="https://www.whatifsports.com/hbd/Pages/Popups/ProspectProfile.aspx?pid=13632107" TargetMode="External"/><Relationship Id="rId313" Type="http://schemas.openxmlformats.org/officeDocument/2006/relationships/hyperlink" Target="https://www.whatifsports.com/hbd/Pages/Popups/ProspectProfile.aspx?pid=13632131" TargetMode="External"/><Relationship Id="rId10" Type="http://schemas.openxmlformats.org/officeDocument/2006/relationships/hyperlink" Target="https://www.whatifsports.com/hbd/Pages/Popups/ProspectProfile.aspx?pid=13631500" TargetMode="External"/><Relationship Id="rId31" Type="http://schemas.openxmlformats.org/officeDocument/2006/relationships/hyperlink" Target="https://www.whatifsports.com/hbd/Pages/Popups/ProspectProfile.aspx?pid=13632171" TargetMode="External"/><Relationship Id="rId52" Type="http://schemas.openxmlformats.org/officeDocument/2006/relationships/hyperlink" Target="https://www.whatifsports.com/hbd/Pages/Popups/ProspectProfile.aspx?pid=13632087" TargetMode="External"/><Relationship Id="rId73" Type="http://schemas.openxmlformats.org/officeDocument/2006/relationships/hyperlink" Target="https://www.whatifsports.com/hbd/Pages/Popups/ProspectProfile.aspx?pid=13631718" TargetMode="External"/><Relationship Id="rId94" Type="http://schemas.openxmlformats.org/officeDocument/2006/relationships/hyperlink" Target="https://www.whatifsports.com/hbd/Pages/Popups/ProspectProfile.aspx?pid=13632084" TargetMode="External"/><Relationship Id="rId148" Type="http://schemas.openxmlformats.org/officeDocument/2006/relationships/hyperlink" Target="https://www.whatifsports.com/hbd/Pages/Popups/ProspectProfile.aspx?pid=13631435" TargetMode="External"/><Relationship Id="rId169" Type="http://schemas.openxmlformats.org/officeDocument/2006/relationships/hyperlink" Target="https://www.whatifsports.com/hbd/Pages/Popups/ProspectProfile.aspx?pid=13631945" TargetMode="External"/><Relationship Id="rId334" Type="http://schemas.openxmlformats.org/officeDocument/2006/relationships/hyperlink" Target="https://www.whatifsports.com/hbd/Pages/Popups/ProspectProfile.aspx?pid=13632107" TargetMode="External"/><Relationship Id="rId355" Type="http://schemas.openxmlformats.org/officeDocument/2006/relationships/hyperlink" Target="https://www.whatifsports.com/hbd/Pages/Popups/ProspectProfile.aspx?pid=13631435" TargetMode="External"/><Relationship Id="rId376" Type="http://schemas.openxmlformats.org/officeDocument/2006/relationships/hyperlink" Target="https://www.whatifsports.com/hbd/Pages/Popups/ProspectProfile.aspx?pid=13631945" TargetMode="External"/><Relationship Id="rId397" Type="http://schemas.openxmlformats.org/officeDocument/2006/relationships/hyperlink" Target="https://www.whatifsports.com/hbd/Pages/Popups/ProspectProfile.aspx?pid=13631818" TargetMode="External"/><Relationship Id="rId4" Type="http://schemas.openxmlformats.org/officeDocument/2006/relationships/hyperlink" Target="https://www.whatifsports.com/hbd/Pages/GM/AmateurDraftPlayerPool.aspx" TargetMode="External"/><Relationship Id="rId180" Type="http://schemas.openxmlformats.org/officeDocument/2006/relationships/hyperlink" Target="https://www.whatifsports.com/hbd/Pages/Popups/ProspectProfile.aspx?pid=13631908" TargetMode="External"/><Relationship Id="rId215" Type="http://schemas.openxmlformats.org/officeDocument/2006/relationships/hyperlink" Target="https://www.whatifsports.com/hbd/Pages/Popups/ProspectProfile.aspx?pid=13631837" TargetMode="External"/><Relationship Id="rId236" Type="http://schemas.openxmlformats.org/officeDocument/2006/relationships/hyperlink" Target="https://www.whatifsports.com/hbd/Pages/Popups/ProspectProfile.aspx?pid=13632234" TargetMode="External"/><Relationship Id="rId257" Type="http://schemas.openxmlformats.org/officeDocument/2006/relationships/hyperlink" Target="https://www.whatifsports.com/hbd/Pages/Popups/ProspectProfile.aspx?pid=13631454" TargetMode="External"/><Relationship Id="rId278" Type="http://schemas.openxmlformats.org/officeDocument/2006/relationships/hyperlink" Target="https://www.whatifsports.com/hbd/Pages/Popups/ProspectProfile.aspx?pid=13632052" TargetMode="External"/><Relationship Id="rId401" Type="http://schemas.openxmlformats.org/officeDocument/2006/relationships/hyperlink" Target="https://www.whatifsports.com/hbd/Pages/Popups/ProspectProfile.aspx?pid=13631791" TargetMode="External"/><Relationship Id="rId303" Type="http://schemas.openxmlformats.org/officeDocument/2006/relationships/hyperlink" Target="https://www.whatifsports.com/hbd/Pages/Popups/ProspectProfile.aspx?pid=13631584" TargetMode="External"/><Relationship Id="rId42" Type="http://schemas.openxmlformats.org/officeDocument/2006/relationships/hyperlink" Target="https://www.whatifsports.com/hbd/Pages/Popups/ProspectProfile.aspx?pid=13631678" TargetMode="External"/><Relationship Id="rId84" Type="http://schemas.openxmlformats.org/officeDocument/2006/relationships/hyperlink" Target="https://www.whatifsports.com/hbd/Pages/Popups/ProspectProfile.aspx?pid=13631478" TargetMode="External"/><Relationship Id="rId138" Type="http://schemas.openxmlformats.org/officeDocument/2006/relationships/hyperlink" Target="https://www.whatifsports.com/hbd/Pages/Popups/ProspectProfile.aspx?pid=13632058" TargetMode="External"/><Relationship Id="rId345" Type="http://schemas.openxmlformats.org/officeDocument/2006/relationships/hyperlink" Target="https://www.whatifsports.com/hbd/Pages/Popups/ProspectProfile.aspx?pid=13632058" TargetMode="External"/><Relationship Id="rId387" Type="http://schemas.openxmlformats.org/officeDocument/2006/relationships/hyperlink" Target="https://www.whatifsports.com/hbd/Pages/Popups/ProspectProfile.aspx?pid=13631908" TargetMode="External"/><Relationship Id="rId191" Type="http://schemas.openxmlformats.org/officeDocument/2006/relationships/hyperlink" Target="https://www.whatifsports.com/hbd/Pages/Popups/ProspectProfile.aspx?pid=13631814" TargetMode="External"/><Relationship Id="rId205" Type="http://schemas.openxmlformats.org/officeDocument/2006/relationships/hyperlink" Target="https://www.whatifsports.com/hbd/Pages/Popups/ProspectProfile.aspx?pid=13631516" TargetMode="External"/><Relationship Id="rId247" Type="http://schemas.openxmlformats.org/officeDocument/2006/relationships/hyperlink" Target="https://www.whatifsports.com/hbd/Pages/Popups/ProspectProfile.aspx?pid=13631605" TargetMode="External"/><Relationship Id="rId412" Type="http://schemas.openxmlformats.org/officeDocument/2006/relationships/hyperlink" Target="https://www.whatifsports.com/hbd/Pages/Popups/ProspectProfile.aspx?pid=13631516" TargetMode="External"/><Relationship Id="rId107" Type="http://schemas.openxmlformats.org/officeDocument/2006/relationships/hyperlink" Target="https://www.whatifsports.com/hbd/Pages/Popups/ProspectProfile.aspx?pid=13631989" TargetMode="External"/><Relationship Id="rId289" Type="http://schemas.openxmlformats.org/officeDocument/2006/relationships/hyperlink" Target="https://www.whatifsports.com/hbd/Pages/Popups/ProspectProfile.aspx?pid=13631972" TargetMode="External"/><Relationship Id="rId11" Type="http://schemas.openxmlformats.org/officeDocument/2006/relationships/hyperlink" Target="https://www.whatifsports.com/hbd/Pages/Popups/ProspectProfile.aspx?pid=13631732" TargetMode="External"/><Relationship Id="rId53" Type="http://schemas.openxmlformats.org/officeDocument/2006/relationships/hyperlink" Target="https://www.whatifsports.com/hbd/Pages/Popups/ProspectProfile.aspx?pid=13631674" TargetMode="External"/><Relationship Id="rId149" Type="http://schemas.openxmlformats.org/officeDocument/2006/relationships/hyperlink" Target="https://www.whatifsports.com/hbd/Pages/Popups/ProspectProfile.aspx?pid=13631389" TargetMode="External"/><Relationship Id="rId314" Type="http://schemas.openxmlformats.org/officeDocument/2006/relationships/hyperlink" Target="https://www.whatifsports.com/hbd/Pages/Popups/ProspectProfile.aspx?pid=13631989" TargetMode="External"/><Relationship Id="rId356" Type="http://schemas.openxmlformats.org/officeDocument/2006/relationships/hyperlink" Target="https://www.whatifsports.com/hbd/Pages/Popups/ProspectProfile.aspx?pid=13631389" TargetMode="External"/><Relationship Id="rId398" Type="http://schemas.openxmlformats.org/officeDocument/2006/relationships/hyperlink" Target="https://www.whatifsports.com/hbd/Pages/Popups/ProspectProfile.aspx?pid=13631814" TargetMode="External"/><Relationship Id="rId95" Type="http://schemas.openxmlformats.org/officeDocument/2006/relationships/hyperlink" Target="https://www.whatifsports.com/hbd/Pages/Popups/ProspectProfile.aspx?pid=13632022" TargetMode="External"/><Relationship Id="rId160" Type="http://schemas.openxmlformats.org/officeDocument/2006/relationships/hyperlink" Target="https://www.whatifsports.com/hbd/Pages/Popups/ProspectProfile.aspx?pid=13631863" TargetMode="External"/><Relationship Id="rId216" Type="http://schemas.openxmlformats.org/officeDocument/2006/relationships/hyperlink" Target="https://www.whatifsports.com/hbd/Pages/Popups/ProspectProfile.aspx?pid=13632168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whatifsports.com/hbd/Pages/Popups/ProspectProfile.aspx?pid=13632186" TargetMode="External"/><Relationship Id="rId21" Type="http://schemas.openxmlformats.org/officeDocument/2006/relationships/hyperlink" Target="https://www.whatifsports.com/hbd/Pages/Popups/ProspectProfile.aspx?pid=13631505" TargetMode="External"/><Relationship Id="rId42" Type="http://schemas.openxmlformats.org/officeDocument/2006/relationships/hyperlink" Target="https://www.whatifsports.com/hbd/Pages/Popups/ProspectProfile.aspx?pid=13631678" TargetMode="External"/><Relationship Id="rId63" Type="http://schemas.openxmlformats.org/officeDocument/2006/relationships/hyperlink" Target="https://www.whatifsports.com/hbd/Pages/Popups/ProspectProfile.aspx?pid=13631701" TargetMode="External"/><Relationship Id="rId84" Type="http://schemas.openxmlformats.org/officeDocument/2006/relationships/hyperlink" Target="https://www.whatifsports.com/hbd/Pages/Popups/ProspectProfile.aspx?pid=13631478" TargetMode="External"/><Relationship Id="rId138" Type="http://schemas.openxmlformats.org/officeDocument/2006/relationships/hyperlink" Target="https://www.whatifsports.com/hbd/Pages/Popups/ProspectProfile.aspx?pid=13632058" TargetMode="External"/><Relationship Id="rId159" Type="http://schemas.openxmlformats.org/officeDocument/2006/relationships/hyperlink" Target="https://www.whatifsports.com/hbd/Pages/Popups/ProspectProfile.aspx?pid=13631996" TargetMode="External"/><Relationship Id="rId170" Type="http://schemas.openxmlformats.org/officeDocument/2006/relationships/hyperlink" Target="https://www.whatifsports.com/hbd/Pages/Popups/ProspectProfile.aspx?pid=13631914" TargetMode="External"/><Relationship Id="rId191" Type="http://schemas.openxmlformats.org/officeDocument/2006/relationships/hyperlink" Target="https://www.whatifsports.com/hbd/Pages/Popups/ProspectProfile.aspx?pid=13631814" TargetMode="External"/><Relationship Id="rId205" Type="http://schemas.openxmlformats.org/officeDocument/2006/relationships/hyperlink" Target="https://www.whatifsports.com/hbd/Pages/Popups/ProspectProfile.aspx?pid=13631516" TargetMode="External"/><Relationship Id="rId16" Type="http://schemas.openxmlformats.org/officeDocument/2006/relationships/hyperlink" Target="https://www.whatifsports.com/hbd/Pages/Popups/ProspectProfile.aspx?pid=13631433" TargetMode="External"/><Relationship Id="rId107" Type="http://schemas.openxmlformats.org/officeDocument/2006/relationships/hyperlink" Target="https://www.whatifsports.com/hbd/Pages/Popups/ProspectProfile.aspx?pid=13631989" TargetMode="External"/><Relationship Id="rId11" Type="http://schemas.openxmlformats.org/officeDocument/2006/relationships/hyperlink" Target="https://www.whatifsports.com/hbd/Pages/Popups/ProspectProfile.aspx?pid=13631732" TargetMode="External"/><Relationship Id="rId32" Type="http://schemas.openxmlformats.org/officeDocument/2006/relationships/hyperlink" Target="https://www.whatifsports.com/hbd/Pages/Popups/ProspectProfile.aspx?pid=13631551" TargetMode="External"/><Relationship Id="rId37" Type="http://schemas.openxmlformats.org/officeDocument/2006/relationships/hyperlink" Target="https://www.whatifsports.com/hbd/Pages/Popups/ProspectProfile.aspx?pid=13631617" TargetMode="External"/><Relationship Id="rId53" Type="http://schemas.openxmlformats.org/officeDocument/2006/relationships/hyperlink" Target="https://www.whatifsports.com/hbd/Pages/Popups/ProspectProfile.aspx?pid=13631674" TargetMode="External"/><Relationship Id="rId58" Type="http://schemas.openxmlformats.org/officeDocument/2006/relationships/hyperlink" Target="https://www.whatifsports.com/hbd/Pages/Popups/ProspectProfile.aspx?pid=13632169" TargetMode="External"/><Relationship Id="rId74" Type="http://schemas.openxmlformats.org/officeDocument/2006/relationships/hyperlink" Target="https://www.whatifsports.com/hbd/Pages/Popups/ProspectProfile.aspx?pid=13631585" TargetMode="External"/><Relationship Id="rId79" Type="http://schemas.openxmlformats.org/officeDocument/2006/relationships/hyperlink" Target="https://www.whatifsports.com/hbd/Pages/Popups/ProspectProfile.aspx?pid=13631484" TargetMode="External"/><Relationship Id="rId102" Type="http://schemas.openxmlformats.org/officeDocument/2006/relationships/hyperlink" Target="https://www.whatifsports.com/hbd/Pages/Popups/ProspectProfile.aspx?pid=13631874" TargetMode="External"/><Relationship Id="rId123" Type="http://schemas.openxmlformats.org/officeDocument/2006/relationships/hyperlink" Target="https://www.whatifsports.com/hbd/Pages/Popups/ProspectProfile.aspx?pid=13632055" TargetMode="External"/><Relationship Id="rId128" Type="http://schemas.openxmlformats.org/officeDocument/2006/relationships/hyperlink" Target="https://www.whatifsports.com/hbd/Pages/Popups/ProspectProfile.aspx?pid=13632071" TargetMode="External"/><Relationship Id="rId144" Type="http://schemas.openxmlformats.org/officeDocument/2006/relationships/hyperlink" Target="https://www.whatifsports.com/hbd/Pages/Popups/ProspectProfile.aspx?pid=13631796" TargetMode="External"/><Relationship Id="rId149" Type="http://schemas.openxmlformats.org/officeDocument/2006/relationships/hyperlink" Target="https://www.whatifsports.com/hbd/Pages/Popups/ProspectProfile.aspx?pid=13631389" TargetMode="External"/><Relationship Id="rId5" Type="http://schemas.openxmlformats.org/officeDocument/2006/relationships/hyperlink" Target="https://www.whatifsports.com/hbd/Pages/GM/AmateurDraftPlayerPool.aspx" TargetMode="External"/><Relationship Id="rId90" Type="http://schemas.openxmlformats.org/officeDocument/2006/relationships/hyperlink" Target="https://www.whatifsports.com/hbd/Pages/Popups/ProspectProfile.aspx?pid=13631731" TargetMode="External"/><Relationship Id="rId95" Type="http://schemas.openxmlformats.org/officeDocument/2006/relationships/hyperlink" Target="https://www.whatifsports.com/hbd/Pages/Popups/ProspectProfile.aspx?pid=13632022" TargetMode="External"/><Relationship Id="rId160" Type="http://schemas.openxmlformats.org/officeDocument/2006/relationships/hyperlink" Target="https://www.whatifsports.com/hbd/Pages/Popups/ProspectProfile.aspx?pid=13631863" TargetMode="External"/><Relationship Id="rId165" Type="http://schemas.openxmlformats.org/officeDocument/2006/relationships/hyperlink" Target="https://www.whatifsports.com/hbd/Pages/Popups/ProspectProfile.aspx?pid=13631871" TargetMode="External"/><Relationship Id="rId181" Type="http://schemas.openxmlformats.org/officeDocument/2006/relationships/hyperlink" Target="https://www.whatifsports.com/hbd/Pages/Popups/ProspectProfile.aspx?pid=13631703" TargetMode="External"/><Relationship Id="rId186" Type="http://schemas.openxmlformats.org/officeDocument/2006/relationships/hyperlink" Target="https://www.whatifsports.com/hbd/Pages/Popups/ProspectProfile.aspx?pid=13631636" TargetMode="External"/><Relationship Id="rId22" Type="http://schemas.openxmlformats.org/officeDocument/2006/relationships/hyperlink" Target="https://www.whatifsports.com/hbd/Pages/Popups/ProspectProfile.aspx?pid=13632233" TargetMode="External"/><Relationship Id="rId27" Type="http://schemas.openxmlformats.org/officeDocument/2006/relationships/hyperlink" Target="https://www.whatifsports.com/hbd/Pages/Popups/ProspectProfile.aspx?pid=13631677" TargetMode="External"/><Relationship Id="rId43" Type="http://schemas.openxmlformats.org/officeDocument/2006/relationships/hyperlink" Target="https://www.whatifsports.com/hbd/Pages/Popups/ProspectProfile.aspx?pid=13632197" TargetMode="External"/><Relationship Id="rId48" Type="http://schemas.openxmlformats.org/officeDocument/2006/relationships/hyperlink" Target="https://www.whatifsports.com/hbd/Pages/Popups/ProspectProfile.aspx?pid=13631833" TargetMode="External"/><Relationship Id="rId64" Type="http://schemas.openxmlformats.org/officeDocument/2006/relationships/hyperlink" Target="https://www.whatifsports.com/hbd/Pages/Popups/ProspectProfile.aspx?pid=13631541" TargetMode="External"/><Relationship Id="rId69" Type="http://schemas.openxmlformats.org/officeDocument/2006/relationships/hyperlink" Target="https://www.whatifsports.com/hbd/Pages/Popups/ProspectProfile.aspx?pid=13632035" TargetMode="External"/><Relationship Id="rId113" Type="http://schemas.openxmlformats.org/officeDocument/2006/relationships/hyperlink" Target="https://www.whatifsports.com/hbd/Pages/Popups/ProspectProfile.aspx?pid=13631904" TargetMode="External"/><Relationship Id="rId118" Type="http://schemas.openxmlformats.org/officeDocument/2006/relationships/hyperlink" Target="https://www.whatifsports.com/hbd/Pages/Popups/ProspectProfile.aspx?pid=13632149" TargetMode="External"/><Relationship Id="rId134" Type="http://schemas.openxmlformats.org/officeDocument/2006/relationships/hyperlink" Target="https://www.whatifsports.com/hbd/Pages/Popups/ProspectProfile.aspx?pid=13631650" TargetMode="External"/><Relationship Id="rId139" Type="http://schemas.openxmlformats.org/officeDocument/2006/relationships/hyperlink" Target="https://www.whatifsports.com/hbd/Pages/Popups/ProspectProfile.aspx?pid=13632048" TargetMode="External"/><Relationship Id="rId80" Type="http://schemas.openxmlformats.org/officeDocument/2006/relationships/hyperlink" Target="https://www.whatifsports.com/hbd/Pages/Popups/ProspectProfile.aspx?pid=13632075" TargetMode="External"/><Relationship Id="rId85" Type="http://schemas.openxmlformats.org/officeDocument/2006/relationships/hyperlink" Target="https://www.whatifsports.com/hbd/Pages/Popups/ProspectProfile.aspx?pid=13632160" TargetMode="External"/><Relationship Id="rId150" Type="http://schemas.openxmlformats.org/officeDocument/2006/relationships/hyperlink" Target="https://www.whatifsports.com/hbd/Pages/Popups/ProspectProfile.aspx?pid=13632013" TargetMode="External"/><Relationship Id="rId155" Type="http://schemas.openxmlformats.org/officeDocument/2006/relationships/hyperlink" Target="https://www.whatifsports.com/hbd/Pages/Popups/ProspectProfile.aspx?pid=13632156" TargetMode="External"/><Relationship Id="rId171" Type="http://schemas.openxmlformats.org/officeDocument/2006/relationships/hyperlink" Target="https://www.whatifsports.com/hbd/Pages/Popups/ProspectProfile.aspx?pid=13632023" TargetMode="External"/><Relationship Id="rId176" Type="http://schemas.openxmlformats.org/officeDocument/2006/relationships/hyperlink" Target="https://www.whatifsports.com/hbd/Pages/Popups/ProspectProfile.aspx?pid=13631576" TargetMode="External"/><Relationship Id="rId192" Type="http://schemas.openxmlformats.org/officeDocument/2006/relationships/hyperlink" Target="https://www.whatifsports.com/hbd/Pages/Popups/ProspectProfile.aspx?pid=13631803" TargetMode="External"/><Relationship Id="rId197" Type="http://schemas.openxmlformats.org/officeDocument/2006/relationships/hyperlink" Target="https://www.whatifsports.com/hbd/Pages/Popups/ProspectProfile.aspx?pid=13631762" TargetMode="External"/><Relationship Id="rId206" Type="http://schemas.openxmlformats.org/officeDocument/2006/relationships/hyperlink" Target="https://www.whatifsports.com/hbd/Pages/Popups/ProspectProfile.aspx?pid=13631514" TargetMode="External"/><Relationship Id="rId201" Type="http://schemas.openxmlformats.org/officeDocument/2006/relationships/hyperlink" Target="https://www.whatifsports.com/hbd/Pages/Popups/ProspectProfile.aspx?pid=13631742" TargetMode="External"/><Relationship Id="rId12" Type="http://schemas.openxmlformats.org/officeDocument/2006/relationships/hyperlink" Target="https://www.whatifsports.com/hbd/Pages/Popups/ProspectProfile.aspx?pid=13632232" TargetMode="External"/><Relationship Id="rId17" Type="http://schemas.openxmlformats.org/officeDocument/2006/relationships/hyperlink" Target="https://www.whatifsports.com/hbd/Pages/Popups/ProspectProfile.aspx?pid=13632211" TargetMode="External"/><Relationship Id="rId33" Type="http://schemas.openxmlformats.org/officeDocument/2006/relationships/hyperlink" Target="https://www.whatifsports.com/hbd/Pages/Popups/ProspectProfile.aspx?pid=13631767" TargetMode="External"/><Relationship Id="rId38" Type="http://schemas.openxmlformats.org/officeDocument/2006/relationships/hyperlink" Target="https://www.whatifsports.com/hbd/Pages/Popups/ProspectProfile.aspx?pid=13631507" TargetMode="External"/><Relationship Id="rId59" Type="http://schemas.openxmlformats.org/officeDocument/2006/relationships/hyperlink" Target="https://www.whatifsports.com/hbd/Pages/Popups/ProspectProfile.aspx?pid=13632143" TargetMode="External"/><Relationship Id="rId103" Type="http://schemas.openxmlformats.org/officeDocument/2006/relationships/hyperlink" Target="https://www.whatifsports.com/hbd/Pages/Popups/ProspectProfile.aspx?pid=13631457" TargetMode="External"/><Relationship Id="rId108" Type="http://schemas.openxmlformats.org/officeDocument/2006/relationships/hyperlink" Target="https://www.whatifsports.com/hbd/Pages/Popups/ProspectProfile.aspx?pid=13631916" TargetMode="External"/><Relationship Id="rId124" Type="http://schemas.openxmlformats.org/officeDocument/2006/relationships/hyperlink" Target="https://www.whatifsports.com/hbd/Pages/Popups/ProspectProfile.aspx?pid=13632036" TargetMode="External"/><Relationship Id="rId129" Type="http://schemas.openxmlformats.org/officeDocument/2006/relationships/hyperlink" Target="https://www.whatifsports.com/hbd/Pages/Popups/ProspectProfile.aspx?pid=13631926" TargetMode="External"/><Relationship Id="rId54" Type="http://schemas.openxmlformats.org/officeDocument/2006/relationships/hyperlink" Target="https://www.whatifsports.com/hbd/Pages/Popups/ProspectProfile.aspx?pid=13631497" TargetMode="External"/><Relationship Id="rId70" Type="http://schemas.openxmlformats.org/officeDocument/2006/relationships/hyperlink" Target="https://www.whatifsports.com/hbd/Pages/Popups/ProspectProfile.aspx?pid=13632066" TargetMode="External"/><Relationship Id="rId75" Type="http://schemas.openxmlformats.org/officeDocument/2006/relationships/hyperlink" Target="https://www.whatifsports.com/hbd/Pages/Popups/ProspectProfile.aspx?pid=13631409" TargetMode="External"/><Relationship Id="rId91" Type="http://schemas.openxmlformats.org/officeDocument/2006/relationships/hyperlink" Target="https://www.whatifsports.com/hbd/Pages/Popups/ProspectProfile.aspx?pid=13631583" TargetMode="External"/><Relationship Id="rId96" Type="http://schemas.openxmlformats.org/officeDocument/2006/relationships/hyperlink" Target="https://www.whatifsports.com/hbd/Pages/Popups/ProspectProfile.aspx?pid=13631584" TargetMode="External"/><Relationship Id="rId140" Type="http://schemas.openxmlformats.org/officeDocument/2006/relationships/hyperlink" Target="https://www.whatifsports.com/hbd/Pages/Popups/ProspectProfile.aspx?pid=13631952" TargetMode="External"/><Relationship Id="rId145" Type="http://schemas.openxmlformats.org/officeDocument/2006/relationships/hyperlink" Target="https://www.whatifsports.com/hbd/Pages/Popups/ProspectProfile.aspx?pid=13631713" TargetMode="External"/><Relationship Id="rId161" Type="http://schemas.openxmlformats.org/officeDocument/2006/relationships/hyperlink" Target="https://www.whatifsports.com/hbd/Pages/Popups/ProspectProfile.aspx?pid=13631680" TargetMode="External"/><Relationship Id="rId166" Type="http://schemas.openxmlformats.org/officeDocument/2006/relationships/hyperlink" Target="https://www.whatifsports.com/hbd/Pages/Popups/ProspectProfile.aspx?pid=13631808" TargetMode="External"/><Relationship Id="rId182" Type="http://schemas.openxmlformats.org/officeDocument/2006/relationships/hyperlink" Target="https://www.whatifsports.com/hbd/Pages/Popups/ProspectProfile.aspx?pid=13631610" TargetMode="External"/><Relationship Id="rId187" Type="http://schemas.openxmlformats.org/officeDocument/2006/relationships/hyperlink" Target="https://www.whatifsports.com/hbd/Pages/Popups/ProspectProfile.aspx?pid=13631844" TargetMode="External"/><Relationship Id="rId1" Type="http://schemas.openxmlformats.org/officeDocument/2006/relationships/hyperlink" Target="https://www.whatifsports.com/hbd/Pages/GM/AmateurDraftPlayerPool.aspx" TargetMode="External"/><Relationship Id="rId6" Type="http://schemas.openxmlformats.org/officeDocument/2006/relationships/hyperlink" Target="https://www.whatifsports.com/hbd/Pages/GM/AmateurDraftPlayerPool.aspx" TargetMode="External"/><Relationship Id="rId23" Type="http://schemas.openxmlformats.org/officeDocument/2006/relationships/hyperlink" Target="https://www.whatifsports.com/hbd/Pages/Popups/ProspectProfile.aspx?pid=13632194" TargetMode="External"/><Relationship Id="rId28" Type="http://schemas.openxmlformats.org/officeDocument/2006/relationships/hyperlink" Target="https://www.whatifsports.com/hbd/Pages/Popups/ProspectProfile.aspx?pid=13632237" TargetMode="External"/><Relationship Id="rId49" Type="http://schemas.openxmlformats.org/officeDocument/2006/relationships/hyperlink" Target="https://www.whatifsports.com/hbd/Pages/Popups/ProspectProfile.aspx?pid=13631673" TargetMode="External"/><Relationship Id="rId114" Type="http://schemas.openxmlformats.org/officeDocument/2006/relationships/hyperlink" Target="https://www.whatifsports.com/hbd/Pages/Popups/ProspectProfile.aspx?pid=13631468" TargetMode="External"/><Relationship Id="rId119" Type="http://schemas.openxmlformats.org/officeDocument/2006/relationships/hyperlink" Target="https://www.whatifsports.com/hbd/Pages/Popups/ProspectProfile.aspx?pid=13632019" TargetMode="External"/><Relationship Id="rId44" Type="http://schemas.openxmlformats.org/officeDocument/2006/relationships/hyperlink" Target="https://www.whatifsports.com/hbd/Pages/Popups/ProspectProfile.aspx?pid=13632178" TargetMode="External"/><Relationship Id="rId60" Type="http://schemas.openxmlformats.org/officeDocument/2006/relationships/hyperlink" Target="https://www.whatifsports.com/hbd/Pages/Popups/ProspectProfile.aspx?pid=13631900" TargetMode="External"/><Relationship Id="rId65" Type="http://schemas.openxmlformats.org/officeDocument/2006/relationships/hyperlink" Target="https://www.whatifsports.com/hbd/Pages/Popups/ProspectProfile.aspx?pid=13631579" TargetMode="External"/><Relationship Id="rId81" Type="http://schemas.openxmlformats.org/officeDocument/2006/relationships/hyperlink" Target="https://www.whatifsports.com/hbd/Pages/Popups/ProspectProfile.aspx?pid=13631977" TargetMode="External"/><Relationship Id="rId86" Type="http://schemas.openxmlformats.org/officeDocument/2006/relationships/hyperlink" Target="https://www.whatifsports.com/hbd/Pages/Popups/ProspectProfile.aspx?pid=13631835" TargetMode="External"/><Relationship Id="rId130" Type="http://schemas.openxmlformats.org/officeDocument/2006/relationships/hyperlink" Target="https://www.whatifsports.com/hbd/Pages/Popups/ProspectProfile.aspx?pid=13631698" TargetMode="External"/><Relationship Id="rId135" Type="http://schemas.openxmlformats.org/officeDocument/2006/relationships/hyperlink" Target="https://www.whatifsports.com/hbd/Pages/Popups/ProspectProfile.aspx?pid=13631565" TargetMode="External"/><Relationship Id="rId151" Type="http://schemas.openxmlformats.org/officeDocument/2006/relationships/hyperlink" Target="https://www.whatifsports.com/hbd/Pages/Popups/ProspectProfile.aspx?pid=13632078" TargetMode="External"/><Relationship Id="rId156" Type="http://schemas.openxmlformats.org/officeDocument/2006/relationships/hyperlink" Target="https://www.whatifsports.com/hbd/Pages/Popups/ProspectProfile.aspx?pid=13631642" TargetMode="External"/><Relationship Id="rId177" Type="http://schemas.openxmlformats.org/officeDocument/2006/relationships/hyperlink" Target="https://www.whatifsports.com/hbd/Pages/Popups/ProspectProfile.aspx?pid=13631939" TargetMode="External"/><Relationship Id="rId198" Type="http://schemas.openxmlformats.org/officeDocument/2006/relationships/hyperlink" Target="https://www.whatifsports.com/hbd/Pages/Popups/ProspectProfile.aspx?pid=13631752" TargetMode="External"/><Relationship Id="rId172" Type="http://schemas.openxmlformats.org/officeDocument/2006/relationships/hyperlink" Target="https://www.whatifsports.com/hbd/Pages/Popups/ProspectProfile.aspx?pid=13631860" TargetMode="External"/><Relationship Id="rId193" Type="http://schemas.openxmlformats.org/officeDocument/2006/relationships/hyperlink" Target="https://www.whatifsports.com/hbd/Pages/Popups/ProspectProfile.aspx?pid=13631792" TargetMode="External"/><Relationship Id="rId202" Type="http://schemas.openxmlformats.org/officeDocument/2006/relationships/hyperlink" Target="https://www.whatifsports.com/hbd/Pages/Popups/ProspectProfile.aspx?pid=13631648" TargetMode="External"/><Relationship Id="rId207" Type="http://schemas.openxmlformats.org/officeDocument/2006/relationships/hyperlink" Target="https://www.whatifsports.com/hbd/Pages/Popups/ProspectProfile.aspx?pid=13631406" TargetMode="External"/><Relationship Id="rId13" Type="http://schemas.openxmlformats.org/officeDocument/2006/relationships/hyperlink" Target="https://www.whatifsports.com/hbd/Pages/Popups/ProspectProfile.aspx?pid=13632221" TargetMode="External"/><Relationship Id="rId18" Type="http://schemas.openxmlformats.org/officeDocument/2006/relationships/hyperlink" Target="https://www.whatifsports.com/hbd/Pages/Popups/ProspectProfile.aspx?pid=13631772" TargetMode="External"/><Relationship Id="rId39" Type="http://schemas.openxmlformats.org/officeDocument/2006/relationships/hyperlink" Target="https://www.whatifsports.com/hbd/Pages/Popups/ProspectProfile.aspx?pid=13632207" TargetMode="External"/><Relationship Id="rId109" Type="http://schemas.openxmlformats.org/officeDocument/2006/relationships/hyperlink" Target="https://www.whatifsports.com/hbd/Pages/Popups/ProspectProfile.aspx?pid=13631716" TargetMode="External"/><Relationship Id="rId34" Type="http://schemas.openxmlformats.org/officeDocument/2006/relationships/hyperlink" Target="https://www.whatifsports.com/hbd/Pages/Popups/ProspectProfile.aspx?pid=13631591" TargetMode="External"/><Relationship Id="rId50" Type="http://schemas.openxmlformats.org/officeDocument/2006/relationships/hyperlink" Target="https://www.whatifsports.com/hbd/Pages/Popups/ProspectProfile.aspx?pid=13631454" TargetMode="External"/><Relationship Id="rId55" Type="http://schemas.openxmlformats.org/officeDocument/2006/relationships/hyperlink" Target="https://www.whatifsports.com/hbd/Pages/Popups/ProspectProfile.aspx?pid=13631429" TargetMode="External"/><Relationship Id="rId76" Type="http://schemas.openxmlformats.org/officeDocument/2006/relationships/hyperlink" Target="https://www.whatifsports.com/hbd/Pages/Popups/ProspectProfile.aspx?pid=13631852" TargetMode="External"/><Relationship Id="rId97" Type="http://schemas.openxmlformats.org/officeDocument/2006/relationships/hyperlink" Target="https://www.whatifsports.com/hbd/Pages/Popups/ProspectProfile.aspx?pid=13631555" TargetMode="External"/><Relationship Id="rId104" Type="http://schemas.openxmlformats.org/officeDocument/2006/relationships/hyperlink" Target="https://www.whatifsports.com/hbd/Pages/Popups/ProspectProfile.aspx?pid=13631635" TargetMode="External"/><Relationship Id="rId120" Type="http://schemas.openxmlformats.org/officeDocument/2006/relationships/hyperlink" Target="https://www.whatifsports.com/hbd/Pages/Popups/ProspectProfile.aspx?pid=13631836" TargetMode="External"/><Relationship Id="rId125" Type="http://schemas.openxmlformats.org/officeDocument/2006/relationships/hyperlink" Target="https://www.whatifsports.com/hbd/Pages/Popups/ProspectProfile.aspx?pid=13631991" TargetMode="External"/><Relationship Id="rId141" Type="http://schemas.openxmlformats.org/officeDocument/2006/relationships/hyperlink" Target="https://www.whatifsports.com/hbd/Pages/Popups/ProspectProfile.aspx?pid=13631896" TargetMode="External"/><Relationship Id="rId146" Type="http://schemas.openxmlformats.org/officeDocument/2006/relationships/hyperlink" Target="https://www.whatifsports.com/hbd/Pages/Popups/ProspectProfile.aspx?pid=13631560" TargetMode="External"/><Relationship Id="rId167" Type="http://schemas.openxmlformats.org/officeDocument/2006/relationships/hyperlink" Target="https://www.whatifsports.com/hbd/Pages/Popups/ProspectProfile.aspx?pid=13631601" TargetMode="External"/><Relationship Id="rId188" Type="http://schemas.openxmlformats.org/officeDocument/2006/relationships/hyperlink" Target="https://www.whatifsports.com/hbd/Pages/Popups/ProspectProfile.aspx?pid=13631775" TargetMode="External"/><Relationship Id="rId7" Type="http://schemas.openxmlformats.org/officeDocument/2006/relationships/hyperlink" Target="https://www.whatifsports.com/hbd/Pages/Popups/ProspectProfile.aspx?pid=13631431" TargetMode="External"/><Relationship Id="rId71" Type="http://schemas.openxmlformats.org/officeDocument/2006/relationships/hyperlink" Target="https://www.whatifsports.com/hbd/Pages/Popups/ProspectProfile.aspx?pid=13632052" TargetMode="External"/><Relationship Id="rId92" Type="http://schemas.openxmlformats.org/officeDocument/2006/relationships/hyperlink" Target="https://www.whatifsports.com/hbd/Pages/Popups/ProspectProfile.aspx?pid=13631482" TargetMode="External"/><Relationship Id="rId162" Type="http://schemas.openxmlformats.org/officeDocument/2006/relationships/hyperlink" Target="https://www.whatifsports.com/hbd/Pages/Popups/ProspectProfile.aspx?pid=13631630" TargetMode="External"/><Relationship Id="rId183" Type="http://schemas.openxmlformats.org/officeDocument/2006/relationships/hyperlink" Target="https://www.whatifsports.com/hbd/Pages/Popups/ProspectProfile.aspx?pid=13631963" TargetMode="External"/><Relationship Id="rId2" Type="http://schemas.openxmlformats.org/officeDocument/2006/relationships/hyperlink" Target="https://www.whatifsports.com/hbd/Pages/GM/AmateurDraftPlayerPool.aspx" TargetMode="External"/><Relationship Id="rId29" Type="http://schemas.openxmlformats.org/officeDocument/2006/relationships/hyperlink" Target="https://www.whatifsports.com/hbd/Pages/Popups/ProspectProfile.aspx?pid=13632234" TargetMode="External"/><Relationship Id="rId24" Type="http://schemas.openxmlformats.org/officeDocument/2006/relationships/hyperlink" Target="https://www.whatifsports.com/hbd/Pages/Popups/ProspectProfile.aspx?pid=13631607" TargetMode="External"/><Relationship Id="rId40" Type="http://schemas.openxmlformats.org/officeDocument/2006/relationships/hyperlink" Target="https://www.whatifsports.com/hbd/Pages/Popups/ProspectProfile.aspx?pid=13631605" TargetMode="External"/><Relationship Id="rId45" Type="http://schemas.openxmlformats.org/officeDocument/2006/relationships/hyperlink" Target="https://www.whatifsports.com/hbd/Pages/Popups/ProspectProfile.aspx?pid=13631839" TargetMode="External"/><Relationship Id="rId66" Type="http://schemas.openxmlformats.org/officeDocument/2006/relationships/hyperlink" Target="https://www.whatifsports.com/hbd/Pages/Popups/ProspectProfile.aspx?pid=13631552" TargetMode="External"/><Relationship Id="rId87" Type="http://schemas.openxmlformats.org/officeDocument/2006/relationships/hyperlink" Target="https://www.whatifsports.com/hbd/Pages/Popups/ProspectProfile.aspx?pid=13631567" TargetMode="External"/><Relationship Id="rId110" Type="http://schemas.openxmlformats.org/officeDocument/2006/relationships/hyperlink" Target="https://www.whatifsports.com/hbd/Pages/Popups/ProspectProfile.aspx?pid=13631471" TargetMode="External"/><Relationship Id="rId115" Type="http://schemas.openxmlformats.org/officeDocument/2006/relationships/hyperlink" Target="https://www.whatifsports.com/hbd/Pages/Popups/ProspectProfile.aspx?pid=13631453" TargetMode="External"/><Relationship Id="rId131" Type="http://schemas.openxmlformats.org/officeDocument/2006/relationships/hyperlink" Target="https://www.whatifsports.com/hbd/Pages/Popups/ProspectProfile.aspx?pid=13632164" TargetMode="External"/><Relationship Id="rId136" Type="http://schemas.openxmlformats.org/officeDocument/2006/relationships/hyperlink" Target="https://www.whatifsports.com/hbd/Pages/Popups/ProspectProfile.aspx?pid=13631391" TargetMode="External"/><Relationship Id="rId157" Type="http://schemas.openxmlformats.org/officeDocument/2006/relationships/hyperlink" Target="https://www.whatifsports.com/hbd/Pages/Popups/ProspectProfile.aspx?pid=13631885" TargetMode="External"/><Relationship Id="rId178" Type="http://schemas.openxmlformats.org/officeDocument/2006/relationships/hyperlink" Target="https://www.whatifsports.com/hbd/Pages/Popups/ProspectProfile.aspx?pid=13631853" TargetMode="External"/><Relationship Id="rId61" Type="http://schemas.openxmlformats.org/officeDocument/2006/relationships/hyperlink" Target="https://www.whatifsports.com/hbd/Pages/Popups/ProspectProfile.aspx?pid=13631768" TargetMode="External"/><Relationship Id="rId82" Type="http://schemas.openxmlformats.org/officeDocument/2006/relationships/hyperlink" Target="https://www.whatifsports.com/hbd/Pages/Popups/ProspectProfile.aspx?pid=13631972" TargetMode="External"/><Relationship Id="rId152" Type="http://schemas.openxmlformats.org/officeDocument/2006/relationships/hyperlink" Target="https://www.whatifsports.com/hbd/Pages/Popups/ProspectProfile.aspx?pid=13631910" TargetMode="External"/><Relationship Id="rId173" Type="http://schemas.openxmlformats.org/officeDocument/2006/relationships/hyperlink" Target="https://www.whatifsports.com/hbd/Pages/Popups/ProspectProfile.aspx?pid=13631526" TargetMode="External"/><Relationship Id="rId194" Type="http://schemas.openxmlformats.org/officeDocument/2006/relationships/hyperlink" Target="https://www.whatifsports.com/hbd/Pages/Popups/ProspectProfile.aspx?pid=13631791" TargetMode="External"/><Relationship Id="rId199" Type="http://schemas.openxmlformats.org/officeDocument/2006/relationships/hyperlink" Target="https://www.whatifsports.com/hbd/Pages/Popups/ProspectProfile.aspx?pid=13631802" TargetMode="External"/><Relationship Id="rId203" Type="http://schemas.openxmlformats.org/officeDocument/2006/relationships/hyperlink" Target="https://www.whatifsports.com/hbd/Pages/Popups/ProspectProfile.aspx?pid=13631532" TargetMode="External"/><Relationship Id="rId208" Type="http://schemas.openxmlformats.org/officeDocument/2006/relationships/printerSettings" Target="../printerSettings/printerSettings2.bin"/><Relationship Id="rId19" Type="http://schemas.openxmlformats.org/officeDocument/2006/relationships/hyperlink" Target="https://www.whatifsports.com/hbd/Pages/Popups/ProspectProfile.aspx?pid=13631714" TargetMode="External"/><Relationship Id="rId14" Type="http://schemas.openxmlformats.org/officeDocument/2006/relationships/hyperlink" Target="https://www.whatifsports.com/hbd/Pages/Popups/ProspectProfile.aspx?pid=13631506" TargetMode="External"/><Relationship Id="rId30" Type="http://schemas.openxmlformats.org/officeDocument/2006/relationships/hyperlink" Target="https://www.whatifsports.com/hbd/Pages/Popups/ProspectProfile.aspx?pid=13632217" TargetMode="External"/><Relationship Id="rId35" Type="http://schemas.openxmlformats.org/officeDocument/2006/relationships/hyperlink" Target="https://www.whatifsports.com/hbd/Pages/Popups/ProspectProfile.aspx?pid=13632212" TargetMode="External"/><Relationship Id="rId56" Type="http://schemas.openxmlformats.org/officeDocument/2006/relationships/hyperlink" Target="https://www.whatifsports.com/hbd/Pages/Popups/ProspectProfile.aspx?pid=13632208" TargetMode="External"/><Relationship Id="rId77" Type="http://schemas.openxmlformats.org/officeDocument/2006/relationships/hyperlink" Target="https://www.whatifsports.com/hbd/Pages/Popups/ProspectProfile.aspx?pid=13631699" TargetMode="External"/><Relationship Id="rId100" Type="http://schemas.openxmlformats.org/officeDocument/2006/relationships/hyperlink" Target="https://www.whatifsports.com/hbd/Pages/Popups/ProspectProfile.aspx?pid=13631459" TargetMode="External"/><Relationship Id="rId105" Type="http://schemas.openxmlformats.org/officeDocument/2006/relationships/hyperlink" Target="https://www.whatifsports.com/hbd/Pages/Popups/ProspectProfile.aspx?pid=13632213" TargetMode="External"/><Relationship Id="rId126" Type="http://schemas.openxmlformats.org/officeDocument/2006/relationships/hyperlink" Target="https://www.whatifsports.com/hbd/Pages/Popups/ProspectProfile.aspx?pid=13631414" TargetMode="External"/><Relationship Id="rId147" Type="http://schemas.openxmlformats.org/officeDocument/2006/relationships/hyperlink" Target="https://www.whatifsports.com/hbd/Pages/Popups/ProspectProfile.aspx?pid=13631518" TargetMode="External"/><Relationship Id="rId168" Type="http://schemas.openxmlformats.org/officeDocument/2006/relationships/hyperlink" Target="https://www.whatifsports.com/hbd/Pages/Popups/ProspectProfile.aspx?pid=13631968" TargetMode="External"/><Relationship Id="rId8" Type="http://schemas.openxmlformats.org/officeDocument/2006/relationships/hyperlink" Target="https://www.whatifsports.com/hbd/Pages/Popups/ProspectProfile.aspx?pid=13631837" TargetMode="External"/><Relationship Id="rId51" Type="http://schemas.openxmlformats.org/officeDocument/2006/relationships/hyperlink" Target="https://www.whatifsports.com/hbd/Pages/Popups/ProspectProfile.aspx?pid=13632172" TargetMode="External"/><Relationship Id="rId72" Type="http://schemas.openxmlformats.org/officeDocument/2006/relationships/hyperlink" Target="https://www.whatifsports.com/hbd/Pages/Popups/ProspectProfile.aspx?pid=13631838" TargetMode="External"/><Relationship Id="rId93" Type="http://schemas.openxmlformats.org/officeDocument/2006/relationships/hyperlink" Target="https://www.whatifsports.com/hbd/Pages/Popups/ProspectProfile.aspx?pid=13632183" TargetMode="External"/><Relationship Id="rId98" Type="http://schemas.openxmlformats.org/officeDocument/2006/relationships/hyperlink" Target="https://www.whatifsports.com/hbd/Pages/Popups/ProspectProfile.aspx?pid=13632123" TargetMode="External"/><Relationship Id="rId121" Type="http://schemas.openxmlformats.org/officeDocument/2006/relationships/hyperlink" Target="https://www.whatifsports.com/hbd/Pages/Popups/ProspectProfile.aspx?pid=13632201" TargetMode="External"/><Relationship Id="rId142" Type="http://schemas.openxmlformats.org/officeDocument/2006/relationships/hyperlink" Target="https://www.whatifsports.com/hbd/Pages/Popups/ProspectProfile.aspx?pid=13631877" TargetMode="External"/><Relationship Id="rId163" Type="http://schemas.openxmlformats.org/officeDocument/2006/relationships/hyperlink" Target="https://www.whatifsports.com/hbd/Pages/Popups/ProspectProfile.aspx?pid=13632115" TargetMode="External"/><Relationship Id="rId184" Type="http://schemas.openxmlformats.org/officeDocument/2006/relationships/hyperlink" Target="https://www.whatifsports.com/hbd/Pages/Popups/ProspectProfile.aspx?pid=13631882" TargetMode="External"/><Relationship Id="rId189" Type="http://schemas.openxmlformats.org/officeDocument/2006/relationships/hyperlink" Target="https://www.whatifsports.com/hbd/Pages/Popups/ProspectProfile.aspx?pid=13631823" TargetMode="External"/><Relationship Id="rId3" Type="http://schemas.openxmlformats.org/officeDocument/2006/relationships/hyperlink" Target="https://www.whatifsports.com/hbd/Pages/GM/AmateurDraftPlayerPool.aspx" TargetMode="External"/><Relationship Id="rId25" Type="http://schemas.openxmlformats.org/officeDocument/2006/relationships/hyperlink" Target="https://www.whatifsports.com/hbd/Pages/Popups/ProspectProfile.aspx?pid=13632223" TargetMode="External"/><Relationship Id="rId46" Type="http://schemas.openxmlformats.org/officeDocument/2006/relationships/hyperlink" Target="https://www.whatifsports.com/hbd/Pages/Popups/ProspectProfile.aspx?pid=13631730" TargetMode="External"/><Relationship Id="rId67" Type="http://schemas.openxmlformats.org/officeDocument/2006/relationships/hyperlink" Target="https://www.whatifsports.com/hbd/Pages/Popups/ProspectProfile.aspx?pid=13632224" TargetMode="External"/><Relationship Id="rId116" Type="http://schemas.openxmlformats.org/officeDocument/2006/relationships/hyperlink" Target="https://www.whatifsports.com/hbd/Pages/Popups/ProspectProfile.aspx?pid=13632204" TargetMode="External"/><Relationship Id="rId137" Type="http://schemas.openxmlformats.org/officeDocument/2006/relationships/hyperlink" Target="https://www.whatifsports.com/hbd/Pages/Popups/ProspectProfile.aspx?pid=13632116" TargetMode="External"/><Relationship Id="rId158" Type="http://schemas.openxmlformats.org/officeDocument/2006/relationships/hyperlink" Target="https://www.whatifsports.com/hbd/Pages/Popups/ProspectProfile.aspx?pid=13632029" TargetMode="External"/><Relationship Id="rId20" Type="http://schemas.openxmlformats.org/officeDocument/2006/relationships/hyperlink" Target="https://www.whatifsports.com/hbd/Pages/Popups/ProspectProfile.aspx?pid=13632205" TargetMode="External"/><Relationship Id="rId41" Type="http://schemas.openxmlformats.org/officeDocument/2006/relationships/hyperlink" Target="https://www.whatifsports.com/hbd/Pages/Popups/ProspectProfile.aspx?pid=13632229" TargetMode="External"/><Relationship Id="rId62" Type="http://schemas.openxmlformats.org/officeDocument/2006/relationships/hyperlink" Target="https://www.whatifsports.com/hbd/Pages/Popups/ProspectProfile.aspx?pid=13631725" TargetMode="External"/><Relationship Id="rId83" Type="http://schemas.openxmlformats.org/officeDocument/2006/relationships/hyperlink" Target="https://www.whatifsports.com/hbd/Pages/Popups/ProspectProfile.aspx?pid=13631946" TargetMode="External"/><Relationship Id="rId88" Type="http://schemas.openxmlformats.org/officeDocument/2006/relationships/hyperlink" Target="https://www.whatifsports.com/hbd/Pages/Popups/ProspectProfile.aspx?pid=13632099" TargetMode="External"/><Relationship Id="rId111" Type="http://schemas.openxmlformats.org/officeDocument/2006/relationships/hyperlink" Target="https://www.whatifsports.com/hbd/Pages/Popups/ProspectProfile.aspx?pid=13631437" TargetMode="External"/><Relationship Id="rId132" Type="http://schemas.openxmlformats.org/officeDocument/2006/relationships/hyperlink" Target="https://www.whatifsports.com/hbd/Pages/Popups/ProspectProfile.aspx?pid=13632113" TargetMode="External"/><Relationship Id="rId153" Type="http://schemas.openxmlformats.org/officeDocument/2006/relationships/hyperlink" Target="https://www.whatifsports.com/hbd/Pages/Popups/ProspectProfile.aspx?pid=13631448" TargetMode="External"/><Relationship Id="rId174" Type="http://schemas.openxmlformats.org/officeDocument/2006/relationships/hyperlink" Target="https://www.whatifsports.com/hbd/Pages/Popups/ProspectProfile.aspx?pid=13631876" TargetMode="External"/><Relationship Id="rId179" Type="http://schemas.openxmlformats.org/officeDocument/2006/relationships/hyperlink" Target="https://www.whatifsports.com/hbd/Pages/Popups/ProspectProfile.aspx?pid=13631913" TargetMode="External"/><Relationship Id="rId195" Type="http://schemas.openxmlformats.org/officeDocument/2006/relationships/hyperlink" Target="https://www.whatifsports.com/hbd/Pages/Popups/ProspectProfile.aspx?pid=13631789" TargetMode="External"/><Relationship Id="rId209" Type="http://schemas.openxmlformats.org/officeDocument/2006/relationships/drawing" Target="../drawings/drawing2.xml"/><Relationship Id="rId190" Type="http://schemas.openxmlformats.org/officeDocument/2006/relationships/hyperlink" Target="https://www.whatifsports.com/hbd/Pages/Popups/ProspectProfile.aspx?pid=13631818" TargetMode="External"/><Relationship Id="rId204" Type="http://schemas.openxmlformats.org/officeDocument/2006/relationships/hyperlink" Target="https://www.whatifsports.com/hbd/Pages/Popups/ProspectProfile.aspx?pid=13631531" TargetMode="External"/><Relationship Id="rId15" Type="http://schemas.openxmlformats.org/officeDocument/2006/relationships/hyperlink" Target="https://www.whatifsports.com/hbd/Pages/Popups/ProspectProfile.aspx?pid=13632238" TargetMode="External"/><Relationship Id="rId36" Type="http://schemas.openxmlformats.org/officeDocument/2006/relationships/hyperlink" Target="https://www.whatifsports.com/hbd/Pages/Popups/ProspectProfile.aspx?pid=13631672" TargetMode="External"/><Relationship Id="rId57" Type="http://schemas.openxmlformats.org/officeDocument/2006/relationships/hyperlink" Target="https://www.whatifsports.com/hbd/Pages/Popups/ProspectProfile.aspx?pid=13632206" TargetMode="External"/><Relationship Id="rId106" Type="http://schemas.openxmlformats.org/officeDocument/2006/relationships/hyperlink" Target="https://www.whatifsports.com/hbd/Pages/Popups/ProspectProfile.aspx?pid=13632131" TargetMode="External"/><Relationship Id="rId127" Type="http://schemas.openxmlformats.org/officeDocument/2006/relationships/hyperlink" Target="https://www.whatifsports.com/hbd/Pages/Popups/ProspectProfile.aspx?pid=13632107" TargetMode="External"/><Relationship Id="rId10" Type="http://schemas.openxmlformats.org/officeDocument/2006/relationships/hyperlink" Target="https://www.whatifsports.com/hbd/Pages/Popups/ProspectProfile.aspx?pid=13631500" TargetMode="External"/><Relationship Id="rId31" Type="http://schemas.openxmlformats.org/officeDocument/2006/relationships/hyperlink" Target="https://www.whatifsports.com/hbd/Pages/Popups/ProspectProfile.aspx?pid=13632171" TargetMode="External"/><Relationship Id="rId52" Type="http://schemas.openxmlformats.org/officeDocument/2006/relationships/hyperlink" Target="https://www.whatifsports.com/hbd/Pages/Popups/ProspectProfile.aspx?pid=13632087" TargetMode="External"/><Relationship Id="rId73" Type="http://schemas.openxmlformats.org/officeDocument/2006/relationships/hyperlink" Target="https://www.whatifsports.com/hbd/Pages/Popups/ProspectProfile.aspx?pid=13631718" TargetMode="External"/><Relationship Id="rId78" Type="http://schemas.openxmlformats.org/officeDocument/2006/relationships/hyperlink" Target="https://www.whatifsports.com/hbd/Pages/Popups/ProspectProfile.aspx?pid=13631667" TargetMode="External"/><Relationship Id="rId94" Type="http://schemas.openxmlformats.org/officeDocument/2006/relationships/hyperlink" Target="https://www.whatifsports.com/hbd/Pages/Popups/ProspectProfile.aspx?pid=13632084" TargetMode="External"/><Relationship Id="rId99" Type="http://schemas.openxmlformats.org/officeDocument/2006/relationships/hyperlink" Target="https://www.whatifsports.com/hbd/Pages/Popups/ProspectProfile.aspx?pid=13632104" TargetMode="External"/><Relationship Id="rId101" Type="http://schemas.openxmlformats.org/officeDocument/2006/relationships/hyperlink" Target="https://www.whatifsports.com/hbd/Pages/Popups/ProspectProfile.aspx?pid=13632001" TargetMode="External"/><Relationship Id="rId122" Type="http://schemas.openxmlformats.org/officeDocument/2006/relationships/hyperlink" Target="https://www.whatifsports.com/hbd/Pages/Popups/ProspectProfile.aspx?pid=13632085" TargetMode="External"/><Relationship Id="rId143" Type="http://schemas.openxmlformats.org/officeDocument/2006/relationships/hyperlink" Target="https://www.whatifsports.com/hbd/Pages/Popups/ProspectProfile.aspx?pid=13631875" TargetMode="External"/><Relationship Id="rId148" Type="http://schemas.openxmlformats.org/officeDocument/2006/relationships/hyperlink" Target="https://www.whatifsports.com/hbd/Pages/Popups/ProspectProfile.aspx?pid=13631435" TargetMode="External"/><Relationship Id="rId164" Type="http://schemas.openxmlformats.org/officeDocument/2006/relationships/hyperlink" Target="https://www.whatifsports.com/hbd/Pages/Popups/ProspectProfile.aspx?pid=13631994" TargetMode="External"/><Relationship Id="rId169" Type="http://schemas.openxmlformats.org/officeDocument/2006/relationships/hyperlink" Target="https://www.whatifsports.com/hbd/Pages/Popups/ProspectProfile.aspx?pid=13631945" TargetMode="External"/><Relationship Id="rId185" Type="http://schemas.openxmlformats.org/officeDocument/2006/relationships/hyperlink" Target="https://www.whatifsports.com/hbd/Pages/Popups/ProspectProfile.aspx?pid=13632154" TargetMode="External"/><Relationship Id="rId4" Type="http://schemas.openxmlformats.org/officeDocument/2006/relationships/hyperlink" Target="https://www.whatifsports.com/hbd/Pages/GM/AmateurDraftPlayerPool.aspx" TargetMode="External"/><Relationship Id="rId9" Type="http://schemas.openxmlformats.org/officeDocument/2006/relationships/hyperlink" Target="https://www.whatifsports.com/hbd/Pages/Popups/ProspectProfile.aspx?pid=13632168" TargetMode="External"/><Relationship Id="rId180" Type="http://schemas.openxmlformats.org/officeDocument/2006/relationships/hyperlink" Target="https://www.whatifsports.com/hbd/Pages/Popups/ProspectProfile.aspx?pid=13631908" TargetMode="External"/><Relationship Id="rId26" Type="http://schemas.openxmlformats.org/officeDocument/2006/relationships/hyperlink" Target="https://www.whatifsports.com/hbd/Pages/Popups/ProspectProfile.aspx?pid=13632216" TargetMode="External"/><Relationship Id="rId47" Type="http://schemas.openxmlformats.org/officeDocument/2006/relationships/hyperlink" Target="https://www.whatifsports.com/hbd/Pages/Popups/ProspectProfile.aspx?pid=13632199" TargetMode="External"/><Relationship Id="rId68" Type="http://schemas.openxmlformats.org/officeDocument/2006/relationships/hyperlink" Target="https://www.whatifsports.com/hbd/Pages/Popups/ProspectProfile.aspx?pid=13632130" TargetMode="External"/><Relationship Id="rId89" Type="http://schemas.openxmlformats.org/officeDocument/2006/relationships/hyperlink" Target="https://www.whatifsports.com/hbd/Pages/Popups/ProspectProfile.aspx?pid=13632030" TargetMode="External"/><Relationship Id="rId112" Type="http://schemas.openxmlformats.org/officeDocument/2006/relationships/hyperlink" Target="https://www.whatifsports.com/hbd/Pages/Popups/ProspectProfile.aspx?pid=13632236" TargetMode="External"/><Relationship Id="rId133" Type="http://schemas.openxmlformats.org/officeDocument/2006/relationships/hyperlink" Target="https://www.whatifsports.com/hbd/Pages/Popups/ProspectProfile.aspx?pid=13632063" TargetMode="External"/><Relationship Id="rId154" Type="http://schemas.openxmlformats.org/officeDocument/2006/relationships/hyperlink" Target="https://www.whatifsports.com/hbd/Pages/Popups/ProspectProfile.aspx?pid=13631442" TargetMode="External"/><Relationship Id="rId175" Type="http://schemas.openxmlformats.org/officeDocument/2006/relationships/hyperlink" Target="https://www.whatifsports.com/hbd/Pages/Popups/ProspectProfile.aspx?pid=13631849" TargetMode="External"/><Relationship Id="rId196" Type="http://schemas.openxmlformats.org/officeDocument/2006/relationships/hyperlink" Target="https://www.whatifsports.com/hbd/Pages/Popups/ProspectProfile.aspx?pid=13631763" TargetMode="External"/><Relationship Id="rId200" Type="http://schemas.openxmlformats.org/officeDocument/2006/relationships/hyperlink" Target="https://www.whatifsports.com/hbd/Pages/Popups/ProspectProfile.aspx?pid=13631780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06"/>
  <sheetViews>
    <sheetView tabSelected="1" workbookViewId="0">
      <pane ySplit="6" topLeftCell="A7" activePane="bottomLeft" state="frozen"/>
      <selection activeCell="N1" sqref="N1"/>
      <selection pane="bottomLeft" activeCell="AC16" sqref="AC16"/>
    </sheetView>
  </sheetViews>
  <sheetFormatPr defaultRowHeight="14.4" x14ac:dyDescent="0.3"/>
  <cols>
    <col min="1" max="1" width="12" bestFit="1" customWidth="1"/>
    <col min="2" max="2" width="5.33203125" bestFit="1" customWidth="1"/>
    <col min="3" max="3" width="19" bestFit="1" customWidth="1"/>
    <col min="4" max="4" width="4.109375" bestFit="1" customWidth="1"/>
    <col min="5" max="5" width="4.6640625" bestFit="1" customWidth="1"/>
    <col min="6" max="6" width="7.44140625" bestFit="1" customWidth="1"/>
    <col min="7" max="7" width="4.109375" bestFit="1" customWidth="1"/>
    <col min="8" max="12" width="4" bestFit="1" customWidth="1"/>
    <col min="13" max="13" width="9" bestFit="1" customWidth="1"/>
    <col min="14" max="14" width="4.6640625" bestFit="1" customWidth="1"/>
    <col min="15" max="15" width="7.6640625" bestFit="1" customWidth="1"/>
    <col min="16" max="16" width="5.6640625" bestFit="1" customWidth="1"/>
    <col min="17" max="17" width="3.5546875" bestFit="1" customWidth="1"/>
    <col min="18" max="18" width="21.5546875" bestFit="1" customWidth="1"/>
    <col min="19" max="19" width="3" bestFit="1" customWidth="1"/>
    <col min="20" max="21" width="2" bestFit="1" customWidth="1"/>
    <col min="22" max="22" width="2.6640625" bestFit="1" customWidth="1"/>
    <col min="23" max="25" width="4" bestFit="1" customWidth="1"/>
    <col min="26" max="26" width="4.109375" bestFit="1" customWidth="1"/>
    <col min="27" max="27" width="6.44140625" style="5" bestFit="1" customWidth="1"/>
    <col min="28" max="28" width="4" bestFit="1" customWidth="1"/>
    <col min="29" max="29" width="4.109375" bestFit="1" customWidth="1"/>
    <col min="30" max="30" width="4" bestFit="1" customWidth="1"/>
    <col min="31" max="31" width="5.109375" bestFit="1" customWidth="1"/>
    <col min="32" max="32" width="5.33203125" bestFit="1" customWidth="1"/>
    <col min="33" max="33" width="5.44140625" bestFit="1" customWidth="1"/>
    <col min="34" max="34" width="5.6640625" bestFit="1" customWidth="1"/>
    <col min="35" max="37" width="10" bestFit="1" customWidth="1"/>
    <col min="38" max="38" width="15.44140625" bestFit="1" customWidth="1"/>
    <col min="39" max="39" width="17.44140625" bestFit="1" customWidth="1"/>
  </cols>
  <sheetData>
    <row r="1" spans="1:39" ht="15" thickBot="1" x14ac:dyDescent="0.35">
      <c r="B1" s="2"/>
      <c r="C1" s="2"/>
      <c r="D1" s="2"/>
      <c r="E1" s="2"/>
      <c r="F1" s="2"/>
      <c r="G1" s="1">
        <v>0</v>
      </c>
      <c r="H1" s="1">
        <v>1</v>
      </c>
      <c r="I1" s="1">
        <v>2</v>
      </c>
      <c r="J1" s="1">
        <v>0.8</v>
      </c>
      <c r="K1" s="1">
        <v>1.2</v>
      </c>
      <c r="L1" s="1">
        <v>1.6</v>
      </c>
      <c r="M1" s="8">
        <v>1</v>
      </c>
      <c r="N1" s="8">
        <v>0.2</v>
      </c>
      <c r="O1" s="1">
        <v>0.1</v>
      </c>
      <c r="P1" s="1"/>
      <c r="Q1" s="1"/>
      <c r="R1" s="1"/>
      <c r="S1" s="1"/>
      <c r="T1" s="1"/>
      <c r="U1" s="1"/>
      <c r="V1" s="1"/>
      <c r="W1" s="1">
        <v>1</v>
      </c>
      <c r="X1" s="1">
        <v>1</v>
      </c>
      <c r="Y1" s="1">
        <v>1</v>
      </c>
      <c r="Z1" s="1">
        <v>1</v>
      </c>
      <c r="AA1" s="1"/>
      <c r="AB1" s="1">
        <v>0.8</v>
      </c>
      <c r="AC1" s="1">
        <v>0.2</v>
      </c>
      <c r="AD1" s="1">
        <v>1</v>
      </c>
      <c r="AE1" s="1">
        <v>0.1</v>
      </c>
      <c r="AF1" s="1">
        <v>0.1</v>
      </c>
      <c r="AG1" s="1">
        <v>0.1</v>
      </c>
      <c r="AH1" s="1"/>
      <c r="AI1" s="23" t="s">
        <v>15</v>
      </c>
      <c r="AJ1" s="24"/>
      <c r="AK1" s="24"/>
      <c r="AL1" s="24"/>
      <c r="AM1" s="24"/>
    </row>
    <row r="2" spans="1:39" ht="15" thickBot="1" x14ac:dyDescent="0.35">
      <c r="B2" s="2"/>
      <c r="C2" s="2"/>
      <c r="D2" s="2"/>
      <c r="E2" s="2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>
        <v>0.2</v>
      </c>
      <c r="Y2" s="1">
        <v>0.5</v>
      </c>
      <c r="Z2" s="1">
        <v>0.3</v>
      </c>
      <c r="AA2" s="1">
        <v>1</v>
      </c>
      <c r="AB2" s="1"/>
      <c r="AC2" s="1"/>
      <c r="AD2" s="1"/>
      <c r="AE2" s="1"/>
      <c r="AF2" s="1"/>
      <c r="AG2" s="1"/>
      <c r="AH2" s="1"/>
    </row>
    <row r="3" spans="1:39" ht="15" thickBot="1" x14ac:dyDescent="0.35">
      <c r="B3" s="2"/>
      <c r="C3" s="2"/>
      <c r="D3" s="2"/>
      <c r="E3" s="2"/>
      <c r="F3" s="2"/>
      <c r="G3" s="1"/>
      <c r="H3" s="25">
        <v>2.5</v>
      </c>
      <c r="I3" s="27"/>
      <c r="J3" s="27"/>
      <c r="K3" s="27"/>
      <c r="L3" s="27"/>
      <c r="M3" s="27">
        <v>0.6</v>
      </c>
      <c r="N3" s="27"/>
      <c r="O3" s="26"/>
      <c r="P3" s="7"/>
      <c r="Q3" s="7"/>
      <c r="R3" s="7"/>
      <c r="S3" s="7"/>
      <c r="T3" s="7"/>
      <c r="U3" s="7"/>
      <c r="V3" s="7"/>
      <c r="W3" s="25">
        <v>2</v>
      </c>
      <c r="X3" s="27"/>
      <c r="Y3" s="27"/>
      <c r="Z3" s="27"/>
      <c r="AA3" s="26"/>
      <c r="AB3" s="25">
        <v>1</v>
      </c>
      <c r="AC3" s="26"/>
      <c r="AD3" s="25">
        <v>0.6</v>
      </c>
      <c r="AE3" s="27"/>
      <c r="AF3" s="27"/>
      <c r="AG3" s="26"/>
      <c r="AH3" s="1"/>
    </row>
    <row r="4" spans="1:39" ht="15" thickBot="1" x14ac:dyDescent="0.35">
      <c r="B4" s="2"/>
      <c r="C4" s="2"/>
      <c r="D4" s="2"/>
      <c r="E4" s="2"/>
      <c r="F4" s="2"/>
      <c r="G4" s="1"/>
      <c r="H4" s="3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3"/>
      <c r="X4" s="7"/>
      <c r="Y4" s="7"/>
      <c r="Z4" s="7"/>
      <c r="AA4" s="7"/>
      <c r="AB4" s="3"/>
      <c r="AC4" s="7"/>
      <c r="AD4" s="7"/>
      <c r="AE4" s="1"/>
      <c r="AF4" s="1"/>
      <c r="AG4" s="1"/>
      <c r="AH4" s="1"/>
      <c r="AK4" s="6"/>
    </row>
    <row r="5" spans="1:39" ht="15" thickBot="1" x14ac:dyDescent="0.35">
      <c r="A5" s="6">
        <f>(AI5*H$3+AJ5*M$3+AK5*W$3+AL5*AB$3+AM5*AD$3)*100/(AI$5*H$3+AJ$5*M$3+AK$5*W$3+AL$5*AB$3+AM$5*AD$3)</f>
        <v>100</v>
      </c>
      <c r="B5" s="2"/>
      <c r="C5" s="2"/>
      <c r="D5" s="2"/>
      <c r="E5" s="2"/>
      <c r="F5" s="2"/>
      <c r="G5" s="1"/>
      <c r="H5" s="3">
        <v>100</v>
      </c>
      <c r="I5" s="3">
        <v>100</v>
      </c>
      <c r="J5" s="3">
        <v>100</v>
      </c>
      <c r="K5" s="3">
        <v>100</v>
      </c>
      <c r="L5" s="3">
        <v>100</v>
      </c>
      <c r="M5" s="3">
        <v>100</v>
      </c>
      <c r="N5" s="3">
        <v>100</v>
      </c>
      <c r="O5" s="3">
        <v>100</v>
      </c>
      <c r="P5" s="3">
        <v>100</v>
      </c>
      <c r="Q5" s="3"/>
      <c r="R5" s="3"/>
      <c r="S5" s="3"/>
      <c r="T5" s="3"/>
      <c r="U5" s="3"/>
      <c r="V5" s="3"/>
      <c r="W5" s="3">
        <v>100</v>
      </c>
      <c r="X5" s="3">
        <v>100</v>
      </c>
      <c r="Y5" s="3">
        <v>100</v>
      </c>
      <c r="Z5" s="3">
        <v>100</v>
      </c>
      <c r="AA5" s="3">
        <v>100</v>
      </c>
      <c r="AB5" s="3">
        <v>100</v>
      </c>
      <c r="AC5" s="3">
        <v>100</v>
      </c>
      <c r="AD5" s="3">
        <v>100</v>
      </c>
      <c r="AE5" s="3">
        <v>100</v>
      </c>
      <c r="AF5" s="3">
        <v>100</v>
      </c>
      <c r="AG5" s="3">
        <v>100</v>
      </c>
      <c r="AH5" s="1"/>
      <c r="AI5" s="6">
        <f>H$1*((-2*10^-6)*H5^3+0.00032*H5^2-0.0021*H5)+I$1*((-2*10^-6)*I5^3+0.00032*I5^2-0.0021*I5)+J$1*((-2*10^-6)*J5^3+0.00032*J5^2-0.0021*J5)+K$1*((-2*10^-6)*K5^3+0.00032*K5^2-0.0021*K5)+L$1*((-2*10^-6)*L5^3+0.00032*L5^2-0.0021*L5)</f>
        <v>6.5340000000000016</v>
      </c>
      <c r="AJ5" s="6">
        <f>(M$1*M5+N$1*N5+O$1*O5)/100</f>
        <v>1.3</v>
      </c>
      <c r="AK5" s="6">
        <f>IF(AA5&gt;50,W$1*((-2*10^-6)*W5^3+0.00032*W5^2-0.0021*W5)+X$1*((-2*10^-6)*X5^3+0.00032*X5^2-0.0021*X5)+Y$1*((-2*10^-6)*Y5^3+0.00032*Y5^2-0.0021*Y5)+Z$1*((-2*10^-6)*Z5^3+0.00032*Z5^2-0.0021*Z5),X$2*((-2*10^-6)*X5^3+0.00032*X5^2-0.0021*AA5)+Y$2*((-2*10^-6)*Y5^3+0.00032*Y5^2-0.0021*Y5)+Z$2*((-2*10^-6)*Z5^3+0.00032*Z5^2-0.0021*Z5)+ AA$2*((-2*10^-6)*AA5^3+0.00032*AA5^2-0.0021*AA5))</f>
        <v>3.9600000000000009</v>
      </c>
      <c r="AL5" s="6">
        <f>(AB$1*AB5+AC$1*AC5)/100</f>
        <v>1</v>
      </c>
      <c r="AM5" s="6">
        <f>AD$1*((-2*10^-6)*AD5^3+0.00032*AD5^2-0.0021*AD5)+AE$1*((-2*10^-6)*AE5^3+0.00032*AE5^2-0.0021*AE5)+AF$1*((-2*10^-6)*AF5^3+0.00032*AF5^2-0.0021*AF5)+AG$1*((-2*10^-6)*AG5^3+0.00032*AG5^2-0.0021*AG5)</f>
        <v>1.2870000000000001</v>
      </c>
    </row>
    <row r="6" spans="1:39" ht="22.95" customHeight="1" x14ac:dyDescent="0.3">
      <c r="A6" s="22" t="s">
        <v>25</v>
      </c>
      <c r="B6" s="14" t="s">
        <v>26</v>
      </c>
      <c r="C6" s="15" t="s">
        <v>0</v>
      </c>
      <c r="D6" s="16" t="s">
        <v>1</v>
      </c>
      <c r="E6" s="16" t="s">
        <v>27</v>
      </c>
      <c r="F6" s="16" t="s">
        <v>28</v>
      </c>
      <c r="G6" s="16" t="s">
        <v>2</v>
      </c>
      <c r="H6" s="17" t="e" vm="1">
        <v>#VALUE!</v>
      </c>
      <c r="I6" s="17" t="e" vm="2">
        <v>#VALUE!</v>
      </c>
      <c r="J6" s="17" t="e" vm="3">
        <v>#VALUE!</v>
      </c>
      <c r="K6" s="17" t="e" vm="4">
        <v>#VALUE!</v>
      </c>
      <c r="L6" s="17" t="e" vm="5">
        <v>#VALUE!</v>
      </c>
      <c r="M6" s="17" t="e" vm="6">
        <v>#VALUE!</v>
      </c>
      <c r="N6" s="17" t="e" vm="7">
        <v>#VALUE!</v>
      </c>
      <c r="O6" s="17" t="e" vm="8">
        <v>#VALUE!</v>
      </c>
      <c r="P6" s="17" t="e" vm="9">
        <v>#VALUE!</v>
      </c>
      <c r="Q6" s="14" t="s">
        <v>26</v>
      </c>
      <c r="R6" s="15" t="s">
        <v>0</v>
      </c>
      <c r="S6" s="16" t="s">
        <v>1</v>
      </c>
      <c r="T6" s="16" t="s">
        <v>27</v>
      </c>
      <c r="U6" s="16" t="s">
        <v>28</v>
      </c>
      <c r="V6" s="16" t="s">
        <v>2</v>
      </c>
      <c r="W6" s="17" t="e" vm="10">
        <v>#VALUE!</v>
      </c>
      <c r="X6" s="17" t="e" vm="11">
        <v>#VALUE!</v>
      </c>
      <c r="Y6" s="17" t="e" vm="12">
        <v>#VALUE!</v>
      </c>
      <c r="Z6" s="17" t="e" vm="13">
        <v>#VALUE!</v>
      </c>
      <c r="AA6" s="17" t="e" vm="14">
        <v>#VALUE!</v>
      </c>
      <c r="AB6" s="17" t="e" vm="15">
        <v>#VALUE!</v>
      </c>
      <c r="AC6" s="17" t="e" vm="16">
        <v>#VALUE!</v>
      </c>
      <c r="AD6" s="17" t="e" vm="17">
        <v>#VALUE!</v>
      </c>
      <c r="AE6" s="17" t="e" vm="18">
        <v>#VALUE!</v>
      </c>
      <c r="AF6" s="17" t="e" vm="19">
        <v>#VALUE!</v>
      </c>
      <c r="AG6" s="17" t="e" vm="20">
        <v>#VALUE!</v>
      </c>
      <c r="AH6" s="17" t="e" vm="9">
        <v>#VALUE!</v>
      </c>
      <c r="AI6" s="6" t="s">
        <v>11</v>
      </c>
      <c r="AJ6" s="10" t="s">
        <v>22</v>
      </c>
      <c r="AK6" s="6" t="s">
        <v>12</v>
      </c>
      <c r="AL6" s="6" t="s">
        <v>13</v>
      </c>
      <c r="AM6" s="6" t="s">
        <v>23</v>
      </c>
    </row>
    <row r="7" spans="1:39" ht="15" thickBot="1" x14ac:dyDescent="0.35">
      <c r="A7" s="6">
        <f t="shared" ref="A7:A70" si="0">(AI7*H$3+AJ7*M$3+AK7*W$3+AL7*AB$3+AM7*AD$3)*100/(AI$5*H$3+AJ$5*M$3+AK$5*W$3+AL$5*AB$3+AM$5*AD$3)</f>
        <v>78.859066668656183</v>
      </c>
      <c r="B7" s="18">
        <v>1</v>
      </c>
      <c r="C7" s="12" t="s">
        <v>29</v>
      </c>
      <c r="D7" s="19" t="s">
        <v>10</v>
      </c>
      <c r="E7" s="19" t="s">
        <v>21</v>
      </c>
      <c r="F7" s="19" t="s">
        <v>19</v>
      </c>
      <c r="G7" s="19">
        <v>18</v>
      </c>
      <c r="H7" s="19">
        <v>81</v>
      </c>
      <c r="I7" s="19">
        <v>91</v>
      </c>
      <c r="J7" s="19">
        <v>95</v>
      </c>
      <c r="K7" s="19">
        <v>87</v>
      </c>
      <c r="L7" s="19">
        <v>60</v>
      </c>
      <c r="M7" s="19">
        <v>71</v>
      </c>
      <c r="N7" s="19">
        <v>36</v>
      </c>
      <c r="O7" s="19">
        <v>45</v>
      </c>
      <c r="P7" s="19">
        <v>88</v>
      </c>
      <c r="Q7" s="18">
        <v>1</v>
      </c>
      <c r="R7" s="12" t="s">
        <v>29</v>
      </c>
      <c r="S7" s="19" t="s">
        <v>10</v>
      </c>
      <c r="T7" s="19" t="s">
        <v>21</v>
      </c>
      <c r="U7" s="19" t="s">
        <v>19</v>
      </c>
      <c r="V7" s="19">
        <v>18</v>
      </c>
      <c r="W7" s="19">
        <v>62</v>
      </c>
      <c r="X7" s="19">
        <v>51</v>
      </c>
      <c r="Y7" s="19">
        <v>73</v>
      </c>
      <c r="Z7" s="19">
        <v>70</v>
      </c>
      <c r="AA7" s="19">
        <v>4</v>
      </c>
      <c r="AB7" s="19">
        <v>90</v>
      </c>
      <c r="AC7" s="19">
        <v>59</v>
      </c>
      <c r="AD7" s="19">
        <v>78</v>
      </c>
      <c r="AE7" s="19">
        <v>91</v>
      </c>
      <c r="AF7" s="19">
        <v>29</v>
      </c>
      <c r="AG7" s="19">
        <v>64</v>
      </c>
      <c r="AH7" s="19">
        <v>88</v>
      </c>
      <c r="AI7" s="6">
        <f t="shared" ref="AI7:AI70" si="1">H$1*((-2*10^-6)*H7^3+0.00032*H7^2-0.0021*H7)+I$1*((-2*10^-6)*I7^3+0.00032*I7^2-0.0021*I7)+J$1*((-2*10^-6)*J7^3+0.00032*J7^2-0.0021*J7)+K$1*((-2*10^-6)*K7^3+0.00032*K7^2-0.0021*K7)+L$1*((-2*10^-6)*L7^3+0.00032*L7^2-0.0021*L7)</f>
        <v>5.6061428000000015</v>
      </c>
      <c r="AJ7" s="6">
        <f t="shared" ref="AJ7:AJ70" si="2">(M$1*M7+N$1*N7+O$1*O7)/100</f>
        <v>0.82700000000000007</v>
      </c>
      <c r="AK7" s="6">
        <f t="shared" ref="AK7:AK70" si="3">IF(AA7&lt;50,W$1*((-2*10^-6)*W7^3+0.00032*W7^2-0.0021*W7)+X$1*((-2*10^-6)*X7^3+0.00032*X7^2-0.0021*X7)+Y$1*((-2*10^-6)*Y7^3+0.00032*Y7^2-0.0021*Y7)+Z$1*((-2*10^-6)*Z7^3+0.00032*Z7^2-0.0021*Z7),X$2*((-2*10^-6)*X7^3+0.00032*X7^2-0.0021*AA7)+Y$2*((-2*10^-6)*Y7^3+0.00032*Y7^2-0.0021*Y7)+Z$2*((-2*10^-6)*Z7^3+0.00032*Z7^2-0.0021*Z7)+ AA$2*((-2*10^-6)*AA7^3+0.00032*AA7^2-0.0021*AA7))</f>
        <v>2.5920880000000004</v>
      </c>
      <c r="AL7" s="6">
        <f t="shared" ref="AL7:AL70" si="4">(AB$1*AB7+AC$1*AC7)/100</f>
        <v>0.83799999999999997</v>
      </c>
      <c r="AM7" s="6">
        <f t="shared" ref="AM7:AM70" si="5">AD$1*((-2*10^-6)*AD7^3+0.00032*AD7^2-0.0021*AD7)+AE$1*((-2*10^-6)*AE7^3+0.00032*AE7^2-0.0021*AE7)+AF$1*((-2*10^-6)*AF7^3+0.00032*AF7^2-0.0021*AF7)+AG$1*((-2*10^-6)*AG7^3+0.00032*AG7^2-0.0021*AG7)</f>
        <v>1.0102912000000002</v>
      </c>
    </row>
    <row r="8" spans="1:39" ht="15" thickBot="1" x14ac:dyDescent="0.35">
      <c r="A8" s="6">
        <f t="shared" si="0"/>
        <v>72.690376018383105</v>
      </c>
      <c r="B8" s="20">
        <v>10</v>
      </c>
      <c r="C8" s="13" t="s">
        <v>38</v>
      </c>
      <c r="D8" s="21" t="s">
        <v>10</v>
      </c>
      <c r="E8" s="21" t="s">
        <v>21</v>
      </c>
      <c r="F8" s="21" t="s">
        <v>20</v>
      </c>
      <c r="G8" s="21">
        <v>18</v>
      </c>
      <c r="H8" s="21">
        <v>62</v>
      </c>
      <c r="I8" s="21">
        <v>75</v>
      </c>
      <c r="J8" s="21">
        <v>68</v>
      </c>
      <c r="K8" s="21">
        <v>94</v>
      </c>
      <c r="L8" s="21">
        <v>72</v>
      </c>
      <c r="M8" s="21">
        <v>81</v>
      </c>
      <c r="N8" s="21">
        <v>0</v>
      </c>
      <c r="O8" s="21">
        <v>56</v>
      </c>
      <c r="P8" s="21">
        <v>77</v>
      </c>
      <c r="Q8" s="20">
        <v>10</v>
      </c>
      <c r="R8" s="13" t="s">
        <v>38</v>
      </c>
      <c r="S8" s="21" t="s">
        <v>10</v>
      </c>
      <c r="T8" s="21" t="s">
        <v>21</v>
      </c>
      <c r="U8" s="21" t="s">
        <v>20</v>
      </c>
      <c r="V8" s="21">
        <v>18</v>
      </c>
      <c r="W8" s="21">
        <v>64</v>
      </c>
      <c r="X8" s="21">
        <v>46</v>
      </c>
      <c r="Y8" s="21">
        <v>63</v>
      </c>
      <c r="Z8" s="21">
        <v>73</v>
      </c>
      <c r="AA8" s="21">
        <v>19</v>
      </c>
      <c r="AB8" s="21">
        <v>81</v>
      </c>
      <c r="AC8" s="21">
        <v>54</v>
      </c>
      <c r="AD8" s="21">
        <v>57</v>
      </c>
      <c r="AE8" s="21">
        <v>31</v>
      </c>
      <c r="AF8" s="21">
        <v>23</v>
      </c>
      <c r="AG8" s="21">
        <v>72</v>
      </c>
      <c r="AH8" s="21">
        <v>77</v>
      </c>
      <c r="AI8" s="6">
        <f t="shared" si="1"/>
        <v>5.1677736000000012</v>
      </c>
      <c r="AJ8" s="6">
        <f t="shared" si="2"/>
        <v>0.86599999999999999</v>
      </c>
      <c r="AK8" s="6">
        <f t="shared" si="3"/>
        <v>2.4495120000000008</v>
      </c>
      <c r="AL8" s="6">
        <f t="shared" si="4"/>
        <v>0.75599999999999989</v>
      </c>
      <c r="AM8" s="6">
        <f t="shared" si="5"/>
        <v>0.65366080000000015</v>
      </c>
    </row>
    <row r="9" spans="1:39" ht="15" thickBot="1" x14ac:dyDescent="0.35">
      <c r="A9" s="6">
        <f t="shared" si="0"/>
        <v>71.279525948252711</v>
      </c>
      <c r="B9" s="20">
        <v>48</v>
      </c>
      <c r="C9" s="13" t="s">
        <v>76</v>
      </c>
      <c r="D9" s="21" t="s">
        <v>5</v>
      </c>
      <c r="E9" s="21" t="s">
        <v>19</v>
      </c>
      <c r="F9" s="21" t="s">
        <v>19</v>
      </c>
      <c r="G9" s="21">
        <v>21</v>
      </c>
      <c r="H9" s="21">
        <v>84</v>
      </c>
      <c r="I9" s="21">
        <v>78</v>
      </c>
      <c r="J9" s="21">
        <v>63</v>
      </c>
      <c r="K9" s="21">
        <v>56</v>
      </c>
      <c r="L9" s="21">
        <v>53</v>
      </c>
      <c r="M9" s="21">
        <v>16</v>
      </c>
      <c r="N9" s="21">
        <v>42</v>
      </c>
      <c r="O9" s="21">
        <v>62</v>
      </c>
      <c r="P9" s="21">
        <v>83</v>
      </c>
      <c r="Q9" s="20">
        <v>48</v>
      </c>
      <c r="R9" s="13" t="s">
        <v>76</v>
      </c>
      <c r="S9" s="21" t="s">
        <v>5</v>
      </c>
      <c r="T9" s="21" t="s">
        <v>19</v>
      </c>
      <c r="U9" s="21" t="s">
        <v>19</v>
      </c>
      <c r="V9" s="21">
        <v>21</v>
      </c>
      <c r="W9" s="21">
        <v>100</v>
      </c>
      <c r="X9" s="21">
        <v>58</v>
      </c>
      <c r="Y9" s="21">
        <v>64</v>
      </c>
      <c r="Z9" s="21">
        <v>79</v>
      </c>
      <c r="AA9" s="21">
        <v>1</v>
      </c>
      <c r="AB9" s="21">
        <v>100</v>
      </c>
      <c r="AC9" s="21">
        <v>75</v>
      </c>
      <c r="AD9" s="21">
        <v>82</v>
      </c>
      <c r="AE9" s="21">
        <v>41</v>
      </c>
      <c r="AF9" s="21">
        <v>40</v>
      </c>
      <c r="AG9" s="21">
        <v>100</v>
      </c>
      <c r="AH9" s="21">
        <v>83</v>
      </c>
      <c r="AI9" s="6">
        <f t="shared" si="1"/>
        <v>4.4995600000000016</v>
      </c>
      <c r="AJ9" s="6">
        <f t="shared" si="2"/>
        <v>0.30599999999999999</v>
      </c>
      <c r="AK9" s="6">
        <f t="shared" si="3"/>
        <v>3.0516300000000012</v>
      </c>
      <c r="AL9" s="6">
        <f t="shared" si="4"/>
        <v>0.95</v>
      </c>
      <c r="AM9" s="6">
        <f t="shared" si="5"/>
        <v>1.0371418000000003</v>
      </c>
    </row>
    <row r="10" spans="1:39" ht="15" thickBot="1" x14ac:dyDescent="0.35">
      <c r="A10" s="6">
        <f t="shared" si="0"/>
        <v>68.248138112148965</v>
      </c>
      <c r="B10" s="20">
        <v>4</v>
      </c>
      <c r="C10" s="13" t="s">
        <v>32</v>
      </c>
      <c r="D10" s="21" t="s">
        <v>8</v>
      </c>
      <c r="E10" s="21" t="s">
        <v>19</v>
      </c>
      <c r="F10" s="21" t="s">
        <v>19</v>
      </c>
      <c r="G10" s="21">
        <v>18</v>
      </c>
      <c r="H10" s="21">
        <v>79</v>
      </c>
      <c r="I10" s="21">
        <v>68</v>
      </c>
      <c r="J10" s="21">
        <v>42</v>
      </c>
      <c r="K10" s="21">
        <v>53</v>
      </c>
      <c r="L10" s="21">
        <v>62</v>
      </c>
      <c r="M10" s="21">
        <v>74</v>
      </c>
      <c r="N10" s="21">
        <v>100</v>
      </c>
      <c r="O10" s="21">
        <v>38</v>
      </c>
      <c r="P10" s="21">
        <v>83</v>
      </c>
      <c r="Q10" s="20">
        <v>4</v>
      </c>
      <c r="R10" s="13" t="s">
        <v>32</v>
      </c>
      <c r="S10" s="21" t="s">
        <v>8</v>
      </c>
      <c r="T10" s="21" t="s">
        <v>19</v>
      </c>
      <c r="U10" s="21" t="s">
        <v>19</v>
      </c>
      <c r="V10" s="21">
        <v>18</v>
      </c>
      <c r="W10" s="21">
        <v>96</v>
      </c>
      <c r="X10" s="21">
        <v>73</v>
      </c>
      <c r="Y10" s="21">
        <v>54</v>
      </c>
      <c r="Z10" s="21">
        <v>67</v>
      </c>
      <c r="AA10" s="21">
        <v>24</v>
      </c>
      <c r="AB10" s="21">
        <v>90</v>
      </c>
      <c r="AC10" s="21">
        <v>61</v>
      </c>
      <c r="AD10" s="21">
        <v>91</v>
      </c>
      <c r="AE10" s="21">
        <v>76</v>
      </c>
      <c r="AF10" s="21">
        <v>35</v>
      </c>
      <c r="AG10" s="21">
        <v>100</v>
      </c>
      <c r="AH10" s="21">
        <v>83</v>
      </c>
      <c r="AI10" s="6">
        <f t="shared" si="1"/>
        <v>4.1086068000000013</v>
      </c>
      <c r="AJ10" s="6">
        <f t="shared" si="2"/>
        <v>0.97799999999999998</v>
      </c>
      <c r="AK10" s="6">
        <f t="shared" si="3"/>
        <v>2.9510400000000008</v>
      </c>
      <c r="AL10" s="6">
        <f t="shared" si="4"/>
        <v>0.84200000000000008</v>
      </c>
      <c r="AM10" s="6">
        <f t="shared" si="5"/>
        <v>1.1550298000000001</v>
      </c>
    </row>
    <row r="11" spans="1:39" ht="15" thickBot="1" x14ac:dyDescent="0.35">
      <c r="A11" s="6">
        <f t="shared" si="0"/>
        <v>67.103684383300006</v>
      </c>
      <c r="B11" s="18">
        <v>5</v>
      </c>
      <c r="C11" s="12" t="s">
        <v>33</v>
      </c>
      <c r="D11" s="19" t="s">
        <v>6</v>
      </c>
      <c r="E11" s="19" t="s">
        <v>19</v>
      </c>
      <c r="F11" s="19" t="s">
        <v>19</v>
      </c>
      <c r="G11" s="19">
        <v>18</v>
      </c>
      <c r="H11" s="19">
        <v>65</v>
      </c>
      <c r="I11" s="19">
        <v>57</v>
      </c>
      <c r="J11" s="19">
        <v>75</v>
      </c>
      <c r="K11" s="19">
        <v>63</v>
      </c>
      <c r="L11" s="19">
        <v>80</v>
      </c>
      <c r="M11" s="19">
        <v>55</v>
      </c>
      <c r="N11" s="19">
        <v>38</v>
      </c>
      <c r="O11" s="19">
        <v>36</v>
      </c>
      <c r="P11" s="19">
        <v>81</v>
      </c>
      <c r="Q11" s="18">
        <v>5</v>
      </c>
      <c r="R11" s="12" t="s">
        <v>33</v>
      </c>
      <c r="S11" s="19" t="s">
        <v>6</v>
      </c>
      <c r="T11" s="19" t="s">
        <v>19</v>
      </c>
      <c r="U11" s="19" t="s">
        <v>19</v>
      </c>
      <c r="V11" s="19">
        <v>18</v>
      </c>
      <c r="W11" s="19">
        <v>75</v>
      </c>
      <c r="X11" s="19">
        <v>70</v>
      </c>
      <c r="Y11" s="19">
        <v>46</v>
      </c>
      <c r="Z11" s="19">
        <v>51</v>
      </c>
      <c r="AA11" s="19">
        <v>28</v>
      </c>
      <c r="AB11" s="19">
        <v>90</v>
      </c>
      <c r="AC11" s="19">
        <v>100</v>
      </c>
      <c r="AD11" s="19">
        <v>65</v>
      </c>
      <c r="AE11" s="19">
        <v>82</v>
      </c>
      <c r="AF11" s="19">
        <v>83</v>
      </c>
      <c r="AG11" s="19">
        <v>96</v>
      </c>
      <c r="AH11" s="19">
        <v>81</v>
      </c>
      <c r="AI11" s="6">
        <f t="shared" si="1"/>
        <v>4.5392612000000012</v>
      </c>
      <c r="AJ11" s="6">
        <f t="shared" si="2"/>
        <v>0.66200000000000003</v>
      </c>
      <c r="AK11" s="6">
        <f t="shared" si="3"/>
        <v>2.3795160000000002</v>
      </c>
      <c r="AL11" s="6">
        <f t="shared" si="4"/>
        <v>0.92</v>
      </c>
      <c r="AM11" s="6">
        <f t="shared" si="5"/>
        <v>0.94038980000000016</v>
      </c>
    </row>
    <row r="12" spans="1:39" ht="15" thickBot="1" x14ac:dyDescent="0.35">
      <c r="A12" s="6">
        <f t="shared" si="0"/>
        <v>66.324026231758637</v>
      </c>
      <c r="B12" s="20">
        <v>8</v>
      </c>
      <c r="C12" s="13" t="s">
        <v>36</v>
      </c>
      <c r="D12" s="21" t="s">
        <v>8</v>
      </c>
      <c r="E12" s="21" t="s">
        <v>19</v>
      </c>
      <c r="F12" s="21" t="s">
        <v>19</v>
      </c>
      <c r="G12" s="21">
        <v>18</v>
      </c>
      <c r="H12" s="21">
        <v>68</v>
      </c>
      <c r="I12" s="21">
        <v>35</v>
      </c>
      <c r="J12" s="21">
        <v>55</v>
      </c>
      <c r="K12" s="21">
        <v>83</v>
      </c>
      <c r="L12" s="21">
        <v>76</v>
      </c>
      <c r="M12" s="21">
        <v>71</v>
      </c>
      <c r="N12" s="21">
        <v>69</v>
      </c>
      <c r="O12" s="21">
        <v>41</v>
      </c>
      <c r="P12" s="21">
        <v>78</v>
      </c>
      <c r="Q12" s="20">
        <v>8</v>
      </c>
      <c r="R12" s="13" t="s">
        <v>36</v>
      </c>
      <c r="S12" s="21" t="s">
        <v>8</v>
      </c>
      <c r="T12" s="21" t="s">
        <v>19</v>
      </c>
      <c r="U12" s="21" t="s">
        <v>19</v>
      </c>
      <c r="V12" s="21">
        <v>18</v>
      </c>
      <c r="W12" s="21">
        <v>80</v>
      </c>
      <c r="X12" s="21">
        <v>87</v>
      </c>
      <c r="Y12" s="21">
        <v>53</v>
      </c>
      <c r="Z12" s="21">
        <v>68</v>
      </c>
      <c r="AA12" s="21">
        <v>20</v>
      </c>
      <c r="AB12" s="21">
        <v>96</v>
      </c>
      <c r="AC12" s="21">
        <v>72</v>
      </c>
      <c r="AD12" s="21">
        <v>65</v>
      </c>
      <c r="AE12" s="21">
        <v>59</v>
      </c>
      <c r="AF12" s="21">
        <v>100</v>
      </c>
      <c r="AG12" s="21">
        <v>32</v>
      </c>
      <c r="AH12" s="21">
        <v>78</v>
      </c>
      <c r="AI12" s="6">
        <f t="shared" si="1"/>
        <v>3.9504720000000013</v>
      </c>
      <c r="AJ12" s="6">
        <f t="shared" si="2"/>
        <v>0.8889999999999999</v>
      </c>
      <c r="AK12" s="6">
        <f t="shared" si="3"/>
        <v>2.9762160000000009</v>
      </c>
      <c r="AL12" s="6">
        <f t="shared" si="4"/>
        <v>0.91200000000000014</v>
      </c>
      <c r="AM12" s="6">
        <f t="shared" si="5"/>
        <v>0.84267060000000027</v>
      </c>
    </row>
    <row r="13" spans="1:39" ht="15" thickBot="1" x14ac:dyDescent="0.35">
      <c r="A13" s="6">
        <f t="shared" si="0"/>
        <v>64.191908890148909</v>
      </c>
      <c r="B13" s="18">
        <v>13</v>
      </c>
      <c r="C13" s="12" t="s">
        <v>41</v>
      </c>
      <c r="D13" s="19" t="s">
        <v>6</v>
      </c>
      <c r="E13" s="19" t="s">
        <v>19</v>
      </c>
      <c r="F13" s="19" t="s">
        <v>19</v>
      </c>
      <c r="G13" s="19">
        <v>18</v>
      </c>
      <c r="H13" s="19">
        <v>67</v>
      </c>
      <c r="I13" s="19">
        <v>62</v>
      </c>
      <c r="J13" s="19">
        <v>59</v>
      </c>
      <c r="K13" s="19">
        <v>55</v>
      </c>
      <c r="L13" s="19">
        <v>73</v>
      </c>
      <c r="M13" s="19">
        <v>51</v>
      </c>
      <c r="N13" s="19">
        <v>54</v>
      </c>
      <c r="O13" s="19">
        <v>53</v>
      </c>
      <c r="P13" s="19">
        <v>74</v>
      </c>
      <c r="Q13" s="18">
        <v>13</v>
      </c>
      <c r="R13" s="12" t="s">
        <v>41</v>
      </c>
      <c r="S13" s="19" t="s">
        <v>6</v>
      </c>
      <c r="T13" s="19" t="s">
        <v>19</v>
      </c>
      <c r="U13" s="19" t="s">
        <v>19</v>
      </c>
      <c r="V13" s="19">
        <v>18</v>
      </c>
      <c r="W13" s="19">
        <v>65</v>
      </c>
      <c r="X13" s="19">
        <v>57</v>
      </c>
      <c r="Y13" s="19">
        <v>55</v>
      </c>
      <c r="Z13" s="19">
        <v>65</v>
      </c>
      <c r="AA13" s="19">
        <v>20</v>
      </c>
      <c r="AB13" s="19">
        <v>89</v>
      </c>
      <c r="AC13" s="19">
        <v>45</v>
      </c>
      <c r="AD13" s="19">
        <v>69</v>
      </c>
      <c r="AE13" s="19">
        <v>72</v>
      </c>
      <c r="AF13" s="19">
        <v>0</v>
      </c>
      <c r="AG13" s="19">
        <v>88</v>
      </c>
      <c r="AH13" s="19">
        <v>74</v>
      </c>
      <c r="AI13" s="6">
        <f t="shared" si="1"/>
        <v>4.2661252000000012</v>
      </c>
      <c r="AJ13" s="6">
        <f t="shared" si="2"/>
        <v>0.67099999999999993</v>
      </c>
      <c r="AK13" s="6">
        <f t="shared" si="3"/>
        <v>2.4018440000000005</v>
      </c>
      <c r="AL13" s="6">
        <f t="shared" si="4"/>
        <v>0.80200000000000005</v>
      </c>
      <c r="AM13" s="6">
        <f t="shared" si="5"/>
        <v>0.89075400000000027</v>
      </c>
    </row>
    <row r="14" spans="1:39" ht="15" thickBot="1" x14ac:dyDescent="0.35">
      <c r="A14" s="6">
        <f t="shared" si="0"/>
        <v>61.978574562057958</v>
      </c>
      <c r="B14" s="20">
        <v>18</v>
      </c>
      <c r="C14" s="13" t="s">
        <v>46</v>
      </c>
      <c r="D14" s="21" t="s">
        <v>3</v>
      </c>
      <c r="E14" s="21" t="s">
        <v>19</v>
      </c>
      <c r="F14" s="21" t="s">
        <v>19</v>
      </c>
      <c r="G14" s="21">
        <v>18</v>
      </c>
      <c r="H14" s="21">
        <v>37</v>
      </c>
      <c r="I14" s="21">
        <v>67</v>
      </c>
      <c r="J14" s="21">
        <v>43</v>
      </c>
      <c r="K14" s="21">
        <v>33</v>
      </c>
      <c r="L14" s="21">
        <v>65</v>
      </c>
      <c r="M14" s="21">
        <v>52</v>
      </c>
      <c r="N14" s="21">
        <v>74</v>
      </c>
      <c r="O14" s="21">
        <v>42</v>
      </c>
      <c r="P14" s="21">
        <v>72</v>
      </c>
      <c r="Q14" s="20">
        <v>18</v>
      </c>
      <c r="R14" s="13" t="s">
        <v>46</v>
      </c>
      <c r="S14" s="21" t="s">
        <v>3</v>
      </c>
      <c r="T14" s="21" t="s">
        <v>19</v>
      </c>
      <c r="U14" s="21" t="s">
        <v>19</v>
      </c>
      <c r="V14" s="21">
        <v>18</v>
      </c>
      <c r="W14" s="21">
        <v>78</v>
      </c>
      <c r="X14" s="21">
        <v>77</v>
      </c>
      <c r="Y14" s="21">
        <v>79</v>
      </c>
      <c r="Z14" s="21">
        <v>85</v>
      </c>
      <c r="AA14" s="21">
        <v>19</v>
      </c>
      <c r="AB14" s="21">
        <v>100</v>
      </c>
      <c r="AC14" s="21">
        <v>90</v>
      </c>
      <c r="AD14" s="21">
        <v>51</v>
      </c>
      <c r="AE14" s="21">
        <v>42</v>
      </c>
      <c r="AF14" s="21">
        <v>2</v>
      </c>
      <c r="AG14" s="21">
        <v>28</v>
      </c>
      <c r="AH14" s="21">
        <v>72</v>
      </c>
      <c r="AI14" s="6">
        <f t="shared" si="1"/>
        <v>3.2362420000000007</v>
      </c>
      <c r="AJ14" s="6">
        <f t="shared" si="2"/>
        <v>0.71</v>
      </c>
      <c r="AK14" s="6">
        <f t="shared" si="3"/>
        <v>3.4068820000000013</v>
      </c>
      <c r="AL14" s="6">
        <f t="shared" si="4"/>
        <v>0.98</v>
      </c>
      <c r="AM14" s="6">
        <f t="shared" si="5"/>
        <v>0.50725240000000005</v>
      </c>
    </row>
    <row r="15" spans="1:39" ht="15" thickBot="1" x14ac:dyDescent="0.35">
      <c r="A15" s="6">
        <f t="shared" si="0"/>
        <v>61.924449998507875</v>
      </c>
      <c r="B15" s="18">
        <v>15</v>
      </c>
      <c r="C15" s="12" t="s">
        <v>43</v>
      </c>
      <c r="D15" s="19" t="s">
        <v>7</v>
      </c>
      <c r="E15" s="19" t="s">
        <v>19</v>
      </c>
      <c r="F15" s="19" t="s">
        <v>19</v>
      </c>
      <c r="G15" s="19">
        <v>20</v>
      </c>
      <c r="H15" s="19">
        <v>85</v>
      </c>
      <c r="I15" s="19">
        <v>3</v>
      </c>
      <c r="J15" s="19">
        <v>43</v>
      </c>
      <c r="K15" s="19">
        <v>53</v>
      </c>
      <c r="L15" s="19">
        <v>74</v>
      </c>
      <c r="M15" s="19">
        <v>100</v>
      </c>
      <c r="N15" s="19">
        <v>82</v>
      </c>
      <c r="O15" s="19">
        <v>53</v>
      </c>
      <c r="P15" s="19">
        <v>82</v>
      </c>
      <c r="Q15" s="18">
        <v>15</v>
      </c>
      <c r="R15" s="12" t="s">
        <v>43</v>
      </c>
      <c r="S15" s="19" t="s">
        <v>7</v>
      </c>
      <c r="T15" s="19" t="s">
        <v>19</v>
      </c>
      <c r="U15" s="19" t="s">
        <v>19</v>
      </c>
      <c r="V15" s="19">
        <v>20</v>
      </c>
      <c r="W15" s="19">
        <v>100</v>
      </c>
      <c r="X15" s="19">
        <v>84</v>
      </c>
      <c r="Y15" s="19">
        <v>65</v>
      </c>
      <c r="Z15" s="19">
        <v>73</v>
      </c>
      <c r="AA15" s="19">
        <v>44</v>
      </c>
      <c r="AB15" s="19">
        <v>98</v>
      </c>
      <c r="AC15" s="19">
        <v>97</v>
      </c>
      <c r="AD15" s="19">
        <v>94</v>
      </c>
      <c r="AE15" s="19">
        <v>79</v>
      </c>
      <c r="AF15" s="19">
        <v>58</v>
      </c>
      <c r="AG15" s="19">
        <v>51</v>
      </c>
      <c r="AH15" s="19">
        <v>82</v>
      </c>
      <c r="AI15" s="6">
        <f t="shared" si="1"/>
        <v>3.0183412000000014</v>
      </c>
      <c r="AJ15" s="6">
        <f t="shared" si="2"/>
        <v>1.2170000000000001</v>
      </c>
      <c r="AK15" s="6">
        <f t="shared" si="3"/>
        <v>3.3263080000000009</v>
      </c>
      <c r="AL15" s="6">
        <f t="shared" si="4"/>
        <v>0.97800000000000009</v>
      </c>
      <c r="AM15" s="6">
        <f t="shared" si="5"/>
        <v>1.1559036000000003</v>
      </c>
    </row>
    <row r="16" spans="1:39" ht="15" thickBot="1" x14ac:dyDescent="0.35">
      <c r="A16" s="6">
        <f t="shared" si="0"/>
        <v>63.02113118863587</v>
      </c>
      <c r="B16" s="20">
        <v>2</v>
      </c>
      <c r="C16" s="13" t="s">
        <v>30</v>
      </c>
      <c r="D16" s="21" t="s">
        <v>7</v>
      </c>
      <c r="E16" s="21" t="s">
        <v>19</v>
      </c>
      <c r="F16" s="21" t="s">
        <v>19</v>
      </c>
      <c r="G16" s="21">
        <v>18</v>
      </c>
      <c r="H16" s="21">
        <v>89</v>
      </c>
      <c r="I16" s="21">
        <v>67</v>
      </c>
      <c r="J16" s="21">
        <v>67</v>
      </c>
      <c r="K16" s="21">
        <v>75</v>
      </c>
      <c r="L16" s="21">
        <v>82</v>
      </c>
      <c r="M16" s="21">
        <v>39</v>
      </c>
      <c r="N16" s="21">
        <v>31</v>
      </c>
      <c r="O16" s="21">
        <v>57</v>
      </c>
      <c r="P16" s="21">
        <v>80</v>
      </c>
      <c r="Q16" s="20">
        <v>2</v>
      </c>
      <c r="R16" s="13" t="s">
        <v>30</v>
      </c>
      <c r="S16" s="21" t="s">
        <v>7</v>
      </c>
      <c r="T16" s="21" t="s">
        <v>19</v>
      </c>
      <c r="U16" s="21" t="s">
        <v>19</v>
      </c>
      <c r="V16" s="21">
        <v>18</v>
      </c>
      <c r="W16" s="21">
        <v>23</v>
      </c>
      <c r="X16" s="21">
        <v>34</v>
      </c>
      <c r="Y16" s="21">
        <v>78</v>
      </c>
      <c r="Z16" s="21">
        <v>84</v>
      </c>
      <c r="AA16" s="21">
        <v>51</v>
      </c>
      <c r="AB16" s="21">
        <v>100</v>
      </c>
      <c r="AC16" s="21">
        <v>55</v>
      </c>
      <c r="AD16" s="21">
        <v>23</v>
      </c>
      <c r="AE16" s="21">
        <v>73</v>
      </c>
      <c r="AF16" s="21">
        <v>74</v>
      </c>
      <c r="AG16" s="21">
        <v>85</v>
      </c>
      <c r="AH16" s="21">
        <v>80</v>
      </c>
      <c r="AI16" s="6">
        <f t="shared" si="1"/>
        <v>5.2430836000000012</v>
      </c>
      <c r="AJ16" s="6">
        <f t="shared" si="2"/>
        <v>0.50900000000000001</v>
      </c>
      <c r="AK16" s="6">
        <f t="shared" si="3"/>
        <v>1.1825820000000002</v>
      </c>
      <c r="AL16" s="6">
        <f t="shared" si="4"/>
        <v>0.91</v>
      </c>
      <c r="AM16" s="6">
        <f t="shared" si="5"/>
        <v>0.3432128000000001</v>
      </c>
    </row>
    <row r="17" spans="1:39" ht="15" thickBot="1" x14ac:dyDescent="0.35">
      <c r="A17" s="6">
        <f t="shared" si="0"/>
        <v>62.613598287027358</v>
      </c>
      <c r="B17" s="18">
        <v>47</v>
      </c>
      <c r="C17" s="12" t="s">
        <v>75</v>
      </c>
      <c r="D17" s="19" t="s">
        <v>5</v>
      </c>
      <c r="E17" s="19" t="s">
        <v>19</v>
      </c>
      <c r="F17" s="19" t="s">
        <v>19</v>
      </c>
      <c r="G17" s="19">
        <v>18</v>
      </c>
      <c r="H17" s="19">
        <v>19</v>
      </c>
      <c r="I17" s="19">
        <v>96</v>
      </c>
      <c r="J17" s="19">
        <v>33</v>
      </c>
      <c r="K17" s="19">
        <v>66</v>
      </c>
      <c r="L17" s="19">
        <v>60</v>
      </c>
      <c r="M17" s="19">
        <v>46</v>
      </c>
      <c r="N17" s="19">
        <v>12</v>
      </c>
      <c r="O17" s="19">
        <v>38</v>
      </c>
      <c r="P17" s="19">
        <v>62</v>
      </c>
      <c r="Q17" s="18">
        <v>47</v>
      </c>
      <c r="R17" s="12" t="s">
        <v>75</v>
      </c>
      <c r="S17" s="19" t="s">
        <v>5</v>
      </c>
      <c r="T17" s="19" t="s">
        <v>19</v>
      </c>
      <c r="U17" s="19" t="s">
        <v>19</v>
      </c>
      <c r="V17" s="19">
        <v>18</v>
      </c>
      <c r="W17" s="19">
        <v>61</v>
      </c>
      <c r="X17" s="19">
        <v>67</v>
      </c>
      <c r="Y17" s="19">
        <v>71</v>
      </c>
      <c r="Z17" s="19">
        <v>73</v>
      </c>
      <c r="AA17" s="19">
        <v>9</v>
      </c>
      <c r="AB17" s="19">
        <v>76</v>
      </c>
      <c r="AC17" s="19">
        <v>63</v>
      </c>
      <c r="AD17" s="19">
        <v>31</v>
      </c>
      <c r="AE17" s="19">
        <v>66</v>
      </c>
      <c r="AF17" s="19">
        <v>64</v>
      </c>
      <c r="AG17" s="19">
        <v>44</v>
      </c>
      <c r="AH17" s="19">
        <v>62</v>
      </c>
      <c r="AI17" s="6">
        <f t="shared" si="1"/>
        <v>3.9506364000000005</v>
      </c>
      <c r="AJ17" s="6">
        <f t="shared" si="2"/>
        <v>0.52199999999999991</v>
      </c>
      <c r="AK17" s="6">
        <f t="shared" si="3"/>
        <v>2.8250560000000005</v>
      </c>
      <c r="AL17" s="6">
        <f t="shared" si="4"/>
        <v>0.7340000000000001</v>
      </c>
      <c r="AM17" s="6">
        <f t="shared" si="5"/>
        <v>0.3517492000000001</v>
      </c>
    </row>
    <row r="18" spans="1:39" ht="15" thickBot="1" x14ac:dyDescent="0.35">
      <c r="A18" s="6">
        <f t="shared" si="0"/>
        <v>61.872032737473518</v>
      </c>
      <c r="B18" s="18">
        <v>21</v>
      </c>
      <c r="C18" s="12" t="s">
        <v>49</v>
      </c>
      <c r="D18" s="19" t="s">
        <v>3</v>
      </c>
      <c r="E18" s="19" t="s">
        <v>19</v>
      </c>
      <c r="F18" s="19" t="s">
        <v>19</v>
      </c>
      <c r="G18" s="19">
        <v>18</v>
      </c>
      <c r="H18" s="19">
        <v>40</v>
      </c>
      <c r="I18" s="19">
        <v>87</v>
      </c>
      <c r="J18" s="19">
        <v>44</v>
      </c>
      <c r="K18" s="19">
        <v>49</v>
      </c>
      <c r="L18" s="19">
        <v>45</v>
      </c>
      <c r="M18" s="19">
        <v>36</v>
      </c>
      <c r="N18" s="19">
        <v>21</v>
      </c>
      <c r="O18" s="19">
        <v>69</v>
      </c>
      <c r="P18" s="19">
        <v>70</v>
      </c>
      <c r="Q18" s="18">
        <v>21</v>
      </c>
      <c r="R18" s="12" t="s">
        <v>49</v>
      </c>
      <c r="S18" s="19" t="s">
        <v>3</v>
      </c>
      <c r="T18" s="19" t="s">
        <v>19</v>
      </c>
      <c r="U18" s="19" t="s">
        <v>19</v>
      </c>
      <c r="V18" s="19">
        <v>18</v>
      </c>
      <c r="W18" s="19">
        <v>67</v>
      </c>
      <c r="X18" s="19">
        <v>74</v>
      </c>
      <c r="Y18" s="19">
        <v>77</v>
      </c>
      <c r="Z18" s="19">
        <v>77</v>
      </c>
      <c r="AA18" s="19">
        <v>8</v>
      </c>
      <c r="AB18" s="19">
        <v>96</v>
      </c>
      <c r="AC18" s="19">
        <v>100</v>
      </c>
      <c r="AD18" s="19">
        <v>33</v>
      </c>
      <c r="AE18" s="19">
        <v>53</v>
      </c>
      <c r="AF18" s="19">
        <v>58</v>
      </c>
      <c r="AG18" s="19">
        <v>72</v>
      </c>
      <c r="AH18" s="19">
        <v>70</v>
      </c>
      <c r="AI18" s="6">
        <f t="shared" si="1"/>
        <v>3.540296000000001</v>
      </c>
      <c r="AJ18" s="6">
        <f t="shared" si="2"/>
        <v>0.47100000000000003</v>
      </c>
      <c r="AK18" s="6">
        <f t="shared" si="3"/>
        <v>3.1257540000000006</v>
      </c>
      <c r="AL18" s="6">
        <f t="shared" si="4"/>
        <v>0.96800000000000008</v>
      </c>
      <c r="AM18" s="6">
        <f t="shared" si="5"/>
        <v>0.3888526000000001</v>
      </c>
    </row>
    <row r="19" spans="1:39" ht="15" thickBot="1" x14ac:dyDescent="0.35">
      <c r="A19" s="6">
        <f t="shared" si="0"/>
        <v>58.970004476409308</v>
      </c>
      <c r="B19" s="18">
        <v>27</v>
      </c>
      <c r="C19" s="12" t="s">
        <v>55</v>
      </c>
      <c r="D19" s="19" t="s">
        <v>9</v>
      </c>
      <c r="E19" s="19" t="s">
        <v>19</v>
      </c>
      <c r="F19" s="19" t="s">
        <v>19</v>
      </c>
      <c r="G19" s="19">
        <v>18</v>
      </c>
      <c r="H19" s="19">
        <v>68</v>
      </c>
      <c r="I19" s="19">
        <v>69</v>
      </c>
      <c r="J19" s="19">
        <v>63</v>
      </c>
      <c r="K19" s="19">
        <v>64</v>
      </c>
      <c r="L19" s="19">
        <v>84</v>
      </c>
      <c r="M19" s="19">
        <v>29</v>
      </c>
      <c r="N19" s="19">
        <v>42</v>
      </c>
      <c r="O19" s="19">
        <v>28</v>
      </c>
      <c r="P19" s="19">
        <v>68</v>
      </c>
      <c r="Q19" s="18">
        <v>27</v>
      </c>
      <c r="R19" s="12" t="s">
        <v>55</v>
      </c>
      <c r="S19" s="19" t="s">
        <v>9</v>
      </c>
      <c r="T19" s="19" t="s">
        <v>19</v>
      </c>
      <c r="U19" s="19" t="s">
        <v>19</v>
      </c>
      <c r="V19" s="19">
        <v>18</v>
      </c>
      <c r="W19" s="19">
        <v>40</v>
      </c>
      <c r="X19" s="19">
        <v>45</v>
      </c>
      <c r="Y19" s="19">
        <v>38</v>
      </c>
      <c r="Z19" s="19">
        <v>35</v>
      </c>
      <c r="AA19" s="19">
        <v>14</v>
      </c>
      <c r="AB19" s="19">
        <v>85</v>
      </c>
      <c r="AC19" s="19">
        <v>95</v>
      </c>
      <c r="AD19" s="19">
        <v>25</v>
      </c>
      <c r="AE19" s="19">
        <v>53</v>
      </c>
      <c r="AF19" s="19">
        <v>43</v>
      </c>
      <c r="AG19" s="19">
        <v>54</v>
      </c>
      <c r="AH19" s="19">
        <v>68</v>
      </c>
      <c r="AI19" s="6">
        <f t="shared" si="1"/>
        <v>4.8775864000000011</v>
      </c>
      <c r="AJ19" s="6">
        <f t="shared" si="2"/>
        <v>0.40199999999999997</v>
      </c>
      <c r="AK19" s="6">
        <f t="shared" si="3"/>
        <v>1.176536</v>
      </c>
      <c r="AL19" s="6">
        <f t="shared" si="4"/>
        <v>0.87</v>
      </c>
      <c r="AM19" s="6">
        <f t="shared" si="5"/>
        <v>0.24994840000000007</v>
      </c>
    </row>
    <row r="20" spans="1:39" ht="15" thickBot="1" x14ac:dyDescent="0.35">
      <c r="A20" s="6">
        <f t="shared" si="0"/>
        <v>59.661036587185514</v>
      </c>
      <c r="B20" s="20">
        <v>12</v>
      </c>
      <c r="C20" s="13" t="s">
        <v>40</v>
      </c>
      <c r="D20" s="21" t="s">
        <v>9</v>
      </c>
      <c r="E20" s="21" t="s">
        <v>19</v>
      </c>
      <c r="F20" s="21" t="s">
        <v>19</v>
      </c>
      <c r="G20" s="21">
        <v>18</v>
      </c>
      <c r="H20" s="21">
        <v>78</v>
      </c>
      <c r="I20" s="21">
        <v>61</v>
      </c>
      <c r="J20" s="21">
        <v>94</v>
      </c>
      <c r="K20" s="21">
        <v>66</v>
      </c>
      <c r="L20" s="21">
        <v>75</v>
      </c>
      <c r="M20" s="21">
        <v>41</v>
      </c>
      <c r="N20" s="21">
        <v>14</v>
      </c>
      <c r="O20" s="21">
        <v>59</v>
      </c>
      <c r="P20" s="21">
        <v>74</v>
      </c>
      <c r="Q20" s="20">
        <v>12</v>
      </c>
      <c r="R20" s="13" t="s">
        <v>40</v>
      </c>
      <c r="S20" s="21" t="s">
        <v>9</v>
      </c>
      <c r="T20" s="21" t="s">
        <v>19</v>
      </c>
      <c r="U20" s="21" t="s">
        <v>19</v>
      </c>
      <c r="V20" s="21">
        <v>18</v>
      </c>
      <c r="W20" s="21">
        <v>44</v>
      </c>
      <c r="X20" s="21">
        <v>39</v>
      </c>
      <c r="Y20" s="21">
        <v>32</v>
      </c>
      <c r="Z20" s="21">
        <v>37</v>
      </c>
      <c r="AA20" s="21">
        <v>37</v>
      </c>
      <c r="AB20" s="21">
        <v>95</v>
      </c>
      <c r="AC20" s="21">
        <v>70</v>
      </c>
      <c r="AD20" s="21">
        <v>38</v>
      </c>
      <c r="AE20" s="21">
        <v>58</v>
      </c>
      <c r="AF20" s="21">
        <v>76</v>
      </c>
      <c r="AG20" s="21">
        <v>83</v>
      </c>
      <c r="AH20" s="21">
        <v>74</v>
      </c>
      <c r="AI20" s="6">
        <f t="shared" si="1"/>
        <v>4.9208472000000008</v>
      </c>
      <c r="AJ20" s="6">
        <f t="shared" si="2"/>
        <v>0.49699999999999994</v>
      </c>
      <c r="AK20" s="6">
        <f t="shared" si="3"/>
        <v>1.0969520000000001</v>
      </c>
      <c r="AL20" s="6">
        <f t="shared" si="4"/>
        <v>0.9</v>
      </c>
      <c r="AM20" s="6">
        <f t="shared" si="5"/>
        <v>0.49871900000000019</v>
      </c>
    </row>
    <row r="21" spans="1:39" ht="15" thickBot="1" x14ac:dyDescent="0.35">
      <c r="A21" s="6">
        <f t="shared" si="0"/>
        <v>55.63346160732938</v>
      </c>
      <c r="B21" s="20">
        <v>34</v>
      </c>
      <c r="C21" s="13" t="s">
        <v>62</v>
      </c>
      <c r="D21" s="21" t="s">
        <v>3</v>
      </c>
      <c r="E21" s="21" t="s">
        <v>19</v>
      </c>
      <c r="F21" s="21" t="s">
        <v>19</v>
      </c>
      <c r="G21" s="21">
        <v>18</v>
      </c>
      <c r="H21" s="21">
        <v>53</v>
      </c>
      <c r="I21" s="21">
        <v>52</v>
      </c>
      <c r="J21" s="21">
        <v>36</v>
      </c>
      <c r="K21" s="21">
        <v>22</v>
      </c>
      <c r="L21" s="21">
        <v>54</v>
      </c>
      <c r="M21" s="21">
        <v>64</v>
      </c>
      <c r="N21" s="21">
        <v>32</v>
      </c>
      <c r="O21" s="21">
        <v>49</v>
      </c>
      <c r="P21" s="21">
        <v>66</v>
      </c>
      <c r="Q21" s="20">
        <v>34</v>
      </c>
      <c r="R21" s="13" t="s">
        <v>62</v>
      </c>
      <c r="S21" s="21" t="s">
        <v>3</v>
      </c>
      <c r="T21" s="21" t="s">
        <v>19</v>
      </c>
      <c r="U21" s="21" t="s">
        <v>19</v>
      </c>
      <c r="V21" s="21">
        <v>18</v>
      </c>
      <c r="W21" s="21">
        <v>76</v>
      </c>
      <c r="X21" s="21">
        <v>72</v>
      </c>
      <c r="Y21" s="21">
        <v>78</v>
      </c>
      <c r="Z21" s="21">
        <v>84</v>
      </c>
      <c r="AA21" s="21">
        <v>4</v>
      </c>
      <c r="AB21" s="21">
        <v>84</v>
      </c>
      <c r="AC21" s="21">
        <v>69</v>
      </c>
      <c r="AD21" s="21">
        <v>87</v>
      </c>
      <c r="AE21" s="21">
        <v>89</v>
      </c>
      <c r="AF21" s="21">
        <v>70</v>
      </c>
      <c r="AG21" s="21">
        <v>45</v>
      </c>
      <c r="AH21" s="21">
        <v>66</v>
      </c>
      <c r="AI21" s="6">
        <f t="shared" si="1"/>
        <v>2.5487284000000008</v>
      </c>
      <c r="AJ21" s="6">
        <f t="shared" si="2"/>
        <v>0.75300000000000011</v>
      </c>
      <c r="AK21" s="6">
        <f t="shared" si="3"/>
        <v>3.3020400000000012</v>
      </c>
      <c r="AL21" s="6">
        <f t="shared" si="4"/>
        <v>0.81</v>
      </c>
      <c r="AM21" s="6">
        <f t="shared" si="5"/>
        <v>1.1267872000000003</v>
      </c>
    </row>
    <row r="22" spans="1:39" ht="15" thickBot="1" x14ac:dyDescent="0.35">
      <c r="A22" s="6">
        <f t="shared" si="0"/>
        <v>58.660293950878859</v>
      </c>
      <c r="B22" s="20">
        <v>28</v>
      </c>
      <c r="C22" s="13" t="s">
        <v>56</v>
      </c>
      <c r="D22" s="21" t="s">
        <v>8</v>
      </c>
      <c r="E22" s="21" t="s">
        <v>21</v>
      </c>
      <c r="F22" s="21" t="s">
        <v>19</v>
      </c>
      <c r="G22" s="21">
        <v>18</v>
      </c>
      <c r="H22" s="21">
        <v>44</v>
      </c>
      <c r="I22" s="21">
        <v>63</v>
      </c>
      <c r="J22" s="21">
        <v>49</v>
      </c>
      <c r="K22" s="21">
        <v>62</v>
      </c>
      <c r="L22" s="21">
        <v>45</v>
      </c>
      <c r="M22" s="21">
        <v>52</v>
      </c>
      <c r="N22" s="21">
        <v>53</v>
      </c>
      <c r="O22" s="21">
        <v>38</v>
      </c>
      <c r="P22" s="21">
        <v>68</v>
      </c>
      <c r="Q22" s="20">
        <v>28</v>
      </c>
      <c r="R22" s="13" t="s">
        <v>56</v>
      </c>
      <c r="S22" s="21" t="s">
        <v>8</v>
      </c>
      <c r="T22" s="21" t="s">
        <v>21</v>
      </c>
      <c r="U22" s="21" t="s">
        <v>19</v>
      </c>
      <c r="V22" s="21">
        <v>18</v>
      </c>
      <c r="W22" s="21">
        <v>64</v>
      </c>
      <c r="X22" s="21">
        <v>69</v>
      </c>
      <c r="Y22" s="21">
        <v>66</v>
      </c>
      <c r="Z22" s="21">
        <v>76</v>
      </c>
      <c r="AA22" s="21">
        <v>11</v>
      </c>
      <c r="AB22" s="21">
        <v>83</v>
      </c>
      <c r="AC22" s="21">
        <v>86</v>
      </c>
      <c r="AD22" s="21">
        <v>61</v>
      </c>
      <c r="AE22" s="21">
        <v>29</v>
      </c>
      <c r="AF22" s="21">
        <v>65</v>
      </c>
      <c r="AG22" s="21">
        <v>80</v>
      </c>
      <c r="AH22" s="21">
        <v>68</v>
      </c>
      <c r="AI22" s="6">
        <f t="shared" si="1"/>
        <v>3.3180904000000004</v>
      </c>
      <c r="AJ22" s="6">
        <f t="shared" si="2"/>
        <v>0.66400000000000003</v>
      </c>
      <c r="AK22" s="6">
        <f t="shared" si="3"/>
        <v>2.8647300000000007</v>
      </c>
      <c r="AL22" s="6">
        <f t="shared" si="4"/>
        <v>0.83600000000000008</v>
      </c>
      <c r="AM22" s="6">
        <f t="shared" si="5"/>
        <v>0.77682720000000005</v>
      </c>
    </row>
    <row r="23" spans="1:39" ht="15" thickBot="1" x14ac:dyDescent="0.35">
      <c r="A23" s="6">
        <f t="shared" si="0"/>
        <v>57.577431883971471</v>
      </c>
      <c r="B23" s="18">
        <v>43</v>
      </c>
      <c r="C23" s="12" t="s">
        <v>71</v>
      </c>
      <c r="D23" s="19" t="s">
        <v>8</v>
      </c>
      <c r="E23" s="19" t="s">
        <v>19</v>
      </c>
      <c r="F23" s="19" t="s">
        <v>19</v>
      </c>
      <c r="G23" s="19">
        <v>18</v>
      </c>
      <c r="H23" s="19">
        <v>24</v>
      </c>
      <c r="I23" s="19">
        <v>100</v>
      </c>
      <c r="J23" s="19">
        <v>42</v>
      </c>
      <c r="K23" s="19">
        <v>48</v>
      </c>
      <c r="L23" s="19">
        <v>38</v>
      </c>
      <c r="M23" s="19">
        <v>26</v>
      </c>
      <c r="N23" s="19">
        <v>10</v>
      </c>
      <c r="O23" s="19">
        <v>31</v>
      </c>
      <c r="P23" s="19">
        <v>63</v>
      </c>
      <c r="Q23" s="18">
        <v>43</v>
      </c>
      <c r="R23" s="12" t="s">
        <v>71</v>
      </c>
      <c r="S23" s="19" t="s">
        <v>8</v>
      </c>
      <c r="T23" s="19" t="s">
        <v>19</v>
      </c>
      <c r="U23" s="19" t="s">
        <v>19</v>
      </c>
      <c r="V23" s="19">
        <v>18</v>
      </c>
      <c r="W23" s="19">
        <v>64</v>
      </c>
      <c r="X23" s="19">
        <v>67</v>
      </c>
      <c r="Y23" s="19">
        <v>70</v>
      </c>
      <c r="Z23" s="19">
        <v>72</v>
      </c>
      <c r="AA23" s="19">
        <v>20</v>
      </c>
      <c r="AB23" s="19">
        <v>73</v>
      </c>
      <c r="AC23" s="19">
        <v>86</v>
      </c>
      <c r="AD23" s="19">
        <v>77</v>
      </c>
      <c r="AE23" s="19">
        <v>64</v>
      </c>
      <c r="AF23" s="19">
        <v>61</v>
      </c>
      <c r="AG23" s="19">
        <v>54</v>
      </c>
      <c r="AH23" s="19">
        <v>63</v>
      </c>
      <c r="AI23" s="6">
        <f t="shared" si="1"/>
        <v>3.2831680000000012</v>
      </c>
      <c r="AJ23" s="6">
        <f t="shared" si="2"/>
        <v>0.311</v>
      </c>
      <c r="AK23" s="6">
        <f t="shared" si="3"/>
        <v>2.8424700000000005</v>
      </c>
      <c r="AL23" s="6">
        <f t="shared" si="4"/>
        <v>0.75600000000000012</v>
      </c>
      <c r="AM23" s="6">
        <f t="shared" si="5"/>
        <v>0.99906220000000023</v>
      </c>
    </row>
    <row r="24" spans="1:39" ht="15" thickBot="1" x14ac:dyDescent="0.35">
      <c r="A24" s="6">
        <f t="shared" si="0"/>
        <v>58.631276970366159</v>
      </c>
      <c r="B24" s="20">
        <v>30</v>
      </c>
      <c r="C24" s="13" t="s">
        <v>58</v>
      </c>
      <c r="D24" s="21" t="s">
        <v>8</v>
      </c>
      <c r="E24" s="21" t="s">
        <v>19</v>
      </c>
      <c r="F24" s="21" t="s">
        <v>19</v>
      </c>
      <c r="G24" s="21">
        <v>18</v>
      </c>
      <c r="H24" s="21">
        <v>31</v>
      </c>
      <c r="I24" s="21">
        <v>55</v>
      </c>
      <c r="J24" s="21">
        <v>74</v>
      </c>
      <c r="K24" s="21">
        <v>72</v>
      </c>
      <c r="L24" s="21">
        <v>51</v>
      </c>
      <c r="M24" s="21">
        <v>53</v>
      </c>
      <c r="N24" s="21">
        <v>46</v>
      </c>
      <c r="O24" s="21">
        <v>45</v>
      </c>
      <c r="P24" s="21">
        <v>67</v>
      </c>
      <c r="Q24" s="20">
        <v>30</v>
      </c>
      <c r="R24" s="13" t="s">
        <v>58</v>
      </c>
      <c r="S24" s="21" t="s">
        <v>8</v>
      </c>
      <c r="T24" s="21" t="s">
        <v>19</v>
      </c>
      <c r="U24" s="21" t="s">
        <v>19</v>
      </c>
      <c r="V24" s="21">
        <v>18</v>
      </c>
      <c r="W24" s="21">
        <v>64</v>
      </c>
      <c r="X24" s="21">
        <v>66</v>
      </c>
      <c r="Y24" s="21">
        <v>66</v>
      </c>
      <c r="Z24" s="21">
        <v>64</v>
      </c>
      <c r="AA24" s="21">
        <v>5</v>
      </c>
      <c r="AB24" s="21">
        <v>84</v>
      </c>
      <c r="AC24" s="21">
        <v>98</v>
      </c>
      <c r="AD24" s="21">
        <v>45</v>
      </c>
      <c r="AE24" s="21">
        <v>75</v>
      </c>
      <c r="AF24" s="21">
        <v>65</v>
      </c>
      <c r="AG24" s="21">
        <v>91</v>
      </c>
      <c r="AH24" s="21">
        <v>67</v>
      </c>
      <c r="AI24" s="6">
        <f t="shared" si="1"/>
        <v>3.5008052000000007</v>
      </c>
      <c r="AJ24" s="6">
        <f t="shared" si="2"/>
        <v>0.66700000000000004</v>
      </c>
      <c r="AK24" s="6">
        <f t="shared" si="3"/>
        <v>2.6647200000000004</v>
      </c>
      <c r="AL24" s="6">
        <f t="shared" si="4"/>
        <v>0.8680000000000001</v>
      </c>
      <c r="AM24" s="6">
        <f t="shared" si="5"/>
        <v>0.61291780000000007</v>
      </c>
    </row>
    <row r="25" spans="1:39" ht="15" thickBot="1" x14ac:dyDescent="0.35">
      <c r="A25" s="6">
        <f t="shared" si="0"/>
        <v>58.234936584201243</v>
      </c>
      <c r="B25" s="20">
        <v>36</v>
      </c>
      <c r="C25" s="13" t="s">
        <v>64</v>
      </c>
      <c r="D25" s="21" t="s">
        <v>8</v>
      </c>
      <c r="E25" s="21" t="s">
        <v>20</v>
      </c>
      <c r="F25" s="21" t="s">
        <v>19</v>
      </c>
      <c r="G25" s="21">
        <v>18</v>
      </c>
      <c r="H25" s="21">
        <v>54</v>
      </c>
      <c r="I25" s="21">
        <v>64</v>
      </c>
      <c r="J25" s="21">
        <v>56</v>
      </c>
      <c r="K25" s="21">
        <v>59</v>
      </c>
      <c r="L25" s="21">
        <v>41</v>
      </c>
      <c r="M25" s="21">
        <v>72</v>
      </c>
      <c r="N25" s="21">
        <v>38</v>
      </c>
      <c r="O25" s="21">
        <v>48</v>
      </c>
      <c r="P25" s="21">
        <v>65</v>
      </c>
      <c r="Q25" s="20">
        <v>36</v>
      </c>
      <c r="R25" s="13" t="s">
        <v>64</v>
      </c>
      <c r="S25" s="21" t="s">
        <v>8</v>
      </c>
      <c r="T25" s="21" t="s">
        <v>20</v>
      </c>
      <c r="U25" s="21" t="s">
        <v>19</v>
      </c>
      <c r="V25" s="21">
        <v>18</v>
      </c>
      <c r="W25" s="21">
        <v>72</v>
      </c>
      <c r="X25" s="21">
        <v>61</v>
      </c>
      <c r="Y25" s="21">
        <v>67</v>
      </c>
      <c r="Z25" s="21">
        <v>65</v>
      </c>
      <c r="AA25" s="21">
        <v>15</v>
      </c>
      <c r="AB25" s="21">
        <v>84</v>
      </c>
      <c r="AC25" s="21">
        <v>47</v>
      </c>
      <c r="AD25" s="21">
        <v>36</v>
      </c>
      <c r="AE25" s="21">
        <v>94</v>
      </c>
      <c r="AF25" s="21">
        <v>79</v>
      </c>
      <c r="AG25" s="21">
        <v>61</v>
      </c>
      <c r="AH25" s="21">
        <v>65</v>
      </c>
      <c r="AI25" s="6">
        <f t="shared" si="1"/>
        <v>3.4340856000000008</v>
      </c>
      <c r="AJ25" s="6">
        <f t="shared" si="2"/>
        <v>0.84399999999999986</v>
      </c>
      <c r="AK25" s="6">
        <f t="shared" si="3"/>
        <v>2.7303460000000004</v>
      </c>
      <c r="AL25" s="6">
        <f t="shared" si="4"/>
        <v>0.76600000000000013</v>
      </c>
      <c r="AM25" s="6">
        <f t="shared" si="5"/>
        <v>0.48808320000000011</v>
      </c>
    </row>
    <row r="26" spans="1:39" ht="15" thickBot="1" x14ac:dyDescent="0.35">
      <c r="A26" s="6">
        <f t="shared" si="0"/>
        <v>54.381740129517446</v>
      </c>
      <c r="B26" s="20">
        <v>72</v>
      </c>
      <c r="C26" s="13" t="s">
        <v>100</v>
      </c>
      <c r="D26" s="21" t="s">
        <v>5</v>
      </c>
      <c r="E26" s="21" t="s">
        <v>19</v>
      </c>
      <c r="F26" s="21" t="s">
        <v>19</v>
      </c>
      <c r="G26" s="21">
        <v>18</v>
      </c>
      <c r="H26" s="21">
        <v>6</v>
      </c>
      <c r="I26" s="21">
        <v>87</v>
      </c>
      <c r="J26" s="21">
        <v>56</v>
      </c>
      <c r="K26" s="21">
        <v>29</v>
      </c>
      <c r="L26" s="21">
        <v>45</v>
      </c>
      <c r="M26" s="21">
        <v>45</v>
      </c>
      <c r="N26" s="21">
        <v>15</v>
      </c>
      <c r="O26" s="21">
        <v>19</v>
      </c>
      <c r="P26" s="21">
        <v>57</v>
      </c>
      <c r="Q26" s="20">
        <v>72</v>
      </c>
      <c r="R26" s="13" t="s">
        <v>100</v>
      </c>
      <c r="S26" s="21" t="s">
        <v>5</v>
      </c>
      <c r="T26" s="21" t="s">
        <v>19</v>
      </c>
      <c r="U26" s="21" t="s">
        <v>19</v>
      </c>
      <c r="V26" s="21">
        <v>18</v>
      </c>
      <c r="W26" s="21">
        <v>62</v>
      </c>
      <c r="X26" s="21">
        <v>72</v>
      </c>
      <c r="Y26" s="21">
        <v>68</v>
      </c>
      <c r="Z26" s="21">
        <v>70</v>
      </c>
      <c r="AA26" s="21">
        <v>14</v>
      </c>
      <c r="AB26" s="21">
        <v>79</v>
      </c>
      <c r="AC26" s="21">
        <v>68</v>
      </c>
      <c r="AD26" s="21">
        <v>27</v>
      </c>
      <c r="AE26" s="21">
        <v>80</v>
      </c>
      <c r="AF26" s="21">
        <v>70</v>
      </c>
      <c r="AG26" s="21">
        <v>62</v>
      </c>
      <c r="AH26" s="21">
        <v>57</v>
      </c>
      <c r="AI26" s="6">
        <f t="shared" si="1"/>
        <v>3.0563168000000007</v>
      </c>
      <c r="AJ26" s="6">
        <f t="shared" si="2"/>
        <v>0.499</v>
      </c>
      <c r="AK26" s="6">
        <f t="shared" si="3"/>
        <v>2.8274240000000006</v>
      </c>
      <c r="AL26" s="6">
        <f t="shared" si="4"/>
        <v>0.76800000000000013</v>
      </c>
      <c r="AM26" s="6">
        <f t="shared" si="5"/>
        <v>0.35863640000000008</v>
      </c>
    </row>
    <row r="27" spans="1:39" ht="15" thickBot="1" x14ac:dyDescent="0.35">
      <c r="A27" s="6">
        <f t="shared" si="0"/>
        <v>55.504994479095153</v>
      </c>
      <c r="B27" s="18">
        <v>49</v>
      </c>
      <c r="C27" s="12" t="s">
        <v>77</v>
      </c>
      <c r="D27" s="19" t="s">
        <v>10</v>
      </c>
      <c r="E27" s="19" t="s">
        <v>21</v>
      </c>
      <c r="F27" s="19" t="s">
        <v>20</v>
      </c>
      <c r="G27" s="19">
        <v>18</v>
      </c>
      <c r="H27" s="19">
        <v>56</v>
      </c>
      <c r="I27" s="19">
        <v>53</v>
      </c>
      <c r="J27" s="19">
        <v>83</v>
      </c>
      <c r="K27" s="19">
        <v>46</v>
      </c>
      <c r="L27" s="19">
        <v>45</v>
      </c>
      <c r="M27" s="19">
        <v>73</v>
      </c>
      <c r="N27" s="19">
        <v>34</v>
      </c>
      <c r="O27" s="19">
        <v>50</v>
      </c>
      <c r="P27" s="19">
        <v>62</v>
      </c>
      <c r="Q27" s="18">
        <v>49</v>
      </c>
      <c r="R27" s="12" t="s">
        <v>77</v>
      </c>
      <c r="S27" s="19" t="s">
        <v>10</v>
      </c>
      <c r="T27" s="19" t="s">
        <v>21</v>
      </c>
      <c r="U27" s="19" t="s">
        <v>20</v>
      </c>
      <c r="V27" s="19">
        <v>18</v>
      </c>
      <c r="W27" s="19">
        <v>66</v>
      </c>
      <c r="X27" s="19">
        <v>57</v>
      </c>
      <c r="Y27" s="19">
        <v>74</v>
      </c>
      <c r="Z27" s="19">
        <v>59</v>
      </c>
      <c r="AA27" s="19">
        <v>4</v>
      </c>
      <c r="AB27" s="19">
        <v>75</v>
      </c>
      <c r="AC27" s="19">
        <v>74</v>
      </c>
      <c r="AD27" s="19">
        <v>36</v>
      </c>
      <c r="AE27" s="19">
        <v>63</v>
      </c>
      <c r="AF27" s="19">
        <v>50</v>
      </c>
      <c r="AG27" s="19">
        <v>39</v>
      </c>
      <c r="AH27" s="19">
        <v>62</v>
      </c>
      <c r="AI27" s="6">
        <f t="shared" si="1"/>
        <v>3.2806424000000005</v>
      </c>
      <c r="AJ27" s="6">
        <f t="shared" si="2"/>
        <v>0.84799999999999998</v>
      </c>
      <c r="AK27" s="6">
        <f t="shared" si="3"/>
        <v>2.5956560000000004</v>
      </c>
      <c r="AL27" s="6">
        <f t="shared" si="4"/>
        <v>0.748</v>
      </c>
      <c r="AM27" s="6">
        <f t="shared" si="5"/>
        <v>0.38269480000000006</v>
      </c>
    </row>
    <row r="28" spans="1:39" ht="15" thickBot="1" x14ac:dyDescent="0.35">
      <c r="A28" s="6">
        <f t="shared" si="0"/>
        <v>54.321302635112943</v>
      </c>
      <c r="B28" s="20">
        <v>32</v>
      </c>
      <c r="C28" s="13" t="s">
        <v>60</v>
      </c>
      <c r="D28" s="21" t="s">
        <v>8</v>
      </c>
      <c r="E28" s="21" t="s">
        <v>21</v>
      </c>
      <c r="F28" s="21" t="s">
        <v>19</v>
      </c>
      <c r="G28" s="21">
        <v>18</v>
      </c>
      <c r="H28" s="21">
        <v>6</v>
      </c>
      <c r="I28" s="21">
        <v>7</v>
      </c>
      <c r="J28" s="21">
        <v>39</v>
      </c>
      <c r="K28" s="21">
        <v>87</v>
      </c>
      <c r="L28" s="21">
        <v>68</v>
      </c>
      <c r="M28" s="21">
        <v>86</v>
      </c>
      <c r="N28" s="21">
        <v>100</v>
      </c>
      <c r="O28" s="21">
        <v>67</v>
      </c>
      <c r="P28" s="21">
        <v>67</v>
      </c>
      <c r="Q28" s="20">
        <v>32</v>
      </c>
      <c r="R28" s="13" t="s">
        <v>60</v>
      </c>
      <c r="S28" s="21" t="s">
        <v>8</v>
      </c>
      <c r="T28" s="21" t="s">
        <v>21</v>
      </c>
      <c r="U28" s="21" t="s">
        <v>19</v>
      </c>
      <c r="V28" s="21">
        <v>18</v>
      </c>
      <c r="W28" s="21">
        <v>90</v>
      </c>
      <c r="X28" s="21">
        <v>86</v>
      </c>
      <c r="Y28" s="21">
        <v>64</v>
      </c>
      <c r="Z28" s="21">
        <v>59</v>
      </c>
      <c r="AA28" s="21">
        <v>30</v>
      </c>
      <c r="AB28" s="21">
        <v>86</v>
      </c>
      <c r="AC28" s="21">
        <v>79</v>
      </c>
      <c r="AD28" s="21">
        <v>91</v>
      </c>
      <c r="AE28" s="21">
        <v>92</v>
      </c>
      <c r="AF28" s="21">
        <v>28</v>
      </c>
      <c r="AG28" s="21">
        <v>82</v>
      </c>
      <c r="AH28" s="21">
        <v>67</v>
      </c>
      <c r="AI28" s="6">
        <f t="shared" si="1"/>
        <v>2.467696000000001</v>
      </c>
      <c r="AJ28" s="6">
        <f t="shared" si="2"/>
        <v>1.127</v>
      </c>
      <c r="AK28" s="6">
        <f t="shared" si="3"/>
        <v>3.0903020000000008</v>
      </c>
      <c r="AL28" s="6">
        <f t="shared" si="4"/>
        <v>0.84599999999999997</v>
      </c>
      <c r="AM28" s="6">
        <f t="shared" si="5"/>
        <v>1.1499604000000003</v>
      </c>
    </row>
    <row r="29" spans="1:39" ht="15" thickBot="1" x14ac:dyDescent="0.35">
      <c r="A29" s="6">
        <f t="shared" si="0"/>
        <v>50.731671640454806</v>
      </c>
      <c r="B29" s="20">
        <v>182</v>
      </c>
      <c r="C29" s="13" t="s">
        <v>210</v>
      </c>
      <c r="D29" s="21" t="s">
        <v>4</v>
      </c>
      <c r="E29" s="21" t="s">
        <v>21</v>
      </c>
      <c r="F29" s="21" t="s">
        <v>19</v>
      </c>
      <c r="G29" s="21">
        <v>18</v>
      </c>
      <c r="H29" s="21">
        <v>0</v>
      </c>
      <c r="I29" s="21">
        <v>100</v>
      </c>
      <c r="J29" s="21">
        <v>51</v>
      </c>
      <c r="K29" s="21">
        <v>44</v>
      </c>
      <c r="L29" s="21">
        <v>99</v>
      </c>
      <c r="M29" s="21">
        <v>31</v>
      </c>
      <c r="N29" s="21">
        <v>42</v>
      </c>
      <c r="O29" s="21">
        <v>28</v>
      </c>
      <c r="P29" s="21">
        <v>62</v>
      </c>
      <c r="Q29" s="20">
        <v>182</v>
      </c>
      <c r="R29" s="13" t="s">
        <v>210</v>
      </c>
      <c r="S29" s="21" t="s">
        <v>4</v>
      </c>
      <c r="T29" s="21" t="s">
        <v>21</v>
      </c>
      <c r="U29" s="21" t="s">
        <v>19</v>
      </c>
      <c r="V29" s="21">
        <v>18</v>
      </c>
      <c r="W29" s="21">
        <v>36</v>
      </c>
      <c r="X29" s="21">
        <v>26</v>
      </c>
      <c r="Y29" s="21">
        <v>19</v>
      </c>
      <c r="Z29" s="21">
        <v>34</v>
      </c>
      <c r="AA29" s="21">
        <v>30</v>
      </c>
      <c r="AB29" s="21">
        <v>100</v>
      </c>
      <c r="AC29" s="21">
        <v>99</v>
      </c>
      <c r="AD29" s="21">
        <v>1</v>
      </c>
      <c r="AE29" s="21">
        <v>92</v>
      </c>
      <c r="AF29" s="21">
        <v>100</v>
      </c>
      <c r="AG29" s="21">
        <v>57</v>
      </c>
      <c r="AH29" s="21">
        <v>62</v>
      </c>
      <c r="AI29" s="6">
        <f t="shared" si="1"/>
        <v>4.3565520000000024</v>
      </c>
      <c r="AJ29" s="6">
        <f t="shared" si="2"/>
        <v>0.42199999999999993</v>
      </c>
      <c r="AK29" s="6">
        <f t="shared" si="3"/>
        <v>0.65419000000000005</v>
      </c>
      <c r="AL29" s="6">
        <f t="shared" si="4"/>
        <v>0.998</v>
      </c>
      <c r="AM29" s="6">
        <f t="shared" si="5"/>
        <v>0.2479678000000001</v>
      </c>
    </row>
    <row r="30" spans="1:39" ht="15" thickBot="1" x14ac:dyDescent="0.35">
      <c r="A30" s="6">
        <f t="shared" si="0"/>
        <v>50.948509504909126</v>
      </c>
      <c r="B30" s="20">
        <v>68</v>
      </c>
      <c r="C30" s="13" t="s">
        <v>96</v>
      </c>
      <c r="D30" s="21" t="s">
        <v>7</v>
      </c>
      <c r="E30" s="21" t="s">
        <v>19</v>
      </c>
      <c r="F30" s="21" t="s">
        <v>19</v>
      </c>
      <c r="G30" s="21">
        <v>20</v>
      </c>
      <c r="H30" s="21">
        <v>62</v>
      </c>
      <c r="I30" s="21">
        <v>34</v>
      </c>
      <c r="J30" s="21">
        <v>28</v>
      </c>
      <c r="K30" s="21">
        <v>0</v>
      </c>
      <c r="L30" s="21">
        <v>39</v>
      </c>
      <c r="M30" s="21">
        <v>96</v>
      </c>
      <c r="N30" s="21">
        <v>58</v>
      </c>
      <c r="O30" s="21">
        <v>89</v>
      </c>
      <c r="P30" s="21">
        <v>66</v>
      </c>
      <c r="Q30" s="20">
        <v>68</v>
      </c>
      <c r="R30" s="13" t="s">
        <v>96</v>
      </c>
      <c r="S30" s="21" t="s">
        <v>7</v>
      </c>
      <c r="T30" s="21" t="s">
        <v>19</v>
      </c>
      <c r="U30" s="21" t="s">
        <v>19</v>
      </c>
      <c r="V30" s="21">
        <v>20</v>
      </c>
      <c r="W30" s="21">
        <v>100</v>
      </c>
      <c r="X30" s="21">
        <v>80</v>
      </c>
      <c r="Y30" s="21">
        <v>95</v>
      </c>
      <c r="Z30" s="21">
        <v>100</v>
      </c>
      <c r="AA30" s="21">
        <v>40</v>
      </c>
      <c r="AB30" s="21">
        <v>83</v>
      </c>
      <c r="AC30" s="21">
        <v>100</v>
      </c>
      <c r="AD30" s="21">
        <v>57</v>
      </c>
      <c r="AE30" s="21">
        <v>45</v>
      </c>
      <c r="AF30" s="21">
        <v>23</v>
      </c>
      <c r="AG30" s="21">
        <v>41</v>
      </c>
      <c r="AH30" s="21">
        <v>66</v>
      </c>
      <c r="AI30" s="6">
        <f t="shared" si="1"/>
        <v>1.6394800000000005</v>
      </c>
      <c r="AJ30" s="6">
        <f t="shared" si="2"/>
        <v>1.165</v>
      </c>
      <c r="AK30" s="6">
        <f t="shared" si="3"/>
        <v>3.8097500000000011</v>
      </c>
      <c r="AL30" s="6">
        <f t="shared" si="4"/>
        <v>0.8640000000000001</v>
      </c>
      <c r="AM30" s="6">
        <f t="shared" si="5"/>
        <v>0.62778140000000016</v>
      </c>
    </row>
    <row r="31" spans="1:39" ht="15" thickBot="1" x14ac:dyDescent="0.35">
      <c r="A31" s="6">
        <f t="shared" si="0"/>
        <v>48.384562356381863</v>
      </c>
      <c r="B31" s="20">
        <v>42</v>
      </c>
      <c r="C31" s="13" t="s">
        <v>70</v>
      </c>
      <c r="D31" s="21" t="s">
        <v>7</v>
      </c>
      <c r="E31" s="21" t="s">
        <v>19</v>
      </c>
      <c r="F31" s="21" t="s">
        <v>19</v>
      </c>
      <c r="G31" s="21">
        <v>18</v>
      </c>
      <c r="H31" s="21">
        <v>44</v>
      </c>
      <c r="I31" s="21">
        <v>60</v>
      </c>
      <c r="J31" s="21">
        <v>74</v>
      </c>
      <c r="K31" s="21">
        <v>16</v>
      </c>
      <c r="L31" s="21">
        <v>88</v>
      </c>
      <c r="M31" s="21">
        <v>42</v>
      </c>
      <c r="N31" s="21">
        <v>50</v>
      </c>
      <c r="O31" s="21">
        <v>20</v>
      </c>
      <c r="P31" s="21">
        <v>61</v>
      </c>
      <c r="Q31" s="20">
        <v>42</v>
      </c>
      <c r="R31" s="13" t="s">
        <v>70</v>
      </c>
      <c r="S31" s="21" t="s">
        <v>7</v>
      </c>
      <c r="T31" s="21" t="s">
        <v>19</v>
      </c>
      <c r="U31" s="21" t="s">
        <v>19</v>
      </c>
      <c r="V31" s="21">
        <v>18</v>
      </c>
      <c r="W31" s="21">
        <v>9</v>
      </c>
      <c r="X31" s="21">
        <v>15</v>
      </c>
      <c r="Y31" s="21">
        <v>69</v>
      </c>
      <c r="Z31" s="21">
        <v>84</v>
      </c>
      <c r="AA31" s="21">
        <v>61</v>
      </c>
      <c r="AB31" s="21">
        <v>79</v>
      </c>
      <c r="AC31" s="21">
        <v>99</v>
      </c>
      <c r="AD31" s="21">
        <v>4</v>
      </c>
      <c r="AE31" s="21">
        <v>70</v>
      </c>
      <c r="AF31" s="21">
        <v>27</v>
      </c>
      <c r="AG31" s="21">
        <v>63</v>
      </c>
      <c r="AH31" s="21">
        <v>61</v>
      </c>
      <c r="AI31" s="6">
        <f t="shared" si="1"/>
        <v>3.7106208000000018</v>
      </c>
      <c r="AJ31" s="6">
        <f t="shared" si="2"/>
        <v>0.54</v>
      </c>
      <c r="AK31" s="6">
        <f t="shared" si="3"/>
        <v>1.2257226000000001</v>
      </c>
      <c r="AL31" s="6">
        <f t="shared" si="4"/>
        <v>0.83</v>
      </c>
      <c r="AM31" s="6">
        <f t="shared" si="5"/>
        <v>0.14758200000000005</v>
      </c>
    </row>
    <row r="32" spans="1:39" ht="15" thickBot="1" x14ac:dyDescent="0.35">
      <c r="A32" s="6">
        <f t="shared" si="0"/>
        <v>48.543766152376953</v>
      </c>
      <c r="B32" s="20">
        <v>44</v>
      </c>
      <c r="C32" s="13" t="s">
        <v>72</v>
      </c>
      <c r="D32" s="21" t="s">
        <v>8</v>
      </c>
      <c r="E32" s="21" t="s">
        <v>19</v>
      </c>
      <c r="F32" s="21" t="s">
        <v>19</v>
      </c>
      <c r="G32" s="21">
        <v>18</v>
      </c>
      <c r="H32" s="21">
        <v>59</v>
      </c>
      <c r="I32" s="21">
        <v>46</v>
      </c>
      <c r="J32" s="21">
        <v>21</v>
      </c>
      <c r="K32" s="21">
        <v>32</v>
      </c>
      <c r="L32" s="21">
        <v>56</v>
      </c>
      <c r="M32" s="21">
        <v>73</v>
      </c>
      <c r="N32" s="21">
        <v>29</v>
      </c>
      <c r="O32" s="21">
        <v>76</v>
      </c>
      <c r="P32" s="21">
        <v>63</v>
      </c>
      <c r="Q32" s="20">
        <v>44</v>
      </c>
      <c r="R32" s="13" t="s">
        <v>72</v>
      </c>
      <c r="S32" s="21" t="s">
        <v>8</v>
      </c>
      <c r="T32" s="21" t="s">
        <v>19</v>
      </c>
      <c r="U32" s="21" t="s">
        <v>19</v>
      </c>
      <c r="V32" s="21">
        <v>18</v>
      </c>
      <c r="W32" s="21">
        <v>71</v>
      </c>
      <c r="X32" s="21">
        <v>66</v>
      </c>
      <c r="Y32" s="21">
        <v>46</v>
      </c>
      <c r="Z32" s="21">
        <v>63</v>
      </c>
      <c r="AA32" s="21">
        <v>17</v>
      </c>
      <c r="AB32" s="21">
        <v>77</v>
      </c>
      <c r="AC32" s="21">
        <v>88</v>
      </c>
      <c r="AD32" s="21">
        <v>69</v>
      </c>
      <c r="AE32" s="21">
        <v>74</v>
      </c>
      <c r="AF32" s="21">
        <v>14</v>
      </c>
      <c r="AG32" s="21">
        <v>97</v>
      </c>
      <c r="AH32" s="21">
        <v>63</v>
      </c>
      <c r="AI32" s="6">
        <f t="shared" si="1"/>
        <v>2.5031900000000005</v>
      </c>
      <c r="AJ32" s="6">
        <f t="shared" si="2"/>
        <v>0.86399999999999988</v>
      </c>
      <c r="AK32" s="6">
        <f t="shared" si="3"/>
        <v>2.4520600000000004</v>
      </c>
      <c r="AL32" s="6">
        <f t="shared" si="4"/>
        <v>0.79200000000000004</v>
      </c>
      <c r="AM32" s="6">
        <f t="shared" si="5"/>
        <v>0.90121580000000023</v>
      </c>
    </row>
    <row r="33" spans="1:39" ht="15" thickBot="1" x14ac:dyDescent="0.35">
      <c r="A33" s="6">
        <f t="shared" si="0"/>
        <v>51.296518398042316</v>
      </c>
      <c r="B33" s="20">
        <v>26</v>
      </c>
      <c r="C33" s="13" t="s">
        <v>54</v>
      </c>
      <c r="D33" s="21" t="s">
        <v>6</v>
      </c>
      <c r="E33" s="21" t="s">
        <v>21</v>
      </c>
      <c r="F33" s="21" t="s">
        <v>20</v>
      </c>
      <c r="G33" s="21">
        <v>18</v>
      </c>
      <c r="H33" s="21">
        <v>48</v>
      </c>
      <c r="I33" s="21">
        <v>43</v>
      </c>
      <c r="J33" s="21">
        <v>66</v>
      </c>
      <c r="K33" s="21">
        <v>56</v>
      </c>
      <c r="L33" s="21">
        <v>44</v>
      </c>
      <c r="M33" s="21">
        <v>69</v>
      </c>
      <c r="N33" s="21">
        <v>73</v>
      </c>
      <c r="O33" s="21">
        <v>43</v>
      </c>
      <c r="P33" s="21">
        <v>69</v>
      </c>
      <c r="Q33" s="20">
        <v>26</v>
      </c>
      <c r="R33" s="13" t="s">
        <v>54</v>
      </c>
      <c r="S33" s="21" t="s">
        <v>6</v>
      </c>
      <c r="T33" s="21" t="s">
        <v>21</v>
      </c>
      <c r="U33" s="21" t="s">
        <v>20</v>
      </c>
      <c r="V33" s="21">
        <v>18</v>
      </c>
      <c r="W33" s="21">
        <v>56</v>
      </c>
      <c r="X33" s="21">
        <v>66</v>
      </c>
      <c r="Y33" s="21">
        <v>52</v>
      </c>
      <c r="Z33" s="21">
        <v>60</v>
      </c>
      <c r="AA33" s="21">
        <v>2</v>
      </c>
      <c r="AB33" s="21">
        <v>93</v>
      </c>
      <c r="AC33" s="21">
        <v>71</v>
      </c>
      <c r="AD33" s="21">
        <v>83</v>
      </c>
      <c r="AE33" s="21">
        <v>41</v>
      </c>
      <c r="AF33" s="21">
        <v>40</v>
      </c>
      <c r="AG33" s="21">
        <v>100</v>
      </c>
      <c r="AH33" s="21">
        <v>69</v>
      </c>
      <c r="AI33" s="6">
        <f t="shared" si="1"/>
        <v>2.856719200000001</v>
      </c>
      <c r="AJ33" s="6">
        <f t="shared" si="2"/>
        <v>0.87899999999999989</v>
      </c>
      <c r="AK33" s="6">
        <f t="shared" si="3"/>
        <v>2.2838800000000008</v>
      </c>
      <c r="AL33" s="6">
        <f t="shared" si="4"/>
        <v>0.88600000000000012</v>
      </c>
      <c r="AM33" s="6">
        <f t="shared" si="5"/>
        <v>1.0470038000000004</v>
      </c>
    </row>
    <row r="34" spans="1:39" ht="15" thickBot="1" x14ac:dyDescent="0.35">
      <c r="A34" s="6">
        <f t="shared" si="0"/>
        <v>48.440477931302041</v>
      </c>
      <c r="B34" s="20">
        <v>56</v>
      </c>
      <c r="C34" s="13" t="s">
        <v>84</v>
      </c>
      <c r="D34" s="21" t="s">
        <v>6</v>
      </c>
      <c r="E34" s="21" t="s">
        <v>19</v>
      </c>
      <c r="F34" s="21" t="s">
        <v>19</v>
      </c>
      <c r="G34" s="21">
        <v>18</v>
      </c>
      <c r="H34" s="21">
        <v>54</v>
      </c>
      <c r="I34" s="21">
        <v>9</v>
      </c>
      <c r="J34" s="21">
        <v>59</v>
      </c>
      <c r="K34" s="21">
        <v>58</v>
      </c>
      <c r="L34" s="21">
        <v>73</v>
      </c>
      <c r="M34" s="21">
        <v>45</v>
      </c>
      <c r="N34" s="21">
        <v>92</v>
      </c>
      <c r="O34" s="21">
        <v>36</v>
      </c>
      <c r="P34" s="21">
        <v>61</v>
      </c>
      <c r="Q34" s="20">
        <v>56</v>
      </c>
      <c r="R34" s="13" t="s">
        <v>84</v>
      </c>
      <c r="S34" s="21" t="s">
        <v>6</v>
      </c>
      <c r="T34" s="21" t="s">
        <v>19</v>
      </c>
      <c r="U34" s="21" t="s">
        <v>19</v>
      </c>
      <c r="V34" s="21">
        <v>18</v>
      </c>
      <c r="W34" s="21">
        <v>66</v>
      </c>
      <c r="X34" s="21">
        <v>57</v>
      </c>
      <c r="Y34" s="21">
        <v>43</v>
      </c>
      <c r="Z34" s="21">
        <v>54</v>
      </c>
      <c r="AA34" s="21">
        <v>0</v>
      </c>
      <c r="AB34" s="21">
        <v>89</v>
      </c>
      <c r="AC34" s="21">
        <v>89</v>
      </c>
      <c r="AD34" s="21">
        <v>45</v>
      </c>
      <c r="AE34" s="21">
        <v>77</v>
      </c>
      <c r="AF34" s="21">
        <v>31</v>
      </c>
      <c r="AG34" s="21">
        <v>41</v>
      </c>
      <c r="AH34" s="21">
        <v>61</v>
      </c>
      <c r="AI34" s="6">
        <f t="shared" si="1"/>
        <v>2.8949864000000005</v>
      </c>
      <c r="AJ34" s="6">
        <f t="shared" si="2"/>
        <v>0.67</v>
      </c>
      <c r="AK34" s="6">
        <f t="shared" si="3"/>
        <v>2.0770800000000005</v>
      </c>
      <c r="AL34" s="6">
        <f t="shared" si="4"/>
        <v>0.89</v>
      </c>
      <c r="AM34" s="6">
        <f t="shared" si="5"/>
        <v>0.50318300000000005</v>
      </c>
    </row>
    <row r="35" spans="1:39" ht="15" thickBot="1" x14ac:dyDescent="0.35">
      <c r="A35" s="6">
        <f t="shared" si="0"/>
        <v>49.516531379629342</v>
      </c>
      <c r="B35" s="18">
        <v>55</v>
      </c>
      <c r="C35" s="12" t="s">
        <v>83</v>
      </c>
      <c r="D35" s="19" t="s">
        <v>9</v>
      </c>
      <c r="E35" s="19" t="s">
        <v>20</v>
      </c>
      <c r="F35" s="19" t="s">
        <v>20</v>
      </c>
      <c r="G35" s="19">
        <v>18</v>
      </c>
      <c r="H35" s="19">
        <v>67</v>
      </c>
      <c r="I35" s="19">
        <v>68</v>
      </c>
      <c r="J35" s="19">
        <v>45</v>
      </c>
      <c r="K35" s="19">
        <v>59</v>
      </c>
      <c r="L35" s="19">
        <v>51</v>
      </c>
      <c r="M35" s="19">
        <v>45</v>
      </c>
      <c r="N35" s="19">
        <v>2</v>
      </c>
      <c r="O35" s="19">
        <v>34</v>
      </c>
      <c r="P35" s="19">
        <v>61</v>
      </c>
      <c r="Q35" s="18">
        <v>55</v>
      </c>
      <c r="R35" s="12" t="s">
        <v>83</v>
      </c>
      <c r="S35" s="19" t="s">
        <v>9</v>
      </c>
      <c r="T35" s="19" t="s">
        <v>20</v>
      </c>
      <c r="U35" s="19" t="s">
        <v>20</v>
      </c>
      <c r="V35" s="19">
        <v>18</v>
      </c>
      <c r="W35" s="19">
        <v>37</v>
      </c>
      <c r="X35" s="19">
        <v>50</v>
      </c>
      <c r="Y35" s="19">
        <v>32</v>
      </c>
      <c r="Z35" s="19">
        <v>36</v>
      </c>
      <c r="AA35" s="19">
        <v>0</v>
      </c>
      <c r="AB35" s="19">
        <v>85</v>
      </c>
      <c r="AC35" s="19">
        <v>80</v>
      </c>
      <c r="AD35" s="19">
        <v>30</v>
      </c>
      <c r="AE35" s="19">
        <v>67</v>
      </c>
      <c r="AF35" s="19">
        <v>89</v>
      </c>
      <c r="AG35" s="19">
        <v>87</v>
      </c>
      <c r="AH35" s="19">
        <v>61</v>
      </c>
      <c r="AI35" s="6">
        <f t="shared" si="1"/>
        <v>3.8382692000000005</v>
      </c>
      <c r="AJ35" s="6">
        <f t="shared" si="2"/>
        <v>0.48799999999999999</v>
      </c>
      <c r="AK35" s="6">
        <f t="shared" si="3"/>
        <v>1.1448260000000001</v>
      </c>
      <c r="AL35" s="6">
        <f t="shared" si="4"/>
        <v>0.84</v>
      </c>
      <c r="AM35" s="6">
        <f t="shared" si="5"/>
        <v>0.42645100000000014</v>
      </c>
    </row>
    <row r="36" spans="1:39" ht="15" thickBot="1" x14ac:dyDescent="0.35">
      <c r="A36" s="6">
        <f t="shared" si="0"/>
        <v>50.551895610134586</v>
      </c>
      <c r="B36" s="18">
        <v>31</v>
      </c>
      <c r="C36" s="12" t="s">
        <v>59</v>
      </c>
      <c r="D36" s="19" t="s">
        <v>3</v>
      </c>
      <c r="E36" s="19" t="s">
        <v>19</v>
      </c>
      <c r="F36" s="19" t="s">
        <v>19</v>
      </c>
      <c r="G36" s="19">
        <v>18</v>
      </c>
      <c r="H36" s="19">
        <v>41</v>
      </c>
      <c r="I36" s="19">
        <v>34</v>
      </c>
      <c r="J36" s="19">
        <v>18</v>
      </c>
      <c r="K36" s="19">
        <v>54</v>
      </c>
      <c r="L36" s="19">
        <v>23</v>
      </c>
      <c r="M36" s="19">
        <v>78</v>
      </c>
      <c r="N36" s="19">
        <v>77</v>
      </c>
      <c r="O36" s="19">
        <v>28</v>
      </c>
      <c r="P36" s="19">
        <v>67</v>
      </c>
      <c r="Q36" s="18">
        <v>31</v>
      </c>
      <c r="R36" s="12" t="s">
        <v>59</v>
      </c>
      <c r="S36" s="19" t="s">
        <v>3</v>
      </c>
      <c r="T36" s="19" t="s">
        <v>19</v>
      </c>
      <c r="U36" s="19" t="s">
        <v>19</v>
      </c>
      <c r="V36" s="19">
        <v>18</v>
      </c>
      <c r="W36" s="19">
        <v>93</v>
      </c>
      <c r="X36" s="19">
        <v>93</v>
      </c>
      <c r="Y36" s="19">
        <v>90</v>
      </c>
      <c r="Z36" s="19">
        <v>96</v>
      </c>
      <c r="AA36" s="19">
        <v>39</v>
      </c>
      <c r="AB36" s="19">
        <v>93</v>
      </c>
      <c r="AC36" s="19">
        <v>60</v>
      </c>
      <c r="AD36" s="19">
        <v>64</v>
      </c>
      <c r="AE36" s="19">
        <v>61</v>
      </c>
      <c r="AF36" s="19">
        <v>59</v>
      </c>
      <c r="AG36" s="19">
        <v>83</v>
      </c>
      <c r="AH36" s="19">
        <v>67</v>
      </c>
      <c r="AI36" s="6">
        <f t="shared" si="1"/>
        <v>1.5575588000000002</v>
      </c>
      <c r="AJ36" s="6">
        <f t="shared" si="2"/>
        <v>0.96200000000000008</v>
      </c>
      <c r="AK36" s="6">
        <f t="shared" si="3"/>
        <v>3.8503800000000012</v>
      </c>
      <c r="AL36" s="6">
        <f t="shared" si="4"/>
        <v>0.8640000000000001</v>
      </c>
      <c r="AM36" s="6">
        <f t="shared" si="5"/>
        <v>0.85948460000000027</v>
      </c>
    </row>
    <row r="37" spans="1:39" ht="15" thickBot="1" x14ac:dyDescent="0.35">
      <c r="A37" s="6">
        <f t="shared" si="0"/>
        <v>48.358580232176443</v>
      </c>
      <c r="B37" s="20">
        <v>190</v>
      </c>
      <c r="C37" s="13" t="s">
        <v>218</v>
      </c>
      <c r="D37" s="21" t="s">
        <v>4</v>
      </c>
      <c r="E37" s="21" t="s">
        <v>20</v>
      </c>
      <c r="F37" s="21" t="s">
        <v>20</v>
      </c>
      <c r="G37" s="21">
        <v>18</v>
      </c>
      <c r="H37" s="21">
        <v>58</v>
      </c>
      <c r="I37" s="21">
        <v>77</v>
      </c>
      <c r="J37" s="21">
        <v>52</v>
      </c>
      <c r="K37" s="21">
        <v>49</v>
      </c>
      <c r="L37" s="21">
        <v>58</v>
      </c>
      <c r="M37" s="21">
        <v>17</v>
      </c>
      <c r="N37" s="21">
        <v>55</v>
      </c>
      <c r="O37" s="21">
        <v>61</v>
      </c>
      <c r="P37" s="21">
        <v>58</v>
      </c>
      <c r="Q37" s="20">
        <v>190</v>
      </c>
      <c r="R37" s="13" t="s">
        <v>218</v>
      </c>
      <c r="S37" s="21" t="s">
        <v>4</v>
      </c>
      <c r="T37" s="21" t="s">
        <v>20</v>
      </c>
      <c r="U37" s="21" t="s">
        <v>20</v>
      </c>
      <c r="V37" s="21">
        <v>18</v>
      </c>
      <c r="W37" s="21">
        <v>42</v>
      </c>
      <c r="X37" s="21">
        <v>29</v>
      </c>
      <c r="Y37" s="21">
        <v>23</v>
      </c>
      <c r="Z37" s="21">
        <v>40</v>
      </c>
      <c r="AA37" s="21">
        <v>9</v>
      </c>
      <c r="AB37" s="21">
        <v>80</v>
      </c>
      <c r="AC37" s="21">
        <v>66</v>
      </c>
      <c r="AD37" s="21">
        <v>28</v>
      </c>
      <c r="AE37" s="21">
        <v>76</v>
      </c>
      <c r="AF37" s="21">
        <v>7</v>
      </c>
      <c r="AG37" s="21">
        <v>100</v>
      </c>
      <c r="AH37" s="21">
        <v>58</v>
      </c>
      <c r="AI37" s="6">
        <f t="shared" si="1"/>
        <v>4.0086512000000019</v>
      </c>
      <c r="AJ37" s="6">
        <f t="shared" si="2"/>
        <v>0.34100000000000003</v>
      </c>
      <c r="AK37" s="6">
        <f t="shared" si="3"/>
        <v>0.8841920000000002</v>
      </c>
      <c r="AL37" s="6">
        <f t="shared" si="4"/>
        <v>0.77200000000000002</v>
      </c>
      <c r="AM37" s="6">
        <f t="shared" si="5"/>
        <v>0.32828220000000014</v>
      </c>
    </row>
    <row r="38" spans="1:39" ht="15" thickBot="1" x14ac:dyDescent="0.35">
      <c r="A38" s="6">
        <f t="shared" si="0"/>
        <v>47.923541735056247</v>
      </c>
      <c r="B38" s="18">
        <v>183</v>
      </c>
      <c r="C38" s="12" t="s">
        <v>211</v>
      </c>
      <c r="D38" s="19" t="s">
        <v>4</v>
      </c>
      <c r="E38" s="19" t="s">
        <v>19</v>
      </c>
      <c r="F38" s="19" t="s">
        <v>19</v>
      </c>
      <c r="G38" s="19">
        <v>18</v>
      </c>
      <c r="H38" s="19">
        <v>57</v>
      </c>
      <c r="I38" s="19">
        <v>65</v>
      </c>
      <c r="J38" s="19">
        <v>41</v>
      </c>
      <c r="K38" s="19">
        <v>50</v>
      </c>
      <c r="L38" s="19">
        <v>59</v>
      </c>
      <c r="M38" s="19">
        <v>62</v>
      </c>
      <c r="N38" s="19">
        <v>24</v>
      </c>
      <c r="O38" s="19">
        <v>15</v>
      </c>
      <c r="P38" s="19">
        <v>60</v>
      </c>
      <c r="Q38" s="18">
        <v>183</v>
      </c>
      <c r="R38" s="12" t="s">
        <v>211</v>
      </c>
      <c r="S38" s="19" t="s">
        <v>4</v>
      </c>
      <c r="T38" s="19" t="s">
        <v>19</v>
      </c>
      <c r="U38" s="19" t="s">
        <v>19</v>
      </c>
      <c r="V38" s="19">
        <v>18</v>
      </c>
      <c r="W38" s="19">
        <v>5</v>
      </c>
      <c r="X38" s="19">
        <v>13</v>
      </c>
      <c r="Y38" s="19">
        <v>57</v>
      </c>
      <c r="Z38" s="19">
        <v>63</v>
      </c>
      <c r="AA38" s="19">
        <v>49</v>
      </c>
      <c r="AB38" s="19">
        <v>77</v>
      </c>
      <c r="AC38" s="19">
        <v>94</v>
      </c>
      <c r="AD38" s="19">
        <v>31</v>
      </c>
      <c r="AE38" s="19">
        <v>77</v>
      </c>
      <c r="AF38" s="19">
        <v>38</v>
      </c>
      <c r="AG38" s="19">
        <v>96</v>
      </c>
      <c r="AH38" s="19">
        <v>60</v>
      </c>
      <c r="AI38" s="6">
        <f t="shared" si="1"/>
        <v>3.5940956000000006</v>
      </c>
      <c r="AJ38" s="6">
        <f t="shared" si="2"/>
        <v>0.68299999999999994</v>
      </c>
      <c r="AK38" s="6">
        <f t="shared" si="3"/>
        <v>1.2069160000000003</v>
      </c>
      <c r="AL38" s="6">
        <f t="shared" si="4"/>
        <v>0.80400000000000005</v>
      </c>
      <c r="AM38" s="6">
        <f t="shared" si="5"/>
        <v>0.39014780000000004</v>
      </c>
    </row>
    <row r="39" spans="1:39" ht="15" thickBot="1" x14ac:dyDescent="0.35">
      <c r="A39" s="6">
        <f t="shared" si="0"/>
        <v>49.433175713987282</v>
      </c>
      <c r="B39" s="20">
        <v>40</v>
      </c>
      <c r="C39" s="13" t="s">
        <v>68</v>
      </c>
      <c r="D39" s="21" t="s">
        <v>8</v>
      </c>
      <c r="E39" s="21" t="s">
        <v>19</v>
      </c>
      <c r="F39" s="21" t="s">
        <v>19</v>
      </c>
      <c r="G39" s="21">
        <v>18</v>
      </c>
      <c r="H39" s="21">
        <v>85</v>
      </c>
      <c r="I39" s="21">
        <v>19</v>
      </c>
      <c r="J39" s="21">
        <v>45</v>
      </c>
      <c r="K39" s="21">
        <v>50</v>
      </c>
      <c r="L39" s="21">
        <v>36</v>
      </c>
      <c r="M39" s="21">
        <v>97</v>
      </c>
      <c r="N39" s="21">
        <v>89</v>
      </c>
      <c r="O39" s="21">
        <v>37</v>
      </c>
      <c r="P39" s="21">
        <v>64</v>
      </c>
      <c r="Q39" s="20">
        <v>40</v>
      </c>
      <c r="R39" s="13" t="s">
        <v>68</v>
      </c>
      <c r="S39" s="21" t="s">
        <v>8</v>
      </c>
      <c r="T39" s="21" t="s">
        <v>19</v>
      </c>
      <c r="U39" s="21" t="s">
        <v>19</v>
      </c>
      <c r="V39" s="21">
        <v>18</v>
      </c>
      <c r="W39" s="21">
        <v>94</v>
      </c>
      <c r="X39" s="21">
        <v>70</v>
      </c>
      <c r="Y39" s="21">
        <v>47</v>
      </c>
      <c r="Z39" s="21">
        <v>65</v>
      </c>
      <c r="AA39" s="21">
        <v>6</v>
      </c>
      <c r="AB39" s="21">
        <v>69</v>
      </c>
      <c r="AC39" s="21">
        <v>85</v>
      </c>
      <c r="AD39" s="21">
        <v>90</v>
      </c>
      <c r="AE39" s="21">
        <v>62</v>
      </c>
      <c r="AF39" s="21">
        <v>27</v>
      </c>
      <c r="AG39" s="21">
        <v>55</v>
      </c>
      <c r="AH39" s="21">
        <v>64</v>
      </c>
      <c r="AI39" s="6">
        <f t="shared" si="1"/>
        <v>2.2533468000000005</v>
      </c>
      <c r="AJ39" s="6">
        <f t="shared" si="2"/>
        <v>1.1850000000000001</v>
      </c>
      <c r="AK39" s="6">
        <f t="shared" si="3"/>
        <v>2.7707360000000008</v>
      </c>
      <c r="AL39" s="6">
        <f t="shared" si="4"/>
        <v>0.72199999999999998</v>
      </c>
      <c r="AM39" s="6">
        <f t="shared" si="5"/>
        <v>1.0730188000000003</v>
      </c>
    </row>
    <row r="40" spans="1:39" ht="15" thickBot="1" x14ac:dyDescent="0.35">
      <c r="A40" s="6">
        <f t="shared" si="0"/>
        <v>46.570726073592162</v>
      </c>
      <c r="B40" s="18">
        <v>85</v>
      </c>
      <c r="C40" s="12" t="s">
        <v>113</v>
      </c>
      <c r="D40" s="19" t="s">
        <v>8</v>
      </c>
      <c r="E40" s="19" t="s">
        <v>19</v>
      </c>
      <c r="F40" s="19" t="s">
        <v>19</v>
      </c>
      <c r="G40" s="19">
        <v>18</v>
      </c>
      <c r="H40" s="19">
        <v>39</v>
      </c>
      <c r="I40" s="19">
        <v>60</v>
      </c>
      <c r="J40" s="19">
        <v>6</v>
      </c>
      <c r="K40" s="19">
        <v>0</v>
      </c>
      <c r="L40" s="19">
        <v>40</v>
      </c>
      <c r="M40" s="19">
        <v>46</v>
      </c>
      <c r="N40" s="19">
        <v>62</v>
      </c>
      <c r="O40" s="19">
        <v>59</v>
      </c>
      <c r="P40" s="19">
        <v>54</v>
      </c>
      <c r="Q40" s="18">
        <v>85</v>
      </c>
      <c r="R40" s="12" t="s">
        <v>113</v>
      </c>
      <c r="S40" s="19" t="s">
        <v>8</v>
      </c>
      <c r="T40" s="19" t="s">
        <v>19</v>
      </c>
      <c r="U40" s="19" t="s">
        <v>19</v>
      </c>
      <c r="V40" s="19">
        <v>18</v>
      </c>
      <c r="W40" s="19">
        <v>70</v>
      </c>
      <c r="X40" s="19">
        <v>63</v>
      </c>
      <c r="Y40" s="19">
        <v>79</v>
      </c>
      <c r="Z40" s="19">
        <v>80</v>
      </c>
      <c r="AA40" s="19">
        <v>10</v>
      </c>
      <c r="AB40" s="19">
        <v>98</v>
      </c>
      <c r="AC40" s="19">
        <v>92</v>
      </c>
      <c r="AD40" s="19">
        <v>8</v>
      </c>
      <c r="AE40" s="19">
        <v>67</v>
      </c>
      <c r="AF40" s="19">
        <v>38</v>
      </c>
      <c r="AG40" s="19">
        <v>66</v>
      </c>
      <c r="AH40" s="19">
        <v>54</v>
      </c>
      <c r="AI40" s="6">
        <f t="shared" si="1"/>
        <v>1.9529724000000006</v>
      </c>
      <c r="AJ40" s="6">
        <f t="shared" si="2"/>
        <v>0.64300000000000002</v>
      </c>
      <c r="AK40" s="6">
        <f t="shared" si="3"/>
        <v>3.0738280000000007</v>
      </c>
      <c r="AL40" s="6">
        <f t="shared" si="4"/>
        <v>0.96800000000000008</v>
      </c>
      <c r="AM40" s="6">
        <f t="shared" si="5"/>
        <v>0.16736780000000001</v>
      </c>
    </row>
    <row r="41" spans="1:39" ht="15" thickBot="1" x14ac:dyDescent="0.35">
      <c r="A41" s="6">
        <f t="shared" si="0"/>
        <v>47.578959831687008</v>
      </c>
      <c r="B41" s="20">
        <v>60</v>
      </c>
      <c r="C41" s="13" t="s">
        <v>88</v>
      </c>
      <c r="D41" s="21" t="s">
        <v>6</v>
      </c>
      <c r="E41" s="21" t="s">
        <v>21</v>
      </c>
      <c r="F41" s="21" t="s">
        <v>19</v>
      </c>
      <c r="G41" s="21">
        <v>18</v>
      </c>
      <c r="H41" s="21">
        <v>46</v>
      </c>
      <c r="I41" s="21">
        <v>88</v>
      </c>
      <c r="J41" s="21">
        <v>42</v>
      </c>
      <c r="K41" s="21">
        <v>27</v>
      </c>
      <c r="L41" s="21">
        <v>41</v>
      </c>
      <c r="M41" s="21">
        <v>58</v>
      </c>
      <c r="N41" s="21">
        <v>25</v>
      </c>
      <c r="O41" s="21">
        <v>47</v>
      </c>
      <c r="P41" s="21">
        <v>60</v>
      </c>
      <c r="Q41" s="20">
        <v>60</v>
      </c>
      <c r="R41" s="13" t="s">
        <v>88</v>
      </c>
      <c r="S41" s="21" t="s">
        <v>6</v>
      </c>
      <c r="T41" s="21" t="s">
        <v>21</v>
      </c>
      <c r="U41" s="21" t="s">
        <v>19</v>
      </c>
      <c r="V41" s="21">
        <v>18</v>
      </c>
      <c r="W41" s="21">
        <v>53</v>
      </c>
      <c r="X41" s="21">
        <v>48</v>
      </c>
      <c r="Y41" s="21">
        <v>41</v>
      </c>
      <c r="Z41" s="21">
        <v>49</v>
      </c>
      <c r="AA41" s="21">
        <v>26</v>
      </c>
      <c r="AB41" s="21">
        <v>86</v>
      </c>
      <c r="AC41" s="21">
        <v>98</v>
      </c>
      <c r="AD41" s="21">
        <v>36</v>
      </c>
      <c r="AE41" s="21">
        <v>46</v>
      </c>
      <c r="AF41" s="21">
        <v>81</v>
      </c>
      <c r="AG41" s="21">
        <v>18</v>
      </c>
      <c r="AH41" s="21">
        <v>60</v>
      </c>
      <c r="AI41" s="6">
        <f t="shared" si="1"/>
        <v>3.1760248000000009</v>
      </c>
      <c r="AJ41" s="6">
        <f t="shared" si="2"/>
        <v>0.67700000000000005</v>
      </c>
      <c r="AK41" s="6">
        <f t="shared" si="3"/>
        <v>1.6492220000000004</v>
      </c>
      <c r="AL41" s="6">
        <f t="shared" si="4"/>
        <v>0.88400000000000001</v>
      </c>
      <c r="AM41" s="6">
        <f t="shared" si="5"/>
        <v>0.37646820000000009</v>
      </c>
    </row>
    <row r="42" spans="1:39" ht="15" thickBot="1" x14ac:dyDescent="0.35">
      <c r="A42" s="6">
        <f t="shared" si="0"/>
        <v>46.580777253872093</v>
      </c>
      <c r="B42" s="20">
        <v>184</v>
      </c>
      <c r="C42" s="13" t="s">
        <v>212</v>
      </c>
      <c r="D42" s="21" t="s">
        <v>4</v>
      </c>
      <c r="E42" s="21" t="s">
        <v>19</v>
      </c>
      <c r="F42" s="21" t="s">
        <v>19</v>
      </c>
      <c r="G42" s="21">
        <v>22</v>
      </c>
      <c r="H42" s="21">
        <v>71</v>
      </c>
      <c r="I42" s="21">
        <v>18</v>
      </c>
      <c r="J42" s="21">
        <v>84</v>
      </c>
      <c r="K42" s="21">
        <v>31</v>
      </c>
      <c r="L42" s="21">
        <v>49</v>
      </c>
      <c r="M42" s="21">
        <v>64</v>
      </c>
      <c r="N42" s="21">
        <v>59</v>
      </c>
      <c r="O42" s="21">
        <v>16</v>
      </c>
      <c r="P42" s="21">
        <v>59</v>
      </c>
      <c r="Q42" s="20">
        <v>184</v>
      </c>
      <c r="R42" s="13" t="s">
        <v>212</v>
      </c>
      <c r="S42" s="21" t="s">
        <v>4</v>
      </c>
      <c r="T42" s="21" t="s">
        <v>19</v>
      </c>
      <c r="U42" s="21" t="s">
        <v>19</v>
      </c>
      <c r="V42" s="21">
        <v>22</v>
      </c>
      <c r="W42" s="21">
        <v>0</v>
      </c>
      <c r="X42" s="21">
        <v>56</v>
      </c>
      <c r="Y42" s="21">
        <v>94</v>
      </c>
      <c r="Z42" s="21">
        <v>93</v>
      </c>
      <c r="AA42" s="21">
        <v>41</v>
      </c>
      <c r="AB42" s="21">
        <v>91</v>
      </c>
      <c r="AC42" s="21">
        <v>35</v>
      </c>
      <c r="AD42" s="21">
        <v>7</v>
      </c>
      <c r="AE42" s="21">
        <v>100</v>
      </c>
      <c r="AF42" s="21">
        <v>7</v>
      </c>
      <c r="AG42" s="21">
        <v>51</v>
      </c>
      <c r="AH42" s="21">
        <v>59</v>
      </c>
      <c r="AI42" s="6">
        <f t="shared" si="1"/>
        <v>2.4811204000000009</v>
      </c>
      <c r="AJ42" s="6">
        <f t="shared" si="2"/>
        <v>0.77399999999999991</v>
      </c>
      <c r="AK42" s="6">
        <f t="shared" si="3"/>
        <v>2.4673060000000007</v>
      </c>
      <c r="AL42" s="6">
        <f t="shared" si="4"/>
        <v>0.79799999999999993</v>
      </c>
      <c r="AM42" s="6">
        <f t="shared" si="5"/>
        <v>0.14531520000000003</v>
      </c>
    </row>
    <row r="43" spans="1:39" ht="15" thickBot="1" x14ac:dyDescent="0.35">
      <c r="A43" s="6">
        <f t="shared" si="0"/>
        <v>44.601916947685687</v>
      </c>
      <c r="B43" s="18">
        <v>91</v>
      </c>
      <c r="C43" s="12" t="s">
        <v>119</v>
      </c>
      <c r="D43" s="19" t="s">
        <v>9</v>
      </c>
      <c r="E43" s="19" t="s">
        <v>20</v>
      </c>
      <c r="F43" s="19" t="s">
        <v>20</v>
      </c>
      <c r="G43" s="19">
        <v>18</v>
      </c>
      <c r="H43" s="19">
        <v>21</v>
      </c>
      <c r="I43" s="19">
        <v>88</v>
      </c>
      <c r="J43" s="19">
        <v>18</v>
      </c>
      <c r="K43" s="19">
        <v>41</v>
      </c>
      <c r="L43" s="19">
        <v>50</v>
      </c>
      <c r="M43" s="19">
        <v>18</v>
      </c>
      <c r="N43" s="19">
        <v>23</v>
      </c>
      <c r="O43" s="19">
        <v>38</v>
      </c>
      <c r="P43" s="19">
        <v>53</v>
      </c>
      <c r="Q43" s="18">
        <v>91</v>
      </c>
      <c r="R43" s="12" t="s">
        <v>119</v>
      </c>
      <c r="S43" s="19" t="s">
        <v>9</v>
      </c>
      <c r="T43" s="19" t="s">
        <v>20</v>
      </c>
      <c r="U43" s="19" t="s">
        <v>20</v>
      </c>
      <c r="V43" s="19">
        <v>18</v>
      </c>
      <c r="W43" s="19">
        <v>47</v>
      </c>
      <c r="X43" s="19">
        <v>42</v>
      </c>
      <c r="Y43" s="19">
        <v>40</v>
      </c>
      <c r="Z43" s="19">
        <v>56</v>
      </c>
      <c r="AA43" s="19">
        <v>29</v>
      </c>
      <c r="AB43" s="19">
        <v>86</v>
      </c>
      <c r="AC43" s="19">
        <v>99</v>
      </c>
      <c r="AD43" s="19">
        <v>3</v>
      </c>
      <c r="AE43" s="19">
        <v>42</v>
      </c>
      <c r="AF43" s="19">
        <v>75</v>
      </c>
      <c r="AG43" s="19">
        <v>67</v>
      </c>
      <c r="AH43" s="19">
        <v>53</v>
      </c>
      <c r="AI43" s="6">
        <f t="shared" si="1"/>
        <v>3.0713164000000011</v>
      </c>
      <c r="AJ43" s="6">
        <f t="shared" si="2"/>
        <v>0.26400000000000001</v>
      </c>
      <c r="AK43" s="6">
        <f t="shared" si="3"/>
        <v>1.5633260000000004</v>
      </c>
      <c r="AL43" s="6">
        <f t="shared" si="4"/>
        <v>0.8859999999999999</v>
      </c>
      <c r="AM43" s="6">
        <f t="shared" si="5"/>
        <v>0.17863680000000004</v>
      </c>
    </row>
    <row r="44" spans="1:39" ht="15" thickBot="1" x14ac:dyDescent="0.35">
      <c r="A44" s="6">
        <f t="shared" si="0"/>
        <v>46.405658181384098</v>
      </c>
      <c r="B44" s="18">
        <v>69</v>
      </c>
      <c r="C44" s="12" t="s">
        <v>97</v>
      </c>
      <c r="D44" s="19" t="s">
        <v>10</v>
      </c>
      <c r="E44" s="19" t="s">
        <v>19</v>
      </c>
      <c r="F44" s="19" t="s">
        <v>19</v>
      </c>
      <c r="G44" s="19">
        <v>18</v>
      </c>
      <c r="H44" s="19">
        <v>27</v>
      </c>
      <c r="I44" s="19">
        <v>45</v>
      </c>
      <c r="J44" s="19">
        <v>33</v>
      </c>
      <c r="K44" s="19">
        <v>65</v>
      </c>
      <c r="L44" s="19">
        <v>43</v>
      </c>
      <c r="M44" s="19">
        <v>75</v>
      </c>
      <c r="N44" s="19">
        <v>92</v>
      </c>
      <c r="O44" s="19">
        <v>21</v>
      </c>
      <c r="P44" s="19">
        <v>58</v>
      </c>
      <c r="Q44" s="18">
        <v>69</v>
      </c>
      <c r="R44" s="12" t="s">
        <v>97</v>
      </c>
      <c r="S44" s="19" t="s">
        <v>10</v>
      </c>
      <c r="T44" s="19" t="s">
        <v>19</v>
      </c>
      <c r="U44" s="19" t="s">
        <v>19</v>
      </c>
      <c r="V44" s="19">
        <v>18</v>
      </c>
      <c r="W44" s="19">
        <v>59</v>
      </c>
      <c r="X44" s="19">
        <v>56</v>
      </c>
      <c r="Y44" s="19">
        <v>68</v>
      </c>
      <c r="Z44" s="19">
        <v>55</v>
      </c>
      <c r="AA44" s="19">
        <v>16</v>
      </c>
      <c r="AB44" s="19">
        <v>77</v>
      </c>
      <c r="AC44" s="19">
        <v>53</v>
      </c>
      <c r="AD44" s="19">
        <v>64</v>
      </c>
      <c r="AE44" s="19">
        <v>34</v>
      </c>
      <c r="AF44" s="19">
        <v>40</v>
      </c>
      <c r="AG44" s="19">
        <v>91</v>
      </c>
      <c r="AH44" s="19">
        <v>58</v>
      </c>
      <c r="AI44" s="6">
        <f t="shared" si="1"/>
        <v>2.3928444000000004</v>
      </c>
      <c r="AJ44" s="6">
        <f t="shared" si="2"/>
        <v>0.95499999999999996</v>
      </c>
      <c r="AK44" s="6">
        <f t="shared" si="3"/>
        <v>2.3417160000000008</v>
      </c>
      <c r="AL44" s="6">
        <f t="shared" si="4"/>
        <v>0.72199999999999998</v>
      </c>
      <c r="AM44" s="6">
        <f t="shared" si="5"/>
        <v>0.79919100000000021</v>
      </c>
    </row>
    <row r="45" spans="1:39" ht="15" thickBot="1" x14ac:dyDescent="0.35">
      <c r="A45" s="6">
        <f t="shared" si="0"/>
        <v>44.629787221343506</v>
      </c>
      <c r="B45" s="18">
        <v>161</v>
      </c>
      <c r="C45" s="12" t="s">
        <v>189</v>
      </c>
      <c r="D45" s="19" t="s">
        <v>8</v>
      </c>
      <c r="E45" s="19" t="s">
        <v>21</v>
      </c>
      <c r="F45" s="19" t="s">
        <v>19</v>
      </c>
      <c r="G45" s="19">
        <v>21</v>
      </c>
      <c r="H45" s="19">
        <v>31</v>
      </c>
      <c r="I45" s="19">
        <v>3</v>
      </c>
      <c r="J45" s="19">
        <v>35</v>
      </c>
      <c r="K45" s="19">
        <v>54</v>
      </c>
      <c r="L45" s="19">
        <v>55</v>
      </c>
      <c r="M45" s="19">
        <v>78</v>
      </c>
      <c r="N45" s="19">
        <v>12</v>
      </c>
      <c r="O45" s="19">
        <v>39</v>
      </c>
      <c r="P45" s="19">
        <v>53</v>
      </c>
      <c r="Q45" s="18">
        <v>161</v>
      </c>
      <c r="R45" s="12" t="s">
        <v>189</v>
      </c>
      <c r="S45" s="19" t="s">
        <v>8</v>
      </c>
      <c r="T45" s="19" t="s">
        <v>21</v>
      </c>
      <c r="U45" s="19" t="s">
        <v>19</v>
      </c>
      <c r="V45" s="19">
        <v>21</v>
      </c>
      <c r="W45" s="19">
        <v>98</v>
      </c>
      <c r="X45" s="19">
        <v>65</v>
      </c>
      <c r="Y45" s="19">
        <v>62</v>
      </c>
      <c r="Z45" s="19">
        <v>62</v>
      </c>
      <c r="AA45" s="19">
        <v>29</v>
      </c>
      <c r="AB45" s="19">
        <v>70</v>
      </c>
      <c r="AC45" s="19">
        <v>71</v>
      </c>
      <c r="AD45" s="19">
        <v>60</v>
      </c>
      <c r="AE45" s="19">
        <v>48</v>
      </c>
      <c r="AF45" s="19">
        <v>62</v>
      </c>
      <c r="AG45" s="19">
        <v>69</v>
      </c>
      <c r="AH45" s="19">
        <v>53</v>
      </c>
      <c r="AI45" s="6">
        <f t="shared" si="1"/>
        <v>1.7994404000000004</v>
      </c>
      <c r="AJ45" s="6">
        <f t="shared" si="2"/>
        <v>0.84300000000000008</v>
      </c>
      <c r="AK45" s="6">
        <f t="shared" si="3"/>
        <v>2.8977940000000006</v>
      </c>
      <c r="AL45" s="6">
        <f t="shared" si="4"/>
        <v>0.70200000000000007</v>
      </c>
      <c r="AM45" s="6">
        <f t="shared" si="5"/>
        <v>0.77001220000000026</v>
      </c>
    </row>
    <row r="46" spans="1:39" ht="15" thickBot="1" x14ac:dyDescent="0.35">
      <c r="A46" s="6">
        <f t="shared" si="0"/>
        <v>45.1574083082157</v>
      </c>
      <c r="B46" s="20">
        <v>66</v>
      </c>
      <c r="C46" s="13" t="s">
        <v>94</v>
      </c>
      <c r="D46" s="21" t="s">
        <v>7</v>
      </c>
      <c r="E46" s="21" t="s">
        <v>19</v>
      </c>
      <c r="F46" s="21" t="s">
        <v>19</v>
      </c>
      <c r="G46" s="21">
        <v>18</v>
      </c>
      <c r="H46" s="21">
        <v>44</v>
      </c>
      <c r="I46" s="21">
        <v>71</v>
      </c>
      <c r="J46" s="21">
        <v>26</v>
      </c>
      <c r="K46" s="21">
        <v>63</v>
      </c>
      <c r="L46" s="21">
        <v>47</v>
      </c>
      <c r="M46" s="21">
        <v>66</v>
      </c>
      <c r="N46" s="21">
        <v>52</v>
      </c>
      <c r="O46" s="21">
        <v>56</v>
      </c>
      <c r="P46" s="21">
        <v>58</v>
      </c>
      <c r="Q46" s="20">
        <v>66</v>
      </c>
      <c r="R46" s="13" t="s">
        <v>94</v>
      </c>
      <c r="S46" s="21" t="s">
        <v>7</v>
      </c>
      <c r="T46" s="21" t="s">
        <v>19</v>
      </c>
      <c r="U46" s="21" t="s">
        <v>19</v>
      </c>
      <c r="V46" s="21">
        <v>18</v>
      </c>
      <c r="W46" s="21">
        <v>10</v>
      </c>
      <c r="X46" s="21">
        <v>26</v>
      </c>
      <c r="Y46" s="21">
        <v>66</v>
      </c>
      <c r="Z46" s="21">
        <v>65</v>
      </c>
      <c r="AA46" s="21">
        <v>60</v>
      </c>
      <c r="AB46" s="21">
        <v>75</v>
      </c>
      <c r="AC46" s="21">
        <v>62</v>
      </c>
      <c r="AD46" s="21">
        <v>28</v>
      </c>
      <c r="AE46" s="21">
        <v>71</v>
      </c>
      <c r="AF46" s="21">
        <v>26</v>
      </c>
      <c r="AG46" s="21">
        <v>90</v>
      </c>
      <c r="AH46" s="21">
        <v>58</v>
      </c>
      <c r="AI46" s="6">
        <f t="shared" si="1"/>
        <v>3.3604800000000008</v>
      </c>
      <c r="AJ46" s="6">
        <f t="shared" si="2"/>
        <v>0.82</v>
      </c>
      <c r="AK46" s="6">
        <f t="shared" si="3"/>
        <v>1.1450726000000002</v>
      </c>
      <c r="AL46" s="6">
        <f t="shared" si="4"/>
        <v>0.72400000000000009</v>
      </c>
      <c r="AM46" s="6">
        <f t="shared" si="5"/>
        <v>0.33015260000000007</v>
      </c>
    </row>
    <row r="47" spans="1:39" ht="15" thickBot="1" x14ac:dyDescent="0.35">
      <c r="A47" s="6">
        <f t="shared" si="0"/>
        <v>44.465297084365389</v>
      </c>
      <c r="B47" s="18">
        <v>39</v>
      </c>
      <c r="C47" s="12" t="s">
        <v>67</v>
      </c>
      <c r="D47" s="19" t="s">
        <v>7</v>
      </c>
      <c r="E47" s="19" t="s">
        <v>19</v>
      </c>
      <c r="F47" s="19" t="s">
        <v>19</v>
      </c>
      <c r="G47" s="19">
        <v>18</v>
      </c>
      <c r="H47" s="19">
        <v>35</v>
      </c>
      <c r="I47" s="19">
        <v>68</v>
      </c>
      <c r="J47" s="19">
        <v>35</v>
      </c>
      <c r="K47" s="19">
        <v>52</v>
      </c>
      <c r="L47" s="19">
        <v>43</v>
      </c>
      <c r="M47" s="19">
        <v>52</v>
      </c>
      <c r="N47" s="19">
        <v>91</v>
      </c>
      <c r="O47" s="19">
        <v>61</v>
      </c>
      <c r="P47" s="19">
        <v>57</v>
      </c>
      <c r="Q47" s="18">
        <v>39</v>
      </c>
      <c r="R47" s="12" t="s">
        <v>67</v>
      </c>
      <c r="S47" s="19" t="s">
        <v>7</v>
      </c>
      <c r="T47" s="19" t="s">
        <v>19</v>
      </c>
      <c r="U47" s="19" t="s">
        <v>19</v>
      </c>
      <c r="V47" s="19">
        <v>18</v>
      </c>
      <c r="W47" s="19">
        <v>20</v>
      </c>
      <c r="X47" s="19">
        <v>44</v>
      </c>
      <c r="Y47" s="19">
        <v>74</v>
      </c>
      <c r="Z47" s="19">
        <v>73</v>
      </c>
      <c r="AA47" s="19">
        <v>89</v>
      </c>
      <c r="AB47" s="19">
        <v>68</v>
      </c>
      <c r="AC47" s="19">
        <v>63</v>
      </c>
      <c r="AD47" s="19">
        <v>28</v>
      </c>
      <c r="AE47" s="19">
        <v>55</v>
      </c>
      <c r="AF47" s="19">
        <v>23</v>
      </c>
      <c r="AG47" s="19">
        <v>83</v>
      </c>
      <c r="AH47" s="19">
        <v>57</v>
      </c>
      <c r="AI47" s="6">
        <f t="shared" si="1"/>
        <v>2.9526044000000007</v>
      </c>
      <c r="AJ47" s="6">
        <f t="shared" si="2"/>
        <v>0.76300000000000001</v>
      </c>
      <c r="AK47" s="6">
        <f t="shared" si="3"/>
        <v>1.6157522000000004</v>
      </c>
      <c r="AL47" s="6">
        <f t="shared" si="4"/>
        <v>0.67</v>
      </c>
      <c r="AM47" s="6">
        <f t="shared" si="5"/>
        <v>0.29847620000000008</v>
      </c>
    </row>
    <row r="48" spans="1:39" ht="15" thickBot="1" x14ac:dyDescent="0.35">
      <c r="A48" s="6">
        <f t="shared" si="0"/>
        <v>42.865443313736598</v>
      </c>
      <c r="B48" s="18">
        <v>57</v>
      </c>
      <c r="C48" s="12" t="s">
        <v>85</v>
      </c>
      <c r="D48" s="19" t="s">
        <v>6</v>
      </c>
      <c r="E48" s="19" t="s">
        <v>19</v>
      </c>
      <c r="F48" s="19" t="s">
        <v>19</v>
      </c>
      <c r="G48" s="19">
        <v>18</v>
      </c>
      <c r="H48" s="19">
        <v>59</v>
      </c>
      <c r="I48" s="19">
        <v>44</v>
      </c>
      <c r="J48" s="19">
        <v>30</v>
      </c>
      <c r="K48" s="19">
        <v>33</v>
      </c>
      <c r="L48" s="19">
        <v>46</v>
      </c>
      <c r="M48" s="19">
        <v>63</v>
      </c>
      <c r="N48" s="19">
        <v>64</v>
      </c>
      <c r="O48" s="19">
        <v>25</v>
      </c>
      <c r="P48" s="19">
        <v>61</v>
      </c>
      <c r="Q48" s="18">
        <v>57</v>
      </c>
      <c r="R48" s="12" t="s">
        <v>85</v>
      </c>
      <c r="S48" s="19" t="s">
        <v>6</v>
      </c>
      <c r="T48" s="19" t="s">
        <v>19</v>
      </c>
      <c r="U48" s="19" t="s">
        <v>19</v>
      </c>
      <c r="V48" s="19">
        <v>18</v>
      </c>
      <c r="W48" s="19">
        <v>53</v>
      </c>
      <c r="X48" s="19">
        <v>62</v>
      </c>
      <c r="Y48" s="19">
        <v>43</v>
      </c>
      <c r="Z48" s="19">
        <v>57</v>
      </c>
      <c r="AA48" s="19">
        <v>13</v>
      </c>
      <c r="AB48" s="19">
        <v>85</v>
      </c>
      <c r="AC48" s="19">
        <v>100</v>
      </c>
      <c r="AD48" s="19">
        <v>50</v>
      </c>
      <c r="AE48" s="19">
        <v>57</v>
      </c>
      <c r="AF48" s="19">
        <v>58</v>
      </c>
      <c r="AG48" s="19">
        <v>94</v>
      </c>
      <c r="AH48" s="19">
        <v>61</v>
      </c>
      <c r="AI48" s="6">
        <f t="shared" si="1"/>
        <v>2.2956900000000005</v>
      </c>
      <c r="AJ48" s="6">
        <f t="shared" si="2"/>
        <v>0.78299999999999992</v>
      </c>
      <c r="AK48" s="6">
        <f t="shared" si="3"/>
        <v>2.0050100000000004</v>
      </c>
      <c r="AL48" s="6">
        <f t="shared" si="4"/>
        <v>0.88</v>
      </c>
      <c r="AM48" s="6">
        <f t="shared" si="5"/>
        <v>0.65330020000000011</v>
      </c>
    </row>
    <row r="49" spans="1:39" ht="15" thickBot="1" x14ac:dyDescent="0.35">
      <c r="A49" s="6">
        <f t="shared" si="0"/>
        <v>42.17689710227102</v>
      </c>
      <c r="B49" s="18">
        <v>73</v>
      </c>
      <c r="C49" s="12" t="s">
        <v>101</v>
      </c>
      <c r="D49" s="19" t="s">
        <v>6</v>
      </c>
      <c r="E49" s="19" t="s">
        <v>20</v>
      </c>
      <c r="F49" s="19" t="s">
        <v>20</v>
      </c>
      <c r="G49" s="19">
        <v>18</v>
      </c>
      <c r="H49" s="19">
        <v>37</v>
      </c>
      <c r="I49" s="19">
        <v>10</v>
      </c>
      <c r="J49" s="19">
        <v>29</v>
      </c>
      <c r="K49" s="19">
        <v>50</v>
      </c>
      <c r="L49" s="19">
        <v>60</v>
      </c>
      <c r="M49" s="19">
        <v>71</v>
      </c>
      <c r="N49" s="19">
        <v>77</v>
      </c>
      <c r="O49" s="19">
        <v>52</v>
      </c>
      <c r="P49" s="19">
        <v>57</v>
      </c>
      <c r="Q49" s="18">
        <v>73</v>
      </c>
      <c r="R49" s="12" t="s">
        <v>101</v>
      </c>
      <c r="S49" s="19" t="s">
        <v>6</v>
      </c>
      <c r="T49" s="19" t="s">
        <v>20</v>
      </c>
      <c r="U49" s="19" t="s">
        <v>20</v>
      </c>
      <c r="V49" s="19">
        <v>18</v>
      </c>
      <c r="W49" s="19">
        <v>66</v>
      </c>
      <c r="X49" s="19">
        <v>62</v>
      </c>
      <c r="Y49" s="19">
        <v>51</v>
      </c>
      <c r="Z49" s="19">
        <v>59</v>
      </c>
      <c r="AA49" s="19">
        <v>11</v>
      </c>
      <c r="AB49" s="19">
        <v>81</v>
      </c>
      <c r="AC49" s="19">
        <v>95</v>
      </c>
      <c r="AD49" s="19">
        <v>70</v>
      </c>
      <c r="AE49" s="19">
        <v>45</v>
      </c>
      <c r="AF49" s="19">
        <v>38</v>
      </c>
      <c r="AG49" s="19">
        <v>55</v>
      </c>
      <c r="AH49" s="19">
        <v>57</v>
      </c>
      <c r="AI49" s="6">
        <f t="shared" si="1"/>
        <v>1.8890276000000004</v>
      </c>
      <c r="AJ49" s="6">
        <f t="shared" si="2"/>
        <v>0.91600000000000004</v>
      </c>
      <c r="AK49" s="6">
        <f t="shared" si="3"/>
        <v>2.3427320000000003</v>
      </c>
      <c r="AL49" s="6">
        <f t="shared" si="4"/>
        <v>0.83799999999999997</v>
      </c>
      <c r="AM49" s="6">
        <f t="shared" si="5"/>
        <v>0.85135360000000004</v>
      </c>
    </row>
    <row r="50" spans="1:39" ht="15" thickBot="1" x14ac:dyDescent="0.35">
      <c r="A50" s="6">
        <f t="shared" si="0"/>
        <v>42.947526336208171</v>
      </c>
      <c r="B50" s="18">
        <v>59</v>
      </c>
      <c r="C50" s="12" t="s">
        <v>87</v>
      </c>
      <c r="D50" s="19" t="s">
        <v>8</v>
      </c>
      <c r="E50" s="19" t="s">
        <v>20</v>
      </c>
      <c r="F50" s="19" t="s">
        <v>19</v>
      </c>
      <c r="G50" s="19">
        <v>18</v>
      </c>
      <c r="H50" s="19">
        <v>46</v>
      </c>
      <c r="I50" s="19">
        <v>37</v>
      </c>
      <c r="J50" s="19">
        <v>20</v>
      </c>
      <c r="K50" s="19">
        <v>29</v>
      </c>
      <c r="L50" s="19">
        <v>35</v>
      </c>
      <c r="M50" s="19">
        <v>79</v>
      </c>
      <c r="N50" s="19">
        <v>63</v>
      </c>
      <c r="O50" s="19">
        <v>18</v>
      </c>
      <c r="P50" s="19">
        <v>60</v>
      </c>
      <c r="Q50" s="18">
        <v>59</v>
      </c>
      <c r="R50" s="12" t="s">
        <v>87</v>
      </c>
      <c r="S50" s="19" t="s">
        <v>8</v>
      </c>
      <c r="T50" s="19" t="s">
        <v>20</v>
      </c>
      <c r="U50" s="19" t="s">
        <v>19</v>
      </c>
      <c r="V50" s="19">
        <v>18</v>
      </c>
      <c r="W50" s="19">
        <v>66</v>
      </c>
      <c r="X50" s="19">
        <v>66</v>
      </c>
      <c r="Y50" s="19">
        <v>75</v>
      </c>
      <c r="Z50" s="19">
        <v>65</v>
      </c>
      <c r="AA50" s="19">
        <v>17</v>
      </c>
      <c r="AB50" s="19">
        <v>95</v>
      </c>
      <c r="AC50" s="19">
        <v>40</v>
      </c>
      <c r="AD50" s="19">
        <v>84</v>
      </c>
      <c r="AE50" s="19">
        <v>50</v>
      </c>
      <c r="AF50" s="19">
        <v>84</v>
      </c>
      <c r="AG50" s="19">
        <v>58</v>
      </c>
      <c r="AH50" s="19">
        <v>60</v>
      </c>
      <c r="AI50" s="6">
        <f t="shared" si="1"/>
        <v>1.5237264000000004</v>
      </c>
      <c r="AJ50" s="6">
        <f t="shared" si="2"/>
        <v>0.93399999999999994</v>
      </c>
      <c r="AK50" s="6">
        <f t="shared" si="3"/>
        <v>2.8256560000000004</v>
      </c>
      <c r="AL50" s="6">
        <f t="shared" si="4"/>
        <v>0.84</v>
      </c>
      <c r="AM50" s="6">
        <f t="shared" si="5"/>
        <v>1.0866688000000004</v>
      </c>
    </row>
    <row r="51" spans="1:39" ht="15" thickBot="1" x14ac:dyDescent="0.35">
      <c r="A51" s="6">
        <f t="shared" si="0"/>
        <v>41.987845653406545</v>
      </c>
      <c r="B51" s="20">
        <v>58</v>
      </c>
      <c r="C51" s="13" t="s">
        <v>86</v>
      </c>
      <c r="D51" s="21" t="s">
        <v>6</v>
      </c>
      <c r="E51" s="21" t="s">
        <v>20</v>
      </c>
      <c r="F51" s="21" t="s">
        <v>20</v>
      </c>
      <c r="G51" s="21">
        <v>18</v>
      </c>
      <c r="H51" s="21">
        <v>63</v>
      </c>
      <c r="I51" s="21">
        <v>46</v>
      </c>
      <c r="J51" s="21">
        <v>40</v>
      </c>
      <c r="K51" s="21">
        <v>30</v>
      </c>
      <c r="L51" s="21">
        <v>40</v>
      </c>
      <c r="M51" s="21">
        <v>79</v>
      </c>
      <c r="N51" s="21">
        <v>89</v>
      </c>
      <c r="O51" s="21">
        <v>51</v>
      </c>
      <c r="P51" s="21">
        <v>61</v>
      </c>
      <c r="Q51" s="20">
        <v>58</v>
      </c>
      <c r="R51" s="13" t="s">
        <v>86</v>
      </c>
      <c r="S51" s="21" t="s">
        <v>6</v>
      </c>
      <c r="T51" s="21" t="s">
        <v>20</v>
      </c>
      <c r="U51" s="21" t="s">
        <v>20</v>
      </c>
      <c r="V51" s="21">
        <v>18</v>
      </c>
      <c r="W51" s="21">
        <v>50</v>
      </c>
      <c r="X51" s="21">
        <v>54</v>
      </c>
      <c r="Y51" s="21">
        <v>45</v>
      </c>
      <c r="Z51" s="21">
        <v>44</v>
      </c>
      <c r="AA51" s="21">
        <v>16</v>
      </c>
      <c r="AB51" s="21">
        <v>75</v>
      </c>
      <c r="AC51" s="21">
        <v>100</v>
      </c>
      <c r="AD51" s="21">
        <v>89</v>
      </c>
      <c r="AE51" s="21">
        <v>42</v>
      </c>
      <c r="AF51" s="21">
        <v>49</v>
      </c>
      <c r="AG51" s="21">
        <v>70</v>
      </c>
      <c r="AH51" s="21">
        <v>61</v>
      </c>
      <c r="AI51" s="6">
        <f t="shared" si="1"/>
        <v>2.3345820000000006</v>
      </c>
      <c r="AJ51" s="6">
        <f t="shared" si="2"/>
        <v>1.0189999999999999</v>
      </c>
      <c r="AK51" s="6">
        <f t="shared" si="3"/>
        <v>1.6777940000000005</v>
      </c>
      <c r="AL51" s="6">
        <f t="shared" si="4"/>
        <v>0.8</v>
      </c>
      <c r="AM51" s="6">
        <f t="shared" si="5"/>
        <v>1.0872046000000002</v>
      </c>
    </row>
    <row r="52" spans="1:39" ht="15" thickBot="1" x14ac:dyDescent="0.35">
      <c r="A52" s="6">
        <f t="shared" si="0"/>
        <v>41.975607448745116</v>
      </c>
      <c r="B52" s="20">
        <v>176</v>
      </c>
      <c r="C52" s="13" t="s">
        <v>204</v>
      </c>
      <c r="D52" s="21" t="s">
        <v>8</v>
      </c>
      <c r="E52" s="21" t="s">
        <v>19</v>
      </c>
      <c r="F52" s="21" t="s">
        <v>19</v>
      </c>
      <c r="G52" s="21">
        <v>21</v>
      </c>
      <c r="H52" s="21">
        <v>36</v>
      </c>
      <c r="I52" s="21">
        <v>12</v>
      </c>
      <c r="J52" s="21">
        <v>60</v>
      </c>
      <c r="K52" s="21">
        <v>16</v>
      </c>
      <c r="L52" s="21">
        <v>40</v>
      </c>
      <c r="M52" s="21">
        <v>42</v>
      </c>
      <c r="N52" s="21">
        <v>52</v>
      </c>
      <c r="O52" s="21">
        <v>62</v>
      </c>
      <c r="P52" s="21">
        <v>44</v>
      </c>
      <c r="Q52" s="20">
        <v>176</v>
      </c>
      <c r="R52" s="13" t="s">
        <v>204</v>
      </c>
      <c r="S52" s="21" t="s">
        <v>8</v>
      </c>
      <c r="T52" s="21" t="s">
        <v>19</v>
      </c>
      <c r="U52" s="21" t="s">
        <v>19</v>
      </c>
      <c r="V52" s="21">
        <v>21</v>
      </c>
      <c r="W52" s="21">
        <v>100</v>
      </c>
      <c r="X52" s="21">
        <v>70</v>
      </c>
      <c r="Y52" s="21">
        <v>98</v>
      </c>
      <c r="Z52" s="21">
        <v>66</v>
      </c>
      <c r="AA52" s="21">
        <v>0</v>
      </c>
      <c r="AB52" s="21">
        <v>54</v>
      </c>
      <c r="AC52" s="21">
        <v>69</v>
      </c>
      <c r="AD52" s="21">
        <v>47</v>
      </c>
      <c r="AE52" s="21">
        <v>57</v>
      </c>
      <c r="AF52" s="21">
        <v>64</v>
      </c>
      <c r="AG52" s="21">
        <v>51</v>
      </c>
      <c r="AH52" s="21">
        <v>44</v>
      </c>
      <c r="AI52" s="6">
        <f t="shared" si="1"/>
        <v>1.2840096000000003</v>
      </c>
      <c r="AJ52" s="6">
        <f t="shared" si="2"/>
        <v>0.58599999999999997</v>
      </c>
      <c r="AK52" s="6">
        <f t="shared" si="3"/>
        <v>3.3904240000000012</v>
      </c>
      <c r="AL52" s="6">
        <f t="shared" si="4"/>
        <v>0.56999999999999995</v>
      </c>
      <c r="AM52" s="6">
        <f t="shared" si="5"/>
        <v>0.56668840000000009</v>
      </c>
    </row>
    <row r="53" spans="1:39" ht="15" thickBot="1" x14ac:dyDescent="0.35">
      <c r="A53" s="6">
        <f t="shared" si="0"/>
        <v>41.172825360350942</v>
      </c>
      <c r="B53" s="20">
        <v>120</v>
      </c>
      <c r="C53" s="13" t="s">
        <v>148</v>
      </c>
      <c r="D53" s="21" t="s">
        <v>9</v>
      </c>
      <c r="E53" s="21" t="s">
        <v>21</v>
      </c>
      <c r="F53" s="21" t="s">
        <v>20</v>
      </c>
      <c r="G53" s="21">
        <v>18</v>
      </c>
      <c r="H53" s="21">
        <v>32</v>
      </c>
      <c r="I53" s="21">
        <v>74</v>
      </c>
      <c r="J53" s="21">
        <v>6</v>
      </c>
      <c r="K53" s="21">
        <v>34</v>
      </c>
      <c r="L53" s="21">
        <v>38</v>
      </c>
      <c r="M53" s="21">
        <v>44</v>
      </c>
      <c r="N53" s="21">
        <v>9</v>
      </c>
      <c r="O53" s="21">
        <v>42</v>
      </c>
      <c r="P53" s="21">
        <v>47</v>
      </c>
      <c r="Q53" s="20">
        <v>120</v>
      </c>
      <c r="R53" s="13" t="s">
        <v>148</v>
      </c>
      <c r="S53" s="21" t="s">
        <v>9</v>
      </c>
      <c r="T53" s="21" t="s">
        <v>21</v>
      </c>
      <c r="U53" s="21" t="s">
        <v>20</v>
      </c>
      <c r="V53" s="21">
        <v>18</v>
      </c>
      <c r="W53" s="21">
        <v>51</v>
      </c>
      <c r="X53" s="21">
        <v>35</v>
      </c>
      <c r="Y53" s="21">
        <v>55</v>
      </c>
      <c r="Z53" s="21">
        <v>62</v>
      </c>
      <c r="AA53" s="21">
        <v>7</v>
      </c>
      <c r="AB53" s="21">
        <v>83</v>
      </c>
      <c r="AC53" s="21">
        <v>60</v>
      </c>
      <c r="AD53" s="21">
        <v>1</v>
      </c>
      <c r="AE53" s="21">
        <v>49</v>
      </c>
      <c r="AF53" s="21">
        <v>65</v>
      </c>
      <c r="AG53" s="21">
        <v>79</v>
      </c>
      <c r="AH53" s="21">
        <v>47</v>
      </c>
      <c r="AI53" s="6">
        <f t="shared" si="1"/>
        <v>2.4666304000000006</v>
      </c>
      <c r="AJ53" s="6">
        <f t="shared" si="2"/>
        <v>0.5</v>
      </c>
      <c r="AK53" s="6">
        <f t="shared" si="3"/>
        <v>1.8356420000000004</v>
      </c>
      <c r="AL53" s="6">
        <f t="shared" si="4"/>
        <v>0.78400000000000003</v>
      </c>
      <c r="AM53" s="6">
        <f t="shared" si="5"/>
        <v>0.19236940000000008</v>
      </c>
    </row>
    <row r="54" spans="1:39" ht="15" thickBot="1" x14ac:dyDescent="0.35">
      <c r="A54" s="6">
        <f t="shared" si="0"/>
        <v>41.347325345429574</v>
      </c>
      <c r="B54" s="18">
        <v>81</v>
      </c>
      <c r="C54" s="12" t="s">
        <v>109</v>
      </c>
      <c r="D54" s="19" t="s">
        <v>3</v>
      </c>
      <c r="E54" s="19" t="s">
        <v>21</v>
      </c>
      <c r="F54" s="19" t="s">
        <v>19</v>
      </c>
      <c r="G54" s="19">
        <v>18</v>
      </c>
      <c r="H54" s="19">
        <v>39</v>
      </c>
      <c r="I54" s="19">
        <v>12</v>
      </c>
      <c r="J54" s="19">
        <v>34</v>
      </c>
      <c r="K54" s="19">
        <v>35</v>
      </c>
      <c r="L54" s="19">
        <v>40</v>
      </c>
      <c r="M54" s="19">
        <v>34</v>
      </c>
      <c r="N54" s="19">
        <v>30</v>
      </c>
      <c r="O54" s="19">
        <v>39</v>
      </c>
      <c r="P54" s="19">
        <v>55</v>
      </c>
      <c r="Q54" s="18">
        <v>81</v>
      </c>
      <c r="R54" s="12" t="s">
        <v>109</v>
      </c>
      <c r="S54" s="19" t="s">
        <v>3</v>
      </c>
      <c r="T54" s="19" t="s">
        <v>21</v>
      </c>
      <c r="U54" s="19" t="s">
        <v>19</v>
      </c>
      <c r="V54" s="19">
        <v>18</v>
      </c>
      <c r="W54" s="19">
        <v>68</v>
      </c>
      <c r="X54" s="19">
        <v>74</v>
      </c>
      <c r="Y54" s="19">
        <v>77</v>
      </c>
      <c r="Z54" s="19">
        <v>81</v>
      </c>
      <c r="AA54" s="19">
        <v>5</v>
      </c>
      <c r="AB54" s="19">
        <v>90</v>
      </c>
      <c r="AC54" s="19">
        <v>92</v>
      </c>
      <c r="AD54" s="19">
        <v>53</v>
      </c>
      <c r="AE54" s="19">
        <v>72</v>
      </c>
      <c r="AF54" s="19">
        <v>53</v>
      </c>
      <c r="AG54" s="19">
        <v>65</v>
      </c>
      <c r="AH54" s="19">
        <v>55</v>
      </c>
      <c r="AI54" s="6">
        <f t="shared" si="1"/>
        <v>1.2562596000000001</v>
      </c>
      <c r="AJ54" s="6">
        <f t="shared" si="2"/>
        <v>0.439</v>
      </c>
      <c r="AK54" s="6">
        <f t="shared" si="3"/>
        <v>3.1835400000000007</v>
      </c>
      <c r="AL54" s="6">
        <f t="shared" si="4"/>
        <v>0.90400000000000003</v>
      </c>
      <c r="AM54" s="6">
        <f t="shared" si="5"/>
        <v>0.68155200000000027</v>
      </c>
    </row>
    <row r="55" spans="1:39" ht="15" thickBot="1" x14ac:dyDescent="0.35">
      <c r="A55" s="6">
        <f t="shared" si="0"/>
        <v>40.916363812707033</v>
      </c>
      <c r="B55" s="20">
        <v>84</v>
      </c>
      <c r="C55" s="13" t="s">
        <v>112</v>
      </c>
      <c r="D55" s="21" t="s">
        <v>8</v>
      </c>
      <c r="E55" s="21" t="s">
        <v>19</v>
      </c>
      <c r="F55" s="21" t="s">
        <v>19</v>
      </c>
      <c r="G55" s="21">
        <v>18</v>
      </c>
      <c r="H55" s="21">
        <v>38</v>
      </c>
      <c r="I55" s="21">
        <v>19</v>
      </c>
      <c r="J55" s="21">
        <v>56</v>
      </c>
      <c r="K55" s="21">
        <v>10</v>
      </c>
      <c r="L55" s="21">
        <v>34</v>
      </c>
      <c r="M55" s="21">
        <v>69</v>
      </c>
      <c r="N55" s="21">
        <v>92</v>
      </c>
      <c r="O55" s="21">
        <v>8</v>
      </c>
      <c r="P55" s="21">
        <v>54</v>
      </c>
      <c r="Q55" s="20">
        <v>84</v>
      </c>
      <c r="R55" s="13" t="s">
        <v>112</v>
      </c>
      <c r="S55" s="21" t="s">
        <v>8</v>
      </c>
      <c r="T55" s="21" t="s">
        <v>19</v>
      </c>
      <c r="U55" s="21" t="s">
        <v>19</v>
      </c>
      <c r="V55" s="21">
        <v>18</v>
      </c>
      <c r="W55" s="21">
        <v>77</v>
      </c>
      <c r="X55" s="21">
        <v>84</v>
      </c>
      <c r="Y55" s="21">
        <v>64</v>
      </c>
      <c r="Z55" s="21">
        <v>73</v>
      </c>
      <c r="AA55" s="21">
        <v>2</v>
      </c>
      <c r="AB55" s="21">
        <v>77</v>
      </c>
      <c r="AC55" s="21">
        <v>72</v>
      </c>
      <c r="AD55" s="21">
        <v>58</v>
      </c>
      <c r="AE55" s="21">
        <v>58</v>
      </c>
      <c r="AF55" s="21">
        <v>0</v>
      </c>
      <c r="AG55" s="21">
        <v>79</v>
      </c>
      <c r="AH55" s="21">
        <v>54</v>
      </c>
      <c r="AI55" s="6">
        <f t="shared" si="1"/>
        <v>1.1867496000000002</v>
      </c>
      <c r="AJ55" s="6">
        <f t="shared" si="2"/>
        <v>0.88200000000000001</v>
      </c>
      <c r="AK55" s="6">
        <f t="shared" si="3"/>
        <v>3.1446040000000006</v>
      </c>
      <c r="AL55" s="6">
        <f t="shared" si="4"/>
        <v>0.76</v>
      </c>
      <c r="AM55" s="6">
        <f t="shared" si="5"/>
        <v>0.70541580000000015</v>
      </c>
    </row>
    <row r="56" spans="1:39" ht="15" thickBot="1" x14ac:dyDescent="0.35">
      <c r="A56" s="6">
        <f t="shared" si="0"/>
        <v>41.209320779492074</v>
      </c>
      <c r="B56" s="18">
        <v>67</v>
      </c>
      <c r="C56" s="12" t="s">
        <v>95</v>
      </c>
      <c r="D56" s="19" t="s">
        <v>9</v>
      </c>
      <c r="E56" s="19" t="s">
        <v>20</v>
      </c>
      <c r="F56" s="19" t="s">
        <v>19</v>
      </c>
      <c r="G56" s="19">
        <v>18</v>
      </c>
      <c r="H56" s="19">
        <v>51</v>
      </c>
      <c r="I56" s="19">
        <v>43</v>
      </c>
      <c r="J56" s="19">
        <v>49</v>
      </c>
      <c r="K56" s="19">
        <v>42</v>
      </c>
      <c r="L56" s="19">
        <v>35</v>
      </c>
      <c r="M56" s="19">
        <v>65</v>
      </c>
      <c r="N56" s="19">
        <v>61</v>
      </c>
      <c r="O56" s="19">
        <v>54</v>
      </c>
      <c r="P56" s="19">
        <v>58</v>
      </c>
      <c r="Q56" s="18">
        <v>67</v>
      </c>
      <c r="R56" s="12" t="s">
        <v>95</v>
      </c>
      <c r="S56" s="19" t="s">
        <v>9</v>
      </c>
      <c r="T56" s="19" t="s">
        <v>20</v>
      </c>
      <c r="U56" s="19" t="s">
        <v>19</v>
      </c>
      <c r="V56" s="19">
        <v>18</v>
      </c>
      <c r="W56" s="19">
        <v>65</v>
      </c>
      <c r="X56" s="19">
        <v>52</v>
      </c>
      <c r="Y56" s="19">
        <v>36</v>
      </c>
      <c r="Z56" s="19">
        <v>49</v>
      </c>
      <c r="AA56" s="19">
        <v>5</v>
      </c>
      <c r="AB56" s="19">
        <v>84</v>
      </c>
      <c r="AC56" s="19">
        <v>77</v>
      </c>
      <c r="AD56" s="19">
        <v>60</v>
      </c>
      <c r="AE56" s="19">
        <v>72</v>
      </c>
      <c r="AF56" s="19">
        <v>20</v>
      </c>
      <c r="AG56" s="19">
        <v>75</v>
      </c>
      <c r="AH56" s="19">
        <v>58</v>
      </c>
      <c r="AI56" s="6">
        <f t="shared" si="1"/>
        <v>2.2548724000000009</v>
      </c>
      <c r="AJ56" s="6">
        <f t="shared" si="2"/>
        <v>0.82600000000000007</v>
      </c>
      <c r="AK56" s="6">
        <f t="shared" si="3"/>
        <v>1.8170440000000005</v>
      </c>
      <c r="AL56" s="6">
        <f t="shared" si="4"/>
        <v>0.82600000000000007</v>
      </c>
      <c r="AM56" s="6">
        <f t="shared" si="5"/>
        <v>0.75699340000000026</v>
      </c>
    </row>
    <row r="57" spans="1:39" ht="15" thickBot="1" x14ac:dyDescent="0.35">
      <c r="A57" s="6">
        <f t="shared" si="0"/>
        <v>38.179837655555211</v>
      </c>
      <c r="B57" s="18">
        <v>71</v>
      </c>
      <c r="C57" s="12" t="s">
        <v>99</v>
      </c>
      <c r="D57" s="19" t="s">
        <v>6</v>
      </c>
      <c r="E57" s="19" t="s">
        <v>19</v>
      </c>
      <c r="F57" s="19" t="s">
        <v>19</v>
      </c>
      <c r="G57" s="19">
        <v>18</v>
      </c>
      <c r="H57" s="19">
        <v>42</v>
      </c>
      <c r="I57" s="19">
        <v>33</v>
      </c>
      <c r="J57" s="19">
        <v>26</v>
      </c>
      <c r="K57" s="19">
        <v>28</v>
      </c>
      <c r="L57" s="19">
        <v>53</v>
      </c>
      <c r="M57" s="19">
        <v>73</v>
      </c>
      <c r="N57" s="19">
        <v>61</v>
      </c>
      <c r="O57" s="19">
        <v>21</v>
      </c>
      <c r="P57" s="19">
        <v>57</v>
      </c>
      <c r="Q57" s="18">
        <v>71</v>
      </c>
      <c r="R57" s="12" t="s">
        <v>99</v>
      </c>
      <c r="S57" s="19" t="s">
        <v>6</v>
      </c>
      <c r="T57" s="19" t="s">
        <v>19</v>
      </c>
      <c r="U57" s="19" t="s">
        <v>19</v>
      </c>
      <c r="V57" s="19">
        <v>18</v>
      </c>
      <c r="W57" s="19">
        <v>61</v>
      </c>
      <c r="X57" s="19">
        <v>57</v>
      </c>
      <c r="Y57" s="19">
        <v>42</v>
      </c>
      <c r="Z57" s="19">
        <v>50</v>
      </c>
      <c r="AA57" s="19">
        <v>3</v>
      </c>
      <c r="AB57" s="19">
        <v>93</v>
      </c>
      <c r="AC57" s="19">
        <v>86</v>
      </c>
      <c r="AD57" s="19">
        <v>57</v>
      </c>
      <c r="AE57" s="19">
        <v>59</v>
      </c>
      <c r="AF57" s="19">
        <v>25</v>
      </c>
      <c r="AG57" s="19">
        <v>74</v>
      </c>
      <c r="AH57" s="19">
        <v>57</v>
      </c>
      <c r="AI57" s="6">
        <f t="shared" si="1"/>
        <v>1.8055032000000004</v>
      </c>
      <c r="AJ57" s="6">
        <f t="shared" si="2"/>
        <v>0.873</v>
      </c>
      <c r="AK57" s="6">
        <f t="shared" si="3"/>
        <v>1.9313560000000003</v>
      </c>
      <c r="AL57" s="6">
        <f t="shared" si="4"/>
        <v>0.91600000000000004</v>
      </c>
      <c r="AM57" s="6">
        <f t="shared" si="5"/>
        <v>0.6977924000000002</v>
      </c>
    </row>
    <row r="58" spans="1:39" ht="15" thickBot="1" x14ac:dyDescent="0.35">
      <c r="A58" s="6">
        <f t="shared" si="0"/>
        <v>40.605121609119934</v>
      </c>
      <c r="B58" s="20">
        <v>90</v>
      </c>
      <c r="C58" s="13" t="s">
        <v>118</v>
      </c>
      <c r="D58" s="21" t="s">
        <v>5</v>
      </c>
      <c r="E58" s="21" t="s">
        <v>19</v>
      </c>
      <c r="F58" s="21" t="s">
        <v>19</v>
      </c>
      <c r="G58" s="21">
        <v>18</v>
      </c>
      <c r="H58" s="21">
        <v>60</v>
      </c>
      <c r="I58" s="21">
        <v>37</v>
      </c>
      <c r="J58" s="21">
        <v>24</v>
      </c>
      <c r="K58" s="21">
        <v>29</v>
      </c>
      <c r="L58" s="21">
        <v>18</v>
      </c>
      <c r="M58" s="21">
        <v>82</v>
      </c>
      <c r="N58" s="21">
        <v>38</v>
      </c>
      <c r="O58" s="21">
        <v>30</v>
      </c>
      <c r="P58" s="21">
        <v>53</v>
      </c>
      <c r="Q58" s="20">
        <v>90</v>
      </c>
      <c r="R58" s="13" t="s">
        <v>118</v>
      </c>
      <c r="S58" s="21" t="s">
        <v>5</v>
      </c>
      <c r="T58" s="21" t="s">
        <v>19</v>
      </c>
      <c r="U58" s="21" t="s">
        <v>19</v>
      </c>
      <c r="V58" s="21">
        <v>18</v>
      </c>
      <c r="W58" s="21">
        <v>63</v>
      </c>
      <c r="X58" s="21">
        <v>59</v>
      </c>
      <c r="Y58" s="21">
        <v>69</v>
      </c>
      <c r="Z58" s="21">
        <v>79</v>
      </c>
      <c r="AA58" s="21">
        <v>12</v>
      </c>
      <c r="AB58" s="21">
        <v>87</v>
      </c>
      <c r="AC58" s="21">
        <v>33</v>
      </c>
      <c r="AD58" s="21">
        <v>42</v>
      </c>
      <c r="AE58" s="21">
        <v>56</v>
      </c>
      <c r="AF58" s="21">
        <v>62</v>
      </c>
      <c r="AG58" s="21">
        <v>72</v>
      </c>
      <c r="AH58" s="21">
        <v>53</v>
      </c>
      <c r="AI58" s="6">
        <f t="shared" si="1"/>
        <v>1.4752416000000004</v>
      </c>
      <c r="AJ58" s="6">
        <f t="shared" si="2"/>
        <v>0.92599999999999993</v>
      </c>
      <c r="AK58" s="6">
        <f t="shared" si="3"/>
        <v>2.7836920000000012</v>
      </c>
      <c r="AL58" s="6">
        <f t="shared" si="4"/>
        <v>0.76200000000000001</v>
      </c>
      <c r="AM58" s="6">
        <f t="shared" si="5"/>
        <v>0.52001360000000019</v>
      </c>
    </row>
    <row r="59" spans="1:39" ht="15" thickBot="1" x14ac:dyDescent="0.35">
      <c r="A59" s="6">
        <f t="shared" si="0"/>
        <v>37.905743979229456</v>
      </c>
      <c r="B59" s="20">
        <v>78</v>
      </c>
      <c r="C59" s="13" t="s">
        <v>106</v>
      </c>
      <c r="D59" s="21" t="s">
        <v>6</v>
      </c>
      <c r="E59" s="21" t="s">
        <v>19</v>
      </c>
      <c r="F59" s="21" t="s">
        <v>19</v>
      </c>
      <c r="G59" s="21">
        <v>18</v>
      </c>
      <c r="H59" s="21">
        <v>28</v>
      </c>
      <c r="I59" s="21">
        <v>25</v>
      </c>
      <c r="J59" s="21">
        <v>37</v>
      </c>
      <c r="K59" s="21">
        <v>31</v>
      </c>
      <c r="L59" s="21">
        <v>40</v>
      </c>
      <c r="M59" s="21">
        <v>83</v>
      </c>
      <c r="N59" s="21">
        <v>91</v>
      </c>
      <c r="O59" s="21">
        <v>42</v>
      </c>
      <c r="P59" s="21">
        <v>56</v>
      </c>
      <c r="Q59" s="20">
        <v>78</v>
      </c>
      <c r="R59" s="13" t="s">
        <v>106</v>
      </c>
      <c r="S59" s="21" t="s">
        <v>6</v>
      </c>
      <c r="T59" s="21" t="s">
        <v>19</v>
      </c>
      <c r="U59" s="21" t="s">
        <v>19</v>
      </c>
      <c r="V59" s="21">
        <v>18</v>
      </c>
      <c r="W59" s="21">
        <v>74</v>
      </c>
      <c r="X59" s="21">
        <v>77</v>
      </c>
      <c r="Y59" s="21">
        <v>46</v>
      </c>
      <c r="Z59" s="21">
        <v>50</v>
      </c>
      <c r="AA59" s="21">
        <v>14</v>
      </c>
      <c r="AB59" s="21">
        <v>82</v>
      </c>
      <c r="AC59" s="21">
        <v>71</v>
      </c>
      <c r="AD59" s="21">
        <v>86</v>
      </c>
      <c r="AE59" s="21">
        <v>45</v>
      </c>
      <c r="AF59" s="21">
        <v>54</v>
      </c>
      <c r="AG59" s="21">
        <v>56</v>
      </c>
      <c r="AH59" s="21">
        <v>56</v>
      </c>
      <c r="AI59" s="6">
        <f t="shared" si="1"/>
        <v>1.2873408000000004</v>
      </c>
      <c r="AJ59" s="6">
        <f t="shared" si="2"/>
        <v>1.054</v>
      </c>
      <c r="AK59" s="6">
        <f t="shared" si="3"/>
        <v>2.4398340000000003</v>
      </c>
      <c r="AL59" s="6">
        <f t="shared" si="4"/>
        <v>0.79800000000000015</v>
      </c>
      <c r="AM59" s="6">
        <f t="shared" si="5"/>
        <v>1.0550810000000006</v>
      </c>
    </row>
    <row r="60" spans="1:39" ht="15" thickBot="1" x14ac:dyDescent="0.35">
      <c r="A60" s="6">
        <f t="shared" si="0"/>
        <v>35.481799665761429</v>
      </c>
      <c r="B60" s="18">
        <v>105</v>
      </c>
      <c r="C60" s="12" t="s">
        <v>133</v>
      </c>
      <c r="D60" s="19" t="s">
        <v>6</v>
      </c>
      <c r="E60" s="19" t="s">
        <v>19</v>
      </c>
      <c r="F60" s="19" t="s">
        <v>19</v>
      </c>
      <c r="G60" s="19">
        <v>18</v>
      </c>
      <c r="H60" s="19">
        <v>23</v>
      </c>
      <c r="I60" s="19">
        <v>8</v>
      </c>
      <c r="J60" s="19">
        <v>6</v>
      </c>
      <c r="K60" s="19">
        <v>30</v>
      </c>
      <c r="L60" s="19">
        <v>61</v>
      </c>
      <c r="M60" s="19">
        <v>65</v>
      </c>
      <c r="N60" s="19">
        <v>77</v>
      </c>
      <c r="O60" s="19">
        <v>37</v>
      </c>
      <c r="P60" s="19">
        <v>50</v>
      </c>
      <c r="Q60" s="18">
        <v>105</v>
      </c>
      <c r="R60" s="12" t="s">
        <v>133</v>
      </c>
      <c r="S60" s="19" t="s">
        <v>6</v>
      </c>
      <c r="T60" s="19" t="s">
        <v>19</v>
      </c>
      <c r="U60" s="19" t="s">
        <v>19</v>
      </c>
      <c r="V60" s="19">
        <v>18</v>
      </c>
      <c r="W60" s="19">
        <v>70</v>
      </c>
      <c r="X60" s="19">
        <v>65</v>
      </c>
      <c r="Y60" s="19">
        <v>46</v>
      </c>
      <c r="Z60" s="19">
        <v>48</v>
      </c>
      <c r="AA60" s="19">
        <v>5</v>
      </c>
      <c r="AB60" s="19">
        <v>76</v>
      </c>
      <c r="AC60" s="19">
        <v>88</v>
      </c>
      <c r="AD60" s="19">
        <v>88</v>
      </c>
      <c r="AE60" s="19">
        <v>24</v>
      </c>
      <c r="AF60" s="19">
        <v>1</v>
      </c>
      <c r="AG60" s="19">
        <v>85</v>
      </c>
      <c r="AH60" s="19">
        <v>50</v>
      </c>
      <c r="AI60" s="6">
        <f t="shared" si="1"/>
        <v>1.2798012000000001</v>
      </c>
      <c r="AJ60" s="6">
        <f t="shared" si="2"/>
        <v>0.84100000000000008</v>
      </c>
      <c r="AK60" s="6">
        <f t="shared" si="3"/>
        <v>2.2023940000000004</v>
      </c>
      <c r="AL60" s="6">
        <f t="shared" si="4"/>
        <v>0.78400000000000003</v>
      </c>
      <c r="AM60" s="6">
        <f t="shared" si="5"/>
        <v>1.0313100000000004</v>
      </c>
    </row>
    <row r="61" spans="1:39" ht="15" thickBot="1" x14ac:dyDescent="0.35">
      <c r="A61" s="6">
        <f t="shared" si="0"/>
        <v>37.975464054433132</v>
      </c>
      <c r="B61" s="20">
        <v>196</v>
      </c>
      <c r="C61" s="13" t="s">
        <v>224</v>
      </c>
      <c r="D61" s="21" t="s">
        <v>4</v>
      </c>
      <c r="E61" s="21" t="s">
        <v>19</v>
      </c>
      <c r="F61" s="21" t="s">
        <v>19</v>
      </c>
      <c r="G61" s="21">
        <v>21</v>
      </c>
      <c r="H61" s="21">
        <v>39</v>
      </c>
      <c r="I61" s="21">
        <v>27</v>
      </c>
      <c r="J61" s="21">
        <v>44</v>
      </c>
      <c r="K61" s="21">
        <v>35</v>
      </c>
      <c r="L61" s="21">
        <v>31</v>
      </c>
      <c r="M61" s="21">
        <v>36</v>
      </c>
      <c r="N61" s="21">
        <v>0</v>
      </c>
      <c r="O61" s="21">
        <v>51</v>
      </c>
      <c r="P61" s="21">
        <v>50</v>
      </c>
      <c r="Q61" s="20">
        <v>196</v>
      </c>
      <c r="R61" s="13" t="s">
        <v>224</v>
      </c>
      <c r="S61" s="21" t="s">
        <v>4</v>
      </c>
      <c r="T61" s="21" t="s">
        <v>19</v>
      </c>
      <c r="U61" s="21" t="s">
        <v>19</v>
      </c>
      <c r="V61" s="21">
        <v>21</v>
      </c>
      <c r="W61" s="21">
        <v>24</v>
      </c>
      <c r="X61" s="21">
        <v>78</v>
      </c>
      <c r="Y61" s="21">
        <v>79</v>
      </c>
      <c r="Z61" s="21">
        <v>84</v>
      </c>
      <c r="AA61" s="21">
        <v>0</v>
      </c>
      <c r="AB61" s="21">
        <v>95</v>
      </c>
      <c r="AC61" s="21">
        <v>66</v>
      </c>
      <c r="AD61" s="21">
        <v>15</v>
      </c>
      <c r="AE61" s="21">
        <v>86</v>
      </c>
      <c r="AF61" s="21">
        <v>38</v>
      </c>
      <c r="AG61" s="21">
        <v>68</v>
      </c>
      <c r="AH61" s="21">
        <v>50</v>
      </c>
      <c r="AI61" s="6">
        <f t="shared" si="1"/>
        <v>1.4178524000000003</v>
      </c>
      <c r="AJ61" s="6">
        <f t="shared" si="2"/>
        <v>0.41100000000000003</v>
      </c>
      <c r="AK61" s="6">
        <f t="shared" si="3"/>
        <v>2.6815020000000009</v>
      </c>
      <c r="AL61" s="6">
        <f t="shared" si="4"/>
        <v>0.89200000000000002</v>
      </c>
      <c r="AM61" s="6">
        <f t="shared" si="5"/>
        <v>0.2232060000000001</v>
      </c>
    </row>
    <row r="62" spans="1:39" ht="15" thickBot="1" x14ac:dyDescent="0.35">
      <c r="A62" s="6">
        <f t="shared" si="0"/>
        <v>33.352366976036279</v>
      </c>
      <c r="B62" s="18">
        <v>167</v>
      </c>
      <c r="C62" s="12" t="s">
        <v>195</v>
      </c>
      <c r="D62" s="19" t="s">
        <v>9</v>
      </c>
      <c r="E62" s="19" t="s">
        <v>19</v>
      </c>
      <c r="F62" s="19" t="s">
        <v>19</v>
      </c>
      <c r="G62" s="19">
        <v>21</v>
      </c>
      <c r="H62" s="19">
        <v>21</v>
      </c>
      <c r="I62" s="19">
        <v>27</v>
      </c>
      <c r="J62" s="19">
        <v>25</v>
      </c>
      <c r="K62" s="19">
        <v>7</v>
      </c>
      <c r="L62" s="19">
        <v>62</v>
      </c>
      <c r="M62" s="19">
        <v>43</v>
      </c>
      <c r="N62" s="19">
        <v>21</v>
      </c>
      <c r="O62" s="19">
        <v>21</v>
      </c>
      <c r="P62" s="19">
        <v>51</v>
      </c>
      <c r="Q62" s="18">
        <v>167</v>
      </c>
      <c r="R62" s="12" t="s">
        <v>195</v>
      </c>
      <c r="S62" s="19" t="s">
        <v>9</v>
      </c>
      <c r="T62" s="19" t="s">
        <v>19</v>
      </c>
      <c r="U62" s="19" t="s">
        <v>19</v>
      </c>
      <c r="V62" s="19">
        <v>21</v>
      </c>
      <c r="W62" s="19">
        <v>39</v>
      </c>
      <c r="X62" s="19">
        <v>68</v>
      </c>
      <c r="Y62" s="19">
        <v>65</v>
      </c>
      <c r="Z62" s="19">
        <v>32</v>
      </c>
      <c r="AA62" s="19">
        <v>27</v>
      </c>
      <c r="AB62" s="19">
        <v>98</v>
      </c>
      <c r="AC62" s="19">
        <v>100</v>
      </c>
      <c r="AD62" s="19">
        <v>48</v>
      </c>
      <c r="AE62" s="19">
        <v>69</v>
      </c>
      <c r="AF62" s="19">
        <v>55</v>
      </c>
      <c r="AG62" s="19">
        <v>40</v>
      </c>
      <c r="AH62" s="19">
        <v>51</v>
      </c>
      <c r="AI62" s="6">
        <f t="shared" si="1"/>
        <v>1.4434372000000004</v>
      </c>
      <c r="AJ62" s="6">
        <f t="shared" si="2"/>
        <v>0.49300000000000005</v>
      </c>
      <c r="AK62" s="6">
        <f t="shared" si="3"/>
        <v>1.8553920000000004</v>
      </c>
      <c r="AL62" s="6">
        <f t="shared" si="4"/>
        <v>0.9840000000000001</v>
      </c>
      <c r="AM62" s="6">
        <f t="shared" si="5"/>
        <v>0.56943120000000014</v>
      </c>
    </row>
    <row r="63" spans="1:39" ht="15" thickBot="1" x14ac:dyDescent="0.35">
      <c r="A63" s="6">
        <f t="shared" si="0"/>
        <v>34.693909248261654</v>
      </c>
      <c r="B63" s="20">
        <v>108</v>
      </c>
      <c r="C63" s="13" t="s">
        <v>136</v>
      </c>
      <c r="D63" s="21" t="s">
        <v>6</v>
      </c>
      <c r="E63" s="21" t="s">
        <v>20</v>
      </c>
      <c r="F63" s="21" t="s">
        <v>20</v>
      </c>
      <c r="G63" s="21">
        <v>18</v>
      </c>
      <c r="H63" s="21">
        <v>25</v>
      </c>
      <c r="I63" s="21">
        <v>24</v>
      </c>
      <c r="J63" s="21">
        <v>23</v>
      </c>
      <c r="K63" s="21">
        <v>15</v>
      </c>
      <c r="L63" s="21">
        <v>46</v>
      </c>
      <c r="M63" s="21">
        <v>72</v>
      </c>
      <c r="N63" s="21">
        <v>89</v>
      </c>
      <c r="O63" s="21">
        <v>53</v>
      </c>
      <c r="P63" s="21">
        <v>49</v>
      </c>
      <c r="Q63" s="20">
        <v>108</v>
      </c>
      <c r="R63" s="13" t="s">
        <v>136</v>
      </c>
      <c r="S63" s="21" t="s">
        <v>6</v>
      </c>
      <c r="T63" s="21" t="s">
        <v>20</v>
      </c>
      <c r="U63" s="21" t="s">
        <v>20</v>
      </c>
      <c r="V63" s="21">
        <v>18</v>
      </c>
      <c r="W63" s="21">
        <v>77</v>
      </c>
      <c r="X63" s="21">
        <v>69</v>
      </c>
      <c r="Y63" s="21">
        <v>43</v>
      </c>
      <c r="Z63" s="21">
        <v>55</v>
      </c>
      <c r="AA63" s="21">
        <v>6</v>
      </c>
      <c r="AB63" s="21">
        <v>80</v>
      </c>
      <c r="AC63" s="21">
        <v>58</v>
      </c>
      <c r="AD63" s="21">
        <v>65</v>
      </c>
      <c r="AE63" s="21">
        <v>43</v>
      </c>
      <c r="AF63" s="21">
        <v>89</v>
      </c>
      <c r="AG63" s="21">
        <v>48</v>
      </c>
      <c r="AH63" s="21">
        <v>49</v>
      </c>
      <c r="AI63" s="6">
        <f t="shared" si="1"/>
        <v>1.0639676000000002</v>
      </c>
      <c r="AJ63" s="6">
        <f t="shared" si="2"/>
        <v>0.95099999999999996</v>
      </c>
      <c r="AK63" s="6">
        <f t="shared" si="3"/>
        <v>2.4062320000000006</v>
      </c>
      <c r="AL63" s="6">
        <f t="shared" si="4"/>
        <v>0.75599999999999989</v>
      </c>
      <c r="AM63" s="6">
        <f t="shared" si="5"/>
        <v>0.83580440000000022</v>
      </c>
    </row>
    <row r="64" spans="1:39" ht="15" thickBot="1" x14ac:dyDescent="0.35">
      <c r="A64" s="6">
        <f t="shared" si="0"/>
        <v>37.201614790056396</v>
      </c>
      <c r="B64" s="18">
        <v>191</v>
      </c>
      <c r="C64" s="12" t="s">
        <v>219</v>
      </c>
      <c r="D64" s="19" t="s">
        <v>4</v>
      </c>
      <c r="E64" s="19" t="s">
        <v>20</v>
      </c>
      <c r="F64" s="19" t="s">
        <v>20</v>
      </c>
      <c r="G64" s="19">
        <v>18</v>
      </c>
      <c r="H64" s="19">
        <v>51</v>
      </c>
      <c r="I64" s="19">
        <v>55</v>
      </c>
      <c r="J64" s="19">
        <v>48</v>
      </c>
      <c r="K64" s="19">
        <v>51</v>
      </c>
      <c r="L64" s="19">
        <v>40</v>
      </c>
      <c r="M64" s="19">
        <v>42</v>
      </c>
      <c r="N64" s="19">
        <v>36</v>
      </c>
      <c r="O64" s="19">
        <v>39</v>
      </c>
      <c r="P64" s="19">
        <v>55</v>
      </c>
      <c r="Q64" s="18">
        <v>191</v>
      </c>
      <c r="R64" s="12" t="s">
        <v>219</v>
      </c>
      <c r="S64" s="19" t="s">
        <v>4</v>
      </c>
      <c r="T64" s="19" t="s">
        <v>20</v>
      </c>
      <c r="U64" s="19" t="s">
        <v>20</v>
      </c>
      <c r="V64" s="19">
        <v>18</v>
      </c>
      <c r="W64" s="19">
        <v>38</v>
      </c>
      <c r="X64" s="19">
        <v>33</v>
      </c>
      <c r="Y64" s="19">
        <v>23</v>
      </c>
      <c r="Z64" s="19">
        <v>25</v>
      </c>
      <c r="AA64" s="19">
        <v>20</v>
      </c>
      <c r="AB64" s="19">
        <v>100</v>
      </c>
      <c r="AC64" s="19">
        <v>74</v>
      </c>
      <c r="AD64" s="19">
        <v>24</v>
      </c>
      <c r="AE64" s="19">
        <v>67</v>
      </c>
      <c r="AF64" s="19">
        <v>25</v>
      </c>
      <c r="AG64" s="19">
        <v>77</v>
      </c>
      <c r="AH64" s="19">
        <v>55</v>
      </c>
      <c r="AI64" s="6">
        <f t="shared" si="1"/>
        <v>2.8635564000000002</v>
      </c>
      <c r="AJ64" s="6">
        <f t="shared" si="2"/>
        <v>0.53100000000000003</v>
      </c>
      <c r="AK64" s="6">
        <f t="shared" si="3"/>
        <v>0.69273800000000008</v>
      </c>
      <c r="AL64" s="6">
        <f t="shared" si="4"/>
        <v>0.94799999999999995</v>
      </c>
      <c r="AM64" s="6">
        <f t="shared" si="5"/>
        <v>0.26957380000000003</v>
      </c>
    </row>
    <row r="65" spans="1:39" ht="15" thickBot="1" x14ac:dyDescent="0.35">
      <c r="A65" s="6">
        <f t="shared" si="0"/>
        <v>34.704095914530427</v>
      </c>
      <c r="B65" s="20">
        <v>188</v>
      </c>
      <c r="C65" s="13" t="s">
        <v>216</v>
      </c>
      <c r="D65" s="21" t="s">
        <v>4</v>
      </c>
      <c r="E65" s="21" t="s">
        <v>21</v>
      </c>
      <c r="F65" s="21" t="s">
        <v>19</v>
      </c>
      <c r="G65" s="21">
        <v>18</v>
      </c>
      <c r="H65" s="21">
        <v>56</v>
      </c>
      <c r="I65" s="21">
        <v>32</v>
      </c>
      <c r="J65" s="21">
        <v>29</v>
      </c>
      <c r="K65" s="21">
        <v>39</v>
      </c>
      <c r="L65" s="21">
        <v>54</v>
      </c>
      <c r="M65" s="21">
        <v>40</v>
      </c>
      <c r="N65" s="21">
        <v>37</v>
      </c>
      <c r="O65" s="21">
        <v>56</v>
      </c>
      <c r="P65" s="21">
        <v>53</v>
      </c>
      <c r="Q65" s="20">
        <v>188</v>
      </c>
      <c r="R65" s="13" t="s">
        <v>216</v>
      </c>
      <c r="S65" s="21" t="s">
        <v>4</v>
      </c>
      <c r="T65" s="21" t="s">
        <v>21</v>
      </c>
      <c r="U65" s="21" t="s">
        <v>19</v>
      </c>
      <c r="V65" s="21">
        <v>18</v>
      </c>
      <c r="W65" s="21">
        <v>0</v>
      </c>
      <c r="X65" s="21">
        <v>24</v>
      </c>
      <c r="Y65" s="21">
        <v>58</v>
      </c>
      <c r="Z65" s="21">
        <v>67</v>
      </c>
      <c r="AA65" s="21">
        <v>71</v>
      </c>
      <c r="AB65" s="21">
        <v>79</v>
      </c>
      <c r="AC65" s="21">
        <v>100</v>
      </c>
      <c r="AD65" s="21">
        <v>25</v>
      </c>
      <c r="AE65" s="21">
        <v>57</v>
      </c>
      <c r="AF65" s="21">
        <v>27</v>
      </c>
      <c r="AG65" s="21">
        <v>84</v>
      </c>
      <c r="AH65" s="21">
        <v>53</v>
      </c>
      <c r="AI65" s="6">
        <f t="shared" si="1"/>
        <v>2.2032152000000007</v>
      </c>
      <c r="AJ65" s="6">
        <f t="shared" si="2"/>
        <v>0.53</v>
      </c>
      <c r="AK65" s="6">
        <f t="shared" si="3"/>
        <v>1.2402166000000003</v>
      </c>
      <c r="AL65" s="6">
        <f t="shared" si="4"/>
        <v>0.83200000000000007</v>
      </c>
      <c r="AM65" s="6">
        <f t="shared" si="5"/>
        <v>0.27454200000000006</v>
      </c>
    </row>
    <row r="66" spans="1:39" ht="15" thickBot="1" x14ac:dyDescent="0.35">
      <c r="A66" s="6">
        <f t="shared" si="0"/>
        <v>36.152817004386876</v>
      </c>
      <c r="B66" s="20">
        <v>80</v>
      </c>
      <c r="C66" s="13" t="s">
        <v>108</v>
      </c>
      <c r="D66" s="21" t="s">
        <v>7</v>
      </c>
      <c r="E66" s="21" t="s">
        <v>21</v>
      </c>
      <c r="F66" s="21" t="s">
        <v>19</v>
      </c>
      <c r="G66" s="21">
        <v>18</v>
      </c>
      <c r="H66" s="21">
        <v>30</v>
      </c>
      <c r="I66" s="21">
        <v>62</v>
      </c>
      <c r="J66" s="21">
        <v>46</v>
      </c>
      <c r="K66" s="21">
        <v>31</v>
      </c>
      <c r="L66" s="21">
        <v>28</v>
      </c>
      <c r="M66" s="21">
        <v>10</v>
      </c>
      <c r="N66" s="21">
        <v>81</v>
      </c>
      <c r="O66" s="21">
        <v>89</v>
      </c>
      <c r="P66" s="21">
        <v>50</v>
      </c>
      <c r="Q66" s="20">
        <v>80</v>
      </c>
      <c r="R66" s="13" t="s">
        <v>108</v>
      </c>
      <c r="S66" s="21" t="s">
        <v>7</v>
      </c>
      <c r="T66" s="21" t="s">
        <v>21</v>
      </c>
      <c r="U66" s="21" t="s">
        <v>19</v>
      </c>
      <c r="V66" s="21">
        <v>18</v>
      </c>
      <c r="W66" s="21">
        <v>9</v>
      </c>
      <c r="X66" s="21">
        <v>29</v>
      </c>
      <c r="Y66" s="21">
        <v>73</v>
      </c>
      <c r="Z66" s="21">
        <v>76</v>
      </c>
      <c r="AA66" s="21">
        <v>88</v>
      </c>
      <c r="AB66" s="21">
        <v>79</v>
      </c>
      <c r="AC66" s="21">
        <v>71</v>
      </c>
      <c r="AD66" s="21">
        <v>0</v>
      </c>
      <c r="AE66" s="21">
        <v>66</v>
      </c>
      <c r="AF66" s="21">
        <v>43</v>
      </c>
      <c r="AG66" s="21">
        <v>84</v>
      </c>
      <c r="AH66" s="21">
        <v>50</v>
      </c>
      <c r="AI66" s="6">
        <f t="shared" si="1"/>
        <v>2.1826136000000003</v>
      </c>
      <c r="AJ66" s="6">
        <f t="shared" si="2"/>
        <v>0.35100000000000003</v>
      </c>
      <c r="AK66" s="6">
        <f t="shared" si="3"/>
        <v>1.5676478000000005</v>
      </c>
      <c r="AL66" s="6">
        <f t="shared" si="4"/>
        <v>0.77400000000000002</v>
      </c>
      <c r="AM66" s="6">
        <f t="shared" si="5"/>
        <v>0.19188060000000007</v>
      </c>
    </row>
    <row r="67" spans="1:39" ht="15" thickBot="1" x14ac:dyDescent="0.35">
      <c r="A67" s="6">
        <f t="shared" si="0"/>
        <v>35.444357486048517</v>
      </c>
      <c r="B67" s="20">
        <v>128</v>
      </c>
      <c r="C67" s="13" t="s">
        <v>156</v>
      </c>
      <c r="D67" s="21" t="s">
        <v>10</v>
      </c>
      <c r="E67" s="21" t="s">
        <v>19</v>
      </c>
      <c r="F67" s="21" t="s">
        <v>19</v>
      </c>
      <c r="G67" s="21">
        <v>18</v>
      </c>
      <c r="H67" s="21">
        <v>14</v>
      </c>
      <c r="I67" s="21">
        <v>57</v>
      </c>
      <c r="J67" s="21">
        <v>37</v>
      </c>
      <c r="K67" s="21">
        <v>19</v>
      </c>
      <c r="L67" s="21">
        <v>24</v>
      </c>
      <c r="M67" s="21">
        <v>35</v>
      </c>
      <c r="N67" s="21">
        <v>14</v>
      </c>
      <c r="O67" s="21">
        <v>63</v>
      </c>
      <c r="P67" s="21">
        <v>45</v>
      </c>
      <c r="Q67" s="20">
        <v>128</v>
      </c>
      <c r="R67" s="13" t="s">
        <v>156</v>
      </c>
      <c r="S67" s="21" t="s">
        <v>10</v>
      </c>
      <c r="T67" s="21" t="s">
        <v>19</v>
      </c>
      <c r="U67" s="21" t="s">
        <v>19</v>
      </c>
      <c r="V67" s="21">
        <v>18</v>
      </c>
      <c r="W67" s="21">
        <v>55</v>
      </c>
      <c r="X67" s="21">
        <v>49</v>
      </c>
      <c r="Y67" s="21">
        <v>61</v>
      </c>
      <c r="Z67" s="21">
        <v>59</v>
      </c>
      <c r="AA67" s="21">
        <v>8</v>
      </c>
      <c r="AB67" s="21">
        <v>91</v>
      </c>
      <c r="AC67" s="21">
        <v>69</v>
      </c>
      <c r="AD67" s="21">
        <v>20</v>
      </c>
      <c r="AE67" s="21">
        <v>73</v>
      </c>
      <c r="AF67" s="21">
        <v>44</v>
      </c>
      <c r="AG67" s="21">
        <v>64</v>
      </c>
      <c r="AH67" s="21">
        <v>45</v>
      </c>
      <c r="AI67" s="6">
        <f t="shared" si="1"/>
        <v>1.5785968000000004</v>
      </c>
      <c r="AJ67" s="6">
        <f t="shared" si="2"/>
        <v>0.44099999999999995</v>
      </c>
      <c r="AK67" s="6">
        <f t="shared" si="3"/>
        <v>2.1377920000000001</v>
      </c>
      <c r="AL67" s="6">
        <f t="shared" si="4"/>
        <v>0.86599999999999999</v>
      </c>
      <c r="AM67" s="6">
        <f t="shared" si="5"/>
        <v>0.24827300000000008</v>
      </c>
    </row>
    <row r="68" spans="1:39" ht="15" thickBot="1" x14ac:dyDescent="0.35">
      <c r="A68" s="6">
        <f t="shared" si="0"/>
        <v>34.865537765973308</v>
      </c>
      <c r="B68" s="20">
        <v>86</v>
      </c>
      <c r="C68" s="13" t="s">
        <v>114</v>
      </c>
      <c r="D68" s="21" t="s">
        <v>6</v>
      </c>
      <c r="E68" s="21" t="s">
        <v>19</v>
      </c>
      <c r="F68" s="21" t="s">
        <v>19</v>
      </c>
      <c r="G68" s="21">
        <v>18</v>
      </c>
      <c r="H68" s="21">
        <v>50</v>
      </c>
      <c r="I68" s="21">
        <v>0</v>
      </c>
      <c r="J68" s="21">
        <v>13</v>
      </c>
      <c r="K68" s="21">
        <v>39</v>
      </c>
      <c r="L68" s="21">
        <v>27</v>
      </c>
      <c r="M68" s="21">
        <v>69</v>
      </c>
      <c r="N68" s="21">
        <v>83</v>
      </c>
      <c r="O68" s="21">
        <v>30</v>
      </c>
      <c r="P68" s="21">
        <v>54</v>
      </c>
      <c r="Q68" s="20">
        <v>86</v>
      </c>
      <c r="R68" s="13" t="s">
        <v>114</v>
      </c>
      <c r="S68" s="21" t="s">
        <v>6</v>
      </c>
      <c r="T68" s="21" t="s">
        <v>19</v>
      </c>
      <c r="U68" s="21" t="s">
        <v>19</v>
      </c>
      <c r="V68" s="21">
        <v>18</v>
      </c>
      <c r="W68" s="21">
        <v>81</v>
      </c>
      <c r="X68" s="21">
        <v>67</v>
      </c>
      <c r="Y68" s="21">
        <v>45</v>
      </c>
      <c r="Z68" s="21">
        <v>48</v>
      </c>
      <c r="AA68" s="21">
        <v>34</v>
      </c>
      <c r="AB68" s="21">
        <v>85</v>
      </c>
      <c r="AC68" s="21">
        <v>96</v>
      </c>
      <c r="AD68" s="21">
        <v>89</v>
      </c>
      <c r="AE68" s="21">
        <v>76</v>
      </c>
      <c r="AF68" s="21">
        <v>62</v>
      </c>
      <c r="AG68" s="21">
        <v>59</v>
      </c>
      <c r="AH68" s="21">
        <v>54</v>
      </c>
      <c r="AI68" s="6">
        <f t="shared" si="1"/>
        <v>1.0258696000000003</v>
      </c>
      <c r="AJ68" s="6">
        <f t="shared" si="2"/>
        <v>0.8859999999999999</v>
      </c>
      <c r="AK68" s="6">
        <f t="shared" si="3"/>
        <v>2.3473380000000001</v>
      </c>
      <c r="AL68" s="6">
        <f t="shared" si="4"/>
        <v>0.872</v>
      </c>
      <c r="AM68" s="6">
        <f t="shared" si="5"/>
        <v>1.1392074000000003</v>
      </c>
    </row>
    <row r="69" spans="1:39" ht="15" thickBot="1" x14ac:dyDescent="0.35">
      <c r="A69" s="6">
        <f t="shared" si="0"/>
        <v>32.941741323226594</v>
      </c>
      <c r="B69" s="18">
        <v>185</v>
      </c>
      <c r="C69" s="12" t="s">
        <v>213</v>
      </c>
      <c r="D69" s="19" t="s">
        <v>4</v>
      </c>
      <c r="E69" s="19" t="s">
        <v>19</v>
      </c>
      <c r="F69" s="19" t="s">
        <v>19</v>
      </c>
      <c r="G69" s="19">
        <v>18</v>
      </c>
      <c r="H69" s="19">
        <v>33</v>
      </c>
      <c r="I69" s="19">
        <v>45</v>
      </c>
      <c r="J69" s="19">
        <v>33</v>
      </c>
      <c r="K69" s="19">
        <v>37</v>
      </c>
      <c r="L69" s="19">
        <v>55</v>
      </c>
      <c r="M69" s="19">
        <v>37</v>
      </c>
      <c r="N69" s="19">
        <v>31</v>
      </c>
      <c r="O69" s="19">
        <v>49</v>
      </c>
      <c r="P69" s="19">
        <v>46</v>
      </c>
      <c r="Q69" s="18">
        <v>185</v>
      </c>
      <c r="R69" s="12" t="s">
        <v>213</v>
      </c>
      <c r="S69" s="19" t="s">
        <v>4</v>
      </c>
      <c r="T69" s="19" t="s">
        <v>19</v>
      </c>
      <c r="U69" s="19" t="s">
        <v>19</v>
      </c>
      <c r="V69" s="19">
        <v>18</v>
      </c>
      <c r="W69" s="19">
        <v>4</v>
      </c>
      <c r="X69" s="19">
        <v>26</v>
      </c>
      <c r="Y69" s="19">
        <v>59</v>
      </c>
      <c r="Z69" s="19">
        <v>78</v>
      </c>
      <c r="AA69" s="19">
        <v>50</v>
      </c>
      <c r="AB69" s="19">
        <v>61</v>
      </c>
      <c r="AC69" s="19">
        <v>93</v>
      </c>
      <c r="AD69" s="19">
        <v>31</v>
      </c>
      <c r="AE69" s="19">
        <v>63</v>
      </c>
      <c r="AF69" s="19">
        <v>59</v>
      </c>
      <c r="AG69" s="19">
        <v>65</v>
      </c>
      <c r="AH69" s="19">
        <v>46</v>
      </c>
      <c r="AI69" s="6">
        <f t="shared" si="1"/>
        <v>2.2581396000000007</v>
      </c>
      <c r="AJ69" s="6">
        <f t="shared" si="2"/>
        <v>0.48100000000000004</v>
      </c>
      <c r="AK69" s="6">
        <f t="shared" si="3"/>
        <v>1.0000574000000002</v>
      </c>
      <c r="AL69" s="6">
        <f t="shared" si="4"/>
        <v>0.67400000000000004</v>
      </c>
      <c r="AM69" s="6">
        <f t="shared" si="5"/>
        <v>0.37115780000000009</v>
      </c>
    </row>
    <row r="70" spans="1:39" ht="15" thickBot="1" x14ac:dyDescent="0.35">
      <c r="A70" s="6">
        <f t="shared" si="0"/>
        <v>34.905998388492634</v>
      </c>
      <c r="B70" s="20">
        <v>94</v>
      </c>
      <c r="C70" s="13" t="s">
        <v>122</v>
      </c>
      <c r="D70" s="21" t="s">
        <v>6</v>
      </c>
      <c r="E70" s="21" t="s">
        <v>20</v>
      </c>
      <c r="F70" s="21" t="s">
        <v>20</v>
      </c>
      <c r="G70" s="21">
        <v>18</v>
      </c>
      <c r="H70" s="21">
        <v>33</v>
      </c>
      <c r="I70" s="21">
        <v>1</v>
      </c>
      <c r="J70" s="21">
        <v>0</v>
      </c>
      <c r="K70" s="21">
        <v>47</v>
      </c>
      <c r="L70" s="21">
        <v>30</v>
      </c>
      <c r="M70" s="21">
        <v>68</v>
      </c>
      <c r="N70" s="21">
        <v>89</v>
      </c>
      <c r="O70" s="21">
        <v>46</v>
      </c>
      <c r="P70" s="21">
        <v>52</v>
      </c>
      <c r="Q70" s="20">
        <v>94</v>
      </c>
      <c r="R70" s="13" t="s">
        <v>122</v>
      </c>
      <c r="S70" s="21" t="s">
        <v>6</v>
      </c>
      <c r="T70" s="21" t="s">
        <v>20</v>
      </c>
      <c r="U70" s="21" t="s">
        <v>20</v>
      </c>
      <c r="V70" s="21">
        <v>18</v>
      </c>
      <c r="W70" s="21">
        <v>72</v>
      </c>
      <c r="X70" s="21">
        <v>74</v>
      </c>
      <c r="Y70" s="21">
        <v>51</v>
      </c>
      <c r="Z70" s="21">
        <v>50</v>
      </c>
      <c r="AA70" s="21">
        <v>13</v>
      </c>
      <c r="AB70" s="21">
        <v>94</v>
      </c>
      <c r="AC70" s="21">
        <v>89</v>
      </c>
      <c r="AD70" s="21">
        <v>81</v>
      </c>
      <c r="AE70" s="21">
        <v>83</v>
      </c>
      <c r="AF70" s="21">
        <v>0</v>
      </c>
      <c r="AG70" s="21">
        <v>32</v>
      </c>
      <c r="AH70" s="21">
        <v>52</v>
      </c>
      <c r="AI70" s="6">
        <f t="shared" si="1"/>
        <v>0.95798280000000013</v>
      </c>
      <c r="AJ70" s="6">
        <f t="shared" si="2"/>
        <v>0.90399999999999991</v>
      </c>
      <c r="AK70" s="6">
        <f t="shared" si="3"/>
        <v>2.4525740000000003</v>
      </c>
      <c r="AL70" s="6">
        <f t="shared" si="4"/>
        <v>0.93</v>
      </c>
      <c r="AM70" s="6">
        <f t="shared" si="5"/>
        <v>0.97469300000000014</v>
      </c>
    </row>
    <row r="71" spans="1:39" ht="15" thickBot="1" x14ac:dyDescent="0.35">
      <c r="A71" s="6">
        <f t="shared" ref="A71:A134" si="6">(AI71*H$3+AJ71*M$3+AK71*W$3+AL71*AB$3+AM71*AD$3)*100/(AI$5*H$3+AJ$5*M$3+AK$5*W$3+AL$5*AB$3+AM$5*AD$3)</f>
        <v>31.95039064132024</v>
      </c>
      <c r="B71" s="18">
        <v>187</v>
      </c>
      <c r="C71" s="12" t="s">
        <v>215</v>
      </c>
      <c r="D71" s="19" t="s">
        <v>4</v>
      </c>
      <c r="E71" s="19" t="s">
        <v>19</v>
      </c>
      <c r="F71" s="19" t="s">
        <v>19</v>
      </c>
      <c r="G71" s="19">
        <v>18</v>
      </c>
      <c r="H71" s="19">
        <v>47</v>
      </c>
      <c r="I71" s="19">
        <v>35</v>
      </c>
      <c r="J71" s="19">
        <v>50</v>
      </c>
      <c r="K71" s="19">
        <v>17</v>
      </c>
      <c r="L71" s="19">
        <v>58</v>
      </c>
      <c r="M71" s="19">
        <v>51</v>
      </c>
      <c r="N71" s="19">
        <v>0</v>
      </c>
      <c r="O71" s="19">
        <v>6</v>
      </c>
      <c r="P71" s="19">
        <v>51</v>
      </c>
      <c r="Q71" s="18">
        <v>187</v>
      </c>
      <c r="R71" s="12" t="s">
        <v>215</v>
      </c>
      <c r="S71" s="19" t="s">
        <v>4</v>
      </c>
      <c r="T71" s="19" t="s">
        <v>19</v>
      </c>
      <c r="U71" s="19" t="s">
        <v>19</v>
      </c>
      <c r="V71" s="19">
        <v>18</v>
      </c>
      <c r="W71" s="19">
        <v>10</v>
      </c>
      <c r="X71" s="19">
        <v>16</v>
      </c>
      <c r="Y71" s="19">
        <v>49</v>
      </c>
      <c r="Z71" s="19">
        <v>54</v>
      </c>
      <c r="AA71" s="19">
        <v>52</v>
      </c>
      <c r="AB71" s="19">
        <v>79</v>
      </c>
      <c r="AC71" s="19">
        <v>89</v>
      </c>
      <c r="AD71" s="19">
        <v>42</v>
      </c>
      <c r="AE71" s="19">
        <v>83</v>
      </c>
      <c r="AF71" s="19">
        <v>61</v>
      </c>
      <c r="AG71" s="19">
        <v>61</v>
      </c>
      <c r="AH71" s="19">
        <v>51</v>
      </c>
      <c r="AI71" s="6">
        <f t="shared" ref="AI71:AI134" si="7">H$1*((-2*10^-6)*H71^3+0.00032*H71^2-0.0021*H71)+I$1*((-2*10^-6)*I71^3+0.00032*I71^2-0.0021*I71)+J$1*((-2*10^-6)*J71^3+0.00032*J71^2-0.0021*J71)+K$1*((-2*10^-6)*K71^3+0.00032*K71^2-0.0021*K71)+L$1*((-2*10^-6)*L71^3+0.00032*L71^2-0.0021*L71)</f>
        <v>2.1815084000000007</v>
      </c>
      <c r="AJ71" s="6">
        <f t="shared" ref="AJ71:AJ134" si="8">(M$1*M71+N$1*N71+O$1*O71)/100</f>
        <v>0.51600000000000001</v>
      </c>
      <c r="AK71" s="6">
        <f t="shared" ref="AK71:AK134" si="9">IF(AA71&lt;50,W$1*((-2*10^-6)*W71^3+0.00032*W71^2-0.0021*W71)+X$1*((-2*10^-6)*X71^3+0.00032*X71^2-0.0021*X71)+Y$1*((-2*10^-6)*Y71^3+0.00032*Y71^2-0.0021*Y71)+Z$1*((-2*10^-6)*Z71^3+0.00032*Z71^2-0.0021*Z71),X$2*((-2*10^-6)*X71^3+0.00032*X71^2-0.0021*AA71)+Y$2*((-2*10^-6)*Y71^3+0.00032*Y71^2-0.0021*Y71)+Z$2*((-2*10^-6)*Z71^3+0.00032*Z71^2-0.0021*Z71)+ AA$2*((-2*10^-6)*AA71^3+0.00032*AA71^2-0.0021*AA71))</f>
        <v>0.83426820000000024</v>
      </c>
      <c r="AL71" s="6">
        <f t="shared" ref="AL71:AL134" si="10">(AB$1*AB71+AC$1*AC71)/100</f>
        <v>0.81</v>
      </c>
      <c r="AM71" s="6">
        <f t="shared" ref="AM71:AM134" si="11">AD$1*((-2*10^-6)*AD71^3+0.00032*AD71^2-0.0021*AD71)+AE$1*((-2*10^-6)*AE71^3+0.00032*AE71^2-0.0021*AE71)+AF$1*((-2*10^-6)*AF71^3+0.00032*AF71^2-0.0021*AF71)+AG$1*((-2*10^-6)*AG71^3+0.00032*AG71^2-0.0021*AG71)</f>
        <v>0.5384962000000002</v>
      </c>
    </row>
    <row r="72" spans="1:39" ht="15" thickBot="1" x14ac:dyDescent="0.35">
      <c r="A72" s="6">
        <f t="shared" si="6"/>
        <v>31.414101883076182</v>
      </c>
      <c r="B72" s="20">
        <v>98</v>
      </c>
      <c r="C72" s="13" t="s">
        <v>126</v>
      </c>
      <c r="D72" s="21" t="s">
        <v>7</v>
      </c>
      <c r="E72" s="21" t="s">
        <v>20</v>
      </c>
      <c r="F72" s="21" t="s">
        <v>19</v>
      </c>
      <c r="G72" s="21">
        <v>19</v>
      </c>
      <c r="H72" s="21">
        <v>45</v>
      </c>
      <c r="I72" s="21">
        <v>15</v>
      </c>
      <c r="J72" s="21">
        <v>34</v>
      </c>
      <c r="K72" s="21">
        <v>22</v>
      </c>
      <c r="L72" s="21">
        <v>60</v>
      </c>
      <c r="M72" s="21">
        <v>78</v>
      </c>
      <c r="N72" s="21">
        <v>21</v>
      </c>
      <c r="O72" s="21">
        <v>73</v>
      </c>
      <c r="P72" s="21">
        <v>58</v>
      </c>
      <c r="Q72" s="20">
        <v>98</v>
      </c>
      <c r="R72" s="13" t="s">
        <v>126</v>
      </c>
      <c r="S72" s="21" t="s">
        <v>7</v>
      </c>
      <c r="T72" s="21" t="s">
        <v>20</v>
      </c>
      <c r="U72" s="21" t="s">
        <v>19</v>
      </c>
      <c r="V72" s="21">
        <v>19</v>
      </c>
      <c r="W72" s="21">
        <v>72</v>
      </c>
      <c r="X72" s="21">
        <v>60</v>
      </c>
      <c r="Y72" s="21">
        <v>73</v>
      </c>
      <c r="Z72" s="21">
        <v>71</v>
      </c>
      <c r="AA72" s="21">
        <v>52</v>
      </c>
      <c r="AB72" s="21">
        <v>76</v>
      </c>
      <c r="AC72" s="21">
        <v>100</v>
      </c>
      <c r="AD72" s="21">
        <v>65</v>
      </c>
      <c r="AE72" s="21">
        <v>56</v>
      </c>
      <c r="AF72" s="21">
        <v>72</v>
      </c>
      <c r="AG72" s="21">
        <v>25</v>
      </c>
      <c r="AH72" s="21">
        <v>58</v>
      </c>
      <c r="AI72" s="6">
        <f t="shared" si="7"/>
        <v>1.6699404000000002</v>
      </c>
      <c r="AJ72" s="6">
        <f t="shared" si="8"/>
        <v>0.89500000000000002</v>
      </c>
      <c r="AK72" s="6">
        <f t="shared" si="9"/>
        <v>1.2084564000000002</v>
      </c>
      <c r="AL72" s="6">
        <f t="shared" si="10"/>
        <v>0.80800000000000016</v>
      </c>
      <c r="AM72" s="6">
        <f t="shared" si="11"/>
        <v>0.80746220000000013</v>
      </c>
    </row>
    <row r="73" spans="1:39" ht="15" thickBot="1" x14ac:dyDescent="0.35">
      <c r="A73" s="6">
        <f t="shared" si="6"/>
        <v>33.69168835238294</v>
      </c>
      <c r="B73" s="18">
        <v>97</v>
      </c>
      <c r="C73" s="12" t="s">
        <v>125</v>
      </c>
      <c r="D73" s="19" t="s">
        <v>8</v>
      </c>
      <c r="E73" s="19" t="s">
        <v>19</v>
      </c>
      <c r="F73" s="19" t="s">
        <v>19</v>
      </c>
      <c r="G73" s="19">
        <v>18</v>
      </c>
      <c r="H73" s="19">
        <v>51</v>
      </c>
      <c r="I73" s="19">
        <v>5</v>
      </c>
      <c r="J73" s="19">
        <v>0</v>
      </c>
      <c r="K73" s="19">
        <v>28</v>
      </c>
      <c r="L73" s="19">
        <v>27</v>
      </c>
      <c r="M73" s="19">
        <v>71</v>
      </c>
      <c r="N73" s="19">
        <v>72</v>
      </c>
      <c r="O73" s="19">
        <v>42</v>
      </c>
      <c r="P73" s="19">
        <v>51</v>
      </c>
      <c r="Q73" s="18">
        <v>97</v>
      </c>
      <c r="R73" s="12" t="s">
        <v>125</v>
      </c>
      <c r="S73" s="19" t="s">
        <v>8</v>
      </c>
      <c r="T73" s="19" t="s">
        <v>19</v>
      </c>
      <c r="U73" s="19" t="s">
        <v>19</v>
      </c>
      <c r="V73" s="19">
        <v>18</v>
      </c>
      <c r="W73" s="19">
        <v>76</v>
      </c>
      <c r="X73" s="19">
        <v>68</v>
      </c>
      <c r="Y73" s="19">
        <v>48</v>
      </c>
      <c r="Z73" s="19">
        <v>55</v>
      </c>
      <c r="AA73" s="19">
        <v>5</v>
      </c>
      <c r="AB73" s="19">
        <v>85</v>
      </c>
      <c r="AC73" s="19">
        <v>94</v>
      </c>
      <c r="AD73" s="19">
        <v>76</v>
      </c>
      <c r="AE73" s="19">
        <v>75</v>
      </c>
      <c r="AF73" s="19">
        <v>36</v>
      </c>
      <c r="AG73" s="19">
        <v>65</v>
      </c>
      <c r="AH73" s="19">
        <v>51</v>
      </c>
      <c r="AI73" s="6">
        <f t="shared" si="7"/>
        <v>0.85177160000000007</v>
      </c>
      <c r="AJ73" s="6">
        <f t="shared" si="8"/>
        <v>0.89600000000000013</v>
      </c>
      <c r="AK73" s="6">
        <f t="shared" si="9"/>
        <v>2.4538300000000008</v>
      </c>
      <c r="AL73" s="6">
        <f t="shared" si="10"/>
        <v>0.86799999999999999</v>
      </c>
      <c r="AM73" s="6">
        <f t="shared" si="11"/>
        <v>0.9818488000000003</v>
      </c>
    </row>
    <row r="74" spans="1:39" ht="15" thickBot="1" x14ac:dyDescent="0.35">
      <c r="A74" s="6">
        <f t="shared" si="6"/>
        <v>33.26619206780267</v>
      </c>
      <c r="B74" s="20">
        <v>170</v>
      </c>
      <c r="C74" s="13" t="s">
        <v>198</v>
      </c>
      <c r="D74" s="21" t="s">
        <v>10</v>
      </c>
      <c r="E74" s="21" t="s">
        <v>20</v>
      </c>
      <c r="F74" s="21" t="s">
        <v>19</v>
      </c>
      <c r="G74" s="21">
        <v>21</v>
      </c>
      <c r="H74" s="21">
        <v>7</v>
      </c>
      <c r="I74" s="21">
        <v>26</v>
      </c>
      <c r="J74" s="21">
        <v>17</v>
      </c>
      <c r="K74" s="21">
        <v>11</v>
      </c>
      <c r="L74" s="21">
        <v>26</v>
      </c>
      <c r="M74" s="21">
        <v>60</v>
      </c>
      <c r="N74" s="21">
        <v>51</v>
      </c>
      <c r="O74" s="21">
        <v>26</v>
      </c>
      <c r="P74" s="21">
        <v>49</v>
      </c>
      <c r="Q74" s="20">
        <v>170</v>
      </c>
      <c r="R74" s="13" t="s">
        <v>198</v>
      </c>
      <c r="S74" s="21" t="s">
        <v>10</v>
      </c>
      <c r="T74" s="21" t="s">
        <v>20</v>
      </c>
      <c r="U74" s="21" t="s">
        <v>19</v>
      </c>
      <c r="V74" s="21">
        <v>21</v>
      </c>
      <c r="W74" s="21">
        <v>62</v>
      </c>
      <c r="X74" s="21">
        <v>96</v>
      </c>
      <c r="Y74" s="21">
        <v>89</v>
      </c>
      <c r="Z74" s="21">
        <v>52</v>
      </c>
      <c r="AA74" s="21">
        <v>31</v>
      </c>
      <c r="AB74" s="21">
        <v>100</v>
      </c>
      <c r="AC74" s="21">
        <v>100</v>
      </c>
      <c r="AD74" s="21">
        <v>25</v>
      </c>
      <c r="AE74" s="21">
        <v>82</v>
      </c>
      <c r="AF74" s="21">
        <v>45</v>
      </c>
      <c r="AG74" s="21">
        <v>60</v>
      </c>
      <c r="AH74" s="21">
        <v>49</v>
      </c>
      <c r="AI74" s="6">
        <f t="shared" si="7"/>
        <v>0.50905160000000005</v>
      </c>
      <c r="AJ74" s="6">
        <f t="shared" si="8"/>
        <v>0.72799999999999998</v>
      </c>
      <c r="AK74" s="6">
        <f t="shared" si="9"/>
        <v>3.0140180000000005</v>
      </c>
      <c r="AL74" s="6">
        <f t="shared" si="10"/>
        <v>1</v>
      </c>
      <c r="AM74" s="6">
        <f t="shared" si="11"/>
        <v>0.30044940000000009</v>
      </c>
    </row>
    <row r="75" spans="1:39" ht="15" thickBot="1" x14ac:dyDescent="0.35">
      <c r="A75" s="6">
        <f t="shared" si="6"/>
        <v>33.841638962666742</v>
      </c>
      <c r="B75" s="20">
        <v>130</v>
      </c>
      <c r="C75" s="13" t="s">
        <v>158</v>
      </c>
      <c r="D75" s="21" t="s">
        <v>6</v>
      </c>
      <c r="E75" s="21" t="s">
        <v>19</v>
      </c>
      <c r="F75" s="21" t="s">
        <v>19</v>
      </c>
      <c r="G75" s="21">
        <v>18</v>
      </c>
      <c r="H75" s="21">
        <v>11</v>
      </c>
      <c r="I75" s="21">
        <v>53</v>
      </c>
      <c r="J75" s="21">
        <v>30</v>
      </c>
      <c r="K75" s="21">
        <v>28</v>
      </c>
      <c r="L75" s="21">
        <v>27</v>
      </c>
      <c r="M75" s="21">
        <v>29</v>
      </c>
      <c r="N75" s="21">
        <v>15</v>
      </c>
      <c r="O75" s="21">
        <v>55</v>
      </c>
      <c r="P75" s="21">
        <v>45</v>
      </c>
      <c r="Q75" s="20">
        <v>130</v>
      </c>
      <c r="R75" s="13" t="s">
        <v>158</v>
      </c>
      <c r="S75" s="21" t="s">
        <v>6</v>
      </c>
      <c r="T75" s="21" t="s">
        <v>19</v>
      </c>
      <c r="U75" s="21" t="s">
        <v>19</v>
      </c>
      <c r="V75" s="21">
        <v>18</v>
      </c>
      <c r="W75" s="21">
        <v>47</v>
      </c>
      <c r="X75" s="21">
        <v>50</v>
      </c>
      <c r="Y75" s="21">
        <v>55</v>
      </c>
      <c r="Z75" s="21">
        <v>61</v>
      </c>
      <c r="AA75" s="21">
        <v>8</v>
      </c>
      <c r="AB75" s="21">
        <v>86</v>
      </c>
      <c r="AC75" s="21">
        <v>94</v>
      </c>
      <c r="AD75" s="21">
        <v>32</v>
      </c>
      <c r="AE75" s="21">
        <v>34</v>
      </c>
      <c r="AF75" s="21">
        <v>84</v>
      </c>
      <c r="AG75" s="21">
        <v>45</v>
      </c>
      <c r="AH75" s="21">
        <v>45</v>
      </c>
      <c r="AI75" s="6">
        <f t="shared" si="7"/>
        <v>1.5267636000000007</v>
      </c>
      <c r="AJ75" s="6">
        <f t="shared" si="8"/>
        <v>0.375</v>
      </c>
      <c r="AK75" s="6">
        <f t="shared" si="9"/>
        <v>1.9739420000000005</v>
      </c>
      <c r="AL75" s="6">
        <f t="shared" si="10"/>
        <v>0.87599999999999989</v>
      </c>
      <c r="AM75" s="6">
        <f t="shared" si="11"/>
        <v>0.34367140000000013</v>
      </c>
    </row>
    <row r="76" spans="1:39" ht="15" thickBot="1" x14ac:dyDescent="0.35">
      <c r="A76" s="6">
        <f t="shared" si="6"/>
        <v>34.253149601599567</v>
      </c>
      <c r="B76" s="18">
        <v>197</v>
      </c>
      <c r="C76" s="12" t="s">
        <v>225</v>
      </c>
      <c r="D76" s="19" t="s">
        <v>4</v>
      </c>
      <c r="E76" s="19" t="s">
        <v>19</v>
      </c>
      <c r="F76" s="19" t="s">
        <v>19</v>
      </c>
      <c r="G76" s="19">
        <v>19</v>
      </c>
      <c r="H76" s="19">
        <v>26</v>
      </c>
      <c r="I76" s="19">
        <v>21</v>
      </c>
      <c r="J76" s="19">
        <v>43</v>
      </c>
      <c r="K76" s="19">
        <v>49</v>
      </c>
      <c r="L76" s="19">
        <v>39</v>
      </c>
      <c r="M76" s="19">
        <v>71</v>
      </c>
      <c r="N76" s="19">
        <v>67</v>
      </c>
      <c r="O76" s="19">
        <v>35</v>
      </c>
      <c r="P76" s="19">
        <v>46</v>
      </c>
      <c r="Q76" s="18">
        <v>197</v>
      </c>
      <c r="R76" s="12" t="s">
        <v>225</v>
      </c>
      <c r="S76" s="19" t="s">
        <v>4</v>
      </c>
      <c r="T76" s="19" t="s">
        <v>19</v>
      </c>
      <c r="U76" s="19" t="s">
        <v>19</v>
      </c>
      <c r="V76" s="19">
        <v>19</v>
      </c>
      <c r="W76" s="19">
        <v>78</v>
      </c>
      <c r="X76" s="19">
        <v>68</v>
      </c>
      <c r="Y76" s="19">
        <v>24</v>
      </c>
      <c r="Z76" s="19">
        <v>34</v>
      </c>
      <c r="AA76" s="19">
        <v>20</v>
      </c>
      <c r="AB76" s="19">
        <v>70</v>
      </c>
      <c r="AC76" s="19">
        <v>21</v>
      </c>
      <c r="AD76" s="19">
        <v>71</v>
      </c>
      <c r="AE76" s="19">
        <v>54</v>
      </c>
      <c r="AF76" s="19">
        <v>23</v>
      </c>
      <c r="AG76" s="19">
        <v>17</v>
      </c>
      <c r="AH76" s="19">
        <v>46</v>
      </c>
      <c r="AI76" s="6">
        <f t="shared" si="7"/>
        <v>1.5314944000000006</v>
      </c>
      <c r="AJ76" s="6">
        <f t="shared" si="8"/>
        <v>0.879</v>
      </c>
      <c r="AK76" s="6">
        <f t="shared" si="9"/>
        <v>1.8681760000000005</v>
      </c>
      <c r="AL76" s="6">
        <f t="shared" si="10"/>
        <v>0.60199999999999998</v>
      </c>
      <c r="AM76" s="6">
        <f t="shared" si="11"/>
        <v>0.81303720000000024</v>
      </c>
    </row>
    <row r="77" spans="1:39" ht="15" thickBot="1" x14ac:dyDescent="0.35">
      <c r="A77" s="6">
        <f t="shared" si="6"/>
        <v>31.870965859918229</v>
      </c>
      <c r="B77" s="18">
        <v>201</v>
      </c>
      <c r="C77" s="12" t="s">
        <v>229</v>
      </c>
      <c r="D77" s="19" t="s">
        <v>4</v>
      </c>
      <c r="E77" s="19" t="s">
        <v>20</v>
      </c>
      <c r="F77" s="19" t="s">
        <v>20</v>
      </c>
      <c r="G77" s="19">
        <v>18</v>
      </c>
      <c r="H77" s="19">
        <v>8</v>
      </c>
      <c r="I77" s="19">
        <v>46</v>
      </c>
      <c r="J77" s="19">
        <v>19</v>
      </c>
      <c r="K77" s="19">
        <v>27</v>
      </c>
      <c r="L77" s="19">
        <v>47</v>
      </c>
      <c r="M77" s="19">
        <v>62</v>
      </c>
      <c r="N77" s="19">
        <v>12</v>
      </c>
      <c r="O77" s="19">
        <v>0</v>
      </c>
      <c r="P77" s="19">
        <v>42</v>
      </c>
      <c r="Q77" s="18">
        <v>201</v>
      </c>
      <c r="R77" s="12" t="s">
        <v>229</v>
      </c>
      <c r="S77" s="19" t="s">
        <v>4</v>
      </c>
      <c r="T77" s="19" t="s">
        <v>20</v>
      </c>
      <c r="U77" s="19" t="s">
        <v>20</v>
      </c>
      <c r="V77" s="19">
        <v>18</v>
      </c>
      <c r="W77" s="19">
        <v>51</v>
      </c>
      <c r="X77" s="19">
        <v>27</v>
      </c>
      <c r="Y77" s="19">
        <v>51</v>
      </c>
      <c r="Z77" s="19">
        <v>54</v>
      </c>
      <c r="AA77" s="19">
        <v>2</v>
      </c>
      <c r="AB77" s="19">
        <v>79</v>
      </c>
      <c r="AC77" s="19">
        <v>97</v>
      </c>
      <c r="AD77" s="19">
        <v>9</v>
      </c>
      <c r="AE77" s="19">
        <v>62</v>
      </c>
      <c r="AF77" s="19">
        <v>85</v>
      </c>
      <c r="AG77" s="19">
        <v>64</v>
      </c>
      <c r="AH77" s="19">
        <v>42</v>
      </c>
      <c r="AI77" s="6">
        <f t="shared" si="7"/>
        <v>1.6293848000000004</v>
      </c>
      <c r="AJ77" s="6">
        <f t="shared" si="8"/>
        <v>0.64400000000000002</v>
      </c>
      <c r="AK77" s="6">
        <f t="shared" si="9"/>
        <v>1.5618420000000004</v>
      </c>
      <c r="AL77" s="6">
        <f t="shared" si="10"/>
        <v>0.82600000000000007</v>
      </c>
      <c r="AM77" s="6">
        <f t="shared" si="11"/>
        <v>0.22361260000000008</v>
      </c>
    </row>
    <row r="78" spans="1:39" ht="15" thickBot="1" x14ac:dyDescent="0.35">
      <c r="A78" s="6">
        <f t="shared" si="6"/>
        <v>29.978660210689664</v>
      </c>
      <c r="B78" s="20">
        <v>200</v>
      </c>
      <c r="C78" s="13" t="s">
        <v>228</v>
      </c>
      <c r="D78" s="21" t="s">
        <v>4</v>
      </c>
      <c r="E78" s="21" t="s">
        <v>20</v>
      </c>
      <c r="F78" s="21" t="s">
        <v>20</v>
      </c>
      <c r="G78" s="21">
        <v>22</v>
      </c>
      <c r="H78" s="21">
        <v>31</v>
      </c>
      <c r="I78" s="21">
        <v>6</v>
      </c>
      <c r="J78" s="21">
        <v>0</v>
      </c>
      <c r="K78" s="21">
        <v>22</v>
      </c>
      <c r="L78" s="21">
        <v>63</v>
      </c>
      <c r="M78" s="21">
        <v>56</v>
      </c>
      <c r="N78" s="21">
        <v>63</v>
      </c>
      <c r="O78" s="21">
        <v>29</v>
      </c>
      <c r="P78" s="21">
        <v>42</v>
      </c>
      <c r="Q78" s="20">
        <v>200</v>
      </c>
      <c r="R78" s="13" t="s">
        <v>228</v>
      </c>
      <c r="S78" s="21" t="s">
        <v>4</v>
      </c>
      <c r="T78" s="21" t="s">
        <v>20</v>
      </c>
      <c r="U78" s="21" t="s">
        <v>20</v>
      </c>
      <c r="V78" s="21">
        <v>22</v>
      </c>
      <c r="W78" s="21">
        <v>62</v>
      </c>
      <c r="X78" s="21">
        <v>21</v>
      </c>
      <c r="Y78" s="21">
        <v>43</v>
      </c>
      <c r="Z78" s="21">
        <v>60</v>
      </c>
      <c r="AA78" s="21">
        <v>3</v>
      </c>
      <c r="AB78" s="21">
        <v>75</v>
      </c>
      <c r="AC78" s="21">
        <v>100</v>
      </c>
      <c r="AD78" s="21">
        <v>41</v>
      </c>
      <c r="AE78" s="21">
        <v>50</v>
      </c>
      <c r="AF78" s="21">
        <v>38</v>
      </c>
      <c r="AG78" s="21">
        <v>62</v>
      </c>
      <c r="AH78" s="21">
        <v>42</v>
      </c>
      <c r="AI78" s="6">
        <f t="shared" si="7"/>
        <v>1.3049724000000005</v>
      </c>
      <c r="AJ78" s="6">
        <f t="shared" si="8"/>
        <v>0.71499999999999997</v>
      </c>
      <c r="AK78" s="6">
        <f t="shared" si="9"/>
        <v>1.6380880000000007</v>
      </c>
      <c r="AL78" s="6">
        <f t="shared" si="10"/>
        <v>0.8</v>
      </c>
      <c r="AM78" s="6">
        <f t="shared" si="11"/>
        <v>0.44805400000000006</v>
      </c>
    </row>
    <row r="79" spans="1:39" ht="15" thickBot="1" x14ac:dyDescent="0.35">
      <c r="A79" s="6">
        <f t="shared" si="6"/>
        <v>32.997932346533759</v>
      </c>
      <c r="B79" s="18">
        <v>103</v>
      </c>
      <c r="C79" s="12" t="s">
        <v>131</v>
      </c>
      <c r="D79" s="19" t="s">
        <v>9</v>
      </c>
      <c r="E79" s="19" t="s">
        <v>19</v>
      </c>
      <c r="F79" s="19" t="s">
        <v>19</v>
      </c>
      <c r="G79" s="19">
        <v>18</v>
      </c>
      <c r="H79" s="19">
        <v>51</v>
      </c>
      <c r="I79" s="19">
        <v>0</v>
      </c>
      <c r="J79" s="19">
        <v>44</v>
      </c>
      <c r="K79" s="19">
        <v>30</v>
      </c>
      <c r="L79" s="19">
        <v>34</v>
      </c>
      <c r="M79" s="19">
        <v>72</v>
      </c>
      <c r="N79" s="19">
        <v>77</v>
      </c>
      <c r="O79" s="19">
        <v>28</v>
      </c>
      <c r="P79" s="19">
        <v>50</v>
      </c>
      <c r="Q79" s="18">
        <v>103</v>
      </c>
      <c r="R79" s="12" t="s">
        <v>131</v>
      </c>
      <c r="S79" s="19" t="s">
        <v>9</v>
      </c>
      <c r="T79" s="19" t="s">
        <v>19</v>
      </c>
      <c r="U79" s="19" t="s">
        <v>19</v>
      </c>
      <c r="V79" s="19">
        <v>18</v>
      </c>
      <c r="W79" s="19">
        <v>68</v>
      </c>
      <c r="X79" s="19">
        <v>47</v>
      </c>
      <c r="Y79" s="19">
        <v>37</v>
      </c>
      <c r="Z79" s="19">
        <v>53</v>
      </c>
      <c r="AA79" s="19">
        <v>9</v>
      </c>
      <c r="AB79" s="19">
        <v>82</v>
      </c>
      <c r="AC79" s="19">
        <v>73</v>
      </c>
      <c r="AD79" s="19">
        <v>72</v>
      </c>
      <c r="AE79" s="19">
        <v>57</v>
      </c>
      <c r="AF79" s="19">
        <v>48</v>
      </c>
      <c r="AG79" s="19">
        <v>39</v>
      </c>
      <c r="AH79" s="19">
        <v>50</v>
      </c>
      <c r="AI79" s="6">
        <f t="shared" si="7"/>
        <v>1.3023788000000003</v>
      </c>
      <c r="AJ79" s="6">
        <f t="shared" si="8"/>
        <v>0.90200000000000002</v>
      </c>
      <c r="AK79" s="6">
        <f t="shared" si="9"/>
        <v>1.8574500000000003</v>
      </c>
      <c r="AL79" s="6">
        <f t="shared" si="10"/>
        <v>0.80200000000000016</v>
      </c>
      <c r="AM79" s="6">
        <f t="shared" si="11"/>
        <v>0.88629120000000028</v>
      </c>
    </row>
    <row r="80" spans="1:39" ht="15" thickBot="1" x14ac:dyDescent="0.35">
      <c r="A80" s="6">
        <f t="shared" si="6"/>
        <v>32.095201587633163</v>
      </c>
      <c r="B80" s="18">
        <v>189</v>
      </c>
      <c r="C80" s="12" t="s">
        <v>217</v>
      </c>
      <c r="D80" s="19" t="s">
        <v>4</v>
      </c>
      <c r="E80" s="19" t="s">
        <v>19</v>
      </c>
      <c r="F80" s="19" t="s">
        <v>19</v>
      </c>
      <c r="G80" s="19">
        <v>18</v>
      </c>
      <c r="H80" s="19">
        <v>45</v>
      </c>
      <c r="I80" s="19">
        <v>29</v>
      </c>
      <c r="J80" s="19">
        <v>33</v>
      </c>
      <c r="K80" s="19">
        <v>37</v>
      </c>
      <c r="L80" s="19">
        <v>45</v>
      </c>
      <c r="M80" s="19">
        <v>64</v>
      </c>
      <c r="N80" s="19">
        <v>14</v>
      </c>
      <c r="O80" s="19">
        <v>55</v>
      </c>
      <c r="P80" s="19">
        <v>53</v>
      </c>
      <c r="Q80" s="18">
        <v>189</v>
      </c>
      <c r="R80" s="12" t="s">
        <v>217</v>
      </c>
      <c r="S80" s="19" t="s">
        <v>4</v>
      </c>
      <c r="T80" s="19" t="s">
        <v>19</v>
      </c>
      <c r="U80" s="19" t="s">
        <v>19</v>
      </c>
      <c r="V80" s="19">
        <v>18</v>
      </c>
      <c r="W80" s="19">
        <v>3</v>
      </c>
      <c r="X80" s="19">
        <v>29</v>
      </c>
      <c r="Y80" s="19">
        <v>62</v>
      </c>
      <c r="Z80" s="19">
        <v>58</v>
      </c>
      <c r="AA80" s="19">
        <v>80</v>
      </c>
      <c r="AB80" s="19">
        <v>95</v>
      </c>
      <c r="AC80" s="19">
        <v>74</v>
      </c>
      <c r="AD80" s="19">
        <v>21</v>
      </c>
      <c r="AE80" s="19">
        <v>73</v>
      </c>
      <c r="AF80" s="19">
        <v>39</v>
      </c>
      <c r="AG80" s="19">
        <v>85</v>
      </c>
      <c r="AH80" s="19">
        <v>53</v>
      </c>
      <c r="AI80" s="6">
        <f t="shared" si="7"/>
        <v>1.7608676000000001</v>
      </c>
      <c r="AJ80" s="6">
        <f t="shared" si="8"/>
        <v>0.72299999999999998</v>
      </c>
      <c r="AK80" s="6">
        <f t="shared" si="9"/>
        <v>1.3474172000000002</v>
      </c>
      <c r="AL80" s="6">
        <f t="shared" si="10"/>
        <v>0.90799999999999992</v>
      </c>
      <c r="AM80" s="6">
        <f t="shared" si="11"/>
        <v>0.27503580000000011</v>
      </c>
    </row>
    <row r="81" spans="1:39" ht="15" thickBot="1" x14ac:dyDescent="0.35">
      <c r="A81" s="6">
        <f t="shared" si="6"/>
        <v>34.144793040675637</v>
      </c>
      <c r="B81" s="18">
        <v>145</v>
      </c>
      <c r="C81" s="12" t="s">
        <v>173</v>
      </c>
      <c r="D81" s="19" t="s">
        <v>16</v>
      </c>
      <c r="E81" s="19" t="s">
        <v>20</v>
      </c>
      <c r="F81" s="19" t="s">
        <v>20</v>
      </c>
      <c r="G81" s="19">
        <v>21</v>
      </c>
      <c r="H81" s="19">
        <v>46</v>
      </c>
      <c r="I81" s="19">
        <v>0</v>
      </c>
      <c r="J81" s="19">
        <v>41</v>
      </c>
      <c r="K81" s="19">
        <v>43</v>
      </c>
      <c r="L81" s="19">
        <v>19</v>
      </c>
      <c r="M81" s="19">
        <v>13</v>
      </c>
      <c r="N81" s="19">
        <v>49</v>
      </c>
      <c r="O81" s="19">
        <v>79</v>
      </c>
      <c r="P81" s="19">
        <v>58</v>
      </c>
      <c r="Q81" s="18">
        <v>145</v>
      </c>
      <c r="R81" s="12" t="s">
        <v>173</v>
      </c>
      <c r="S81" s="19" t="s">
        <v>16</v>
      </c>
      <c r="T81" s="19" t="s">
        <v>20</v>
      </c>
      <c r="U81" s="19" t="s">
        <v>20</v>
      </c>
      <c r="V81" s="19">
        <v>21</v>
      </c>
      <c r="W81" s="19">
        <v>0</v>
      </c>
      <c r="X81" s="19">
        <v>65</v>
      </c>
      <c r="Y81" s="19">
        <v>100</v>
      </c>
      <c r="Z81" s="19">
        <v>100</v>
      </c>
      <c r="AA81" s="19">
        <v>0</v>
      </c>
      <c r="AB81" s="19">
        <v>64</v>
      </c>
      <c r="AC81" s="19">
        <v>59</v>
      </c>
      <c r="AD81" s="19">
        <v>25</v>
      </c>
      <c r="AE81" s="19">
        <v>89</v>
      </c>
      <c r="AF81" s="19">
        <v>33</v>
      </c>
      <c r="AG81" s="19">
        <v>66</v>
      </c>
      <c r="AH81" s="19">
        <v>58</v>
      </c>
      <c r="AI81" s="6">
        <f t="shared" si="7"/>
        <v>1.1469128000000004</v>
      </c>
      <c r="AJ81" s="6">
        <f t="shared" si="8"/>
        <v>0.30700000000000005</v>
      </c>
      <c r="AK81" s="6">
        <f t="shared" si="9"/>
        <v>2.6462500000000007</v>
      </c>
      <c r="AL81" s="6">
        <f t="shared" si="10"/>
        <v>0.63</v>
      </c>
      <c r="AM81" s="6">
        <f t="shared" si="11"/>
        <v>0.29880160000000006</v>
      </c>
    </row>
    <row r="82" spans="1:39" ht="15" thickBot="1" x14ac:dyDescent="0.35">
      <c r="A82" s="6">
        <f t="shared" si="6"/>
        <v>31.235067444567125</v>
      </c>
      <c r="B82" s="20">
        <v>124</v>
      </c>
      <c r="C82" s="13" t="s">
        <v>152</v>
      </c>
      <c r="D82" s="21" t="s">
        <v>8</v>
      </c>
      <c r="E82" s="21" t="s">
        <v>20</v>
      </c>
      <c r="F82" s="21" t="s">
        <v>19</v>
      </c>
      <c r="G82" s="21">
        <v>18</v>
      </c>
      <c r="H82" s="21">
        <v>29</v>
      </c>
      <c r="I82" s="21">
        <v>9</v>
      </c>
      <c r="J82" s="21">
        <v>21</v>
      </c>
      <c r="K82" s="21">
        <v>15</v>
      </c>
      <c r="L82" s="21">
        <v>37</v>
      </c>
      <c r="M82" s="21">
        <v>62</v>
      </c>
      <c r="N82" s="21">
        <v>86</v>
      </c>
      <c r="O82" s="21">
        <v>73</v>
      </c>
      <c r="P82" s="21">
        <v>46</v>
      </c>
      <c r="Q82" s="20">
        <v>124</v>
      </c>
      <c r="R82" s="13" t="s">
        <v>152</v>
      </c>
      <c r="S82" s="21" t="s">
        <v>8</v>
      </c>
      <c r="T82" s="21" t="s">
        <v>20</v>
      </c>
      <c r="U82" s="21" t="s">
        <v>19</v>
      </c>
      <c r="V82" s="21">
        <v>18</v>
      </c>
      <c r="W82" s="21">
        <v>73</v>
      </c>
      <c r="X82" s="21">
        <v>65</v>
      </c>
      <c r="Y82" s="21">
        <v>53</v>
      </c>
      <c r="Z82" s="21">
        <v>59</v>
      </c>
      <c r="AA82" s="21">
        <v>21</v>
      </c>
      <c r="AB82" s="21">
        <v>86</v>
      </c>
      <c r="AC82" s="21">
        <v>40</v>
      </c>
      <c r="AD82" s="21">
        <v>47</v>
      </c>
      <c r="AE82" s="21">
        <v>75</v>
      </c>
      <c r="AF82" s="21">
        <v>21</v>
      </c>
      <c r="AG82" s="21">
        <v>84</v>
      </c>
      <c r="AH82" s="21">
        <v>46</v>
      </c>
      <c r="AI82" s="6">
        <f t="shared" si="7"/>
        <v>0.68838280000000007</v>
      </c>
      <c r="AJ82" s="6">
        <f t="shared" si="8"/>
        <v>0.86499999999999999</v>
      </c>
      <c r="AK82" s="6">
        <f t="shared" si="9"/>
        <v>2.5092840000000005</v>
      </c>
      <c r="AL82" s="6">
        <f t="shared" si="10"/>
        <v>0.76800000000000002</v>
      </c>
      <c r="AM82" s="6">
        <f t="shared" si="11"/>
        <v>0.57787000000000011</v>
      </c>
    </row>
    <row r="83" spans="1:39" ht="15" thickBot="1" x14ac:dyDescent="0.35">
      <c r="A83" s="6">
        <f t="shared" si="6"/>
        <v>32.355324390462258</v>
      </c>
      <c r="B83" s="18">
        <v>175</v>
      </c>
      <c r="C83" s="12" t="s">
        <v>203</v>
      </c>
      <c r="D83" s="19" t="s">
        <v>10</v>
      </c>
      <c r="E83" s="19" t="s">
        <v>20</v>
      </c>
      <c r="F83" s="19" t="s">
        <v>19</v>
      </c>
      <c r="G83" s="19">
        <v>22</v>
      </c>
      <c r="H83" s="19">
        <v>14</v>
      </c>
      <c r="I83" s="19">
        <v>0</v>
      </c>
      <c r="J83" s="19">
        <v>39</v>
      </c>
      <c r="K83" s="19">
        <v>0</v>
      </c>
      <c r="L83" s="19">
        <v>23</v>
      </c>
      <c r="M83" s="19">
        <v>64</v>
      </c>
      <c r="N83" s="19">
        <v>69</v>
      </c>
      <c r="O83" s="19">
        <v>24</v>
      </c>
      <c r="P83" s="19">
        <v>44</v>
      </c>
      <c r="Q83" s="18">
        <v>175</v>
      </c>
      <c r="R83" s="12" t="s">
        <v>203</v>
      </c>
      <c r="S83" s="19" t="s">
        <v>10</v>
      </c>
      <c r="T83" s="19" t="s">
        <v>20</v>
      </c>
      <c r="U83" s="19" t="s">
        <v>19</v>
      </c>
      <c r="V83" s="19">
        <v>22</v>
      </c>
      <c r="W83" s="19">
        <v>97</v>
      </c>
      <c r="X83" s="19">
        <v>54</v>
      </c>
      <c r="Y83" s="19">
        <v>78</v>
      </c>
      <c r="Z83" s="19">
        <v>60</v>
      </c>
      <c r="AA83" s="19">
        <v>0</v>
      </c>
      <c r="AB83" s="19">
        <v>100</v>
      </c>
      <c r="AC83" s="19">
        <v>53</v>
      </c>
      <c r="AD83" s="19">
        <v>61</v>
      </c>
      <c r="AE83" s="19">
        <v>49</v>
      </c>
      <c r="AF83" s="19">
        <v>27</v>
      </c>
      <c r="AG83" s="19">
        <v>53</v>
      </c>
      <c r="AH83" s="19">
        <v>44</v>
      </c>
      <c r="AI83" s="6">
        <f t="shared" si="7"/>
        <v>0.41141120000000009</v>
      </c>
      <c r="AJ83" s="6">
        <f t="shared" si="8"/>
        <v>0.80200000000000005</v>
      </c>
      <c r="AK83" s="6">
        <f t="shared" si="9"/>
        <v>2.9146020000000012</v>
      </c>
      <c r="AL83" s="6">
        <f t="shared" si="10"/>
        <v>0.90599999999999992</v>
      </c>
      <c r="AM83" s="6">
        <f t="shared" si="11"/>
        <v>0.71437420000000007</v>
      </c>
    </row>
    <row r="84" spans="1:39" ht="15" thickBot="1" x14ac:dyDescent="0.35">
      <c r="A84" s="6">
        <f t="shared" si="6"/>
        <v>30.912291623146018</v>
      </c>
      <c r="B84" s="18">
        <v>129</v>
      </c>
      <c r="C84" s="12" t="s">
        <v>157</v>
      </c>
      <c r="D84" s="19" t="s">
        <v>10</v>
      </c>
      <c r="E84" s="19" t="s">
        <v>19</v>
      </c>
      <c r="F84" s="19" t="s">
        <v>19</v>
      </c>
      <c r="G84" s="19">
        <v>18</v>
      </c>
      <c r="H84" s="19">
        <v>30</v>
      </c>
      <c r="I84" s="19">
        <v>9</v>
      </c>
      <c r="J84" s="19">
        <v>18</v>
      </c>
      <c r="K84" s="19">
        <v>13</v>
      </c>
      <c r="L84" s="19">
        <v>36</v>
      </c>
      <c r="M84" s="19">
        <v>65</v>
      </c>
      <c r="N84" s="19">
        <v>54</v>
      </c>
      <c r="O84" s="19">
        <v>45</v>
      </c>
      <c r="P84" s="19">
        <v>45</v>
      </c>
      <c r="Q84" s="18">
        <v>129</v>
      </c>
      <c r="R84" s="12" t="s">
        <v>157</v>
      </c>
      <c r="S84" s="19" t="s">
        <v>10</v>
      </c>
      <c r="T84" s="19" t="s">
        <v>19</v>
      </c>
      <c r="U84" s="19" t="s">
        <v>19</v>
      </c>
      <c r="V84" s="19">
        <v>18</v>
      </c>
      <c r="W84" s="19">
        <v>61</v>
      </c>
      <c r="X84" s="19">
        <v>53</v>
      </c>
      <c r="Y84" s="19">
        <v>64</v>
      </c>
      <c r="Z84" s="19">
        <v>71</v>
      </c>
      <c r="AA84" s="19">
        <v>4</v>
      </c>
      <c r="AB84" s="19">
        <v>84</v>
      </c>
      <c r="AC84" s="19">
        <v>89</v>
      </c>
      <c r="AD84" s="19">
        <v>49</v>
      </c>
      <c r="AE84" s="19">
        <v>85</v>
      </c>
      <c r="AF84" s="19">
        <v>44</v>
      </c>
      <c r="AG84" s="19">
        <v>29</v>
      </c>
      <c r="AH84" s="19">
        <v>45</v>
      </c>
      <c r="AI84" s="6">
        <f t="shared" si="7"/>
        <v>0.64565280000000014</v>
      </c>
      <c r="AJ84" s="6">
        <f t="shared" si="8"/>
        <v>0.80299999999999994</v>
      </c>
      <c r="AK84" s="6">
        <f t="shared" si="9"/>
        <v>2.4987140000000005</v>
      </c>
      <c r="AL84" s="6">
        <f t="shared" si="10"/>
        <v>0.85</v>
      </c>
      <c r="AM84" s="6">
        <f t="shared" si="11"/>
        <v>0.57226640000000017</v>
      </c>
    </row>
    <row r="85" spans="1:39" ht="15" thickBot="1" x14ac:dyDescent="0.35">
      <c r="A85" s="6">
        <f t="shared" si="6"/>
        <v>32.560699662777168</v>
      </c>
      <c r="B85" s="20">
        <v>104</v>
      </c>
      <c r="C85" s="13" t="s">
        <v>132</v>
      </c>
      <c r="D85" s="21" t="s">
        <v>8</v>
      </c>
      <c r="E85" s="21" t="s">
        <v>19</v>
      </c>
      <c r="F85" s="21" t="s">
        <v>19</v>
      </c>
      <c r="G85" s="21">
        <v>18</v>
      </c>
      <c r="H85" s="21">
        <v>30</v>
      </c>
      <c r="I85" s="21">
        <v>10</v>
      </c>
      <c r="J85" s="21">
        <v>16</v>
      </c>
      <c r="K85" s="21">
        <v>44</v>
      </c>
      <c r="L85" s="21">
        <v>24</v>
      </c>
      <c r="M85" s="21">
        <v>79</v>
      </c>
      <c r="N85" s="21">
        <v>82</v>
      </c>
      <c r="O85" s="21">
        <v>60</v>
      </c>
      <c r="P85" s="21">
        <v>50</v>
      </c>
      <c r="Q85" s="20">
        <v>104</v>
      </c>
      <c r="R85" s="13" t="s">
        <v>132</v>
      </c>
      <c r="S85" s="21" t="s">
        <v>8</v>
      </c>
      <c r="T85" s="21" t="s">
        <v>19</v>
      </c>
      <c r="U85" s="21" t="s">
        <v>19</v>
      </c>
      <c r="V85" s="21">
        <v>18</v>
      </c>
      <c r="W85" s="21">
        <v>68</v>
      </c>
      <c r="X85" s="21">
        <v>64</v>
      </c>
      <c r="Y85" s="21">
        <v>49</v>
      </c>
      <c r="Z85" s="21">
        <v>56</v>
      </c>
      <c r="AA85" s="21">
        <v>16</v>
      </c>
      <c r="AB85" s="21">
        <v>83</v>
      </c>
      <c r="AC85" s="21">
        <v>61</v>
      </c>
      <c r="AD85" s="21">
        <v>87</v>
      </c>
      <c r="AE85" s="21">
        <v>56</v>
      </c>
      <c r="AF85" s="21">
        <v>26</v>
      </c>
      <c r="AG85" s="21">
        <v>69</v>
      </c>
      <c r="AH85" s="21">
        <v>50</v>
      </c>
      <c r="AI85" s="6">
        <f t="shared" si="7"/>
        <v>0.8192400000000003</v>
      </c>
      <c r="AJ85" s="6">
        <f t="shared" si="8"/>
        <v>1.014</v>
      </c>
      <c r="AK85" s="6">
        <f t="shared" si="9"/>
        <v>2.3248580000000008</v>
      </c>
      <c r="AL85" s="6">
        <f t="shared" si="10"/>
        <v>0.78600000000000003</v>
      </c>
      <c r="AM85" s="6">
        <f t="shared" si="11"/>
        <v>1.0606598000000005</v>
      </c>
    </row>
    <row r="86" spans="1:39" ht="15" thickBot="1" x14ac:dyDescent="0.35">
      <c r="A86" s="6">
        <f t="shared" si="6"/>
        <v>30.821583902832074</v>
      </c>
      <c r="B86" s="20">
        <v>140</v>
      </c>
      <c r="C86" s="13" t="s">
        <v>168</v>
      </c>
      <c r="D86" s="21" t="s">
        <v>10</v>
      </c>
      <c r="E86" s="21" t="s">
        <v>19</v>
      </c>
      <c r="F86" s="21" t="s">
        <v>19</v>
      </c>
      <c r="G86" s="21">
        <v>18</v>
      </c>
      <c r="H86" s="21">
        <v>21</v>
      </c>
      <c r="I86" s="21">
        <v>22</v>
      </c>
      <c r="J86" s="21">
        <v>38</v>
      </c>
      <c r="K86" s="21">
        <v>19</v>
      </c>
      <c r="L86" s="21">
        <v>34</v>
      </c>
      <c r="M86" s="21">
        <v>49</v>
      </c>
      <c r="N86" s="21">
        <v>61</v>
      </c>
      <c r="O86" s="21">
        <v>68</v>
      </c>
      <c r="P86" s="21">
        <v>44</v>
      </c>
      <c r="Q86" s="20">
        <v>140</v>
      </c>
      <c r="R86" s="13" t="s">
        <v>168</v>
      </c>
      <c r="S86" s="21" t="s">
        <v>10</v>
      </c>
      <c r="T86" s="21" t="s">
        <v>19</v>
      </c>
      <c r="U86" s="21" t="s">
        <v>19</v>
      </c>
      <c r="V86" s="21">
        <v>18</v>
      </c>
      <c r="W86" s="21">
        <v>62</v>
      </c>
      <c r="X86" s="21">
        <v>49</v>
      </c>
      <c r="Y86" s="21">
        <v>66</v>
      </c>
      <c r="Z86" s="21">
        <v>54</v>
      </c>
      <c r="AA86" s="21">
        <v>8</v>
      </c>
      <c r="AB86" s="21">
        <v>79</v>
      </c>
      <c r="AC86" s="21">
        <v>73</v>
      </c>
      <c r="AD86" s="21">
        <v>47</v>
      </c>
      <c r="AE86" s="21">
        <v>79</v>
      </c>
      <c r="AF86" s="21">
        <v>66</v>
      </c>
      <c r="AG86" s="21">
        <v>47</v>
      </c>
      <c r="AH86" s="21">
        <v>44</v>
      </c>
      <c r="AI86" s="6">
        <f t="shared" si="7"/>
        <v>0.89743640000000013</v>
      </c>
      <c r="AJ86" s="6">
        <f t="shared" si="8"/>
        <v>0.68</v>
      </c>
      <c r="AK86" s="6">
        <f t="shared" si="9"/>
        <v>2.2384660000000007</v>
      </c>
      <c r="AL86" s="6">
        <f t="shared" si="10"/>
        <v>0.77800000000000014</v>
      </c>
      <c r="AM86" s="6">
        <f t="shared" si="11"/>
        <v>0.59313440000000017</v>
      </c>
    </row>
    <row r="87" spans="1:39" ht="15" thickBot="1" x14ac:dyDescent="0.35">
      <c r="A87" s="6">
        <f t="shared" si="6"/>
        <v>30.575216210570293</v>
      </c>
      <c r="B87" s="20">
        <v>180</v>
      </c>
      <c r="C87" s="13" t="s">
        <v>208</v>
      </c>
      <c r="D87" s="21" t="s">
        <v>9</v>
      </c>
      <c r="E87" s="21" t="s">
        <v>19</v>
      </c>
      <c r="F87" s="21" t="s">
        <v>19</v>
      </c>
      <c r="G87" s="21">
        <v>21</v>
      </c>
      <c r="H87" s="21">
        <v>0</v>
      </c>
      <c r="I87" s="21">
        <v>49</v>
      </c>
      <c r="J87" s="21">
        <v>6</v>
      </c>
      <c r="K87" s="21">
        <v>1</v>
      </c>
      <c r="L87" s="21">
        <v>19</v>
      </c>
      <c r="M87" s="21">
        <v>28</v>
      </c>
      <c r="N87" s="21">
        <v>8</v>
      </c>
      <c r="O87" s="21">
        <v>34</v>
      </c>
      <c r="P87" s="21">
        <v>39</v>
      </c>
      <c r="Q87" s="20">
        <v>180</v>
      </c>
      <c r="R87" s="13" t="s">
        <v>208</v>
      </c>
      <c r="S87" s="21" t="s">
        <v>9</v>
      </c>
      <c r="T87" s="21" t="s">
        <v>19</v>
      </c>
      <c r="U87" s="21" t="s">
        <v>19</v>
      </c>
      <c r="V87" s="21">
        <v>21</v>
      </c>
      <c r="W87" s="21">
        <v>45</v>
      </c>
      <c r="X87" s="21">
        <v>80</v>
      </c>
      <c r="Y87" s="21">
        <v>78</v>
      </c>
      <c r="Z87" s="21">
        <v>35</v>
      </c>
      <c r="AA87" s="21">
        <v>41</v>
      </c>
      <c r="AB87" s="21">
        <v>88</v>
      </c>
      <c r="AC87" s="21">
        <v>94</v>
      </c>
      <c r="AD87" s="21">
        <v>11</v>
      </c>
      <c r="AE87" s="21">
        <v>79</v>
      </c>
      <c r="AF87" s="21">
        <v>68</v>
      </c>
      <c r="AG87" s="21">
        <v>51</v>
      </c>
      <c r="AH87" s="21">
        <v>39</v>
      </c>
      <c r="AI87" s="6">
        <f t="shared" si="7"/>
        <v>0.95593920000000021</v>
      </c>
      <c r="AJ87" s="6">
        <f t="shared" si="8"/>
        <v>0.33</v>
      </c>
      <c r="AK87" s="6">
        <f t="shared" si="9"/>
        <v>2.2939760000000007</v>
      </c>
      <c r="AL87" s="6">
        <f t="shared" si="10"/>
        <v>0.89200000000000002</v>
      </c>
      <c r="AM87" s="6">
        <f t="shared" si="11"/>
        <v>0.21426560000000008</v>
      </c>
    </row>
    <row r="88" spans="1:39" ht="15" thickBot="1" x14ac:dyDescent="0.35">
      <c r="A88" s="6">
        <f t="shared" si="6"/>
        <v>30.201106269957322</v>
      </c>
      <c r="B88" s="18">
        <v>139</v>
      </c>
      <c r="C88" s="12" t="s">
        <v>167</v>
      </c>
      <c r="D88" s="19" t="s">
        <v>8</v>
      </c>
      <c r="E88" s="19" t="s">
        <v>19</v>
      </c>
      <c r="F88" s="19" t="s">
        <v>19</v>
      </c>
      <c r="G88" s="19">
        <v>18</v>
      </c>
      <c r="H88" s="19">
        <v>28</v>
      </c>
      <c r="I88" s="19">
        <v>8</v>
      </c>
      <c r="J88" s="19">
        <v>14</v>
      </c>
      <c r="K88" s="19">
        <v>19</v>
      </c>
      <c r="L88" s="19">
        <v>27</v>
      </c>
      <c r="M88" s="19">
        <v>40</v>
      </c>
      <c r="N88" s="19">
        <v>76</v>
      </c>
      <c r="O88" s="19">
        <v>49</v>
      </c>
      <c r="P88" s="19">
        <v>44</v>
      </c>
      <c r="Q88" s="18">
        <v>139</v>
      </c>
      <c r="R88" s="12" t="s">
        <v>167</v>
      </c>
      <c r="S88" s="19" t="s">
        <v>8</v>
      </c>
      <c r="T88" s="19" t="s">
        <v>19</v>
      </c>
      <c r="U88" s="19" t="s">
        <v>19</v>
      </c>
      <c r="V88" s="19">
        <v>18</v>
      </c>
      <c r="W88" s="19">
        <v>77</v>
      </c>
      <c r="X88" s="19">
        <v>64</v>
      </c>
      <c r="Y88" s="19">
        <v>53</v>
      </c>
      <c r="Z88" s="19">
        <v>69</v>
      </c>
      <c r="AA88" s="19">
        <v>28</v>
      </c>
      <c r="AB88" s="19">
        <v>76</v>
      </c>
      <c r="AC88" s="19">
        <v>82</v>
      </c>
      <c r="AD88" s="19">
        <v>58</v>
      </c>
      <c r="AE88" s="19">
        <v>58</v>
      </c>
      <c r="AF88" s="19">
        <v>36</v>
      </c>
      <c r="AG88" s="19">
        <v>54</v>
      </c>
      <c r="AH88" s="19">
        <v>44</v>
      </c>
      <c r="AI88" s="6">
        <f t="shared" si="7"/>
        <v>0.46957840000000017</v>
      </c>
      <c r="AJ88" s="6">
        <f t="shared" si="8"/>
        <v>0.60099999999999998</v>
      </c>
      <c r="AK88" s="6">
        <f t="shared" si="9"/>
        <v>2.6859740000000007</v>
      </c>
      <c r="AL88" s="6">
        <f t="shared" si="10"/>
        <v>0.77200000000000002</v>
      </c>
      <c r="AM88" s="6">
        <f t="shared" si="11"/>
        <v>0.69596160000000018</v>
      </c>
    </row>
    <row r="89" spans="1:39" ht="15" thickBot="1" x14ac:dyDescent="0.35">
      <c r="A89" s="6">
        <f t="shared" si="6"/>
        <v>29.295112208660353</v>
      </c>
      <c r="B89" s="20">
        <v>186</v>
      </c>
      <c r="C89" s="13" t="s">
        <v>214</v>
      </c>
      <c r="D89" s="21" t="s">
        <v>4</v>
      </c>
      <c r="E89" s="21" t="s">
        <v>19</v>
      </c>
      <c r="F89" s="21" t="s">
        <v>19</v>
      </c>
      <c r="G89" s="21">
        <v>18</v>
      </c>
      <c r="H89" s="21">
        <v>41</v>
      </c>
      <c r="I89" s="21">
        <v>38</v>
      </c>
      <c r="J89" s="21">
        <v>30</v>
      </c>
      <c r="K89" s="21">
        <v>11</v>
      </c>
      <c r="L89" s="21">
        <v>41</v>
      </c>
      <c r="M89" s="21">
        <v>47</v>
      </c>
      <c r="N89" s="21">
        <v>1</v>
      </c>
      <c r="O89" s="21">
        <v>36</v>
      </c>
      <c r="P89" s="21">
        <v>47</v>
      </c>
      <c r="Q89" s="20">
        <v>186</v>
      </c>
      <c r="R89" s="13" t="s">
        <v>214</v>
      </c>
      <c r="S89" s="21" t="s">
        <v>4</v>
      </c>
      <c r="T89" s="21" t="s">
        <v>19</v>
      </c>
      <c r="U89" s="21" t="s">
        <v>19</v>
      </c>
      <c r="V89" s="21">
        <v>18</v>
      </c>
      <c r="W89" s="21">
        <v>2</v>
      </c>
      <c r="X89" s="21">
        <v>19</v>
      </c>
      <c r="Y89" s="21">
        <v>60</v>
      </c>
      <c r="Z89" s="21">
        <v>62</v>
      </c>
      <c r="AA89" s="21">
        <v>44</v>
      </c>
      <c r="AB89" s="21">
        <v>81</v>
      </c>
      <c r="AC89" s="21">
        <v>84</v>
      </c>
      <c r="AD89" s="21">
        <v>55</v>
      </c>
      <c r="AE89" s="21">
        <v>48</v>
      </c>
      <c r="AF89" s="21">
        <v>37</v>
      </c>
      <c r="AG89" s="21">
        <v>69</v>
      </c>
      <c r="AH89" s="21">
        <v>47</v>
      </c>
      <c r="AI89" s="6">
        <f t="shared" si="7"/>
        <v>1.5137644000000001</v>
      </c>
      <c r="AJ89" s="6">
        <f t="shared" si="8"/>
        <v>0.50800000000000001</v>
      </c>
      <c r="AK89" s="6">
        <f t="shared" si="9"/>
        <v>1.2761900000000002</v>
      </c>
      <c r="AL89" s="6">
        <f t="shared" si="10"/>
        <v>0.81599999999999995</v>
      </c>
      <c r="AM89" s="6">
        <f t="shared" si="11"/>
        <v>0.65934720000000024</v>
      </c>
    </row>
    <row r="90" spans="1:39" ht="15" thickBot="1" x14ac:dyDescent="0.35">
      <c r="A90" s="6">
        <f t="shared" si="6"/>
        <v>29.502574979856156</v>
      </c>
      <c r="B90" s="18">
        <v>109</v>
      </c>
      <c r="C90" s="12" t="s">
        <v>137</v>
      </c>
      <c r="D90" s="19" t="s">
        <v>6</v>
      </c>
      <c r="E90" s="19" t="s">
        <v>19</v>
      </c>
      <c r="F90" s="19" t="s">
        <v>19</v>
      </c>
      <c r="G90" s="19">
        <v>18</v>
      </c>
      <c r="H90" s="19">
        <v>28</v>
      </c>
      <c r="I90" s="19">
        <v>20</v>
      </c>
      <c r="J90" s="19">
        <v>20</v>
      </c>
      <c r="K90" s="19">
        <v>14</v>
      </c>
      <c r="L90" s="19">
        <v>26</v>
      </c>
      <c r="M90" s="19">
        <v>75</v>
      </c>
      <c r="N90" s="19">
        <v>81</v>
      </c>
      <c r="O90" s="19">
        <v>27</v>
      </c>
      <c r="P90" s="19">
        <v>49</v>
      </c>
      <c r="Q90" s="18">
        <v>109</v>
      </c>
      <c r="R90" s="12" t="s">
        <v>137</v>
      </c>
      <c r="S90" s="19" t="s">
        <v>6</v>
      </c>
      <c r="T90" s="19" t="s">
        <v>19</v>
      </c>
      <c r="U90" s="19" t="s">
        <v>19</v>
      </c>
      <c r="V90" s="19">
        <v>18</v>
      </c>
      <c r="W90" s="19">
        <v>74</v>
      </c>
      <c r="X90" s="19">
        <v>60</v>
      </c>
      <c r="Y90" s="19">
        <v>42</v>
      </c>
      <c r="Z90" s="19">
        <v>55</v>
      </c>
      <c r="AA90" s="19">
        <v>20</v>
      </c>
      <c r="AB90" s="19">
        <v>81</v>
      </c>
      <c r="AC90" s="19">
        <v>92</v>
      </c>
      <c r="AD90" s="19">
        <v>75</v>
      </c>
      <c r="AE90" s="19">
        <v>58</v>
      </c>
      <c r="AF90" s="19">
        <v>64</v>
      </c>
      <c r="AG90" s="19">
        <v>85</v>
      </c>
      <c r="AH90" s="19">
        <v>49</v>
      </c>
      <c r="AI90" s="6">
        <f t="shared" si="7"/>
        <v>0.58008320000000013</v>
      </c>
      <c r="AJ90" s="6">
        <f t="shared" si="8"/>
        <v>0.93900000000000006</v>
      </c>
      <c r="AK90" s="6">
        <f t="shared" si="9"/>
        <v>2.2283260000000009</v>
      </c>
      <c r="AL90" s="6">
        <f t="shared" si="10"/>
        <v>0.83200000000000007</v>
      </c>
      <c r="AM90" s="6">
        <f t="shared" si="11"/>
        <v>1.0109238</v>
      </c>
    </row>
    <row r="91" spans="1:39" ht="15" thickBot="1" x14ac:dyDescent="0.35">
      <c r="A91" s="6">
        <f t="shared" si="6"/>
        <v>29.236296666567185</v>
      </c>
      <c r="B91" s="20">
        <v>198</v>
      </c>
      <c r="C91" s="13" t="s">
        <v>226</v>
      </c>
      <c r="D91" s="21" t="s">
        <v>4</v>
      </c>
      <c r="E91" s="21" t="s">
        <v>19</v>
      </c>
      <c r="F91" s="21" t="s">
        <v>19</v>
      </c>
      <c r="G91" s="21">
        <v>21</v>
      </c>
      <c r="H91" s="21">
        <v>20</v>
      </c>
      <c r="I91" s="21">
        <v>4</v>
      </c>
      <c r="J91" s="21">
        <v>18</v>
      </c>
      <c r="K91" s="21">
        <v>49</v>
      </c>
      <c r="L91" s="21">
        <v>46</v>
      </c>
      <c r="M91" s="21">
        <v>94</v>
      </c>
      <c r="N91" s="21">
        <v>33</v>
      </c>
      <c r="O91" s="21">
        <v>47</v>
      </c>
      <c r="P91" s="21">
        <v>45</v>
      </c>
      <c r="Q91" s="20">
        <v>198</v>
      </c>
      <c r="R91" s="13" t="s">
        <v>226</v>
      </c>
      <c r="S91" s="21" t="s">
        <v>4</v>
      </c>
      <c r="T91" s="21" t="s">
        <v>19</v>
      </c>
      <c r="U91" s="21" t="s">
        <v>19</v>
      </c>
      <c r="V91" s="21">
        <v>21</v>
      </c>
      <c r="W91" s="21">
        <v>73</v>
      </c>
      <c r="X91" s="21">
        <v>39</v>
      </c>
      <c r="Y91" s="21">
        <v>29</v>
      </c>
      <c r="Z91" s="21">
        <v>32</v>
      </c>
      <c r="AA91" s="21">
        <v>2</v>
      </c>
      <c r="AB91" s="21">
        <v>83</v>
      </c>
      <c r="AC91" s="21">
        <v>46</v>
      </c>
      <c r="AD91" s="21">
        <v>73</v>
      </c>
      <c r="AE91" s="21">
        <v>52</v>
      </c>
      <c r="AF91" s="21">
        <v>0</v>
      </c>
      <c r="AG91" s="21">
        <v>51</v>
      </c>
      <c r="AH91" s="21">
        <v>45</v>
      </c>
      <c r="AI91" s="6">
        <f t="shared" si="7"/>
        <v>1.2400600000000002</v>
      </c>
      <c r="AJ91" s="6">
        <f t="shared" si="8"/>
        <v>1.0529999999999999</v>
      </c>
      <c r="AK91" s="6">
        <f t="shared" si="9"/>
        <v>1.4145140000000003</v>
      </c>
      <c r="AL91" s="6">
        <f t="shared" si="10"/>
        <v>0.75600000000000012</v>
      </c>
      <c r="AM91" s="6">
        <f t="shared" si="11"/>
        <v>0.8674242000000002</v>
      </c>
    </row>
    <row r="92" spans="1:39" ht="15" thickBot="1" x14ac:dyDescent="0.35">
      <c r="A92" s="6">
        <f t="shared" si="6"/>
        <v>29.015543137664501</v>
      </c>
      <c r="B92" s="20">
        <v>150</v>
      </c>
      <c r="C92" s="13" t="s">
        <v>178</v>
      </c>
      <c r="D92" s="21" t="s">
        <v>6</v>
      </c>
      <c r="E92" s="21" t="s">
        <v>19</v>
      </c>
      <c r="F92" s="21" t="s">
        <v>19</v>
      </c>
      <c r="G92" s="21">
        <v>18</v>
      </c>
      <c r="H92" s="21">
        <v>8</v>
      </c>
      <c r="I92" s="21">
        <v>43</v>
      </c>
      <c r="J92" s="21">
        <v>35</v>
      </c>
      <c r="K92" s="21">
        <v>14</v>
      </c>
      <c r="L92" s="21">
        <v>24</v>
      </c>
      <c r="M92" s="21">
        <v>22</v>
      </c>
      <c r="N92" s="21">
        <v>5</v>
      </c>
      <c r="O92" s="21">
        <v>34</v>
      </c>
      <c r="P92" s="21">
        <v>42</v>
      </c>
      <c r="Q92" s="20">
        <v>150</v>
      </c>
      <c r="R92" s="13" t="s">
        <v>178</v>
      </c>
      <c r="S92" s="21" t="s">
        <v>6</v>
      </c>
      <c r="T92" s="21" t="s">
        <v>19</v>
      </c>
      <c r="U92" s="21" t="s">
        <v>19</v>
      </c>
      <c r="V92" s="21">
        <v>18</v>
      </c>
      <c r="W92" s="21">
        <v>51</v>
      </c>
      <c r="X92" s="21">
        <v>51</v>
      </c>
      <c r="Y92" s="21">
        <v>54</v>
      </c>
      <c r="Z92" s="21">
        <v>52</v>
      </c>
      <c r="AA92" s="21">
        <v>11</v>
      </c>
      <c r="AB92" s="21">
        <v>92</v>
      </c>
      <c r="AC92" s="21">
        <v>79</v>
      </c>
      <c r="AD92" s="21">
        <v>34</v>
      </c>
      <c r="AE92" s="21">
        <v>64</v>
      </c>
      <c r="AF92" s="21">
        <v>52</v>
      </c>
      <c r="AG92" s="21">
        <v>59</v>
      </c>
      <c r="AH92" s="21">
        <v>42</v>
      </c>
      <c r="AI92" s="6">
        <f t="shared" si="7"/>
        <v>1.0770216000000004</v>
      </c>
      <c r="AJ92" s="6">
        <f t="shared" si="8"/>
        <v>0.26400000000000001</v>
      </c>
      <c r="AK92" s="6">
        <f t="shared" si="9"/>
        <v>1.8994920000000004</v>
      </c>
      <c r="AL92" s="6">
        <f t="shared" si="10"/>
        <v>0.89400000000000002</v>
      </c>
      <c r="AM92" s="6">
        <f t="shared" si="11"/>
        <v>0.39052780000000009</v>
      </c>
    </row>
    <row r="93" spans="1:39" ht="15" thickBot="1" x14ac:dyDescent="0.35">
      <c r="A93" s="6">
        <f t="shared" si="6"/>
        <v>27.682017368468166</v>
      </c>
      <c r="B93" s="20">
        <v>192</v>
      </c>
      <c r="C93" s="13" t="s">
        <v>220</v>
      </c>
      <c r="D93" s="21" t="s">
        <v>4</v>
      </c>
      <c r="E93" s="21" t="s">
        <v>19</v>
      </c>
      <c r="F93" s="21" t="s">
        <v>19</v>
      </c>
      <c r="G93" s="21">
        <v>18</v>
      </c>
      <c r="H93" s="21">
        <v>34</v>
      </c>
      <c r="I93" s="21">
        <v>39</v>
      </c>
      <c r="J93" s="21">
        <v>35</v>
      </c>
      <c r="K93" s="21">
        <v>25</v>
      </c>
      <c r="L93" s="21">
        <v>46</v>
      </c>
      <c r="M93" s="21">
        <v>55</v>
      </c>
      <c r="N93" s="21">
        <v>61</v>
      </c>
      <c r="O93" s="21">
        <v>78</v>
      </c>
      <c r="P93" s="21">
        <v>50</v>
      </c>
      <c r="Q93" s="20">
        <v>192</v>
      </c>
      <c r="R93" s="13" t="s">
        <v>220</v>
      </c>
      <c r="S93" s="21" t="s">
        <v>4</v>
      </c>
      <c r="T93" s="21" t="s">
        <v>19</v>
      </c>
      <c r="U93" s="21" t="s">
        <v>19</v>
      </c>
      <c r="V93" s="21">
        <v>18</v>
      </c>
      <c r="W93" s="21">
        <v>36</v>
      </c>
      <c r="X93" s="21">
        <v>21</v>
      </c>
      <c r="Y93" s="21">
        <v>26</v>
      </c>
      <c r="Z93" s="21">
        <v>28</v>
      </c>
      <c r="AA93" s="21">
        <v>4</v>
      </c>
      <c r="AB93" s="21">
        <v>88</v>
      </c>
      <c r="AC93" s="21">
        <v>62</v>
      </c>
      <c r="AD93" s="21">
        <v>76</v>
      </c>
      <c r="AE93" s="21">
        <v>68</v>
      </c>
      <c r="AF93" s="21">
        <v>40</v>
      </c>
      <c r="AG93" s="21">
        <v>100</v>
      </c>
      <c r="AH93" s="21">
        <v>50</v>
      </c>
      <c r="AI93" s="6">
        <f t="shared" si="7"/>
        <v>1.7353328000000001</v>
      </c>
      <c r="AJ93" s="6">
        <f t="shared" si="8"/>
        <v>0.75</v>
      </c>
      <c r="AK93" s="6">
        <f t="shared" si="9"/>
        <v>0.59905000000000008</v>
      </c>
      <c r="AL93" s="6">
        <f t="shared" si="10"/>
        <v>0.82800000000000007</v>
      </c>
      <c r="AM93" s="6">
        <f t="shared" si="11"/>
        <v>1.0105696000000004</v>
      </c>
    </row>
    <row r="94" spans="1:39" ht="15" thickBot="1" x14ac:dyDescent="0.35">
      <c r="A94" s="6">
        <f t="shared" si="6"/>
        <v>26.778284341520184</v>
      </c>
      <c r="B94" s="20">
        <v>142</v>
      </c>
      <c r="C94" s="13" t="s">
        <v>170</v>
      </c>
      <c r="D94" s="21" t="s">
        <v>9</v>
      </c>
      <c r="E94" s="21" t="s">
        <v>20</v>
      </c>
      <c r="F94" s="21" t="s">
        <v>20</v>
      </c>
      <c r="G94" s="21">
        <v>18</v>
      </c>
      <c r="H94" s="21">
        <v>0</v>
      </c>
      <c r="I94" s="21">
        <v>5</v>
      </c>
      <c r="J94" s="21">
        <v>12</v>
      </c>
      <c r="K94" s="21">
        <v>21</v>
      </c>
      <c r="L94" s="21">
        <v>42</v>
      </c>
      <c r="M94" s="21">
        <v>61</v>
      </c>
      <c r="N94" s="21">
        <v>82</v>
      </c>
      <c r="O94" s="21">
        <v>34</v>
      </c>
      <c r="P94" s="21">
        <v>44</v>
      </c>
      <c r="Q94" s="20">
        <v>142</v>
      </c>
      <c r="R94" s="13" t="s">
        <v>170</v>
      </c>
      <c r="S94" s="21" t="s">
        <v>9</v>
      </c>
      <c r="T94" s="21" t="s">
        <v>20</v>
      </c>
      <c r="U94" s="21" t="s">
        <v>20</v>
      </c>
      <c r="V94" s="21">
        <v>18</v>
      </c>
      <c r="W94" s="21">
        <v>68</v>
      </c>
      <c r="X94" s="21">
        <v>49</v>
      </c>
      <c r="Y94" s="21">
        <v>37</v>
      </c>
      <c r="Z94" s="21">
        <v>46</v>
      </c>
      <c r="AA94" s="21">
        <v>14</v>
      </c>
      <c r="AB94" s="21">
        <v>92</v>
      </c>
      <c r="AC94" s="21">
        <v>89</v>
      </c>
      <c r="AD94" s="21">
        <v>81</v>
      </c>
      <c r="AE94" s="21">
        <v>85</v>
      </c>
      <c r="AF94" s="21">
        <v>56</v>
      </c>
      <c r="AG94" s="21">
        <v>63</v>
      </c>
      <c r="AH94" s="21">
        <v>44</v>
      </c>
      <c r="AI94" s="6">
        <f t="shared" si="7"/>
        <v>0.62760320000000025</v>
      </c>
      <c r="AJ94" s="6">
        <f t="shared" si="8"/>
        <v>0.80800000000000016</v>
      </c>
      <c r="AK94" s="6">
        <f t="shared" si="9"/>
        <v>1.7830600000000003</v>
      </c>
      <c r="AL94" s="6">
        <f t="shared" si="10"/>
        <v>0.91400000000000003</v>
      </c>
      <c r="AM94" s="6">
        <f t="shared" si="11"/>
        <v>1.0743004000000003</v>
      </c>
    </row>
    <row r="95" spans="1:39" ht="15" thickBot="1" x14ac:dyDescent="0.35">
      <c r="A95" s="6">
        <f t="shared" si="6"/>
        <v>27.409372556626575</v>
      </c>
      <c r="B95" s="20">
        <v>144</v>
      </c>
      <c r="C95" s="13" t="s">
        <v>172</v>
      </c>
      <c r="D95" s="21" t="s">
        <v>16</v>
      </c>
      <c r="E95" s="21" t="s">
        <v>19</v>
      </c>
      <c r="F95" s="21" t="s">
        <v>19</v>
      </c>
      <c r="G95" s="21">
        <v>22</v>
      </c>
      <c r="H95" s="21">
        <v>5</v>
      </c>
      <c r="I95" s="21">
        <v>0</v>
      </c>
      <c r="J95" s="21">
        <v>52</v>
      </c>
      <c r="K95" s="21">
        <v>0</v>
      </c>
      <c r="L95" s="21">
        <v>23</v>
      </c>
      <c r="M95" s="21">
        <v>32</v>
      </c>
      <c r="N95" s="21">
        <v>50</v>
      </c>
      <c r="O95" s="21">
        <v>60</v>
      </c>
      <c r="P95" s="21">
        <v>59</v>
      </c>
      <c r="Q95" s="20">
        <v>144</v>
      </c>
      <c r="R95" s="13" t="s">
        <v>172</v>
      </c>
      <c r="S95" s="21" t="s">
        <v>16</v>
      </c>
      <c r="T95" s="21" t="s">
        <v>19</v>
      </c>
      <c r="U95" s="21" t="s">
        <v>19</v>
      </c>
      <c r="V95" s="21">
        <v>22</v>
      </c>
      <c r="W95" s="21">
        <v>56</v>
      </c>
      <c r="X95" s="21">
        <v>49</v>
      </c>
      <c r="Y95" s="21">
        <v>89</v>
      </c>
      <c r="Z95" s="21">
        <v>55</v>
      </c>
      <c r="AA95" s="21">
        <v>0</v>
      </c>
      <c r="AB95" s="21">
        <v>37</v>
      </c>
      <c r="AC95" s="21">
        <v>35</v>
      </c>
      <c r="AD95" s="21">
        <v>66</v>
      </c>
      <c r="AE95" s="21">
        <v>56</v>
      </c>
      <c r="AF95" s="21">
        <v>42</v>
      </c>
      <c r="AG95" s="21">
        <v>100</v>
      </c>
      <c r="AH95" s="21">
        <v>59</v>
      </c>
      <c r="AI95" s="6">
        <f t="shared" si="7"/>
        <v>0.53177480000000021</v>
      </c>
      <c r="AJ95" s="6">
        <f t="shared" si="8"/>
        <v>0.48</v>
      </c>
      <c r="AK95" s="6">
        <f t="shared" si="9"/>
        <v>2.4224420000000007</v>
      </c>
      <c r="AL95" s="6">
        <f t="shared" si="10"/>
        <v>0.36599999999999999</v>
      </c>
      <c r="AM95" s="6">
        <f t="shared" si="11"/>
        <v>0.86560720000000013</v>
      </c>
    </row>
    <row r="96" spans="1:39" ht="15" thickBot="1" x14ac:dyDescent="0.35">
      <c r="A96" s="6">
        <f t="shared" si="6"/>
        <v>25.468169596227874</v>
      </c>
      <c r="B96" s="18">
        <v>147</v>
      </c>
      <c r="C96" s="12" t="s">
        <v>175</v>
      </c>
      <c r="D96" s="19" t="s">
        <v>9</v>
      </c>
      <c r="E96" s="19" t="s">
        <v>19</v>
      </c>
      <c r="F96" s="19" t="s">
        <v>19</v>
      </c>
      <c r="G96" s="19">
        <v>18</v>
      </c>
      <c r="H96" s="19">
        <v>3</v>
      </c>
      <c r="I96" s="19">
        <v>16</v>
      </c>
      <c r="J96" s="19">
        <v>19</v>
      </c>
      <c r="K96" s="19">
        <v>10</v>
      </c>
      <c r="L96" s="19">
        <v>23</v>
      </c>
      <c r="M96" s="19">
        <v>63</v>
      </c>
      <c r="N96" s="19">
        <v>76</v>
      </c>
      <c r="O96" s="19">
        <v>56</v>
      </c>
      <c r="P96" s="19">
        <v>43</v>
      </c>
      <c r="Q96" s="18">
        <v>147</v>
      </c>
      <c r="R96" s="12" t="s">
        <v>175</v>
      </c>
      <c r="S96" s="19" t="s">
        <v>9</v>
      </c>
      <c r="T96" s="19" t="s">
        <v>19</v>
      </c>
      <c r="U96" s="19" t="s">
        <v>19</v>
      </c>
      <c r="V96" s="19">
        <v>18</v>
      </c>
      <c r="W96" s="19">
        <v>80</v>
      </c>
      <c r="X96" s="19">
        <v>59</v>
      </c>
      <c r="Y96" s="19">
        <v>38</v>
      </c>
      <c r="Z96" s="19">
        <v>43</v>
      </c>
      <c r="AA96" s="19">
        <v>1</v>
      </c>
      <c r="AB96" s="19">
        <v>95</v>
      </c>
      <c r="AC96" s="19">
        <v>74</v>
      </c>
      <c r="AD96" s="19">
        <v>80</v>
      </c>
      <c r="AE96" s="19">
        <v>40</v>
      </c>
      <c r="AF96" s="19">
        <v>46</v>
      </c>
      <c r="AG96" s="19">
        <v>56</v>
      </c>
      <c r="AH96" s="19">
        <v>43</v>
      </c>
      <c r="AI96" s="6">
        <f t="shared" si="7"/>
        <v>0.29173720000000003</v>
      </c>
      <c r="AJ96" s="6">
        <f t="shared" si="8"/>
        <v>0.83799999999999997</v>
      </c>
      <c r="AK96" s="6">
        <f t="shared" si="9"/>
        <v>2.0501640000000005</v>
      </c>
      <c r="AL96" s="6">
        <f t="shared" si="10"/>
        <v>0.90799999999999992</v>
      </c>
      <c r="AM96" s="6">
        <f t="shared" si="11"/>
        <v>0.97805360000000008</v>
      </c>
    </row>
    <row r="97" spans="1:39" ht="15" thickBot="1" x14ac:dyDescent="0.35">
      <c r="A97" s="6">
        <f t="shared" si="6"/>
        <v>26.116848906263982</v>
      </c>
      <c r="B97" s="20">
        <v>138</v>
      </c>
      <c r="C97" s="13" t="s">
        <v>166</v>
      </c>
      <c r="D97" s="21" t="s">
        <v>7</v>
      </c>
      <c r="E97" s="21" t="s">
        <v>19</v>
      </c>
      <c r="F97" s="21" t="s">
        <v>19</v>
      </c>
      <c r="G97" s="21">
        <v>18</v>
      </c>
      <c r="H97" s="21">
        <v>36</v>
      </c>
      <c r="I97" s="21">
        <v>11</v>
      </c>
      <c r="J97" s="21">
        <v>53</v>
      </c>
      <c r="K97" s="21">
        <v>38</v>
      </c>
      <c r="L97" s="21">
        <v>39</v>
      </c>
      <c r="M97" s="21">
        <v>63</v>
      </c>
      <c r="N97" s="21">
        <v>31</v>
      </c>
      <c r="O97" s="21">
        <v>40</v>
      </c>
      <c r="P97" s="21">
        <v>45</v>
      </c>
      <c r="Q97" s="20">
        <v>138</v>
      </c>
      <c r="R97" s="13" t="s">
        <v>166</v>
      </c>
      <c r="S97" s="21" t="s">
        <v>7</v>
      </c>
      <c r="T97" s="21" t="s">
        <v>19</v>
      </c>
      <c r="U97" s="21" t="s">
        <v>19</v>
      </c>
      <c r="V97" s="21">
        <v>18</v>
      </c>
      <c r="W97" s="21">
        <v>11</v>
      </c>
      <c r="X97" s="21">
        <v>18</v>
      </c>
      <c r="Y97" s="21">
        <v>60</v>
      </c>
      <c r="Z97" s="21">
        <v>73</v>
      </c>
      <c r="AA97" s="21">
        <v>52</v>
      </c>
      <c r="AB97" s="21">
        <v>90</v>
      </c>
      <c r="AC97" s="21">
        <v>72</v>
      </c>
      <c r="AD97" s="21">
        <v>2</v>
      </c>
      <c r="AE97" s="21">
        <v>65</v>
      </c>
      <c r="AF97" s="21">
        <v>25</v>
      </c>
      <c r="AG97" s="21">
        <v>54</v>
      </c>
      <c r="AH97" s="21">
        <v>45</v>
      </c>
      <c r="AI97" s="6">
        <f t="shared" si="7"/>
        <v>1.4485192000000005</v>
      </c>
      <c r="AJ97" s="6">
        <f t="shared" si="8"/>
        <v>0.73199999999999998</v>
      </c>
      <c r="AK97" s="6">
        <f t="shared" si="9"/>
        <v>1.0006110000000001</v>
      </c>
      <c r="AL97" s="6">
        <f t="shared" si="10"/>
        <v>0.8640000000000001</v>
      </c>
      <c r="AM97" s="6">
        <f t="shared" si="11"/>
        <v>0.12579320000000005</v>
      </c>
    </row>
    <row r="98" spans="1:39" ht="15" thickBot="1" x14ac:dyDescent="0.35">
      <c r="A98" s="6">
        <f t="shared" si="6"/>
        <v>23.411881285624755</v>
      </c>
      <c r="B98" s="18">
        <v>195</v>
      </c>
      <c r="C98" s="12" t="s">
        <v>223</v>
      </c>
      <c r="D98" s="19" t="s">
        <v>4</v>
      </c>
      <c r="E98" s="19" t="s">
        <v>19</v>
      </c>
      <c r="F98" s="19" t="s">
        <v>19</v>
      </c>
      <c r="G98" s="19">
        <v>18</v>
      </c>
      <c r="H98" s="19">
        <v>0</v>
      </c>
      <c r="I98" s="19">
        <v>43</v>
      </c>
      <c r="J98" s="19">
        <v>34</v>
      </c>
      <c r="K98" s="19">
        <v>17</v>
      </c>
      <c r="L98" s="19">
        <v>54</v>
      </c>
      <c r="M98" s="19">
        <v>20</v>
      </c>
      <c r="N98" s="19">
        <v>0</v>
      </c>
      <c r="O98" s="19">
        <v>13</v>
      </c>
      <c r="P98" s="19">
        <v>35</v>
      </c>
      <c r="Q98" s="18">
        <v>195</v>
      </c>
      <c r="R98" s="12" t="s">
        <v>223</v>
      </c>
      <c r="S98" s="19" t="s">
        <v>4</v>
      </c>
      <c r="T98" s="19" t="s">
        <v>19</v>
      </c>
      <c r="U98" s="19" t="s">
        <v>19</v>
      </c>
      <c r="V98" s="19">
        <v>18</v>
      </c>
      <c r="W98" s="19">
        <v>31</v>
      </c>
      <c r="X98" s="19">
        <v>20</v>
      </c>
      <c r="Y98" s="19">
        <v>20</v>
      </c>
      <c r="Z98" s="19">
        <v>26</v>
      </c>
      <c r="AA98" s="19">
        <v>12</v>
      </c>
      <c r="AB98" s="19">
        <v>75</v>
      </c>
      <c r="AC98" s="19">
        <v>78</v>
      </c>
      <c r="AD98" s="19">
        <v>24</v>
      </c>
      <c r="AE98" s="19">
        <v>53</v>
      </c>
      <c r="AF98" s="19">
        <v>65</v>
      </c>
      <c r="AG98" s="19">
        <v>76</v>
      </c>
      <c r="AH98" s="19">
        <v>35</v>
      </c>
      <c r="AI98" s="6">
        <f t="shared" si="7"/>
        <v>1.7246736000000005</v>
      </c>
      <c r="AJ98" s="6">
        <f t="shared" si="8"/>
        <v>0.21299999999999999</v>
      </c>
      <c r="AK98" s="6">
        <f t="shared" si="9"/>
        <v>0.44940600000000003</v>
      </c>
      <c r="AL98" s="6">
        <f t="shared" si="10"/>
        <v>0.75599999999999989</v>
      </c>
      <c r="AM98" s="6">
        <f t="shared" si="11"/>
        <v>0.30295640000000007</v>
      </c>
    </row>
    <row r="99" spans="1:39" ht="15" thickBot="1" x14ac:dyDescent="0.35">
      <c r="A99" s="6">
        <f t="shared" si="6"/>
        <v>24.824992837745082</v>
      </c>
      <c r="B99" s="20">
        <v>148</v>
      </c>
      <c r="C99" s="13" t="s">
        <v>176</v>
      </c>
      <c r="D99" s="21" t="s">
        <v>9</v>
      </c>
      <c r="E99" s="21" t="s">
        <v>19</v>
      </c>
      <c r="F99" s="21" t="s">
        <v>19</v>
      </c>
      <c r="G99" s="21">
        <v>18</v>
      </c>
      <c r="H99" s="21">
        <v>23</v>
      </c>
      <c r="I99" s="21">
        <v>12</v>
      </c>
      <c r="J99" s="21">
        <v>30</v>
      </c>
      <c r="K99" s="21">
        <v>10</v>
      </c>
      <c r="L99" s="21">
        <v>32</v>
      </c>
      <c r="M99" s="21">
        <v>47</v>
      </c>
      <c r="N99" s="21">
        <v>67</v>
      </c>
      <c r="O99" s="21">
        <v>69</v>
      </c>
      <c r="P99" s="21">
        <v>43</v>
      </c>
      <c r="Q99" s="20">
        <v>148</v>
      </c>
      <c r="R99" s="13" t="s">
        <v>176</v>
      </c>
      <c r="S99" s="21" t="s">
        <v>9</v>
      </c>
      <c r="T99" s="21" t="s">
        <v>19</v>
      </c>
      <c r="U99" s="21" t="s">
        <v>19</v>
      </c>
      <c r="V99" s="21">
        <v>18</v>
      </c>
      <c r="W99" s="21">
        <v>67</v>
      </c>
      <c r="X99" s="21">
        <v>42</v>
      </c>
      <c r="Y99" s="21">
        <v>40</v>
      </c>
      <c r="Z99" s="21">
        <v>43</v>
      </c>
      <c r="AA99" s="21">
        <v>4</v>
      </c>
      <c r="AB99" s="21">
        <v>92</v>
      </c>
      <c r="AC99" s="21">
        <v>69</v>
      </c>
      <c r="AD99" s="21">
        <v>73</v>
      </c>
      <c r="AE99" s="21">
        <v>38</v>
      </c>
      <c r="AF99" s="21">
        <v>84</v>
      </c>
      <c r="AG99" s="21">
        <v>60</v>
      </c>
      <c r="AH99" s="21">
        <v>43</v>
      </c>
      <c r="AI99" s="6">
        <f t="shared" si="7"/>
        <v>0.5910044000000001</v>
      </c>
      <c r="AJ99" s="6">
        <f t="shared" si="8"/>
        <v>0.67299999999999993</v>
      </c>
      <c r="AK99" s="6">
        <f t="shared" si="9"/>
        <v>1.6647240000000005</v>
      </c>
      <c r="AL99" s="6">
        <f t="shared" si="10"/>
        <v>0.87400000000000011</v>
      </c>
      <c r="AM99" s="6">
        <f t="shared" si="11"/>
        <v>0.95021080000000013</v>
      </c>
    </row>
    <row r="100" spans="1:39" ht="15" thickBot="1" x14ac:dyDescent="0.35">
      <c r="A100" s="6">
        <f t="shared" si="6"/>
        <v>24.298918947148525</v>
      </c>
      <c r="B100" s="18">
        <v>141</v>
      </c>
      <c r="C100" s="12" t="s">
        <v>169</v>
      </c>
      <c r="D100" s="19" t="s">
        <v>9</v>
      </c>
      <c r="E100" s="19" t="s">
        <v>20</v>
      </c>
      <c r="F100" s="19" t="s">
        <v>20</v>
      </c>
      <c r="G100" s="19">
        <v>18</v>
      </c>
      <c r="H100" s="19">
        <v>42</v>
      </c>
      <c r="I100" s="19">
        <v>11</v>
      </c>
      <c r="J100" s="19">
        <v>20</v>
      </c>
      <c r="K100" s="19">
        <v>13</v>
      </c>
      <c r="L100" s="19">
        <v>35</v>
      </c>
      <c r="M100" s="19">
        <v>72</v>
      </c>
      <c r="N100" s="19">
        <v>72</v>
      </c>
      <c r="O100" s="19">
        <v>41</v>
      </c>
      <c r="P100" s="19">
        <v>44</v>
      </c>
      <c r="Q100" s="18">
        <v>141</v>
      </c>
      <c r="R100" s="12" t="s">
        <v>169</v>
      </c>
      <c r="S100" s="19" t="s">
        <v>9</v>
      </c>
      <c r="T100" s="19" t="s">
        <v>20</v>
      </c>
      <c r="U100" s="19" t="s">
        <v>20</v>
      </c>
      <c r="V100" s="19">
        <v>18</v>
      </c>
      <c r="W100" s="19">
        <v>56</v>
      </c>
      <c r="X100" s="19">
        <v>44</v>
      </c>
      <c r="Y100" s="19">
        <v>36</v>
      </c>
      <c r="Z100" s="19">
        <v>32</v>
      </c>
      <c r="AA100" s="19">
        <v>10</v>
      </c>
      <c r="AB100" s="19">
        <v>91</v>
      </c>
      <c r="AC100" s="19">
        <v>52</v>
      </c>
      <c r="AD100" s="19">
        <v>65</v>
      </c>
      <c r="AE100" s="19">
        <v>62</v>
      </c>
      <c r="AF100" s="19">
        <v>8</v>
      </c>
      <c r="AG100" s="19">
        <v>35</v>
      </c>
      <c r="AH100" s="19">
        <v>44</v>
      </c>
      <c r="AI100" s="6">
        <f t="shared" si="7"/>
        <v>0.8092832000000002</v>
      </c>
      <c r="AJ100" s="6">
        <f t="shared" si="8"/>
        <v>0.90500000000000003</v>
      </c>
      <c r="AK100" s="6">
        <f t="shared" si="9"/>
        <v>1.3321920000000003</v>
      </c>
      <c r="AL100" s="6">
        <f t="shared" si="10"/>
        <v>0.83200000000000007</v>
      </c>
      <c r="AM100" s="6">
        <f t="shared" si="11"/>
        <v>0.75211300000000014</v>
      </c>
    </row>
    <row r="101" spans="1:39" ht="15" thickBot="1" x14ac:dyDescent="0.35">
      <c r="A101" s="6">
        <f t="shared" si="6"/>
        <v>24.659780655943173</v>
      </c>
      <c r="B101" s="18">
        <v>171</v>
      </c>
      <c r="C101" s="12" t="s">
        <v>199</v>
      </c>
      <c r="D101" s="19" t="s">
        <v>16</v>
      </c>
      <c r="E101" s="19" t="s">
        <v>21</v>
      </c>
      <c r="F101" s="19" t="s">
        <v>20</v>
      </c>
      <c r="G101" s="19">
        <v>21</v>
      </c>
      <c r="H101" s="19">
        <v>42</v>
      </c>
      <c r="I101" s="19">
        <v>0</v>
      </c>
      <c r="J101" s="19">
        <v>1</v>
      </c>
      <c r="K101" s="19">
        <v>25</v>
      </c>
      <c r="L101" s="19">
        <v>32</v>
      </c>
      <c r="M101" s="19">
        <v>0</v>
      </c>
      <c r="N101" s="19">
        <v>57</v>
      </c>
      <c r="O101" s="19">
        <v>46</v>
      </c>
      <c r="P101" s="19">
        <v>47</v>
      </c>
      <c r="Q101" s="18">
        <v>171</v>
      </c>
      <c r="R101" s="12" t="s">
        <v>199</v>
      </c>
      <c r="S101" s="19" t="s">
        <v>16</v>
      </c>
      <c r="T101" s="19" t="s">
        <v>21</v>
      </c>
      <c r="U101" s="19" t="s">
        <v>20</v>
      </c>
      <c r="V101" s="19">
        <v>21</v>
      </c>
      <c r="W101" s="19">
        <v>60</v>
      </c>
      <c r="X101" s="19">
        <v>1</v>
      </c>
      <c r="Y101" s="19">
        <v>75</v>
      </c>
      <c r="Z101" s="19">
        <v>46</v>
      </c>
      <c r="AA101" s="19">
        <v>44</v>
      </c>
      <c r="AB101" s="19">
        <v>66</v>
      </c>
      <c r="AC101" s="19">
        <v>100</v>
      </c>
      <c r="AD101" s="19">
        <v>34</v>
      </c>
      <c r="AE101" s="19">
        <v>74</v>
      </c>
      <c r="AF101" s="19">
        <v>84</v>
      </c>
      <c r="AG101" s="19">
        <v>86</v>
      </c>
      <c r="AH101" s="19">
        <v>47</v>
      </c>
      <c r="AI101" s="6">
        <f t="shared" si="7"/>
        <v>0.77808880000000025</v>
      </c>
      <c r="AJ101" s="6">
        <f t="shared" si="8"/>
        <v>0.16</v>
      </c>
      <c r="AK101" s="6">
        <f t="shared" si="9"/>
        <v>1.7768160000000006</v>
      </c>
      <c r="AL101" s="6">
        <f t="shared" si="10"/>
        <v>0.72800000000000009</v>
      </c>
      <c r="AM101" s="6">
        <f t="shared" si="11"/>
        <v>0.47957120000000014</v>
      </c>
    </row>
    <row r="102" spans="1:39" ht="15" thickBot="1" x14ac:dyDescent="0.35">
      <c r="A102" s="6">
        <f t="shared" si="6"/>
        <v>23.803424154704704</v>
      </c>
      <c r="B102" s="18">
        <v>169</v>
      </c>
      <c r="C102" s="12" t="s">
        <v>197</v>
      </c>
      <c r="D102" s="19" t="s">
        <v>16</v>
      </c>
      <c r="E102" s="19" t="s">
        <v>19</v>
      </c>
      <c r="F102" s="19" t="s">
        <v>19</v>
      </c>
      <c r="G102" s="19">
        <v>22</v>
      </c>
      <c r="H102" s="19">
        <v>39</v>
      </c>
      <c r="I102" s="19">
        <v>0</v>
      </c>
      <c r="J102" s="19">
        <v>0</v>
      </c>
      <c r="K102" s="19">
        <v>23</v>
      </c>
      <c r="L102" s="19">
        <v>25</v>
      </c>
      <c r="M102" s="19">
        <v>0</v>
      </c>
      <c r="N102" s="19">
        <v>50</v>
      </c>
      <c r="O102" s="19">
        <v>35</v>
      </c>
      <c r="P102" s="19">
        <v>49</v>
      </c>
      <c r="Q102" s="18">
        <v>169</v>
      </c>
      <c r="R102" s="12" t="s">
        <v>197</v>
      </c>
      <c r="S102" s="19" t="s">
        <v>16</v>
      </c>
      <c r="T102" s="19" t="s">
        <v>19</v>
      </c>
      <c r="U102" s="19" t="s">
        <v>19</v>
      </c>
      <c r="V102" s="19">
        <v>22</v>
      </c>
      <c r="W102" s="19">
        <v>67</v>
      </c>
      <c r="X102" s="19">
        <v>25</v>
      </c>
      <c r="Y102" s="19">
        <v>65</v>
      </c>
      <c r="Z102" s="19">
        <v>42</v>
      </c>
      <c r="AA102" s="19">
        <v>33</v>
      </c>
      <c r="AB102" s="19">
        <v>92</v>
      </c>
      <c r="AC102" s="19">
        <v>100</v>
      </c>
      <c r="AD102" s="19">
        <v>32</v>
      </c>
      <c r="AE102" s="19">
        <v>97</v>
      </c>
      <c r="AF102" s="19">
        <v>76</v>
      </c>
      <c r="AG102" s="19">
        <v>100</v>
      </c>
      <c r="AH102" s="19">
        <v>49</v>
      </c>
      <c r="AI102" s="6">
        <f t="shared" si="7"/>
        <v>0.58815720000000016</v>
      </c>
      <c r="AJ102" s="6">
        <f t="shared" si="8"/>
        <v>0.13500000000000001</v>
      </c>
      <c r="AK102" s="6">
        <f t="shared" si="9"/>
        <v>1.8048580000000003</v>
      </c>
      <c r="AL102" s="6">
        <f t="shared" si="10"/>
        <v>0.93600000000000005</v>
      </c>
      <c r="AM102" s="6">
        <f t="shared" si="11"/>
        <v>0.47320420000000013</v>
      </c>
    </row>
    <row r="103" spans="1:39" ht="15" thickBot="1" x14ac:dyDescent="0.35">
      <c r="A103" s="6">
        <f t="shared" si="6"/>
        <v>23.28365036258915</v>
      </c>
      <c r="B103" s="18">
        <v>143</v>
      </c>
      <c r="C103" s="12" t="s">
        <v>171</v>
      </c>
      <c r="D103" s="19" t="s">
        <v>9</v>
      </c>
      <c r="E103" s="19" t="s">
        <v>19</v>
      </c>
      <c r="F103" s="19" t="s">
        <v>19</v>
      </c>
      <c r="G103" s="19">
        <v>18</v>
      </c>
      <c r="H103" s="19">
        <v>34</v>
      </c>
      <c r="I103" s="19">
        <v>1</v>
      </c>
      <c r="J103" s="19">
        <v>30</v>
      </c>
      <c r="K103" s="19">
        <v>14</v>
      </c>
      <c r="L103" s="19">
        <v>33</v>
      </c>
      <c r="M103" s="19">
        <v>75</v>
      </c>
      <c r="N103" s="19">
        <v>76</v>
      </c>
      <c r="O103" s="19">
        <v>65</v>
      </c>
      <c r="P103" s="19">
        <v>44</v>
      </c>
      <c r="Q103" s="18">
        <v>143</v>
      </c>
      <c r="R103" s="12" t="s">
        <v>171</v>
      </c>
      <c r="S103" s="19" t="s">
        <v>9</v>
      </c>
      <c r="T103" s="19" t="s">
        <v>19</v>
      </c>
      <c r="U103" s="19" t="s">
        <v>19</v>
      </c>
      <c r="V103" s="19">
        <v>18</v>
      </c>
      <c r="W103" s="19">
        <v>43</v>
      </c>
      <c r="X103" s="19">
        <v>36</v>
      </c>
      <c r="Y103" s="19">
        <v>50</v>
      </c>
      <c r="Z103" s="19">
        <v>32</v>
      </c>
      <c r="AA103" s="19">
        <v>8</v>
      </c>
      <c r="AB103" s="19">
        <v>88</v>
      </c>
      <c r="AC103" s="19">
        <v>67</v>
      </c>
      <c r="AD103" s="19">
        <v>76</v>
      </c>
      <c r="AE103" s="19">
        <v>61</v>
      </c>
      <c r="AF103" s="19">
        <v>29</v>
      </c>
      <c r="AG103" s="19">
        <v>64</v>
      </c>
      <c r="AH103" s="19">
        <v>44</v>
      </c>
      <c r="AI103" s="6">
        <f t="shared" si="7"/>
        <v>0.7182360000000001</v>
      </c>
      <c r="AJ103" s="6">
        <f t="shared" si="8"/>
        <v>0.96700000000000008</v>
      </c>
      <c r="AK103" s="6">
        <f t="shared" si="9"/>
        <v>1.2281180000000003</v>
      </c>
      <c r="AL103" s="6">
        <f t="shared" si="10"/>
        <v>0.83800000000000008</v>
      </c>
      <c r="AM103" s="6">
        <f t="shared" si="11"/>
        <v>0.95278120000000022</v>
      </c>
    </row>
    <row r="104" spans="1:39" ht="15" thickBot="1" x14ac:dyDescent="0.35">
      <c r="A104" s="6">
        <f t="shared" si="6"/>
        <v>25.135343788235996</v>
      </c>
      <c r="B104" s="20">
        <v>114</v>
      </c>
      <c r="C104" s="13" t="s">
        <v>142</v>
      </c>
      <c r="D104" s="21" t="s">
        <v>7</v>
      </c>
      <c r="E104" s="21" t="s">
        <v>19</v>
      </c>
      <c r="F104" s="21" t="s">
        <v>19</v>
      </c>
      <c r="G104" s="21">
        <v>18</v>
      </c>
      <c r="H104" s="21">
        <v>7</v>
      </c>
      <c r="I104" s="21">
        <v>21</v>
      </c>
      <c r="J104" s="21">
        <v>37</v>
      </c>
      <c r="K104" s="21">
        <v>44</v>
      </c>
      <c r="L104" s="21">
        <v>21</v>
      </c>
      <c r="M104" s="21">
        <v>41</v>
      </c>
      <c r="N104" s="21">
        <v>59</v>
      </c>
      <c r="O104" s="21">
        <v>39</v>
      </c>
      <c r="P104" s="21">
        <v>43</v>
      </c>
      <c r="Q104" s="20">
        <v>114</v>
      </c>
      <c r="R104" s="13" t="s">
        <v>142</v>
      </c>
      <c r="S104" s="21" t="s">
        <v>7</v>
      </c>
      <c r="T104" s="21" t="s">
        <v>19</v>
      </c>
      <c r="U104" s="21" t="s">
        <v>19</v>
      </c>
      <c r="V104" s="21">
        <v>18</v>
      </c>
      <c r="W104" s="21">
        <v>14</v>
      </c>
      <c r="X104" s="21">
        <v>36</v>
      </c>
      <c r="Y104" s="21">
        <v>74</v>
      </c>
      <c r="Z104" s="21">
        <v>83</v>
      </c>
      <c r="AA104" s="21">
        <v>84</v>
      </c>
      <c r="AB104" s="21">
        <v>72</v>
      </c>
      <c r="AC104" s="21">
        <v>93</v>
      </c>
      <c r="AD104" s="21">
        <v>30</v>
      </c>
      <c r="AE104" s="21">
        <v>69</v>
      </c>
      <c r="AF104" s="21">
        <v>14</v>
      </c>
      <c r="AG104" s="21">
        <v>47</v>
      </c>
      <c r="AH104" s="21">
        <v>43</v>
      </c>
      <c r="AI104" s="6">
        <f t="shared" si="7"/>
        <v>0.91824840000000041</v>
      </c>
      <c r="AJ104" s="6">
        <f t="shared" si="8"/>
        <v>0.56699999999999995</v>
      </c>
      <c r="AK104" s="6">
        <f t="shared" si="9"/>
        <v>1.5843314000000004</v>
      </c>
      <c r="AL104" s="6">
        <f t="shared" si="10"/>
        <v>0.76200000000000001</v>
      </c>
      <c r="AM104" s="6">
        <f t="shared" si="11"/>
        <v>0.28599680000000005</v>
      </c>
    </row>
    <row r="105" spans="1:39" ht="15" thickBot="1" x14ac:dyDescent="0.35">
      <c r="A105" s="6">
        <f t="shared" si="6"/>
        <v>23.927712256408725</v>
      </c>
      <c r="B105" s="20">
        <v>156</v>
      </c>
      <c r="C105" s="13" t="s">
        <v>184</v>
      </c>
      <c r="D105" s="21" t="s">
        <v>9</v>
      </c>
      <c r="E105" s="21" t="s">
        <v>21</v>
      </c>
      <c r="F105" s="21" t="s">
        <v>19</v>
      </c>
      <c r="G105" s="21">
        <v>18</v>
      </c>
      <c r="H105" s="21">
        <v>30</v>
      </c>
      <c r="I105" s="21">
        <v>21</v>
      </c>
      <c r="J105" s="21">
        <v>30</v>
      </c>
      <c r="K105" s="21">
        <v>17</v>
      </c>
      <c r="L105" s="21">
        <v>17</v>
      </c>
      <c r="M105" s="21">
        <v>46</v>
      </c>
      <c r="N105" s="21">
        <v>45</v>
      </c>
      <c r="O105" s="21">
        <v>62</v>
      </c>
      <c r="P105" s="21">
        <v>40</v>
      </c>
      <c r="Q105" s="20">
        <v>156</v>
      </c>
      <c r="R105" s="13" t="s">
        <v>184</v>
      </c>
      <c r="S105" s="21" t="s">
        <v>9</v>
      </c>
      <c r="T105" s="21" t="s">
        <v>21</v>
      </c>
      <c r="U105" s="21" t="s">
        <v>19</v>
      </c>
      <c r="V105" s="21">
        <v>18</v>
      </c>
      <c r="W105" s="21">
        <v>55</v>
      </c>
      <c r="X105" s="21">
        <v>41</v>
      </c>
      <c r="Y105" s="21">
        <v>50</v>
      </c>
      <c r="Z105" s="21">
        <v>53</v>
      </c>
      <c r="AA105" s="21">
        <v>13</v>
      </c>
      <c r="AB105" s="21">
        <v>81</v>
      </c>
      <c r="AC105" s="21">
        <v>88</v>
      </c>
      <c r="AD105" s="21">
        <v>29</v>
      </c>
      <c r="AE105" s="21">
        <v>63</v>
      </c>
      <c r="AF105" s="21">
        <v>49</v>
      </c>
      <c r="AG105" s="21">
        <v>60</v>
      </c>
      <c r="AH105" s="21">
        <v>40</v>
      </c>
      <c r="AI105" s="6">
        <f t="shared" si="7"/>
        <v>0.59626720000000011</v>
      </c>
      <c r="AJ105" s="6">
        <f t="shared" si="8"/>
        <v>0.61199999999999999</v>
      </c>
      <c r="AK105" s="6">
        <f t="shared" si="9"/>
        <v>1.7685540000000004</v>
      </c>
      <c r="AL105" s="6">
        <f t="shared" si="10"/>
        <v>0.82400000000000007</v>
      </c>
      <c r="AM105" s="6">
        <f t="shared" si="11"/>
        <v>0.32562280000000005</v>
      </c>
    </row>
    <row r="106" spans="1:39" ht="15" thickBot="1" x14ac:dyDescent="0.35">
      <c r="A106" s="6">
        <f t="shared" si="6"/>
        <v>23.708954161568531</v>
      </c>
      <c r="B106" s="18">
        <v>7</v>
      </c>
      <c r="C106" s="12" t="s">
        <v>35</v>
      </c>
      <c r="D106" s="19" t="s">
        <v>16</v>
      </c>
      <c r="E106" s="19" t="s">
        <v>19</v>
      </c>
      <c r="F106" s="19" t="s">
        <v>19</v>
      </c>
      <c r="G106" s="19">
        <v>18</v>
      </c>
      <c r="H106" s="19">
        <v>18</v>
      </c>
      <c r="I106" s="19">
        <v>2</v>
      </c>
      <c r="J106" s="19">
        <v>24</v>
      </c>
      <c r="K106" s="19">
        <v>24</v>
      </c>
      <c r="L106" s="19">
        <v>23</v>
      </c>
      <c r="M106" s="19">
        <v>25</v>
      </c>
      <c r="N106" s="19">
        <v>72</v>
      </c>
      <c r="O106" s="19">
        <v>72</v>
      </c>
      <c r="P106" s="19">
        <v>78</v>
      </c>
      <c r="Q106" s="18">
        <v>7</v>
      </c>
      <c r="R106" s="12" t="s">
        <v>35</v>
      </c>
      <c r="S106" s="19" t="s">
        <v>16</v>
      </c>
      <c r="T106" s="19" t="s">
        <v>19</v>
      </c>
      <c r="U106" s="19" t="s">
        <v>19</v>
      </c>
      <c r="V106" s="19">
        <v>18</v>
      </c>
      <c r="W106" s="19">
        <v>44</v>
      </c>
      <c r="X106" s="19">
        <v>26</v>
      </c>
      <c r="Y106" s="19">
        <v>95</v>
      </c>
      <c r="Z106" s="19">
        <v>61</v>
      </c>
      <c r="AA106" s="19">
        <v>16</v>
      </c>
      <c r="AB106" s="19">
        <v>67</v>
      </c>
      <c r="AC106" s="19">
        <v>89</v>
      </c>
      <c r="AD106" s="19">
        <v>20</v>
      </c>
      <c r="AE106" s="19">
        <v>91</v>
      </c>
      <c r="AF106" s="19">
        <v>70</v>
      </c>
      <c r="AG106" s="19">
        <v>76</v>
      </c>
      <c r="AH106" s="19">
        <v>78</v>
      </c>
      <c r="AI106" s="6">
        <f t="shared" si="7"/>
        <v>0.41552160000000005</v>
      </c>
      <c r="AJ106" s="6">
        <f t="shared" si="8"/>
        <v>0.46600000000000003</v>
      </c>
      <c r="AK106" s="6">
        <f t="shared" si="9"/>
        <v>2.0657280000000005</v>
      </c>
      <c r="AL106" s="6">
        <f t="shared" si="10"/>
        <v>0.71400000000000008</v>
      </c>
      <c r="AM106" s="6">
        <f t="shared" si="11"/>
        <v>0.31974460000000005</v>
      </c>
    </row>
    <row r="107" spans="1:39" ht="15" thickBot="1" x14ac:dyDescent="0.35">
      <c r="A107" s="6">
        <f t="shared" si="6"/>
        <v>23.142632128681846</v>
      </c>
      <c r="B107" s="18">
        <v>155</v>
      </c>
      <c r="C107" s="12" t="s">
        <v>183</v>
      </c>
      <c r="D107" s="19" t="s">
        <v>6</v>
      </c>
      <c r="E107" s="19" t="s">
        <v>19</v>
      </c>
      <c r="F107" s="19" t="s">
        <v>19</v>
      </c>
      <c r="G107" s="19">
        <v>18</v>
      </c>
      <c r="H107" s="19">
        <v>23</v>
      </c>
      <c r="I107" s="19">
        <v>7</v>
      </c>
      <c r="J107" s="19">
        <v>17</v>
      </c>
      <c r="K107" s="19">
        <v>3</v>
      </c>
      <c r="L107" s="19">
        <v>11</v>
      </c>
      <c r="M107" s="19">
        <v>50</v>
      </c>
      <c r="N107" s="19">
        <v>81</v>
      </c>
      <c r="O107" s="19">
        <v>47</v>
      </c>
      <c r="P107" s="19">
        <v>40</v>
      </c>
      <c r="Q107" s="18">
        <v>155</v>
      </c>
      <c r="R107" s="12" t="s">
        <v>183</v>
      </c>
      <c r="S107" s="19" t="s">
        <v>6</v>
      </c>
      <c r="T107" s="19" t="s">
        <v>19</v>
      </c>
      <c r="U107" s="19" t="s">
        <v>19</v>
      </c>
      <c r="V107" s="19">
        <v>18</v>
      </c>
      <c r="W107" s="19">
        <v>70</v>
      </c>
      <c r="X107" s="19">
        <v>49</v>
      </c>
      <c r="Y107" s="19">
        <v>50</v>
      </c>
      <c r="Z107" s="19">
        <v>52</v>
      </c>
      <c r="AA107" s="19">
        <v>5</v>
      </c>
      <c r="AB107" s="19">
        <v>87</v>
      </c>
      <c r="AC107" s="19">
        <v>92</v>
      </c>
      <c r="AD107" s="19">
        <v>47</v>
      </c>
      <c r="AE107" s="19">
        <v>77</v>
      </c>
      <c r="AF107" s="19">
        <v>12</v>
      </c>
      <c r="AG107" s="19">
        <v>100</v>
      </c>
      <c r="AH107" s="19">
        <v>40</v>
      </c>
      <c r="AI107" s="6">
        <f t="shared" si="7"/>
        <v>0.15136120000000006</v>
      </c>
      <c r="AJ107" s="6">
        <f t="shared" si="8"/>
        <v>0.70900000000000007</v>
      </c>
      <c r="AK107" s="6">
        <f t="shared" si="9"/>
        <v>2.0849860000000007</v>
      </c>
      <c r="AL107" s="6">
        <f t="shared" si="10"/>
        <v>0.88000000000000012</v>
      </c>
      <c r="AM107" s="6">
        <f t="shared" si="11"/>
        <v>0.58352780000000015</v>
      </c>
    </row>
    <row r="108" spans="1:39" ht="15" thickBot="1" x14ac:dyDescent="0.35">
      <c r="A108" s="6">
        <f t="shared" si="6"/>
        <v>23.568480408248522</v>
      </c>
      <c r="B108" s="20">
        <v>102</v>
      </c>
      <c r="C108" s="13" t="s">
        <v>130</v>
      </c>
      <c r="D108" s="21" t="s">
        <v>16</v>
      </c>
      <c r="E108" s="21" t="s">
        <v>20</v>
      </c>
      <c r="F108" s="21" t="s">
        <v>20</v>
      </c>
      <c r="G108" s="21">
        <v>18</v>
      </c>
      <c r="H108" s="21">
        <v>15</v>
      </c>
      <c r="I108" s="21">
        <v>1</v>
      </c>
      <c r="J108" s="21">
        <v>15</v>
      </c>
      <c r="K108" s="21">
        <v>37</v>
      </c>
      <c r="L108" s="21">
        <v>15</v>
      </c>
      <c r="M108" s="21">
        <v>24</v>
      </c>
      <c r="N108" s="21">
        <v>84</v>
      </c>
      <c r="O108" s="21">
        <v>52</v>
      </c>
      <c r="P108" s="21">
        <v>50</v>
      </c>
      <c r="Q108" s="20">
        <v>102</v>
      </c>
      <c r="R108" s="13" t="s">
        <v>130</v>
      </c>
      <c r="S108" s="21" t="s">
        <v>16</v>
      </c>
      <c r="T108" s="21" t="s">
        <v>20</v>
      </c>
      <c r="U108" s="21" t="s">
        <v>20</v>
      </c>
      <c r="V108" s="21">
        <v>18</v>
      </c>
      <c r="W108" s="21">
        <v>40</v>
      </c>
      <c r="X108" s="21">
        <v>33</v>
      </c>
      <c r="Y108" s="21">
        <v>57</v>
      </c>
      <c r="Z108" s="21">
        <v>94</v>
      </c>
      <c r="AA108" s="21">
        <v>35</v>
      </c>
      <c r="AB108" s="21">
        <v>63</v>
      </c>
      <c r="AC108" s="21">
        <v>96</v>
      </c>
      <c r="AD108" s="21">
        <v>32</v>
      </c>
      <c r="AE108" s="21">
        <v>45</v>
      </c>
      <c r="AF108" s="21">
        <v>81</v>
      </c>
      <c r="AG108" s="21">
        <v>75</v>
      </c>
      <c r="AH108" s="21">
        <v>50</v>
      </c>
      <c r="AI108" s="6">
        <f t="shared" si="7"/>
        <v>0.42207480000000003</v>
      </c>
      <c r="AJ108" s="6">
        <f t="shared" si="8"/>
        <v>0.46</v>
      </c>
      <c r="AK108" s="6">
        <f t="shared" si="9"/>
        <v>2.0258520000000004</v>
      </c>
      <c r="AL108" s="6">
        <f t="shared" si="10"/>
        <v>0.69600000000000006</v>
      </c>
      <c r="AM108" s="6">
        <f t="shared" si="11"/>
        <v>0.39859780000000011</v>
      </c>
    </row>
    <row r="109" spans="1:39" ht="15" thickBot="1" x14ac:dyDescent="0.35">
      <c r="A109" s="6">
        <f t="shared" si="6"/>
        <v>22.445803515473457</v>
      </c>
      <c r="B109" s="18">
        <v>83</v>
      </c>
      <c r="C109" s="12" t="s">
        <v>111</v>
      </c>
      <c r="D109" s="19" t="s">
        <v>16</v>
      </c>
      <c r="E109" s="19" t="s">
        <v>19</v>
      </c>
      <c r="F109" s="19" t="s">
        <v>19</v>
      </c>
      <c r="G109" s="19">
        <v>18</v>
      </c>
      <c r="H109" s="19">
        <v>19</v>
      </c>
      <c r="I109" s="19">
        <v>9</v>
      </c>
      <c r="J109" s="19">
        <v>20</v>
      </c>
      <c r="K109" s="19">
        <v>14</v>
      </c>
      <c r="L109" s="19">
        <v>11</v>
      </c>
      <c r="M109" s="19">
        <v>16</v>
      </c>
      <c r="N109" s="19">
        <v>74</v>
      </c>
      <c r="O109" s="19">
        <v>64</v>
      </c>
      <c r="P109" s="19">
        <v>54</v>
      </c>
      <c r="Q109" s="18">
        <v>83</v>
      </c>
      <c r="R109" s="12" t="s">
        <v>111</v>
      </c>
      <c r="S109" s="19" t="s">
        <v>16</v>
      </c>
      <c r="T109" s="19" t="s">
        <v>19</v>
      </c>
      <c r="U109" s="19" t="s">
        <v>19</v>
      </c>
      <c r="V109" s="19">
        <v>18</v>
      </c>
      <c r="W109" s="19">
        <v>46</v>
      </c>
      <c r="X109" s="19">
        <v>23</v>
      </c>
      <c r="Y109" s="19">
        <v>71</v>
      </c>
      <c r="Z109" s="19">
        <v>85</v>
      </c>
      <c r="AA109" s="19">
        <v>10</v>
      </c>
      <c r="AB109" s="19">
        <v>87</v>
      </c>
      <c r="AC109" s="19">
        <v>71</v>
      </c>
      <c r="AD109" s="19">
        <v>33</v>
      </c>
      <c r="AE109" s="19">
        <v>54</v>
      </c>
      <c r="AF109" s="19">
        <v>41</v>
      </c>
      <c r="AG109" s="19">
        <v>82</v>
      </c>
      <c r="AH109" s="19">
        <v>54</v>
      </c>
      <c r="AI109" s="6">
        <f t="shared" si="7"/>
        <v>0.18315720000000008</v>
      </c>
      <c r="AJ109" s="6">
        <f t="shared" si="8"/>
        <v>0.37200000000000005</v>
      </c>
      <c r="AK109" s="6">
        <f t="shared" si="9"/>
        <v>2.1359420000000009</v>
      </c>
      <c r="AL109" s="6">
        <f t="shared" si="10"/>
        <v>0.83800000000000008</v>
      </c>
      <c r="AM109" s="6">
        <f t="shared" si="11"/>
        <v>0.37685740000000012</v>
      </c>
    </row>
    <row r="110" spans="1:39" ht="15" thickBot="1" x14ac:dyDescent="0.35">
      <c r="A110" s="6">
        <f t="shared" si="6"/>
        <v>21.723200185024918</v>
      </c>
      <c r="B110" s="20">
        <v>24</v>
      </c>
      <c r="C110" s="13" t="s">
        <v>52</v>
      </c>
      <c r="D110" s="21" t="s">
        <v>16</v>
      </c>
      <c r="E110" s="21" t="s">
        <v>20</v>
      </c>
      <c r="F110" s="21" t="s">
        <v>20</v>
      </c>
      <c r="G110" s="21">
        <v>18</v>
      </c>
      <c r="H110" s="21">
        <v>26</v>
      </c>
      <c r="I110" s="21">
        <v>8</v>
      </c>
      <c r="J110" s="21">
        <v>1</v>
      </c>
      <c r="K110" s="21">
        <v>37</v>
      </c>
      <c r="L110" s="21">
        <v>33</v>
      </c>
      <c r="M110" s="21">
        <v>18</v>
      </c>
      <c r="N110" s="21">
        <v>68</v>
      </c>
      <c r="O110" s="21">
        <v>68</v>
      </c>
      <c r="P110" s="21">
        <v>69</v>
      </c>
      <c r="Q110" s="20">
        <v>24</v>
      </c>
      <c r="R110" s="13" t="s">
        <v>52</v>
      </c>
      <c r="S110" s="21" t="s">
        <v>16</v>
      </c>
      <c r="T110" s="21" t="s">
        <v>20</v>
      </c>
      <c r="U110" s="21" t="s">
        <v>20</v>
      </c>
      <c r="V110" s="21">
        <v>18</v>
      </c>
      <c r="W110" s="21">
        <v>46</v>
      </c>
      <c r="X110" s="21">
        <v>21</v>
      </c>
      <c r="Y110" s="21">
        <v>85</v>
      </c>
      <c r="Z110" s="21">
        <v>23</v>
      </c>
      <c r="AA110" s="21">
        <v>5</v>
      </c>
      <c r="AB110" s="21">
        <v>48</v>
      </c>
      <c r="AC110" s="21">
        <v>74</v>
      </c>
      <c r="AD110" s="21">
        <v>25</v>
      </c>
      <c r="AE110" s="21">
        <v>77</v>
      </c>
      <c r="AF110" s="21">
        <v>43</v>
      </c>
      <c r="AG110" s="21">
        <v>89</v>
      </c>
      <c r="AH110" s="21">
        <v>69</v>
      </c>
      <c r="AI110" s="6">
        <f t="shared" si="7"/>
        <v>0.77303280000000008</v>
      </c>
      <c r="AJ110" s="6">
        <f t="shared" si="8"/>
        <v>0.38400000000000006</v>
      </c>
      <c r="AK110" s="6">
        <f t="shared" si="9"/>
        <v>1.4662420000000005</v>
      </c>
      <c r="AL110" s="6">
        <f t="shared" si="10"/>
        <v>0.53200000000000003</v>
      </c>
      <c r="AM110" s="6">
        <f t="shared" si="11"/>
        <v>0.3265262000000001</v>
      </c>
    </row>
    <row r="111" spans="1:39" ht="15" thickBot="1" x14ac:dyDescent="0.35">
      <c r="A111" s="6">
        <f t="shared" si="6"/>
        <v>21.547383538750783</v>
      </c>
      <c r="B111" s="20">
        <v>194</v>
      </c>
      <c r="C111" s="13" t="s">
        <v>222</v>
      </c>
      <c r="D111" s="21" t="s">
        <v>4</v>
      </c>
      <c r="E111" s="21" t="s">
        <v>20</v>
      </c>
      <c r="F111" s="21" t="s">
        <v>19</v>
      </c>
      <c r="G111" s="21">
        <v>18</v>
      </c>
      <c r="H111" s="21">
        <v>37</v>
      </c>
      <c r="I111" s="21">
        <v>31</v>
      </c>
      <c r="J111" s="21">
        <v>28</v>
      </c>
      <c r="K111" s="21">
        <v>22</v>
      </c>
      <c r="L111" s="21">
        <v>29</v>
      </c>
      <c r="M111" s="21">
        <v>36</v>
      </c>
      <c r="N111" s="21">
        <v>51</v>
      </c>
      <c r="O111" s="21">
        <v>32</v>
      </c>
      <c r="P111" s="21">
        <v>43</v>
      </c>
      <c r="Q111" s="20">
        <v>194</v>
      </c>
      <c r="R111" s="13" t="s">
        <v>222</v>
      </c>
      <c r="S111" s="21" t="s">
        <v>4</v>
      </c>
      <c r="T111" s="21" t="s">
        <v>20</v>
      </c>
      <c r="U111" s="21" t="s">
        <v>19</v>
      </c>
      <c r="V111" s="21">
        <v>18</v>
      </c>
      <c r="W111" s="21">
        <v>21</v>
      </c>
      <c r="X111" s="21">
        <v>10</v>
      </c>
      <c r="Y111" s="21">
        <v>56</v>
      </c>
      <c r="Z111" s="21">
        <v>55</v>
      </c>
      <c r="AA111" s="21">
        <v>52</v>
      </c>
      <c r="AB111" s="21">
        <v>84</v>
      </c>
      <c r="AC111" s="21">
        <v>79</v>
      </c>
      <c r="AD111" s="21">
        <v>22</v>
      </c>
      <c r="AE111" s="21">
        <v>59</v>
      </c>
      <c r="AF111" s="21">
        <v>14</v>
      </c>
      <c r="AG111" s="21">
        <v>63</v>
      </c>
      <c r="AH111" s="21">
        <v>43</v>
      </c>
      <c r="AI111" s="6">
        <f t="shared" si="7"/>
        <v>1.1032588000000003</v>
      </c>
      <c r="AJ111" s="6">
        <f t="shared" si="8"/>
        <v>0.49400000000000005</v>
      </c>
      <c r="AK111" s="6">
        <f t="shared" si="9"/>
        <v>0.88229300000000022</v>
      </c>
      <c r="AL111" s="6">
        <f t="shared" si="10"/>
        <v>0.83</v>
      </c>
      <c r="AM111" s="6">
        <f t="shared" si="11"/>
        <v>0.21186200000000005</v>
      </c>
    </row>
    <row r="112" spans="1:39" ht="15" thickBot="1" x14ac:dyDescent="0.35">
      <c r="A112" s="6">
        <f t="shared" si="6"/>
        <v>22.140750246202515</v>
      </c>
      <c r="B112" s="18">
        <v>9</v>
      </c>
      <c r="C112" s="12" t="s">
        <v>37</v>
      </c>
      <c r="D112" s="19" t="s">
        <v>16</v>
      </c>
      <c r="E112" s="19" t="s">
        <v>19</v>
      </c>
      <c r="F112" s="19" t="s">
        <v>19</v>
      </c>
      <c r="G112" s="19">
        <v>18</v>
      </c>
      <c r="H112" s="19">
        <v>27</v>
      </c>
      <c r="I112" s="19">
        <v>15</v>
      </c>
      <c r="J112" s="19">
        <v>34</v>
      </c>
      <c r="K112" s="19">
        <v>18</v>
      </c>
      <c r="L112" s="19">
        <v>13</v>
      </c>
      <c r="M112" s="19">
        <v>20</v>
      </c>
      <c r="N112" s="19">
        <v>72</v>
      </c>
      <c r="O112" s="19">
        <v>61</v>
      </c>
      <c r="P112" s="19">
        <v>77</v>
      </c>
      <c r="Q112" s="18">
        <v>9</v>
      </c>
      <c r="R112" s="12" t="s">
        <v>37</v>
      </c>
      <c r="S112" s="19" t="s">
        <v>16</v>
      </c>
      <c r="T112" s="19" t="s">
        <v>19</v>
      </c>
      <c r="U112" s="19" t="s">
        <v>19</v>
      </c>
      <c r="V112" s="19">
        <v>18</v>
      </c>
      <c r="W112" s="19">
        <v>51</v>
      </c>
      <c r="X112" s="19">
        <v>53</v>
      </c>
      <c r="Y112" s="19">
        <v>20</v>
      </c>
      <c r="Z112" s="19">
        <v>84</v>
      </c>
      <c r="AA112" s="19">
        <v>23</v>
      </c>
      <c r="AB112" s="19">
        <v>29</v>
      </c>
      <c r="AC112" s="19">
        <v>92</v>
      </c>
      <c r="AD112" s="19">
        <v>37</v>
      </c>
      <c r="AE112" s="19">
        <v>54</v>
      </c>
      <c r="AF112" s="19">
        <v>31</v>
      </c>
      <c r="AG112" s="19">
        <v>70</v>
      </c>
      <c r="AH112" s="19">
        <v>77</v>
      </c>
      <c r="AI112" s="6">
        <f t="shared" si="7"/>
        <v>0.48152040000000007</v>
      </c>
      <c r="AJ112" s="6">
        <f t="shared" si="8"/>
        <v>0.40500000000000003</v>
      </c>
      <c r="AK112" s="6">
        <f t="shared" si="9"/>
        <v>1.9158560000000007</v>
      </c>
      <c r="AL112" s="6">
        <f t="shared" si="10"/>
        <v>0.41600000000000009</v>
      </c>
      <c r="AM112" s="6">
        <f t="shared" si="11"/>
        <v>0.40133700000000005</v>
      </c>
    </row>
    <row r="113" spans="1:39" ht="15" thickBot="1" x14ac:dyDescent="0.35">
      <c r="A113" s="6">
        <f t="shared" si="6"/>
        <v>21.817464412545881</v>
      </c>
      <c r="B113" s="18">
        <v>75</v>
      </c>
      <c r="C113" s="12" t="s">
        <v>103</v>
      </c>
      <c r="D113" s="19" t="s">
        <v>16</v>
      </c>
      <c r="E113" s="19" t="s">
        <v>20</v>
      </c>
      <c r="F113" s="19" t="s">
        <v>20</v>
      </c>
      <c r="G113" s="19">
        <v>18</v>
      </c>
      <c r="H113" s="19">
        <v>26</v>
      </c>
      <c r="I113" s="19">
        <v>9</v>
      </c>
      <c r="J113" s="19">
        <v>6</v>
      </c>
      <c r="K113" s="19">
        <v>31</v>
      </c>
      <c r="L113" s="19">
        <v>13</v>
      </c>
      <c r="M113" s="19">
        <v>12</v>
      </c>
      <c r="N113" s="19">
        <v>55</v>
      </c>
      <c r="O113" s="19">
        <v>75</v>
      </c>
      <c r="P113" s="19">
        <v>56</v>
      </c>
      <c r="Q113" s="18">
        <v>75</v>
      </c>
      <c r="R113" s="12" t="s">
        <v>103</v>
      </c>
      <c r="S113" s="19" t="s">
        <v>16</v>
      </c>
      <c r="T113" s="19" t="s">
        <v>20</v>
      </c>
      <c r="U113" s="19" t="s">
        <v>20</v>
      </c>
      <c r="V113" s="19">
        <v>18</v>
      </c>
      <c r="W113" s="19">
        <v>2</v>
      </c>
      <c r="X113" s="19">
        <v>45</v>
      </c>
      <c r="Y113" s="19">
        <v>85</v>
      </c>
      <c r="Z113" s="19">
        <v>59</v>
      </c>
      <c r="AA113" s="19">
        <v>36</v>
      </c>
      <c r="AB113" s="19">
        <v>82</v>
      </c>
      <c r="AC113" s="19">
        <v>82</v>
      </c>
      <c r="AD113" s="19">
        <v>22</v>
      </c>
      <c r="AE113" s="19">
        <v>26</v>
      </c>
      <c r="AF113" s="19">
        <v>77</v>
      </c>
      <c r="AG113" s="19">
        <v>80</v>
      </c>
      <c r="AH113" s="19">
        <v>56</v>
      </c>
      <c r="AI113" s="6">
        <f t="shared" si="7"/>
        <v>0.39170560000000004</v>
      </c>
      <c r="AJ113" s="6">
        <f t="shared" si="8"/>
        <v>0.30499999999999999</v>
      </c>
      <c r="AK113" s="6">
        <f t="shared" si="9"/>
        <v>1.8528260000000003</v>
      </c>
      <c r="AL113" s="6">
        <f t="shared" si="10"/>
        <v>0.82000000000000017</v>
      </c>
      <c r="AM113" s="6">
        <f t="shared" si="11"/>
        <v>0.26789220000000002</v>
      </c>
    </row>
    <row r="114" spans="1:39" ht="15" thickBot="1" x14ac:dyDescent="0.35">
      <c r="A114" s="6">
        <f t="shared" si="6"/>
        <v>21.48115536124623</v>
      </c>
      <c r="B114" s="18">
        <v>33</v>
      </c>
      <c r="C114" s="12" t="s">
        <v>61</v>
      </c>
      <c r="D114" s="19" t="s">
        <v>16</v>
      </c>
      <c r="E114" s="19" t="s">
        <v>20</v>
      </c>
      <c r="F114" s="19" t="s">
        <v>20</v>
      </c>
      <c r="G114" s="19">
        <v>18</v>
      </c>
      <c r="H114" s="19">
        <v>37</v>
      </c>
      <c r="I114" s="19">
        <v>6</v>
      </c>
      <c r="J114" s="19">
        <v>11</v>
      </c>
      <c r="K114" s="19">
        <v>44</v>
      </c>
      <c r="L114" s="19">
        <v>28</v>
      </c>
      <c r="M114" s="19">
        <v>20</v>
      </c>
      <c r="N114" s="19">
        <v>71</v>
      </c>
      <c r="O114" s="19">
        <v>53</v>
      </c>
      <c r="P114" s="19">
        <v>66</v>
      </c>
      <c r="Q114" s="18">
        <v>33</v>
      </c>
      <c r="R114" s="12" t="s">
        <v>61</v>
      </c>
      <c r="S114" s="19" t="s">
        <v>16</v>
      </c>
      <c r="T114" s="19" t="s">
        <v>20</v>
      </c>
      <c r="U114" s="19" t="s">
        <v>20</v>
      </c>
      <c r="V114" s="19">
        <v>18</v>
      </c>
      <c r="W114" s="19">
        <v>2</v>
      </c>
      <c r="X114" s="19">
        <v>38</v>
      </c>
      <c r="Y114" s="19">
        <v>39</v>
      </c>
      <c r="Z114" s="19">
        <v>70</v>
      </c>
      <c r="AA114" s="19">
        <v>29</v>
      </c>
      <c r="AB114" s="19">
        <v>37</v>
      </c>
      <c r="AC114" s="19">
        <v>68</v>
      </c>
      <c r="AD114" s="19">
        <v>25</v>
      </c>
      <c r="AE114" s="19">
        <v>85</v>
      </c>
      <c r="AF114" s="19">
        <v>14</v>
      </c>
      <c r="AG114" s="19">
        <v>83</v>
      </c>
      <c r="AH114" s="19">
        <v>66</v>
      </c>
      <c r="AI114" s="6">
        <f t="shared" si="7"/>
        <v>0.93160040000000033</v>
      </c>
      <c r="AJ114" s="6">
        <f t="shared" si="8"/>
        <v>0.39500000000000002</v>
      </c>
      <c r="AK114" s="6">
        <f t="shared" si="9"/>
        <v>1.2907820000000001</v>
      </c>
      <c r="AL114" s="6">
        <f t="shared" si="10"/>
        <v>0.43200000000000005</v>
      </c>
      <c r="AM114" s="6">
        <f t="shared" si="11"/>
        <v>0.29821880000000012</v>
      </c>
    </row>
    <row r="115" spans="1:39" ht="15" thickBot="1" x14ac:dyDescent="0.35">
      <c r="A115" s="6">
        <f t="shared" si="6"/>
        <v>21.462887134799605</v>
      </c>
      <c r="B115" s="18">
        <v>29</v>
      </c>
      <c r="C115" s="12" t="s">
        <v>57</v>
      </c>
      <c r="D115" s="19" t="s">
        <v>16</v>
      </c>
      <c r="E115" s="19" t="s">
        <v>21</v>
      </c>
      <c r="F115" s="19" t="s">
        <v>20</v>
      </c>
      <c r="G115" s="19">
        <v>18</v>
      </c>
      <c r="H115" s="19">
        <v>11</v>
      </c>
      <c r="I115" s="19">
        <v>0</v>
      </c>
      <c r="J115" s="19">
        <v>28</v>
      </c>
      <c r="K115" s="19">
        <v>34</v>
      </c>
      <c r="L115" s="19">
        <v>19</v>
      </c>
      <c r="M115" s="19">
        <v>14</v>
      </c>
      <c r="N115" s="19">
        <v>64</v>
      </c>
      <c r="O115" s="19">
        <v>71</v>
      </c>
      <c r="P115" s="19">
        <v>67</v>
      </c>
      <c r="Q115" s="18">
        <v>29</v>
      </c>
      <c r="R115" s="12" t="s">
        <v>57</v>
      </c>
      <c r="S115" s="19" t="s">
        <v>16</v>
      </c>
      <c r="T115" s="19" t="s">
        <v>21</v>
      </c>
      <c r="U115" s="19" t="s">
        <v>20</v>
      </c>
      <c r="V115" s="19">
        <v>18</v>
      </c>
      <c r="W115" s="19">
        <v>29</v>
      </c>
      <c r="X115" s="19">
        <v>43</v>
      </c>
      <c r="Y115" s="19">
        <v>42</v>
      </c>
      <c r="Z115" s="19">
        <v>95</v>
      </c>
      <c r="AA115" s="19">
        <v>26</v>
      </c>
      <c r="AB115" s="19">
        <v>31</v>
      </c>
      <c r="AC115" s="19">
        <v>100</v>
      </c>
      <c r="AD115" s="19">
        <v>39</v>
      </c>
      <c r="AE115" s="19">
        <v>30</v>
      </c>
      <c r="AF115" s="19">
        <v>43</v>
      </c>
      <c r="AG115" s="19">
        <v>89</v>
      </c>
      <c r="AH115" s="19">
        <v>67</v>
      </c>
      <c r="AI115" s="6">
        <f t="shared" si="7"/>
        <v>0.49443640000000016</v>
      </c>
      <c r="AJ115" s="6">
        <f t="shared" si="8"/>
        <v>0.33899999999999997</v>
      </c>
      <c r="AK115" s="6">
        <f t="shared" si="9"/>
        <v>1.8036620000000005</v>
      </c>
      <c r="AL115" s="6">
        <f t="shared" si="10"/>
        <v>0.44799999999999995</v>
      </c>
      <c r="AM115" s="6">
        <f t="shared" si="11"/>
        <v>0.4313068000000001</v>
      </c>
    </row>
    <row r="116" spans="1:39" ht="15" thickBot="1" x14ac:dyDescent="0.35">
      <c r="A116" s="6">
        <f t="shared" si="6"/>
        <v>20.926567638544867</v>
      </c>
      <c r="B116" s="20">
        <v>54</v>
      </c>
      <c r="C116" s="13" t="s">
        <v>82</v>
      </c>
      <c r="D116" s="21" t="s">
        <v>16</v>
      </c>
      <c r="E116" s="21" t="s">
        <v>20</v>
      </c>
      <c r="F116" s="21" t="s">
        <v>20</v>
      </c>
      <c r="G116" s="21">
        <v>18</v>
      </c>
      <c r="H116" s="21">
        <v>27</v>
      </c>
      <c r="I116" s="21">
        <v>8</v>
      </c>
      <c r="J116" s="21">
        <v>21</v>
      </c>
      <c r="K116" s="21">
        <v>32</v>
      </c>
      <c r="L116" s="21">
        <v>22</v>
      </c>
      <c r="M116" s="21">
        <v>15</v>
      </c>
      <c r="N116" s="21">
        <v>70</v>
      </c>
      <c r="O116" s="21">
        <v>76</v>
      </c>
      <c r="P116" s="21">
        <v>61</v>
      </c>
      <c r="Q116" s="20">
        <v>54</v>
      </c>
      <c r="R116" s="13" t="s">
        <v>82</v>
      </c>
      <c r="S116" s="21" t="s">
        <v>16</v>
      </c>
      <c r="T116" s="21" t="s">
        <v>20</v>
      </c>
      <c r="U116" s="21" t="s">
        <v>20</v>
      </c>
      <c r="V116" s="21">
        <v>18</v>
      </c>
      <c r="W116" s="21">
        <v>43</v>
      </c>
      <c r="X116" s="21">
        <v>29</v>
      </c>
      <c r="Y116" s="21">
        <v>84</v>
      </c>
      <c r="Z116" s="21">
        <v>39</v>
      </c>
      <c r="AA116" s="21">
        <v>30</v>
      </c>
      <c r="AB116" s="21">
        <v>30</v>
      </c>
      <c r="AC116" s="21">
        <v>91</v>
      </c>
      <c r="AD116" s="21">
        <v>18</v>
      </c>
      <c r="AE116" s="21">
        <v>92</v>
      </c>
      <c r="AF116" s="21">
        <v>50</v>
      </c>
      <c r="AG116" s="21">
        <v>60</v>
      </c>
      <c r="AH116" s="21">
        <v>61</v>
      </c>
      <c r="AI116" s="6">
        <f t="shared" si="7"/>
        <v>0.57907160000000013</v>
      </c>
      <c r="AJ116" s="6">
        <f t="shared" si="8"/>
        <v>0.36599999999999999</v>
      </c>
      <c r="AK116" s="6">
        <f t="shared" si="9"/>
        <v>1.6841020000000007</v>
      </c>
      <c r="AL116" s="6">
        <f t="shared" si="10"/>
        <v>0.42200000000000004</v>
      </c>
      <c r="AM116" s="6">
        <f t="shared" si="11"/>
        <v>0.25390640000000009</v>
      </c>
    </row>
    <row r="117" spans="1:39" ht="15" thickBot="1" x14ac:dyDescent="0.35">
      <c r="A117" s="6">
        <f t="shared" si="6"/>
        <v>19.612148378047685</v>
      </c>
      <c r="B117" s="18">
        <v>199</v>
      </c>
      <c r="C117" s="12" t="s">
        <v>227</v>
      </c>
      <c r="D117" s="19" t="s">
        <v>4</v>
      </c>
      <c r="E117" s="19" t="s">
        <v>20</v>
      </c>
      <c r="F117" s="19" t="s">
        <v>20</v>
      </c>
      <c r="G117" s="19">
        <v>18</v>
      </c>
      <c r="H117" s="19">
        <v>21</v>
      </c>
      <c r="I117" s="19">
        <v>5</v>
      </c>
      <c r="J117" s="19">
        <v>19</v>
      </c>
      <c r="K117" s="19">
        <v>23</v>
      </c>
      <c r="L117" s="19">
        <v>35</v>
      </c>
      <c r="M117" s="19">
        <v>68</v>
      </c>
      <c r="N117" s="19">
        <v>44</v>
      </c>
      <c r="O117" s="19">
        <v>20</v>
      </c>
      <c r="P117" s="19">
        <v>38</v>
      </c>
      <c r="Q117" s="18">
        <v>199</v>
      </c>
      <c r="R117" s="12" t="s">
        <v>227</v>
      </c>
      <c r="S117" s="19" t="s">
        <v>4</v>
      </c>
      <c r="T117" s="19" t="s">
        <v>20</v>
      </c>
      <c r="U117" s="19" t="s">
        <v>20</v>
      </c>
      <c r="V117" s="19">
        <v>18</v>
      </c>
      <c r="W117" s="19">
        <v>38</v>
      </c>
      <c r="X117" s="19">
        <v>26</v>
      </c>
      <c r="Y117" s="19">
        <v>34</v>
      </c>
      <c r="Z117" s="19">
        <v>45</v>
      </c>
      <c r="AA117" s="19">
        <v>8</v>
      </c>
      <c r="AB117" s="19">
        <v>81</v>
      </c>
      <c r="AC117" s="19">
        <v>94</v>
      </c>
      <c r="AD117" s="19">
        <v>58</v>
      </c>
      <c r="AE117" s="19">
        <v>69</v>
      </c>
      <c r="AF117" s="19">
        <v>78</v>
      </c>
      <c r="AG117" s="19">
        <v>28</v>
      </c>
      <c r="AH117" s="19">
        <v>38</v>
      </c>
      <c r="AI117" s="6">
        <f t="shared" si="7"/>
        <v>0.61089480000000018</v>
      </c>
      <c r="AJ117" s="6">
        <f t="shared" si="8"/>
        <v>0.78799999999999992</v>
      </c>
      <c r="AK117" s="6">
        <f t="shared" si="9"/>
        <v>0.99026600000000009</v>
      </c>
      <c r="AL117" s="6">
        <f t="shared" si="10"/>
        <v>0.83599999999999997</v>
      </c>
      <c r="AM117" s="6">
        <f t="shared" si="11"/>
        <v>0.73483140000000025</v>
      </c>
    </row>
    <row r="118" spans="1:39" ht="15" thickBot="1" x14ac:dyDescent="0.35">
      <c r="A118" s="6">
        <f t="shared" si="6"/>
        <v>20.429120833208991</v>
      </c>
      <c r="B118" s="20">
        <v>46</v>
      </c>
      <c r="C118" s="13" t="s">
        <v>74</v>
      </c>
      <c r="D118" s="21" t="s">
        <v>16</v>
      </c>
      <c r="E118" s="21" t="s">
        <v>19</v>
      </c>
      <c r="F118" s="21" t="s">
        <v>19</v>
      </c>
      <c r="G118" s="21">
        <v>18</v>
      </c>
      <c r="H118" s="21">
        <v>20</v>
      </c>
      <c r="I118" s="21">
        <v>6</v>
      </c>
      <c r="J118" s="21">
        <v>10</v>
      </c>
      <c r="K118" s="21">
        <v>25</v>
      </c>
      <c r="L118" s="21">
        <v>20</v>
      </c>
      <c r="M118" s="21">
        <v>16</v>
      </c>
      <c r="N118" s="21">
        <v>62</v>
      </c>
      <c r="O118" s="21">
        <v>68</v>
      </c>
      <c r="P118" s="21">
        <v>62</v>
      </c>
      <c r="Q118" s="20">
        <v>46</v>
      </c>
      <c r="R118" s="13" t="s">
        <v>74</v>
      </c>
      <c r="S118" s="21" t="s">
        <v>16</v>
      </c>
      <c r="T118" s="21" t="s">
        <v>19</v>
      </c>
      <c r="U118" s="21" t="s">
        <v>19</v>
      </c>
      <c r="V118" s="21">
        <v>18</v>
      </c>
      <c r="W118" s="21">
        <v>2</v>
      </c>
      <c r="X118" s="21">
        <v>37</v>
      </c>
      <c r="Y118" s="21">
        <v>71</v>
      </c>
      <c r="Z118" s="21">
        <v>68</v>
      </c>
      <c r="AA118" s="21">
        <v>47</v>
      </c>
      <c r="AB118" s="21">
        <v>71</v>
      </c>
      <c r="AC118" s="21">
        <v>90</v>
      </c>
      <c r="AD118" s="21">
        <v>42</v>
      </c>
      <c r="AE118" s="21">
        <v>23</v>
      </c>
      <c r="AF118" s="21">
        <v>44</v>
      </c>
      <c r="AG118" s="21">
        <v>85</v>
      </c>
      <c r="AH118" s="21">
        <v>62</v>
      </c>
      <c r="AI118" s="6">
        <f t="shared" si="7"/>
        <v>0.32567600000000008</v>
      </c>
      <c r="AJ118" s="6">
        <f t="shared" si="8"/>
        <v>0.35200000000000004</v>
      </c>
      <c r="AK118" s="6">
        <f t="shared" si="9"/>
        <v>1.7123520000000003</v>
      </c>
      <c r="AL118" s="6">
        <f t="shared" si="10"/>
        <v>0.74800000000000011</v>
      </c>
      <c r="AM118" s="6">
        <f t="shared" si="11"/>
        <v>0.46396880000000018</v>
      </c>
    </row>
    <row r="119" spans="1:39" ht="15" thickBot="1" x14ac:dyDescent="0.35">
      <c r="A119" s="6">
        <f t="shared" si="6"/>
        <v>20.248017995165473</v>
      </c>
      <c r="B119" s="18">
        <v>25</v>
      </c>
      <c r="C119" s="12" t="s">
        <v>53</v>
      </c>
      <c r="D119" s="19" t="s">
        <v>16</v>
      </c>
      <c r="E119" s="19" t="s">
        <v>21</v>
      </c>
      <c r="F119" s="19" t="s">
        <v>19</v>
      </c>
      <c r="G119" s="19">
        <v>18</v>
      </c>
      <c r="H119" s="19">
        <v>15</v>
      </c>
      <c r="I119" s="19">
        <v>9</v>
      </c>
      <c r="J119" s="19">
        <v>29</v>
      </c>
      <c r="K119" s="19">
        <v>28</v>
      </c>
      <c r="L119" s="19">
        <v>28</v>
      </c>
      <c r="M119" s="19">
        <v>25</v>
      </c>
      <c r="N119" s="19">
        <v>78</v>
      </c>
      <c r="O119" s="19">
        <v>82</v>
      </c>
      <c r="P119" s="19">
        <v>69</v>
      </c>
      <c r="Q119" s="18">
        <v>25</v>
      </c>
      <c r="R119" s="12" t="s">
        <v>53</v>
      </c>
      <c r="S119" s="19" t="s">
        <v>16</v>
      </c>
      <c r="T119" s="19" t="s">
        <v>21</v>
      </c>
      <c r="U119" s="19" t="s">
        <v>19</v>
      </c>
      <c r="V119" s="19">
        <v>18</v>
      </c>
      <c r="W119" s="19">
        <v>51</v>
      </c>
      <c r="X119" s="19">
        <v>43</v>
      </c>
      <c r="Y119" s="19">
        <v>57</v>
      </c>
      <c r="Z119" s="19">
        <v>29</v>
      </c>
      <c r="AA119" s="19">
        <v>28</v>
      </c>
      <c r="AB119" s="19">
        <v>32</v>
      </c>
      <c r="AC119" s="19">
        <v>94</v>
      </c>
      <c r="AD119" s="19">
        <v>27</v>
      </c>
      <c r="AE119" s="19">
        <v>92</v>
      </c>
      <c r="AF119" s="19">
        <v>34</v>
      </c>
      <c r="AG119" s="19">
        <v>74</v>
      </c>
      <c r="AH119" s="19">
        <v>69</v>
      </c>
      <c r="AI119" s="6">
        <f t="shared" si="7"/>
        <v>0.58732040000000019</v>
      </c>
      <c r="AJ119" s="6">
        <f t="shared" si="8"/>
        <v>0.48800000000000004</v>
      </c>
      <c r="AK119" s="6">
        <f t="shared" si="9"/>
        <v>1.5113200000000004</v>
      </c>
      <c r="AL119" s="6">
        <f t="shared" si="10"/>
        <v>0.44400000000000006</v>
      </c>
      <c r="AM119" s="6">
        <f t="shared" si="11"/>
        <v>0.33364280000000007</v>
      </c>
    </row>
    <row r="120" spans="1:39" ht="15" thickBot="1" x14ac:dyDescent="0.35">
      <c r="A120" s="6">
        <f t="shared" si="6"/>
        <v>19.634224984332558</v>
      </c>
      <c r="B120" s="20">
        <v>160</v>
      </c>
      <c r="C120" s="13" t="s">
        <v>188</v>
      </c>
      <c r="D120" s="21" t="s">
        <v>7</v>
      </c>
      <c r="E120" s="21" t="s">
        <v>20</v>
      </c>
      <c r="F120" s="21" t="s">
        <v>19</v>
      </c>
      <c r="G120" s="21">
        <v>18</v>
      </c>
      <c r="H120" s="21">
        <v>31</v>
      </c>
      <c r="I120" s="21">
        <v>10</v>
      </c>
      <c r="J120" s="21">
        <v>18</v>
      </c>
      <c r="K120" s="21">
        <v>20</v>
      </c>
      <c r="L120" s="21">
        <v>26</v>
      </c>
      <c r="M120" s="21">
        <v>35</v>
      </c>
      <c r="N120" s="21">
        <v>71</v>
      </c>
      <c r="O120" s="21">
        <v>36</v>
      </c>
      <c r="P120" s="21">
        <v>37</v>
      </c>
      <c r="Q120" s="20">
        <v>160</v>
      </c>
      <c r="R120" s="13" t="s">
        <v>188</v>
      </c>
      <c r="S120" s="21" t="s">
        <v>7</v>
      </c>
      <c r="T120" s="21" t="s">
        <v>20</v>
      </c>
      <c r="U120" s="21" t="s">
        <v>19</v>
      </c>
      <c r="V120" s="21">
        <v>18</v>
      </c>
      <c r="W120" s="21">
        <v>17</v>
      </c>
      <c r="X120" s="21">
        <v>30</v>
      </c>
      <c r="Y120" s="21">
        <v>66</v>
      </c>
      <c r="Z120" s="21">
        <v>61</v>
      </c>
      <c r="AA120" s="21">
        <v>80</v>
      </c>
      <c r="AB120" s="21">
        <v>77</v>
      </c>
      <c r="AC120" s="21">
        <v>65</v>
      </c>
      <c r="AD120" s="21">
        <v>16</v>
      </c>
      <c r="AE120" s="21">
        <v>62</v>
      </c>
      <c r="AF120" s="21">
        <v>22</v>
      </c>
      <c r="AG120" s="21">
        <v>46</v>
      </c>
      <c r="AH120" s="21">
        <v>37</v>
      </c>
      <c r="AI120" s="6">
        <f t="shared" si="7"/>
        <v>0.53071960000000007</v>
      </c>
      <c r="AJ120" s="6">
        <f t="shared" si="8"/>
        <v>0.52800000000000002</v>
      </c>
      <c r="AK120" s="6">
        <f t="shared" si="9"/>
        <v>1.3919614</v>
      </c>
      <c r="AL120" s="6">
        <f t="shared" si="10"/>
        <v>0.746</v>
      </c>
      <c r="AM120" s="6">
        <f t="shared" si="11"/>
        <v>0.14977360000000003</v>
      </c>
    </row>
    <row r="121" spans="1:39" ht="15" thickBot="1" x14ac:dyDescent="0.35">
      <c r="A121" s="6">
        <f t="shared" si="6"/>
        <v>20.090288280760387</v>
      </c>
      <c r="B121" s="20">
        <v>62</v>
      </c>
      <c r="C121" s="13" t="s">
        <v>90</v>
      </c>
      <c r="D121" s="21" t="s">
        <v>16</v>
      </c>
      <c r="E121" s="21" t="s">
        <v>19</v>
      </c>
      <c r="F121" s="21" t="s">
        <v>19</v>
      </c>
      <c r="G121" s="21">
        <v>18</v>
      </c>
      <c r="H121" s="21">
        <v>31</v>
      </c>
      <c r="I121" s="21">
        <v>7</v>
      </c>
      <c r="J121" s="21">
        <v>31</v>
      </c>
      <c r="K121" s="21">
        <v>24</v>
      </c>
      <c r="L121" s="21">
        <v>23</v>
      </c>
      <c r="M121" s="21">
        <v>19</v>
      </c>
      <c r="N121" s="21">
        <v>60</v>
      </c>
      <c r="O121" s="21">
        <v>56</v>
      </c>
      <c r="P121" s="21">
        <v>59</v>
      </c>
      <c r="Q121" s="20">
        <v>62</v>
      </c>
      <c r="R121" s="13" t="s">
        <v>90</v>
      </c>
      <c r="S121" s="21" t="s">
        <v>16</v>
      </c>
      <c r="T121" s="21" t="s">
        <v>19</v>
      </c>
      <c r="U121" s="21" t="s">
        <v>19</v>
      </c>
      <c r="V121" s="21">
        <v>18</v>
      </c>
      <c r="W121" s="21">
        <v>48</v>
      </c>
      <c r="X121" s="21">
        <v>17</v>
      </c>
      <c r="Y121" s="21">
        <v>45</v>
      </c>
      <c r="Z121" s="21">
        <v>70</v>
      </c>
      <c r="AA121" s="21">
        <v>9</v>
      </c>
      <c r="AB121" s="21">
        <v>20</v>
      </c>
      <c r="AC121" s="21">
        <v>89</v>
      </c>
      <c r="AD121" s="21">
        <v>20</v>
      </c>
      <c r="AE121" s="21">
        <v>71</v>
      </c>
      <c r="AF121" s="21">
        <v>46</v>
      </c>
      <c r="AG121" s="21">
        <v>80</v>
      </c>
      <c r="AH121" s="21">
        <v>59</v>
      </c>
      <c r="AI121" s="6">
        <f t="shared" si="7"/>
        <v>0.61185640000000008</v>
      </c>
      <c r="AJ121" s="6">
        <f t="shared" si="8"/>
        <v>0.36599999999999999</v>
      </c>
      <c r="AK121" s="6">
        <f t="shared" si="9"/>
        <v>1.5685000000000002</v>
      </c>
      <c r="AL121" s="6">
        <f t="shared" si="10"/>
        <v>0.33799999999999997</v>
      </c>
      <c r="AM121" s="6">
        <f t="shared" si="11"/>
        <v>0.26900460000000004</v>
      </c>
    </row>
    <row r="122" spans="1:39" ht="15" thickBot="1" x14ac:dyDescent="0.35">
      <c r="A122" s="6">
        <f t="shared" si="6"/>
        <v>18.576597182846395</v>
      </c>
      <c r="B122" s="18">
        <v>157</v>
      </c>
      <c r="C122" s="12" t="s">
        <v>185</v>
      </c>
      <c r="D122" s="19" t="s">
        <v>16</v>
      </c>
      <c r="E122" s="19" t="s">
        <v>21</v>
      </c>
      <c r="F122" s="19" t="s">
        <v>19</v>
      </c>
      <c r="G122" s="19">
        <v>19</v>
      </c>
      <c r="H122" s="19">
        <v>29</v>
      </c>
      <c r="I122" s="19">
        <v>0</v>
      </c>
      <c r="J122" s="19">
        <v>41</v>
      </c>
      <c r="K122" s="19">
        <v>0</v>
      </c>
      <c r="L122" s="19">
        <v>42</v>
      </c>
      <c r="M122" s="19">
        <v>39</v>
      </c>
      <c r="N122" s="19">
        <v>58</v>
      </c>
      <c r="O122" s="19">
        <v>93</v>
      </c>
      <c r="P122" s="19">
        <v>53</v>
      </c>
      <c r="Q122" s="18">
        <v>157</v>
      </c>
      <c r="R122" s="12" t="s">
        <v>185</v>
      </c>
      <c r="S122" s="19" t="s">
        <v>16</v>
      </c>
      <c r="T122" s="19" t="s">
        <v>21</v>
      </c>
      <c r="U122" s="19" t="s">
        <v>19</v>
      </c>
      <c r="V122" s="19">
        <v>19</v>
      </c>
      <c r="W122" s="19">
        <v>60</v>
      </c>
      <c r="X122" s="19">
        <v>30</v>
      </c>
      <c r="Y122" s="19">
        <v>54</v>
      </c>
      <c r="Z122" s="19">
        <v>48</v>
      </c>
      <c r="AA122" s="19">
        <v>55</v>
      </c>
      <c r="AB122" s="19">
        <v>21</v>
      </c>
      <c r="AC122" s="19">
        <v>100</v>
      </c>
      <c r="AD122" s="19">
        <v>8</v>
      </c>
      <c r="AE122" s="19">
        <v>49</v>
      </c>
      <c r="AF122" s="19">
        <v>65</v>
      </c>
      <c r="AG122" s="19">
        <v>22</v>
      </c>
      <c r="AH122" s="19">
        <v>53</v>
      </c>
      <c r="AI122" s="6">
        <f t="shared" si="7"/>
        <v>0.93559080000000017</v>
      </c>
      <c r="AJ122" s="6">
        <f t="shared" si="8"/>
        <v>0.59900000000000009</v>
      </c>
      <c r="AK122" s="6">
        <f t="shared" si="9"/>
        <v>0.92043480000000022</v>
      </c>
      <c r="AL122" s="6">
        <f t="shared" si="10"/>
        <v>0.36799999999999999</v>
      </c>
      <c r="AM122" s="6">
        <f t="shared" si="11"/>
        <v>0.12103160000000004</v>
      </c>
    </row>
    <row r="123" spans="1:39" ht="15" thickBot="1" x14ac:dyDescent="0.35">
      <c r="A123" s="6">
        <f t="shared" si="6"/>
        <v>19.664758721537488</v>
      </c>
      <c r="B123" s="20">
        <v>92</v>
      </c>
      <c r="C123" s="13" t="s">
        <v>120</v>
      </c>
      <c r="D123" s="21" t="s">
        <v>16</v>
      </c>
      <c r="E123" s="21" t="s">
        <v>19</v>
      </c>
      <c r="F123" s="21" t="s">
        <v>19</v>
      </c>
      <c r="G123" s="21">
        <v>18</v>
      </c>
      <c r="H123" s="21">
        <v>26</v>
      </c>
      <c r="I123" s="21">
        <v>13</v>
      </c>
      <c r="J123" s="21">
        <v>16</v>
      </c>
      <c r="K123" s="21">
        <v>10</v>
      </c>
      <c r="L123" s="21">
        <v>7</v>
      </c>
      <c r="M123" s="21">
        <v>0</v>
      </c>
      <c r="N123" s="21">
        <v>52</v>
      </c>
      <c r="O123" s="21">
        <v>65</v>
      </c>
      <c r="P123" s="21">
        <v>52</v>
      </c>
      <c r="Q123" s="20">
        <v>92</v>
      </c>
      <c r="R123" s="13" t="s">
        <v>120</v>
      </c>
      <c r="S123" s="21" t="s">
        <v>16</v>
      </c>
      <c r="T123" s="21" t="s">
        <v>19</v>
      </c>
      <c r="U123" s="21" t="s">
        <v>19</v>
      </c>
      <c r="V123" s="21">
        <v>18</v>
      </c>
      <c r="W123" s="21">
        <v>45</v>
      </c>
      <c r="X123" s="21">
        <v>57</v>
      </c>
      <c r="Y123" s="21">
        <v>14</v>
      </c>
      <c r="Z123" s="21">
        <v>74</v>
      </c>
      <c r="AA123" s="21">
        <v>7</v>
      </c>
      <c r="AB123" s="21">
        <v>94</v>
      </c>
      <c r="AC123" s="21">
        <v>100</v>
      </c>
      <c r="AD123" s="21">
        <v>31</v>
      </c>
      <c r="AE123" s="21">
        <v>66</v>
      </c>
      <c r="AF123" s="21">
        <v>51</v>
      </c>
      <c r="AG123" s="21">
        <v>57</v>
      </c>
      <c r="AH123" s="21">
        <v>52</v>
      </c>
      <c r="AI123" s="6">
        <f t="shared" si="7"/>
        <v>0.21471280000000004</v>
      </c>
      <c r="AJ123" s="6">
        <f t="shared" si="8"/>
        <v>0.16899999999999998</v>
      </c>
      <c r="AK123" s="6">
        <f t="shared" si="9"/>
        <v>1.7351480000000001</v>
      </c>
      <c r="AL123" s="6">
        <f t="shared" si="10"/>
        <v>0.95200000000000007</v>
      </c>
      <c r="AM123" s="6">
        <f t="shared" si="11"/>
        <v>0.35182200000000008</v>
      </c>
    </row>
    <row r="124" spans="1:39" ht="15" thickBot="1" x14ac:dyDescent="0.35">
      <c r="A124" s="6">
        <f t="shared" si="6"/>
        <v>19.731164015637589</v>
      </c>
      <c r="B124" s="18">
        <v>11</v>
      </c>
      <c r="C124" s="12" t="s">
        <v>39</v>
      </c>
      <c r="D124" s="19" t="s">
        <v>16</v>
      </c>
      <c r="E124" s="19" t="s">
        <v>19</v>
      </c>
      <c r="F124" s="19" t="s">
        <v>19</v>
      </c>
      <c r="G124" s="19">
        <v>18</v>
      </c>
      <c r="H124" s="19">
        <v>21</v>
      </c>
      <c r="I124" s="19">
        <v>10</v>
      </c>
      <c r="J124" s="19">
        <v>27</v>
      </c>
      <c r="K124" s="19">
        <v>27</v>
      </c>
      <c r="L124" s="19">
        <v>21</v>
      </c>
      <c r="M124" s="19">
        <v>29</v>
      </c>
      <c r="N124" s="19">
        <v>49</v>
      </c>
      <c r="O124" s="19">
        <v>69</v>
      </c>
      <c r="P124" s="19">
        <v>76</v>
      </c>
      <c r="Q124" s="18">
        <v>11</v>
      </c>
      <c r="R124" s="12" t="s">
        <v>39</v>
      </c>
      <c r="S124" s="19" t="s">
        <v>16</v>
      </c>
      <c r="T124" s="19" t="s">
        <v>19</v>
      </c>
      <c r="U124" s="19" t="s">
        <v>19</v>
      </c>
      <c r="V124" s="19">
        <v>18</v>
      </c>
      <c r="W124" s="19">
        <v>13</v>
      </c>
      <c r="X124" s="19">
        <v>46</v>
      </c>
      <c r="Y124" s="19">
        <v>91</v>
      </c>
      <c r="Z124" s="19">
        <v>24</v>
      </c>
      <c r="AA124" s="19">
        <v>2</v>
      </c>
      <c r="AB124" s="19">
        <v>35</v>
      </c>
      <c r="AC124" s="19">
        <v>100</v>
      </c>
      <c r="AD124" s="19">
        <v>46</v>
      </c>
      <c r="AE124" s="19">
        <v>72</v>
      </c>
      <c r="AF124" s="19">
        <v>48</v>
      </c>
      <c r="AG124" s="19">
        <v>100</v>
      </c>
      <c r="AH124" s="19">
        <v>76</v>
      </c>
      <c r="AI124" s="6">
        <f t="shared" si="7"/>
        <v>0.49652280000000015</v>
      </c>
      <c r="AJ124" s="6">
        <f t="shared" si="8"/>
        <v>0.45699999999999996</v>
      </c>
      <c r="AK124" s="6">
        <f t="shared" si="9"/>
        <v>1.4661840000000004</v>
      </c>
      <c r="AL124" s="6">
        <f t="shared" si="10"/>
        <v>0.48</v>
      </c>
      <c r="AM124" s="6">
        <f t="shared" si="11"/>
        <v>0.60249600000000014</v>
      </c>
    </row>
    <row r="125" spans="1:39" ht="15" thickBot="1" x14ac:dyDescent="0.35">
      <c r="A125" s="6">
        <f t="shared" si="6"/>
        <v>19.0267917574383</v>
      </c>
      <c r="B125" s="18">
        <v>193</v>
      </c>
      <c r="C125" s="12" t="s">
        <v>221</v>
      </c>
      <c r="D125" s="19" t="s">
        <v>4</v>
      </c>
      <c r="E125" s="19" t="s">
        <v>19</v>
      </c>
      <c r="F125" s="19" t="s">
        <v>19</v>
      </c>
      <c r="G125" s="19">
        <v>18</v>
      </c>
      <c r="H125" s="19">
        <v>22</v>
      </c>
      <c r="I125" s="19">
        <v>10</v>
      </c>
      <c r="J125" s="19">
        <v>30</v>
      </c>
      <c r="K125" s="19">
        <v>14</v>
      </c>
      <c r="L125" s="19">
        <v>27</v>
      </c>
      <c r="M125" s="19">
        <v>25</v>
      </c>
      <c r="N125" s="19">
        <v>68</v>
      </c>
      <c r="O125" s="19">
        <v>39</v>
      </c>
      <c r="P125" s="19">
        <v>38</v>
      </c>
      <c r="Q125" s="18">
        <v>193</v>
      </c>
      <c r="R125" s="12" t="s">
        <v>221</v>
      </c>
      <c r="S125" s="19" t="s">
        <v>4</v>
      </c>
      <c r="T125" s="19" t="s">
        <v>19</v>
      </c>
      <c r="U125" s="19" t="s">
        <v>19</v>
      </c>
      <c r="V125" s="19">
        <v>18</v>
      </c>
      <c r="W125" s="19">
        <v>10</v>
      </c>
      <c r="X125" s="19">
        <v>27</v>
      </c>
      <c r="Y125" s="19">
        <v>55</v>
      </c>
      <c r="Z125" s="19">
        <v>62</v>
      </c>
      <c r="AA125" s="19">
        <v>77</v>
      </c>
      <c r="AB125" s="19">
        <v>73</v>
      </c>
      <c r="AC125" s="19">
        <v>54</v>
      </c>
      <c r="AD125" s="19">
        <v>50</v>
      </c>
      <c r="AE125" s="19">
        <v>60</v>
      </c>
      <c r="AF125" s="19">
        <v>17</v>
      </c>
      <c r="AG125" s="19">
        <v>96</v>
      </c>
      <c r="AH125" s="19">
        <v>38</v>
      </c>
      <c r="AI125" s="6">
        <f t="shared" si="7"/>
        <v>0.49512480000000014</v>
      </c>
      <c r="AJ125" s="6">
        <f t="shared" si="8"/>
        <v>0.42499999999999999</v>
      </c>
      <c r="AK125" s="6">
        <f t="shared" si="9"/>
        <v>1.2757990000000003</v>
      </c>
      <c r="AL125" s="6">
        <f t="shared" si="10"/>
        <v>0.69200000000000006</v>
      </c>
      <c r="AM125" s="6">
        <f t="shared" si="11"/>
        <v>0.60690020000000011</v>
      </c>
    </row>
    <row r="126" spans="1:39" ht="15" thickBot="1" x14ac:dyDescent="0.35">
      <c r="A126" s="6">
        <f t="shared" si="6"/>
        <v>19.010634307201048</v>
      </c>
      <c r="B126" s="18">
        <v>61</v>
      </c>
      <c r="C126" s="12" t="s">
        <v>89</v>
      </c>
      <c r="D126" s="19" t="s">
        <v>16</v>
      </c>
      <c r="E126" s="19" t="s">
        <v>20</v>
      </c>
      <c r="F126" s="19" t="s">
        <v>20</v>
      </c>
      <c r="G126" s="19">
        <v>18</v>
      </c>
      <c r="H126" s="19">
        <v>25</v>
      </c>
      <c r="I126" s="19">
        <v>12</v>
      </c>
      <c r="J126" s="19">
        <v>10</v>
      </c>
      <c r="K126" s="19">
        <v>22</v>
      </c>
      <c r="L126" s="19">
        <v>24</v>
      </c>
      <c r="M126" s="19">
        <v>24</v>
      </c>
      <c r="N126" s="19">
        <v>39</v>
      </c>
      <c r="O126" s="19">
        <v>77</v>
      </c>
      <c r="P126" s="19">
        <v>59</v>
      </c>
      <c r="Q126" s="18">
        <v>61</v>
      </c>
      <c r="R126" s="12" t="s">
        <v>89</v>
      </c>
      <c r="S126" s="19" t="s">
        <v>16</v>
      </c>
      <c r="T126" s="19" t="s">
        <v>20</v>
      </c>
      <c r="U126" s="19" t="s">
        <v>20</v>
      </c>
      <c r="V126" s="19">
        <v>18</v>
      </c>
      <c r="W126" s="19">
        <v>60</v>
      </c>
      <c r="X126" s="19">
        <v>23</v>
      </c>
      <c r="Y126" s="19">
        <v>58</v>
      </c>
      <c r="Z126" s="19">
        <v>33</v>
      </c>
      <c r="AA126" s="19">
        <v>40</v>
      </c>
      <c r="AB126" s="19">
        <v>50</v>
      </c>
      <c r="AC126" s="19">
        <v>97</v>
      </c>
      <c r="AD126" s="19">
        <v>34</v>
      </c>
      <c r="AE126" s="19">
        <v>98</v>
      </c>
      <c r="AF126" s="19">
        <v>28</v>
      </c>
      <c r="AG126" s="19">
        <v>92</v>
      </c>
      <c r="AH126" s="19">
        <v>59</v>
      </c>
      <c r="AI126" s="6">
        <f t="shared" si="7"/>
        <v>0.43319400000000008</v>
      </c>
      <c r="AJ126" s="6">
        <f t="shared" si="8"/>
        <v>0.39500000000000002</v>
      </c>
      <c r="AK126" s="6">
        <f t="shared" si="9"/>
        <v>1.4624080000000004</v>
      </c>
      <c r="AL126" s="6">
        <f t="shared" si="10"/>
        <v>0.59400000000000008</v>
      </c>
      <c r="AM126" s="6">
        <f t="shared" si="11"/>
        <v>0.42902960000000012</v>
      </c>
    </row>
    <row r="127" spans="1:39" ht="15" thickBot="1" x14ac:dyDescent="0.35">
      <c r="A127" s="6">
        <f t="shared" si="6"/>
        <v>17.015352144200062</v>
      </c>
      <c r="B127" s="18">
        <v>179</v>
      </c>
      <c r="C127" s="12" t="s">
        <v>207</v>
      </c>
      <c r="D127" s="19" t="s">
        <v>16</v>
      </c>
      <c r="E127" s="19" t="s">
        <v>19</v>
      </c>
      <c r="F127" s="19" t="s">
        <v>19</v>
      </c>
      <c r="G127" s="19">
        <v>20</v>
      </c>
      <c r="H127" s="19">
        <v>14</v>
      </c>
      <c r="I127" s="19">
        <v>0</v>
      </c>
      <c r="J127" s="19">
        <v>4</v>
      </c>
      <c r="K127" s="19">
        <v>13</v>
      </c>
      <c r="L127" s="19">
        <v>48</v>
      </c>
      <c r="M127" s="19">
        <v>26</v>
      </c>
      <c r="N127" s="19">
        <v>36</v>
      </c>
      <c r="O127" s="19">
        <v>66</v>
      </c>
      <c r="P127" s="19">
        <v>39</v>
      </c>
      <c r="Q127" s="18">
        <v>179</v>
      </c>
      <c r="R127" s="12" t="s">
        <v>207</v>
      </c>
      <c r="S127" s="19" t="s">
        <v>16</v>
      </c>
      <c r="T127" s="19" t="s">
        <v>19</v>
      </c>
      <c r="U127" s="19" t="s">
        <v>19</v>
      </c>
      <c r="V127" s="19">
        <v>20</v>
      </c>
      <c r="W127" s="19">
        <v>50</v>
      </c>
      <c r="X127" s="19">
        <v>0</v>
      </c>
      <c r="Y127" s="19">
        <v>33</v>
      </c>
      <c r="Z127" s="19">
        <v>45</v>
      </c>
      <c r="AA127" s="19">
        <v>20</v>
      </c>
      <c r="AB127" s="19">
        <v>29</v>
      </c>
      <c r="AC127" s="19">
        <v>84</v>
      </c>
      <c r="AD127" s="19">
        <v>1</v>
      </c>
      <c r="AE127" s="19">
        <v>48</v>
      </c>
      <c r="AF127" s="19">
        <v>20</v>
      </c>
      <c r="AG127" s="19">
        <v>89</v>
      </c>
      <c r="AH127" s="19">
        <v>39</v>
      </c>
      <c r="AI127" s="6">
        <f t="shared" si="7"/>
        <v>0.71644240000000026</v>
      </c>
      <c r="AJ127" s="6">
        <f t="shared" si="8"/>
        <v>0.39800000000000002</v>
      </c>
      <c r="AK127" s="6">
        <f t="shared" si="9"/>
        <v>1.0235560000000001</v>
      </c>
      <c r="AL127" s="6">
        <f t="shared" si="10"/>
        <v>0.4</v>
      </c>
      <c r="AM127" s="6">
        <f t="shared" si="11"/>
        <v>0.14053580000000004</v>
      </c>
    </row>
    <row r="128" spans="1:39" ht="15" thickBot="1" x14ac:dyDescent="0.35">
      <c r="A128" s="6">
        <f t="shared" si="6"/>
        <v>18.900312751798019</v>
      </c>
      <c r="B128" s="20">
        <v>52</v>
      </c>
      <c r="C128" s="13" t="s">
        <v>80</v>
      </c>
      <c r="D128" s="21" t="s">
        <v>16</v>
      </c>
      <c r="E128" s="21" t="s">
        <v>20</v>
      </c>
      <c r="F128" s="21" t="s">
        <v>20</v>
      </c>
      <c r="G128" s="21">
        <v>18</v>
      </c>
      <c r="H128" s="21">
        <v>16</v>
      </c>
      <c r="I128" s="21">
        <v>7</v>
      </c>
      <c r="J128" s="21">
        <v>11</v>
      </c>
      <c r="K128" s="21">
        <v>24</v>
      </c>
      <c r="L128" s="21">
        <v>25</v>
      </c>
      <c r="M128" s="21">
        <v>23</v>
      </c>
      <c r="N128" s="21">
        <v>91</v>
      </c>
      <c r="O128" s="21">
        <v>74</v>
      </c>
      <c r="P128" s="21">
        <v>61</v>
      </c>
      <c r="Q128" s="20">
        <v>52</v>
      </c>
      <c r="R128" s="13" t="s">
        <v>80</v>
      </c>
      <c r="S128" s="21" t="s">
        <v>16</v>
      </c>
      <c r="T128" s="21" t="s">
        <v>20</v>
      </c>
      <c r="U128" s="21" t="s">
        <v>20</v>
      </c>
      <c r="V128" s="21">
        <v>18</v>
      </c>
      <c r="W128" s="21">
        <v>53</v>
      </c>
      <c r="X128" s="21">
        <v>24</v>
      </c>
      <c r="Y128" s="21">
        <v>65</v>
      </c>
      <c r="Z128" s="21">
        <v>34</v>
      </c>
      <c r="AA128" s="21">
        <v>11</v>
      </c>
      <c r="AB128" s="21">
        <v>51</v>
      </c>
      <c r="AC128" s="21">
        <v>91</v>
      </c>
      <c r="AD128" s="21">
        <v>41</v>
      </c>
      <c r="AE128" s="21">
        <v>70</v>
      </c>
      <c r="AF128" s="21">
        <v>49</v>
      </c>
      <c r="AG128" s="21">
        <v>79</v>
      </c>
      <c r="AH128" s="21">
        <v>61</v>
      </c>
      <c r="AI128" s="6">
        <f t="shared" si="7"/>
        <v>0.36460880000000007</v>
      </c>
      <c r="AJ128" s="6">
        <f t="shared" si="8"/>
        <v>0.48599999999999999</v>
      </c>
      <c r="AK128" s="6">
        <f t="shared" si="9"/>
        <v>1.4822600000000004</v>
      </c>
      <c r="AL128" s="6">
        <f t="shared" si="10"/>
        <v>0.59</v>
      </c>
      <c r="AM128" s="6">
        <f t="shared" si="11"/>
        <v>0.51500440000000003</v>
      </c>
    </row>
    <row r="129" spans="1:39" ht="15" thickBot="1" x14ac:dyDescent="0.35">
      <c r="A129" s="6">
        <f t="shared" si="6"/>
        <v>18.949831090154881</v>
      </c>
      <c r="B129" s="18">
        <v>125</v>
      </c>
      <c r="C129" s="12" t="s">
        <v>153</v>
      </c>
      <c r="D129" s="19" t="s">
        <v>16</v>
      </c>
      <c r="E129" s="19" t="s">
        <v>20</v>
      </c>
      <c r="F129" s="19" t="s">
        <v>20</v>
      </c>
      <c r="G129" s="19">
        <v>18</v>
      </c>
      <c r="H129" s="19">
        <v>24</v>
      </c>
      <c r="I129" s="19">
        <v>12</v>
      </c>
      <c r="J129" s="19">
        <v>16</v>
      </c>
      <c r="K129" s="19">
        <v>34</v>
      </c>
      <c r="L129" s="19">
        <v>30</v>
      </c>
      <c r="M129" s="19">
        <v>16</v>
      </c>
      <c r="N129" s="19">
        <v>42</v>
      </c>
      <c r="O129" s="19">
        <v>61</v>
      </c>
      <c r="P129" s="19">
        <v>45</v>
      </c>
      <c r="Q129" s="18">
        <v>125</v>
      </c>
      <c r="R129" s="12" t="s">
        <v>153</v>
      </c>
      <c r="S129" s="19" t="s">
        <v>16</v>
      </c>
      <c r="T129" s="19" t="s">
        <v>20</v>
      </c>
      <c r="U129" s="19" t="s">
        <v>20</v>
      </c>
      <c r="V129" s="19">
        <v>18</v>
      </c>
      <c r="W129" s="19">
        <v>29</v>
      </c>
      <c r="X129" s="19">
        <v>23</v>
      </c>
      <c r="Y129" s="19">
        <v>60</v>
      </c>
      <c r="Z129" s="19">
        <v>58</v>
      </c>
      <c r="AA129" s="19">
        <v>13</v>
      </c>
      <c r="AB129" s="19">
        <v>0</v>
      </c>
      <c r="AC129" s="19">
        <v>72</v>
      </c>
      <c r="AD129" s="19">
        <v>21</v>
      </c>
      <c r="AE129" s="19">
        <v>52</v>
      </c>
      <c r="AF129" s="19">
        <v>36</v>
      </c>
      <c r="AG129" s="19">
        <v>90</v>
      </c>
      <c r="AH129" s="19">
        <v>45</v>
      </c>
      <c r="AI129" s="6">
        <f t="shared" si="7"/>
        <v>0.71071680000000015</v>
      </c>
      <c r="AJ129" s="6">
        <f t="shared" si="8"/>
        <v>0.30499999999999999</v>
      </c>
      <c r="AK129" s="6">
        <f t="shared" si="9"/>
        <v>1.4145440000000002</v>
      </c>
      <c r="AL129" s="6">
        <f t="shared" si="10"/>
        <v>0.14400000000000002</v>
      </c>
      <c r="AM129" s="6">
        <f t="shared" si="11"/>
        <v>0.24506520000000009</v>
      </c>
    </row>
    <row r="130" spans="1:39" ht="15" thickBot="1" x14ac:dyDescent="0.35">
      <c r="A130" s="6">
        <f t="shared" si="6"/>
        <v>18.547702706735507</v>
      </c>
      <c r="B130" s="18">
        <v>17</v>
      </c>
      <c r="C130" s="12" t="s">
        <v>45</v>
      </c>
      <c r="D130" s="19" t="s">
        <v>16</v>
      </c>
      <c r="E130" s="19" t="s">
        <v>19</v>
      </c>
      <c r="F130" s="19" t="s">
        <v>19</v>
      </c>
      <c r="G130" s="19">
        <v>18</v>
      </c>
      <c r="H130" s="19">
        <v>32</v>
      </c>
      <c r="I130" s="19">
        <v>10</v>
      </c>
      <c r="J130" s="19">
        <v>20</v>
      </c>
      <c r="K130" s="19">
        <v>12</v>
      </c>
      <c r="L130" s="19">
        <v>25</v>
      </c>
      <c r="M130" s="19">
        <v>16</v>
      </c>
      <c r="N130" s="19">
        <v>71</v>
      </c>
      <c r="O130" s="19">
        <v>77</v>
      </c>
      <c r="P130" s="19">
        <v>72</v>
      </c>
      <c r="Q130" s="18">
        <v>17</v>
      </c>
      <c r="R130" s="12" t="s">
        <v>45</v>
      </c>
      <c r="S130" s="19" t="s">
        <v>16</v>
      </c>
      <c r="T130" s="19" t="s">
        <v>19</v>
      </c>
      <c r="U130" s="19" t="s">
        <v>19</v>
      </c>
      <c r="V130" s="19">
        <v>18</v>
      </c>
      <c r="W130" s="19">
        <v>25</v>
      </c>
      <c r="X130" s="19">
        <v>21</v>
      </c>
      <c r="Y130" s="19">
        <v>43</v>
      </c>
      <c r="Z130" s="19">
        <v>86</v>
      </c>
      <c r="AA130" s="19">
        <v>22</v>
      </c>
      <c r="AB130" s="19">
        <v>24</v>
      </c>
      <c r="AC130" s="19">
        <v>100</v>
      </c>
      <c r="AD130" s="19">
        <v>35</v>
      </c>
      <c r="AE130" s="19">
        <v>80</v>
      </c>
      <c r="AF130" s="19">
        <v>32</v>
      </c>
      <c r="AG130" s="19">
        <v>94</v>
      </c>
      <c r="AH130" s="19">
        <v>72</v>
      </c>
      <c r="AI130" s="6">
        <f t="shared" si="7"/>
        <v>0.47585280000000013</v>
      </c>
      <c r="AJ130" s="6">
        <f t="shared" si="8"/>
        <v>0.37900000000000006</v>
      </c>
      <c r="AK130" s="6">
        <f t="shared" si="9"/>
        <v>1.4511220000000007</v>
      </c>
      <c r="AL130" s="6">
        <f t="shared" si="10"/>
        <v>0.39200000000000002</v>
      </c>
      <c r="AM130" s="6">
        <f t="shared" si="11"/>
        <v>0.43473960000000006</v>
      </c>
    </row>
    <row r="131" spans="1:39" ht="15" thickBot="1" x14ac:dyDescent="0.35">
      <c r="A131" s="6">
        <f t="shared" si="6"/>
        <v>20.359881524366585</v>
      </c>
      <c r="B131" s="20">
        <v>178</v>
      </c>
      <c r="C131" s="13" t="s">
        <v>206</v>
      </c>
      <c r="D131" s="21" t="s">
        <v>16</v>
      </c>
      <c r="E131" s="21" t="s">
        <v>20</v>
      </c>
      <c r="F131" s="21" t="s">
        <v>20</v>
      </c>
      <c r="G131" s="21">
        <v>22</v>
      </c>
      <c r="H131" s="21">
        <v>16</v>
      </c>
      <c r="I131" s="21">
        <v>0</v>
      </c>
      <c r="J131" s="21">
        <v>37</v>
      </c>
      <c r="K131" s="21">
        <v>54</v>
      </c>
      <c r="L131" s="21">
        <v>28</v>
      </c>
      <c r="M131" s="21">
        <v>10</v>
      </c>
      <c r="N131" s="21">
        <v>86</v>
      </c>
      <c r="O131" s="21">
        <v>23</v>
      </c>
      <c r="P131" s="21">
        <v>42</v>
      </c>
      <c r="Q131" s="20">
        <v>178</v>
      </c>
      <c r="R131" s="13" t="s">
        <v>206</v>
      </c>
      <c r="S131" s="21" t="s">
        <v>16</v>
      </c>
      <c r="T131" s="21" t="s">
        <v>20</v>
      </c>
      <c r="U131" s="21" t="s">
        <v>20</v>
      </c>
      <c r="V131" s="21">
        <v>22</v>
      </c>
      <c r="W131" s="21">
        <v>66</v>
      </c>
      <c r="X131" s="21">
        <v>34</v>
      </c>
      <c r="Y131" s="21">
        <v>0</v>
      </c>
      <c r="Z131" s="21">
        <v>21</v>
      </c>
      <c r="AA131" s="21">
        <v>39</v>
      </c>
      <c r="AB131" s="21">
        <v>29</v>
      </c>
      <c r="AC131" s="21">
        <v>76</v>
      </c>
      <c r="AD131" s="21">
        <v>31</v>
      </c>
      <c r="AE131" s="21">
        <v>56</v>
      </c>
      <c r="AF131" s="21">
        <v>48</v>
      </c>
      <c r="AG131" s="21">
        <v>74</v>
      </c>
      <c r="AH131" s="21">
        <v>42</v>
      </c>
      <c r="AI131" s="6">
        <f t="shared" si="7"/>
        <v>1.0902192000000004</v>
      </c>
      <c r="AJ131" s="6">
        <f t="shared" si="8"/>
        <v>0.29499999999999998</v>
      </c>
      <c r="AK131" s="6">
        <f t="shared" si="9"/>
        <v>0.97873800000000011</v>
      </c>
      <c r="AL131" s="6">
        <f t="shared" si="10"/>
        <v>0.38400000000000006</v>
      </c>
      <c r="AM131" s="6">
        <f t="shared" si="11"/>
        <v>0.35648360000000007</v>
      </c>
    </row>
    <row r="132" spans="1:39" ht="15" thickBot="1" x14ac:dyDescent="0.35">
      <c r="A132" s="6">
        <f t="shared" si="6"/>
        <v>17.940330508221667</v>
      </c>
      <c r="B132" s="18">
        <v>93</v>
      </c>
      <c r="C132" s="12" t="s">
        <v>121</v>
      </c>
      <c r="D132" s="19" t="s">
        <v>16</v>
      </c>
      <c r="E132" s="19" t="s">
        <v>20</v>
      </c>
      <c r="F132" s="19" t="s">
        <v>20</v>
      </c>
      <c r="G132" s="19">
        <v>18</v>
      </c>
      <c r="H132" s="19">
        <v>25</v>
      </c>
      <c r="I132" s="19">
        <v>11</v>
      </c>
      <c r="J132" s="19">
        <v>15</v>
      </c>
      <c r="K132" s="19">
        <v>29</v>
      </c>
      <c r="L132" s="19">
        <v>38</v>
      </c>
      <c r="M132" s="19">
        <v>17</v>
      </c>
      <c r="N132" s="19">
        <v>61</v>
      </c>
      <c r="O132" s="19">
        <v>66</v>
      </c>
      <c r="P132" s="19">
        <v>52</v>
      </c>
      <c r="Q132" s="18">
        <v>93</v>
      </c>
      <c r="R132" s="12" t="s">
        <v>121</v>
      </c>
      <c r="S132" s="19" t="s">
        <v>16</v>
      </c>
      <c r="T132" s="19" t="s">
        <v>20</v>
      </c>
      <c r="U132" s="19" t="s">
        <v>20</v>
      </c>
      <c r="V132" s="19">
        <v>18</v>
      </c>
      <c r="W132" s="19">
        <v>10</v>
      </c>
      <c r="X132" s="19">
        <v>34</v>
      </c>
      <c r="Y132" s="19">
        <v>47</v>
      </c>
      <c r="Z132" s="19">
        <v>34</v>
      </c>
      <c r="AA132" s="19">
        <v>24</v>
      </c>
      <c r="AB132" s="19">
        <v>64</v>
      </c>
      <c r="AC132" s="19">
        <v>84</v>
      </c>
      <c r="AD132" s="19">
        <v>35</v>
      </c>
      <c r="AE132" s="19">
        <v>30</v>
      </c>
      <c r="AF132" s="19">
        <v>38</v>
      </c>
      <c r="AG132" s="19">
        <v>94</v>
      </c>
      <c r="AH132" s="19">
        <v>52</v>
      </c>
      <c r="AI132" s="6">
        <f t="shared" si="7"/>
        <v>0.79655400000000021</v>
      </c>
      <c r="AJ132" s="6">
        <f t="shared" si="8"/>
        <v>0.35800000000000004</v>
      </c>
      <c r="AK132" s="6">
        <f t="shared" si="9"/>
        <v>0.84935800000000006</v>
      </c>
      <c r="AL132" s="6">
        <f t="shared" si="10"/>
        <v>0.68</v>
      </c>
      <c r="AM132" s="6">
        <f t="shared" si="11"/>
        <v>0.37399880000000002</v>
      </c>
    </row>
    <row r="133" spans="1:39" ht="15" thickBot="1" x14ac:dyDescent="0.35">
      <c r="A133" s="6">
        <f t="shared" si="6"/>
        <v>19.207620490017607</v>
      </c>
      <c r="B133" s="18">
        <v>95</v>
      </c>
      <c r="C133" s="12" t="s">
        <v>123</v>
      </c>
      <c r="D133" s="19" t="s">
        <v>16</v>
      </c>
      <c r="E133" s="19" t="s">
        <v>20</v>
      </c>
      <c r="F133" s="19" t="s">
        <v>20</v>
      </c>
      <c r="G133" s="19">
        <v>18</v>
      </c>
      <c r="H133" s="19">
        <v>11</v>
      </c>
      <c r="I133" s="19">
        <v>9</v>
      </c>
      <c r="J133" s="19">
        <v>17</v>
      </c>
      <c r="K133" s="19">
        <v>28</v>
      </c>
      <c r="L133" s="19">
        <v>12</v>
      </c>
      <c r="M133" s="19">
        <v>17</v>
      </c>
      <c r="N133" s="19">
        <v>60</v>
      </c>
      <c r="O133" s="19">
        <v>72</v>
      </c>
      <c r="P133" s="19">
        <v>51</v>
      </c>
      <c r="Q133" s="18">
        <v>95</v>
      </c>
      <c r="R133" s="12" t="s">
        <v>123</v>
      </c>
      <c r="S133" s="19" t="s">
        <v>16</v>
      </c>
      <c r="T133" s="19" t="s">
        <v>20</v>
      </c>
      <c r="U133" s="19" t="s">
        <v>20</v>
      </c>
      <c r="V133" s="19">
        <v>18</v>
      </c>
      <c r="W133" s="19">
        <v>19</v>
      </c>
      <c r="X133" s="19">
        <v>38</v>
      </c>
      <c r="Y133" s="19">
        <v>42</v>
      </c>
      <c r="Z133" s="19">
        <v>92</v>
      </c>
      <c r="AA133" s="19">
        <v>2</v>
      </c>
      <c r="AB133" s="19">
        <v>81</v>
      </c>
      <c r="AC133" s="19">
        <v>86</v>
      </c>
      <c r="AD133" s="19">
        <v>30</v>
      </c>
      <c r="AE133" s="19">
        <v>32</v>
      </c>
      <c r="AF133" s="19">
        <v>53</v>
      </c>
      <c r="AG133" s="19">
        <v>97</v>
      </c>
      <c r="AH133" s="19">
        <v>51</v>
      </c>
      <c r="AI133" s="6">
        <f t="shared" si="7"/>
        <v>0.26733480000000009</v>
      </c>
      <c r="AJ133" s="6">
        <f t="shared" si="8"/>
        <v>0.36200000000000004</v>
      </c>
      <c r="AK133" s="6">
        <f t="shared" si="9"/>
        <v>1.6204460000000005</v>
      </c>
      <c r="AL133" s="6">
        <f t="shared" si="10"/>
        <v>0.82</v>
      </c>
      <c r="AM133" s="6">
        <f t="shared" si="11"/>
        <v>0.33766040000000008</v>
      </c>
    </row>
    <row r="134" spans="1:39" ht="15" thickBot="1" x14ac:dyDescent="0.35">
      <c r="A134" s="6">
        <f t="shared" si="6"/>
        <v>18.53377779104121</v>
      </c>
      <c r="B134" s="18">
        <v>151</v>
      </c>
      <c r="C134" s="12" t="s">
        <v>179</v>
      </c>
      <c r="D134" s="19" t="s">
        <v>16</v>
      </c>
      <c r="E134" s="19" t="s">
        <v>20</v>
      </c>
      <c r="F134" s="19" t="s">
        <v>20</v>
      </c>
      <c r="G134" s="19">
        <v>18</v>
      </c>
      <c r="H134" s="19">
        <v>15</v>
      </c>
      <c r="I134" s="19">
        <v>6</v>
      </c>
      <c r="J134" s="19">
        <v>20</v>
      </c>
      <c r="K134" s="19">
        <v>16</v>
      </c>
      <c r="L134" s="19">
        <v>20</v>
      </c>
      <c r="M134" s="19">
        <v>0</v>
      </c>
      <c r="N134" s="19">
        <v>71</v>
      </c>
      <c r="O134" s="19">
        <v>83</v>
      </c>
      <c r="P134" s="19">
        <v>41</v>
      </c>
      <c r="Q134" s="18">
        <v>151</v>
      </c>
      <c r="R134" s="12" t="s">
        <v>179</v>
      </c>
      <c r="S134" s="19" t="s">
        <v>16</v>
      </c>
      <c r="T134" s="19" t="s">
        <v>20</v>
      </c>
      <c r="U134" s="19" t="s">
        <v>20</v>
      </c>
      <c r="V134" s="19">
        <v>18</v>
      </c>
      <c r="W134" s="19">
        <v>7</v>
      </c>
      <c r="X134" s="19">
        <v>33</v>
      </c>
      <c r="Y134" s="19">
        <v>55</v>
      </c>
      <c r="Z134" s="19">
        <v>87</v>
      </c>
      <c r="AA134" s="19">
        <v>20</v>
      </c>
      <c r="AB134" s="19">
        <v>69</v>
      </c>
      <c r="AC134" s="19">
        <v>72</v>
      </c>
      <c r="AD134" s="19">
        <v>23</v>
      </c>
      <c r="AE134" s="19">
        <v>100</v>
      </c>
      <c r="AF134" s="19">
        <v>80</v>
      </c>
      <c r="AG134" s="19">
        <v>81</v>
      </c>
      <c r="AH134" s="19">
        <v>41</v>
      </c>
      <c r="AI134" s="6">
        <f t="shared" si="7"/>
        <v>0.24687960000000003</v>
      </c>
      <c r="AJ134" s="6">
        <f t="shared" si="8"/>
        <v>0.22500000000000001</v>
      </c>
      <c r="AK134" s="6">
        <f t="shared" si="9"/>
        <v>1.6497240000000004</v>
      </c>
      <c r="AL134" s="6">
        <f t="shared" si="10"/>
        <v>0.69600000000000006</v>
      </c>
      <c r="AM134" s="6">
        <f t="shared" si="11"/>
        <v>0.36789980000000005</v>
      </c>
    </row>
    <row r="135" spans="1:39" ht="15" thickBot="1" x14ac:dyDescent="0.35">
      <c r="A135" s="6">
        <f t="shared" ref="A135:A198" si="12">(AI135*H$3+AJ135*M$3+AK135*W$3+AL135*AB$3+AM135*AD$3)*100/(AI$5*H$3+AJ$5*M$3+AK$5*W$3+AL$5*AB$3+AM$5*AD$3)</f>
        <v>18.629672923692141</v>
      </c>
      <c r="B135" s="18">
        <v>133</v>
      </c>
      <c r="C135" s="12" t="s">
        <v>161</v>
      </c>
      <c r="D135" s="19" t="s">
        <v>16</v>
      </c>
      <c r="E135" s="19" t="s">
        <v>19</v>
      </c>
      <c r="F135" s="19" t="s">
        <v>19</v>
      </c>
      <c r="G135" s="19">
        <v>18</v>
      </c>
      <c r="H135" s="19">
        <v>23</v>
      </c>
      <c r="I135" s="19">
        <v>5</v>
      </c>
      <c r="J135" s="19">
        <v>34</v>
      </c>
      <c r="K135" s="19">
        <v>12</v>
      </c>
      <c r="L135" s="19">
        <v>8</v>
      </c>
      <c r="M135" s="19">
        <v>26</v>
      </c>
      <c r="N135" s="19">
        <v>61</v>
      </c>
      <c r="O135" s="19">
        <v>53</v>
      </c>
      <c r="P135" s="19">
        <v>44</v>
      </c>
      <c r="Q135" s="18">
        <v>133</v>
      </c>
      <c r="R135" s="12" t="s">
        <v>161</v>
      </c>
      <c r="S135" s="19" t="s">
        <v>16</v>
      </c>
      <c r="T135" s="19" t="s">
        <v>19</v>
      </c>
      <c r="U135" s="19" t="s">
        <v>19</v>
      </c>
      <c r="V135" s="19">
        <v>18</v>
      </c>
      <c r="W135" s="19">
        <v>73</v>
      </c>
      <c r="X135" s="19">
        <v>35</v>
      </c>
      <c r="Y135" s="19">
        <v>61</v>
      </c>
      <c r="Z135" s="19">
        <v>5</v>
      </c>
      <c r="AA135" s="19">
        <v>11</v>
      </c>
      <c r="AB135" s="19">
        <v>45</v>
      </c>
      <c r="AC135" s="19">
        <v>91</v>
      </c>
      <c r="AD135" s="19">
        <v>35</v>
      </c>
      <c r="AE135" s="19">
        <v>34</v>
      </c>
      <c r="AF135" s="19">
        <v>68</v>
      </c>
      <c r="AG135" s="19">
        <v>65</v>
      </c>
      <c r="AH135" s="19">
        <v>44</v>
      </c>
      <c r="AI135" s="6">
        <f t="shared" ref="AI135:AI198" si="13">H$1*((-2*10^-6)*H135^3+0.00032*H135^2-0.0021*H135)+I$1*((-2*10^-6)*I135^3+0.00032*I135^2-0.0021*I135)+J$1*((-2*10^-6)*J135^3+0.00032*J135^2-0.0021*J135)+K$1*((-2*10^-6)*K135^3+0.00032*K135^2-0.0021*K135)+L$1*((-2*10^-6)*L135^3+0.00032*L135^2-0.0021*L135)</f>
        <v>0.2922340000000001</v>
      </c>
      <c r="AJ135" s="6">
        <f t="shared" ref="AJ135:AJ198" si="14">(M$1*M135+N$1*N135+O$1*O135)/100</f>
        <v>0.435</v>
      </c>
      <c r="AK135" s="6">
        <f t="shared" ref="AK135:AK198" si="15">IF(AA135&lt;50,W$1*((-2*10^-6)*W135^3+0.00032*W135^2-0.0021*W135)+X$1*((-2*10^-6)*X135^3+0.00032*X135^2-0.0021*X135)+Y$1*((-2*10^-6)*Y135^3+0.00032*Y135^2-0.0021*Y135)+Z$1*((-2*10^-6)*Z135^3+0.00032*Z135^2-0.0021*Z135),X$2*((-2*10^-6)*X135^3+0.00032*X135^2-0.0021*AA135)+Y$2*((-2*10^-6)*Y135^3+0.00032*Y135^2-0.0021*Y135)+Z$2*((-2*10^-6)*Z135^3+0.00032*Z135^2-0.0021*Z135)+ AA$2*((-2*10^-6)*AA135^3+0.00032*AA135^2-0.0021*AA135))</f>
        <v>1.6126040000000004</v>
      </c>
      <c r="AL135" s="6">
        <f t="shared" ref="AL135:AL198" si="16">(AB$1*AB135+AC$1*AC135)/100</f>
        <v>0.54200000000000004</v>
      </c>
      <c r="AM135" s="6">
        <f t="shared" ref="AM135:AM198" si="17">AD$1*((-2*10^-6)*AD135^3+0.00032*AD135^2-0.0021*AD135)+AE$1*((-2*10^-6)*AE135^3+0.00032*AE135^2-0.0021*AE135)+AF$1*((-2*10^-6)*AF135^3+0.00032*AF135^2-0.0021*AF135)+AG$1*((-2*10^-6)*AG135^3+0.00032*AG135^2-0.0021*AG135)</f>
        <v>0.39216780000000007</v>
      </c>
    </row>
    <row r="136" spans="1:39" ht="15" thickBot="1" x14ac:dyDescent="0.35">
      <c r="A136" s="6">
        <f t="shared" si="12"/>
        <v>17.889171267420689</v>
      </c>
      <c r="B136" s="20">
        <v>96</v>
      </c>
      <c r="C136" s="13" t="s">
        <v>124</v>
      </c>
      <c r="D136" s="21" t="s">
        <v>16</v>
      </c>
      <c r="E136" s="21" t="s">
        <v>20</v>
      </c>
      <c r="F136" s="21" t="s">
        <v>20</v>
      </c>
      <c r="G136" s="21">
        <v>18</v>
      </c>
      <c r="H136" s="21">
        <v>19</v>
      </c>
      <c r="I136" s="21">
        <v>4</v>
      </c>
      <c r="J136" s="21">
        <v>10</v>
      </c>
      <c r="K136" s="21">
        <v>29</v>
      </c>
      <c r="L136" s="21">
        <v>27</v>
      </c>
      <c r="M136" s="21">
        <v>22</v>
      </c>
      <c r="N136" s="21">
        <v>54</v>
      </c>
      <c r="O136" s="21">
        <v>82</v>
      </c>
      <c r="P136" s="21">
        <v>51</v>
      </c>
      <c r="Q136" s="20">
        <v>96</v>
      </c>
      <c r="R136" s="13" t="s">
        <v>124</v>
      </c>
      <c r="S136" s="21" t="s">
        <v>16</v>
      </c>
      <c r="T136" s="21" t="s">
        <v>20</v>
      </c>
      <c r="U136" s="21" t="s">
        <v>20</v>
      </c>
      <c r="V136" s="21">
        <v>18</v>
      </c>
      <c r="W136" s="21">
        <v>6</v>
      </c>
      <c r="X136" s="21">
        <v>3</v>
      </c>
      <c r="Y136" s="21">
        <v>60</v>
      </c>
      <c r="Z136" s="21">
        <v>66</v>
      </c>
      <c r="AA136" s="21">
        <v>49</v>
      </c>
      <c r="AB136" s="21">
        <v>54</v>
      </c>
      <c r="AC136" s="21">
        <v>54</v>
      </c>
      <c r="AD136" s="21">
        <v>37</v>
      </c>
      <c r="AE136" s="21">
        <v>79</v>
      </c>
      <c r="AF136" s="21">
        <v>47</v>
      </c>
      <c r="AG136" s="21">
        <v>93</v>
      </c>
      <c r="AH136" s="21">
        <v>51</v>
      </c>
      <c r="AI136" s="6">
        <f t="shared" si="13"/>
        <v>0.4731588000000001</v>
      </c>
      <c r="AJ136" s="6">
        <f t="shared" si="14"/>
        <v>0.41</v>
      </c>
      <c r="AK136" s="6">
        <f t="shared" si="15"/>
        <v>1.2693420000000002</v>
      </c>
      <c r="AL136" s="6">
        <f t="shared" si="16"/>
        <v>0.54</v>
      </c>
      <c r="AM136" s="6">
        <f t="shared" si="17"/>
        <v>0.48000820000000011</v>
      </c>
    </row>
    <row r="137" spans="1:39" ht="15" thickBot="1" x14ac:dyDescent="0.35">
      <c r="A137" s="6">
        <f t="shared" si="12"/>
        <v>17.854923751827865</v>
      </c>
      <c r="B137" s="18">
        <v>63</v>
      </c>
      <c r="C137" s="12" t="s">
        <v>91</v>
      </c>
      <c r="D137" s="19" t="s">
        <v>16</v>
      </c>
      <c r="E137" s="19" t="s">
        <v>20</v>
      </c>
      <c r="F137" s="19" t="s">
        <v>20</v>
      </c>
      <c r="G137" s="19">
        <v>18</v>
      </c>
      <c r="H137" s="19">
        <v>22</v>
      </c>
      <c r="I137" s="19">
        <v>13</v>
      </c>
      <c r="J137" s="19">
        <v>22</v>
      </c>
      <c r="K137" s="19">
        <v>31</v>
      </c>
      <c r="L137" s="19">
        <v>28</v>
      </c>
      <c r="M137" s="19">
        <v>14</v>
      </c>
      <c r="N137" s="19">
        <v>72</v>
      </c>
      <c r="O137" s="19">
        <v>66</v>
      </c>
      <c r="P137" s="19">
        <v>59</v>
      </c>
      <c r="Q137" s="18">
        <v>63</v>
      </c>
      <c r="R137" s="12" t="s">
        <v>91</v>
      </c>
      <c r="S137" s="19" t="s">
        <v>16</v>
      </c>
      <c r="T137" s="19" t="s">
        <v>20</v>
      </c>
      <c r="U137" s="19" t="s">
        <v>20</v>
      </c>
      <c r="V137" s="19">
        <v>18</v>
      </c>
      <c r="W137" s="19">
        <v>15</v>
      </c>
      <c r="X137" s="19">
        <v>22</v>
      </c>
      <c r="Y137" s="19">
        <v>24</v>
      </c>
      <c r="Z137" s="19">
        <v>86</v>
      </c>
      <c r="AA137" s="19">
        <v>28</v>
      </c>
      <c r="AB137" s="19">
        <v>38</v>
      </c>
      <c r="AC137" s="19">
        <v>68</v>
      </c>
      <c r="AD137" s="19">
        <v>28</v>
      </c>
      <c r="AE137" s="19">
        <v>74</v>
      </c>
      <c r="AF137" s="19">
        <v>54</v>
      </c>
      <c r="AG137" s="19">
        <v>66</v>
      </c>
      <c r="AH137" s="19">
        <v>59</v>
      </c>
      <c r="AI137" s="6">
        <f t="shared" si="13"/>
        <v>0.6585504000000002</v>
      </c>
      <c r="AJ137" s="6">
        <f t="shared" si="14"/>
        <v>0.35</v>
      </c>
      <c r="AK137" s="6">
        <f t="shared" si="15"/>
        <v>1.1414140000000006</v>
      </c>
      <c r="AL137" s="6">
        <f t="shared" si="16"/>
        <v>0.44</v>
      </c>
      <c r="AM137" s="6">
        <f t="shared" si="17"/>
        <v>0.34533520000000012</v>
      </c>
    </row>
    <row r="138" spans="1:39" ht="15" thickBot="1" x14ac:dyDescent="0.35">
      <c r="A138" s="6">
        <f t="shared" si="12"/>
        <v>17.163295383329846</v>
      </c>
      <c r="B138" s="18">
        <v>101</v>
      </c>
      <c r="C138" s="12" t="s">
        <v>129</v>
      </c>
      <c r="D138" s="19" t="s">
        <v>16</v>
      </c>
      <c r="E138" s="19" t="s">
        <v>19</v>
      </c>
      <c r="F138" s="19" t="s">
        <v>19</v>
      </c>
      <c r="G138" s="19">
        <v>18</v>
      </c>
      <c r="H138" s="19">
        <v>16</v>
      </c>
      <c r="I138" s="19">
        <v>5</v>
      </c>
      <c r="J138" s="19">
        <v>26</v>
      </c>
      <c r="K138" s="19">
        <v>13</v>
      </c>
      <c r="L138" s="19">
        <v>29</v>
      </c>
      <c r="M138" s="19">
        <v>21</v>
      </c>
      <c r="N138" s="19">
        <v>82</v>
      </c>
      <c r="O138" s="19">
        <v>51</v>
      </c>
      <c r="P138" s="19">
        <v>50</v>
      </c>
      <c r="Q138" s="18">
        <v>101</v>
      </c>
      <c r="R138" s="12" t="s">
        <v>129</v>
      </c>
      <c r="S138" s="19" t="s">
        <v>16</v>
      </c>
      <c r="T138" s="19" t="s">
        <v>19</v>
      </c>
      <c r="U138" s="19" t="s">
        <v>19</v>
      </c>
      <c r="V138" s="19">
        <v>18</v>
      </c>
      <c r="W138" s="19">
        <v>37</v>
      </c>
      <c r="X138" s="19">
        <v>44</v>
      </c>
      <c r="Y138" s="19">
        <v>64</v>
      </c>
      <c r="Z138" s="19">
        <v>8</v>
      </c>
      <c r="AA138" s="19">
        <v>6</v>
      </c>
      <c r="AB138" s="19">
        <v>19</v>
      </c>
      <c r="AC138" s="19">
        <v>90</v>
      </c>
      <c r="AD138" s="19">
        <v>59</v>
      </c>
      <c r="AE138" s="19">
        <v>22</v>
      </c>
      <c r="AF138" s="19">
        <v>41</v>
      </c>
      <c r="AG138" s="19">
        <v>90</v>
      </c>
      <c r="AH138" s="19">
        <v>50</v>
      </c>
      <c r="AI138" s="6">
        <f t="shared" si="13"/>
        <v>0.41785280000000002</v>
      </c>
      <c r="AJ138" s="6">
        <f t="shared" si="14"/>
        <v>0.42500000000000004</v>
      </c>
      <c r="AK138" s="6">
        <f t="shared" si="15"/>
        <v>1.2705140000000004</v>
      </c>
      <c r="AL138" s="6">
        <f t="shared" si="16"/>
        <v>0.33200000000000002</v>
      </c>
      <c r="AM138" s="6">
        <f t="shared" si="17"/>
        <v>0.71389820000000015</v>
      </c>
    </row>
    <row r="139" spans="1:39" ht="15" thickBot="1" x14ac:dyDescent="0.35">
      <c r="A139" s="6">
        <f t="shared" si="12"/>
        <v>17.651764600555072</v>
      </c>
      <c r="B139" s="20">
        <v>22</v>
      </c>
      <c r="C139" s="13" t="s">
        <v>50</v>
      </c>
      <c r="D139" s="21" t="s">
        <v>16</v>
      </c>
      <c r="E139" s="21" t="s">
        <v>21</v>
      </c>
      <c r="F139" s="21" t="s">
        <v>20</v>
      </c>
      <c r="G139" s="21">
        <v>18</v>
      </c>
      <c r="H139" s="21">
        <v>10</v>
      </c>
      <c r="I139" s="21">
        <v>7</v>
      </c>
      <c r="J139" s="21">
        <v>11</v>
      </c>
      <c r="K139" s="21">
        <v>19</v>
      </c>
      <c r="L139" s="21">
        <v>15</v>
      </c>
      <c r="M139" s="21">
        <v>14</v>
      </c>
      <c r="N139" s="21">
        <v>71</v>
      </c>
      <c r="O139" s="21">
        <v>66</v>
      </c>
      <c r="P139" s="21">
        <v>69</v>
      </c>
      <c r="Q139" s="20">
        <v>22</v>
      </c>
      <c r="R139" s="13" t="s">
        <v>50</v>
      </c>
      <c r="S139" s="21" t="s">
        <v>16</v>
      </c>
      <c r="T139" s="21" t="s">
        <v>21</v>
      </c>
      <c r="U139" s="21" t="s">
        <v>20</v>
      </c>
      <c r="V139" s="21">
        <v>18</v>
      </c>
      <c r="W139" s="21">
        <v>41</v>
      </c>
      <c r="X139" s="21">
        <v>45</v>
      </c>
      <c r="Y139" s="21">
        <v>78</v>
      </c>
      <c r="Z139" s="21">
        <v>22</v>
      </c>
      <c r="AA139" s="21">
        <v>31</v>
      </c>
      <c r="AB139" s="21">
        <v>80</v>
      </c>
      <c r="AC139" s="21">
        <v>100</v>
      </c>
      <c r="AD139" s="21">
        <v>9</v>
      </c>
      <c r="AE139" s="21">
        <v>57</v>
      </c>
      <c r="AF139" s="21">
        <v>22</v>
      </c>
      <c r="AG139" s="21">
        <v>93</v>
      </c>
      <c r="AH139" s="21">
        <v>69</v>
      </c>
      <c r="AI139" s="6">
        <f t="shared" si="13"/>
        <v>0.14823680000000006</v>
      </c>
      <c r="AJ139" s="6">
        <f t="shared" si="14"/>
        <v>0.34800000000000003</v>
      </c>
      <c r="AK139" s="6">
        <f t="shared" si="15"/>
        <v>1.6065880000000003</v>
      </c>
      <c r="AL139" s="6">
        <f t="shared" si="16"/>
        <v>0.84</v>
      </c>
      <c r="AM139" s="6">
        <f t="shared" si="17"/>
        <v>0.16562640000000006</v>
      </c>
    </row>
    <row r="140" spans="1:39" ht="15" thickBot="1" x14ac:dyDescent="0.35">
      <c r="A140" s="6">
        <f t="shared" si="12"/>
        <v>17.19819451490644</v>
      </c>
      <c r="B140" s="20">
        <v>110</v>
      </c>
      <c r="C140" s="13" t="s">
        <v>138</v>
      </c>
      <c r="D140" s="21" t="s">
        <v>16</v>
      </c>
      <c r="E140" s="21" t="s">
        <v>20</v>
      </c>
      <c r="F140" s="21" t="s">
        <v>20</v>
      </c>
      <c r="G140" s="21">
        <v>18</v>
      </c>
      <c r="H140" s="21">
        <v>25</v>
      </c>
      <c r="I140" s="21">
        <v>10</v>
      </c>
      <c r="J140" s="21">
        <v>7</v>
      </c>
      <c r="K140" s="21">
        <v>35</v>
      </c>
      <c r="L140" s="21">
        <v>33</v>
      </c>
      <c r="M140" s="21">
        <v>31</v>
      </c>
      <c r="N140" s="21">
        <v>63</v>
      </c>
      <c r="O140" s="21">
        <v>76</v>
      </c>
      <c r="P140" s="21">
        <v>48</v>
      </c>
      <c r="Q140" s="20">
        <v>110</v>
      </c>
      <c r="R140" s="13" t="s">
        <v>138</v>
      </c>
      <c r="S140" s="21" t="s">
        <v>16</v>
      </c>
      <c r="T140" s="21" t="s">
        <v>20</v>
      </c>
      <c r="U140" s="21" t="s">
        <v>20</v>
      </c>
      <c r="V140" s="21">
        <v>18</v>
      </c>
      <c r="W140" s="21">
        <v>5</v>
      </c>
      <c r="X140" s="21">
        <v>34</v>
      </c>
      <c r="Y140" s="21">
        <v>44</v>
      </c>
      <c r="Z140" s="21">
        <v>22</v>
      </c>
      <c r="AA140" s="21">
        <v>54</v>
      </c>
      <c r="AB140" s="21">
        <v>48</v>
      </c>
      <c r="AC140" s="21">
        <v>100</v>
      </c>
      <c r="AD140" s="21">
        <v>50</v>
      </c>
      <c r="AE140" s="21">
        <v>79</v>
      </c>
      <c r="AF140" s="21">
        <v>29</v>
      </c>
      <c r="AG140" s="21">
        <v>63</v>
      </c>
      <c r="AH140" s="21">
        <v>48</v>
      </c>
      <c r="AI140" s="6">
        <f t="shared" si="13"/>
        <v>0.74547479999999999</v>
      </c>
      <c r="AJ140" s="6">
        <f t="shared" si="14"/>
        <v>0.51200000000000001</v>
      </c>
      <c r="AK140" s="6">
        <f t="shared" si="15"/>
        <v>0.74496560000000023</v>
      </c>
      <c r="AL140" s="6">
        <f t="shared" si="16"/>
        <v>0.58400000000000007</v>
      </c>
      <c r="AM140" s="6">
        <f t="shared" si="17"/>
        <v>0.60922700000000019</v>
      </c>
    </row>
    <row r="141" spans="1:39" ht="15" thickBot="1" x14ac:dyDescent="0.35">
      <c r="A141" s="6">
        <f t="shared" si="12"/>
        <v>17.281182070488523</v>
      </c>
      <c r="B141" s="20">
        <v>136</v>
      </c>
      <c r="C141" s="13" t="s">
        <v>164</v>
      </c>
      <c r="D141" s="21" t="s">
        <v>16</v>
      </c>
      <c r="E141" s="21" t="s">
        <v>20</v>
      </c>
      <c r="F141" s="21" t="s">
        <v>20</v>
      </c>
      <c r="G141" s="21">
        <v>18</v>
      </c>
      <c r="H141" s="21">
        <v>27</v>
      </c>
      <c r="I141" s="21">
        <v>11</v>
      </c>
      <c r="J141" s="21">
        <v>15</v>
      </c>
      <c r="K141" s="21">
        <v>31</v>
      </c>
      <c r="L141" s="21">
        <v>25</v>
      </c>
      <c r="M141" s="21">
        <v>16</v>
      </c>
      <c r="N141" s="21">
        <v>70</v>
      </c>
      <c r="O141" s="21">
        <v>65</v>
      </c>
      <c r="P141" s="21">
        <v>44</v>
      </c>
      <c r="Q141" s="20">
        <v>136</v>
      </c>
      <c r="R141" s="13" t="s">
        <v>164</v>
      </c>
      <c r="S141" s="21" t="s">
        <v>16</v>
      </c>
      <c r="T141" s="21" t="s">
        <v>20</v>
      </c>
      <c r="U141" s="21" t="s">
        <v>20</v>
      </c>
      <c r="V141" s="21">
        <v>18</v>
      </c>
      <c r="W141" s="21">
        <v>32</v>
      </c>
      <c r="X141" s="21">
        <v>28</v>
      </c>
      <c r="Y141" s="21">
        <v>62</v>
      </c>
      <c r="Z141" s="21">
        <v>24</v>
      </c>
      <c r="AA141" s="21">
        <v>42</v>
      </c>
      <c r="AB141" s="21">
        <v>32</v>
      </c>
      <c r="AC141" s="21">
        <v>77</v>
      </c>
      <c r="AD141" s="21">
        <v>51</v>
      </c>
      <c r="AE141" s="21">
        <v>41</v>
      </c>
      <c r="AF141" s="21">
        <v>47</v>
      </c>
      <c r="AG141" s="21">
        <v>79</v>
      </c>
      <c r="AH141" s="21">
        <v>44</v>
      </c>
      <c r="AI141" s="6">
        <f t="shared" si="13"/>
        <v>0.59553560000000016</v>
      </c>
      <c r="AJ141" s="6">
        <f t="shared" si="14"/>
        <v>0.36499999999999999</v>
      </c>
      <c r="AK141" s="6">
        <f t="shared" si="15"/>
        <v>1.0726160000000002</v>
      </c>
      <c r="AL141" s="6">
        <f t="shared" si="16"/>
        <v>0.41</v>
      </c>
      <c r="AM141" s="6">
        <f t="shared" si="17"/>
        <v>0.61588340000000019</v>
      </c>
    </row>
    <row r="142" spans="1:39" ht="15" thickBot="1" x14ac:dyDescent="0.35">
      <c r="A142" s="6">
        <f t="shared" si="12"/>
        <v>16.242026172073171</v>
      </c>
      <c r="B142" s="20">
        <v>88</v>
      </c>
      <c r="C142" s="13" t="s">
        <v>116</v>
      </c>
      <c r="D142" s="21" t="s">
        <v>16</v>
      </c>
      <c r="E142" s="21" t="s">
        <v>19</v>
      </c>
      <c r="F142" s="21" t="s">
        <v>19</v>
      </c>
      <c r="G142" s="21">
        <v>18</v>
      </c>
      <c r="H142" s="21">
        <v>23</v>
      </c>
      <c r="I142" s="21">
        <v>10</v>
      </c>
      <c r="J142" s="21">
        <v>20</v>
      </c>
      <c r="K142" s="21">
        <v>22</v>
      </c>
      <c r="L142" s="21">
        <v>34</v>
      </c>
      <c r="M142" s="21">
        <v>23</v>
      </c>
      <c r="N142" s="21">
        <v>54</v>
      </c>
      <c r="O142" s="21">
        <v>59</v>
      </c>
      <c r="P142" s="21">
        <v>53</v>
      </c>
      <c r="Q142" s="20">
        <v>88</v>
      </c>
      <c r="R142" s="13" t="s">
        <v>116</v>
      </c>
      <c r="S142" s="21" t="s">
        <v>16</v>
      </c>
      <c r="T142" s="21" t="s">
        <v>19</v>
      </c>
      <c r="U142" s="21" t="s">
        <v>19</v>
      </c>
      <c r="V142" s="21">
        <v>18</v>
      </c>
      <c r="W142" s="21">
        <v>20</v>
      </c>
      <c r="X142" s="21">
        <v>6</v>
      </c>
      <c r="Y142" s="21">
        <v>17</v>
      </c>
      <c r="Z142" s="21">
        <v>83</v>
      </c>
      <c r="AA142" s="21">
        <v>10</v>
      </c>
      <c r="AB142" s="21">
        <v>25</v>
      </c>
      <c r="AC142" s="21">
        <v>96</v>
      </c>
      <c r="AD142" s="21">
        <v>14</v>
      </c>
      <c r="AE142" s="21">
        <v>91</v>
      </c>
      <c r="AF142" s="21">
        <v>41</v>
      </c>
      <c r="AG142" s="21">
        <v>96</v>
      </c>
      <c r="AH142" s="21">
        <v>53</v>
      </c>
      <c r="AI142" s="6">
        <f t="shared" si="13"/>
        <v>0.62736600000000009</v>
      </c>
      <c r="AJ142" s="6">
        <f t="shared" si="14"/>
        <v>0.39699999999999996</v>
      </c>
      <c r="AK142" s="6">
        <f t="shared" si="15"/>
        <v>1.0020480000000003</v>
      </c>
      <c r="AL142" s="6">
        <f t="shared" si="16"/>
        <v>0.39200000000000002</v>
      </c>
      <c r="AM142" s="6">
        <f t="shared" si="17"/>
        <v>0.25220240000000005</v>
      </c>
    </row>
    <row r="143" spans="1:39" ht="15" thickBot="1" x14ac:dyDescent="0.35">
      <c r="A143" s="6">
        <f t="shared" si="12"/>
        <v>17.066101345907065</v>
      </c>
      <c r="B143" s="20">
        <v>158</v>
      </c>
      <c r="C143" s="13" t="s">
        <v>186</v>
      </c>
      <c r="D143" s="21" t="s">
        <v>16</v>
      </c>
      <c r="E143" s="21" t="s">
        <v>21</v>
      </c>
      <c r="F143" s="21" t="s">
        <v>19</v>
      </c>
      <c r="G143" s="21">
        <v>18</v>
      </c>
      <c r="H143" s="21">
        <v>9</v>
      </c>
      <c r="I143" s="21">
        <v>8</v>
      </c>
      <c r="J143" s="21">
        <v>11</v>
      </c>
      <c r="K143" s="21">
        <v>19</v>
      </c>
      <c r="L143" s="21">
        <v>15</v>
      </c>
      <c r="M143" s="21">
        <v>15</v>
      </c>
      <c r="N143" s="21">
        <v>64</v>
      </c>
      <c r="O143" s="21">
        <v>73</v>
      </c>
      <c r="P143" s="21">
        <v>39</v>
      </c>
      <c r="Q143" s="20">
        <v>158</v>
      </c>
      <c r="R143" s="13" t="s">
        <v>186</v>
      </c>
      <c r="S143" s="21" t="s">
        <v>16</v>
      </c>
      <c r="T143" s="21" t="s">
        <v>21</v>
      </c>
      <c r="U143" s="21" t="s">
        <v>19</v>
      </c>
      <c r="V143" s="21">
        <v>18</v>
      </c>
      <c r="W143" s="21">
        <v>22</v>
      </c>
      <c r="X143" s="21">
        <v>23</v>
      </c>
      <c r="Y143" s="21">
        <v>66</v>
      </c>
      <c r="Z143" s="21">
        <v>66</v>
      </c>
      <c r="AA143" s="21">
        <v>14</v>
      </c>
      <c r="AB143" s="21">
        <v>71</v>
      </c>
      <c r="AC143" s="21">
        <v>62</v>
      </c>
      <c r="AD143" s="21">
        <v>25</v>
      </c>
      <c r="AE143" s="21">
        <v>90</v>
      </c>
      <c r="AF143" s="21">
        <v>47</v>
      </c>
      <c r="AG143" s="21">
        <v>96</v>
      </c>
      <c r="AH143" s="21">
        <v>39</v>
      </c>
      <c r="AI143" s="6">
        <f t="shared" si="13"/>
        <v>0.14952280000000007</v>
      </c>
      <c r="AJ143" s="6">
        <f t="shared" si="14"/>
        <v>0.35100000000000003</v>
      </c>
      <c r="AK143" s="6">
        <f t="shared" si="15"/>
        <v>1.544686</v>
      </c>
      <c r="AL143" s="6">
        <f t="shared" si="16"/>
        <v>0.69200000000000006</v>
      </c>
      <c r="AM143" s="6">
        <f t="shared" si="17"/>
        <v>0.34860820000000009</v>
      </c>
    </row>
    <row r="144" spans="1:39" ht="15" thickBot="1" x14ac:dyDescent="0.35">
      <c r="A144" s="6">
        <f t="shared" si="12"/>
        <v>16.188242412486193</v>
      </c>
      <c r="B144" s="20">
        <v>74</v>
      </c>
      <c r="C144" s="13" t="s">
        <v>102</v>
      </c>
      <c r="D144" s="21" t="s">
        <v>16</v>
      </c>
      <c r="E144" s="21" t="s">
        <v>19</v>
      </c>
      <c r="F144" s="21" t="s">
        <v>19</v>
      </c>
      <c r="G144" s="21">
        <v>18</v>
      </c>
      <c r="H144" s="21">
        <v>21</v>
      </c>
      <c r="I144" s="21">
        <v>6</v>
      </c>
      <c r="J144" s="21">
        <v>26</v>
      </c>
      <c r="K144" s="21">
        <v>25</v>
      </c>
      <c r="L144" s="21">
        <v>37</v>
      </c>
      <c r="M144" s="21">
        <v>19</v>
      </c>
      <c r="N144" s="21">
        <v>64</v>
      </c>
      <c r="O144" s="21">
        <v>75</v>
      </c>
      <c r="P144" s="21">
        <v>56</v>
      </c>
      <c r="Q144" s="20">
        <v>74</v>
      </c>
      <c r="R144" s="13" t="s">
        <v>102</v>
      </c>
      <c r="S144" s="21" t="s">
        <v>16</v>
      </c>
      <c r="T144" s="21" t="s">
        <v>19</v>
      </c>
      <c r="U144" s="21" t="s">
        <v>19</v>
      </c>
      <c r="V144" s="21">
        <v>18</v>
      </c>
      <c r="W144" s="21">
        <v>1</v>
      </c>
      <c r="X144" s="21">
        <v>7</v>
      </c>
      <c r="Y144" s="21">
        <v>60</v>
      </c>
      <c r="Z144" s="21">
        <v>37</v>
      </c>
      <c r="AA144" s="21">
        <v>0</v>
      </c>
      <c r="AB144" s="21">
        <v>30</v>
      </c>
      <c r="AC144" s="21">
        <v>94</v>
      </c>
      <c r="AD144" s="21">
        <v>12</v>
      </c>
      <c r="AE144" s="21">
        <v>70</v>
      </c>
      <c r="AF144" s="21">
        <v>69</v>
      </c>
      <c r="AG144" s="21">
        <v>75</v>
      </c>
      <c r="AH144" s="21">
        <v>56</v>
      </c>
      <c r="AI144" s="6">
        <f t="shared" si="13"/>
        <v>0.73074680000000014</v>
      </c>
      <c r="AJ144" s="6">
        <f t="shared" si="14"/>
        <v>0.39299999999999996</v>
      </c>
      <c r="AK144" s="6">
        <f t="shared" si="15"/>
        <v>0.85158600000000018</v>
      </c>
      <c r="AL144" s="6">
        <f t="shared" si="16"/>
        <v>0.42799999999999999</v>
      </c>
      <c r="AM144" s="6">
        <f t="shared" si="17"/>
        <v>0.24295920000000004</v>
      </c>
    </row>
    <row r="145" spans="1:39" ht="15" thickBot="1" x14ac:dyDescent="0.35">
      <c r="A145" s="6">
        <f t="shared" si="12"/>
        <v>16.481303978035754</v>
      </c>
      <c r="B145" s="20">
        <v>126</v>
      </c>
      <c r="C145" s="13" t="s">
        <v>154</v>
      </c>
      <c r="D145" s="21" t="s">
        <v>16</v>
      </c>
      <c r="E145" s="21" t="s">
        <v>19</v>
      </c>
      <c r="F145" s="21" t="s">
        <v>19</v>
      </c>
      <c r="G145" s="21">
        <v>18</v>
      </c>
      <c r="H145" s="21">
        <v>23</v>
      </c>
      <c r="I145" s="21">
        <v>18</v>
      </c>
      <c r="J145" s="21">
        <v>21</v>
      </c>
      <c r="K145" s="21">
        <v>16</v>
      </c>
      <c r="L145" s="21">
        <v>25</v>
      </c>
      <c r="M145" s="21">
        <v>21</v>
      </c>
      <c r="N145" s="21">
        <v>73</v>
      </c>
      <c r="O145" s="21">
        <v>57</v>
      </c>
      <c r="P145" s="21">
        <v>45</v>
      </c>
      <c r="Q145" s="20">
        <v>126</v>
      </c>
      <c r="R145" s="13" t="s">
        <v>154</v>
      </c>
      <c r="S145" s="21" t="s">
        <v>16</v>
      </c>
      <c r="T145" s="21" t="s">
        <v>19</v>
      </c>
      <c r="U145" s="21" t="s">
        <v>19</v>
      </c>
      <c r="V145" s="21">
        <v>18</v>
      </c>
      <c r="W145" s="21">
        <v>13</v>
      </c>
      <c r="X145" s="21">
        <v>6</v>
      </c>
      <c r="Y145" s="21">
        <v>31</v>
      </c>
      <c r="Z145" s="21">
        <v>78</v>
      </c>
      <c r="AA145" s="21">
        <v>19</v>
      </c>
      <c r="AB145" s="21">
        <v>36</v>
      </c>
      <c r="AC145" s="21">
        <v>84</v>
      </c>
      <c r="AD145" s="21">
        <v>50</v>
      </c>
      <c r="AE145" s="21">
        <v>90</v>
      </c>
      <c r="AF145" s="21">
        <v>27</v>
      </c>
      <c r="AG145" s="21">
        <v>81</v>
      </c>
      <c r="AH145" s="21">
        <v>45</v>
      </c>
      <c r="AI145" s="6">
        <f t="shared" si="13"/>
        <v>0.5020300000000002</v>
      </c>
      <c r="AJ145" s="6">
        <f t="shared" si="14"/>
        <v>0.41300000000000003</v>
      </c>
      <c r="AK145" s="6">
        <f t="shared" si="15"/>
        <v>1.0376880000000004</v>
      </c>
      <c r="AL145" s="6">
        <f t="shared" si="16"/>
        <v>0.45600000000000002</v>
      </c>
      <c r="AM145" s="6">
        <f t="shared" si="17"/>
        <v>0.63987520000000009</v>
      </c>
    </row>
    <row r="146" spans="1:39" ht="15" thickBot="1" x14ac:dyDescent="0.35">
      <c r="A146" s="6">
        <f t="shared" si="12"/>
        <v>16.620946312930851</v>
      </c>
      <c r="B146" s="18">
        <v>173</v>
      </c>
      <c r="C146" s="12" t="s">
        <v>201</v>
      </c>
      <c r="D146" s="19" t="s">
        <v>16</v>
      </c>
      <c r="E146" s="19" t="s">
        <v>20</v>
      </c>
      <c r="F146" s="19" t="s">
        <v>20</v>
      </c>
      <c r="G146" s="19">
        <v>18</v>
      </c>
      <c r="H146" s="19">
        <v>23</v>
      </c>
      <c r="I146" s="19">
        <v>6</v>
      </c>
      <c r="J146" s="19">
        <v>12</v>
      </c>
      <c r="K146" s="19">
        <v>32</v>
      </c>
      <c r="L146" s="19">
        <v>30</v>
      </c>
      <c r="M146" s="19">
        <v>10</v>
      </c>
      <c r="N146" s="19">
        <v>58</v>
      </c>
      <c r="O146" s="19">
        <v>60</v>
      </c>
      <c r="P146" s="19">
        <v>33</v>
      </c>
      <c r="Q146" s="18">
        <v>173</v>
      </c>
      <c r="R146" s="12" t="s">
        <v>201</v>
      </c>
      <c r="S146" s="19" t="s">
        <v>16</v>
      </c>
      <c r="T146" s="19" t="s">
        <v>20</v>
      </c>
      <c r="U146" s="19" t="s">
        <v>20</v>
      </c>
      <c r="V146" s="19">
        <v>18</v>
      </c>
      <c r="W146" s="19">
        <v>50</v>
      </c>
      <c r="X146" s="19">
        <v>34</v>
      </c>
      <c r="Y146" s="19">
        <v>21</v>
      </c>
      <c r="Z146" s="19">
        <v>38</v>
      </c>
      <c r="AA146" s="19">
        <v>13</v>
      </c>
      <c r="AB146" s="19">
        <v>49</v>
      </c>
      <c r="AC146" s="19">
        <v>76</v>
      </c>
      <c r="AD146" s="19">
        <v>25</v>
      </c>
      <c r="AE146" s="19">
        <v>59</v>
      </c>
      <c r="AF146" s="19">
        <v>34</v>
      </c>
      <c r="AG146" s="19">
        <v>96</v>
      </c>
      <c r="AH146" s="19">
        <v>33</v>
      </c>
      <c r="AI146" s="6">
        <f t="shared" si="13"/>
        <v>0.61509400000000014</v>
      </c>
      <c r="AJ146" s="6">
        <f t="shared" si="14"/>
        <v>0.27600000000000002</v>
      </c>
      <c r="AK146" s="6">
        <f t="shared" si="15"/>
        <v>1.0159460000000002</v>
      </c>
      <c r="AL146" s="6">
        <f t="shared" si="16"/>
        <v>0.54400000000000004</v>
      </c>
      <c r="AM146" s="6">
        <f t="shared" si="17"/>
        <v>0.29397220000000007</v>
      </c>
    </row>
    <row r="147" spans="1:39" ht="15" thickBot="1" x14ac:dyDescent="0.35">
      <c r="A147" s="6">
        <f t="shared" si="12"/>
        <v>16.826596138350887</v>
      </c>
      <c r="B147" s="18">
        <v>35</v>
      </c>
      <c r="C147" s="12" t="s">
        <v>63</v>
      </c>
      <c r="D147" s="19" t="s">
        <v>16</v>
      </c>
      <c r="E147" s="19" t="s">
        <v>20</v>
      </c>
      <c r="F147" s="19" t="s">
        <v>20</v>
      </c>
      <c r="G147" s="19">
        <v>18</v>
      </c>
      <c r="H147" s="19">
        <v>20</v>
      </c>
      <c r="I147" s="19">
        <v>5</v>
      </c>
      <c r="J147" s="19">
        <v>7</v>
      </c>
      <c r="K147" s="19">
        <v>19</v>
      </c>
      <c r="L147" s="19">
        <v>8</v>
      </c>
      <c r="M147" s="19">
        <v>12</v>
      </c>
      <c r="N147" s="19">
        <v>63</v>
      </c>
      <c r="O147" s="19">
        <v>63</v>
      </c>
      <c r="P147" s="19">
        <v>65</v>
      </c>
      <c r="Q147" s="18">
        <v>35</v>
      </c>
      <c r="R147" s="12" t="s">
        <v>63</v>
      </c>
      <c r="S147" s="19" t="s">
        <v>16</v>
      </c>
      <c r="T147" s="19" t="s">
        <v>20</v>
      </c>
      <c r="U147" s="19" t="s">
        <v>20</v>
      </c>
      <c r="V147" s="19">
        <v>18</v>
      </c>
      <c r="W147" s="19">
        <v>13</v>
      </c>
      <c r="X147" s="19">
        <v>31</v>
      </c>
      <c r="Y147" s="19">
        <v>71</v>
      </c>
      <c r="Z147" s="19">
        <v>59</v>
      </c>
      <c r="AA147" s="19">
        <v>17</v>
      </c>
      <c r="AB147" s="19">
        <v>78</v>
      </c>
      <c r="AC147" s="19">
        <v>74</v>
      </c>
      <c r="AD147" s="19">
        <v>13</v>
      </c>
      <c r="AE147" s="19">
        <v>88</v>
      </c>
      <c r="AF147" s="19">
        <v>47</v>
      </c>
      <c r="AG147" s="19">
        <v>61</v>
      </c>
      <c r="AH147" s="19">
        <v>65</v>
      </c>
      <c r="AI147" s="6">
        <f t="shared" si="13"/>
        <v>0.14326720000000001</v>
      </c>
      <c r="AJ147" s="6">
        <f t="shared" si="14"/>
        <v>0.309</v>
      </c>
      <c r="AK147" s="6">
        <f t="shared" si="15"/>
        <v>1.5326840000000002</v>
      </c>
      <c r="AL147" s="6">
        <f t="shared" si="16"/>
        <v>0.77200000000000002</v>
      </c>
      <c r="AM147" s="6">
        <f t="shared" si="17"/>
        <v>0.21633880000000005</v>
      </c>
    </row>
    <row r="148" spans="1:39" ht="15" thickBot="1" x14ac:dyDescent="0.35">
      <c r="A148" s="6">
        <f t="shared" si="12"/>
        <v>16.634447163448623</v>
      </c>
      <c r="B148" s="18">
        <v>159</v>
      </c>
      <c r="C148" s="12" t="s">
        <v>187</v>
      </c>
      <c r="D148" s="19" t="s">
        <v>16</v>
      </c>
      <c r="E148" s="19" t="s">
        <v>19</v>
      </c>
      <c r="F148" s="19" t="s">
        <v>19</v>
      </c>
      <c r="G148" s="19">
        <v>19</v>
      </c>
      <c r="H148" s="19">
        <v>0</v>
      </c>
      <c r="I148" s="19">
        <v>0</v>
      </c>
      <c r="J148" s="19">
        <v>0</v>
      </c>
      <c r="K148" s="19">
        <v>26</v>
      </c>
      <c r="L148" s="19">
        <v>11</v>
      </c>
      <c r="M148" s="19">
        <v>30</v>
      </c>
      <c r="N148" s="19">
        <v>31</v>
      </c>
      <c r="O148" s="19">
        <v>56</v>
      </c>
      <c r="P148" s="19">
        <v>53</v>
      </c>
      <c r="Q148" s="18">
        <v>159</v>
      </c>
      <c r="R148" s="12" t="s">
        <v>187</v>
      </c>
      <c r="S148" s="19" t="s">
        <v>16</v>
      </c>
      <c r="T148" s="19" t="s">
        <v>19</v>
      </c>
      <c r="U148" s="19" t="s">
        <v>19</v>
      </c>
      <c r="V148" s="19">
        <v>19</v>
      </c>
      <c r="W148" s="19">
        <v>52</v>
      </c>
      <c r="X148" s="19">
        <v>6</v>
      </c>
      <c r="Y148" s="19">
        <v>59</v>
      </c>
      <c r="Z148" s="19">
        <v>51</v>
      </c>
      <c r="AA148" s="19">
        <v>17</v>
      </c>
      <c r="AB148" s="19">
        <v>60</v>
      </c>
      <c r="AC148" s="19">
        <v>63</v>
      </c>
      <c r="AD148" s="19">
        <v>20</v>
      </c>
      <c r="AE148" s="19">
        <v>60</v>
      </c>
      <c r="AF148" s="19">
        <v>41</v>
      </c>
      <c r="AG148" s="19">
        <v>77</v>
      </c>
      <c r="AH148" s="19">
        <v>53</v>
      </c>
      <c r="AI148" s="6">
        <f t="shared" si="13"/>
        <v>0.17261440000000003</v>
      </c>
      <c r="AJ148" s="6">
        <f t="shared" si="14"/>
        <v>0.41800000000000004</v>
      </c>
      <c r="AK148" s="6">
        <f t="shared" si="15"/>
        <v>1.5125320000000002</v>
      </c>
      <c r="AL148" s="6">
        <f t="shared" si="16"/>
        <v>0.60599999999999998</v>
      </c>
      <c r="AM148" s="6">
        <f t="shared" si="17"/>
        <v>0.24304920000000005</v>
      </c>
    </row>
    <row r="149" spans="1:39" ht="15" thickBot="1" x14ac:dyDescent="0.35">
      <c r="A149" s="6">
        <f t="shared" si="12"/>
        <v>16.307627950699811</v>
      </c>
      <c r="B149" s="20">
        <v>20</v>
      </c>
      <c r="C149" s="13" t="s">
        <v>48</v>
      </c>
      <c r="D149" s="21" t="s">
        <v>16</v>
      </c>
      <c r="E149" s="21" t="s">
        <v>19</v>
      </c>
      <c r="F149" s="21" t="s">
        <v>19</v>
      </c>
      <c r="G149" s="21">
        <v>18</v>
      </c>
      <c r="H149" s="21">
        <v>18</v>
      </c>
      <c r="I149" s="21">
        <v>0</v>
      </c>
      <c r="J149" s="21">
        <v>32</v>
      </c>
      <c r="K149" s="21">
        <v>15</v>
      </c>
      <c r="L149" s="21">
        <v>19</v>
      </c>
      <c r="M149" s="21">
        <v>24</v>
      </c>
      <c r="N149" s="21">
        <v>67</v>
      </c>
      <c r="O149" s="21">
        <v>88</v>
      </c>
      <c r="P149" s="21">
        <v>71</v>
      </c>
      <c r="Q149" s="20">
        <v>20</v>
      </c>
      <c r="R149" s="13" t="s">
        <v>48</v>
      </c>
      <c r="S149" s="21" t="s">
        <v>16</v>
      </c>
      <c r="T149" s="21" t="s">
        <v>19</v>
      </c>
      <c r="U149" s="21" t="s">
        <v>19</v>
      </c>
      <c r="V149" s="21">
        <v>18</v>
      </c>
      <c r="W149" s="21">
        <v>0</v>
      </c>
      <c r="X149" s="21">
        <v>38</v>
      </c>
      <c r="Y149" s="21">
        <v>23</v>
      </c>
      <c r="Z149" s="21">
        <v>75</v>
      </c>
      <c r="AA149" s="21">
        <v>9</v>
      </c>
      <c r="AB149" s="21">
        <v>29</v>
      </c>
      <c r="AC149" s="21">
        <v>83</v>
      </c>
      <c r="AD149" s="21">
        <v>63</v>
      </c>
      <c r="AE149" s="21">
        <v>45</v>
      </c>
      <c r="AF149" s="21">
        <v>53</v>
      </c>
      <c r="AG149" s="21">
        <v>81</v>
      </c>
      <c r="AH149" s="21">
        <v>71</v>
      </c>
      <c r="AI149" s="6">
        <f t="shared" si="13"/>
        <v>0.34971440000000015</v>
      </c>
      <c r="AJ149" s="6">
        <f t="shared" si="14"/>
        <v>0.46200000000000002</v>
      </c>
      <c r="AK149" s="6">
        <f t="shared" si="15"/>
        <v>1.1679320000000002</v>
      </c>
      <c r="AL149" s="6">
        <f t="shared" si="16"/>
        <v>0.39800000000000002</v>
      </c>
      <c r="AM149" s="6">
        <f t="shared" si="17"/>
        <v>0.81044740000000015</v>
      </c>
    </row>
    <row r="150" spans="1:39" ht="15" thickBot="1" x14ac:dyDescent="0.35">
      <c r="A150" s="6">
        <f t="shared" si="12"/>
        <v>17.04584231102092</v>
      </c>
      <c r="B150" s="18">
        <v>177</v>
      </c>
      <c r="C150" s="12" t="s">
        <v>205</v>
      </c>
      <c r="D150" s="19" t="s">
        <v>16</v>
      </c>
      <c r="E150" s="19" t="s">
        <v>19</v>
      </c>
      <c r="F150" s="19" t="s">
        <v>19</v>
      </c>
      <c r="G150" s="19">
        <v>21</v>
      </c>
      <c r="H150" s="19">
        <v>9</v>
      </c>
      <c r="I150" s="19">
        <v>0</v>
      </c>
      <c r="J150" s="19">
        <v>60</v>
      </c>
      <c r="K150" s="19">
        <v>0</v>
      </c>
      <c r="L150" s="19">
        <v>11</v>
      </c>
      <c r="M150" s="19">
        <v>37</v>
      </c>
      <c r="N150" s="19">
        <v>40</v>
      </c>
      <c r="O150" s="19">
        <v>52</v>
      </c>
      <c r="P150" s="19">
        <v>42</v>
      </c>
      <c r="Q150" s="18">
        <v>177</v>
      </c>
      <c r="R150" s="12" t="s">
        <v>205</v>
      </c>
      <c r="S150" s="19" t="s">
        <v>16</v>
      </c>
      <c r="T150" s="19" t="s">
        <v>19</v>
      </c>
      <c r="U150" s="19" t="s">
        <v>19</v>
      </c>
      <c r="V150" s="19">
        <v>21</v>
      </c>
      <c r="W150" s="19">
        <v>68</v>
      </c>
      <c r="X150" s="19">
        <v>20</v>
      </c>
      <c r="Y150" s="19">
        <v>46</v>
      </c>
      <c r="Z150" s="19">
        <v>13</v>
      </c>
      <c r="AA150" s="19">
        <v>0</v>
      </c>
      <c r="AB150" s="19">
        <v>39</v>
      </c>
      <c r="AC150" s="19">
        <v>49</v>
      </c>
      <c r="AD150" s="19">
        <v>30</v>
      </c>
      <c r="AE150" s="19">
        <v>68</v>
      </c>
      <c r="AF150" s="19">
        <v>51</v>
      </c>
      <c r="AG150" s="19">
        <v>100</v>
      </c>
      <c r="AH150" s="19">
        <v>42</v>
      </c>
      <c r="AI150" s="6">
        <f t="shared" si="13"/>
        <v>0.50149480000000024</v>
      </c>
      <c r="AJ150" s="6">
        <f t="shared" si="14"/>
        <v>0.502</v>
      </c>
      <c r="AK150" s="6">
        <f t="shared" si="15"/>
        <v>1.1862500000000002</v>
      </c>
      <c r="AL150" s="6">
        <f t="shared" si="16"/>
        <v>0.41</v>
      </c>
      <c r="AM150" s="6">
        <f t="shared" si="17"/>
        <v>0.38679340000000012</v>
      </c>
    </row>
    <row r="151" spans="1:39" ht="15" thickBot="1" x14ac:dyDescent="0.35">
      <c r="A151" s="6">
        <f t="shared" si="12"/>
        <v>15.813078874332271</v>
      </c>
      <c r="B151" s="18">
        <v>3</v>
      </c>
      <c r="C151" s="12" t="s">
        <v>31</v>
      </c>
      <c r="D151" s="19" t="s">
        <v>16</v>
      </c>
      <c r="E151" s="19" t="s">
        <v>19</v>
      </c>
      <c r="F151" s="19" t="s">
        <v>19</v>
      </c>
      <c r="G151" s="19">
        <v>18</v>
      </c>
      <c r="H151" s="19">
        <v>10</v>
      </c>
      <c r="I151" s="19">
        <v>4</v>
      </c>
      <c r="J151" s="19">
        <v>30</v>
      </c>
      <c r="K151" s="19">
        <v>16</v>
      </c>
      <c r="L151" s="19">
        <v>10</v>
      </c>
      <c r="M151" s="19">
        <v>22</v>
      </c>
      <c r="N151" s="19">
        <v>58</v>
      </c>
      <c r="O151" s="19">
        <v>65</v>
      </c>
      <c r="P151" s="19">
        <v>83</v>
      </c>
      <c r="Q151" s="18">
        <v>3</v>
      </c>
      <c r="R151" s="12" t="s">
        <v>31</v>
      </c>
      <c r="S151" s="19" t="s">
        <v>16</v>
      </c>
      <c r="T151" s="19" t="s">
        <v>19</v>
      </c>
      <c r="U151" s="19" t="s">
        <v>19</v>
      </c>
      <c r="V151" s="19">
        <v>18</v>
      </c>
      <c r="W151" s="19">
        <v>18</v>
      </c>
      <c r="X151" s="19">
        <v>24</v>
      </c>
      <c r="Y151" s="19">
        <v>82</v>
      </c>
      <c r="Z151" s="19">
        <v>48</v>
      </c>
      <c r="AA151" s="19">
        <v>31</v>
      </c>
      <c r="AB151" s="19">
        <v>31</v>
      </c>
      <c r="AC151" s="19">
        <v>86</v>
      </c>
      <c r="AD151" s="19">
        <v>23</v>
      </c>
      <c r="AE151" s="19">
        <v>97</v>
      </c>
      <c r="AF151" s="19">
        <v>25</v>
      </c>
      <c r="AG151" s="19">
        <v>72</v>
      </c>
      <c r="AH151" s="19">
        <v>83</v>
      </c>
      <c r="AI151" s="6">
        <f t="shared" si="13"/>
        <v>0.20153760000000001</v>
      </c>
      <c r="AJ151" s="6">
        <f t="shared" si="14"/>
        <v>0.40100000000000002</v>
      </c>
      <c r="AK151" s="6">
        <f t="shared" si="15"/>
        <v>1.4525280000000005</v>
      </c>
      <c r="AL151" s="6">
        <f t="shared" si="16"/>
        <v>0.42</v>
      </c>
      <c r="AM151" s="6">
        <f t="shared" si="17"/>
        <v>0.28257280000000007</v>
      </c>
    </row>
    <row r="152" spans="1:39" ht="15" thickBot="1" x14ac:dyDescent="0.35">
      <c r="A152" s="6">
        <f t="shared" si="12"/>
        <v>15.025219940911395</v>
      </c>
      <c r="B152" s="18">
        <v>53</v>
      </c>
      <c r="C152" s="12" t="s">
        <v>81</v>
      </c>
      <c r="D152" s="19" t="s">
        <v>16</v>
      </c>
      <c r="E152" s="19" t="s">
        <v>19</v>
      </c>
      <c r="F152" s="19" t="s">
        <v>19</v>
      </c>
      <c r="G152" s="19">
        <v>18</v>
      </c>
      <c r="H152" s="19">
        <v>25</v>
      </c>
      <c r="I152" s="19">
        <v>6</v>
      </c>
      <c r="J152" s="19">
        <v>22</v>
      </c>
      <c r="K152" s="19">
        <v>7</v>
      </c>
      <c r="L152" s="19">
        <v>18</v>
      </c>
      <c r="M152" s="19">
        <v>13</v>
      </c>
      <c r="N152" s="19">
        <v>79</v>
      </c>
      <c r="O152" s="19">
        <v>69</v>
      </c>
      <c r="P152" s="19">
        <v>61</v>
      </c>
      <c r="Q152" s="18">
        <v>53</v>
      </c>
      <c r="R152" s="12" t="s">
        <v>81</v>
      </c>
      <c r="S152" s="19" t="s">
        <v>16</v>
      </c>
      <c r="T152" s="19" t="s">
        <v>19</v>
      </c>
      <c r="U152" s="19" t="s">
        <v>19</v>
      </c>
      <c r="V152" s="19">
        <v>18</v>
      </c>
      <c r="W152" s="19">
        <v>42</v>
      </c>
      <c r="X152" s="19">
        <v>16</v>
      </c>
      <c r="Y152" s="19">
        <v>24</v>
      </c>
      <c r="Z152" s="19">
        <v>76</v>
      </c>
      <c r="AA152" s="19">
        <v>19</v>
      </c>
      <c r="AB152" s="19">
        <v>28</v>
      </c>
      <c r="AC152" s="19">
        <v>96</v>
      </c>
      <c r="AD152" s="19">
        <v>21</v>
      </c>
      <c r="AE152" s="19">
        <v>57</v>
      </c>
      <c r="AF152" s="19">
        <v>41</v>
      </c>
      <c r="AG152" s="19">
        <v>82</v>
      </c>
      <c r="AH152" s="19">
        <v>61</v>
      </c>
      <c r="AI152" s="6">
        <f t="shared" si="13"/>
        <v>0.27023160000000013</v>
      </c>
      <c r="AJ152" s="6">
        <f t="shared" si="14"/>
        <v>0.35700000000000004</v>
      </c>
      <c r="AK152" s="6">
        <f t="shared" si="15"/>
        <v>1.2852720000000004</v>
      </c>
      <c r="AL152" s="6">
        <f t="shared" si="16"/>
        <v>0.41600000000000009</v>
      </c>
      <c r="AM152" s="6">
        <f t="shared" si="17"/>
        <v>0.25252960000000013</v>
      </c>
    </row>
    <row r="153" spans="1:39" ht="15" thickBot="1" x14ac:dyDescent="0.35">
      <c r="A153" s="6">
        <f t="shared" si="12"/>
        <v>14.997102121818017</v>
      </c>
      <c r="B153" s="20">
        <v>76</v>
      </c>
      <c r="C153" s="13" t="s">
        <v>104</v>
      </c>
      <c r="D153" s="21" t="s">
        <v>16</v>
      </c>
      <c r="E153" s="21" t="s">
        <v>19</v>
      </c>
      <c r="F153" s="21" t="s">
        <v>19</v>
      </c>
      <c r="G153" s="21">
        <v>18</v>
      </c>
      <c r="H153" s="21">
        <v>5</v>
      </c>
      <c r="I153" s="21">
        <v>0</v>
      </c>
      <c r="J153" s="21">
        <v>35</v>
      </c>
      <c r="K153" s="21">
        <v>19</v>
      </c>
      <c r="L153" s="21">
        <v>28</v>
      </c>
      <c r="M153" s="21">
        <v>11</v>
      </c>
      <c r="N153" s="21">
        <v>72</v>
      </c>
      <c r="O153" s="21">
        <v>85</v>
      </c>
      <c r="P153" s="21">
        <v>56</v>
      </c>
      <c r="Q153" s="20">
        <v>76</v>
      </c>
      <c r="R153" s="13" t="s">
        <v>104</v>
      </c>
      <c r="S153" s="21" t="s">
        <v>16</v>
      </c>
      <c r="T153" s="21" t="s">
        <v>19</v>
      </c>
      <c r="U153" s="21" t="s">
        <v>19</v>
      </c>
      <c r="V153" s="21">
        <v>18</v>
      </c>
      <c r="W153" s="21">
        <v>27</v>
      </c>
      <c r="X153" s="21">
        <v>33</v>
      </c>
      <c r="Y153" s="21">
        <v>18</v>
      </c>
      <c r="Z153" s="21">
        <v>51</v>
      </c>
      <c r="AA153" s="21">
        <v>4</v>
      </c>
      <c r="AB153" s="21">
        <v>55</v>
      </c>
      <c r="AC153" s="21">
        <v>88</v>
      </c>
      <c r="AD153" s="21">
        <v>36</v>
      </c>
      <c r="AE153" s="21">
        <v>56</v>
      </c>
      <c r="AF153" s="21">
        <v>26</v>
      </c>
      <c r="AG153" s="21">
        <v>100</v>
      </c>
      <c r="AH153" s="21">
        <v>56</v>
      </c>
      <c r="AI153" s="6">
        <f t="shared" si="13"/>
        <v>0.4948140000000002</v>
      </c>
      <c r="AJ153" s="6">
        <f t="shared" si="14"/>
        <v>0.33899999999999997</v>
      </c>
      <c r="AK153" s="6">
        <f t="shared" si="15"/>
        <v>0.85865400000000014</v>
      </c>
      <c r="AL153" s="6">
        <f t="shared" si="16"/>
        <v>0.61599999999999999</v>
      </c>
      <c r="AM153" s="6">
        <f t="shared" si="17"/>
        <v>0.41093360000000012</v>
      </c>
    </row>
    <row r="154" spans="1:39" ht="15" thickBot="1" x14ac:dyDescent="0.35">
      <c r="A154" s="6">
        <f t="shared" si="12"/>
        <v>15.286872332806109</v>
      </c>
      <c r="B154" s="20">
        <v>146</v>
      </c>
      <c r="C154" s="13" t="s">
        <v>174</v>
      </c>
      <c r="D154" s="21" t="s">
        <v>16</v>
      </c>
      <c r="E154" s="21" t="s">
        <v>19</v>
      </c>
      <c r="F154" s="21" t="s">
        <v>19</v>
      </c>
      <c r="G154" s="21">
        <v>18</v>
      </c>
      <c r="H154" s="21">
        <v>21</v>
      </c>
      <c r="I154" s="21">
        <v>9</v>
      </c>
      <c r="J154" s="21">
        <v>23</v>
      </c>
      <c r="K154" s="21">
        <v>11</v>
      </c>
      <c r="L154" s="21">
        <v>4</v>
      </c>
      <c r="M154" s="21">
        <v>2</v>
      </c>
      <c r="N154" s="21">
        <v>52</v>
      </c>
      <c r="O154" s="21">
        <v>65</v>
      </c>
      <c r="P154" s="21">
        <v>43</v>
      </c>
      <c r="Q154" s="20">
        <v>146</v>
      </c>
      <c r="R154" s="13" t="s">
        <v>174</v>
      </c>
      <c r="S154" s="21" t="s">
        <v>16</v>
      </c>
      <c r="T154" s="21" t="s">
        <v>19</v>
      </c>
      <c r="U154" s="21" t="s">
        <v>19</v>
      </c>
      <c r="V154" s="21">
        <v>18</v>
      </c>
      <c r="W154" s="21">
        <v>21</v>
      </c>
      <c r="X154" s="21">
        <v>26</v>
      </c>
      <c r="Y154" s="21">
        <v>78</v>
      </c>
      <c r="Z154" s="21">
        <v>36</v>
      </c>
      <c r="AA154" s="21">
        <v>12</v>
      </c>
      <c r="AB154" s="21">
        <v>76</v>
      </c>
      <c r="AC154" s="21">
        <v>94</v>
      </c>
      <c r="AD154" s="21">
        <v>27</v>
      </c>
      <c r="AE154" s="21">
        <v>51</v>
      </c>
      <c r="AF154" s="21">
        <v>27</v>
      </c>
      <c r="AG154" s="21">
        <v>94</v>
      </c>
      <c r="AH154" s="21">
        <v>43</v>
      </c>
      <c r="AI154" s="6">
        <f t="shared" si="13"/>
        <v>0.17703560000000004</v>
      </c>
      <c r="AJ154" s="6">
        <f t="shared" si="14"/>
        <v>0.18899999999999997</v>
      </c>
      <c r="AK154" s="6">
        <f t="shared" si="15"/>
        <v>1.2848500000000003</v>
      </c>
      <c r="AL154" s="6">
        <f t="shared" si="16"/>
        <v>0.79600000000000004</v>
      </c>
      <c r="AM154" s="6">
        <f t="shared" si="17"/>
        <v>0.29382240000000004</v>
      </c>
    </row>
    <row r="155" spans="1:39" ht="15" thickBot="1" x14ac:dyDescent="0.35">
      <c r="A155" s="6">
        <f t="shared" si="12"/>
        <v>14.978774508341036</v>
      </c>
      <c r="B155" s="20">
        <v>82</v>
      </c>
      <c r="C155" s="13" t="s">
        <v>110</v>
      </c>
      <c r="D155" s="21" t="s">
        <v>16</v>
      </c>
      <c r="E155" s="21" t="s">
        <v>20</v>
      </c>
      <c r="F155" s="21" t="s">
        <v>20</v>
      </c>
      <c r="G155" s="21">
        <v>18</v>
      </c>
      <c r="H155" s="21">
        <v>15</v>
      </c>
      <c r="I155" s="21">
        <v>6</v>
      </c>
      <c r="J155" s="21">
        <v>14</v>
      </c>
      <c r="K155" s="21">
        <v>27</v>
      </c>
      <c r="L155" s="21">
        <v>24</v>
      </c>
      <c r="M155" s="21">
        <v>18</v>
      </c>
      <c r="N155" s="21">
        <v>75</v>
      </c>
      <c r="O155" s="21">
        <v>67</v>
      </c>
      <c r="P155" s="21">
        <v>54</v>
      </c>
      <c r="Q155" s="20">
        <v>82</v>
      </c>
      <c r="R155" s="13" t="s">
        <v>110</v>
      </c>
      <c r="S155" s="21" t="s">
        <v>16</v>
      </c>
      <c r="T155" s="21" t="s">
        <v>20</v>
      </c>
      <c r="U155" s="21" t="s">
        <v>20</v>
      </c>
      <c r="V155" s="21">
        <v>18</v>
      </c>
      <c r="W155" s="21">
        <v>11</v>
      </c>
      <c r="X155" s="21">
        <v>53</v>
      </c>
      <c r="Y155" s="21">
        <v>25</v>
      </c>
      <c r="Z155" s="21">
        <v>34</v>
      </c>
      <c r="AA155" s="21">
        <v>11</v>
      </c>
      <c r="AB155" s="21">
        <v>75</v>
      </c>
      <c r="AC155" s="21">
        <v>76</v>
      </c>
      <c r="AD155" s="21">
        <v>49</v>
      </c>
      <c r="AE155" s="21">
        <v>90</v>
      </c>
      <c r="AF155" s="21">
        <v>35</v>
      </c>
      <c r="AG155" s="21">
        <v>77</v>
      </c>
      <c r="AH155" s="21">
        <v>54</v>
      </c>
      <c r="AI155" s="6">
        <f t="shared" si="13"/>
        <v>0.38768360000000002</v>
      </c>
      <c r="AJ155" s="6">
        <f t="shared" si="14"/>
        <v>0.39700000000000002</v>
      </c>
      <c r="AK155" s="6">
        <f t="shared" si="15"/>
        <v>0.83894600000000008</v>
      </c>
      <c r="AL155" s="6">
        <f t="shared" si="16"/>
        <v>0.752</v>
      </c>
      <c r="AM155" s="6">
        <f t="shared" si="17"/>
        <v>0.63014840000000016</v>
      </c>
    </row>
    <row r="156" spans="1:39" ht="15" thickBot="1" x14ac:dyDescent="0.35">
      <c r="A156" s="6">
        <f t="shared" si="12"/>
        <v>14.918303739293917</v>
      </c>
      <c r="B156" s="18">
        <v>121</v>
      </c>
      <c r="C156" s="12" t="s">
        <v>149</v>
      </c>
      <c r="D156" s="19" t="s">
        <v>16</v>
      </c>
      <c r="E156" s="19" t="s">
        <v>19</v>
      </c>
      <c r="F156" s="19" t="s">
        <v>19</v>
      </c>
      <c r="G156" s="19">
        <v>18</v>
      </c>
      <c r="H156" s="19">
        <v>21</v>
      </c>
      <c r="I156" s="19">
        <v>11</v>
      </c>
      <c r="J156" s="19">
        <v>15</v>
      </c>
      <c r="K156" s="19">
        <v>25</v>
      </c>
      <c r="L156" s="19">
        <v>23</v>
      </c>
      <c r="M156" s="19">
        <v>18</v>
      </c>
      <c r="N156" s="19">
        <v>60</v>
      </c>
      <c r="O156" s="19">
        <v>64</v>
      </c>
      <c r="P156" s="19">
        <v>46</v>
      </c>
      <c r="Q156" s="18">
        <v>121</v>
      </c>
      <c r="R156" s="12" t="s">
        <v>149</v>
      </c>
      <c r="S156" s="19" t="s">
        <v>16</v>
      </c>
      <c r="T156" s="19" t="s">
        <v>19</v>
      </c>
      <c r="U156" s="19" t="s">
        <v>19</v>
      </c>
      <c r="V156" s="19">
        <v>18</v>
      </c>
      <c r="W156" s="19">
        <v>45</v>
      </c>
      <c r="X156" s="19">
        <v>40</v>
      </c>
      <c r="Y156" s="19">
        <v>25</v>
      </c>
      <c r="Z156" s="19">
        <v>31</v>
      </c>
      <c r="AA156" s="19">
        <v>36</v>
      </c>
      <c r="AB156" s="19">
        <v>60</v>
      </c>
      <c r="AC156" s="19">
        <v>78</v>
      </c>
      <c r="AD156" s="19">
        <v>17</v>
      </c>
      <c r="AE156" s="19">
        <v>72</v>
      </c>
      <c r="AF156" s="19">
        <v>34</v>
      </c>
      <c r="AG156" s="19">
        <v>83</v>
      </c>
      <c r="AH156" s="19">
        <v>46</v>
      </c>
      <c r="AI156" s="6">
        <f t="shared" si="13"/>
        <v>0.42554760000000008</v>
      </c>
      <c r="AJ156" s="6">
        <f t="shared" si="14"/>
        <v>0.36399999999999999</v>
      </c>
      <c r="AK156" s="6">
        <f t="shared" si="15"/>
        <v>0.97033800000000014</v>
      </c>
      <c r="AL156" s="6">
        <f t="shared" si="16"/>
        <v>0.63600000000000001</v>
      </c>
      <c r="AM156" s="6">
        <f t="shared" si="17"/>
        <v>0.23372420000000008</v>
      </c>
    </row>
    <row r="157" spans="1:39" ht="15" thickBot="1" x14ac:dyDescent="0.35">
      <c r="A157" s="6">
        <f t="shared" si="12"/>
        <v>14.751632844907336</v>
      </c>
      <c r="B157" s="20">
        <v>70</v>
      </c>
      <c r="C157" s="13" t="s">
        <v>98</v>
      </c>
      <c r="D157" s="21" t="s">
        <v>16</v>
      </c>
      <c r="E157" s="21" t="s">
        <v>19</v>
      </c>
      <c r="F157" s="21" t="s">
        <v>19</v>
      </c>
      <c r="G157" s="21">
        <v>18</v>
      </c>
      <c r="H157" s="21">
        <v>19</v>
      </c>
      <c r="I157" s="21">
        <v>0</v>
      </c>
      <c r="J157" s="21">
        <v>25</v>
      </c>
      <c r="K157" s="21">
        <v>11</v>
      </c>
      <c r="L157" s="21">
        <v>21</v>
      </c>
      <c r="M157" s="21">
        <v>22</v>
      </c>
      <c r="N157" s="21">
        <v>61</v>
      </c>
      <c r="O157" s="21">
        <v>80</v>
      </c>
      <c r="P157" s="21">
        <v>57</v>
      </c>
      <c r="Q157" s="20">
        <v>70</v>
      </c>
      <c r="R157" s="13" t="s">
        <v>98</v>
      </c>
      <c r="S157" s="21" t="s">
        <v>16</v>
      </c>
      <c r="T157" s="21" t="s">
        <v>19</v>
      </c>
      <c r="U157" s="21" t="s">
        <v>19</v>
      </c>
      <c r="V157" s="21">
        <v>18</v>
      </c>
      <c r="W157" s="21">
        <v>37</v>
      </c>
      <c r="X157" s="21">
        <v>30</v>
      </c>
      <c r="Y157" s="21">
        <v>35</v>
      </c>
      <c r="Z157" s="21">
        <v>48</v>
      </c>
      <c r="AA157" s="21">
        <v>21</v>
      </c>
      <c r="AB157" s="21">
        <v>38</v>
      </c>
      <c r="AC157" s="21">
        <v>92</v>
      </c>
      <c r="AD157" s="21">
        <v>43</v>
      </c>
      <c r="AE157" s="21">
        <v>65</v>
      </c>
      <c r="AF157" s="21">
        <v>33</v>
      </c>
      <c r="AG157" s="21">
        <v>98</v>
      </c>
      <c r="AH157" s="21">
        <v>57</v>
      </c>
      <c r="AI157" s="6">
        <f t="shared" si="13"/>
        <v>0.2960484000000001</v>
      </c>
      <c r="AJ157" s="6">
        <f t="shared" si="14"/>
        <v>0.42200000000000004</v>
      </c>
      <c r="AK157" s="6">
        <f t="shared" si="15"/>
        <v>1.0781200000000002</v>
      </c>
      <c r="AL157" s="6">
        <f t="shared" si="16"/>
        <v>0.48800000000000004</v>
      </c>
      <c r="AM157" s="6">
        <f t="shared" si="17"/>
        <v>0.52823120000000012</v>
      </c>
    </row>
    <row r="158" spans="1:39" ht="15" thickBot="1" x14ac:dyDescent="0.35">
      <c r="A158" s="6">
        <f t="shared" si="12"/>
        <v>15.056213852994714</v>
      </c>
      <c r="B158" s="20">
        <v>116</v>
      </c>
      <c r="C158" s="13" t="s">
        <v>144</v>
      </c>
      <c r="D158" s="21" t="s">
        <v>16</v>
      </c>
      <c r="E158" s="21" t="s">
        <v>20</v>
      </c>
      <c r="F158" s="21" t="s">
        <v>20</v>
      </c>
      <c r="G158" s="21">
        <v>18</v>
      </c>
      <c r="H158" s="21">
        <v>13</v>
      </c>
      <c r="I158" s="21">
        <v>5</v>
      </c>
      <c r="J158" s="21">
        <v>11</v>
      </c>
      <c r="K158" s="21">
        <v>28</v>
      </c>
      <c r="L158" s="21">
        <v>18</v>
      </c>
      <c r="M158" s="21">
        <v>1</v>
      </c>
      <c r="N158" s="21">
        <v>76</v>
      </c>
      <c r="O158" s="21">
        <v>43</v>
      </c>
      <c r="P158" s="21">
        <v>47</v>
      </c>
      <c r="Q158" s="20">
        <v>116</v>
      </c>
      <c r="R158" s="13" t="s">
        <v>144</v>
      </c>
      <c r="S158" s="21" t="s">
        <v>16</v>
      </c>
      <c r="T158" s="21" t="s">
        <v>20</v>
      </c>
      <c r="U158" s="21" t="s">
        <v>20</v>
      </c>
      <c r="V158" s="21">
        <v>18</v>
      </c>
      <c r="W158" s="21">
        <v>47</v>
      </c>
      <c r="X158" s="21">
        <v>34</v>
      </c>
      <c r="Y158" s="21">
        <v>46</v>
      </c>
      <c r="Z158" s="21">
        <v>26</v>
      </c>
      <c r="AA158" s="21">
        <v>23</v>
      </c>
      <c r="AB158" s="21">
        <v>72</v>
      </c>
      <c r="AC158" s="21">
        <v>89</v>
      </c>
      <c r="AD158" s="21">
        <v>20</v>
      </c>
      <c r="AE158" s="21">
        <v>96</v>
      </c>
      <c r="AF158" s="21">
        <v>61</v>
      </c>
      <c r="AG158" s="21">
        <v>50</v>
      </c>
      <c r="AH158" s="21">
        <v>47</v>
      </c>
      <c r="AI158" s="6">
        <f t="shared" si="13"/>
        <v>0.2918092000000001</v>
      </c>
      <c r="AJ158" s="6">
        <f t="shared" si="14"/>
        <v>0.20500000000000004</v>
      </c>
      <c r="AK158" s="6">
        <f t="shared" si="15"/>
        <v>1.132862</v>
      </c>
      <c r="AL158" s="6">
        <f t="shared" si="16"/>
        <v>0.754</v>
      </c>
      <c r="AM158" s="6">
        <f t="shared" si="17"/>
        <v>0.27317060000000004</v>
      </c>
    </row>
    <row r="159" spans="1:39" ht="15" thickBot="1" x14ac:dyDescent="0.35">
      <c r="A159" s="6">
        <f t="shared" si="12"/>
        <v>14.630422871467363</v>
      </c>
      <c r="B159" s="20">
        <v>16</v>
      </c>
      <c r="C159" s="13" t="s">
        <v>44</v>
      </c>
      <c r="D159" s="21" t="s">
        <v>16</v>
      </c>
      <c r="E159" s="21" t="s">
        <v>21</v>
      </c>
      <c r="F159" s="21" t="s">
        <v>20</v>
      </c>
      <c r="G159" s="21">
        <v>18</v>
      </c>
      <c r="H159" s="21">
        <v>30</v>
      </c>
      <c r="I159" s="21">
        <v>6</v>
      </c>
      <c r="J159" s="21">
        <v>23</v>
      </c>
      <c r="K159" s="21">
        <v>25</v>
      </c>
      <c r="L159" s="21">
        <v>25</v>
      </c>
      <c r="M159" s="21">
        <v>12</v>
      </c>
      <c r="N159" s="21">
        <v>77</v>
      </c>
      <c r="O159" s="21">
        <v>73</v>
      </c>
      <c r="P159" s="21">
        <v>72</v>
      </c>
      <c r="Q159" s="20">
        <v>16</v>
      </c>
      <c r="R159" s="13" t="s">
        <v>44</v>
      </c>
      <c r="S159" s="21" t="s">
        <v>16</v>
      </c>
      <c r="T159" s="21" t="s">
        <v>21</v>
      </c>
      <c r="U159" s="21" t="s">
        <v>20</v>
      </c>
      <c r="V159" s="21">
        <v>18</v>
      </c>
      <c r="W159" s="21">
        <v>0</v>
      </c>
      <c r="X159" s="21">
        <v>30</v>
      </c>
      <c r="Y159" s="21">
        <v>30</v>
      </c>
      <c r="Z159" s="21">
        <v>58</v>
      </c>
      <c r="AA159" s="21">
        <v>19</v>
      </c>
      <c r="AB159" s="21">
        <v>27</v>
      </c>
      <c r="AC159" s="21">
        <v>67</v>
      </c>
      <c r="AD159" s="21">
        <v>10</v>
      </c>
      <c r="AE159" s="21">
        <v>63</v>
      </c>
      <c r="AF159" s="21">
        <v>46</v>
      </c>
      <c r="AG159" s="21">
        <v>91</v>
      </c>
      <c r="AH159" s="21">
        <v>72</v>
      </c>
      <c r="AI159" s="6">
        <f t="shared" si="13"/>
        <v>0.5707928000000001</v>
      </c>
      <c r="AJ159" s="6">
        <f t="shared" si="14"/>
        <v>0.34700000000000003</v>
      </c>
      <c r="AK159" s="6">
        <f t="shared" si="15"/>
        <v>0.90645600000000026</v>
      </c>
      <c r="AL159" s="6">
        <f t="shared" si="16"/>
        <v>0.35</v>
      </c>
      <c r="AM159" s="6">
        <f t="shared" si="17"/>
        <v>0.20652120000000004</v>
      </c>
    </row>
    <row r="160" spans="1:39" ht="15" thickBot="1" x14ac:dyDescent="0.35">
      <c r="A160" s="6">
        <f t="shared" si="12"/>
        <v>13.43037094511922</v>
      </c>
      <c r="B160" s="18">
        <v>181</v>
      </c>
      <c r="C160" s="12" t="s">
        <v>209</v>
      </c>
      <c r="D160" s="19" t="s">
        <v>16</v>
      </c>
      <c r="E160" s="19" t="s">
        <v>19</v>
      </c>
      <c r="F160" s="19" t="s">
        <v>19</v>
      </c>
      <c r="G160" s="19">
        <v>22</v>
      </c>
      <c r="H160" s="19">
        <v>15</v>
      </c>
      <c r="I160" s="19">
        <v>0</v>
      </c>
      <c r="J160" s="19">
        <v>0</v>
      </c>
      <c r="K160" s="19">
        <v>17</v>
      </c>
      <c r="L160" s="19">
        <v>36</v>
      </c>
      <c r="M160" s="19">
        <v>31</v>
      </c>
      <c r="N160" s="19">
        <v>52</v>
      </c>
      <c r="O160" s="19">
        <v>48</v>
      </c>
      <c r="P160" s="19">
        <v>34</v>
      </c>
      <c r="Q160" s="18">
        <v>181</v>
      </c>
      <c r="R160" s="12" t="s">
        <v>209</v>
      </c>
      <c r="S160" s="19" t="s">
        <v>16</v>
      </c>
      <c r="T160" s="19" t="s">
        <v>19</v>
      </c>
      <c r="U160" s="19" t="s">
        <v>19</v>
      </c>
      <c r="V160" s="19">
        <v>22</v>
      </c>
      <c r="W160" s="19">
        <v>25</v>
      </c>
      <c r="X160" s="19">
        <v>28</v>
      </c>
      <c r="Y160" s="19">
        <v>24</v>
      </c>
      <c r="Z160" s="19">
        <v>47</v>
      </c>
      <c r="AA160" s="19">
        <v>2</v>
      </c>
      <c r="AB160" s="19">
        <v>33</v>
      </c>
      <c r="AC160" s="19">
        <v>91</v>
      </c>
      <c r="AD160" s="19">
        <v>23</v>
      </c>
      <c r="AE160" s="19">
        <v>27</v>
      </c>
      <c r="AF160" s="19">
        <v>18</v>
      </c>
      <c r="AG160" s="19">
        <v>90</v>
      </c>
      <c r="AH160" s="19">
        <v>34</v>
      </c>
      <c r="AI160" s="6">
        <f t="shared" si="13"/>
        <v>0.48338760000000003</v>
      </c>
      <c r="AJ160" s="6">
        <f t="shared" si="14"/>
        <v>0.46200000000000002</v>
      </c>
      <c r="AK160" s="6">
        <f t="shared" si="15"/>
        <v>0.77123200000000014</v>
      </c>
      <c r="AL160" s="6">
        <f t="shared" si="16"/>
        <v>0.44600000000000001</v>
      </c>
      <c r="AM160" s="6">
        <f t="shared" si="17"/>
        <v>0.21028900000000006</v>
      </c>
    </row>
    <row r="161" spans="1:39" ht="15" thickBot="1" x14ac:dyDescent="0.35">
      <c r="A161" s="6">
        <f t="shared" si="12"/>
        <v>15.28738503088722</v>
      </c>
      <c r="B161" s="18">
        <v>65</v>
      </c>
      <c r="C161" s="12" t="s">
        <v>93</v>
      </c>
      <c r="D161" s="19" t="s">
        <v>16</v>
      </c>
      <c r="E161" s="19" t="s">
        <v>20</v>
      </c>
      <c r="F161" s="19" t="s">
        <v>20</v>
      </c>
      <c r="G161" s="19">
        <v>18</v>
      </c>
      <c r="H161" s="19">
        <v>20</v>
      </c>
      <c r="I161" s="19">
        <v>2</v>
      </c>
      <c r="J161" s="19">
        <v>31</v>
      </c>
      <c r="K161" s="19">
        <v>27</v>
      </c>
      <c r="L161" s="19">
        <v>15</v>
      </c>
      <c r="M161" s="19">
        <v>8</v>
      </c>
      <c r="N161" s="19">
        <v>67</v>
      </c>
      <c r="O161" s="19">
        <v>61</v>
      </c>
      <c r="P161" s="19">
        <v>58</v>
      </c>
      <c r="Q161" s="18">
        <v>65</v>
      </c>
      <c r="R161" s="12" t="s">
        <v>93</v>
      </c>
      <c r="S161" s="19" t="s">
        <v>16</v>
      </c>
      <c r="T161" s="19" t="s">
        <v>20</v>
      </c>
      <c r="U161" s="19" t="s">
        <v>20</v>
      </c>
      <c r="V161" s="19">
        <v>18</v>
      </c>
      <c r="W161" s="19">
        <v>44</v>
      </c>
      <c r="X161" s="19">
        <v>10</v>
      </c>
      <c r="Y161" s="19">
        <v>11</v>
      </c>
      <c r="Z161" s="19">
        <v>69</v>
      </c>
      <c r="AA161" s="19">
        <v>14</v>
      </c>
      <c r="AB161" s="19">
        <v>35</v>
      </c>
      <c r="AC161" s="19">
        <v>95</v>
      </c>
      <c r="AD161" s="19">
        <v>25</v>
      </c>
      <c r="AE161" s="19">
        <v>100</v>
      </c>
      <c r="AF161" s="19">
        <v>15</v>
      </c>
      <c r="AG161" s="19">
        <v>96</v>
      </c>
      <c r="AH161" s="19">
        <v>58</v>
      </c>
      <c r="AI161" s="6">
        <f t="shared" si="13"/>
        <v>0.42905520000000003</v>
      </c>
      <c r="AJ161" s="6">
        <f t="shared" si="14"/>
        <v>0.27500000000000002</v>
      </c>
      <c r="AK161" s="6">
        <f t="shared" si="15"/>
        <v>1.1003120000000004</v>
      </c>
      <c r="AL161" s="6">
        <f t="shared" si="16"/>
        <v>0.47</v>
      </c>
      <c r="AM161" s="6">
        <f t="shared" si="17"/>
        <v>0.31642980000000009</v>
      </c>
    </row>
    <row r="162" spans="1:39" ht="15" thickBot="1" x14ac:dyDescent="0.35">
      <c r="A162" s="6">
        <f t="shared" si="12"/>
        <v>15.127650034319135</v>
      </c>
      <c r="B162" s="20">
        <v>64</v>
      </c>
      <c r="C162" s="13" t="s">
        <v>92</v>
      </c>
      <c r="D162" s="21" t="s">
        <v>16</v>
      </c>
      <c r="E162" s="21" t="s">
        <v>20</v>
      </c>
      <c r="F162" s="21" t="s">
        <v>20</v>
      </c>
      <c r="G162" s="21">
        <v>18</v>
      </c>
      <c r="H162" s="21">
        <v>10</v>
      </c>
      <c r="I162" s="21">
        <v>5</v>
      </c>
      <c r="J162" s="21">
        <v>20</v>
      </c>
      <c r="K162" s="21">
        <v>30</v>
      </c>
      <c r="L162" s="21">
        <v>17</v>
      </c>
      <c r="M162" s="21">
        <v>16</v>
      </c>
      <c r="N162" s="21">
        <v>77</v>
      </c>
      <c r="O162" s="21">
        <v>65</v>
      </c>
      <c r="P162" s="21">
        <v>58</v>
      </c>
      <c r="Q162" s="20">
        <v>64</v>
      </c>
      <c r="R162" s="13" t="s">
        <v>92</v>
      </c>
      <c r="S162" s="21" t="s">
        <v>16</v>
      </c>
      <c r="T162" s="21" t="s">
        <v>20</v>
      </c>
      <c r="U162" s="21" t="s">
        <v>20</v>
      </c>
      <c r="V162" s="21">
        <v>18</v>
      </c>
      <c r="W162" s="21">
        <v>26</v>
      </c>
      <c r="X162" s="21">
        <v>33</v>
      </c>
      <c r="Y162" s="21">
        <v>58</v>
      </c>
      <c r="Z162" s="21">
        <v>32</v>
      </c>
      <c r="AA162" s="21">
        <v>18</v>
      </c>
      <c r="AB162" s="21">
        <v>41</v>
      </c>
      <c r="AC162" s="21">
        <v>65</v>
      </c>
      <c r="AD162" s="21">
        <v>42</v>
      </c>
      <c r="AE162" s="21">
        <v>53</v>
      </c>
      <c r="AF162" s="21">
        <v>84</v>
      </c>
      <c r="AG162" s="21">
        <v>84</v>
      </c>
      <c r="AH162" s="21">
        <v>58</v>
      </c>
      <c r="AI162" s="6">
        <f t="shared" si="13"/>
        <v>0.33982640000000008</v>
      </c>
      <c r="AJ162" s="6">
        <f t="shared" si="14"/>
        <v>0.379</v>
      </c>
      <c r="AK162" s="6">
        <f t="shared" si="15"/>
        <v>1.0932740000000003</v>
      </c>
      <c r="AL162" s="6">
        <f t="shared" si="16"/>
        <v>0.45800000000000002</v>
      </c>
      <c r="AM162" s="6">
        <f t="shared" si="17"/>
        <v>0.55630900000000028</v>
      </c>
    </row>
    <row r="163" spans="1:39" ht="15" thickBot="1" x14ac:dyDescent="0.35">
      <c r="A163" s="6">
        <f t="shared" si="12"/>
        <v>13.986965442120026</v>
      </c>
      <c r="B163" s="20">
        <v>168</v>
      </c>
      <c r="C163" s="13" t="s">
        <v>196</v>
      </c>
      <c r="D163" s="21" t="s">
        <v>16</v>
      </c>
      <c r="E163" s="21" t="s">
        <v>20</v>
      </c>
      <c r="F163" s="21" t="s">
        <v>20</v>
      </c>
      <c r="G163" s="21">
        <v>22</v>
      </c>
      <c r="H163" s="21">
        <v>8</v>
      </c>
      <c r="I163" s="21">
        <v>0</v>
      </c>
      <c r="J163" s="21">
        <v>16</v>
      </c>
      <c r="K163" s="21">
        <v>3</v>
      </c>
      <c r="L163" s="21">
        <v>24</v>
      </c>
      <c r="M163" s="21">
        <v>2</v>
      </c>
      <c r="N163" s="21">
        <v>42</v>
      </c>
      <c r="O163" s="21">
        <v>43</v>
      </c>
      <c r="P163" s="21">
        <v>49</v>
      </c>
      <c r="Q163" s="20">
        <v>168</v>
      </c>
      <c r="R163" s="13" t="s">
        <v>196</v>
      </c>
      <c r="S163" s="21" t="s">
        <v>16</v>
      </c>
      <c r="T163" s="21" t="s">
        <v>20</v>
      </c>
      <c r="U163" s="21" t="s">
        <v>20</v>
      </c>
      <c r="V163" s="21">
        <v>22</v>
      </c>
      <c r="W163" s="21">
        <v>34</v>
      </c>
      <c r="X163" s="21">
        <v>68</v>
      </c>
      <c r="Y163" s="21">
        <v>35</v>
      </c>
      <c r="Z163" s="21">
        <v>2</v>
      </c>
      <c r="AA163" s="21">
        <v>33</v>
      </c>
      <c r="AB163" s="21">
        <v>41</v>
      </c>
      <c r="AC163" s="21">
        <v>100</v>
      </c>
      <c r="AD163" s="21">
        <v>39</v>
      </c>
      <c r="AE163" s="21">
        <v>89</v>
      </c>
      <c r="AF163" s="21">
        <v>55</v>
      </c>
      <c r="AG163" s="21">
        <v>91</v>
      </c>
      <c r="AH163" s="21">
        <v>49</v>
      </c>
      <c r="AI163" s="6">
        <f t="shared" si="13"/>
        <v>0.20062480000000005</v>
      </c>
      <c r="AJ163" s="6">
        <f t="shared" si="14"/>
        <v>0.14699999999999999</v>
      </c>
      <c r="AK163" s="6">
        <f t="shared" si="15"/>
        <v>1.1577420000000003</v>
      </c>
      <c r="AL163" s="6">
        <f t="shared" si="16"/>
        <v>0.52800000000000002</v>
      </c>
      <c r="AM163" s="6">
        <f t="shared" si="17"/>
        <v>0.52711300000000016</v>
      </c>
    </row>
    <row r="164" spans="1:39" ht="15" thickBot="1" x14ac:dyDescent="0.35">
      <c r="A164" s="6">
        <f t="shared" si="12"/>
        <v>14.694966277716432</v>
      </c>
      <c r="B164" s="20">
        <v>38</v>
      </c>
      <c r="C164" s="13" t="s">
        <v>66</v>
      </c>
      <c r="D164" s="21" t="s">
        <v>16</v>
      </c>
      <c r="E164" s="21" t="s">
        <v>19</v>
      </c>
      <c r="F164" s="21" t="s">
        <v>19</v>
      </c>
      <c r="G164" s="21">
        <v>18</v>
      </c>
      <c r="H164" s="21">
        <v>19</v>
      </c>
      <c r="I164" s="21">
        <v>20</v>
      </c>
      <c r="J164" s="21">
        <v>27</v>
      </c>
      <c r="K164" s="21">
        <v>14</v>
      </c>
      <c r="L164" s="21">
        <v>14</v>
      </c>
      <c r="M164" s="21">
        <v>32</v>
      </c>
      <c r="N164" s="21">
        <v>55</v>
      </c>
      <c r="O164" s="21">
        <v>63</v>
      </c>
      <c r="P164" s="21">
        <v>64</v>
      </c>
      <c r="Q164" s="20">
        <v>38</v>
      </c>
      <c r="R164" s="13" t="s">
        <v>66</v>
      </c>
      <c r="S164" s="21" t="s">
        <v>16</v>
      </c>
      <c r="T164" s="21" t="s">
        <v>19</v>
      </c>
      <c r="U164" s="21" t="s">
        <v>19</v>
      </c>
      <c r="V164" s="21">
        <v>18</v>
      </c>
      <c r="W164" s="21">
        <v>2</v>
      </c>
      <c r="X164" s="21">
        <v>24</v>
      </c>
      <c r="Y164" s="21">
        <v>48</v>
      </c>
      <c r="Z164" s="21">
        <v>61</v>
      </c>
      <c r="AA164" s="21">
        <v>15</v>
      </c>
      <c r="AB164" s="21">
        <v>22</v>
      </c>
      <c r="AC164" s="21">
        <v>55</v>
      </c>
      <c r="AD164" s="21">
        <v>5</v>
      </c>
      <c r="AE164" s="21">
        <v>70</v>
      </c>
      <c r="AF164" s="21">
        <v>58</v>
      </c>
      <c r="AG164" s="21">
        <v>82</v>
      </c>
      <c r="AH164" s="21">
        <v>64</v>
      </c>
      <c r="AI164" s="6">
        <f t="shared" si="13"/>
        <v>0.38960280000000003</v>
      </c>
      <c r="AJ164" s="6">
        <f t="shared" si="14"/>
        <v>0.49299999999999999</v>
      </c>
      <c r="AK164" s="6">
        <f t="shared" si="15"/>
        <v>1.1272900000000001</v>
      </c>
      <c r="AL164" s="6">
        <f t="shared" si="16"/>
        <v>0.28600000000000003</v>
      </c>
      <c r="AM164" s="6">
        <f t="shared" si="17"/>
        <v>0.21487000000000006</v>
      </c>
    </row>
    <row r="165" spans="1:39" ht="15" thickBot="1" x14ac:dyDescent="0.35">
      <c r="A165" s="6">
        <f t="shared" si="12"/>
        <v>14.274481333373124</v>
      </c>
      <c r="B165" s="18">
        <v>163</v>
      </c>
      <c r="C165" s="12" t="s">
        <v>191</v>
      </c>
      <c r="D165" s="19" t="s">
        <v>16</v>
      </c>
      <c r="E165" s="19" t="s">
        <v>19</v>
      </c>
      <c r="F165" s="19" t="s">
        <v>19</v>
      </c>
      <c r="G165" s="19">
        <v>18</v>
      </c>
      <c r="H165" s="19">
        <v>20</v>
      </c>
      <c r="I165" s="19">
        <v>14</v>
      </c>
      <c r="J165" s="19">
        <v>30</v>
      </c>
      <c r="K165" s="19">
        <v>22</v>
      </c>
      <c r="L165" s="19">
        <v>28</v>
      </c>
      <c r="M165" s="19">
        <v>15</v>
      </c>
      <c r="N165" s="19">
        <v>77</v>
      </c>
      <c r="O165" s="19">
        <v>67</v>
      </c>
      <c r="P165" s="19">
        <v>38</v>
      </c>
      <c r="Q165" s="18">
        <v>163</v>
      </c>
      <c r="R165" s="12" t="s">
        <v>191</v>
      </c>
      <c r="S165" s="19" t="s">
        <v>16</v>
      </c>
      <c r="T165" s="19" t="s">
        <v>19</v>
      </c>
      <c r="U165" s="19" t="s">
        <v>19</v>
      </c>
      <c r="V165" s="19">
        <v>18</v>
      </c>
      <c r="W165" s="19">
        <v>10</v>
      </c>
      <c r="X165" s="19">
        <v>23</v>
      </c>
      <c r="Y165" s="19">
        <v>28</v>
      </c>
      <c r="Z165" s="19">
        <v>44</v>
      </c>
      <c r="AA165" s="19">
        <v>11</v>
      </c>
      <c r="AB165" s="19">
        <v>75</v>
      </c>
      <c r="AC165" s="19">
        <v>56</v>
      </c>
      <c r="AD165" s="19">
        <v>15</v>
      </c>
      <c r="AE165" s="19">
        <v>95</v>
      </c>
      <c r="AF165" s="19">
        <v>49</v>
      </c>
      <c r="AG165" s="19">
        <v>87</v>
      </c>
      <c r="AH165" s="19">
        <v>38</v>
      </c>
      <c r="AI165" s="6">
        <f t="shared" si="13"/>
        <v>0.60440640000000023</v>
      </c>
      <c r="AJ165" s="6">
        <f t="shared" si="14"/>
        <v>0.371</v>
      </c>
      <c r="AK165" s="6">
        <f t="shared" si="15"/>
        <v>0.61057400000000017</v>
      </c>
      <c r="AL165" s="6">
        <f t="shared" si="16"/>
        <v>0.71200000000000008</v>
      </c>
      <c r="AM165" s="6">
        <f t="shared" si="17"/>
        <v>0.26637460000000007</v>
      </c>
    </row>
    <row r="166" spans="1:39" ht="15" thickBot="1" x14ac:dyDescent="0.35">
      <c r="A166" s="6">
        <f t="shared" si="12"/>
        <v>14.567267898176606</v>
      </c>
      <c r="B166" s="20">
        <v>100</v>
      </c>
      <c r="C166" s="13" t="s">
        <v>128</v>
      </c>
      <c r="D166" s="21" t="s">
        <v>16</v>
      </c>
      <c r="E166" s="21" t="s">
        <v>20</v>
      </c>
      <c r="F166" s="21" t="s">
        <v>20</v>
      </c>
      <c r="G166" s="21">
        <v>18</v>
      </c>
      <c r="H166" s="21">
        <v>22</v>
      </c>
      <c r="I166" s="21">
        <v>3</v>
      </c>
      <c r="J166" s="21">
        <v>14</v>
      </c>
      <c r="K166" s="21">
        <v>35</v>
      </c>
      <c r="L166" s="21">
        <v>18</v>
      </c>
      <c r="M166" s="21">
        <v>23</v>
      </c>
      <c r="N166" s="21">
        <v>54</v>
      </c>
      <c r="O166" s="21">
        <v>63</v>
      </c>
      <c r="P166" s="21">
        <v>50</v>
      </c>
      <c r="Q166" s="20">
        <v>100</v>
      </c>
      <c r="R166" s="13" t="s">
        <v>128</v>
      </c>
      <c r="S166" s="21" t="s">
        <v>16</v>
      </c>
      <c r="T166" s="21" t="s">
        <v>20</v>
      </c>
      <c r="U166" s="21" t="s">
        <v>20</v>
      </c>
      <c r="V166" s="21">
        <v>18</v>
      </c>
      <c r="W166" s="21">
        <v>32</v>
      </c>
      <c r="X166" s="21">
        <v>46</v>
      </c>
      <c r="Y166" s="21">
        <v>23</v>
      </c>
      <c r="Z166" s="21">
        <v>36</v>
      </c>
      <c r="AA166" s="21">
        <v>28</v>
      </c>
      <c r="AB166" s="21">
        <v>30</v>
      </c>
      <c r="AC166" s="21">
        <v>98</v>
      </c>
      <c r="AD166" s="21">
        <v>34</v>
      </c>
      <c r="AE166" s="21">
        <v>37</v>
      </c>
      <c r="AF166" s="21">
        <v>20</v>
      </c>
      <c r="AG166" s="21">
        <v>95</v>
      </c>
      <c r="AH166" s="21">
        <v>50</v>
      </c>
      <c r="AI166" s="6">
        <f t="shared" si="13"/>
        <v>0.46874720000000009</v>
      </c>
      <c r="AJ166" s="6">
        <f t="shared" si="14"/>
        <v>0.40099999999999997</v>
      </c>
      <c r="AK166" s="6">
        <f t="shared" si="15"/>
        <v>0.92324600000000023</v>
      </c>
      <c r="AL166" s="6">
        <f t="shared" si="16"/>
        <v>0.436</v>
      </c>
      <c r="AM166" s="6">
        <f t="shared" si="17"/>
        <v>0.35019440000000007</v>
      </c>
    </row>
    <row r="167" spans="1:39" ht="15" thickBot="1" x14ac:dyDescent="0.35">
      <c r="A167" s="6">
        <f t="shared" si="12"/>
        <v>14.441133426840548</v>
      </c>
      <c r="B167" s="18">
        <v>115</v>
      </c>
      <c r="C167" s="12" t="s">
        <v>143</v>
      </c>
      <c r="D167" s="19" t="s">
        <v>16</v>
      </c>
      <c r="E167" s="19" t="s">
        <v>20</v>
      </c>
      <c r="F167" s="19" t="s">
        <v>20</v>
      </c>
      <c r="G167" s="19">
        <v>21</v>
      </c>
      <c r="H167" s="19">
        <v>0</v>
      </c>
      <c r="I167" s="19">
        <v>0</v>
      </c>
      <c r="J167" s="19">
        <v>0</v>
      </c>
      <c r="K167" s="19">
        <v>46</v>
      </c>
      <c r="L167" s="19">
        <v>29</v>
      </c>
      <c r="M167" s="19">
        <v>41</v>
      </c>
      <c r="N167" s="19">
        <v>29</v>
      </c>
      <c r="O167" s="19">
        <v>55</v>
      </c>
      <c r="P167" s="19">
        <v>63</v>
      </c>
      <c r="Q167" s="18">
        <v>115</v>
      </c>
      <c r="R167" s="12" t="s">
        <v>143</v>
      </c>
      <c r="S167" s="19" t="s">
        <v>16</v>
      </c>
      <c r="T167" s="19" t="s">
        <v>20</v>
      </c>
      <c r="U167" s="19" t="s">
        <v>20</v>
      </c>
      <c r="V167" s="19">
        <v>21</v>
      </c>
      <c r="W167" s="19">
        <v>41</v>
      </c>
      <c r="X167" s="19">
        <v>24</v>
      </c>
      <c r="Y167" s="19">
        <v>14</v>
      </c>
      <c r="Z167" s="19">
        <v>35</v>
      </c>
      <c r="AA167" s="19">
        <v>53</v>
      </c>
      <c r="AB167" s="19">
        <v>8</v>
      </c>
      <c r="AC167" s="19">
        <v>76</v>
      </c>
      <c r="AD167" s="19">
        <v>53</v>
      </c>
      <c r="AE167" s="19">
        <v>54</v>
      </c>
      <c r="AF167" s="19">
        <v>13</v>
      </c>
      <c r="AG167" s="19">
        <v>87</v>
      </c>
      <c r="AH167" s="19">
        <v>63</v>
      </c>
      <c r="AI167" s="6">
        <f t="shared" si="13"/>
        <v>0.71812480000000012</v>
      </c>
      <c r="AJ167" s="6">
        <f t="shared" si="14"/>
        <v>0.52300000000000002</v>
      </c>
      <c r="AK167" s="6">
        <f t="shared" si="15"/>
        <v>0.5826414000000002</v>
      </c>
      <c r="AL167" s="6">
        <f t="shared" si="16"/>
        <v>0.21600000000000003</v>
      </c>
      <c r="AM167" s="6">
        <f t="shared" si="17"/>
        <v>0.63478120000000016</v>
      </c>
    </row>
    <row r="168" spans="1:39" ht="15" thickBot="1" x14ac:dyDescent="0.35">
      <c r="A168" s="6">
        <f t="shared" si="12"/>
        <v>14.097046912769699</v>
      </c>
      <c r="B168" s="20">
        <v>122</v>
      </c>
      <c r="C168" s="13" t="s">
        <v>150</v>
      </c>
      <c r="D168" s="21" t="s">
        <v>16</v>
      </c>
      <c r="E168" s="21" t="s">
        <v>21</v>
      </c>
      <c r="F168" s="21" t="s">
        <v>20</v>
      </c>
      <c r="G168" s="21">
        <v>19</v>
      </c>
      <c r="H168" s="21">
        <v>5</v>
      </c>
      <c r="I168" s="21">
        <v>2</v>
      </c>
      <c r="J168" s="21">
        <v>0</v>
      </c>
      <c r="K168" s="21">
        <v>47</v>
      </c>
      <c r="L168" s="21">
        <v>33</v>
      </c>
      <c r="M168" s="21">
        <v>39</v>
      </c>
      <c r="N168" s="21">
        <v>43</v>
      </c>
      <c r="O168" s="21">
        <v>58</v>
      </c>
      <c r="P168" s="21">
        <v>62</v>
      </c>
      <c r="Q168" s="20">
        <v>122</v>
      </c>
      <c r="R168" s="13" t="s">
        <v>150</v>
      </c>
      <c r="S168" s="21" t="s">
        <v>16</v>
      </c>
      <c r="T168" s="21" t="s">
        <v>21</v>
      </c>
      <c r="U168" s="21" t="s">
        <v>20</v>
      </c>
      <c r="V168" s="21">
        <v>19</v>
      </c>
      <c r="W168" s="21">
        <v>37</v>
      </c>
      <c r="X168" s="21">
        <v>13</v>
      </c>
      <c r="Y168" s="21">
        <v>0</v>
      </c>
      <c r="Z168" s="21">
        <v>34</v>
      </c>
      <c r="AA168" s="21">
        <v>5</v>
      </c>
      <c r="AB168" s="21">
        <v>14</v>
      </c>
      <c r="AC168" s="21">
        <v>58</v>
      </c>
      <c r="AD168" s="21">
        <v>37</v>
      </c>
      <c r="AE168" s="21">
        <v>10</v>
      </c>
      <c r="AF168" s="21">
        <v>19</v>
      </c>
      <c r="AG168" s="21">
        <v>97</v>
      </c>
      <c r="AH168" s="21">
        <v>62</v>
      </c>
      <c r="AI168" s="6">
        <f t="shared" si="13"/>
        <v>0.8037084000000001</v>
      </c>
      <c r="AJ168" s="6">
        <f t="shared" si="14"/>
        <v>0.53400000000000003</v>
      </c>
      <c r="AK168" s="6">
        <f t="shared" si="15"/>
        <v>0.50137200000000004</v>
      </c>
      <c r="AL168" s="6">
        <f t="shared" si="16"/>
        <v>0.22800000000000004</v>
      </c>
      <c r="AM168" s="6">
        <f t="shared" si="17"/>
        <v>0.36434760000000005</v>
      </c>
    </row>
    <row r="169" spans="1:39" ht="15" thickBot="1" x14ac:dyDescent="0.35">
      <c r="A169" s="6">
        <f t="shared" si="12"/>
        <v>14.28922080635053</v>
      </c>
      <c r="B169" s="18">
        <v>37</v>
      </c>
      <c r="C169" s="12" t="s">
        <v>65</v>
      </c>
      <c r="D169" s="19" t="s">
        <v>16</v>
      </c>
      <c r="E169" s="19" t="s">
        <v>20</v>
      </c>
      <c r="F169" s="19" t="s">
        <v>20</v>
      </c>
      <c r="G169" s="19">
        <v>18</v>
      </c>
      <c r="H169" s="19">
        <v>26</v>
      </c>
      <c r="I169" s="19">
        <v>5</v>
      </c>
      <c r="J169" s="19">
        <v>16</v>
      </c>
      <c r="K169" s="19">
        <v>40</v>
      </c>
      <c r="L169" s="19">
        <v>25</v>
      </c>
      <c r="M169" s="19">
        <v>16</v>
      </c>
      <c r="N169" s="19">
        <v>82</v>
      </c>
      <c r="O169" s="19">
        <v>78</v>
      </c>
      <c r="P169" s="19">
        <v>64</v>
      </c>
      <c r="Q169" s="18">
        <v>37</v>
      </c>
      <c r="R169" s="12" t="s">
        <v>65</v>
      </c>
      <c r="S169" s="19" t="s">
        <v>16</v>
      </c>
      <c r="T169" s="19" t="s">
        <v>20</v>
      </c>
      <c r="U169" s="19" t="s">
        <v>20</v>
      </c>
      <c r="V169" s="19">
        <v>18</v>
      </c>
      <c r="W169" s="19">
        <v>35</v>
      </c>
      <c r="X169" s="19">
        <v>30</v>
      </c>
      <c r="Y169" s="19">
        <v>16</v>
      </c>
      <c r="Z169" s="19">
        <v>29</v>
      </c>
      <c r="AA169" s="19">
        <v>15</v>
      </c>
      <c r="AB169" s="19">
        <v>36</v>
      </c>
      <c r="AC169" s="19">
        <v>98</v>
      </c>
      <c r="AD169" s="19">
        <v>19</v>
      </c>
      <c r="AE169" s="19">
        <v>46</v>
      </c>
      <c r="AF169" s="19">
        <v>64</v>
      </c>
      <c r="AG169" s="19">
        <v>80</v>
      </c>
      <c r="AH169" s="19">
        <v>64</v>
      </c>
      <c r="AI169" s="6">
        <f t="shared" si="13"/>
        <v>0.69917040000000008</v>
      </c>
      <c r="AJ169" s="6">
        <f t="shared" si="14"/>
        <v>0.40200000000000002</v>
      </c>
      <c r="AK169" s="6">
        <f t="shared" si="15"/>
        <v>0.60332000000000008</v>
      </c>
      <c r="AL169" s="6">
        <f t="shared" si="16"/>
        <v>0.48400000000000004</v>
      </c>
      <c r="AM169" s="6">
        <f t="shared" si="17"/>
        <v>0.25129000000000007</v>
      </c>
    </row>
    <row r="170" spans="1:39" ht="15" thickBot="1" x14ac:dyDescent="0.35">
      <c r="A170" s="6">
        <f t="shared" si="12"/>
        <v>14.18821376346653</v>
      </c>
      <c r="B170" s="20">
        <v>6</v>
      </c>
      <c r="C170" s="13" t="s">
        <v>34</v>
      </c>
      <c r="D170" s="21" t="s">
        <v>16</v>
      </c>
      <c r="E170" s="21" t="s">
        <v>19</v>
      </c>
      <c r="F170" s="21" t="s">
        <v>19</v>
      </c>
      <c r="G170" s="21">
        <v>18</v>
      </c>
      <c r="H170" s="21">
        <v>20</v>
      </c>
      <c r="I170" s="21">
        <v>0</v>
      </c>
      <c r="J170" s="21">
        <v>31</v>
      </c>
      <c r="K170" s="21">
        <v>23</v>
      </c>
      <c r="L170" s="21">
        <v>16</v>
      </c>
      <c r="M170" s="21">
        <v>21</v>
      </c>
      <c r="N170" s="21">
        <v>60</v>
      </c>
      <c r="O170" s="21">
        <v>69</v>
      </c>
      <c r="P170" s="21">
        <v>79</v>
      </c>
      <c r="Q170" s="20">
        <v>6</v>
      </c>
      <c r="R170" s="13" t="s">
        <v>34</v>
      </c>
      <c r="S170" s="21" t="s">
        <v>16</v>
      </c>
      <c r="T170" s="21" t="s">
        <v>19</v>
      </c>
      <c r="U170" s="21" t="s">
        <v>19</v>
      </c>
      <c r="V170" s="21">
        <v>18</v>
      </c>
      <c r="W170" s="21">
        <v>6</v>
      </c>
      <c r="X170" s="21">
        <v>20</v>
      </c>
      <c r="Y170" s="21">
        <v>26</v>
      </c>
      <c r="Z170" s="21">
        <v>72</v>
      </c>
      <c r="AA170" s="21">
        <v>22</v>
      </c>
      <c r="AB170" s="21">
        <v>32</v>
      </c>
      <c r="AC170" s="21">
        <v>100</v>
      </c>
      <c r="AD170" s="21">
        <v>36</v>
      </c>
      <c r="AE170" s="21">
        <v>16</v>
      </c>
      <c r="AF170" s="21">
        <v>39</v>
      </c>
      <c r="AG170" s="21">
        <v>62</v>
      </c>
      <c r="AH170" s="21">
        <v>79</v>
      </c>
      <c r="AI170" s="6">
        <f t="shared" si="13"/>
        <v>0.39645040000000004</v>
      </c>
      <c r="AJ170" s="6">
        <f t="shared" si="14"/>
        <v>0.39899999999999997</v>
      </c>
      <c r="AK170" s="6">
        <f t="shared" si="15"/>
        <v>0.9562400000000002</v>
      </c>
      <c r="AL170" s="6">
        <f t="shared" si="16"/>
        <v>0.45600000000000002</v>
      </c>
      <c r="AM170" s="6">
        <f t="shared" si="17"/>
        <v>0.34076140000000005</v>
      </c>
    </row>
    <row r="171" spans="1:39" ht="15" thickBot="1" x14ac:dyDescent="0.35">
      <c r="A171" s="6">
        <f t="shared" si="12"/>
        <v>13.854752156137156</v>
      </c>
      <c r="B171" s="18">
        <v>19</v>
      </c>
      <c r="C171" s="12" t="s">
        <v>47</v>
      </c>
      <c r="D171" s="19" t="s">
        <v>16</v>
      </c>
      <c r="E171" s="19" t="s">
        <v>19</v>
      </c>
      <c r="F171" s="19" t="s">
        <v>19</v>
      </c>
      <c r="G171" s="19">
        <v>18</v>
      </c>
      <c r="H171" s="19">
        <v>27</v>
      </c>
      <c r="I171" s="19">
        <v>8</v>
      </c>
      <c r="J171" s="19">
        <v>27</v>
      </c>
      <c r="K171" s="19">
        <v>17</v>
      </c>
      <c r="L171" s="19">
        <v>15</v>
      </c>
      <c r="M171" s="19">
        <v>13</v>
      </c>
      <c r="N171" s="19">
        <v>83</v>
      </c>
      <c r="O171" s="19">
        <v>69</v>
      </c>
      <c r="P171" s="19">
        <v>71</v>
      </c>
      <c r="Q171" s="18">
        <v>19</v>
      </c>
      <c r="R171" s="12" t="s">
        <v>47</v>
      </c>
      <c r="S171" s="19" t="s">
        <v>16</v>
      </c>
      <c r="T171" s="19" t="s">
        <v>19</v>
      </c>
      <c r="U171" s="19" t="s">
        <v>19</v>
      </c>
      <c r="V171" s="19">
        <v>18</v>
      </c>
      <c r="W171" s="19">
        <v>18</v>
      </c>
      <c r="X171" s="19">
        <v>16</v>
      </c>
      <c r="Y171" s="19">
        <v>69</v>
      </c>
      <c r="Z171" s="19">
        <v>22</v>
      </c>
      <c r="AA171" s="19">
        <v>7</v>
      </c>
      <c r="AB171" s="19">
        <v>31</v>
      </c>
      <c r="AC171" s="19">
        <v>47</v>
      </c>
      <c r="AD171" s="19">
        <v>59</v>
      </c>
      <c r="AE171" s="19">
        <v>61</v>
      </c>
      <c r="AF171" s="19">
        <v>6</v>
      </c>
      <c r="AG171" s="19">
        <v>88</v>
      </c>
      <c r="AH171" s="19">
        <v>71</v>
      </c>
      <c r="AI171" s="6">
        <f t="shared" si="13"/>
        <v>0.36264200000000008</v>
      </c>
      <c r="AJ171" s="6">
        <f t="shared" si="14"/>
        <v>0.36499999999999999</v>
      </c>
      <c r="AK171" s="6">
        <f t="shared" si="15"/>
        <v>0.90333000000000019</v>
      </c>
      <c r="AL171" s="6">
        <f t="shared" si="16"/>
        <v>0.34200000000000003</v>
      </c>
      <c r="AM171" s="6">
        <f t="shared" si="17"/>
        <v>0.73301020000000006</v>
      </c>
    </row>
    <row r="172" spans="1:39" ht="15" thickBot="1" x14ac:dyDescent="0.35">
      <c r="A172" s="6">
        <f t="shared" si="12"/>
        <v>13.426288907457696</v>
      </c>
      <c r="B172" s="18">
        <v>137</v>
      </c>
      <c r="C172" s="12" t="s">
        <v>165</v>
      </c>
      <c r="D172" s="19" t="s">
        <v>16</v>
      </c>
      <c r="E172" s="19" t="s">
        <v>19</v>
      </c>
      <c r="F172" s="19" t="s">
        <v>19</v>
      </c>
      <c r="G172" s="19">
        <v>18</v>
      </c>
      <c r="H172" s="19">
        <v>22</v>
      </c>
      <c r="I172" s="19">
        <v>9</v>
      </c>
      <c r="J172" s="19">
        <v>38</v>
      </c>
      <c r="K172" s="19">
        <v>25</v>
      </c>
      <c r="L172" s="19">
        <v>31</v>
      </c>
      <c r="M172" s="19">
        <v>17</v>
      </c>
      <c r="N172" s="19">
        <v>88</v>
      </c>
      <c r="O172" s="19">
        <v>74</v>
      </c>
      <c r="P172" s="19">
        <v>44</v>
      </c>
      <c r="Q172" s="18">
        <v>137</v>
      </c>
      <c r="R172" s="12" t="s">
        <v>165</v>
      </c>
      <c r="S172" s="19" t="s">
        <v>16</v>
      </c>
      <c r="T172" s="19" t="s">
        <v>19</v>
      </c>
      <c r="U172" s="19" t="s">
        <v>19</v>
      </c>
      <c r="V172" s="19">
        <v>18</v>
      </c>
      <c r="W172" s="19">
        <v>0</v>
      </c>
      <c r="X172" s="19">
        <v>7</v>
      </c>
      <c r="Y172" s="19">
        <v>31</v>
      </c>
      <c r="Z172" s="19">
        <v>22</v>
      </c>
      <c r="AA172" s="19">
        <v>32</v>
      </c>
      <c r="AB172" s="19">
        <v>34</v>
      </c>
      <c r="AC172" s="19">
        <v>96</v>
      </c>
      <c r="AD172" s="19">
        <v>61</v>
      </c>
      <c r="AE172" s="19">
        <v>67</v>
      </c>
      <c r="AF172" s="19">
        <v>44</v>
      </c>
      <c r="AG172" s="19">
        <v>68</v>
      </c>
      <c r="AH172" s="19">
        <v>44</v>
      </c>
      <c r="AI172" s="6">
        <f t="shared" si="13"/>
        <v>0.74857760000000018</v>
      </c>
      <c r="AJ172" s="6">
        <f t="shared" si="14"/>
        <v>0.42</v>
      </c>
      <c r="AK172" s="6">
        <f t="shared" si="15"/>
        <v>0.27051600000000009</v>
      </c>
      <c r="AL172" s="6">
        <f t="shared" si="16"/>
        <v>0.46400000000000008</v>
      </c>
      <c r="AM172" s="6">
        <f t="shared" si="17"/>
        <v>0.78456020000000004</v>
      </c>
    </row>
    <row r="173" spans="1:39" ht="15" thickBot="1" x14ac:dyDescent="0.35">
      <c r="A173" s="6">
        <f t="shared" si="12"/>
        <v>13.642244620848128</v>
      </c>
      <c r="B173" s="20">
        <v>154</v>
      </c>
      <c r="C173" s="13" t="s">
        <v>182</v>
      </c>
      <c r="D173" s="21" t="s">
        <v>16</v>
      </c>
      <c r="E173" s="21" t="s">
        <v>21</v>
      </c>
      <c r="F173" s="21" t="s">
        <v>19</v>
      </c>
      <c r="G173" s="21">
        <v>18</v>
      </c>
      <c r="H173" s="21">
        <v>17</v>
      </c>
      <c r="I173" s="21">
        <v>13</v>
      </c>
      <c r="J173" s="21">
        <v>26</v>
      </c>
      <c r="K173" s="21">
        <v>6</v>
      </c>
      <c r="L173" s="21">
        <v>5</v>
      </c>
      <c r="M173" s="21">
        <v>0</v>
      </c>
      <c r="N173" s="21">
        <v>54</v>
      </c>
      <c r="O173" s="21">
        <v>52</v>
      </c>
      <c r="P173" s="21">
        <v>40</v>
      </c>
      <c r="Q173" s="20">
        <v>154</v>
      </c>
      <c r="R173" s="13" t="s">
        <v>182</v>
      </c>
      <c r="S173" s="21" t="s">
        <v>16</v>
      </c>
      <c r="T173" s="21" t="s">
        <v>21</v>
      </c>
      <c r="U173" s="21" t="s">
        <v>19</v>
      </c>
      <c r="V173" s="21">
        <v>18</v>
      </c>
      <c r="W173" s="21">
        <v>3</v>
      </c>
      <c r="X173" s="21">
        <v>46</v>
      </c>
      <c r="Y173" s="21">
        <v>59</v>
      </c>
      <c r="Z173" s="21">
        <v>23</v>
      </c>
      <c r="AA173" s="21">
        <v>24</v>
      </c>
      <c r="AB173" s="21">
        <v>87</v>
      </c>
      <c r="AC173" s="21">
        <v>65</v>
      </c>
      <c r="AD173" s="21">
        <v>24</v>
      </c>
      <c r="AE173" s="21">
        <v>46</v>
      </c>
      <c r="AF173" s="21">
        <v>28</v>
      </c>
      <c r="AG173" s="21">
        <v>88</v>
      </c>
      <c r="AH173" s="21">
        <v>40</v>
      </c>
      <c r="AI173" s="6">
        <f t="shared" si="13"/>
        <v>0.18676600000000007</v>
      </c>
      <c r="AJ173" s="6">
        <f t="shared" si="14"/>
        <v>0.16</v>
      </c>
      <c r="AK173" s="6">
        <f t="shared" si="15"/>
        <v>1.0582820000000002</v>
      </c>
      <c r="AL173" s="6">
        <f t="shared" si="16"/>
        <v>0.82600000000000007</v>
      </c>
      <c r="AM173" s="6">
        <f t="shared" si="17"/>
        <v>0.25270800000000004</v>
      </c>
    </row>
    <row r="174" spans="1:39" ht="15" thickBot="1" x14ac:dyDescent="0.35">
      <c r="A174" s="6">
        <f t="shared" si="12"/>
        <v>13.951376794294067</v>
      </c>
      <c r="B174" s="18">
        <v>135</v>
      </c>
      <c r="C174" s="12" t="s">
        <v>163</v>
      </c>
      <c r="D174" s="19" t="s">
        <v>16</v>
      </c>
      <c r="E174" s="19" t="s">
        <v>20</v>
      </c>
      <c r="F174" s="19" t="s">
        <v>20</v>
      </c>
      <c r="G174" s="19">
        <v>18</v>
      </c>
      <c r="H174" s="19">
        <v>26</v>
      </c>
      <c r="I174" s="19">
        <v>0</v>
      </c>
      <c r="J174" s="19">
        <v>15</v>
      </c>
      <c r="K174" s="19">
        <v>29</v>
      </c>
      <c r="L174" s="19">
        <v>12</v>
      </c>
      <c r="M174" s="19">
        <v>16</v>
      </c>
      <c r="N174" s="19">
        <v>68</v>
      </c>
      <c r="O174" s="19">
        <v>52</v>
      </c>
      <c r="P174" s="19">
        <v>44</v>
      </c>
      <c r="Q174" s="18">
        <v>135</v>
      </c>
      <c r="R174" s="12" t="s">
        <v>163</v>
      </c>
      <c r="S174" s="19" t="s">
        <v>16</v>
      </c>
      <c r="T174" s="19" t="s">
        <v>20</v>
      </c>
      <c r="U174" s="19" t="s">
        <v>20</v>
      </c>
      <c r="V174" s="19">
        <v>18</v>
      </c>
      <c r="W174" s="19">
        <v>0</v>
      </c>
      <c r="X174" s="19">
        <v>7</v>
      </c>
      <c r="Y174" s="19">
        <v>18</v>
      </c>
      <c r="Z174" s="19">
        <v>81</v>
      </c>
      <c r="AA174" s="19">
        <v>17</v>
      </c>
      <c r="AB174" s="19">
        <v>33</v>
      </c>
      <c r="AC174" s="19">
        <v>77</v>
      </c>
      <c r="AD174" s="19">
        <v>48</v>
      </c>
      <c r="AE174" s="19">
        <v>46</v>
      </c>
      <c r="AF174" s="19">
        <v>54</v>
      </c>
      <c r="AG174" s="19">
        <v>61</v>
      </c>
      <c r="AH174" s="19">
        <v>44</v>
      </c>
      <c r="AI174" s="6">
        <f t="shared" si="13"/>
        <v>0.37277680000000007</v>
      </c>
      <c r="AJ174" s="6">
        <f t="shared" si="14"/>
        <v>0.34800000000000003</v>
      </c>
      <c r="AK174" s="6">
        <f t="shared" si="15"/>
        <v>0.9210480000000002</v>
      </c>
      <c r="AL174" s="6">
        <f t="shared" si="16"/>
        <v>0.41800000000000004</v>
      </c>
      <c r="AM174" s="6">
        <f t="shared" si="17"/>
        <v>0.56522580000000011</v>
      </c>
    </row>
    <row r="175" spans="1:39" ht="15" thickBot="1" x14ac:dyDescent="0.35">
      <c r="A175" s="6">
        <f t="shared" si="12"/>
        <v>13.194436718493536</v>
      </c>
      <c r="B175" s="18">
        <v>79</v>
      </c>
      <c r="C175" s="12" t="s">
        <v>107</v>
      </c>
      <c r="D175" s="19" t="s">
        <v>16</v>
      </c>
      <c r="E175" s="19" t="s">
        <v>21</v>
      </c>
      <c r="F175" s="19" t="s">
        <v>19</v>
      </c>
      <c r="G175" s="19">
        <v>18</v>
      </c>
      <c r="H175" s="19">
        <v>34</v>
      </c>
      <c r="I175" s="19">
        <v>7</v>
      </c>
      <c r="J175" s="19">
        <v>31</v>
      </c>
      <c r="K175" s="19">
        <v>13</v>
      </c>
      <c r="L175" s="19">
        <v>24</v>
      </c>
      <c r="M175" s="19">
        <v>20</v>
      </c>
      <c r="N175" s="19">
        <v>69</v>
      </c>
      <c r="O175" s="19">
        <v>66</v>
      </c>
      <c r="P175" s="19">
        <v>55</v>
      </c>
      <c r="Q175" s="18">
        <v>79</v>
      </c>
      <c r="R175" s="12" t="s">
        <v>107</v>
      </c>
      <c r="S175" s="19" t="s">
        <v>16</v>
      </c>
      <c r="T175" s="19" t="s">
        <v>21</v>
      </c>
      <c r="U175" s="19" t="s">
        <v>19</v>
      </c>
      <c r="V175" s="19">
        <v>18</v>
      </c>
      <c r="W175" s="19">
        <v>27</v>
      </c>
      <c r="X175" s="19">
        <v>37</v>
      </c>
      <c r="Y175" s="19">
        <v>26</v>
      </c>
      <c r="Z175" s="19">
        <v>22</v>
      </c>
      <c r="AA175" s="19">
        <v>27</v>
      </c>
      <c r="AB175" s="19">
        <v>39</v>
      </c>
      <c r="AC175" s="19">
        <v>89</v>
      </c>
      <c r="AD175" s="19">
        <v>23</v>
      </c>
      <c r="AE175" s="19">
        <v>72</v>
      </c>
      <c r="AF175" s="19">
        <v>33</v>
      </c>
      <c r="AG175" s="19">
        <v>97</v>
      </c>
      <c r="AH175" s="19">
        <v>55</v>
      </c>
      <c r="AI175" s="6">
        <f t="shared" si="13"/>
        <v>0.56366880000000008</v>
      </c>
      <c r="AJ175" s="6">
        <f t="shared" si="14"/>
        <v>0.40399999999999997</v>
      </c>
      <c r="AK175" s="6">
        <f t="shared" si="15"/>
        <v>0.61024000000000012</v>
      </c>
      <c r="AL175" s="6">
        <f t="shared" si="16"/>
        <v>0.49</v>
      </c>
      <c r="AM175" s="6">
        <f t="shared" si="17"/>
        <v>0.29167840000000006</v>
      </c>
    </row>
    <row r="176" spans="1:39" ht="15" thickBot="1" x14ac:dyDescent="0.35">
      <c r="A176" s="6">
        <f t="shared" si="12"/>
        <v>13.47523322092572</v>
      </c>
      <c r="B176" s="20">
        <v>166</v>
      </c>
      <c r="C176" s="13" t="s">
        <v>194</v>
      </c>
      <c r="D176" s="21" t="s">
        <v>16</v>
      </c>
      <c r="E176" s="21" t="s">
        <v>19</v>
      </c>
      <c r="F176" s="21" t="s">
        <v>19</v>
      </c>
      <c r="G176" s="21">
        <v>18</v>
      </c>
      <c r="H176" s="21">
        <v>22</v>
      </c>
      <c r="I176" s="21">
        <v>4</v>
      </c>
      <c r="J176" s="21">
        <v>24</v>
      </c>
      <c r="K176" s="21">
        <v>7</v>
      </c>
      <c r="L176" s="21">
        <v>9</v>
      </c>
      <c r="M176" s="21">
        <v>4</v>
      </c>
      <c r="N176" s="21">
        <v>51</v>
      </c>
      <c r="O176" s="21">
        <v>60</v>
      </c>
      <c r="P176" s="21">
        <v>37</v>
      </c>
      <c r="Q176" s="20">
        <v>166</v>
      </c>
      <c r="R176" s="13" t="s">
        <v>194</v>
      </c>
      <c r="S176" s="21" t="s">
        <v>16</v>
      </c>
      <c r="T176" s="21" t="s">
        <v>19</v>
      </c>
      <c r="U176" s="21" t="s">
        <v>19</v>
      </c>
      <c r="V176" s="21">
        <v>18</v>
      </c>
      <c r="W176" s="21">
        <v>55</v>
      </c>
      <c r="X176" s="21">
        <v>29</v>
      </c>
      <c r="Y176" s="21">
        <v>46</v>
      </c>
      <c r="Z176" s="21">
        <v>18</v>
      </c>
      <c r="AA176" s="21">
        <v>5</v>
      </c>
      <c r="AB176" s="21">
        <v>60</v>
      </c>
      <c r="AC176" s="21">
        <v>87</v>
      </c>
      <c r="AD176" s="21">
        <v>24</v>
      </c>
      <c r="AE176" s="21">
        <v>38</v>
      </c>
      <c r="AF176" s="21">
        <v>61</v>
      </c>
      <c r="AG176" s="21">
        <v>71</v>
      </c>
      <c r="AH176" s="21">
        <v>37</v>
      </c>
      <c r="AI176" s="6">
        <f t="shared" si="13"/>
        <v>0.17483760000000004</v>
      </c>
      <c r="AJ176" s="6">
        <f t="shared" si="14"/>
        <v>0.20200000000000004</v>
      </c>
      <c r="AK176" s="6">
        <f t="shared" si="15"/>
        <v>1.1192560000000003</v>
      </c>
      <c r="AL176" s="6">
        <f t="shared" si="16"/>
        <v>0.65400000000000003</v>
      </c>
      <c r="AM176" s="6">
        <f t="shared" si="17"/>
        <v>0.26921120000000004</v>
      </c>
    </row>
    <row r="177" spans="1:39" ht="15" thickBot="1" x14ac:dyDescent="0.35">
      <c r="A177" s="6">
        <f t="shared" si="12"/>
        <v>13.2499279298099</v>
      </c>
      <c r="B177" s="20">
        <v>50</v>
      </c>
      <c r="C177" s="13" t="s">
        <v>78</v>
      </c>
      <c r="D177" s="21" t="s">
        <v>16</v>
      </c>
      <c r="E177" s="21" t="s">
        <v>21</v>
      </c>
      <c r="F177" s="21" t="s">
        <v>19</v>
      </c>
      <c r="G177" s="21">
        <v>18</v>
      </c>
      <c r="H177" s="21">
        <v>20</v>
      </c>
      <c r="I177" s="21">
        <v>18</v>
      </c>
      <c r="J177" s="21">
        <v>27</v>
      </c>
      <c r="K177" s="21">
        <v>18</v>
      </c>
      <c r="L177" s="21">
        <v>20</v>
      </c>
      <c r="M177" s="21">
        <v>25</v>
      </c>
      <c r="N177" s="21">
        <v>72</v>
      </c>
      <c r="O177" s="21">
        <v>85</v>
      </c>
      <c r="P177" s="21">
        <v>61</v>
      </c>
      <c r="Q177" s="20">
        <v>50</v>
      </c>
      <c r="R177" s="13" t="s">
        <v>78</v>
      </c>
      <c r="S177" s="21" t="s">
        <v>16</v>
      </c>
      <c r="T177" s="21" t="s">
        <v>21</v>
      </c>
      <c r="U177" s="21" t="s">
        <v>19</v>
      </c>
      <c r="V177" s="21">
        <v>18</v>
      </c>
      <c r="W177" s="21">
        <v>27</v>
      </c>
      <c r="X177" s="21">
        <v>42</v>
      </c>
      <c r="Y177" s="21">
        <v>17</v>
      </c>
      <c r="Z177" s="21">
        <v>34</v>
      </c>
      <c r="AA177" s="21">
        <v>7</v>
      </c>
      <c r="AB177" s="21">
        <v>34</v>
      </c>
      <c r="AC177" s="21">
        <v>76</v>
      </c>
      <c r="AD177" s="21">
        <v>33</v>
      </c>
      <c r="AE177" s="21">
        <v>74</v>
      </c>
      <c r="AF177" s="21">
        <v>23</v>
      </c>
      <c r="AG177" s="21">
        <v>60</v>
      </c>
      <c r="AH177" s="21">
        <v>61</v>
      </c>
      <c r="AI177" s="6">
        <f t="shared" si="13"/>
        <v>0.46526240000000008</v>
      </c>
      <c r="AJ177" s="6">
        <f t="shared" si="14"/>
        <v>0.47899999999999998</v>
      </c>
      <c r="AK177" s="6">
        <f t="shared" si="15"/>
        <v>0.73218400000000017</v>
      </c>
      <c r="AL177" s="6">
        <f t="shared" si="16"/>
        <v>0.42400000000000004</v>
      </c>
      <c r="AM177" s="6">
        <f t="shared" si="17"/>
        <v>0.35501780000000005</v>
      </c>
    </row>
    <row r="178" spans="1:39" ht="15" thickBot="1" x14ac:dyDescent="0.35">
      <c r="A178" s="6">
        <f t="shared" si="12"/>
        <v>12.75139216329941</v>
      </c>
      <c r="B178" s="20">
        <v>112</v>
      </c>
      <c r="C178" s="13" t="s">
        <v>140</v>
      </c>
      <c r="D178" s="21" t="s">
        <v>16</v>
      </c>
      <c r="E178" s="21" t="s">
        <v>20</v>
      </c>
      <c r="F178" s="21" t="s">
        <v>20</v>
      </c>
      <c r="G178" s="21">
        <v>18</v>
      </c>
      <c r="H178" s="21">
        <v>14</v>
      </c>
      <c r="I178" s="21">
        <v>6</v>
      </c>
      <c r="J178" s="21">
        <v>13</v>
      </c>
      <c r="K178" s="21">
        <v>24</v>
      </c>
      <c r="L178" s="21">
        <v>28</v>
      </c>
      <c r="M178" s="21">
        <v>23</v>
      </c>
      <c r="N178" s="21">
        <v>84</v>
      </c>
      <c r="O178" s="21">
        <v>80</v>
      </c>
      <c r="P178" s="21">
        <v>48</v>
      </c>
      <c r="Q178" s="20">
        <v>112</v>
      </c>
      <c r="R178" s="13" t="s">
        <v>140</v>
      </c>
      <c r="S178" s="21" t="s">
        <v>16</v>
      </c>
      <c r="T178" s="21" t="s">
        <v>20</v>
      </c>
      <c r="U178" s="21" t="s">
        <v>20</v>
      </c>
      <c r="V178" s="21">
        <v>18</v>
      </c>
      <c r="W178" s="21">
        <v>32</v>
      </c>
      <c r="X178" s="21">
        <v>46</v>
      </c>
      <c r="Y178" s="21">
        <v>22</v>
      </c>
      <c r="Z178" s="21">
        <v>19</v>
      </c>
      <c r="AA178" s="21">
        <v>7</v>
      </c>
      <c r="AB178" s="21">
        <v>43</v>
      </c>
      <c r="AC178" s="21">
        <v>68</v>
      </c>
      <c r="AD178" s="21">
        <v>25</v>
      </c>
      <c r="AE178" s="21">
        <v>49</v>
      </c>
      <c r="AF178" s="21">
        <v>46</v>
      </c>
      <c r="AG178" s="21">
        <v>85</v>
      </c>
      <c r="AH178" s="21">
        <v>48</v>
      </c>
      <c r="AI178" s="6">
        <f t="shared" si="13"/>
        <v>0.40732480000000015</v>
      </c>
      <c r="AJ178" s="6">
        <f t="shared" si="14"/>
        <v>0.47799999999999998</v>
      </c>
      <c r="AK178" s="6">
        <f t="shared" si="15"/>
        <v>0.73007800000000023</v>
      </c>
      <c r="AL178" s="6">
        <f t="shared" si="16"/>
        <v>0.48</v>
      </c>
      <c r="AM178" s="6">
        <f t="shared" si="17"/>
        <v>0.28837200000000007</v>
      </c>
    </row>
    <row r="179" spans="1:39" ht="15" thickBot="1" x14ac:dyDescent="0.35">
      <c r="A179" s="6">
        <f t="shared" si="12"/>
        <v>13.513182577814913</v>
      </c>
      <c r="B179" s="18">
        <v>45</v>
      </c>
      <c r="C179" s="12" t="s">
        <v>73</v>
      </c>
      <c r="D179" s="19" t="s">
        <v>16</v>
      </c>
      <c r="E179" s="19" t="s">
        <v>20</v>
      </c>
      <c r="F179" s="19" t="s">
        <v>20</v>
      </c>
      <c r="G179" s="19">
        <v>18</v>
      </c>
      <c r="H179" s="19">
        <v>17</v>
      </c>
      <c r="I179" s="19">
        <v>5</v>
      </c>
      <c r="J179" s="19">
        <v>24</v>
      </c>
      <c r="K179" s="19">
        <v>29</v>
      </c>
      <c r="L179" s="19">
        <v>16</v>
      </c>
      <c r="M179" s="19">
        <v>18</v>
      </c>
      <c r="N179" s="19">
        <v>65</v>
      </c>
      <c r="O179" s="19">
        <v>69</v>
      </c>
      <c r="P179" s="19">
        <v>62</v>
      </c>
      <c r="Q179" s="18">
        <v>45</v>
      </c>
      <c r="R179" s="12" t="s">
        <v>73</v>
      </c>
      <c r="S179" s="19" t="s">
        <v>16</v>
      </c>
      <c r="T179" s="19" t="s">
        <v>20</v>
      </c>
      <c r="U179" s="19" t="s">
        <v>20</v>
      </c>
      <c r="V179" s="19">
        <v>18</v>
      </c>
      <c r="W179" s="19">
        <v>22</v>
      </c>
      <c r="X179" s="19">
        <v>22</v>
      </c>
      <c r="Y179" s="19">
        <v>58</v>
      </c>
      <c r="Z179" s="19">
        <v>16</v>
      </c>
      <c r="AA179" s="19">
        <v>42</v>
      </c>
      <c r="AB179" s="19">
        <v>30</v>
      </c>
      <c r="AC179" s="19">
        <v>96</v>
      </c>
      <c r="AD179" s="19">
        <v>56</v>
      </c>
      <c r="AE179" s="19">
        <v>52</v>
      </c>
      <c r="AF179" s="19">
        <v>67</v>
      </c>
      <c r="AG179" s="19">
        <v>95</v>
      </c>
      <c r="AH179" s="19">
        <v>62</v>
      </c>
      <c r="AI179" s="6">
        <f t="shared" si="13"/>
        <v>0.38200680000000004</v>
      </c>
      <c r="AJ179" s="6">
        <f t="shared" si="14"/>
        <v>0.379</v>
      </c>
      <c r="AK179" s="6">
        <f t="shared" si="15"/>
        <v>0.77935200000000027</v>
      </c>
      <c r="AL179" s="6">
        <f t="shared" si="16"/>
        <v>0.43200000000000005</v>
      </c>
      <c r="AM179" s="6">
        <f t="shared" si="17"/>
        <v>0.74897480000000027</v>
      </c>
    </row>
    <row r="180" spans="1:39" ht="15" thickBot="1" x14ac:dyDescent="0.35">
      <c r="A180" s="6">
        <f t="shared" si="12"/>
        <v>12.199195738458322</v>
      </c>
      <c r="B180" s="18">
        <v>119</v>
      </c>
      <c r="C180" s="12" t="s">
        <v>147</v>
      </c>
      <c r="D180" s="19" t="s">
        <v>16</v>
      </c>
      <c r="E180" s="19" t="s">
        <v>19</v>
      </c>
      <c r="F180" s="19" t="s">
        <v>19</v>
      </c>
      <c r="G180" s="19">
        <v>18</v>
      </c>
      <c r="H180" s="19">
        <v>14</v>
      </c>
      <c r="I180" s="19">
        <v>11</v>
      </c>
      <c r="J180" s="19">
        <v>28</v>
      </c>
      <c r="K180" s="19">
        <v>20</v>
      </c>
      <c r="L180" s="19">
        <v>33</v>
      </c>
      <c r="M180" s="19">
        <v>21</v>
      </c>
      <c r="N180" s="19">
        <v>71</v>
      </c>
      <c r="O180" s="19">
        <v>61</v>
      </c>
      <c r="P180" s="19">
        <v>47</v>
      </c>
      <c r="Q180" s="18">
        <v>119</v>
      </c>
      <c r="R180" s="12" t="s">
        <v>147</v>
      </c>
      <c r="S180" s="19" t="s">
        <v>16</v>
      </c>
      <c r="T180" s="19" t="s">
        <v>19</v>
      </c>
      <c r="U180" s="19" t="s">
        <v>19</v>
      </c>
      <c r="V180" s="19">
        <v>18</v>
      </c>
      <c r="W180" s="19">
        <v>18</v>
      </c>
      <c r="X180" s="19">
        <v>40</v>
      </c>
      <c r="Y180" s="19">
        <v>17</v>
      </c>
      <c r="Z180" s="19">
        <v>25</v>
      </c>
      <c r="AA180" s="19">
        <v>25</v>
      </c>
      <c r="AB180" s="19">
        <v>28</v>
      </c>
      <c r="AC180" s="19">
        <v>94</v>
      </c>
      <c r="AD180" s="19">
        <v>16</v>
      </c>
      <c r="AE180" s="19">
        <v>50</v>
      </c>
      <c r="AF180" s="19">
        <v>25</v>
      </c>
      <c r="AG180" s="19">
        <v>75</v>
      </c>
      <c r="AH180" s="19">
        <v>47</v>
      </c>
      <c r="AI180" s="6">
        <f t="shared" si="13"/>
        <v>0.58797840000000012</v>
      </c>
      <c r="AJ180" s="6">
        <f t="shared" si="14"/>
        <v>0.41300000000000003</v>
      </c>
      <c r="AK180" s="6">
        <f t="shared" si="15"/>
        <v>0.5174200000000001</v>
      </c>
      <c r="AL180" s="6">
        <f t="shared" si="16"/>
        <v>0.41200000000000003</v>
      </c>
      <c r="AM180" s="6">
        <f t="shared" si="17"/>
        <v>0.17612800000000001</v>
      </c>
    </row>
    <row r="181" spans="1:39" ht="15" thickBot="1" x14ac:dyDescent="0.35">
      <c r="A181" s="6">
        <f t="shared" si="12"/>
        <v>12.654398072159717</v>
      </c>
      <c r="B181" s="18">
        <v>107</v>
      </c>
      <c r="C181" s="12" t="s">
        <v>135</v>
      </c>
      <c r="D181" s="19" t="s">
        <v>16</v>
      </c>
      <c r="E181" s="19" t="s">
        <v>19</v>
      </c>
      <c r="F181" s="19" t="s">
        <v>19</v>
      </c>
      <c r="G181" s="19">
        <v>18</v>
      </c>
      <c r="H181" s="19">
        <v>17</v>
      </c>
      <c r="I181" s="19">
        <v>5</v>
      </c>
      <c r="J181" s="19">
        <v>18</v>
      </c>
      <c r="K181" s="19">
        <v>26</v>
      </c>
      <c r="L181" s="19">
        <v>26</v>
      </c>
      <c r="M181" s="19">
        <v>18</v>
      </c>
      <c r="N181" s="19">
        <v>69</v>
      </c>
      <c r="O181" s="19">
        <v>74</v>
      </c>
      <c r="P181" s="19">
        <v>49</v>
      </c>
      <c r="Q181" s="18">
        <v>107</v>
      </c>
      <c r="R181" s="12" t="s">
        <v>135</v>
      </c>
      <c r="S181" s="19" t="s">
        <v>16</v>
      </c>
      <c r="T181" s="19" t="s">
        <v>19</v>
      </c>
      <c r="U181" s="19" t="s">
        <v>19</v>
      </c>
      <c r="V181" s="19">
        <v>18</v>
      </c>
      <c r="W181" s="19">
        <v>26</v>
      </c>
      <c r="X181" s="19">
        <v>0</v>
      </c>
      <c r="Y181" s="19">
        <v>23</v>
      </c>
      <c r="Z181" s="19">
        <v>58</v>
      </c>
      <c r="AA181" s="19">
        <v>16</v>
      </c>
      <c r="AB181" s="19">
        <v>29</v>
      </c>
      <c r="AC181" s="19">
        <v>55</v>
      </c>
      <c r="AD181" s="19">
        <v>20</v>
      </c>
      <c r="AE181" s="19">
        <v>58</v>
      </c>
      <c r="AF181" s="19">
        <v>29</v>
      </c>
      <c r="AG181" s="19">
        <v>89</v>
      </c>
      <c r="AH181" s="19">
        <v>49</v>
      </c>
      <c r="AI181" s="6">
        <f t="shared" si="13"/>
        <v>0.43921720000000009</v>
      </c>
      <c r="AJ181" s="6">
        <f t="shared" si="14"/>
        <v>0.39200000000000002</v>
      </c>
      <c r="AK181" s="6">
        <f t="shared" si="15"/>
        <v>0.7876700000000002</v>
      </c>
      <c r="AL181" s="6">
        <f t="shared" si="16"/>
        <v>0.34200000000000003</v>
      </c>
      <c r="AM181" s="6">
        <f t="shared" si="17"/>
        <v>0.23617800000000005</v>
      </c>
    </row>
    <row r="182" spans="1:39" ht="15" thickBot="1" x14ac:dyDescent="0.35">
      <c r="A182" s="6">
        <f t="shared" si="12"/>
        <v>12.615742934733952</v>
      </c>
      <c r="B182" s="18">
        <v>131</v>
      </c>
      <c r="C182" s="12" t="s">
        <v>159</v>
      </c>
      <c r="D182" s="19" t="s">
        <v>16</v>
      </c>
      <c r="E182" s="19" t="s">
        <v>19</v>
      </c>
      <c r="F182" s="19" t="s">
        <v>19</v>
      </c>
      <c r="G182" s="19">
        <v>22</v>
      </c>
      <c r="H182" s="19">
        <v>0</v>
      </c>
      <c r="I182" s="19">
        <v>0</v>
      </c>
      <c r="J182" s="19">
        <v>14</v>
      </c>
      <c r="K182" s="19">
        <v>0</v>
      </c>
      <c r="L182" s="19">
        <v>2</v>
      </c>
      <c r="M182" s="19">
        <v>0</v>
      </c>
      <c r="N182" s="19">
        <v>49</v>
      </c>
      <c r="O182" s="19">
        <v>49</v>
      </c>
      <c r="P182" s="19">
        <v>60</v>
      </c>
      <c r="Q182" s="18">
        <v>131</v>
      </c>
      <c r="R182" s="12" t="s">
        <v>159</v>
      </c>
      <c r="S182" s="19" t="s">
        <v>16</v>
      </c>
      <c r="T182" s="19" t="s">
        <v>19</v>
      </c>
      <c r="U182" s="19" t="s">
        <v>19</v>
      </c>
      <c r="V182" s="19">
        <v>22</v>
      </c>
      <c r="W182" s="19">
        <v>14</v>
      </c>
      <c r="X182" s="19">
        <v>73</v>
      </c>
      <c r="Y182" s="19">
        <v>69</v>
      </c>
      <c r="Z182" s="19">
        <v>39</v>
      </c>
      <c r="AA182" s="19">
        <v>54</v>
      </c>
      <c r="AB182" s="19">
        <v>87</v>
      </c>
      <c r="AC182" s="19">
        <v>100</v>
      </c>
      <c r="AD182" s="19">
        <v>12</v>
      </c>
      <c r="AE182" s="19">
        <v>100</v>
      </c>
      <c r="AF182" s="19">
        <v>37</v>
      </c>
      <c r="AG182" s="19">
        <v>65</v>
      </c>
      <c r="AH182" s="19">
        <v>60</v>
      </c>
      <c r="AI182" s="6">
        <f t="shared" si="13"/>
        <v>1.7568000000000011E-2</v>
      </c>
      <c r="AJ182" s="6">
        <f t="shared" si="14"/>
        <v>0.14700000000000002</v>
      </c>
      <c r="AK182" s="6">
        <f t="shared" si="15"/>
        <v>1.1142168000000003</v>
      </c>
      <c r="AL182" s="6">
        <f t="shared" si="16"/>
        <v>0.89600000000000013</v>
      </c>
      <c r="AM182" s="6">
        <f t="shared" si="17"/>
        <v>0.20895640000000004</v>
      </c>
    </row>
    <row r="183" spans="1:39" ht="15" thickBot="1" x14ac:dyDescent="0.35">
      <c r="A183" s="6">
        <f t="shared" si="12"/>
        <v>12.599458802112862</v>
      </c>
      <c r="B183" s="18">
        <v>99</v>
      </c>
      <c r="C183" s="12" t="s">
        <v>127</v>
      </c>
      <c r="D183" s="19" t="s">
        <v>16</v>
      </c>
      <c r="E183" s="19" t="s">
        <v>19</v>
      </c>
      <c r="F183" s="19" t="s">
        <v>19</v>
      </c>
      <c r="G183" s="19">
        <v>18</v>
      </c>
      <c r="H183" s="19">
        <v>24</v>
      </c>
      <c r="I183" s="19">
        <v>13</v>
      </c>
      <c r="J183" s="19">
        <v>33</v>
      </c>
      <c r="K183" s="19">
        <v>18</v>
      </c>
      <c r="L183" s="19">
        <v>22</v>
      </c>
      <c r="M183" s="19">
        <v>12</v>
      </c>
      <c r="N183" s="19">
        <v>63</v>
      </c>
      <c r="O183" s="19">
        <v>69</v>
      </c>
      <c r="P183" s="19">
        <v>50</v>
      </c>
      <c r="Q183" s="18">
        <v>99</v>
      </c>
      <c r="R183" s="12" t="s">
        <v>127</v>
      </c>
      <c r="S183" s="19" t="s">
        <v>16</v>
      </c>
      <c r="T183" s="19" t="s">
        <v>19</v>
      </c>
      <c r="U183" s="19" t="s">
        <v>19</v>
      </c>
      <c r="V183" s="19">
        <v>18</v>
      </c>
      <c r="W183" s="19">
        <v>0</v>
      </c>
      <c r="X183" s="19">
        <v>22</v>
      </c>
      <c r="Y183" s="19">
        <v>20</v>
      </c>
      <c r="Z183" s="19">
        <v>38</v>
      </c>
      <c r="AA183" s="19">
        <v>26</v>
      </c>
      <c r="AB183" s="19">
        <v>86</v>
      </c>
      <c r="AC183" s="19">
        <v>95</v>
      </c>
      <c r="AD183" s="19">
        <v>14</v>
      </c>
      <c r="AE183" s="19">
        <v>76</v>
      </c>
      <c r="AF183" s="19">
        <v>46</v>
      </c>
      <c r="AG183" s="19">
        <v>93</v>
      </c>
      <c r="AH183" s="19">
        <v>50</v>
      </c>
      <c r="AI183" s="6">
        <f t="shared" si="13"/>
        <v>0.52176240000000007</v>
      </c>
      <c r="AJ183" s="6">
        <f t="shared" si="14"/>
        <v>0.315</v>
      </c>
      <c r="AK183" s="6">
        <f t="shared" si="15"/>
        <v>0.42992000000000008</v>
      </c>
      <c r="AL183" s="6">
        <f t="shared" si="16"/>
        <v>0.878</v>
      </c>
      <c r="AM183" s="6">
        <f t="shared" si="17"/>
        <v>0.24386020000000008</v>
      </c>
    </row>
    <row r="184" spans="1:39" ht="15" thickBot="1" x14ac:dyDescent="0.35">
      <c r="A184" s="6">
        <f t="shared" si="12"/>
        <v>11.809287057208511</v>
      </c>
      <c r="B184" s="18">
        <v>87</v>
      </c>
      <c r="C184" s="12" t="s">
        <v>115</v>
      </c>
      <c r="D184" s="19" t="s">
        <v>16</v>
      </c>
      <c r="E184" s="19" t="s">
        <v>19</v>
      </c>
      <c r="F184" s="19" t="s">
        <v>19</v>
      </c>
      <c r="G184" s="19">
        <v>18</v>
      </c>
      <c r="H184" s="19">
        <v>20</v>
      </c>
      <c r="I184" s="19">
        <v>14</v>
      </c>
      <c r="J184" s="19">
        <v>23</v>
      </c>
      <c r="K184" s="19">
        <v>11</v>
      </c>
      <c r="L184" s="19">
        <v>28</v>
      </c>
      <c r="M184" s="19">
        <v>9</v>
      </c>
      <c r="N184" s="19">
        <v>77</v>
      </c>
      <c r="O184" s="19">
        <v>51</v>
      </c>
      <c r="P184" s="19">
        <v>53</v>
      </c>
      <c r="Q184" s="18">
        <v>87</v>
      </c>
      <c r="R184" s="12" t="s">
        <v>115</v>
      </c>
      <c r="S184" s="19" t="s">
        <v>16</v>
      </c>
      <c r="T184" s="19" t="s">
        <v>19</v>
      </c>
      <c r="U184" s="19" t="s">
        <v>19</v>
      </c>
      <c r="V184" s="19">
        <v>18</v>
      </c>
      <c r="W184" s="19">
        <v>12</v>
      </c>
      <c r="X184" s="19">
        <v>37</v>
      </c>
      <c r="Y184" s="19">
        <v>27</v>
      </c>
      <c r="Z184" s="19">
        <v>31</v>
      </c>
      <c r="AA184" s="19">
        <v>29</v>
      </c>
      <c r="AB184" s="19">
        <v>38</v>
      </c>
      <c r="AC184" s="19">
        <v>78</v>
      </c>
      <c r="AD184" s="19">
        <v>25</v>
      </c>
      <c r="AE184" s="19">
        <v>66</v>
      </c>
      <c r="AF184" s="19">
        <v>62</v>
      </c>
      <c r="AG184" s="19">
        <v>76</v>
      </c>
      <c r="AH184" s="19">
        <v>53</v>
      </c>
      <c r="AI184" s="6">
        <f t="shared" si="13"/>
        <v>0.45561200000000013</v>
      </c>
      <c r="AJ184" s="6">
        <f t="shared" si="14"/>
        <v>0.29499999999999998</v>
      </c>
      <c r="AK184" s="6">
        <f t="shared" si="15"/>
        <v>0.59655000000000014</v>
      </c>
      <c r="AL184" s="6">
        <f t="shared" si="16"/>
        <v>0.46</v>
      </c>
      <c r="AM184" s="6">
        <f t="shared" si="17"/>
        <v>0.32768200000000003</v>
      </c>
    </row>
    <row r="185" spans="1:39" ht="15" thickBot="1" x14ac:dyDescent="0.35">
      <c r="A185" s="6">
        <f t="shared" si="12"/>
        <v>11.367810588200184</v>
      </c>
      <c r="B185" s="18">
        <v>23</v>
      </c>
      <c r="C185" s="12" t="s">
        <v>51</v>
      </c>
      <c r="D185" s="19" t="s">
        <v>16</v>
      </c>
      <c r="E185" s="19" t="s">
        <v>19</v>
      </c>
      <c r="F185" s="19" t="s">
        <v>19</v>
      </c>
      <c r="G185" s="19">
        <v>18</v>
      </c>
      <c r="H185" s="19">
        <v>25</v>
      </c>
      <c r="I185" s="19">
        <v>9</v>
      </c>
      <c r="J185" s="19">
        <v>20</v>
      </c>
      <c r="K185" s="19">
        <v>16</v>
      </c>
      <c r="L185" s="19">
        <v>28</v>
      </c>
      <c r="M185" s="19">
        <v>15</v>
      </c>
      <c r="N185" s="19">
        <v>57</v>
      </c>
      <c r="O185" s="19">
        <v>80</v>
      </c>
      <c r="P185" s="19">
        <v>69</v>
      </c>
      <c r="Q185" s="18">
        <v>23</v>
      </c>
      <c r="R185" s="12" t="s">
        <v>51</v>
      </c>
      <c r="S185" s="19" t="s">
        <v>16</v>
      </c>
      <c r="T185" s="19" t="s">
        <v>19</v>
      </c>
      <c r="U185" s="19" t="s">
        <v>19</v>
      </c>
      <c r="V185" s="19">
        <v>18</v>
      </c>
      <c r="W185" s="19">
        <v>32</v>
      </c>
      <c r="X185" s="19">
        <v>18</v>
      </c>
      <c r="Y185" s="19">
        <v>24</v>
      </c>
      <c r="Z185" s="19">
        <v>30</v>
      </c>
      <c r="AA185" s="19">
        <v>16</v>
      </c>
      <c r="AB185" s="19">
        <v>24</v>
      </c>
      <c r="AC185" s="19">
        <v>100</v>
      </c>
      <c r="AD185" s="19">
        <v>29</v>
      </c>
      <c r="AE185" s="19">
        <v>98</v>
      </c>
      <c r="AF185" s="19">
        <v>32</v>
      </c>
      <c r="AG185" s="19">
        <v>94</v>
      </c>
      <c r="AH185" s="19">
        <v>69</v>
      </c>
      <c r="AI185" s="6">
        <f t="shared" si="13"/>
        <v>0.46860920000000017</v>
      </c>
      <c r="AJ185" s="6">
        <f t="shared" si="14"/>
        <v>0.34399999999999997</v>
      </c>
      <c r="AK185" s="6">
        <f t="shared" si="15"/>
        <v>0.52643200000000012</v>
      </c>
      <c r="AL185" s="6">
        <f t="shared" si="16"/>
        <v>0.39200000000000002</v>
      </c>
      <c r="AM185" s="6">
        <f t="shared" si="17"/>
        <v>0.37434120000000015</v>
      </c>
    </row>
    <row r="186" spans="1:39" ht="15" thickBot="1" x14ac:dyDescent="0.35">
      <c r="A186" s="6">
        <f t="shared" si="12"/>
        <v>12.263833895371389</v>
      </c>
      <c r="B186" s="20">
        <v>152</v>
      </c>
      <c r="C186" s="13" t="s">
        <v>180</v>
      </c>
      <c r="D186" s="21" t="s">
        <v>16</v>
      </c>
      <c r="E186" s="21" t="s">
        <v>20</v>
      </c>
      <c r="F186" s="21" t="s">
        <v>20</v>
      </c>
      <c r="G186" s="21">
        <v>18</v>
      </c>
      <c r="H186" s="21">
        <v>23</v>
      </c>
      <c r="I186" s="21">
        <v>3</v>
      </c>
      <c r="J186" s="21">
        <v>14</v>
      </c>
      <c r="K186" s="21">
        <v>34</v>
      </c>
      <c r="L186" s="21">
        <v>21</v>
      </c>
      <c r="M186" s="21">
        <v>14</v>
      </c>
      <c r="N186" s="21">
        <v>71</v>
      </c>
      <c r="O186" s="21">
        <v>84</v>
      </c>
      <c r="P186" s="21">
        <v>40</v>
      </c>
      <c r="Q186" s="20">
        <v>152</v>
      </c>
      <c r="R186" s="13" t="s">
        <v>180</v>
      </c>
      <c r="S186" s="21" t="s">
        <v>16</v>
      </c>
      <c r="T186" s="21" t="s">
        <v>20</v>
      </c>
      <c r="U186" s="21" t="s">
        <v>20</v>
      </c>
      <c r="V186" s="21">
        <v>18</v>
      </c>
      <c r="W186" s="21">
        <v>0</v>
      </c>
      <c r="X186" s="21">
        <v>40</v>
      </c>
      <c r="Y186" s="21">
        <v>27</v>
      </c>
      <c r="Z186" s="21">
        <v>38</v>
      </c>
      <c r="AA186" s="21">
        <v>18</v>
      </c>
      <c r="AB186" s="21">
        <v>22</v>
      </c>
      <c r="AC186" s="21">
        <v>66</v>
      </c>
      <c r="AD186" s="21">
        <v>10</v>
      </c>
      <c r="AE186" s="21">
        <v>61</v>
      </c>
      <c r="AF186" s="21">
        <v>37</v>
      </c>
      <c r="AG186" s="21">
        <v>53</v>
      </c>
      <c r="AH186" s="21">
        <v>40</v>
      </c>
      <c r="AI186" s="6">
        <f t="shared" si="13"/>
        <v>0.50145480000000009</v>
      </c>
      <c r="AJ186" s="6">
        <f t="shared" si="14"/>
        <v>0.36599999999999999</v>
      </c>
      <c r="AK186" s="6">
        <f t="shared" si="15"/>
        <v>0.7097500000000001</v>
      </c>
      <c r="AL186" s="6">
        <f t="shared" si="16"/>
        <v>0.30800000000000005</v>
      </c>
      <c r="AM186" s="6">
        <f t="shared" si="17"/>
        <v>0.14475580000000002</v>
      </c>
    </row>
    <row r="187" spans="1:39" ht="15" thickBot="1" x14ac:dyDescent="0.35">
      <c r="A187" s="6">
        <f t="shared" si="12"/>
        <v>11.90084962248948</v>
      </c>
      <c r="B187" s="20">
        <v>164</v>
      </c>
      <c r="C187" s="13" t="s">
        <v>192</v>
      </c>
      <c r="D187" s="21" t="s">
        <v>16</v>
      </c>
      <c r="E187" s="21" t="s">
        <v>19</v>
      </c>
      <c r="F187" s="21" t="s">
        <v>19</v>
      </c>
      <c r="G187" s="21">
        <v>18</v>
      </c>
      <c r="H187" s="21">
        <v>19</v>
      </c>
      <c r="I187" s="21">
        <v>10</v>
      </c>
      <c r="J187" s="21">
        <v>14</v>
      </c>
      <c r="K187" s="21">
        <v>15</v>
      </c>
      <c r="L187" s="21">
        <v>12</v>
      </c>
      <c r="M187" s="21">
        <v>10</v>
      </c>
      <c r="N187" s="21">
        <v>53</v>
      </c>
      <c r="O187" s="21">
        <v>63</v>
      </c>
      <c r="P187" s="21">
        <v>38</v>
      </c>
      <c r="Q187" s="20">
        <v>164</v>
      </c>
      <c r="R187" s="13" t="s">
        <v>192</v>
      </c>
      <c r="S187" s="21" t="s">
        <v>16</v>
      </c>
      <c r="T187" s="21" t="s">
        <v>19</v>
      </c>
      <c r="U187" s="21" t="s">
        <v>19</v>
      </c>
      <c r="V187" s="21">
        <v>18</v>
      </c>
      <c r="W187" s="21">
        <v>0</v>
      </c>
      <c r="X187" s="21">
        <v>0</v>
      </c>
      <c r="Y187" s="21">
        <v>78</v>
      </c>
      <c r="Z187" s="21">
        <v>29</v>
      </c>
      <c r="AA187" s="21">
        <v>16</v>
      </c>
      <c r="AB187" s="21">
        <v>43</v>
      </c>
      <c r="AC187" s="21">
        <v>40</v>
      </c>
      <c r="AD187" s="21">
        <v>24</v>
      </c>
      <c r="AE187" s="21">
        <v>74</v>
      </c>
      <c r="AF187" s="21">
        <v>47</v>
      </c>
      <c r="AG187" s="21">
        <v>90</v>
      </c>
      <c r="AH187" s="21">
        <v>38</v>
      </c>
      <c r="AI187" s="6">
        <f t="shared" si="13"/>
        <v>0.17054600000000003</v>
      </c>
      <c r="AJ187" s="6">
        <f t="shared" si="14"/>
        <v>0.26900000000000002</v>
      </c>
      <c r="AK187" s="6">
        <f t="shared" si="15"/>
        <v>0.99341800000000036</v>
      </c>
      <c r="AL187" s="6">
        <f t="shared" si="16"/>
        <v>0.42399999999999999</v>
      </c>
      <c r="AM187" s="6">
        <f t="shared" si="17"/>
        <v>0.31947260000000005</v>
      </c>
    </row>
    <row r="188" spans="1:39" ht="15" thickBot="1" x14ac:dyDescent="0.35">
      <c r="A188" s="6">
        <f t="shared" si="12"/>
        <v>11.750657435315883</v>
      </c>
      <c r="B188" s="20">
        <v>172</v>
      </c>
      <c r="C188" s="13" t="s">
        <v>200</v>
      </c>
      <c r="D188" s="21" t="s">
        <v>16</v>
      </c>
      <c r="E188" s="21" t="s">
        <v>19</v>
      </c>
      <c r="F188" s="21" t="s">
        <v>19</v>
      </c>
      <c r="G188" s="21">
        <v>18</v>
      </c>
      <c r="H188" s="21">
        <v>19</v>
      </c>
      <c r="I188" s="21">
        <v>11</v>
      </c>
      <c r="J188" s="21">
        <v>9</v>
      </c>
      <c r="K188" s="21">
        <v>13</v>
      </c>
      <c r="L188" s="21">
        <v>11</v>
      </c>
      <c r="M188" s="21">
        <v>0</v>
      </c>
      <c r="N188" s="21">
        <v>52</v>
      </c>
      <c r="O188" s="21">
        <v>51</v>
      </c>
      <c r="P188" s="21">
        <v>35</v>
      </c>
      <c r="Q188" s="20">
        <v>172</v>
      </c>
      <c r="R188" s="13" t="s">
        <v>200</v>
      </c>
      <c r="S188" s="21" t="s">
        <v>16</v>
      </c>
      <c r="T188" s="21" t="s">
        <v>19</v>
      </c>
      <c r="U188" s="21" t="s">
        <v>19</v>
      </c>
      <c r="V188" s="21">
        <v>18</v>
      </c>
      <c r="W188" s="21">
        <v>0</v>
      </c>
      <c r="X188" s="21">
        <v>20</v>
      </c>
      <c r="Y188" s="21">
        <v>62</v>
      </c>
      <c r="Z188" s="21">
        <v>32</v>
      </c>
      <c r="AA188" s="21">
        <v>19</v>
      </c>
      <c r="AB188" s="21">
        <v>76</v>
      </c>
      <c r="AC188" s="21">
        <v>73</v>
      </c>
      <c r="AD188" s="21">
        <v>22</v>
      </c>
      <c r="AE188" s="21">
        <v>79</v>
      </c>
      <c r="AF188" s="21">
        <v>50</v>
      </c>
      <c r="AG188" s="21">
        <v>74</v>
      </c>
      <c r="AH188" s="21">
        <v>35</v>
      </c>
      <c r="AI188" s="6">
        <f t="shared" si="13"/>
        <v>0.13986360000000006</v>
      </c>
      <c r="AJ188" s="6">
        <f t="shared" si="14"/>
        <v>0.155</v>
      </c>
      <c r="AK188" s="6">
        <f t="shared" si="15"/>
        <v>0.88816800000000007</v>
      </c>
      <c r="AL188" s="6">
        <f t="shared" si="16"/>
        <v>0.754</v>
      </c>
      <c r="AM188" s="6">
        <f t="shared" si="17"/>
        <v>0.29504540000000012</v>
      </c>
    </row>
    <row r="189" spans="1:39" ht="15" thickBot="1" x14ac:dyDescent="0.35">
      <c r="A189" s="6">
        <f t="shared" si="12"/>
        <v>12.316603002178519</v>
      </c>
      <c r="B189" s="18">
        <v>111</v>
      </c>
      <c r="C189" s="12" t="s">
        <v>139</v>
      </c>
      <c r="D189" s="19" t="s">
        <v>16</v>
      </c>
      <c r="E189" s="19" t="s">
        <v>20</v>
      </c>
      <c r="F189" s="19" t="s">
        <v>20</v>
      </c>
      <c r="G189" s="19">
        <v>18</v>
      </c>
      <c r="H189" s="19">
        <v>21</v>
      </c>
      <c r="I189" s="19">
        <v>0</v>
      </c>
      <c r="J189" s="19">
        <v>21</v>
      </c>
      <c r="K189" s="19">
        <v>32</v>
      </c>
      <c r="L189" s="19">
        <v>15</v>
      </c>
      <c r="M189" s="19">
        <v>21</v>
      </c>
      <c r="N189" s="19">
        <v>52</v>
      </c>
      <c r="O189" s="19">
        <v>70</v>
      </c>
      <c r="P189" s="19">
        <v>48</v>
      </c>
      <c r="Q189" s="18">
        <v>111</v>
      </c>
      <c r="R189" s="12" t="s">
        <v>139</v>
      </c>
      <c r="S189" s="19" t="s">
        <v>16</v>
      </c>
      <c r="T189" s="19" t="s">
        <v>20</v>
      </c>
      <c r="U189" s="19" t="s">
        <v>20</v>
      </c>
      <c r="V189" s="19">
        <v>18</v>
      </c>
      <c r="W189" s="19">
        <v>0</v>
      </c>
      <c r="X189" s="19">
        <v>22</v>
      </c>
      <c r="Y189" s="19">
        <v>23</v>
      </c>
      <c r="Z189" s="19">
        <v>53</v>
      </c>
      <c r="AA189" s="19">
        <v>2</v>
      </c>
      <c r="AB189" s="19">
        <v>33</v>
      </c>
      <c r="AC189" s="19">
        <v>61</v>
      </c>
      <c r="AD189" s="19">
        <v>42</v>
      </c>
      <c r="AE189" s="19">
        <v>33</v>
      </c>
      <c r="AF189" s="19">
        <v>45</v>
      </c>
      <c r="AG189" s="19">
        <v>57</v>
      </c>
      <c r="AH189" s="19">
        <v>48</v>
      </c>
      <c r="AI189" s="6">
        <f t="shared" si="13"/>
        <v>0.42922920000000009</v>
      </c>
      <c r="AJ189" s="6">
        <f t="shared" si="14"/>
        <v>0.38400000000000001</v>
      </c>
      <c r="AK189" s="6">
        <f t="shared" si="15"/>
        <v>0.67385600000000023</v>
      </c>
      <c r="AL189" s="6">
        <f t="shared" si="16"/>
        <v>0.38600000000000001</v>
      </c>
      <c r="AM189" s="6">
        <f t="shared" si="17"/>
        <v>0.44091900000000017</v>
      </c>
    </row>
    <row r="190" spans="1:39" ht="15" thickBot="1" x14ac:dyDescent="0.35">
      <c r="A190" s="6">
        <f t="shared" si="12"/>
        <v>11.79908382822525</v>
      </c>
      <c r="B190" s="18">
        <v>165</v>
      </c>
      <c r="C190" s="12" t="s">
        <v>193</v>
      </c>
      <c r="D190" s="19" t="s">
        <v>16</v>
      </c>
      <c r="E190" s="19" t="s">
        <v>20</v>
      </c>
      <c r="F190" s="19" t="s">
        <v>20</v>
      </c>
      <c r="G190" s="19">
        <v>21</v>
      </c>
      <c r="H190" s="19">
        <v>15</v>
      </c>
      <c r="I190" s="19">
        <v>0</v>
      </c>
      <c r="J190" s="19">
        <v>48</v>
      </c>
      <c r="K190" s="19">
        <v>5</v>
      </c>
      <c r="L190" s="19">
        <v>18</v>
      </c>
      <c r="M190" s="19">
        <v>34</v>
      </c>
      <c r="N190" s="19">
        <v>56</v>
      </c>
      <c r="O190" s="19">
        <v>78</v>
      </c>
      <c r="P190" s="19">
        <v>51</v>
      </c>
      <c r="Q190" s="18">
        <v>165</v>
      </c>
      <c r="R190" s="12" t="s">
        <v>193</v>
      </c>
      <c r="S190" s="19" t="s">
        <v>16</v>
      </c>
      <c r="T190" s="19" t="s">
        <v>20</v>
      </c>
      <c r="U190" s="19" t="s">
        <v>20</v>
      </c>
      <c r="V190" s="19">
        <v>21</v>
      </c>
      <c r="W190" s="19">
        <v>30</v>
      </c>
      <c r="X190" s="19">
        <v>15</v>
      </c>
      <c r="Y190" s="19">
        <v>41</v>
      </c>
      <c r="Z190" s="19">
        <v>20</v>
      </c>
      <c r="AA190" s="19">
        <v>0</v>
      </c>
      <c r="AB190" s="19">
        <v>36</v>
      </c>
      <c r="AC190" s="19">
        <v>44</v>
      </c>
      <c r="AD190" s="19">
        <v>18</v>
      </c>
      <c r="AE190" s="19">
        <v>93</v>
      </c>
      <c r="AF190" s="19">
        <v>45</v>
      </c>
      <c r="AG190" s="19">
        <v>87</v>
      </c>
      <c r="AH190" s="19">
        <v>51</v>
      </c>
      <c r="AI190" s="6">
        <f t="shared" si="13"/>
        <v>0.44943240000000012</v>
      </c>
      <c r="AJ190" s="6">
        <f t="shared" si="14"/>
        <v>0.53</v>
      </c>
      <c r="AK190" s="6">
        <f t="shared" si="15"/>
        <v>0.58872800000000014</v>
      </c>
      <c r="AL190" s="6">
        <f t="shared" si="16"/>
        <v>0.376</v>
      </c>
      <c r="AM190" s="6">
        <f t="shared" si="17"/>
        <v>0.27994500000000011</v>
      </c>
    </row>
    <row r="191" spans="1:39" ht="15" thickBot="1" x14ac:dyDescent="0.35">
      <c r="A191" s="6">
        <f t="shared" si="12"/>
        <v>11.455953773613059</v>
      </c>
      <c r="B191" s="20">
        <v>132</v>
      </c>
      <c r="C191" s="13" t="s">
        <v>160</v>
      </c>
      <c r="D191" s="21" t="s">
        <v>16</v>
      </c>
      <c r="E191" s="21" t="s">
        <v>19</v>
      </c>
      <c r="F191" s="21" t="s">
        <v>19</v>
      </c>
      <c r="G191" s="21">
        <v>18</v>
      </c>
      <c r="H191" s="21">
        <v>14</v>
      </c>
      <c r="I191" s="21">
        <v>8</v>
      </c>
      <c r="J191" s="21">
        <v>30</v>
      </c>
      <c r="K191" s="21">
        <v>8</v>
      </c>
      <c r="L191" s="21">
        <v>5</v>
      </c>
      <c r="M191" s="21">
        <v>16</v>
      </c>
      <c r="N191" s="21">
        <v>69</v>
      </c>
      <c r="O191" s="21">
        <v>55</v>
      </c>
      <c r="P191" s="21">
        <v>44</v>
      </c>
      <c r="Q191" s="20">
        <v>132</v>
      </c>
      <c r="R191" s="13" t="s">
        <v>160</v>
      </c>
      <c r="S191" s="21" t="s">
        <v>16</v>
      </c>
      <c r="T191" s="21" t="s">
        <v>19</v>
      </c>
      <c r="U191" s="21" t="s">
        <v>19</v>
      </c>
      <c r="V191" s="21">
        <v>18</v>
      </c>
      <c r="W191" s="21">
        <v>10</v>
      </c>
      <c r="X191" s="21">
        <v>6</v>
      </c>
      <c r="Y191" s="21">
        <v>55</v>
      </c>
      <c r="Z191" s="21">
        <v>29</v>
      </c>
      <c r="AA191" s="21">
        <v>15</v>
      </c>
      <c r="AB191" s="21">
        <v>77</v>
      </c>
      <c r="AC191" s="21">
        <v>82</v>
      </c>
      <c r="AD191" s="21">
        <v>42</v>
      </c>
      <c r="AE191" s="21">
        <v>48</v>
      </c>
      <c r="AF191" s="21">
        <v>30</v>
      </c>
      <c r="AG191" s="21">
        <v>81</v>
      </c>
      <c r="AH191" s="21">
        <v>44</v>
      </c>
      <c r="AI191" s="6">
        <f t="shared" si="13"/>
        <v>0.16873120000000005</v>
      </c>
      <c r="AJ191" s="6">
        <f t="shared" si="14"/>
        <v>0.35299999999999998</v>
      </c>
      <c r="AK191" s="6">
        <f t="shared" si="15"/>
        <v>0.68668000000000018</v>
      </c>
      <c r="AL191" s="6">
        <f t="shared" si="16"/>
        <v>0.78</v>
      </c>
      <c r="AM191" s="6">
        <f t="shared" si="17"/>
        <v>0.47338740000000012</v>
      </c>
    </row>
    <row r="192" spans="1:39" ht="15" thickBot="1" x14ac:dyDescent="0.35">
      <c r="A192" s="6">
        <f t="shared" si="12"/>
        <v>10.992880867826553</v>
      </c>
      <c r="B192" s="18">
        <v>41</v>
      </c>
      <c r="C192" s="12" t="s">
        <v>69</v>
      </c>
      <c r="D192" s="19" t="s">
        <v>16</v>
      </c>
      <c r="E192" s="19" t="s">
        <v>19</v>
      </c>
      <c r="F192" s="19" t="s">
        <v>19</v>
      </c>
      <c r="G192" s="19">
        <v>18</v>
      </c>
      <c r="H192" s="19">
        <v>24</v>
      </c>
      <c r="I192" s="19">
        <v>5</v>
      </c>
      <c r="J192" s="19">
        <v>22</v>
      </c>
      <c r="K192" s="19">
        <v>19</v>
      </c>
      <c r="L192" s="19">
        <v>19</v>
      </c>
      <c r="M192" s="19">
        <v>27</v>
      </c>
      <c r="N192" s="19">
        <v>71</v>
      </c>
      <c r="O192" s="19">
        <v>53</v>
      </c>
      <c r="P192" s="19">
        <v>63</v>
      </c>
      <c r="Q192" s="18">
        <v>41</v>
      </c>
      <c r="R192" s="12" t="s">
        <v>69</v>
      </c>
      <c r="S192" s="19" t="s">
        <v>16</v>
      </c>
      <c r="T192" s="19" t="s">
        <v>19</v>
      </c>
      <c r="U192" s="19" t="s">
        <v>19</v>
      </c>
      <c r="V192" s="19">
        <v>18</v>
      </c>
      <c r="W192" s="19">
        <v>0</v>
      </c>
      <c r="X192" s="19">
        <v>25</v>
      </c>
      <c r="Y192" s="19">
        <v>25</v>
      </c>
      <c r="Z192" s="19">
        <v>42</v>
      </c>
      <c r="AA192" s="19">
        <v>4</v>
      </c>
      <c r="AB192" s="19">
        <v>47</v>
      </c>
      <c r="AC192" s="19">
        <v>54</v>
      </c>
      <c r="AD192" s="19">
        <v>28</v>
      </c>
      <c r="AE192" s="19">
        <v>82</v>
      </c>
      <c r="AF192" s="19">
        <v>35</v>
      </c>
      <c r="AG192" s="19">
        <v>74</v>
      </c>
      <c r="AH192" s="19">
        <v>63</v>
      </c>
      <c r="AI192" s="6">
        <f t="shared" si="13"/>
        <v>0.34400480000000011</v>
      </c>
      <c r="AJ192" s="6">
        <f t="shared" si="14"/>
        <v>0.46500000000000002</v>
      </c>
      <c r="AK192" s="6">
        <f t="shared" si="15"/>
        <v>0.5606040000000001</v>
      </c>
      <c r="AL192" s="6">
        <f t="shared" si="16"/>
        <v>0.48400000000000004</v>
      </c>
      <c r="AM192" s="6">
        <f t="shared" si="17"/>
        <v>0.33777260000000014</v>
      </c>
    </row>
    <row r="193" spans="1:39" ht="15" thickBot="1" x14ac:dyDescent="0.35">
      <c r="A193" s="6">
        <f t="shared" si="12"/>
        <v>11.328554865856933</v>
      </c>
      <c r="B193" s="18">
        <v>89</v>
      </c>
      <c r="C193" s="12" t="s">
        <v>117</v>
      </c>
      <c r="D193" s="19" t="s">
        <v>16</v>
      </c>
      <c r="E193" s="19" t="s">
        <v>20</v>
      </c>
      <c r="F193" s="19" t="s">
        <v>20</v>
      </c>
      <c r="G193" s="19">
        <v>18</v>
      </c>
      <c r="H193" s="19">
        <v>15</v>
      </c>
      <c r="I193" s="19">
        <v>0</v>
      </c>
      <c r="J193" s="19">
        <v>23</v>
      </c>
      <c r="K193" s="19">
        <v>20</v>
      </c>
      <c r="L193" s="19">
        <v>2</v>
      </c>
      <c r="M193" s="19">
        <v>17</v>
      </c>
      <c r="N193" s="19">
        <v>68</v>
      </c>
      <c r="O193" s="19">
        <v>75</v>
      </c>
      <c r="P193" s="19">
        <v>53</v>
      </c>
      <c r="Q193" s="18">
        <v>89</v>
      </c>
      <c r="R193" s="12" t="s">
        <v>117</v>
      </c>
      <c r="S193" s="19" t="s">
        <v>16</v>
      </c>
      <c r="T193" s="19" t="s">
        <v>20</v>
      </c>
      <c r="U193" s="19" t="s">
        <v>20</v>
      </c>
      <c r="V193" s="19">
        <v>18</v>
      </c>
      <c r="W193" s="19">
        <v>19</v>
      </c>
      <c r="X193" s="19">
        <v>52</v>
      </c>
      <c r="Y193" s="19">
        <v>22</v>
      </c>
      <c r="Z193" s="19">
        <v>30</v>
      </c>
      <c r="AA193" s="19">
        <v>23</v>
      </c>
      <c r="AB193" s="19">
        <v>26</v>
      </c>
      <c r="AC193" s="19">
        <v>96</v>
      </c>
      <c r="AD193" s="19">
        <v>44</v>
      </c>
      <c r="AE193" s="19">
        <v>85</v>
      </c>
      <c r="AF193" s="19">
        <v>41</v>
      </c>
      <c r="AG193" s="19">
        <v>86</v>
      </c>
      <c r="AH193" s="19">
        <v>53</v>
      </c>
      <c r="AI193" s="6">
        <f t="shared" si="13"/>
        <v>0.19036920000000004</v>
      </c>
      <c r="AJ193" s="6">
        <f t="shared" si="14"/>
        <v>0.38100000000000001</v>
      </c>
      <c r="AK193" s="6">
        <f t="shared" si="15"/>
        <v>0.79515000000000025</v>
      </c>
      <c r="AL193" s="6">
        <f t="shared" si="16"/>
        <v>0.4</v>
      </c>
      <c r="AM193" s="6">
        <f t="shared" si="17"/>
        <v>0.57007560000000024</v>
      </c>
    </row>
    <row r="194" spans="1:39" ht="15" thickBot="1" x14ac:dyDescent="0.35">
      <c r="A194" s="6">
        <f t="shared" si="12"/>
        <v>10.594728878808677</v>
      </c>
      <c r="B194" s="18">
        <v>123</v>
      </c>
      <c r="C194" s="12" t="s">
        <v>151</v>
      </c>
      <c r="D194" s="19" t="s">
        <v>16</v>
      </c>
      <c r="E194" s="19" t="s">
        <v>19</v>
      </c>
      <c r="F194" s="19" t="s">
        <v>19</v>
      </c>
      <c r="G194" s="19">
        <v>18</v>
      </c>
      <c r="H194" s="19">
        <v>7</v>
      </c>
      <c r="I194" s="19">
        <v>7</v>
      </c>
      <c r="J194" s="19">
        <v>24</v>
      </c>
      <c r="K194" s="19">
        <v>19</v>
      </c>
      <c r="L194" s="19">
        <v>24</v>
      </c>
      <c r="M194" s="19">
        <v>17</v>
      </c>
      <c r="N194" s="19">
        <v>76</v>
      </c>
      <c r="O194" s="19">
        <v>53</v>
      </c>
      <c r="P194" s="19">
        <v>46</v>
      </c>
      <c r="Q194" s="18">
        <v>123</v>
      </c>
      <c r="R194" s="12" t="s">
        <v>151</v>
      </c>
      <c r="S194" s="19" t="s">
        <v>16</v>
      </c>
      <c r="T194" s="19" t="s">
        <v>19</v>
      </c>
      <c r="U194" s="19" t="s">
        <v>19</v>
      </c>
      <c r="V194" s="19">
        <v>18</v>
      </c>
      <c r="W194" s="19">
        <v>35</v>
      </c>
      <c r="X194" s="19">
        <v>23</v>
      </c>
      <c r="Y194" s="19">
        <v>18</v>
      </c>
      <c r="Z194" s="19">
        <v>36</v>
      </c>
      <c r="AA194" s="19">
        <v>2</v>
      </c>
      <c r="AB194" s="19">
        <v>39</v>
      </c>
      <c r="AC194" s="19">
        <v>58</v>
      </c>
      <c r="AD194" s="19">
        <v>10</v>
      </c>
      <c r="AE194" s="19">
        <v>50</v>
      </c>
      <c r="AF194" s="19">
        <v>38</v>
      </c>
      <c r="AG194" s="19">
        <v>85</v>
      </c>
      <c r="AH194" s="19">
        <v>46</v>
      </c>
      <c r="AI194" s="6">
        <f t="shared" si="13"/>
        <v>0.3302172000000001</v>
      </c>
      <c r="AJ194" s="6">
        <f t="shared" si="14"/>
        <v>0.375</v>
      </c>
      <c r="AK194" s="6">
        <f t="shared" si="15"/>
        <v>0.62942000000000009</v>
      </c>
      <c r="AL194" s="6">
        <f t="shared" si="16"/>
        <v>0.42800000000000005</v>
      </c>
      <c r="AM194" s="6">
        <f t="shared" si="17"/>
        <v>0.17127860000000006</v>
      </c>
    </row>
    <row r="195" spans="1:39" ht="15" thickBot="1" x14ac:dyDescent="0.35">
      <c r="A195" s="6">
        <f t="shared" si="12"/>
        <v>11.312678235697868</v>
      </c>
      <c r="B195" s="18">
        <v>51</v>
      </c>
      <c r="C195" s="12" t="s">
        <v>79</v>
      </c>
      <c r="D195" s="19" t="s">
        <v>16</v>
      </c>
      <c r="E195" s="19" t="s">
        <v>21</v>
      </c>
      <c r="F195" s="19" t="s">
        <v>19</v>
      </c>
      <c r="G195" s="19">
        <v>18</v>
      </c>
      <c r="H195" s="19">
        <v>22</v>
      </c>
      <c r="I195" s="19">
        <v>7</v>
      </c>
      <c r="J195" s="19">
        <v>33</v>
      </c>
      <c r="K195" s="19">
        <v>22</v>
      </c>
      <c r="L195" s="19">
        <v>12</v>
      </c>
      <c r="M195" s="19">
        <v>21</v>
      </c>
      <c r="N195" s="19">
        <v>80</v>
      </c>
      <c r="O195" s="19">
        <v>45</v>
      </c>
      <c r="P195" s="19">
        <v>61</v>
      </c>
      <c r="Q195" s="18">
        <v>51</v>
      </c>
      <c r="R195" s="12" t="s">
        <v>79</v>
      </c>
      <c r="S195" s="19" t="s">
        <v>16</v>
      </c>
      <c r="T195" s="19" t="s">
        <v>21</v>
      </c>
      <c r="U195" s="19" t="s">
        <v>19</v>
      </c>
      <c r="V195" s="19">
        <v>18</v>
      </c>
      <c r="W195" s="19">
        <v>9</v>
      </c>
      <c r="X195" s="19">
        <v>25</v>
      </c>
      <c r="Y195" s="19">
        <v>31</v>
      </c>
      <c r="Z195" s="19">
        <v>32</v>
      </c>
      <c r="AA195" s="19">
        <v>22</v>
      </c>
      <c r="AB195" s="19">
        <v>16</v>
      </c>
      <c r="AC195" s="19">
        <v>73</v>
      </c>
      <c r="AD195" s="19">
        <v>71</v>
      </c>
      <c r="AE195" s="19">
        <v>40</v>
      </c>
      <c r="AF195" s="19">
        <v>45</v>
      </c>
      <c r="AG195" s="19">
        <v>86</v>
      </c>
      <c r="AH195" s="19">
        <v>61</v>
      </c>
      <c r="AI195" s="6">
        <f t="shared" si="13"/>
        <v>0.38655600000000012</v>
      </c>
      <c r="AJ195" s="6">
        <f t="shared" si="14"/>
        <v>0.41499999999999998</v>
      </c>
      <c r="AK195" s="6">
        <f t="shared" si="15"/>
        <v>0.49959400000000009</v>
      </c>
      <c r="AL195" s="6">
        <f t="shared" si="16"/>
        <v>0.27400000000000002</v>
      </c>
      <c r="AM195" s="6">
        <f t="shared" si="17"/>
        <v>0.90672380000000019</v>
      </c>
    </row>
    <row r="196" spans="1:39" ht="15" thickBot="1" x14ac:dyDescent="0.35">
      <c r="A196" s="6">
        <f t="shared" si="12"/>
        <v>10.706393506222206</v>
      </c>
      <c r="B196" s="20">
        <v>14</v>
      </c>
      <c r="C196" s="13" t="s">
        <v>42</v>
      </c>
      <c r="D196" s="21" t="s">
        <v>16</v>
      </c>
      <c r="E196" s="21" t="s">
        <v>19</v>
      </c>
      <c r="F196" s="21" t="s">
        <v>19</v>
      </c>
      <c r="G196" s="21">
        <v>18</v>
      </c>
      <c r="H196" s="21">
        <v>19</v>
      </c>
      <c r="I196" s="21">
        <v>5</v>
      </c>
      <c r="J196" s="21">
        <v>35</v>
      </c>
      <c r="K196" s="21">
        <v>26</v>
      </c>
      <c r="L196" s="21">
        <v>27</v>
      </c>
      <c r="M196" s="21">
        <v>8</v>
      </c>
      <c r="N196" s="21">
        <v>66</v>
      </c>
      <c r="O196" s="21">
        <v>63</v>
      </c>
      <c r="P196" s="21">
        <v>73</v>
      </c>
      <c r="Q196" s="20">
        <v>14</v>
      </c>
      <c r="R196" s="13" t="s">
        <v>42</v>
      </c>
      <c r="S196" s="21" t="s">
        <v>16</v>
      </c>
      <c r="T196" s="21" t="s">
        <v>19</v>
      </c>
      <c r="U196" s="21" t="s">
        <v>19</v>
      </c>
      <c r="V196" s="21">
        <v>18</v>
      </c>
      <c r="W196" s="21">
        <v>9</v>
      </c>
      <c r="X196" s="21">
        <v>0</v>
      </c>
      <c r="Y196" s="21">
        <v>23</v>
      </c>
      <c r="Z196" s="21">
        <v>30</v>
      </c>
      <c r="AA196" s="21">
        <v>8</v>
      </c>
      <c r="AB196" s="21">
        <v>23</v>
      </c>
      <c r="AC196" s="21">
        <v>99</v>
      </c>
      <c r="AD196" s="21">
        <v>35</v>
      </c>
      <c r="AE196" s="21">
        <v>61</v>
      </c>
      <c r="AF196" s="21">
        <v>43</v>
      </c>
      <c r="AG196" s="21">
        <v>71</v>
      </c>
      <c r="AH196" s="21">
        <v>73</v>
      </c>
      <c r="AI196" s="6">
        <f t="shared" si="13"/>
        <v>0.61402600000000007</v>
      </c>
      <c r="AJ196" s="6">
        <f t="shared" si="14"/>
        <v>0.27500000000000002</v>
      </c>
      <c r="AK196" s="6">
        <f t="shared" si="15"/>
        <v>0.27320800000000006</v>
      </c>
      <c r="AL196" s="6">
        <f t="shared" si="16"/>
        <v>0.38200000000000001</v>
      </c>
      <c r="AM196" s="6">
        <f t="shared" si="17"/>
        <v>0.40267220000000004</v>
      </c>
    </row>
    <row r="197" spans="1:39" ht="15" thickBot="1" x14ac:dyDescent="0.35">
      <c r="A197" s="6">
        <f t="shared" si="12"/>
        <v>10.970096839655017</v>
      </c>
      <c r="B197" s="20">
        <v>162</v>
      </c>
      <c r="C197" s="13" t="s">
        <v>190</v>
      </c>
      <c r="D197" s="21" t="s">
        <v>16</v>
      </c>
      <c r="E197" s="21" t="s">
        <v>21</v>
      </c>
      <c r="F197" s="21" t="s">
        <v>19</v>
      </c>
      <c r="G197" s="21">
        <v>18</v>
      </c>
      <c r="H197" s="21">
        <v>19</v>
      </c>
      <c r="I197" s="21">
        <v>10</v>
      </c>
      <c r="J197" s="21">
        <v>29</v>
      </c>
      <c r="K197" s="21">
        <v>14</v>
      </c>
      <c r="L197" s="21">
        <v>3</v>
      </c>
      <c r="M197" s="21">
        <v>23</v>
      </c>
      <c r="N197" s="21">
        <v>71</v>
      </c>
      <c r="O197" s="21">
        <v>59</v>
      </c>
      <c r="P197" s="21">
        <v>38</v>
      </c>
      <c r="Q197" s="20">
        <v>162</v>
      </c>
      <c r="R197" s="13" t="s">
        <v>190</v>
      </c>
      <c r="S197" s="21" t="s">
        <v>16</v>
      </c>
      <c r="T197" s="21" t="s">
        <v>21</v>
      </c>
      <c r="U197" s="21" t="s">
        <v>19</v>
      </c>
      <c r="V197" s="21">
        <v>18</v>
      </c>
      <c r="W197" s="21">
        <v>43</v>
      </c>
      <c r="X197" s="21">
        <v>17</v>
      </c>
      <c r="Y197" s="21">
        <v>37</v>
      </c>
      <c r="Z197" s="21">
        <v>13</v>
      </c>
      <c r="AA197" s="21">
        <v>0</v>
      </c>
      <c r="AB197" s="21">
        <v>53</v>
      </c>
      <c r="AC197" s="21">
        <v>77</v>
      </c>
      <c r="AD197" s="21">
        <v>30</v>
      </c>
      <c r="AE197" s="21">
        <v>63</v>
      </c>
      <c r="AF197" s="21">
        <v>10</v>
      </c>
      <c r="AG197" s="21">
        <v>57</v>
      </c>
      <c r="AH197" s="21">
        <v>38</v>
      </c>
      <c r="AI197" s="6">
        <f t="shared" si="13"/>
        <v>0.23529560000000008</v>
      </c>
      <c r="AJ197" s="6">
        <f t="shared" si="14"/>
        <v>0.43099999999999999</v>
      </c>
      <c r="AK197" s="6">
        <f t="shared" si="15"/>
        <v>0.67078000000000015</v>
      </c>
      <c r="AL197" s="6">
        <f t="shared" si="16"/>
        <v>0.57800000000000007</v>
      </c>
      <c r="AM197" s="6">
        <f t="shared" si="17"/>
        <v>0.29062800000000011</v>
      </c>
    </row>
    <row r="198" spans="1:39" ht="15" thickBot="1" x14ac:dyDescent="0.35">
      <c r="A198" s="6">
        <f t="shared" si="12"/>
        <v>10.862664806469903</v>
      </c>
      <c r="B198" s="20">
        <v>134</v>
      </c>
      <c r="C198" s="13" t="s">
        <v>162</v>
      </c>
      <c r="D198" s="21" t="s">
        <v>16</v>
      </c>
      <c r="E198" s="21" t="s">
        <v>20</v>
      </c>
      <c r="F198" s="21" t="s">
        <v>20</v>
      </c>
      <c r="G198" s="21">
        <v>18</v>
      </c>
      <c r="H198" s="21">
        <v>2</v>
      </c>
      <c r="I198" s="21">
        <v>0</v>
      </c>
      <c r="J198" s="21">
        <v>23</v>
      </c>
      <c r="K198" s="21">
        <v>28</v>
      </c>
      <c r="L198" s="21">
        <v>16</v>
      </c>
      <c r="M198" s="21">
        <v>22</v>
      </c>
      <c r="N198" s="21">
        <v>67</v>
      </c>
      <c r="O198" s="21">
        <v>66</v>
      </c>
      <c r="P198" s="21">
        <v>44</v>
      </c>
      <c r="Q198" s="20">
        <v>134</v>
      </c>
      <c r="R198" s="13" t="s">
        <v>162</v>
      </c>
      <c r="S198" s="21" t="s">
        <v>16</v>
      </c>
      <c r="T198" s="21" t="s">
        <v>20</v>
      </c>
      <c r="U198" s="21" t="s">
        <v>20</v>
      </c>
      <c r="V198" s="21">
        <v>18</v>
      </c>
      <c r="W198" s="21">
        <v>11</v>
      </c>
      <c r="X198" s="21">
        <v>52</v>
      </c>
      <c r="Y198" s="21">
        <v>25</v>
      </c>
      <c r="Z198" s="21">
        <v>18</v>
      </c>
      <c r="AA198" s="21">
        <v>12</v>
      </c>
      <c r="AB198" s="21">
        <v>39</v>
      </c>
      <c r="AC198" s="21">
        <v>56</v>
      </c>
      <c r="AD198" s="21">
        <v>9</v>
      </c>
      <c r="AE198" s="21">
        <v>95</v>
      </c>
      <c r="AF198" s="21">
        <v>40</v>
      </c>
      <c r="AG198" s="21">
        <v>76</v>
      </c>
      <c r="AH198" s="21">
        <v>44</v>
      </c>
      <c r="AI198" s="6">
        <f t="shared" si="13"/>
        <v>0.31639680000000009</v>
      </c>
      <c r="AJ198" s="6">
        <f t="shared" si="14"/>
        <v>0.42</v>
      </c>
      <c r="AK198" s="6">
        <f t="shared" si="15"/>
        <v>0.65828800000000021</v>
      </c>
      <c r="AL198" s="6">
        <f t="shared" si="16"/>
        <v>0.42400000000000004</v>
      </c>
      <c r="AM198" s="6">
        <f t="shared" si="17"/>
        <v>0.21401380000000009</v>
      </c>
    </row>
    <row r="199" spans="1:39" ht="15" thickBot="1" x14ac:dyDescent="0.35">
      <c r="A199" s="6">
        <f t="shared" ref="A199:A207" si="18">(AI199*H$3+AJ199*M$3+AK199*W$3+AL199*AB$3+AM199*AD$3)*100/(AI$5*H$3+AJ$5*M$3+AK$5*W$3+AL$5*AB$3+AM$5*AD$3)</f>
        <v>10.244364648303439</v>
      </c>
      <c r="B199" s="18">
        <v>127</v>
      </c>
      <c r="C199" s="12" t="s">
        <v>155</v>
      </c>
      <c r="D199" s="19" t="s">
        <v>16</v>
      </c>
      <c r="E199" s="19" t="s">
        <v>19</v>
      </c>
      <c r="F199" s="19" t="s">
        <v>19</v>
      </c>
      <c r="G199" s="19">
        <v>18</v>
      </c>
      <c r="H199" s="19">
        <v>26</v>
      </c>
      <c r="I199" s="19">
        <v>23</v>
      </c>
      <c r="J199" s="19">
        <v>25</v>
      </c>
      <c r="K199" s="19">
        <v>14</v>
      </c>
      <c r="L199" s="19">
        <v>17</v>
      </c>
      <c r="M199" s="19">
        <v>8</v>
      </c>
      <c r="N199" s="19">
        <v>74</v>
      </c>
      <c r="O199" s="19">
        <v>77</v>
      </c>
      <c r="P199" s="19">
        <v>45</v>
      </c>
      <c r="Q199" s="18">
        <v>127</v>
      </c>
      <c r="R199" s="12" t="s">
        <v>155</v>
      </c>
      <c r="S199" s="19" t="s">
        <v>16</v>
      </c>
      <c r="T199" s="19" t="s">
        <v>19</v>
      </c>
      <c r="U199" s="19" t="s">
        <v>19</v>
      </c>
      <c r="V199" s="19">
        <v>18</v>
      </c>
      <c r="W199" s="19">
        <v>20</v>
      </c>
      <c r="X199" s="19">
        <v>14</v>
      </c>
      <c r="Y199" s="19">
        <v>25</v>
      </c>
      <c r="Z199" s="19">
        <v>26</v>
      </c>
      <c r="AA199" s="19">
        <v>7</v>
      </c>
      <c r="AB199" s="19">
        <v>25</v>
      </c>
      <c r="AC199" s="19">
        <v>79</v>
      </c>
      <c r="AD199" s="19">
        <v>28</v>
      </c>
      <c r="AE199" s="19">
        <v>82</v>
      </c>
      <c r="AF199" s="19">
        <v>51</v>
      </c>
      <c r="AG199" s="19">
        <v>80</v>
      </c>
      <c r="AH199" s="19">
        <v>45</v>
      </c>
      <c r="AI199" s="6">
        <f t="shared" ref="AI199:AI207" si="19">H$1*((-2*10^-6)*H199^3+0.00032*H199^2-0.0021*H199)+I$1*((-2*10^-6)*I199^3+0.00032*I199^2-0.0021*I199)+J$1*((-2*10^-6)*J199^3+0.00032*J199^2-0.0021*J199)+K$1*((-2*10^-6)*K199^3+0.00032*K199^2-0.0021*K199)+L$1*((-2*10^-6)*L199^3+0.00032*L199^2-0.0021*L199)</f>
        <v>0.52138480000000009</v>
      </c>
      <c r="AJ199" s="6">
        <f t="shared" ref="AJ199:AJ207" si="20">(M$1*M199+N$1*N199+O$1*O199)/100</f>
        <v>0.30499999999999999</v>
      </c>
      <c r="AK199" s="6">
        <f t="shared" ref="AK199:AK207" si="21">IF(AA199&lt;50,W$1*((-2*10^-6)*W199^3+0.00032*W199^2-0.0021*W199)+X$1*((-2*10^-6)*X199^3+0.00032*X199^2-0.0021*X199)+Y$1*((-2*10^-6)*Y199^3+0.00032*Y199^2-0.0021*Y199)+Z$1*((-2*10^-6)*Z199^3+0.00032*Z199^2-0.0021*Z199),X$2*((-2*10^-6)*X199^3+0.00032*X199^2-0.0021*AA199)+Y$2*((-2*10^-6)*Y199^3+0.00032*Y199^2-0.0021*Y199)+Z$2*((-2*10^-6)*Z199^3+0.00032*Z199^2-0.0021*Z199)+ AA$2*((-2*10^-6)*AA199^3+0.00032*AA199^2-0.0021*AA199))</f>
        <v>0.34065000000000006</v>
      </c>
      <c r="AL199" s="6">
        <f t="shared" ref="AL199:AL207" si="22">(AB$1*AB199+AC$1*AC199)/100</f>
        <v>0.35799999999999998</v>
      </c>
      <c r="AM199" s="6">
        <f t="shared" ref="AM199:AM207" si="23">AD$1*((-2*10^-6)*AD199^3+0.00032*AD199^2-0.0021*AD199)+AE$1*((-2*10^-6)*AE199^3+0.00032*AE199^2-0.0021*AE199)+AF$1*((-2*10^-6)*AF199^3+0.00032*AF199^2-0.0021*AF199)+AG$1*((-2*10^-6)*AG199^3+0.00032*AG199^2-0.0021*AG199)</f>
        <v>0.36744220000000011</v>
      </c>
    </row>
    <row r="200" spans="1:39" ht="15" thickBot="1" x14ac:dyDescent="0.35">
      <c r="A200" s="6">
        <f t="shared" si="18"/>
        <v>10.688792861619266</v>
      </c>
      <c r="B200" s="20">
        <v>106</v>
      </c>
      <c r="C200" s="13" t="s">
        <v>134</v>
      </c>
      <c r="D200" s="21" t="s">
        <v>16</v>
      </c>
      <c r="E200" s="21" t="s">
        <v>21</v>
      </c>
      <c r="F200" s="21" t="s">
        <v>20</v>
      </c>
      <c r="G200" s="21">
        <v>18</v>
      </c>
      <c r="H200" s="21">
        <v>12</v>
      </c>
      <c r="I200" s="21">
        <v>0</v>
      </c>
      <c r="J200" s="21">
        <v>29</v>
      </c>
      <c r="K200" s="21">
        <v>29</v>
      </c>
      <c r="L200" s="21">
        <v>19</v>
      </c>
      <c r="M200" s="21">
        <v>16</v>
      </c>
      <c r="N200" s="21">
        <v>82</v>
      </c>
      <c r="O200" s="21">
        <v>46</v>
      </c>
      <c r="P200" s="21">
        <v>49</v>
      </c>
      <c r="Q200" s="20">
        <v>106</v>
      </c>
      <c r="R200" s="13" t="s">
        <v>134</v>
      </c>
      <c r="S200" s="21" t="s">
        <v>16</v>
      </c>
      <c r="T200" s="21" t="s">
        <v>21</v>
      </c>
      <c r="U200" s="21" t="s">
        <v>20</v>
      </c>
      <c r="V200" s="21">
        <v>18</v>
      </c>
      <c r="W200" s="21">
        <v>0</v>
      </c>
      <c r="X200" s="21">
        <v>18</v>
      </c>
      <c r="Y200" s="21">
        <v>9</v>
      </c>
      <c r="Z200" s="21">
        <v>43</v>
      </c>
      <c r="AA200" s="21">
        <v>18</v>
      </c>
      <c r="AB200" s="21">
        <v>58</v>
      </c>
      <c r="AC200" s="21">
        <v>71</v>
      </c>
      <c r="AD200" s="21">
        <v>17</v>
      </c>
      <c r="AE200" s="21">
        <v>87</v>
      </c>
      <c r="AF200" s="21">
        <v>36</v>
      </c>
      <c r="AG200" s="21">
        <v>73</v>
      </c>
      <c r="AH200" s="21">
        <v>49</v>
      </c>
      <c r="AI200" s="6">
        <f t="shared" si="19"/>
        <v>0.4353512000000001</v>
      </c>
      <c r="AJ200" s="6">
        <f t="shared" si="20"/>
        <v>0.37000000000000005</v>
      </c>
      <c r="AK200" s="6">
        <f t="shared" si="21"/>
        <v>0.40214400000000011</v>
      </c>
      <c r="AL200" s="6">
        <f t="shared" si="22"/>
        <v>0.60600000000000009</v>
      </c>
      <c r="AM200" s="6">
        <f t="shared" si="23"/>
        <v>0.24116680000000007</v>
      </c>
    </row>
    <row r="201" spans="1:39" ht="15" thickBot="1" x14ac:dyDescent="0.35">
      <c r="A201" s="6">
        <f t="shared" si="18"/>
        <v>10.493818974006981</v>
      </c>
      <c r="B201" s="18">
        <v>113</v>
      </c>
      <c r="C201" s="12" t="s">
        <v>141</v>
      </c>
      <c r="D201" s="19" t="s">
        <v>16</v>
      </c>
      <c r="E201" s="19" t="s">
        <v>20</v>
      </c>
      <c r="F201" s="19" t="s">
        <v>20</v>
      </c>
      <c r="G201" s="19">
        <v>18</v>
      </c>
      <c r="H201" s="19">
        <v>16</v>
      </c>
      <c r="I201" s="19">
        <v>11</v>
      </c>
      <c r="J201" s="19">
        <v>13</v>
      </c>
      <c r="K201" s="19">
        <v>34</v>
      </c>
      <c r="L201" s="19">
        <v>18</v>
      </c>
      <c r="M201" s="19">
        <v>22</v>
      </c>
      <c r="N201" s="19">
        <v>63</v>
      </c>
      <c r="O201" s="19">
        <v>71</v>
      </c>
      <c r="P201" s="19">
        <v>48</v>
      </c>
      <c r="Q201" s="18">
        <v>113</v>
      </c>
      <c r="R201" s="12" t="s">
        <v>141</v>
      </c>
      <c r="S201" s="19" t="s">
        <v>16</v>
      </c>
      <c r="T201" s="19" t="s">
        <v>20</v>
      </c>
      <c r="U201" s="19" t="s">
        <v>20</v>
      </c>
      <c r="V201" s="19">
        <v>18</v>
      </c>
      <c r="W201" s="19">
        <v>0</v>
      </c>
      <c r="X201" s="19">
        <v>25</v>
      </c>
      <c r="Y201" s="19">
        <v>35</v>
      </c>
      <c r="Z201" s="19">
        <v>23</v>
      </c>
      <c r="AA201" s="19">
        <v>14</v>
      </c>
      <c r="AB201" s="19">
        <v>35</v>
      </c>
      <c r="AC201" s="19">
        <v>88</v>
      </c>
      <c r="AD201" s="19">
        <v>21</v>
      </c>
      <c r="AE201" s="19">
        <v>50</v>
      </c>
      <c r="AF201" s="19">
        <v>42</v>
      </c>
      <c r="AG201" s="19">
        <v>60</v>
      </c>
      <c r="AH201" s="19">
        <v>48</v>
      </c>
      <c r="AI201" s="6">
        <f t="shared" si="19"/>
        <v>0.43459280000000006</v>
      </c>
      <c r="AJ201" s="6">
        <f t="shared" si="20"/>
        <v>0.41700000000000004</v>
      </c>
      <c r="AK201" s="6">
        <f t="shared" si="21"/>
        <v>0.44564600000000004</v>
      </c>
      <c r="AL201" s="6">
        <f t="shared" si="22"/>
        <v>0.45600000000000002</v>
      </c>
      <c r="AM201" s="6">
        <f t="shared" si="23"/>
        <v>0.21520840000000008</v>
      </c>
    </row>
    <row r="202" spans="1:39" ht="15" thickBot="1" x14ac:dyDescent="0.35">
      <c r="A202" s="6">
        <f t="shared" si="18"/>
        <v>10.676501984541463</v>
      </c>
      <c r="B202" s="18">
        <v>153</v>
      </c>
      <c r="C202" s="12" t="s">
        <v>181</v>
      </c>
      <c r="D202" s="19" t="s">
        <v>16</v>
      </c>
      <c r="E202" s="19" t="s">
        <v>19</v>
      </c>
      <c r="F202" s="19" t="s">
        <v>19</v>
      </c>
      <c r="G202" s="19">
        <v>18</v>
      </c>
      <c r="H202" s="19">
        <v>17</v>
      </c>
      <c r="I202" s="19">
        <v>0</v>
      </c>
      <c r="J202" s="19">
        <v>36</v>
      </c>
      <c r="K202" s="19">
        <v>24</v>
      </c>
      <c r="L202" s="19">
        <v>12</v>
      </c>
      <c r="M202" s="19">
        <v>17</v>
      </c>
      <c r="N202" s="19">
        <v>75</v>
      </c>
      <c r="O202" s="19">
        <v>66</v>
      </c>
      <c r="P202" s="19">
        <v>40</v>
      </c>
      <c r="Q202" s="18">
        <v>153</v>
      </c>
      <c r="R202" s="12" t="s">
        <v>181</v>
      </c>
      <c r="S202" s="19" t="s">
        <v>16</v>
      </c>
      <c r="T202" s="19" t="s">
        <v>19</v>
      </c>
      <c r="U202" s="19" t="s">
        <v>19</v>
      </c>
      <c r="V202" s="19">
        <v>18</v>
      </c>
      <c r="W202" s="19">
        <v>22</v>
      </c>
      <c r="X202" s="19">
        <v>38</v>
      </c>
      <c r="Y202" s="19">
        <v>28</v>
      </c>
      <c r="Z202" s="19">
        <v>14</v>
      </c>
      <c r="AA202" s="19">
        <v>12</v>
      </c>
      <c r="AB202" s="19">
        <v>29</v>
      </c>
      <c r="AC202" s="19">
        <v>100</v>
      </c>
      <c r="AD202" s="19">
        <v>15</v>
      </c>
      <c r="AE202" s="19">
        <v>78</v>
      </c>
      <c r="AF202" s="19">
        <v>41</v>
      </c>
      <c r="AG202" s="19">
        <v>65</v>
      </c>
      <c r="AH202" s="19">
        <v>40</v>
      </c>
      <c r="AI202" s="6">
        <f t="shared" si="19"/>
        <v>0.39900520000000012</v>
      </c>
      <c r="AJ202" s="6">
        <f t="shared" si="20"/>
        <v>0.38600000000000001</v>
      </c>
      <c r="AK202" s="6">
        <f t="shared" si="21"/>
        <v>0.53592800000000007</v>
      </c>
      <c r="AL202" s="6">
        <f t="shared" si="22"/>
        <v>0.43200000000000005</v>
      </c>
      <c r="AM202" s="6">
        <f t="shared" si="23"/>
        <v>0.21517040000000007</v>
      </c>
    </row>
    <row r="203" spans="1:39" ht="15" thickBot="1" x14ac:dyDescent="0.35">
      <c r="A203" s="6">
        <f t="shared" si="18"/>
        <v>9.7371204750962406</v>
      </c>
      <c r="B203" s="20">
        <v>118</v>
      </c>
      <c r="C203" s="13" t="s">
        <v>146</v>
      </c>
      <c r="D203" s="21" t="s">
        <v>16</v>
      </c>
      <c r="E203" s="21" t="s">
        <v>19</v>
      </c>
      <c r="F203" s="21" t="s">
        <v>19</v>
      </c>
      <c r="G203" s="21">
        <v>22</v>
      </c>
      <c r="H203" s="21">
        <v>1</v>
      </c>
      <c r="I203" s="21">
        <v>0</v>
      </c>
      <c r="J203" s="21">
        <v>19</v>
      </c>
      <c r="K203" s="21">
        <v>0</v>
      </c>
      <c r="L203" s="21">
        <v>11</v>
      </c>
      <c r="M203" s="21">
        <v>11</v>
      </c>
      <c r="N203" s="21">
        <v>52</v>
      </c>
      <c r="O203" s="21">
        <v>33</v>
      </c>
      <c r="P203" s="21">
        <v>63</v>
      </c>
      <c r="Q203" s="20">
        <v>118</v>
      </c>
      <c r="R203" s="13" t="s">
        <v>146</v>
      </c>
      <c r="S203" s="21" t="s">
        <v>16</v>
      </c>
      <c r="T203" s="21" t="s">
        <v>19</v>
      </c>
      <c r="U203" s="21" t="s">
        <v>19</v>
      </c>
      <c r="V203" s="21">
        <v>22</v>
      </c>
      <c r="W203" s="21">
        <v>35</v>
      </c>
      <c r="X203" s="21">
        <v>65</v>
      </c>
      <c r="Y203" s="21">
        <v>45</v>
      </c>
      <c r="Z203" s="21">
        <v>0</v>
      </c>
      <c r="AA203" s="21">
        <v>54</v>
      </c>
      <c r="AB203" s="21">
        <v>37</v>
      </c>
      <c r="AC203" s="21">
        <v>100</v>
      </c>
      <c r="AD203" s="21">
        <v>16</v>
      </c>
      <c r="AE203" s="21">
        <v>87</v>
      </c>
      <c r="AF203" s="21">
        <v>33</v>
      </c>
      <c r="AG203" s="21">
        <v>73</v>
      </c>
      <c r="AH203" s="21">
        <v>63</v>
      </c>
      <c r="AI203" s="6">
        <f t="shared" si="19"/>
        <v>6.847240000000003E-2</v>
      </c>
      <c r="AJ203" s="6">
        <f t="shared" si="20"/>
        <v>0.247</v>
      </c>
      <c r="AK203" s="6">
        <f t="shared" si="21"/>
        <v>0.82828700000000011</v>
      </c>
      <c r="AL203" s="6">
        <f t="shared" si="22"/>
        <v>0.496</v>
      </c>
      <c r="AM203" s="6">
        <f t="shared" si="23"/>
        <v>0.2304906000000001</v>
      </c>
    </row>
    <row r="204" spans="1:39" ht="15" thickBot="1" x14ac:dyDescent="0.35">
      <c r="A204" s="6">
        <f t="shared" si="18"/>
        <v>10.106443642006621</v>
      </c>
      <c r="B204" s="18">
        <v>77</v>
      </c>
      <c r="C204" s="12" t="s">
        <v>105</v>
      </c>
      <c r="D204" s="19" t="s">
        <v>16</v>
      </c>
      <c r="E204" s="19" t="s">
        <v>19</v>
      </c>
      <c r="F204" s="19" t="s">
        <v>19</v>
      </c>
      <c r="G204" s="19">
        <v>18</v>
      </c>
      <c r="H204" s="19">
        <v>16</v>
      </c>
      <c r="I204" s="19">
        <v>0</v>
      </c>
      <c r="J204" s="19">
        <v>29</v>
      </c>
      <c r="K204" s="19">
        <v>27</v>
      </c>
      <c r="L204" s="19">
        <v>12</v>
      </c>
      <c r="M204" s="19">
        <v>17</v>
      </c>
      <c r="N204" s="19">
        <v>64</v>
      </c>
      <c r="O204" s="19">
        <v>44</v>
      </c>
      <c r="P204" s="19">
        <v>56</v>
      </c>
      <c r="Q204" s="18">
        <v>77</v>
      </c>
      <c r="R204" s="12" t="s">
        <v>105</v>
      </c>
      <c r="S204" s="19" t="s">
        <v>16</v>
      </c>
      <c r="T204" s="19" t="s">
        <v>19</v>
      </c>
      <c r="U204" s="19" t="s">
        <v>19</v>
      </c>
      <c r="V204" s="19">
        <v>18</v>
      </c>
      <c r="W204" s="19">
        <v>13</v>
      </c>
      <c r="X204" s="19">
        <v>23</v>
      </c>
      <c r="Y204" s="19">
        <v>41</v>
      </c>
      <c r="Z204" s="19">
        <v>19</v>
      </c>
      <c r="AA204" s="19">
        <v>28</v>
      </c>
      <c r="AB204" s="19">
        <v>25</v>
      </c>
      <c r="AC204" s="19">
        <v>82</v>
      </c>
      <c r="AD204" s="19">
        <v>40</v>
      </c>
      <c r="AE204" s="19">
        <v>27</v>
      </c>
      <c r="AF204" s="19">
        <v>59</v>
      </c>
      <c r="AG204" s="19">
        <v>50</v>
      </c>
      <c r="AH204" s="19">
        <v>56</v>
      </c>
      <c r="AI204" s="6">
        <f t="shared" si="19"/>
        <v>0.36021680000000006</v>
      </c>
      <c r="AJ204" s="6">
        <f t="shared" si="20"/>
        <v>0.34200000000000003</v>
      </c>
      <c r="AK204" s="6">
        <f t="shared" si="21"/>
        <v>0.49491200000000007</v>
      </c>
      <c r="AL204" s="6">
        <f t="shared" si="22"/>
        <v>0.36400000000000005</v>
      </c>
      <c r="AM204" s="6">
        <f t="shared" si="23"/>
        <v>0.41614760000000006</v>
      </c>
    </row>
    <row r="205" spans="1:39" ht="15" thickBot="1" x14ac:dyDescent="0.35">
      <c r="A205" s="6">
        <f t="shared" si="18"/>
        <v>9.684640544331371</v>
      </c>
      <c r="B205" s="18">
        <v>149</v>
      </c>
      <c r="C205" s="12" t="s">
        <v>177</v>
      </c>
      <c r="D205" s="19" t="s">
        <v>16</v>
      </c>
      <c r="E205" s="19" t="s">
        <v>21</v>
      </c>
      <c r="F205" s="19" t="s">
        <v>19</v>
      </c>
      <c r="G205" s="19">
        <v>18</v>
      </c>
      <c r="H205" s="19">
        <v>15</v>
      </c>
      <c r="I205" s="19">
        <v>0</v>
      </c>
      <c r="J205" s="19">
        <v>29</v>
      </c>
      <c r="K205" s="19">
        <v>24</v>
      </c>
      <c r="L205" s="19">
        <v>18</v>
      </c>
      <c r="M205" s="19">
        <v>16</v>
      </c>
      <c r="N205" s="19">
        <v>60</v>
      </c>
      <c r="O205" s="19">
        <v>35</v>
      </c>
      <c r="P205" s="19">
        <v>42</v>
      </c>
      <c r="Q205" s="18">
        <v>149</v>
      </c>
      <c r="R205" s="12" t="s">
        <v>177</v>
      </c>
      <c r="S205" s="19" t="s">
        <v>16</v>
      </c>
      <c r="T205" s="19" t="s">
        <v>21</v>
      </c>
      <c r="U205" s="19" t="s">
        <v>19</v>
      </c>
      <c r="V205" s="19">
        <v>18</v>
      </c>
      <c r="W205" s="19">
        <v>22</v>
      </c>
      <c r="X205" s="19">
        <v>26</v>
      </c>
      <c r="Y205" s="19">
        <v>19</v>
      </c>
      <c r="Z205" s="19">
        <v>30</v>
      </c>
      <c r="AA205" s="19">
        <v>2</v>
      </c>
      <c r="AB205" s="19">
        <v>37</v>
      </c>
      <c r="AC205" s="19">
        <v>95</v>
      </c>
      <c r="AD205" s="19">
        <v>4</v>
      </c>
      <c r="AE205" s="19">
        <v>83</v>
      </c>
      <c r="AF205" s="19">
        <v>28</v>
      </c>
      <c r="AG205" s="19">
        <v>52</v>
      </c>
      <c r="AH205" s="19">
        <v>42</v>
      </c>
      <c r="AI205" s="6">
        <f t="shared" si="19"/>
        <v>0.37557560000000006</v>
      </c>
      <c r="AJ205" s="6">
        <f t="shared" si="20"/>
        <v>0.315</v>
      </c>
      <c r="AK205" s="6">
        <f t="shared" si="21"/>
        <v>0.44685400000000008</v>
      </c>
      <c r="AL205" s="6">
        <f t="shared" si="22"/>
        <v>0.48599999999999999</v>
      </c>
      <c r="AM205" s="6">
        <f t="shared" si="23"/>
        <v>0.14755660000000007</v>
      </c>
    </row>
    <row r="206" spans="1:39" ht="15" thickBot="1" x14ac:dyDescent="0.35">
      <c r="A206" s="6">
        <f t="shared" si="18"/>
        <v>9.1882228654988189</v>
      </c>
      <c r="B206" s="18">
        <v>117</v>
      </c>
      <c r="C206" s="12" t="s">
        <v>145</v>
      </c>
      <c r="D206" s="19" t="s">
        <v>16</v>
      </c>
      <c r="E206" s="19" t="s">
        <v>21</v>
      </c>
      <c r="F206" s="19" t="s">
        <v>20</v>
      </c>
      <c r="G206" s="19">
        <v>18</v>
      </c>
      <c r="H206" s="19">
        <v>21</v>
      </c>
      <c r="I206" s="19">
        <v>3</v>
      </c>
      <c r="J206" s="19">
        <v>22</v>
      </c>
      <c r="K206" s="19">
        <v>34</v>
      </c>
      <c r="L206" s="19">
        <v>23</v>
      </c>
      <c r="M206" s="19">
        <v>0</v>
      </c>
      <c r="N206" s="19">
        <v>63</v>
      </c>
      <c r="O206" s="19">
        <v>58</v>
      </c>
      <c r="P206" s="19">
        <v>47</v>
      </c>
      <c r="Q206" s="18">
        <v>117</v>
      </c>
      <c r="R206" s="12" t="s">
        <v>145</v>
      </c>
      <c r="S206" s="19" t="s">
        <v>16</v>
      </c>
      <c r="T206" s="19" t="s">
        <v>21</v>
      </c>
      <c r="U206" s="19" t="s">
        <v>20</v>
      </c>
      <c r="V206" s="19">
        <v>18</v>
      </c>
      <c r="W206" s="19">
        <v>0</v>
      </c>
      <c r="X206" s="19">
        <v>2</v>
      </c>
      <c r="Y206" s="19">
        <v>4</v>
      </c>
      <c r="Z206" s="19">
        <v>27</v>
      </c>
      <c r="AA206" s="19">
        <v>8</v>
      </c>
      <c r="AB206" s="19">
        <v>27</v>
      </c>
      <c r="AC206" s="19">
        <v>44</v>
      </c>
      <c r="AD206" s="19">
        <v>50</v>
      </c>
      <c r="AE206" s="19">
        <v>67</v>
      </c>
      <c r="AF206" s="19">
        <v>47</v>
      </c>
      <c r="AG206" s="19">
        <v>85</v>
      </c>
      <c r="AH206" s="19">
        <v>47</v>
      </c>
      <c r="AI206" s="6">
        <f t="shared" si="19"/>
        <v>0.55998520000000007</v>
      </c>
      <c r="AJ206" s="6">
        <f t="shared" si="20"/>
        <v>0.18400000000000002</v>
      </c>
      <c r="AK206" s="6">
        <f t="shared" si="21"/>
        <v>0.13087000000000004</v>
      </c>
      <c r="AL206" s="6">
        <f t="shared" si="22"/>
        <v>0.30400000000000005</v>
      </c>
      <c r="AM206" s="6">
        <f t="shared" si="23"/>
        <v>0.64500380000000013</v>
      </c>
    </row>
    <row r="207" spans="1:39" ht="15" thickBot="1" x14ac:dyDescent="0.35">
      <c r="A207" s="6">
        <f t="shared" si="18"/>
        <v>8.6968869557432313</v>
      </c>
      <c r="B207" s="20">
        <v>174</v>
      </c>
      <c r="C207" s="13" t="s">
        <v>202</v>
      </c>
      <c r="D207" s="21" t="s">
        <v>16</v>
      </c>
      <c r="E207" s="21" t="s">
        <v>19</v>
      </c>
      <c r="F207" s="21" t="s">
        <v>19</v>
      </c>
      <c r="G207" s="21">
        <v>18</v>
      </c>
      <c r="H207" s="21">
        <v>26</v>
      </c>
      <c r="I207" s="21">
        <v>10</v>
      </c>
      <c r="J207" s="21">
        <v>28</v>
      </c>
      <c r="K207" s="21">
        <v>13</v>
      </c>
      <c r="L207" s="21">
        <v>11</v>
      </c>
      <c r="M207" s="21">
        <v>18</v>
      </c>
      <c r="N207" s="21">
        <v>78</v>
      </c>
      <c r="O207" s="21">
        <v>63</v>
      </c>
      <c r="P207" s="21">
        <v>32</v>
      </c>
      <c r="Q207" s="20">
        <v>174</v>
      </c>
      <c r="R207" s="13" t="s">
        <v>202</v>
      </c>
      <c r="S207" s="21" t="s">
        <v>16</v>
      </c>
      <c r="T207" s="21" t="s">
        <v>19</v>
      </c>
      <c r="U207" s="21" t="s">
        <v>19</v>
      </c>
      <c r="V207" s="21">
        <v>18</v>
      </c>
      <c r="W207" s="21">
        <v>24</v>
      </c>
      <c r="X207" s="21">
        <v>27</v>
      </c>
      <c r="Y207" s="21">
        <v>14</v>
      </c>
      <c r="Z207" s="21">
        <v>18</v>
      </c>
      <c r="AA207" s="21">
        <v>6</v>
      </c>
      <c r="AB207" s="21">
        <v>47</v>
      </c>
      <c r="AC207" s="21">
        <v>66</v>
      </c>
      <c r="AD207" s="21">
        <v>22</v>
      </c>
      <c r="AE207" s="21">
        <v>70</v>
      </c>
      <c r="AF207" s="21">
        <v>34</v>
      </c>
      <c r="AG207" s="21">
        <v>73</v>
      </c>
      <c r="AH207" s="21">
        <v>32</v>
      </c>
      <c r="AI207" s="6">
        <f t="shared" si="19"/>
        <v>0.31070480000000011</v>
      </c>
      <c r="AJ207" s="6">
        <f t="shared" si="20"/>
        <v>0.39900000000000008</v>
      </c>
      <c r="AK207" s="6">
        <f t="shared" si="21"/>
        <v>0.3255340000000001</v>
      </c>
      <c r="AL207" s="6">
        <f t="shared" si="22"/>
        <v>0.50800000000000001</v>
      </c>
      <c r="AM207" s="6">
        <f t="shared" si="23"/>
        <v>0.26026980000000005</v>
      </c>
    </row>
    <row r="208" spans="1:39" ht="15" thickBot="1" x14ac:dyDescent="0.35">
      <c r="B208" s="20"/>
      <c r="C208" s="13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0"/>
      <c r="R208" s="13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6"/>
      <c r="AJ208" s="6"/>
      <c r="AK208" s="6"/>
      <c r="AL208" s="6"/>
      <c r="AM208" s="6"/>
    </row>
    <row r="209" spans="2:39" ht="15" thickBot="1" x14ac:dyDescent="0.35">
      <c r="B209" s="18"/>
      <c r="C209" s="12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8"/>
      <c r="R209" s="12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6"/>
      <c r="AJ209" s="6"/>
      <c r="AK209" s="6"/>
      <c r="AL209" s="6"/>
      <c r="AM209" s="6"/>
    </row>
    <row r="210" spans="2:39" ht="15" thickBot="1" x14ac:dyDescent="0.35">
      <c r="B210" s="20"/>
      <c r="C210" s="13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0"/>
      <c r="R210" s="13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6"/>
      <c r="AJ210" s="6"/>
      <c r="AK210" s="6"/>
      <c r="AL210" s="6"/>
      <c r="AM210" s="6"/>
    </row>
    <row r="211" spans="2:39" ht="15" thickBot="1" x14ac:dyDescent="0.35">
      <c r="B211" s="18"/>
      <c r="C211" s="12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8"/>
      <c r="R211" s="12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6"/>
      <c r="AJ211" s="6"/>
      <c r="AK211" s="6"/>
      <c r="AL211" s="6"/>
      <c r="AM211" s="6"/>
    </row>
    <row r="212" spans="2:39" ht="15" thickBot="1" x14ac:dyDescent="0.35">
      <c r="B212" s="20"/>
      <c r="C212" s="13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0"/>
      <c r="R212" s="13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6"/>
      <c r="AJ212" s="6"/>
      <c r="AK212" s="6"/>
      <c r="AL212" s="6"/>
      <c r="AM212" s="6"/>
    </row>
    <row r="213" spans="2:39" ht="15" thickBot="1" x14ac:dyDescent="0.35">
      <c r="B213" s="18"/>
      <c r="C213" s="12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8"/>
      <c r="R213" s="12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6"/>
      <c r="AJ213" s="6"/>
      <c r="AK213" s="6"/>
      <c r="AL213" s="6"/>
      <c r="AM213" s="6"/>
    </row>
    <row r="214" spans="2:39" ht="15" thickBot="1" x14ac:dyDescent="0.35">
      <c r="B214" s="20"/>
      <c r="C214" s="13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0"/>
      <c r="R214" s="13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6"/>
      <c r="AJ214" s="6"/>
      <c r="AK214" s="6"/>
      <c r="AL214" s="6"/>
      <c r="AM214" s="6"/>
    </row>
    <row r="215" spans="2:39" ht="15" thickBot="1" x14ac:dyDescent="0.35">
      <c r="B215" s="18"/>
      <c r="C215" s="12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8"/>
      <c r="R215" s="12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6"/>
      <c r="AJ215" s="6"/>
      <c r="AK215" s="6"/>
      <c r="AL215" s="6"/>
      <c r="AM215" s="6"/>
    </row>
    <row r="216" spans="2:39" ht="15" thickBot="1" x14ac:dyDescent="0.35">
      <c r="B216" s="20"/>
      <c r="C216" s="13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0"/>
      <c r="R216" s="13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6"/>
      <c r="AJ216" s="6"/>
      <c r="AK216" s="6"/>
      <c r="AL216" s="6"/>
      <c r="AM216" s="6"/>
    </row>
    <row r="217" spans="2:39" ht="15" thickBot="1" x14ac:dyDescent="0.35">
      <c r="B217" s="18"/>
      <c r="C217" s="12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8"/>
      <c r="R217" s="12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6"/>
      <c r="AJ217" s="6"/>
      <c r="AK217" s="6"/>
      <c r="AL217" s="6"/>
      <c r="AM217" s="6"/>
    </row>
    <row r="218" spans="2:39" ht="15" thickBot="1" x14ac:dyDescent="0.35">
      <c r="B218" s="20"/>
      <c r="C218" s="13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0"/>
      <c r="R218" s="13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6"/>
      <c r="AJ218" s="6"/>
      <c r="AK218" s="6"/>
      <c r="AL218" s="6"/>
      <c r="AM218" s="6"/>
    </row>
    <row r="219" spans="2:39" ht="15" thickBot="1" x14ac:dyDescent="0.35">
      <c r="B219" s="18"/>
      <c r="C219" s="12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8"/>
      <c r="R219" s="12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6"/>
      <c r="AJ219" s="6"/>
      <c r="AK219" s="6"/>
      <c r="AL219" s="6"/>
      <c r="AM219" s="6"/>
    </row>
    <row r="220" spans="2:39" ht="15" thickBot="1" x14ac:dyDescent="0.35">
      <c r="B220" s="20"/>
      <c r="C220" s="13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0"/>
      <c r="R220" s="13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6"/>
      <c r="AJ220" s="6"/>
      <c r="AK220" s="6"/>
      <c r="AL220" s="6"/>
      <c r="AM220" s="6"/>
    </row>
    <row r="221" spans="2:39" ht="15" thickBot="1" x14ac:dyDescent="0.35">
      <c r="B221" s="18"/>
      <c r="C221" s="12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8"/>
      <c r="R221" s="12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6"/>
      <c r="AJ221" s="6"/>
      <c r="AK221" s="6"/>
      <c r="AL221" s="6"/>
      <c r="AM221" s="6"/>
    </row>
    <row r="222" spans="2:39" ht="15" thickBot="1" x14ac:dyDescent="0.35">
      <c r="B222" s="20"/>
      <c r="C222" s="13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0"/>
      <c r="R222" s="13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6"/>
      <c r="AJ222" s="6"/>
      <c r="AK222" s="6"/>
      <c r="AL222" s="6"/>
      <c r="AM222" s="6"/>
    </row>
    <row r="223" spans="2:39" ht="15" thickBot="1" x14ac:dyDescent="0.35">
      <c r="B223" s="18"/>
      <c r="C223" s="12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8"/>
      <c r="R223" s="12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6"/>
      <c r="AJ223" s="6"/>
      <c r="AK223" s="6"/>
      <c r="AL223" s="6"/>
      <c r="AM223" s="6"/>
    </row>
    <row r="224" spans="2:39" ht="15" thickBot="1" x14ac:dyDescent="0.35">
      <c r="B224" s="20"/>
      <c r="C224" s="13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0"/>
      <c r="R224" s="13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6"/>
      <c r="AJ224" s="6"/>
      <c r="AK224" s="6"/>
      <c r="AL224" s="6"/>
      <c r="AM224" s="6"/>
    </row>
    <row r="225" spans="2:39" ht="15" thickBot="1" x14ac:dyDescent="0.35">
      <c r="B225" s="18"/>
      <c r="C225" s="12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8"/>
      <c r="R225" s="12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6"/>
      <c r="AJ225" s="6"/>
      <c r="AK225" s="6"/>
      <c r="AL225" s="6"/>
      <c r="AM225" s="6"/>
    </row>
    <row r="226" spans="2:39" ht="15" thickBot="1" x14ac:dyDescent="0.35">
      <c r="B226" s="20"/>
      <c r="C226" s="13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0"/>
      <c r="R226" s="13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6"/>
      <c r="AJ226" s="6"/>
      <c r="AK226" s="6"/>
      <c r="AL226" s="6"/>
      <c r="AM226" s="6"/>
    </row>
    <row r="227" spans="2:39" ht="15" thickBot="1" x14ac:dyDescent="0.35">
      <c r="B227" s="18"/>
      <c r="C227" s="12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8"/>
      <c r="R227" s="12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6"/>
      <c r="AJ227" s="6"/>
      <c r="AK227" s="6"/>
      <c r="AL227" s="6"/>
      <c r="AM227" s="6"/>
    </row>
    <row r="228" spans="2:39" ht="15" thickBot="1" x14ac:dyDescent="0.35">
      <c r="B228" s="20"/>
      <c r="C228" s="13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0"/>
      <c r="R228" s="13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6"/>
      <c r="AJ228" s="6"/>
      <c r="AK228" s="6"/>
      <c r="AL228" s="6"/>
      <c r="AM228" s="6"/>
    </row>
    <row r="229" spans="2:39" ht="15" thickBot="1" x14ac:dyDescent="0.35">
      <c r="B229" s="18"/>
      <c r="C229" s="12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8"/>
      <c r="R229" s="12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6"/>
      <c r="AJ229" s="6"/>
      <c r="AK229" s="6"/>
      <c r="AL229" s="6"/>
      <c r="AM229" s="6"/>
    </row>
    <row r="230" spans="2:39" ht="15" thickBot="1" x14ac:dyDescent="0.35">
      <c r="B230" s="20"/>
      <c r="C230" s="13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0"/>
      <c r="R230" s="13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6"/>
      <c r="AJ230" s="6"/>
      <c r="AK230" s="6"/>
      <c r="AL230" s="6"/>
      <c r="AM230" s="6"/>
    </row>
    <row r="231" spans="2:39" ht="15" thickBot="1" x14ac:dyDescent="0.35">
      <c r="B231" s="18"/>
      <c r="C231" s="12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8"/>
      <c r="R231" s="12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6"/>
      <c r="AJ231" s="6"/>
      <c r="AK231" s="6"/>
      <c r="AL231" s="6"/>
      <c r="AM231" s="6"/>
    </row>
    <row r="232" spans="2:39" ht="15" thickBot="1" x14ac:dyDescent="0.35">
      <c r="B232" s="20"/>
      <c r="C232" s="13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0"/>
      <c r="R232" s="13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6"/>
      <c r="AJ232" s="6"/>
      <c r="AK232" s="6"/>
      <c r="AL232" s="6"/>
      <c r="AM232" s="6"/>
    </row>
    <row r="233" spans="2:39" ht="15" thickBot="1" x14ac:dyDescent="0.35">
      <c r="B233" s="18"/>
      <c r="C233" s="12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8"/>
      <c r="R233" s="12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6"/>
      <c r="AJ233" s="6"/>
      <c r="AK233" s="6"/>
      <c r="AL233" s="6"/>
      <c r="AM233" s="6"/>
    </row>
    <row r="234" spans="2:39" ht="15" thickBot="1" x14ac:dyDescent="0.35">
      <c r="B234" s="20"/>
      <c r="C234" s="13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0"/>
      <c r="R234" s="13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6"/>
      <c r="AJ234" s="6"/>
      <c r="AK234" s="6"/>
      <c r="AL234" s="6"/>
      <c r="AM234" s="6"/>
    </row>
    <row r="235" spans="2:39" ht="15" thickBot="1" x14ac:dyDescent="0.35">
      <c r="B235" s="18"/>
      <c r="C235" s="12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8"/>
      <c r="R235" s="12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6"/>
      <c r="AJ235" s="6"/>
      <c r="AK235" s="6"/>
      <c r="AL235" s="6"/>
      <c r="AM235" s="6"/>
    </row>
    <row r="236" spans="2:39" ht="15" thickBot="1" x14ac:dyDescent="0.35">
      <c r="B236" s="20"/>
      <c r="C236" s="13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0"/>
      <c r="R236" s="13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6"/>
      <c r="AJ236" s="6"/>
      <c r="AK236" s="6"/>
      <c r="AL236" s="6"/>
      <c r="AM236" s="6"/>
    </row>
    <row r="237" spans="2:39" ht="15" thickBot="1" x14ac:dyDescent="0.35">
      <c r="B237" s="18"/>
      <c r="C237" s="12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8"/>
      <c r="R237" s="12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6"/>
      <c r="AJ237" s="6"/>
      <c r="AK237" s="6"/>
      <c r="AL237" s="6"/>
      <c r="AM237" s="6"/>
    </row>
    <row r="238" spans="2:39" ht="15" thickBot="1" x14ac:dyDescent="0.35">
      <c r="B238" s="20"/>
      <c r="C238" s="13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0"/>
      <c r="R238" s="13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6"/>
      <c r="AJ238" s="6"/>
      <c r="AK238" s="6"/>
      <c r="AL238" s="6"/>
      <c r="AM238" s="6"/>
    </row>
    <row r="239" spans="2:39" ht="15" thickBot="1" x14ac:dyDescent="0.35">
      <c r="B239" s="18"/>
      <c r="C239" s="12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8"/>
      <c r="R239" s="12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6"/>
      <c r="AJ239" s="6"/>
      <c r="AK239" s="6"/>
      <c r="AL239" s="6"/>
      <c r="AM239" s="6"/>
    </row>
    <row r="240" spans="2:39" ht="15" thickBot="1" x14ac:dyDescent="0.35">
      <c r="B240" s="20"/>
      <c r="C240" s="13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0"/>
      <c r="R240" s="13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6"/>
      <c r="AJ240" s="6"/>
      <c r="AK240" s="6"/>
      <c r="AL240" s="6"/>
      <c r="AM240" s="6"/>
    </row>
    <row r="241" spans="2:39" ht="15" thickBot="1" x14ac:dyDescent="0.35">
      <c r="B241" s="18"/>
      <c r="C241" s="12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8"/>
      <c r="R241" s="12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6"/>
      <c r="AJ241" s="6"/>
      <c r="AK241" s="6"/>
      <c r="AL241" s="6"/>
      <c r="AM241" s="6"/>
    </row>
    <row r="242" spans="2:39" ht="15" thickBot="1" x14ac:dyDescent="0.35">
      <c r="B242" s="20"/>
      <c r="C242" s="13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0"/>
      <c r="R242" s="13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  <c r="AH242" s="21"/>
      <c r="AI242" s="6"/>
      <c r="AJ242" s="6"/>
      <c r="AK242" s="6"/>
      <c r="AL242" s="6"/>
      <c r="AM242" s="6"/>
    </row>
    <row r="243" spans="2:39" ht="15" thickBot="1" x14ac:dyDescent="0.35">
      <c r="B243" s="18"/>
      <c r="C243" s="12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8"/>
      <c r="R243" s="12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6"/>
      <c r="AJ243" s="6"/>
      <c r="AK243" s="6"/>
      <c r="AL243" s="6"/>
      <c r="AM243" s="6"/>
    </row>
    <row r="244" spans="2:39" ht="15" thickBot="1" x14ac:dyDescent="0.35">
      <c r="B244" s="20"/>
      <c r="C244" s="13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0"/>
      <c r="R244" s="13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6"/>
      <c r="AJ244" s="6"/>
      <c r="AK244" s="6"/>
      <c r="AL244" s="6"/>
      <c r="AM244" s="6"/>
    </row>
    <row r="245" spans="2:39" ht="15" thickBot="1" x14ac:dyDescent="0.35">
      <c r="B245" s="18"/>
      <c r="C245" s="12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8"/>
      <c r="R245" s="12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6"/>
      <c r="AJ245" s="6"/>
      <c r="AK245" s="6"/>
      <c r="AL245" s="6"/>
      <c r="AM245" s="6"/>
    </row>
    <row r="246" spans="2:39" ht="15" thickBot="1" x14ac:dyDescent="0.35">
      <c r="B246" s="20"/>
      <c r="C246" s="13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0"/>
      <c r="R246" s="13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  <c r="AH246" s="21"/>
      <c r="AI246" s="6"/>
      <c r="AJ246" s="6"/>
      <c r="AK246" s="6"/>
      <c r="AL246" s="6"/>
      <c r="AM246" s="6"/>
    </row>
    <row r="247" spans="2:39" ht="15" thickBot="1" x14ac:dyDescent="0.35">
      <c r="B247" s="18"/>
      <c r="C247" s="12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8"/>
      <c r="R247" s="12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6"/>
      <c r="AJ247" s="6"/>
      <c r="AK247" s="6"/>
      <c r="AL247" s="6"/>
      <c r="AM247" s="6"/>
    </row>
    <row r="248" spans="2:39" ht="15" thickBot="1" x14ac:dyDescent="0.35">
      <c r="B248" s="20"/>
      <c r="C248" s="13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0"/>
      <c r="R248" s="13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  <c r="AH248" s="21"/>
      <c r="AI248" s="6"/>
      <c r="AJ248" s="6"/>
      <c r="AK248" s="6"/>
      <c r="AL248" s="6"/>
      <c r="AM248" s="6"/>
    </row>
    <row r="249" spans="2:39" ht="15" thickBot="1" x14ac:dyDescent="0.35">
      <c r="B249" s="18"/>
      <c r="C249" s="12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8"/>
      <c r="R249" s="12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6"/>
      <c r="AJ249" s="6"/>
      <c r="AK249" s="6"/>
      <c r="AL249" s="6"/>
      <c r="AM249" s="6"/>
    </row>
    <row r="250" spans="2:39" ht="15" thickBot="1" x14ac:dyDescent="0.35">
      <c r="B250" s="20"/>
      <c r="C250" s="13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0"/>
      <c r="R250" s="13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6"/>
      <c r="AJ250" s="6"/>
      <c r="AK250" s="6"/>
      <c r="AL250" s="6"/>
      <c r="AM250" s="6"/>
    </row>
    <row r="251" spans="2:39" ht="15" thickBot="1" x14ac:dyDescent="0.35">
      <c r="B251" s="18"/>
      <c r="C251" s="12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8"/>
      <c r="R251" s="12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6"/>
      <c r="AJ251" s="6"/>
      <c r="AK251" s="6"/>
      <c r="AL251" s="6"/>
      <c r="AM251" s="6"/>
    </row>
    <row r="252" spans="2:39" ht="15" thickBot="1" x14ac:dyDescent="0.35">
      <c r="B252" s="20"/>
      <c r="C252" s="13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0"/>
      <c r="R252" s="13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6"/>
      <c r="AJ252" s="6"/>
      <c r="AK252" s="6"/>
      <c r="AL252" s="6"/>
      <c r="AM252" s="6"/>
    </row>
    <row r="253" spans="2:39" ht="15" thickBot="1" x14ac:dyDescent="0.35">
      <c r="B253" s="18"/>
      <c r="C253" s="12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8"/>
      <c r="R253" s="12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6"/>
      <c r="AJ253" s="6"/>
      <c r="AK253" s="6"/>
      <c r="AL253" s="6"/>
      <c r="AM253" s="6"/>
    </row>
    <row r="254" spans="2:39" ht="15" thickBot="1" x14ac:dyDescent="0.35">
      <c r="B254" s="20"/>
      <c r="C254" s="13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0"/>
      <c r="R254" s="13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21"/>
      <c r="AI254" s="6"/>
      <c r="AJ254" s="6"/>
      <c r="AK254" s="6"/>
      <c r="AL254" s="6"/>
      <c r="AM254" s="6"/>
    </row>
    <row r="255" spans="2:39" ht="15" thickBot="1" x14ac:dyDescent="0.35">
      <c r="B255" s="18"/>
      <c r="C255" s="12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8"/>
      <c r="R255" s="12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6"/>
      <c r="AJ255" s="6"/>
      <c r="AK255" s="6"/>
      <c r="AL255" s="6"/>
      <c r="AM255" s="6"/>
    </row>
    <row r="256" spans="2:39" ht="15" thickBot="1" x14ac:dyDescent="0.35">
      <c r="B256" s="20"/>
      <c r="C256" s="13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0"/>
      <c r="R256" s="13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6"/>
      <c r="AJ256" s="6"/>
      <c r="AK256" s="6"/>
      <c r="AL256" s="6"/>
      <c r="AM256" s="6"/>
    </row>
    <row r="257" spans="2:39" ht="15" thickBot="1" x14ac:dyDescent="0.35">
      <c r="B257" s="18"/>
      <c r="C257" s="12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8"/>
      <c r="R257" s="12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6"/>
      <c r="AJ257" s="6"/>
      <c r="AK257" s="6"/>
      <c r="AL257" s="6"/>
      <c r="AM257" s="6"/>
    </row>
    <row r="258" spans="2:39" ht="15" thickBot="1" x14ac:dyDescent="0.35">
      <c r="B258" s="20"/>
      <c r="C258" s="13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0"/>
      <c r="R258" s="13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6"/>
      <c r="AJ258" s="6"/>
      <c r="AK258" s="6"/>
      <c r="AL258" s="6"/>
      <c r="AM258" s="6"/>
    </row>
    <row r="259" spans="2:39" ht="15" thickBot="1" x14ac:dyDescent="0.35">
      <c r="B259" s="18"/>
      <c r="C259" s="12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8"/>
      <c r="R259" s="12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6"/>
      <c r="AJ259" s="6"/>
      <c r="AK259" s="6"/>
      <c r="AL259" s="6"/>
      <c r="AM259" s="6"/>
    </row>
    <row r="260" spans="2:39" ht="15" thickBot="1" x14ac:dyDescent="0.35">
      <c r="B260" s="20"/>
      <c r="C260" s="13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0"/>
      <c r="R260" s="13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21"/>
      <c r="AI260" s="6"/>
      <c r="AJ260" s="6"/>
      <c r="AK260" s="6"/>
      <c r="AL260" s="6"/>
      <c r="AM260" s="6"/>
    </row>
    <row r="261" spans="2:39" ht="15" thickBot="1" x14ac:dyDescent="0.35">
      <c r="B261" s="18"/>
      <c r="C261" s="12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8"/>
      <c r="R261" s="12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6"/>
      <c r="AJ261" s="6"/>
      <c r="AK261" s="6"/>
      <c r="AL261" s="6"/>
      <c r="AM261" s="6"/>
    </row>
    <row r="262" spans="2:39" ht="15" thickBot="1" x14ac:dyDescent="0.35">
      <c r="B262" s="20"/>
      <c r="C262" s="13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0"/>
      <c r="R262" s="13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21"/>
      <c r="AI262" s="6"/>
      <c r="AJ262" s="6"/>
      <c r="AK262" s="6"/>
      <c r="AL262" s="6"/>
      <c r="AM262" s="6"/>
    </row>
    <row r="263" spans="2:39" ht="15" thickBot="1" x14ac:dyDescent="0.35">
      <c r="B263" s="18"/>
      <c r="C263" s="12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8"/>
      <c r="R263" s="12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6"/>
      <c r="AJ263" s="6"/>
      <c r="AK263" s="6"/>
      <c r="AL263" s="6"/>
      <c r="AM263" s="6"/>
    </row>
    <row r="264" spans="2:39" ht="15" thickBot="1" x14ac:dyDescent="0.35">
      <c r="B264" s="20"/>
      <c r="C264" s="13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0"/>
      <c r="R264" s="13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21"/>
      <c r="AI264" s="6"/>
      <c r="AJ264" s="6"/>
      <c r="AK264" s="6"/>
      <c r="AL264" s="6"/>
      <c r="AM264" s="6"/>
    </row>
    <row r="265" spans="2:39" ht="15" thickBot="1" x14ac:dyDescent="0.35">
      <c r="B265" s="18"/>
      <c r="C265" s="12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8"/>
      <c r="R265" s="12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6"/>
      <c r="AJ265" s="6"/>
      <c r="AK265" s="6"/>
      <c r="AL265" s="6"/>
      <c r="AM265" s="6"/>
    </row>
    <row r="266" spans="2:39" ht="15" thickBot="1" x14ac:dyDescent="0.35">
      <c r="B266" s="20"/>
      <c r="C266" s="13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0"/>
      <c r="R266" s="13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21"/>
      <c r="AI266" s="6"/>
      <c r="AJ266" s="6"/>
      <c r="AK266" s="6"/>
      <c r="AL266" s="6"/>
      <c r="AM266" s="6"/>
    </row>
    <row r="267" spans="2:39" ht="15" thickBot="1" x14ac:dyDescent="0.35">
      <c r="B267" s="18"/>
      <c r="C267" s="12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8"/>
      <c r="R267" s="12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6"/>
      <c r="AJ267" s="6"/>
      <c r="AK267" s="6"/>
      <c r="AL267" s="6"/>
      <c r="AM267" s="6"/>
    </row>
    <row r="268" spans="2:39" ht="15" thickBot="1" x14ac:dyDescent="0.35">
      <c r="B268" s="20"/>
      <c r="C268" s="13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0"/>
      <c r="R268" s="13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6"/>
      <c r="AJ268" s="6"/>
      <c r="AK268" s="6"/>
      <c r="AL268" s="6"/>
      <c r="AM268" s="6"/>
    </row>
    <row r="269" spans="2:39" ht="15" thickBot="1" x14ac:dyDescent="0.35">
      <c r="B269" s="18"/>
      <c r="C269" s="12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8"/>
      <c r="R269" s="12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6"/>
      <c r="AJ269" s="6"/>
      <c r="AK269" s="6"/>
      <c r="AL269" s="6"/>
      <c r="AM269" s="6"/>
    </row>
    <row r="270" spans="2:39" ht="15" thickBot="1" x14ac:dyDescent="0.35">
      <c r="B270" s="20"/>
      <c r="C270" s="13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0"/>
      <c r="R270" s="13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6"/>
      <c r="AJ270" s="6"/>
      <c r="AK270" s="6"/>
      <c r="AL270" s="6"/>
      <c r="AM270" s="6"/>
    </row>
    <row r="271" spans="2:39" ht="15" thickBot="1" x14ac:dyDescent="0.35">
      <c r="B271" s="18"/>
      <c r="C271" s="12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8"/>
      <c r="R271" s="12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6"/>
      <c r="AJ271" s="6"/>
      <c r="AK271" s="6"/>
      <c r="AL271" s="6"/>
      <c r="AM271" s="6"/>
    </row>
    <row r="272" spans="2:39" ht="15" thickBot="1" x14ac:dyDescent="0.35">
      <c r="B272" s="20"/>
      <c r="C272" s="13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0"/>
      <c r="R272" s="13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6"/>
      <c r="AJ272" s="6"/>
      <c r="AK272" s="6"/>
      <c r="AL272" s="6"/>
      <c r="AM272" s="6"/>
    </row>
    <row r="273" spans="2:39" ht="15" thickBot="1" x14ac:dyDescent="0.35">
      <c r="B273" s="18"/>
      <c r="C273" s="12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8"/>
      <c r="R273" s="12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6"/>
      <c r="AJ273" s="6"/>
      <c r="AK273" s="6"/>
      <c r="AL273" s="6"/>
      <c r="AM273" s="6"/>
    </row>
    <row r="274" spans="2:39" ht="15" thickBot="1" x14ac:dyDescent="0.35">
      <c r="B274" s="20"/>
      <c r="C274" s="13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0"/>
      <c r="R274" s="13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6"/>
      <c r="AJ274" s="6"/>
      <c r="AK274" s="6"/>
      <c r="AL274" s="6"/>
      <c r="AM274" s="6"/>
    </row>
    <row r="275" spans="2:39" ht="15" thickBot="1" x14ac:dyDescent="0.35">
      <c r="B275" s="18"/>
      <c r="C275" s="12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8"/>
      <c r="R275" s="12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6"/>
      <c r="AJ275" s="6"/>
      <c r="AK275" s="6"/>
      <c r="AL275" s="6"/>
      <c r="AM275" s="6"/>
    </row>
    <row r="276" spans="2:39" ht="15" thickBot="1" x14ac:dyDescent="0.35">
      <c r="B276" s="20"/>
      <c r="C276" s="13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0"/>
      <c r="R276" s="13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6"/>
      <c r="AJ276" s="6"/>
      <c r="AK276" s="6"/>
      <c r="AL276" s="6"/>
      <c r="AM276" s="6"/>
    </row>
    <row r="277" spans="2:39" ht="15" thickBot="1" x14ac:dyDescent="0.35">
      <c r="B277" s="18"/>
      <c r="C277" s="12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8"/>
      <c r="R277" s="12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6"/>
      <c r="AJ277" s="6"/>
      <c r="AK277" s="6"/>
      <c r="AL277" s="6"/>
      <c r="AM277" s="6"/>
    </row>
    <row r="278" spans="2:39" ht="15" thickBot="1" x14ac:dyDescent="0.35">
      <c r="B278" s="20"/>
      <c r="C278" s="13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0"/>
      <c r="R278" s="13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6"/>
      <c r="AJ278" s="6"/>
      <c r="AK278" s="6"/>
      <c r="AL278" s="6"/>
      <c r="AM278" s="6"/>
    </row>
    <row r="279" spans="2:39" ht="15" thickBot="1" x14ac:dyDescent="0.35">
      <c r="B279" s="18"/>
      <c r="C279" s="12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8"/>
      <c r="R279" s="12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6"/>
      <c r="AJ279" s="6"/>
      <c r="AK279" s="6"/>
      <c r="AL279" s="6"/>
      <c r="AM279" s="6"/>
    </row>
    <row r="280" spans="2:39" ht="15" thickBot="1" x14ac:dyDescent="0.35">
      <c r="B280" s="20"/>
      <c r="C280" s="13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0"/>
      <c r="R280" s="13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6"/>
      <c r="AJ280" s="6"/>
      <c r="AK280" s="6"/>
      <c r="AL280" s="6"/>
      <c r="AM280" s="6"/>
    </row>
    <row r="281" spans="2:39" ht="15" thickBot="1" x14ac:dyDescent="0.35">
      <c r="B281" s="18"/>
      <c r="C281" s="12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8"/>
      <c r="R281" s="12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6"/>
      <c r="AJ281" s="6"/>
      <c r="AK281" s="6"/>
      <c r="AL281" s="6"/>
      <c r="AM281" s="6"/>
    </row>
    <row r="282" spans="2:39" ht="15" thickBot="1" x14ac:dyDescent="0.35">
      <c r="B282" s="20"/>
      <c r="C282" s="13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0"/>
      <c r="R282" s="13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6"/>
      <c r="AJ282" s="6"/>
      <c r="AK282" s="6"/>
      <c r="AL282" s="6"/>
      <c r="AM282" s="6"/>
    </row>
    <row r="283" spans="2:39" ht="15" thickBot="1" x14ac:dyDescent="0.35">
      <c r="B283" s="18"/>
      <c r="C283" s="12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8"/>
      <c r="R283" s="12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6"/>
      <c r="AJ283" s="6"/>
      <c r="AK283" s="6"/>
      <c r="AL283" s="6"/>
      <c r="AM283" s="6"/>
    </row>
    <row r="284" spans="2:39" ht="15" thickBot="1" x14ac:dyDescent="0.35">
      <c r="B284" s="20"/>
      <c r="C284" s="13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0"/>
      <c r="R284" s="13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6"/>
      <c r="AJ284" s="6"/>
      <c r="AK284" s="6"/>
      <c r="AL284" s="6"/>
      <c r="AM284" s="6"/>
    </row>
    <row r="285" spans="2:39" ht="15" thickBot="1" x14ac:dyDescent="0.35">
      <c r="B285" s="18"/>
      <c r="C285" s="12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8"/>
      <c r="R285" s="12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6"/>
      <c r="AJ285" s="6"/>
      <c r="AK285" s="6"/>
      <c r="AL285" s="6"/>
      <c r="AM285" s="6"/>
    </row>
    <row r="286" spans="2:39" ht="15" thickBot="1" x14ac:dyDescent="0.35">
      <c r="B286" s="20"/>
      <c r="C286" s="13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0"/>
      <c r="R286" s="13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6"/>
      <c r="AJ286" s="6"/>
      <c r="AK286" s="6"/>
      <c r="AL286" s="6"/>
      <c r="AM286" s="6"/>
    </row>
    <row r="287" spans="2:39" ht="15" thickBot="1" x14ac:dyDescent="0.35">
      <c r="B287" s="18"/>
      <c r="C287" s="12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8"/>
      <c r="R287" s="12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6"/>
      <c r="AJ287" s="6"/>
      <c r="AK287" s="6"/>
      <c r="AL287" s="6"/>
      <c r="AM287" s="6"/>
    </row>
    <row r="288" spans="2:39" ht="15" thickBot="1" x14ac:dyDescent="0.35">
      <c r="B288" s="20"/>
      <c r="C288" s="13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0"/>
      <c r="R288" s="13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6"/>
      <c r="AJ288" s="6"/>
      <c r="AK288" s="6"/>
      <c r="AL288" s="6"/>
      <c r="AM288" s="6"/>
    </row>
    <row r="289" spans="2:39" ht="15" thickBot="1" x14ac:dyDescent="0.35">
      <c r="B289" s="18"/>
      <c r="C289" s="12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8"/>
      <c r="R289" s="12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6"/>
      <c r="AJ289" s="6"/>
      <c r="AK289" s="6"/>
      <c r="AL289" s="6"/>
      <c r="AM289" s="6"/>
    </row>
    <row r="290" spans="2:39" ht="15" thickBot="1" x14ac:dyDescent="0.35">
      <c r="B290" s="20"/>
      <c r="C290" s="13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0"/>
      <c r="R290" s="13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6"/>
      <c r="AJ290" s="6"/>
      <c r="AK290" s="6"/>
      <c r="AL290" s="6"/>
      <c r="AM290" s="6"/>
    </row>
    <row r="291" spans="2:39" ht="15" thickBot="1" x14ac:dyDescent="0.35">
      <c r="B291" s="18"/>
      <c r="C291" s="12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8"/>
      <c r="R291" s="12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6"/>
      <c r="AJ291" s="6"/>
      <c r="AK291" s="6"/>
      <c r="AL291" s="6"/>
      <c r="AM291" s="6"/>
    </row>
    <row r="292" spans="2:39" ht="15" thickBot="1" x14ac:dyDescent="0.35">
      <c r="B292" s="20"/>
      <c r="C292" s="13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0"/>
      <c r="R292" s="13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6"/>
      <c r="AJ292" s="6"/>
      <c r="AK292" s="6"/>
      <c r="AL292" s="6"/>
      <c r="AM292" s="6"/>
    </row>
    <row r="293" spans="2:39" ht="15" thickBot="1" x14ac:dyDescent="0.35">
      <c r="B293" s="18"/>
      <c r="C293" s="12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8"/>
      <c r="R293" s="12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6"/>
      <c r="AJ293" s="6"/>
      <c r="AK293" s="6"/>
      <c r="AL293" s="6"/>
      <c r="AM293" s="6"/>
    </row>
    <row r="294" spans="2:39" ht="15" thickBot="1" x14ac:dyDescent="0.35">
      <c r="B294" s="20"/>
      <c r="C294" s="13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0"/>
      <c r="R294" s="13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  <c r="AH294" s="21"/>
      <c r="AI294" s="6"/>
      <c r="AJ294" s="6"/>
      <c r="AK294" s="6"/>
      <c r="AL294" s="6"/>
      <c r="AM294" s="6"/>
    </row>
    <row r="295" spans="2:39" ht="15" thickBot="1" x14ac:dyDescent="0.35">
      <c r="B295" s="18"/>
      <c r="C295" s="12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8"/>
      <c r="R295" s="12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6"/>
      <c r="AJ295" s="6"/>
      <c r="AK295" s="6"/>
      <c r="AL295" s="6"/>
      <c r="AM295" s="6"/>
    </row>
    <row r="296" spans="2:39" ht="15" thickBot="1" x14ac:dyDescent="0.35">
      <c r="B296" s="20"/>
      <c r="C296" s="13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0"/>
      <c r="R296" s="13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21"/>
      <c r="AI296" s="6"/>
      <c r="AJ296" s="6"/>
      <c r="AK296" s="6"/>
      <c r="AL296" s="6"/>
      <c r="AM296" s="6"/>
    </row>
    <row r="297" spans="2:39" ht="15" thickBot="1" x14ac:dyDescent="0.35">
      <c r="B297" s="18"/>
      <c r="C297" s="12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8"/>
      <c r="R297" s="12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6"/>
      <c r="AJ297" s="6"/>
      <c r="AK297" s="6"/>
      <c r="AL297" s="6"/>
      <c r="AM297" s="6"/>
    </row>
    <row r="298" spans="2:39" ht="15" thickBot="1" x14ac:dyDescent="0.35">
      <c r="B298" s="20"/>
      <c r="C298" s="13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0"/>
      <c r="R298" s="13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21"/>
      <c r="AI298" s="6"/>
      <c r="AJ298" s="6"/>
      <c r="AK298" s="6"/>
      <c r="AL298" s="6"/>
      <c r="AM298" s="6"/>
    </row>
    <row r="299" spans="2:39" ht="15" thickBot="1" x14ac:dyDescent="0.35">
      <c r="B299" s="18"/>
      <c r="C299" s="12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8"/>
      <c r="R299" s="12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6"/>
      <c r="AJ299" s="6"/>
      <c r="AK299" s="6"/>
      <c r="AL299" s="6"/>
      <c r="AM299" s="6"/>
    </row>
    <row r="300" spans="2:39" ht="15" thickBot="1" x14ac:dyDescent="0.35">
      <c r="B300" s="20"/>
      <c r="C300" s="13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0"/>
      <c r="R300" s="13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6"/>
      <c r="AJ300" s="6"/>
      <c r="AK300" s="6"/>
      <c r="AL300" s="6"/>
      <c r="AM300" s="6"/>
    </row>
    <row r="301" spans="2:39" ht="15" thickBot="1" x14ac:dyDescent="0.35">
      <c r="B301" s="18"/>
      <c r="C301" s="12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8"/>
      <c r="R301" s="12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6"/>
      <c r="AJ301" s="6"/>
      <c r="AK301" s="6"/>
      <c r="AL301" s="6"/>
      <c r="AM301" s="6"/>
    </row>
    <row r="302" spans="2:39" ht="15" thickBot="1" x14ac:dyDescent="0.35">
      <c r="B302" s="20"/>
      <c r="C302" s="13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0"/>
      <c r="R302" s="13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21"/>
      <c r="AI302" s="6"/>
      <c r="AJ302" s="6"/>
      <c r="AK302" s="6"/>
      <c r="AL302" s="6"/>
      <c r="AM302" s="6"/>
    </row>
    <row r="303" spans="2:39" ht="15" thickBot="1" x14ac:dyDescent="0.35">
      <c r="B303" s="18"/>
      <c r="C303" s="12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8"/>
      <c r="R303" s="12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6"/>
      <c r="AJ303" s="6"/>
      <c r="AK303" s="6"/>
      <c r="AL303" s="6"/>
      <c r="AM303" s="6"/>
    </row>
    <row r="304" spans="2:39" ht="15" thickBot="1" x14ac:dyDescent="0.35">
      <c r="B304" s="20"/>
      <c r="C304" s="13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0"/>
      <c r="R304" s="13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21"/>
      <c r="AI304" s="6"/>
      <c r="AJ304" s="6"/>
      <c r="AK304" s="6"/>
      <c r="AL304" s="6"/>
      <c r="AM304" s="6"/>
    </row>
    <row r="305" spans="2:39" ht="15" thickBot="1" x14ac:dyDescent="0.35">
      <c r="B305" s="18"/>
      <c r="C305" s="12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8"/>
      <c r="R305" s="12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6"/>
      <c r="AJ305" s="6"/>
      <c r="AK305" s="6"/>
      <c r="AL305" s="6"/>
      <c r="AM305" s="6"/>
    </row>
    <row r="306" spans="2:39" ht="15" thickBot="1" x14ac:dyDescent="0.35">
      <c r="B306" s="20"/>
      <c r="C306" s="13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0"/>
      <c r="R306" s="13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  <c r="AH306" s="21"/>
      <c r="AI306" s="6"/>
      <c r="AJ306" s="6"/>
      <c r="AK306" s="6"/>
      <c r="AL306" s="6"/>
      <c r="AM306" s="6"/>
    </row>
    <row r="307" spans="2:39" ht="15" thickBot="1" x14ac:dyDescent="0.35">
      <c r="B307" s="18"/>
      <c r="C307" s="12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8"/>
      <c r="R307" s="12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6"/>
      <c r="AJ307" s="6"/>
      <c r="AK307" s="6"/>
      <c r="AL307" s="6"/>
      <c r="AM307" s="6"/>
    </row>
    <row r="308" spans="2:39" ht="15" thickBot="1" x14ac:dyDescent="0.35">
      <c r="B308" s="20"/>
      <c r="C308" s="13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0"/>
      <c r="R308" s="13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6"/>
      <c r="AJ308" s="6"/>
      <c r="AK308" s="6"/>
      <c r="AL308" s="6"/>
      <c r="AM308" s="6"/>
    </row>
    <row r="309" spans="2:39" ht="15" thickBot="1" x14ac:dyDescent="0.35">
      <c r="B309" s="18"/>
      <c r="C309" s="12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8"/>
      <c r="R309" s="12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6"/>
      <c r="AJ309" s="6"/>
      <c r="AK309" s="6"/>
      <c r="AL309" s="6"/>
      <c r="AM309" s="6"/>
    </row>
    <row r="310" spans="2:39" ht="15" thickBot="1" x14ac:dyDescent="0.35">
      <c r="B310" s="20"/>
      <c r="C310" s="13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0"/>
      <c r="R310" s="13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6"/>
      <c r="AJ310" s="6"/>
      <c r="AK310" s="6"/>
      <c r="AL310" s="6"/>
      <c r="AM310" s="6"/>
    </row>
    <row r="311" spans="2:39" ht="15" thickBot="1" x14ac:dyDescent="0.35">
      <c r="B311" s="18"/>
      <c r="C311" s="12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8"/>
      <c r="R311" s="12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6"/>
      <c r="AJ311" s="6"/>
      <c r="AK311" s="6"/>
      <c r="AL311" s="6"/>
      <c r="AM311" s="6"/>
    </row>
    <row r="312" spans="2:39" ht="15" thickBot="1" x14ac:dyDescent="0.35">
      <c r="B312" s="20"/>
      <c r="C312" s="13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0"/>
      <c r="R312" s="13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6"/>
      <c r="AJ312" s="6"/>
      <c r="AK312" s="6"/>
      <c r="AL312" s="6"/>
      <c r="AM312" s="6"/>
    </row>
    <row r="313" spans="2:39" ht="15" thickBot="1" x14ac:dyDescent="0.35">
      <c r="B313" s="18"/>
      <c r="C313" s="12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8"/>
      <c r="R313" s="12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6"/>
      <c r="AJ313" s="6"/>
      <c r="AK313" s="6"/>
      <c r="AL313" s="6"/>
      <c r="AM313" s="6"/>
    </row>
    <row r="314" spans="2:39" ht="15" thickBot="1" x14ac:dyDescent="0.35">
      <c r="B314" s="20"/>
      <c r="C314" s="13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0"/>
      <c r="R314" s="13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6"/>
      <c r="AJ314" s="6"/>
      <c r="AK314" s="6"/>
      <c r="AL314" s="6"/>
      <c r="AM314" s="6"/>
    </row>
    <row r="315" spans="2:39" ht="15" thickBot="1" x14ac:dyDescent="0.35">
      <c r="B315" s="18"/>
      <c r="C315" s="12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8"/>
      <c r="R315" s="12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6"/>
      <c r="AJ315" s="6"/>
      <c r="AK315" s="6"/>
      <c r="AL315" s="6"/>
      <c r="AM315" s="6"/>
    </row>
    <row r="316" spans="2:39" ht="15" thickBot="1" x14ac:dyDescent="0.35">
      <c r="B316" s="20"/>
      <c r="C316" s="13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0"/>
      <c r="R316" s="13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6"/>
      <c r="AJ316" s="6"/>
      <c r="AK316" s="6"/>
      <c r="AL316" s="6"/>
      <c r="AM316" s="6"/>
    </row>
    <row r="317" spans="2:39" ht="15" thickBot="1" x14ac:dyDescent="0.35">
      <c r="B317" s="18"/>
      <c r="C317" s="12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8"/>
      <c r="R317" s="12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6"/>
      <c r="AJ317" s="6"/>
      <c r="AK317" s="6"/>
      <c r="AL317" s="6"/>
      <c r="AM317" s="6"/>
    </row>
    <row r="318" spans="2:39" ht="15" thickBot="1" x14ac:dyDescent="0.35">
      <c r="B318" s="20"/>
      <c r="C318" s="13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0"/>
      <c r="R318" s="13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6"/>
      <c r="AJ318" s="6"/>
      <c r="AK318" s="6"/>
      <c r="AL318" s="6"/>
      <c r="AM318" s="6"/>
    </row>
    <row r="319" spans="2:39" ht="15" thickBot="1" x14ac:dyDescent="0.35">
      <c r="B319" s="18"/>
      <c r="C319" s="12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8"/>
      <c r="R319" s="12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6"/>
      <c r="AJ319" s="6"/>
      <c r="AK319" s="6"/>
      <c r="AL319" s="6"/>
      <c r="AM319" s="6"/>
    </row>
    <row r="320" spans="2:39" ht="15" thickBot="1" x14ac:dyDescent="0.35">
      <c r="B320" s="20"/>
      <c r="C320" s="13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0"/>
      <c r="R320" s="13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6"/>
      <c r="AJ320" s="6"/>
      <c r="AK320" s="6"/>
      <c r="AL320" s="6"/>
      <c r="AM320" s="6"/>
    </row>
    <row r="321" spans="2:39" ht="15" thickBot="1" x14ac:dyDescent="0.35">
      <c r="B321" s="18"/>
      <c r="C321" s="12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8"/>
      <c r="R321" s="12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6"/>
      <c r="AJ321" s="6"/>
      <c r="AK321" s="6"/>
      <c r="AL321" s="6"/>
      <c r="AM321" s="6"/>
    </row>
    <row r="322" spans="2:39" ht="15" thickBot="1" x14ac:dyDescent="0.35">
      <c r="B322" s="20"/>
      <c r="C322" s="13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0"/>
      <c r="R322" s="13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6"/>
      <c r="AJ322" s="6"/>
      <c r="AK322" s="6"/>
      <c r="AL322" s="6"/>
      <c r="AM322" s="6"/>
    </row>
    <row r="323" spans="2:39" ht="15" thickBot="1" x14ac:dyDescent="0.35">
      <c r="B323" s="18"/>
      <c r="C323" s="12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8"/>
      <c r="R323" s="12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6"/>
      <c r="AJ323" s="6"/>
      <c r="AK323" s="6"/>
      <c r="AL323" s="6"/>
      <c r="AM323" s="6"/>
    </row>
    <row r="324" spans="2:39" ht="15" thickBot="1" x14ac:dyDescent="0.35">
      <c r="B324" s="20"/>
      <c r="C324" s="13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0"/>
      <c r="R324" s="13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6"/>
      <c r="AJ324" s="6"/>
      <c r="AK324" s="6"/>
      <c r="AL324" s="6"/>
      <c r="AM324" s="6"/>
    </row>
    <row r="325" spans="2:39" ht="15" thickBot="1" x14ac:dyDescent="0.35">
      <c r="B325" s="18"/>
      <c r="C325" s="12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8"/>
      <c r="R325" s="12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6"/>
      <c r="AJ325" s="6"/>
      <c r="AK325" s="6"/>
      <c r="AL325" s="6"/>
      <c r="AM325" s="6"/>
    </row>
    <row r="326" spans="2:39" ht="15" thickBot="1" x14ac:dyDescent="0.35">
      <c r="B326" s="20"/>
      <c r="C326" s="13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0"/>
      <c r="R326" s="13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6"/>
      <c r="AJ326" s="6"/>
      <c r="AK326" s="6"/>
      <c r="AL326" s="6"/>
      <c r="AM326" s="6"/>
    </row>
    <row r="327" spans="2:39" ht="15" thickBot="1" x14ac:dyDescent="0.35">
      <c r="B327" s="18"/>
      <c r="C327" s="12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8"/>
      <c r="R327" s="12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6"/>
      <c r="AJ327" s="6"/>
      <c r="AK327" s="6"/>
      <c r="AL327" s="6"/>
      <c r="AM327" s="6"/>
    </row>
    <row r="328" spans="2:39" ht="15" thickBot="1" x14ac:dyDescent="0.35">
      <c r="B328" s="20"/>
      <c r="C328" s="13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0"/>
      <c r="R328" s="13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6"/>
      <c r="AJ328" s="6"/>
      <c r="AK328" s="6"/>
      <c r="AL328" s="6"/>
      <c r="AM328" s="6"/>
    </row>
    <row r="329" spans="2:39" ht="15" thickBot="1" x14ac:dyDescent="0.35">
      <c r="B329" s="18"/>
      <c r="C329" s="12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8"/>
      <c r="R329" s="12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6"/>
      <c r="AJ329" s="6"/>
      <c r="AK329" s="6"/>
      <c r="AL329" s="6"/>
      <c r="AM329" s="6"/>
    </row>
    <row r="330" spans="2:39" ht="15" thickBot="1" x14ac:dyDescent="0.35">
      <c r="B330" s="20"/>
      <c r="C330" s="13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0"/>
      <c r="R330" s="13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6"/>
      <c r="AJ330" s="6"/>
      <c r="AK330" s="6"/>
      <c r="AL330" s="6"/>
      <c r="AM330" s="6"/>
    </row>
    <row r="331" spans="2:39" ht="15" thickBot="1" x14ac:dyDescent="0.35">
      <c r="B331" s="18"/>
      <c r="C331" s="12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8"/>
      <c r="R331" s="12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6"/>
      <c r="AJ331" s="6"/>
      <c r="AK331" s="6"/>
      <c r="AL331" s="6"/>
      <c r="AM331" s="6"/>
    </row>
    <row r="332" spans="2:39" ht="15" thickBot="1" x14ac:dyDescent="0.35">
      <c r="B332" s="20"/>
      <c r="C332" s="13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0"/>
      <c r="R332" s="13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6"/>
      <c r="AJ332" s="6"/>
      <c r="AK332" s="6"/>
      <c r="AL332" s="6"/>
      <c r="AM332" s="6"/>
    </row>
    <row r="333" spans="2:39" ht="15" thickBot="1" x14ac:dyDescent="0.35">
      <c r="B333" s="18"/>
      <c r="C333" s="12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8"/>
      <c r="R333" s="12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6"/>
      <c r="AJ333" s="6"/>
      <c r="AK333" s="6"/>
      <c r="AL333" s="6"/>
      <c r="AM333" s="6"/>
    </row>
    <row r="334" spans="2:39" ht="15" thickBot="1" x14ac:dyDescent="0.35">
      <c r="B334" s="20"/>
      <c r="C334" s="13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0"/>
      <c r="R334" s="13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6"/>
      <c r="AJ334" s="6"/>
      <c r="AK334" s="6"/>
      <c r="AL334" s="6"/>
      <c r="AM334" s="6"/>
    </row>
    <row r="335" spans="2:39" ht="15" thickBot="1" x14ac:dyDescent="0.35">
      <c r="B335" s="18"/>
      <c r="C335" s="12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8"/>
      <c r="R335" s="12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6"/>
      <c r="AJ335" s="6"/>
      <c r="AK335" s="6"/>
      <c r="AL335" s="6"/>
      <c r="AM335" s="6"/>
    </row>
    <row r="336" spans="2:39" ht="15" thickBot="1" x14ac:dyDescent="0.35">
      <c r="B336" s="20"/>
      <c r="C336" s="13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0"/>
      <c r="R336" s="13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6"/>
      <c r="AJ336" s="6"/>
      <c r="AK336" s="6"/>
      <c r="AL336" s="6"/>
      <c r="AM336" s="6"/>
    </row>
    <row r="337" spans="2:39" ht="15" thickBot="1" x14ac:dyDescent="0.35">
      <c r="B337" s="18"/>
      <c r="C337" s="12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8"/>
      <c r="R337" s="12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6"/>
      <c r="AJ337" s="6"/>
      <c r="AK337" s="6"/>
      <c r="AL337" s="6"/>
      <c r="AM337" s="6"/>
    </row>
    <row r="338" spans="2:39" ht="15" thickBot="1" x14ac:dyDescent="0.35">
      <c r="B338" s="20"/>
      <c r="C338" s="13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0"/>
      <c r="R338" s="13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6"/>
      <c r="AJ338" s="6"/>
      <c r="AK338" s="6"/>
      <c r="AL338" s="6"/>
      <c r="AM338" s="6"/>
    </row>
    <row r="339" spans="2:39" ht="15" thickBot="1" x14ac:dyDescent="0.35">
      <c r="B339" s="18"/>
      <c r="C339" s="12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8"/>
      <c r="R339" s="12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6"/>
      <c r="AJ339" s="6"/>
      <c r="AK339" s="6"/>
      <c r="AL339" s="6"/>
      <c r="AM339" s="6"/>
    </row>
    <row r="340" spans="2:39" ht="15" thickBot="1" x14ac:dyDescent="0.35">
      <c r="B340" s="20"/>
      <c r="C340" s="13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0"/>
      <c r="R340" s="13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6"/>
      <c r="AJ340" s="6"/>
      <c r="AK340" s="6"/>
      <c r="AL340" s="6"/>
      <c r="AM340" s="6"/>
    </row>
    <row r="341" spans="2:39" ht="15" thickBot="1" x14ac:dyDescent="0.35">
      <c r="B341" s="18"/>
      <c r="C341" s="12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8"/>
      <c r="R341" s="12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6"/>
      <c r="AJ341" s="6"/>
      <c r="AK341" s="6"/>
      <c r="AL341" s="6"/>
      <c r="AM341" s="6"/>
    </row>
    <row r="342" spans="2:39" ht="15" thickBot="1" x14ac:dyDescent="0.35">
      <c r="B342" s="20"/>
      <c r="C342" s="13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0"/>
      <c r="R342" s="13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6"/>
      <c r="AJ342" s="6"/>
      <c r="AK342" s="6"/>
      <c r="AL342" s="6"/>
      <c r="AM342" s="6"/>
    </row>
    <row r="343" spans="2:39" ht="15" thickBot="1" x14ac:dyDescent="0.35">
      <c r="B343" s="18"/>
      <c r="C343" s="12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8"/>
      <c r="R343" s="12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6"/>
      <c r="AJ343" s="6"/>
      <c r="AK343" s="6"/>
      <c r="AL343" s="6"/>
      <c r="AM343" s="6"/>
    </row>
    <row r="344" spans="2:39" ht="15" thickBot="1" x14ac:dyDescent="0.35">
      <c r="B344" s="20"/>
      <c r="C344" s="13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0"/>
      <c r="R344" s="13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6"/>
      <c r="AJ344" s="6"/>
      <c r="AK344" s="6"/>
      <c r="AL344" s="6"/>
      <c r="AM344" s="6"/>
    </row>
    <row r="345" spans="2:39" ht="15" thickBot="1" x14ac:dyDescent="0.35">
      <c r="B345" s="18"/>
      <c r="C345" s="12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8"/>
      <c r="R345" s="12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6"/>
      <c r="AJ345" s="6"/>
      <c r="AK345" s="6"/>
      <c r="AL345" s="6"/>
      <c r="AM345" s="6"/>
    </row>
    <row r="346" spans="2:39" ht="15" thickBot="1" x14ac:dyDescent="0.35">
      <c r="B346" s="20"/>
      <c r="C346" s="13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0"/>
      <c r="R346" s="13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6"/>
      <c r="AJ346" s="6"/>
      <c r="AK346" s="6"/>
      <c r="AL346" s="6"/>
      <c r="AM346" s="6"/>
    </row>
    <row r="347" spans="2:39" ht="15" thickBot="1" x14ac:dyDescent="0.35">
      <c r="B347" s="18"/>
      <c r="C347" s="12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8"/>
      <c r="R347" s="12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6"/>
      <c r="AJ347" s="6"/>
      <c r="AK347" s="6"/>
      <c r="AL347" s="6"/>
      <c r="AM347" s="6"/>
    </row>
    <row r="348" spans="2:39" ht="15" thickBot="1" x14ac:dyDescent="0.35">
      <c r="B348" s="20"/>
      <c r="C348" s="13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0"/>
      <c r="R348" s="13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6"/>
      <c r="AJ348" s="6"/>
      <c r="AK348" s="6"/>
      <c r="AL348" s="6"/>
      <c r="AM348" s="6"/>
    </row>
    <row r="349" spans="2:39" ht="15" thickBot="1" x14ac:dyDescent="0.35">
      <c r="B349" s="18"/>
      <c r="C349" s="12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8"/>
      <c r="R349" s="12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6"/>
      <c r="AJ349" s="6"/>
      <c r="AK349" s="6"/>
      <c r="AL349" s="6"/>
      <c r="AM349" s="6"/>
    </row>
    <row r="350" spans="2:39" ht="15" thickBot="1" x14ac:dyDescent="0.35">
      <c r="B350" s="20"/>
      <c r="C350" s="13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0"/>
      <c r="R350" s="13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6"/>
      <c r="AJ350" s="6"/>
      <c r="AK350" s="6"/>
      <c r="AL350" s="6"/>
      <c r="AM350" s="6"/>
    </row>
    <row r="351" spans="2:39" ht="15" thickBot="1" x14ac:dyDescent="0.35">
      <c r="B351" s="18"/>
      <c r="C351" s="12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8"/>
      <c r="R351" s="12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6"/>
      <c r="AJ351" s="6"/>
      <c r="AK351" s="6"/>
      <c r="AL351" s="6"/>
      <c r="AM351" s="6"/>
    </row>
    <row r="352" spans="2:39" ht="15" thickBot="1" x14ac:dyDescent="0.35">
      <c r="B352" s="20"/>
      <c r="C352" s="13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0"/>
      <c r="R352" s="13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6"/>
      <c r="AJ352" s="6"/>
      <c r="AK352" s="6"/>
      <c r="AL352" s="6"/>
      <c r="AM352" s="6"/>
    </row>
    <row r="353" spans="2:39" ht="15" thickBot="1" x14ac:dyDescent="0.35">
      <c r="B353" s="18"/>
      <c r="C353" s="12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8"/>
      <c r="R353" s="12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6"/>
      <c r="AJ353" s="6"/>
      <c r="AK353" s="6"/>
      <c r="AL353" s="6"/>
      <c r="AM353" s="6"/>
    </row>
    <row r="354" spans="2:39" ht="15" thickBot="1" x14ac:dyDescent="0.35">
      <c r="B354" s="20"/>
      <c r="C354" s="13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0"/>
      <c r="R354" s="13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6"/>
      <c r="AJ354" s="6"/>
      <c r="AK354" s="6"/>
      <c r="AL354" s="6"/>
      <c r="AM354" s="6"/>
    </row>
    <row r="355" spans="2:39" ht="15" thickBot="1" x14ac:dyDescent="0.35">
      <c r="B355" s="18"/>
      <c r="C355" s="12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8"/>
      <c r="R355" s="12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6"/>
      <c r="AJ355" s="6"/>
      <c r="AK355" s="6"/>
      <c r="AL355" s="6"/>
      <c r="AM355" s="6"/>
    </row>
    <row r="356" spans="2:39" ht="15" thickBot="1" x14ac:dyDescent="0.35">
      <c r="B356" s="20"/>
      <c r="C356" s="13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0"/>
      <c r="R356" s="13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6"/>
      <c r="AJ356" s="6"/>
      <c r="AK356" s="6"/>
      <c r="AL356" s="6"/>
      <c r="AM356" s="6"/>
    </row>
    <row r="357" spans="2:39" ht="15" thickBot="1" x14ac:dyDescent="0.35">
      <c r="B357" s="18"/>
      <c r="C357" s="12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8"/>
      <c r="R357" s="12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6"/>
      <c r="AJ357" s="6"/>
      <c r="AK357" s="6"/>
      <c r="AL357" s="6"/>
      <c r="AM357" s="6"/>
    </row>
    <row r="358" spans="2:39" ht="15" thickBot="1" x14ac:dyDescent="0.35">
      <c r="B358" s="20"/>
      <c r="C358" s="13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0"/>
      <c r="R358" s="13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6"/>
      <c r="AJ358" s="6"/>
      <c r="AK358" s="6"/>
      <c r="AL358" s="6"/>
      <c r="AM358" s="6"/>
    </row>
    <row r="359" spans="2:39" ht="15" thickBot="1" x14ac:dyDescent="0.35">
      <c r="B359" s="18"/>
      <c r="C359" s="12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8"/>
      <c r="R359" s="12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6"/>
      <c r="AJ359" s="6"/>
      <c r="AK359" s="6"/>
      <c r="AL359" s="6"/>
      <c r="AM359" s="6"/>
    </row>
    <row r="360" spans="2:39" ht="15" thickBot="1" x14ac:dyDescent="0.35">
      <c r="B360" s="20"/>
      <c r="C360" s="13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0"/>
      <c r="R360" s="13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6"/>
      <c r="AJ360" s="6"/>
      <c r="AK360" s="6"/>
      <c r="AL360" s="6"/>
      <c r="AM360" s="6"/>
    </row>
    <row r="361" spans="2:39" ht="15" thickBot="1" x14ac:dyDescent="0.35">
      <c r="B361" s="18"/>
      <c r="C361" s="12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8"/>
      <c r="R361" s="12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6"/>
      <c r="AJ361" s="6"/>
      <c r="AK361" s="6"/>
      <c r="AL361" s="6"/>
      <c r="AM361" s="6"/>
    </row>
    <row r="362" spans="2:39" ht="15" thickBot="1" x14ac:dyDescent="0.35">
      <c r="B362" s="20"/>
      <c r="C362" s="13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0"/>
      <c r="R362" s="13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6"/>
      <c r="AJ362" s="6"/>
      <c r="AK362" s="6"/>
      <c r="AL362" s="6"/>
      <c r="AM362" s="6"/>
    </row>
    <row r="363" spans="2:39" ht="15" thickBot="1" x14ac:dyDescent="0.35">
      <c r="B363" s="18"/>
      <c r="C363" s="12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8"/>
      <c r="R363" s="12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6"/>
      <c r="AJ363" s="6"/>
      <c r="AK363" s="6"/>
      <c r="AL363" s="6"/>
      <c r="AM363" s="6"/>
    </row>
    <row r="364" spans="2:39" ht="15" thickBot="1" x14ac:dyDescent="0.35">
      <c r="B364" s="20"/>
      <c r="C364" s="13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0"/>
      <c r="R364" s="13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6"/>
      <c r="AJ364" s="6"/>
      <c r="AK364" s="6"/>
      <c r="AL364" s="6"/>
      <c r="AM364" s="6"/>
    </row>
    <row r="365" spans="2:39" ht="15" thickBot="1" x14ac:dyDescent="0.35">
      <c r="B365" s="18"/>
      <c r="C365" s="12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8"/>
      <c r="R365" s="12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6"/>
      <c r="AJ365" s="6"/>
      <c r="AK365" s="6"/>
      <c r="AL365" s="6"/>
      <c r="AM365" s="6"/>
    </row>
    <row r="366" spans="2:39" ht="15" thickBot="1" x14ac:dyDescent="0.35">
      <c r="B366" s="20"/>
      <c r="C366" s="13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0"/>
      <c r="R366" s="13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6"/>
      <c r="AJ366" s="6"/>
      <c r="AK366" s="6"/>
      <c r="AL366" s="6"/>
      <c r="AM366" s="6"/>
    </row>
    <row r="367" spans="2:39" ht="15" thickBot="1" x14ac:dyDescent="0.35">
      <c r="B367" s="18"/>
      <c r="C367" s="12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8"/>
      <c r="R367" s="12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6"/>
      <c r="AJ367" s="6"/>
      <c r="AK367" s="6"/>
      <c r="AL367" s="6"/>
      <c r="AM367" s="6"/>
    </row>
    <row r="368" spans="2:39" ht="15" thickBot="1" x14ac:dyDescent="0.35">
      <c r="B368" s="20"/>
      <c r="C368" s="13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0"/>
      <c r="R368" s="13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6"/>
      <c r="AJ368" s="6"/>
      <c r="AK368" s="6"/>
      <c r="AL368" s="6"/>
      <c r="AM368" s="6"/>
    </row>
    <row r="369" spans="2:39" ht="15" thickBot="1" x14ac:dyDescent="0.35">
      <c r="B369" s="18"/>
      <c r="C369" s="12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8"/>
      <c r="R369" s="12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6"/>
      <c r="AJ369" s="6"/>
      <c r="AK369" s="6"/>
      <c r="AL369" s="6"/>
      <c r="AM369" s="6"/>
    </row>
    <row r="370" spans="2:39" ht="15" thickBot="1" x14ac:dyDescent="0.35">
      <c r="B370" s="20"/>
      <c r="C370" s="13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0"/>
      <c r="R370" s="13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6"/>
      <c r="AJ370" s="6"/>
      <c r="AK370" s="6"/>
      <c r="AL370" s="6"/>
      <c r="AM370" s="6"/>
    </row>
    <row r="371" spans="2:39" ht="15" thickBot="1" x14ac:dyDescent="0.35">
      <c r="B371" s="18"/>
      <c r="C371" s="12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8"/>
      <c r="R371" s="12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6"/>
      <c r="AJ371" s="6"/>
      <c r="AK371" s="6"/>
      <c r="AL371" s="6"/>
      <c r="AM371" s="6"/>
    </row>
    <row r="372" spans="2:39" ht="15" thickBot="1" x14ac:dyDescent="0.35">
      <c r="B372" s="20"/>
      <c r="C372" s="13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0"/>
      <c r="R372" s="13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6"/>
      <c r="AJ372" s="6"/>
      <c r="AK372" s="6"/>
      <c r="AL372" s="6"/>
      <c r="AM372" s="6"/>
    </row>
    <row r="373" spans="2:39" ht="15" thickBot="1" x14ac:dyDescent="0.35">
      <c r="B373" s="18"/>
      <c r="C373" s="12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8"/>
      <c r="R373" s="12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6"/>
      <c r="AJ373" s="6"/>
      <c r="AK373" s="6"/>
      <c r="AL373" s="6"/>
      <c r="AM373" s="6"/>
    </row>
    <row r="374" spans="2:39" ht="15" thickBot="1" x14ac:dyDescent="0.35">
      <c r="B374" s="20"/>
      <c r="C374" s="13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0"/>
      <c r="R374" s="13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6"/>
      <c r="AJ374" s="6"/>
      <c r="AK374" s="6"/>
      <c r="AL374" s="6"/>
      <c r="AM374" s="6"/>
    </row>
    <row r="375" spans="2:39" ht="15" thickBot="1" x14ac:dyDescent="0.35">
      <c r="B375" s="18"/>
      <c r="C375" s="12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8"/>
      <c r="R375" s="12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6"/>
      <c r="AJ375" s="6"/>
      <c r="AK375" s="6"/>
      <c r="AL375" s="6"/>
      <c r="AM375" s="6"/>
    </row>
    <row r="376" spans="2:39" ht="15" thickBot="1" x14ac:dyDescent="0.35">
      <c r="B376" s="20"/>
      <c r="C376" s="13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0"/>
      <c r="R376" s="13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6"/>
      <c r="AJ376" s="6"/>
      <c r="AK376" s="6"/>
      <c r="AL376" s="6"/>
      <c r="AM376" s="6"/>
    </row>
    <row r="377" spans="2:39" ht="15" thickBot="1" x14ac:dyDescent="0.35">
      <c r="B377" s="18"/>
      <c r="C377" s="12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8"/>
      <c r="R377" s="12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6"/>
      <c r="AJ377" s="6"/>
      <c r="AK377" s="6"/>
      <c r="AL377" s="6"/>
      <c r="AM377" s="6"/>
    </row>
    <row r="378" spans="2:39" ht="15" thickBot="1" x14ac:dyDescent="0.35">
      <c r="B378" s="20"/>
      <c r="C378" s="13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0"/>
      <c r="R378" s="13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6"/>
      <c r="AJ378" s="6"/>
      <c r="AK378" s="6"/>
      <c r="AL378" s="6"/>
      <c r="AM378" s="6"/>
    </row>
    <row r="379" spans="2:39" ht="15" thickBot="1" x14ac:dyDescent="0.35">
      <c r="B379" s="18"/>
      <c r="C379" s="12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8"/>
      <c r="R379" s="12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6"/>
      <c r="AJ379" s="6"/>
      <c r="AK379" s="6"/>
      <c r="AL379" s="6"/>
      <c r="AM379" s="6"/>
    </row>
    <row r="380" spans="2:39" ht="15" thickBot="1" x14ac:dyDescent="0.35">
      <c r="B380" s="20"/>
      <c r="C380" s="13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0"/>
      <c r="R380" s="13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6"/>
      <c r="AJ380" s="6"/>
      <c r="AK380" s="6"/>
      <c r="AL380" s="6"/>
      <c r="AM380" s="6"/>
    </row>
    <row r="381" spans="2:39" ht="15" thickBot="1" x14ac:dyDescent="0.35">
      <c r="B381" s="18"/>
      <c r="C381" s="12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8"/>
      <c r="R381" s="12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6"/>
      <c r="AJ381" s="6"/>
      <c r="AK381" s="6"/>
      <c r="AL381" s="6"/>
      <c r="AM381" s="6"/>
    </row>
    <row r="382" spans="2:39" ht="15" thickBot="1" x14ac:dyDescent="0.35">
      <c r="B382" s="20"/>
      <c r="C382" s="13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0"/>
      <c r="R382" s="13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6"/>
      <c r="AJ382" s="6"/>
      <c r="AK382" s="6"/>
      <c r="AL382" s="6"/>
      <c r="AM382" s="6"/>
    </row>
    <row r="383" spans="2:39" ht="15" thickBot="1" x14ac:dyDescent="0.35">
      <c r="B383" s="18"/>
      <c r="C383" s="12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8"/>
      <c r="R383" s="12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6"/>
      <c r="AJ383" s="6"/>
      <c r="AK383" s="6"/>
      <c r="AL383" s="6"/>
      <c r="AM383" s="6"/>
    </row>
    <row r="384" spans="2:39" ht="15" thickBot="1" x14ac:dyDescent="0.35">
      <c r="B384" s="20"/>
      <c r="C384" s="13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0"/>
      <c r="R384" s="13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6"/>
      <c r="AJ384" s="6"/>
      <c r="AK384" s="6"/>
      <c r="AL384" s="6"/>
      <c r="AM384" s="6"/>
    </row>
    <row r="385" spans="2:39" ht="15" thickBot="1" x14ac:dyDescent="0.35">
      <c r="B385" s="18"/>
      <c r="C385" s="12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8"/>
      <c r="R385" s="12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6"/>
      <c r="AJ385" s="6"/>
      <c r="AK385" s="6"/>
      <c r="AL385" s="6"/>
      <c r="AM385" s="6"/>
    </row>
    <row r="386" spans="2:39" ht="15" thickBot="1" x14ac:dyDescent="0.35">
      <c r="B386" s="20"/>
      <c r="C386" s="13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0"/>
      <c r="R386" s="13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6"/>
      <c r="AJ386" s="6"/>
      <c r="AK386" s="6"/>
      <c r="AL386" s="6"/>
      <c r="AM386" s="6"/>
    </row>
    <row r="387" spans="2:39" ht="15" thickBot="1" x14ac:dyDescent="0.35">
      <c r="B387" s="18"/>
      <c r="C387" s="12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8"/>
      <c r="R387" s="12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6"/>
      <c r="AJ387" s="6"/>
      <c r="AK387" s="6"/>
      <c r="AL387" s="6"/>
      <c r="AM387" s="6"/>
    </row>
    <row r="388" spans="2:39" ht="15" thickBot="1" x14ac:dyDescent="0.35">
      <c r="B388" s="20"/>
      <c r="C388" s="13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0"/>
      <c r="R388" s="13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6"/>
      <c r="AJ388" s="6"/>
      <c r="AK388" s="6"/>
      <c r="AL388" s="6"/>
      <c r="AM388" s="6"/>
    </row>
    <row r="389" spans="2:39" ht="15" thickBot="1" x14ac:dyDescent="0.35">
      <c r="B389" s="18"/>
      <c r="C389" s="12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8"/>
      <c r="R389" s="12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6"/>
      <c r="AJ389" s="6"/>
      <c r="AK389" s="6"/>
      <c r="AL389" s="6"/>
      <c r="AM389" s="6"/>
    </row>
    <row r="390" spans="2:39" ht="15" thickBot="1" x14ac:dyDescent="0.35">
      <c r="B390" s="20"/>
      <c r="C390" s="13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0"/>
      <c r="R390" s="13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6"/>
      <c r="AJ390" s="6"/>
      <c r="AK390" s="6"/>
      <c r="AL390" s="6"/>
      <c r="AM390" s="6"/>
    </row>
    <row r="391" spans="2:39" ht="15" thickBot="1" x14ac:dyDescent="0.35">
      <c r="B391" s="18"/>
      <c r="C391" s="12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8"/>
      <c r="R391" s="12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6"/>
      <c r="AJ391" s="6"/>
      <c r="AK391" s="6"/>
      <c r="AL391" s="6"/>
      <c r="AM391" s="6"/>
    </row>
    <row r="392" spans="2:39" ht="15" thickBot="1" x14ac:dyDescent="0.35">
      <c r="B392" s="20"/>
      <c r="C392" s="13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0"/>
      <c r="R392" s="13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6"/>
      <c r="AJ392" s="6"/>
      <c r="AK392" s="6"/>
      <c r="AL392" s="6"/>
      <c r="AM392" s="6"/>
    </row>
    <row r="393" spans="2:39" ht="15" thickBot="1" x14ac:dyDescent="0.35">
      <c r="B393" s="18"/>
      <c r="C393" s="12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8"/>
      <c r="R393" s="12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6"/>
      <c r="AJ393" s="6"/>
      <c r="AK393" s="6"/>
      <c r="AL393" s="6"/>
      <c r="AM393" s="6"/>
    </row>
    <row r="394" spans="2:39" ht="15" thickBot="1" x14ac:dyDescent="0.35">
      <c r="B394" s="20"/>
      <c r="C394" s="13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0"/>
      <c r="R394" s="13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6"/>
      <c r="AJ394" s="6"/>
      <c r="AK394" s="6"/>
      <c r="AL394" s="6"/>
      <c r="AM394" s="6"/>
    </row>
    <row r="395" spans="2:39" ht="15" thickBot="1" x14ac:dyDescent="0.35">
      <c r="B395" s="18"/>
      <c r="C395" s="12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8"/>
      <c r="R395" s="12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6"/>
      <c r="AJ395" s="6"/>
      <c r="AK395" s="6"/>
      <c r="AL395" s="6"/>
      <c r="AM395" s="6"/>
    </row>
    <row r="396" spans="2:39" ht="15" thickBot="1" x14ac:dyDescent="0.35">
      <c r="B396" s="20"/>
      <c r="C396" s="13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0"/>
      <c r="R396" s="13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6"/>
      <c r="AJ396" s="6"/>
      <c r="AK396" s="6"/>
      <c r="AL396" s="6"/>
      <c r="AM396" s="6"/>
    </row>
    <row r="397" spans="2:39" ht="15" thickBot="1" x14ac:dyDescent="0.35">
      <c r="B397" s="18"/>
      <c r="C397" s="12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8"/>
      <c r="R397" s="12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6"/>
      <c r="AJ397" s="6"/>
      <c r="AK397" s="6"/>
      <c r="AL397" s="6"/>
      <c r="AM397" s="6"/>
    </row>
    <row r="398" spans="2:39" ht="15" thickBot="1" x14ac:dyDescent="0.35">
      <c r="B398" s="20"/>
      <c r="C398" s="13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0"/>
      <c r="R398" s="13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6"/>
      <c r="AJ398" s="6"/>
      <c r="AK398" s="6"/>
      <c r="AL398" s="6"/>
      <c r="AM398" s="6"/>
    </row>
    <row r="399" spans="2:39" ht="15" thickBot="1" x14ac:dyDescent="0.35">
      <c r="B399" s="18"/>
      <c r="C399" s="12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8"/>
      <c r="R399" s="12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6"/>
      <c r="AJ399" s="6"/>
      <c r="AK399" s="6"/>
      <c r="AL399" s="6"/>
      <c r="AM399" s="6"/>
    </row>
    <row r="400" spans="2:39" ht="15" thickBot="1" x14ac:dyDescent="0.35">
      <c r="B400" s="20"/>
      <c r="C400" s="13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0"/>
      <c r="R400" s="13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6"/>
      <c r="AJ400" s="6"/>
      <c r="AK400" s="6"/>
      <c r="AL400" s="6"/>
      <c r="AM400" s="6"/>
    </row>
    <row r="401" spans="2:39" ht="15" thickBot="1" x14ac:dyDescent="0.35">
      <c r="B401" s="18"/>
      <c r="C401" s="12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8"/>
      <c r="R401" s="12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6"/>
      <c r="AJ401" s="6"/>
      <c r="AK401" s="6"/>
      <c r="AL401" s="6"/>
      <c r="AM401" s="6"/>
    </row>
    <row r="402" spans="2:39" ht="15" thickBot="1" x14ac:dyDescent="0.35">
      <c r="B402" s="20"/>
      <c r="C402" s="13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0"/>
      <c r="R402" s="13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  <c r="AH402" s="21"/>
      <c r="AI402" s="6"/>
      <c r="AJ402" s="6"/>
      <c r="AK402" s="6"/>
      <c r="AL402" s="6"/>
      <c r="AM402" s="6"/>
    </row>
    <row r="403" spans="2:39" ht="15" thickBot="1" x14ac:dyDescent="0.35">
      <c r="B403" s="18"/>
      <c r="C403" s="12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8"/>
      <c r="R403" s="12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6"/>
      <c r="AJ403" s="6"/>
      <c r="AK403" s="6"/>
      <c r="AL403" s="6"/>
      <c r="AM403" s="6"/>
    </row>
    <row r="404" spans="2:39" ht="15" thickBot="1" x14ac:dyDescent="0.35">
      <c r="B404" s="20"/>
      <c r="C404" s="13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0"/>
      <c r="R404" s="13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21"/>
      <c r="AI404" s="6"/>
      <c r="AJ404" s="6"/>
      <c r="AK404" s="6"/>
      <c r="AL404" s="6"/>
      <c r="AM404" s="6"/>
    </row>
    <row r="405" spans="2:39" ht="15" thickBot="1" x14ac:dyDescent="0.35">
      <c r="B405" s="18"/>
      <c r="C405" s="12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8"/>
      <c r="R405" s="12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6"/>
      <c r="AJ405" s="6"/>
      <c r="AK405" s="6"/>
      <c r="AL405" s="6"/>
      <c r="AM405" s="6"/>
    </row>
    <row r="406" spans="2:39" ht="15" thickBot="1" x14ac:dyDescent="0.35">
      <c r="B406" s="20"/>
      <c r="C406" s="13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0"/>
      <c r="R406" s="13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  <c r="AH406" s="21"/>
      <c r="AI406" s="6"/>
      <c r="AJ406" s="6"/>
      <c r="AK406" s="6"/>
      <c r="AL406" s="6"/>
      <c r="AM406" s="6"/>
    </row>
    <row r="407" spans="2:39" ht="15" thickBot="1" x14ac:dyDescent="0.35">
      <c r="B407" s="18"/>
      <c r="C407" s="12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8"/>
      <c r="R407" s="12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6"/>
      <c r="AJ407" s="6"/>
      <c r="AK407" s="6"/>
      <c r="AL407" s="6"/>
      <c r="AM407" s="6"/>
    </row>
    <row r="408" spans="2:39" ht="15" thickBot="1" x14ac:dyDescent="0.35">
      <c r="B408" s="20"/>
      <c r="C408" s="13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0"/>
      <c r="R408" s="13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  <c r="AH408" s="21"/>
      <c r="AI408" s="6"/>
      <c r="AJ408" s="6"/>
      <c r="AK408" s="6"/>
      <c r="AL408" s="6"/>
      <c r="AM408" s="6"/>
    </row>
    <row r="409" spans="2:39" ht="15" thickBot="1" x14ac:dyDescent="0.35">
      <c r="B409" s="18"/>
      <c r="C409" s="12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8"/>
      <c r="R409" s="12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6"/>
      <c r="AJ409" s="6"/>
      <c r="AK409" s="6"/>
      <c r="AL409" s="6"/>
      <c r="AM409" s="6"/>
    </row>
    <row r="410" spans="2:39" ht="15" thickBot="1" x14ac:dyDescent="0.35">
      <c r="B410" s="20"/>
      <c r="C410" s="13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0"/>
      <c r="R410" s="13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21"/>
      <c r="AI410" s="6"/>
      <c r="AJ410" s="6"/>
      <c r="AK410" s="6"/>
      <c r="AL410" s="6"/>
      <c r="AM410" s="6"/>
    </row>
    <row r="411" spans="2:39" ht="15" thickBot="1" x14ac:dyDescent="0.35">
      <c r="B411" s="18"/>
      <c r="C411" s="12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8"/>
      <c r="R411" s="12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6"/>
      <c r="AJ411" s="6"/>
      <c r="AK411" s="6"/>
      <c r="AL411" s="6"/>
      <c r="AM411" s="6"/>
    </row>
    <row r="412" spans="2:39" ht="15" thickBot="1" x14ac:dyDescent="0.35">
      <c r="B412" s="20"/>
      <c r="C412" s="13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0"/>
      <c r="R412" s="13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  <c r="AH412" s="21"/>
      <c r="AI412" s="6"/>
      <c r="AJ412" s="6"/>
      <c r="AK412" s="6"/>
      <c r="AL412" s="6"/>
      <c r="AM412" s="6"/>
    </row>
    <row r="413" spans="2:39" ht="15" thickBot="1" x14ac:dyDescent="0.35">
      <c r="B413" s="18"/>
      <c r="C413" s="12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8"/>
      <c r="R413" s="12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6"/>
      <c r="AJ413" s="6"/>
      <c r="AK413" s="6"/>
      <c r="AL413" s="6"/>
      <c r="AM413" s="6"/>
    </row>
    <row r="414" spans="2:39" ht="15" thickBot="1" x14ac:dyDescent="0.35">
      <c r="B414" s="20"/>
      <c r="C414" s="13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0"/>
      <c r="R414" s="13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  <c r="AH414" s="21"/>
      <c r="AI414" s="6"/>
      <c r="AJ414" s="6"/>
      <c r="AK414" s="6"/>
      <c r="AL414" s="6"/>
      <c r="AM414" s="6"/>
    </row>
    <row r="415" spans="2:39" ht="15" thickBot="1" x14ac:dyDescent="0.35">
      <c r="B415" s="18"/>
      <c r="C415" s="12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8"/>
      <c r="R415" s="12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6"/>
      <c r="AJ415" s="6"/>
      <c r="AK415" s="6"/>
      <c r="AL415" s="6"/>
      <c r="AM415" s="6"/>
    </row>
    <row r="416" spans="2:39" ht="15" thickBot="1" x14ac:dyDescent="0.35">
      <c r="B416" s="20"/>
      <c r="C416" s="13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0"/>
      <c r="R416" s="13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  <c r="AH416" s="21"/>
      <c r="AI416" s="6"/>
      <c r="AJ416" s="6"/>
      <c r="AK416" s="6"/>
      <c r="AL416" s="6"/>
      <c r="AM416" s="6"/>
    </row>
    <row r="417" spans="2:39" ht="15" thickBot="1" x14ac:dyDescent="0.35">
      <c r="B417" s="18"/>
      <c r="C417" s="12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8"/>
      <c r="R417" s="12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6"/>
      <c r="AJ417" s="6"/>
      <c r="AK417" s="6"/>
      <c r="AL417" s="6"/>
      <c r="AM417" s="6"/>
    </row>
    <row r="418" spans="2:39" ht="15" thickBot="1" x14ac:dyDescent="0.35">
      <c r="B418" s="20"/>
      <c r="C418" s="13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0"/>
      <c r="R418" s="13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  <c r="AH418" s="21"/>
      <c r="AI418" s="6"/>
      <c r="AJ418" s="6"/>
      <c r="AK418" s="6"/>
      <c r="AL418" s="6"/>
      <c r="AM418" s="6"/>
    </row>
    <row r="419" spans="2:39" ht="15" thickBot="1" x14ac:dyDescent="0.35">
      <c r="B419" s="18"/>
      <c r="C419" s="12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8"/>
      <c r="R419" s="12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6"/>
      <c r="AJ419" s="6"/>
      <c r="AK419" s="6"/>
      <c r="AL419" s="6"/>
      <c r="AM419" s="6"/>
    </row>
    <row r="420" spans="2:39" ht="15" thickBot="1" x14ac:dyDescent="0.35">
      <c r="B420" s="20"/>
      <c r="C420" s="13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0"/>
      <c r="R420" s="13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21"/>
      <c r="AI420" s="6"/>
      <c r="AJ420" s="6"/>
      <c r="AK420" s="6"/>
      <c r="AL420" s="6"/>
      <c r="AM420" s="6"/>
    </row>
    <row r="421" spans="2:39" ht="15" thickBot="1" x14ac:dyDescent="0.35">
      <c r="B421" s="18"/>
      <c r="C421" s="12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8"/>
      <c r="R421" s="12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6"/>
      <c r="AJ421" s="6"/>
      <c r="AK421" s="6"/>
      <c r="AL421" s="6"/>
      <c r="AM421" s="6"/>
    </row>
    <row r="422" spans="2:39" ht="15" thickBot="1" x14ac:dyDescent="0.35">
      <c r="B422" s="20"/>
      <c r="C422" s="13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0"/>
      <c r="R422" s="13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  <c r="AH422" s="21"/>
      <c r="AI422" s="6"/>
      <c r="AJ422" s="6"/>
      <c r="AK422" s="6"/>
      <c r="AL422" s="6"/>
      <c r="AM422" s="6"/>
    </row>
    <row r="423" spans="2:39" ht="15" thickBot="1" x14ac:dyDescent="0.35">
      <c r="B423" s="18"/>
      <c r="C423" s="12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8"/>
      <c r="R423" s="12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6"/>
      <c r="AJ423" s="6"/>
      <c r="AK423" s="6"/>
      <c r="AL423" s="6"/>
      <c r="AM423" s="6"/>
    </row>
    <row r="424" spans="2:39" ht="15" thickBot="1" x14ac:dyDescent="0.35">
      <c r="B424" s="20"/>
      <c r="C424" s="13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0"/>
      <c r="R424" s="13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  <c r="AH424" s="21"/>
      <c r="AI424" s="6"/>
      <c r="AJ424" s="6"/>
      <c r="AK424" s="6"/>
      <c r="AL424" s="6"/>
      <c r="AM424" s="6"/>
    </row>
    <row r="425" spans="2:39" ht="15" thickBot="1" x14ac:dyDescent="0.35">
      <c r="B425" s="18"/>
      <c r="C425" s="12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8"/>
      <c r="R425" s="12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6"/>
      <c r="AJ425" s="6"/>
      <c r="AK425" s="6"/>
      <c r="AL425" s="6"/>
      <c r="AM425" s="6"/>
    </row>
    <row r="426" spans="2:39" ht="15" thickBot="1" x14ac:dyDescent="0.35">
      <c r="B426" s="20"/>
      <c r="C426" s="13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0"/>
      <c r="R426" s="13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  <c r="AH426" s="21"/>
      <c r="AI426" s="6"/>
      <c r="AJ426" s="6"/>
      <c r="AK426" s="6"/>
      <c r="AL426" s="6"/>
      <c r="AM426" s="6"/>
    </row>
    <row r="427" spans="2:39" ht="15" thickBot="1" x14ac:dyDescent="0.35">
      <c r="B427" s="18"/>
      <c r="C427" s="12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8"/>
      <c r="R427" s="12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6"/>
      <c r="AJ427" s="6"/>
      <c r="AK427" s="6"/>
      <c r="AL427" s="6"/>
      <c r="AM427" s="6"/>
    </row>
    <row r="428" spans="2:39" ht="15" thickBot="1" x14ac:dyDescent="0.35">
      <c r="B428" s="20"/>
      <c r="C428" s="13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0"/>
      <c r="R428" s="13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  <c r="AH428" s="21"/>
      <c r="AI428" s="6"/>
      <c r="AJ428" s="6"/>
      <c r="AK428" s="6"/>
      <c r="AL428" s="6"/>
      <c r="AM428" s="6"/>
    </row>
    <row r="429" spans="2:39" ht="15" thickBot="1" x14ac:dyDescent="0.35">
      <c r="B429" s="18"/>
      <c r="C429" s="12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8"/>
      <c r="R429" s="12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6"/>
      <c r="AJ429" s="6"/>
      <c r="AK429" s="6"/>
      <c r="AL429" s="6"/>
      <c r="AM429" s="6"/>
    </row>
    <row r="430" spans="2:39" ht="15" thickBot="1" x14ac:dyDescent="0.35">
      <c r="B430" s="20"/>
      <c r="C430" s="13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0"/>
      <c r="R430" s="13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  <c r="AH430" s="21"/>
      <c r="AI430" s="6"/>
      <c r="AJ430" s="6"/>
      <c r="AK430" s="6"/>
      <c r="AL430" s="6"/>
      <c r="AM430" s="6"/>
    </row>
    <row r="431" spans="2:39" ht="15" thickBot="1" x14ac:dyDescent="0.35">
      <c r="B431" s="18"/>
      <c r="C431" s="12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8"/>
      <c r="R431" s="12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6"/>
      <c r="AJ431" s="6"/>
      <c r="AK431" s="6"/>
      <c r="AL431" s="6"/>
      <c r="AM431" s="6"/>
    </row>
    <row r="432" spans="2:39" ht="15" thickBot="1" x14ac:dyDescent="0.35">
      <c r="B432" s="20"/>
      <c r="C432" s="13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0"/>
      <c r="R432" s="13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  <c r="AH432" s="21"/>
      <c r="AI432" s="6"/>
      <c r="AJ432" s="6"/>
      <c r="AK432" s="6"/>
      <c r="AL432" s="6"/>
      <c r="AM432" s="6"/>
    </row>
    <row r="433" spans="2:39" ht="15" thickBot="1" x14ac:dyDescent="0.35">
      <c r="B433" s="18"/>
      <c r="C433" s="12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8"/>
      <c r="R433" s="12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6"/>
      <c r="AJ433" s="6"/>
      <c r="AK433" s="6"/>
      <c r="AL433" s="6"/>
      <c r="AM433" s="6"/>
    </row>
    <row r="434" spans="2:39" ht="15" thickBot="1" x14ac:dyDescent="0.35">
      <c r="B434" s="20"/>
      <c r="C434" s="13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0"/>
      <c r="R434" s="13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  <c r="AH434" s="21"/>
      <c r="AI434" s="6"/>
      <c r="AJ434" s="6"/>
      <c r="AK434" s="6"/>
      <c r="AL434" s="6"/>
      <c r="AM434" s="6"/>
    </row>
    <row r="435" spans="2:39" ht="15" thickBot="1" x14ac:dyDescent="0.35">
      <c r="B435" s="18"/>
      <c r="C435" s="12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8"/>
      <c r="R435" s="12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6"/>
      <c r="AJ435" s="6"/>
      <c r="AK435" s="6"/>
      <c r="AL435" s="6"/>
      <c r="AM435" s="6"/>
    </row>
    <row r="436" spans="2:39" ht="15" thickBot="1" x14ac:dyDescent="0.35">
      <c r="B436" s="20"/>
      <c r="C436" s="13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0"/>
      <c r="R436" s="13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  <c r="AH436" s="21"/>
      <c r="AI436" s="6"/>
      <c r="AJ436" s="6"/>
      <c r="AK436" s="6"/>
      <c r="AL436" s="6"/>
      <c r="AM436" s="6"/>
    </row>
    <row r="437" spans="2:39" ht="15" thickBot="1" x14ac:dyDescent="0.35">
      <c r="B437" s="18"/>
      <c r="C437" s="12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8"/>
      <c r="R437" s="12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6"/>
      <c r="AJ437" s="6"/>
      <c r="AK437" s="6"/>
      <c r="AL437" s="6"/>
      <c r="AM437" s="6"/>
    </row>
    <row r="438" spans="2:39" ht="15" thickBot="1" x14ac:dyDescent="0.35">
      <c r="B438" s="20"/>
      <c r="C438" s="13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0"/>
      <c r="R438" s="13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  <c r="AH438" s="21"/>
      <c r="AI438" s="6"/>
      <c r="AJ438" s="6"/>
      <c r="AK438" s="6"/>
      <c r="AL438" s="6"/>
      <c r="AM438" s="6"/>
    </row>
    <row r="439" spans="2:39" ht="15" thickBot="1" x14ac:dyDescent="0.35">
      <c r="B439" s="18"/>
      <c r="C439" s="12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8"/>
      <c r="R439" s="12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6"/>
      <c r="AJ439" s="6"/>
      <c r="AK439" s="6"/>
      <c r="AL439" s="6"/>
      <c r="AM439" s="6"/>
    </row>
    <row r="440" spans="2:39" ht="15" thickBot="1" x14ac:dyDescent="0.35">
      <c r="B440" s="20"/>
      <c r="C440" s="13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0"/>
      <c r="R440" s="13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6"/>
      <c r="AJ440" s="6"/>
      <c r="AK440" s="6"/>
      <c r="AL440" s="6"/>
      <c r="AM440" s="6"/>
    </row>
    <row r="441" spans="2:39" ht="15" thickBot="1" x14ac:dyDescent="0.35">
      <c r="B441" s="18"/>
      <c r="C441" s="12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8"/>
      <c r="R441" s="12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6"/>
      <c r="AJ441" s="6"/>
      <c r="AK441" s="6"/>
      <c r="AL441" s="6"/>
      <c r="AM441" s="6"/>
    </row>
    <row r="442" spans="2:39" ht="15" thickBot="1" x14ac:dyDescent="0.35">
      <c r="B442" s="20"/>
      <c r="C442" s="13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0"/>
      <c r="R442" s="13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6"/>
      <c r="AJ442" s="6"/>
      <c r="AK442" s="6"/>
      <c r="AL442" s="6"/>
      <c r="AM442" s="6"/>
    </row>
    <row r="443" spans="2:39" ht="15" thickBot="1" x14ac:dyDescent="0.35">
      <c r="B443" s="18"/>
      <c r="C443" s="12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8"/>
      <c r="R443" s="12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6"/>
      <c r="AJ443" s="6"/>
      <c r="AK443" s="6"/>
      <c r="AL443" s="6"/>
      <c r="AM443" s="6"/>
    </row>
    <row r="444" spans="2:39" ht="15" thickBot="1" x14ac:dyDescent="0.35">
      <c r="B444" s="20"/>
      <c r="C444" s="13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0"/>
      <c r="R444" s="13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  <c r="AH444" s="21"/>
      <c r="AI444" s="6"/>
      <c r="AJ444" s="6"/>
      <c r="AK444" s="6"/>
      <c r="AL444" s="6"/>
      <c r="AM444" s="6"/>
    </row>
    <row r="445" spans="2:39" ht="15" thickBot="1" x14ac:dyDescent="0.35">
      <c r="B445" s="18"/>
      <c r="C445" s="12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8"/>
      <c r="R445" s="12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6"/>
      <c r="AJ445" s="6"/>
      <c r="AK445" s="6"/>
      <c r="AL445" s="6"/>
      <c r="AM445" s="6"/>
    </row>
    <row r="446" spans="2:39" ht="15" thickBot="1" x14ac:dyDescent="0.35">
      <c r="B446" s="20"/>
      <c r="C446" s="13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0"/>
      <c r="R446" s="13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  <c r="AH446" s="21"/>
      <c r="AI446" s="6"/>
      <c r="AJ446" s="6"/>
      <c r="AK446" s="6"/>
      <c r="AL446" s="6"/>
      <c r="AM446" s="6"/>
    </row>
    <row r="447" spans="2:39" ht="15" thickBot="1" x14ac:dyDescent="0.35">
      <c r="B447" s="18"/>
      <c r="C447" s="12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8"/>
      <c r="R447" s="12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6"/>
      <c r="AJ447" s="6"/>
      <c r="AK447" s="6"/>
      <c r="AL447" s="6"/>
      <c r="AM447" s="6"/>
    </row>
    <row r="448" spans="2:39" ht="15" thickBot="1" x14ac:dyDescent="0.35">
      <c r="B448" s="20"/>
      <c r="C448" s="13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0"/>
      <c r="R448" s="13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  <c r="AH448" s="21"/>
      <c r="AI448" s="6"/>
      <c r="AJ448" s="6"/>
      <c r="AK448" s="6"/>
      <c r="AL448" s="6"/>
      <c r="AM448" s="6"/>
    </row>
    <row r="449" spans="2:39" ht="15" thickBot="1" x14ac:dyDescent="0.35">
      <c r="B449" s="18"/>
      <c r="C449" s="12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8"/>
      <c r="R449" s="12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6"/>
      <c r="AJ449" s="6"/>
      <c r="AK449" s="6"/>
      <c r="AL449" s="6"/>
      <c r="AM449" s="6"/>
    </row>
    <row r="450" spans="2:39" ht="15" thickBot="1" x14ac:dyDescent="0.35">
      <c r="B450" s="20"/>
      <c r="C450" s="13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0"/>
      <c r="R450" s="13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21"/>
      <c r="AI450" s="6"/>
      <c r="AJ450" s="6"/>
      <c r="AK450" s="6"/>
      <c r="AL450" s="6"/>
      <c r="AM450" s="6"/>
    </row>
    <row r="451" spans="2:39" ht="15" thickBot="1" x14ac:dyDescent="0.35">
      <c r="B451" s="18"/>
      <c r="C451" s="12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8"/>
      <c r="R451" s="12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6"/>
      <c r="AJ451" s="6"/>
      <c r="AK451" s="6"/>
      <c r="AL451" s="6"/>
      <c r="AM451" s="6"/>
    </row>
    <row r="452" spans="2:39" ht="15" thickBot="1" x14ac:dyDescent="0.35">
      <c r="B452" s="20"/>
      <c r="C452" s="13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0"/>
      <c r="R452" s="13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6"/>
      <c r="AJ452" s="6"/>
      <c r="AK452" s="6"/>
      <c r="AL452" s="6"/>
      <c r="AM452" s="6"/>
    </row>
    <row r="453" spans="2:39" ht="15" thickBot="1" x14ac:dyDescent="0.35">
      <c r="B453" s="18"/>
      <c r="C453" s="12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8"/>
      <c r="R453" s="12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6"/>
      <c r="AJ453" s="6"/>
      <c r="AK453" s="6"/>
      <c r="AL453" s="6"/>
      <c r="AM453" s="6"/>
    </row>
    <row r="454" spans="2:39" ht="15" thickBot="1" x14ac:dyDescent="0.35">
      <c r="B454" s="20"/>
      <c r="C454" s="13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0"/>
      <c r="R454" s="13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  <c r="AH454" s="21"/>
      <c r="AI454" s="6"/>
      <c r="AJ454" s="6"/>
      <c r="AK454" s="6"/>
      <c r="AL454" s="6"/>
      <c r="AM454" s="6"/>
    </row>
    <row r="455" spans="2:39" ht="15" thickBot="1" x14ac:dyDescent="0.35">
      <c r="B455" s="18"/>
      <c r="C455" s="12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8"/>
      <c r="R455" s="12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6"/>
      <c r="AJ455" s="6"/>
      <c r="AK455" s="6"/>
      <c r="AL455" s="6"/>
      <c r="AM455" s="6"/>
    </row>
    <row r="456" spans="2:39" ht="15" thickBot="1" x14ac:dyDescent="0.35">
      <c r="B456" s="20"/>
      <c r="C456" s="13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0"/>
      <c r="R456" s="13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  <c r="AH456" s="21"/>
      <c r="AI456" s="6"/>
      <c r="AJ456" s="6"/>
      <c r="AK456" s="6"/>
      <c r="AL456" s="6"/>
      <c r="AM456" s="6"/>
    </row>
    <row r="457" spans="2:39" ht="15" thickBot="1" x14ac:dyDescent="0.35">
      <c r="B457" s="18"/>
      <c r="C457" s="12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8"/>
      <c r="R457" s="12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6"/>
      <c r="AJ457" s="6"/>
      <c r="AK457" s="6"/>
      <c r="AL457" s="6"/>
      <c r="AM457" s="6"/>
    </row>
    <row r="458" spans="2:39" ht="15" thickBot="1" x14ac:dyDescent="0.35">
      <c r="B458" s="20"/>
      <c r="C458" s="13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0"/>
      <c r="R458" s="13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  <c r="AH458" s="21"/>
      <c r="AI458" s="6"/>
      <c r="AJ458" s="6"/>
      <c r="AK458" s="6"/>
      <c r="AL458" s="6"/>
      <c r="AM458" s="6"/>
    </row>
    <row r="459" spans="2:39" ht="15" thickBot="1" x14ac:dyDescent="0.35">
      <c r="B459" s="18"/>
      <c r="C459" s="12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8"/>
      <c r="R459" s="12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6"/>
      <c r="AJ459" s="6"/>
      <c r="AK459" s="6"/>
      <c r="AL459" s="6"/>
      <c r="AM459" s="6"/>
    </row>
    <row r="460" spans="2:39" ht="15" thickBot="1" x14ac:dyDescent="0.35">
      <c r="B460" s="20"/>
      <c r="C460" s="13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0"/>
      <c r="R460" s="13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6"/>
      <c r="AJ460" s="6"/>
      <c r="AK460" s="6"/>
      <c r="AL460" s="6"/>
      <c r="AM460" s="6"/>
    </row>
    <row r="461" spans="2:39" ht="15" thickBot="1" x14ac:dyDescent="0.35">
      <c r="B461" s="18"/>
      <c r="C461" s="12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8"/>
      <c r="R461" s="12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6"/>
      <c r="AJ461" s="6"/>
      <c r="AK461" s="6"/>
      <c r="AL461" s="6"/>
      <c r="AM461" s="6"/>
    </row>
    <row r="462" spans="2:39" ht="15" thickBot="1" x14ac:dyDescent="0.35">
      <c r="B462" s="20"/>
      <c r="C462" s="13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0"/>
      <c r="R462" s="13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  <c r="AH462" s="21"/>
      <c r="AI462" s="6"/>
      <c r="AJ462" s="6"/>
      <c r="AK462" s="6"/>
      <c r="AL462" s="6"/>
      <c r="AM462" s="6"/>
    </row>
    <row r="463" spans="2:39" ht="15" thickBot="1" x14ac:dyDescent="0.35">
      <c r="B463" s="18"/>
      <c r="C463" s="12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8"/>
      <c r="R463" s="12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6"/>
      <c r="AJ463" s="6"/>
      <c r="AK463" s="6"/>
      <c r="AL463" s="6"/>
      <c r="AM463" s="6"/>
    </row>
    <row r="464" spans="2:39" ht="15" thickBot="1" x14ac:dyDescent="0.35">
      <c r="B464" s="20"/>
      <c r="C464" s="13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0"/>
      <c r="R464" s="13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  <c r="AH464" s="21"/>
      <c r="AI464" s="6"/>
      <c r="AJ464" s="6"/>
      <c r="AK464" s="6"/>
      <c r="AL464" s="6"/>
      <c r="AM464" s="6"/>
    </row>
    <row r="465" spans="2:39" ht="15" thickBot="1" x14ac:dyDescent="0.35">
      <c r="B465" s="18"/>
      <c r="C465" s="12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8"/>
      <c r="R465" s="12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6"/>
      <c r="AJ465" s="6"/>
      <c r="AK465" s="6"/>
      <c r="AL465" s="6"/>
      <c r="AM465" s="6"/>
    </row>
    <row r="466" spans="2:39" ht="15" thickBot="1" x14ac:dyDescent="0.35">
      <c r="B466" s="20"/>
      <c r="C466" s="13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0"/>
      <c r="R466" s="13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21"/>
      <c r="AI466" s="6"/>
      <c r="AJ466" s="6"/>
      <c r="AK466" s="6"/>
      <c r="AL466" s="6"/>
      <c r="AM466" s="6"/>
    </row>
    <row r="467" spans="2:39" ht="15" thickBot="1" x14ac:dyDescent="0.35">
      <c r="B467" s="18"/>
      <c r="C467" s="12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8"/>
      <c r="R467" s="12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6"/>
      <c r="AJ467" s="6"/>
      <c r="AK467" s="6"/>
      <c r="AL467" s="6"/>
      <c r="AM467" s="6"/>
    </row>
    <row r="468" spans="2:39" ht="15" thickBot="1" x14ac:dyDescent="0.35">
      <c r="B468" s="20"/>
      <c r="C468" s="13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0"/>
      <c r="R468" s="13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21"/>
      <c r="AI468" s="6"/>
      <c r="AJ468" s="6"/>
      <c r="AK468" s="6"/>
      <c r="AL468" s="6"/>
      <c r="AM468" s="6"/>
    </row>
    <row r="469" spans="2:39" ht="15" thickBot="1" x14ac:dyDescent="0.35">
      <c r="B469" s="18"/>
      <c r="C469" s="12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8"/>
      <c r="R469" s="12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6"/>
      <c r="AJ469" s="6"/>
      <c r="AK469" s="6"/>
      <c r="AL469" s="6"/>
      <c r="AM469" s="6"/>
    </row>
    <row r="470" spans="2:39" ht="15" thickBot="1" x14ac:dyDescent="0.35">
      <c r="B470" s="20"/>
      <c r="C470" s="13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0"/>
      <c r="R470" s="13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6"/>
      <c r="AJ470" s="6"/>
      <c r="AK470" s="6"/>
      <c r="AL470" s="6"/>
      <c r="AM470" s="6"/>
    </row>
    <row r="471" spans="2:39" ht="15" thickBot="1" x14ac:dyDescent="0.35">
      <c r="B471" s="18"/>
      <c r="C471" s="12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8"/>
      <c r="R471" s="12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6"/>
      <c r="AJ471" s="6"/>
      <c r="AK471" s="6"/>
      <c r="AL471" s="6"/>
      <c r="AM471" s="6"/>
    </row>
    <row r="472" spans="2:39" ht="15" thickBot="1" x14ac:dyDescent="0.35">
      <c r="B472" s="20"/>
      <c r="C472" s="13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0"/>
      <c r="R472" s="13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  <c r="AH472" s="21"/>
      <c r="AI472" s="6"/>
      <c r="AJ472" s="6"/>
      <c r="AK472" s="6"/>
      <c r="AL472" s="6"/>
      <c r="AM472" s="6"/>
    </row>
    <row r="473" spans="2:39" ht="15" thickBot="1" x14ac:dyDescent="0.35">
      <c r="B473" s="18"/>
      <c r="C473" s="12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8"/>
      <c r="R473" s="12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6"/>
      <c r="AJ473" s="6"/>
      <c r="AK473" s="6"/>
      <c r="AL473" s="6"/>
      <c r="AM473" s="6"/>
    </row>
    <row r="474" spans="2:39" ht="15" thickBot="1" x14ac:dyDescent="0.35">
      <c r="B474" s="20"/>
      <c r="C474" s="13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0"/>
      <c r="R474" s="13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21"/>
      <c r="AI474" s="6"/>
      <c r="AJ474" s="6"/>
      <c r="AK474" s="6"/>
      <c r="AL474" s="6"/>
      <c r="AM474" s="6"/>
    </row>
    <row r="475" spans="2:39" ht="15" thickBot="1" x14ac:dyDescent="0.35">
      <c r="B475" s="18"/>
      <c r="C475" s="12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8"/>
      <c r="R475" s="12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6"/>
      <c r="AJ475" s="6"/>
      <c r="AK475" s="6"/>
      <c r="AL475" s="6"/>
      <c r="AM475" s="6"/>
    </row>
    <row r="476" spans="2:39" ht="15" thickBot="1" x14ac:dyDescent="0.35">
      <c r="B476" s="20"/>
      <c r="C476" s="13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0"/>
      <c r="R476" s="13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21"/>
      <c r="AI476" s="6"/>
      <c r="AJ476" s="6"/>
      <c r="AK476" s="6"/>
      <c r="AL476" s="6"/>
      <c r="AM476" s="6"/>
    </row>
    <row r="477" spans="2:39" ht="15" thickBot="1" x14ac:dyDescent="0.35">
      <c r="B477" s="18"/>
      <c r="C477" s="12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8"/>
      <c r="R477" s="12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6"/>
      <c r="AJ477" s="6"/>
      <c r="AK477" s="6"/>
      <c r="AL477" s="6"/>
      <c r="AM477" s="6"/>
    </row>
    <row r="478" spans="2:39" ht="15" thickBot="1" x14ac:dyDescent="0.35">
      <c r="B478" s="20"/>
      <c r="C478" s="13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0"/>
      <c r="R478" s="13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  <c r="AH478" s="21"/>
      <c r="AI478" s="6"/>
      <c r="AJ478" s="6"/>
      <c r="AK478" s="6"/>
      <c r="AL478" s="6"/>
      <c r="AM478" s="6"/>
    </row>
    <row r="479" spans="2:39" ht="15" thickBot="1" x14ac:dyDescent="0.35">
      <c r="B479" s="18"/>
      <c r="C479" s="12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8"/>
      <c r="R479" s="12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6"/>
      <c r="AJ479" s="6"/>
      <c r="AK479" s="6"/>
      <c r="AL479" s="6"/>
      <c r="AM479" s="6"/>
    </row>
    <row r="480" spans="2:39" ht="15" thickBot="1" x14ac:dyDescent="0.35">
      <c r="B480" s="20"/>
      <c r="C480" s="13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0"/>
      <c r="R480" s="13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21"/>
      <c r="AI480" s="6"/>
      <c r="AJ480" s="6"/>
      <c r="AK480" s="6"/>
      <c r="AL480" s="6"/>
      <c r="AM480" s="6"/>
    </row>
    <row r="481" spans="2:39" ht="15" thickBot="1" x14ac:dyDescent="0.35">
      <c r="B481" s="18"/>
      <c r="C481" s="12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8"/>
      <c r="R481" s="12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6"/>
      <c r="AJ481" s="6"/>
      <c r="AK481" s="6"/>
      <c r="AL481" s="6"/>
      <c r="AM481" s="6"/>
    </row>
    <row r="482" spans="2:39" ht="15" thickBot="1" x14ac:dyDescent="0.35">
      <c r="B482" s="20"/>
      <c r="C482" s="13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0"/>
      <c r="R482" s="13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  <c r="AH482" s="21"/>
      <c r="AI482" s="6"/>
      <c r="AJ482" s="6"/>
      <c r="AK482" s="6"/>
      <c r="AL482" s="6"/>
      <c r="AM482" s="6"/>
    </row>
    <row r="483" spans="2:39" ht="15" thickBot="1" x14ac:dyDescent="0.35">
      <c r="B483" s="18"/>
      <c r="C483" s="12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8"/>
      <c r="R483" s="12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6"/>
      <c r="AJ483" s="6"/>
      <c r="AK483" s="6"/>
      <c r="AL483" s="6"/>
      <c r="AM483" s="6"/>
    </row>
    <row r="484" spans="2:39" ht="15" thickBot="1" x14ac:dyDescent="0.35">
      <c r="B484" s="20"/>
      <c r="C484" s="13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0"/>
      <c r="R484" s="13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6"/>
      <c r="AJ484" s="6"/>
      <c r="AK484" s="6"/>
      <c r="AL484" s="6"/>
      <c r="AM484" s="6"/>
    </row>
    <row r="485" spans="2:39" ht="15" thickBot="1" x14ac:dyDescent="0.35">
      <c r="B485" s="18"/>
      <c r="C485" s="12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8"/>
      <c r="R485" s="12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6"/>
      <c r="AJ485" s="6"/>
      <c r="AK485" s="6"/>
      <c r="AL485" s="6"/>
      <c r="AM485" s="6"/>
    </row>
    <row r="486" spans="2:39" ht="15" thickBot="1" x14ac:dyDescent="0.35">
      <c r="B486" s="20"/>
      <c r="C486" s="13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0"/>
      <c r="R486" s="13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  <c r="AH486" s="21"/>
      <c r="AI486" s="6"/>
      <c r="AJ486" s="6"/>
      <c r="AK486" s="6"/>
      <c r="AL486" s="6"/>
      <c r="AM486" s="6"/>
    </row>
    <row r="487" spans="2:39" ht="15" thickBot="1" x14ac:dyDescent="0.35">
      <c r="B487" s="18"/>
      <c r="C487" s="12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8"/>
      <c r="R487" s="12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6"/>
      <c r="AJ487" s="6"/>
      <c r="AK487" s="6"/>
      <c r="AL487" s="6"/>
      <c r="AM487" s="6"/>
    </row>
    <row r="488" spans="2:39" ht="15" thickBot="1" x14ac:dyDescent="0.35">
      <c r="B488" s="20"/>
      <c r="C488" s="13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0"/>
      <c r="R488" s="13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  <c r="AH488" s="21"/>
      <c r="AI488" s="6"/>
      <c r="AJ488" s="6"/>
      <c r="AK488" s="6"/>
      <c r="AL488" s="6"/>
      <c r="AM488" s="6"/>
    </row>
    <row r="489" spans="2:39" ht="15" thickBot="1" x14ac:dyDescent="0.35">
      <c r="B489" s="18"/>
      <c r="C489" s="12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8"/>
      <c r="R489" s="12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6"/>
      <c r="AJ489" s="6"/>
      <c r="AK489" s="6"/>
      <c r="AL489" s="6"/>
      <c r="AM489" s="6"/>
    </row>
    <row r="490" spans="2:39" ht="15" thickBot="1" x14ac:dyDescent="0.35">
      <c r="B490" s="20"/>
      <c r="C490" s="13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0"/>
      <c r="R490" s="13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21"/>
      <c r="AI490" s="6"/>
      <c r="AJ490" s="6"/>
      <c r="AK490" s="6"/>
      <c r="AL490" s="6"/>
      <c r="AM490" s="6"/>
    </row>
    <row r="491" spans="2:39" ht="15" thickBot="1" x14ac:dyDescent="0.35">
      <c r="B491" s="18"/>
      <c r="C491" s="12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8"/>
      <c r="R491" s="12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6"/>
      <c r="AJ491" s="6"/>
      <c r="AK491" s="6"/>
      <c r="AL491" s="6"/>
      <c r="AM491" s="6"/>
    </row>
    <row r="492" spans="2:39" ht="15" thickBot="1" x14ac:dyDescent="0.35">
      <c r="B492" s="20"/>
      <c r="C492" s="13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0"/>
      <c r="R492" s="13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  <c r="AH492" s="21"/>
      <c r="AI492" s="6"/>
      <c r="AJ492" s="6"/>
      <c r="AK492" s="6"/>
      <c r="AL492" s="6"/>
      <c r="AM492" s="6"/>
    </row>
    <row r="493" spans="2:39" ht="15" thickBot="1" x14ac:dyDescent="0.35">
      <c r="B493" s="18"/>
      <c r="C493" s="12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8"/>
      <c r="R493" s="12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6"/>
      <c r="AJ493" s="6"/>
      <c r="AK493" s="6"/>
      <c r="AL493" s="6"/>
      <c r="AM493" s="6"/>
    </row>
    <row r="494" spans="2:39" ht="15" thickBot="1" x14ac:dyDescent="0.35">
      <c r="B494" s="20"/>
      <c r="C494" s="13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0"/>
      <c r="R494" s="13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21"/>
      <c r="AI494" s="6"/>
      <c r="AJ494" s="6"/>
      <c r="AK494" s="6"/>
      <c r="AL494" s="6"/>
      <c r="AM494" s="6"/>
    </row>
    <row r="495" spans="2:39" ht="15" thickBot="1" x14ac:dyDescent="0.35">
      <c r="B495" s="18"/>
      <c r="C495" s="12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8"/>
      <c r="R495" s="12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6"/>
      <c r="AJ495" s="6"/>
      <c r="AK495" s="6"/>
      <c r="AL495" s="6"/>
      <c r="AM495" s="6"/>
    </row>
    <row r="496" spans="2:39" ht="15" thickBot="1" x14ac:dyDescent="0.35">
      <c r="B496" s="20"/>
      <c r="C496" s="13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0"/>
      <c r="R496" s="13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  <c r="AH496" s="21"/>
      <c r="AI496" s="6"/>
      <c r="AJ496" s="6"/>
      <c r="AK496" s="6"/>
      <c r="AL496" s="6"/>
      <c r="AM496" s="6"/>
    </row>
    <row r="497" spans="2:39" ht="15" thickBot="1" x14ac:dyDescent="0.35">
      <c r="B497" s="18"/>
      <c r="C497" s="12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8"/>
      <c r="R497" s="12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6"/>
      <c r="AJ497" s="6"/>
      <c r="AK497" s="6"/>
      <c r="AL497" s="6"/>
      <c r="AM497" s="6"/>
    </row>
    <row r="498" spans="2:39" ht="15" thickBot="1" x14ac:dyDescent="0.35">
      <c r="B498" s="20"/>
      <c r="C498" s="13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0"/>
      <c r="R498" s="13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  <c r="AH498" s="21"/>
      <c r="AI498" s="6"/>
      <c r="AJ498" s="6"/>
      <c r="AK498" s="6"/>
      <c r="AL498" s="6"/>
      <c r="AM498" s="6"/>
    </row>
    <row r="499" spans="2:39" ht="15" thickBot="1" x14ac:dyDescent="0.35">
      <c r="B499" s="18"/>
      <c r="C499" s="12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8"/>
      <c r="R499" s="12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6"/>
      <c r="AJ499" s="6"/>
      <c r="AK499" s="6"/>
      <c r="AL499" s="6"/>
      <c r="AM499" s="6"/>
    </row>
    <row r="500" spans="2:39" ht="15" thickBot="1" x14ac:dyDescent="0.35">
      <c r="B500" s="20"/>
      <c r="C500" s="13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0"/>
      <c r="R500" s="13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6"/>
      <c r="AJ500" s="6"/>
      <c r="AK500" s="6"/>
      <c r="AL500" s="6"/>
      <c r="AM500" s="6"/>
    </row>
    <row r="501" spans="2:39" ht="15" thickBot="1" x14ac:dyDescent="0.35">
      <c r="B501" s="18"/>
      <c r="C501" s="12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8"/>
      <c r="R501" s="12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6"/>
      <c r="AJ501" s="6"/>
      <c r="AK501" s="6"/>
      <c r="AL501" s="6"/>
      <c r="AM501" s="6"/>
    </row>
    <row r="502" spans="2:39" ht="15" thickBot="1" x14ac:dyDescent="0.35">
      <c r="B502" s="20"/>
      <c r="C502" s="13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0"/>
      <c r="R502" s="13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21"/>
      <c r="AI502" s="6"/>
      <c r="AJ502" s="6"/>
      <c r="AK502" s="6"/>
      <c r="AL502" s="6"/>
      <c r="AM502" s="6"/>
    </row>
    <row r="503" spans="2:39" ht="15" thickBot="1" x14ac:dyDescent="0.35">
      <c r="B503" s="18"/>
      <c r="C503" s="12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8"/>
      <c r="R503" s="12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6"/>
      <c r="AJ503" s="6"/>
      <c r="AK503" s="6"/>
      <c r="AL503" s="6"/>
      <c r="AM503" s="6"/>
    </row>
    <row r="504" spans="2:39" ht="15" thickBot="1" x14ac:dyDescent="0.35">
      <c r="B504" s="20"/>
      <c r="C504" s="13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0"/>
      <c r="R504" s="13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21"/>
      <c r="AI504" s="6"/>
      <c r="AJ504" s="6"/>
      <c r="AK504" s="6"/>
      <c r="AL504" s="6"/>
      <c r="AM504" s="6"/>
    </row>
    <row r="505" spans="2:39" ht="15" thickBot="1" x14ac:dyDescent="0.35">
      <c r="B505" s="18"/>
      <c r="C505" s="12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8"/>
      <c r="R505" s="12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6"/>
      <c r="AJ505" s="6"/>
      <c r="AK505" s="6"/>
      <c r="AL505" s="6"/>
      <c r="AM505" s="6"/>
    </row>
    <row r="506" spans="2:39" ht="15" thickBot="1" x14ac:dyDescent="0.35">
      <c r="B506" s="20"/>
      <c r="C506" s="13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0"/>
      <c r="R506" s="13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  <c r="AH506" s="21"/>
      <c r="AI506" s="6"/>
      <c r="AJ506" s="6"/>
      <c r="AK506" s="6"/>
      <c r="AL506" s="6"/>
      <c r="AM506" s="6"/>
    </row>
  </sheetData>
  <autoFilter ref="A6:AM6" xr:uid="{00000000-0009-0000-0000-000000000000}">
    <sortState xmlns:xlrd2="http://schemas.microsoft.com/office/spreadsheetml/2017/richdata2" ref="A7:AM207">
      <sortCondition descending="1" ref="A6"/>
    </sortState>
  </autoFilter>
  <mergeCells count="6">
    <mergeCell ref="AI1:AM1"/>
    <mergeCell ref="AB3:AC3"/>
    <mergeCell ref="H3:L3"/>
    <mergeCell ref="W3:AA3"/>
    <mergeCell ref="M3:O3"/>
    <mergeCell ref="AD3:AG3"/>
  </mergeCells>
  <hyperlinks>
    <hyperlink ref="B6" r:id="rId1" display="https://www.whatifsports.com/hbd/Pages/GM/AmateurDraftPlayerPool.aspx" xr:uid="{12539D98-42AD-40CE-8997-02D9BCB62D2D}"/>
    <hyperlink ref="C6" r:id="rId2" display="https://www.whatifsports.com/hbd/Pages/GM/AmateurDraftPlayerPool.aspx" xr:uid="{948CE900-8192-4CC0-B3D1-5F348AB648E0}"/>
    <hyperlink ref="D6" r:id="rId3" display="https://www.whatifsports.com/hbd/Pages/GM/AmateurDraftPlayerPool.aspx" xr:uid="{3E93C675-F5EB-4649-A185-FD44AC5E87EE}"/>
    <hyperlink ref="E6" r:id="rId4" display="https://www.whatifsports.com/hbd/Pages/GM/AmateurDraftPlayerPool.aspx" xr:uid="{F7A42D4F-0C4B-4D24-93B1-F2A41B3191AD}"/>
    <hyperlink ref="F6" r:id="rId5" display="https://www.whatifsports.com/hbd/Pages/GM/AmateurDraftPlayerPool.aspx" xr:uid="{5763B9EC-FAD5-4506-A277-FD6B28F917A1}"/>
    <hyperlink ref="G6" r:id="rId6" display="https://www.whatifsports.com/hbd/Pages/GM/AmateurDraftPlayerPool.aspx" xr:uid="{7081352E-94F9-4D00-B577-2842D1B3CE00}"/>
    <hyperlink ref="C7" r:id="rId7" tooltip="Open Prospect Profile" display="https://www.whatifsports.com/hbd/Pages/Popups/ProspectProfile.aspx?pid=13631431" xr:uid="{45C8AE6E-3C6A-42C1-905C-8D218397F5A0}"/>
    <hyperlink ref="C16" r:id="rId8" tooltip="Open Prospect Profile" display="https://www.whatifsports.com/hbd/Pages/Popups/ProspectProfile.aspx?pid=13631837" xr:uid="{BCF17356-E494-4173-A694-4F359C45991E}"/>
    <hyperlink ref="C151" r:id="rId9" tooltip="Open Prospect Profile" display="https://www.whatifsports.com/hbd/Pages/Popups/ProspectProfile.aspx?pid=13632168" xr:uid="{61EFF4AA-B06D-4112-8982-BBD0A181094C}"/>
    <hyperlink ref="C10" r:id="rId10" tooltip="Open Prospect Profile" display="https://www.whatifsports.com/hbd/Pages/Popups/ProspectProfile.aspx?pid=13631500" xr:uid="{614A544A-7E6A-4B5C-B241-CFB9307378EA}"/>
    <hyperlink ref="C11" r:id="rId11" tooltip="Open Prospect Profile" display="https://www.whatifsports.com/hbd/Pages/Popups/ProspectProfile.aspx?pid=13631732" xr:uid="{D31B23D2-9DD6-491B-9952-4F180A3B8D5F}"/>
    <hyperlink ref="C170" r:id="rId12" tooltip="Open Prospect Profile" display="https://www.whatifsports.com/hbd/Pages/Popups/ProspectProfile.aspx?pid=13632232" xr:uid="{A34ABAC7-A408-46A9-A180-5ECE948F4222}"/>
    <hyperlink ref="C106" r:id="rId13" tooltip="Open Prospect Profile" display="https://www.whatifsports.com/hbd/Pages/Popups/ProspectProfile.aspx?pid=13632221" xr:uid="{DB944673-0B3B-422D-BE9B-FC96FF587EC9}"/>
    <hyperlink ref="C12" r:id="rId14" tooltip="Open Prospect Profile" display="https://www.whatifsports.com/hbd/Pages/Popups/ProspectProfile.aspx?pid=13631506" xr:uid="{11DFD4BE-0523-4D76-BBE7-4C46EBC67C26}"/>
    <hyperlink ref="C112" r:id="rId15" tooltip="Open Prospect Profile" display="https://www.whatifsports.com/hbd/Pages/Popups/ProspectProfile.aspx?pid=13632238" xr:uid="{B70F9071-3884-4238-A55F-EB8A5A440FDD}"/>
    <hyperlink ref="C8" r:id="rId16" tooltip="Open Prospect Profile" display="https://www.whatifsports.com/hbd/Pages/Popups/ProspectProfile.aspx?pid=13631433" xr:uid="{54E1BB72-A984-4EAB-BA94-030E25E5EE38}"/>
    <hyperlink ref="C124" r:id="rId17" tooltip="Open Prospect Profile" display="https://www.whatifsports.com/hbd/Pages/Popups/ProspectProfile.aspx?pid=13632211" xr:uid="{F4CCC2A7-2435-45FF-99D4-9BAD4DB16282}"/>
    <hyperlink ref="C20" r:id="rId18" tooltip="Open Prospect Profile" display="https://www.whatifsports.com/hbd/Pages/Popups/ProspectProfile.aspx?pid=13631772" xr:uid="{3544ED6B-9288-4187-885C-3B921DE8A452}"/>
    <hyperlink ref="C13" r:id="rId19" tooltip="Open Prospect Profile" display="https://www.whatifsports.com/hbd/Pages/Popups/ProspectProfile.aspx?pid=13631714" xr:uid="{549485BA-CC68-4151-8590-999BC2331F00}"/>
    <hyperlink ref="C196" r:id="rId20" tooltip="Open Prospect Profile" display="https://www.whatifsports.com/hbd/Pages/Popups/ProspectProfile.aspx?pid=13632205" xr:uid="{AAB7A027-9E2D-4A6F-996E-7E7A8CC35176}"/>
    <hyperlink ref="C15" r:id="rId21" tooltip="Open Prospect Profile" display="https://www.whatifsports.com/hbd/Pages/Popups/ProspectProfile.aspx?pid=13631505" xr:uid="{007DD1A3-7CC7-42F8-BB1F-33D056E80722}"/>
    <hyperlink ref="C159" r:id="rId22" tooltip="Open Prospect Profile" display="https://www.whatifsports.com/hbd/Pages/Popups/ProspectProfile.aspx?pid=13632233" xr:uid="{043CDBC7-FB3A-4801-86C2-3351DD48D96E}"/>
    <hyperlink ref="C130" r:id="rId23" tooltip="Open Prospect Profile" display="https://www.whatifsports.com/hbd/Pages/Popups/ProspectProfile.aspx?pid=13632194" xr:uid="{74291C75-A8CF-49E9-8B33-788FA1C3CA66}"/>
    <hyperlink ref="C14" r:id="rId24" tooltip="Open Prospect Profile" display="https://www.whatifsports.com/hbd/Pages/Popups/ProspectProfile.aspx?pid=13631607" xr:uid="{1B87DB44-C098-4C3D-BECE-0C2AA60ADD08}"/>
    <hyperlink ref="C171" r:id="rId25" tooltip="Open Prospect Profile" display="https://www.whatifsports.com/hbd/Pages/Popups/ProspectProfile.aspx?pid=13632223" xr:uid="{8B7843FF-01DB-4F12-BF59-C9E9354CC8A0}"/>
    <hyperlink ref="C149" r:id="rId26" tooltip="Open Prospect Profile" display="https://www.whatifsports.com/hbd/Pages/Popups/ProspectProfile.aspx?pid=13632216" xr:uid="{3E0767BB-5BA8-4BDB-B792-1554AADDD54E}"/>
    <hyperlink ref="C18" r:id="rId27" tooltip="Open Prospect Profile" display="https://www.whatifsports.com/hbd/Pages/Popups/ProspectProfile.aspx?pid=13631677" xr:uid="{77B26FF1-EF06-4D1C-8D81-36C074A49002}"/>
    <hyperlink ref="C139" r:id="rId28" tooltip="Open Prospect Profile" display="https://www.whatifsports.com/hbd/Pages/Popups/ProspectProfile.aspx?pid=13632237" xr:uid="{9737B4FC-2DA6-49AB-8C49-7CFB20EE671A}"/>
    <hyperlink ref="C185" r:id="rId29" tooltip="Open Prospect Profile" display="https://www.whatifsports.com/hbd/Pages/Popups/ProspectProfile.aspx?pid=13632234" xr:uid="{DB8B0D21-64AF-44C3-BFE6-33B8B08F5B21}"/>
    <hyperlink ref="C110" r:id="rId30" tooltip="Open Prospect Profile" display="https://www.whatifsports.com/hbd/Pages/Popups/ProspectProfile.aspx?pid=13632217" xr:uid="{2F25C5B2-DE0B-44D1-AC01-6BE2A745D04D}"/>
    <hyperlink ref="C119" r:id="rId31" tooltip="Open Prospect Profile" display="https://www.whatifsports.com/hbd/Pages/Popups/ProspectProfile.aspx?pid=13632171" xr:uid="{A5B229AA-1463-4545-B6EC-262D4CD6951A}"/>
    <hyperlink ref="C33" r:id="rId32" tooltip="Open Prospect Profile" display="https://www.whatifsports.com/hbd/Pages/Popups/ProspectProfile.aspx?pid=13631551" xr:uid="{CA74B6FD-CF6D-46F9-BAD1-E39286C8B436}"/>
    <hyperlink ref="C19" r:id="rId33" tooltip="Open Prospect Profile" display="https://www.whatifsports.com/hbd/Pages/Popups/ProspectProfile.aspx?pid=13631767" xr:uid="{4B327944-B818-4141-ADFA-DB4A26966CCF}"/>
    <hyperlink ref="C22" r:id="rId34" tooltip="Open Prospect Profile" display="https://www.whatifsports.com/hbd/Pages/Popups/ProspectProfile.aspx?pid=13631591" xr:uid="{230EF711-91BD-48A7-ABA9-EA3F9E866197}"/>
    <hyperlink ref="C115" r:id="rId35" tooltip="Open Prospect Profile" display="https://www.whatifsports.com/hbd/Pages/Popups/ProspectProfile.aspx?pid=13632212" xr:uid="{11FE05BF-10E9-4981-886F-8E7E6AD87AE6}"/>
    <hyperlink ref="C24" r:id="rId36" tooltip="Open Prospect Profile" display="https://www.whatifsports.com/hbd/Pages/Popups/ProspectProfile.aspx?pid=13631672" xr:uid="{1EC31BB2-EFE9-4829-AF98-B63F5D1441FA}"/>
    <hyperlink ref="C36" r:id="rId37" tooltip="Open Prospect Profile" display="https://www.whatifsports.com/hbd/Pages/Popups/ProspectProfile.aspx?pid=13631617" xr:uid="{4B1C6CFC-9D9C-4DDE-9D0F-CA7A905E8C08}"/>
    <hyperlink ref="C28" r:id="rId38" tooltip="Open Prospect Profile" display="https://www.whatifsports.com/hbd/Pages/Popups/ProspectProfile.aspx?pid=13631507" xr:uid="{872D850D-1129-4D06-B545-D073550D1287}"/>
    <hyperlink ref="C114" r:id="rId39" tooltip="Open Prospect Profile" display="https://www.whatifsports.com/hbd/Pages/Popups/ProspectProfile.aspx?pid=13632207" xr:uid="{CD29BAC1-9647-4D24-A0BD-EE48FF79B7FE}"/>
    <hyperlink ref="C21" r:id="rId40" tooltip="Open Prospect Profile" display="https://www.whatifsports.com/hbd/Pages/Popups/ProspectProfile.aspx?pid=13631605" xr:uid="{B7525BFE-48AD-4E89-BDAE-79D29FC03596}"/>
    <hyperlink ref="C147" r:id="rId41" tooltip="Open Prospect Profile" display="https://www.whatifsports.com/hbd/Pages/Popups/ProspectProfile.aspx?pid=13632229" xr:uid="{104EEE1A-83D1-4FE3-9778-D527F46A895E}"/>
    <hyperlink ref="C25" r:id="rId42" tooltip="Open Prospect Profile" display="https://www.whatifsports.com/hbd/Pages/Popups/ProspectProfile.aspx?pid=13631678" xr:uid="{C3CD7356-03B8-4C4E-832E-D69F0EE402CD}"/>
    <hyperlink ref="C169" r:id="rId43" tooltip="Open Prospect Profile" display="https://www.whatifsports.com/hbd/Pages/Popups/ProspectProfile.aspx?pid=13632197" xr:uid="{41B6663B-C2BE-4617-998E-73B96B429C2E}"/>
    <hyperlink ref="C164" r:id="rId44" tooltip="Open Prospect Profile" display="https://www.whatifsports.com/hbd/Pages/Popups/ProspectProfile.aspx?pid=13632178" xr:uid="{46776465-4FBD-4C31-863B-B85C526944D6}"/>
    <hyperlink ref="C47" r:id="rId45" tooltip="Open Prospect Profile" display="https://www.whatifsports.com/hbd/Pages/Popups/ProspectProfile.aspx?pid=13631839" xr:uid="{B028B4C4-E6F7-48A4-A425-501893EBA609}"/>
    <hyperlink ref="C39" r:id="rId46" tooltip="Open Prospect Profile" display="https://www.whatifsports.com/hbd/Pages/Popups/ProspectProfile.aspx?pid=13631730" xr:uid="{650ABB86-E49A-4F98-A959-8D7C56AA7E00}"/>
    <hyperlink ref="C192" r:id="rId47" tooltip="Open Prospect Profile" display="https://www.whatifsports.com/hbd/Pages/Popups/ProspectProfile.aspx?pid=13632199" xr:uid="{D0DDF1C4-AD2C-410D-8D08-745BE9311AF2}"/>
    <hyperlink ref="C31" r:id="rId48" tooltip="Open Prospect Profile" display="https://www.whatifsports.com/hbd/Pages/Popups/ProspectProfile.aspx?pid=13631833" xr:uid="{C9040CBF-7201-4EC7-9527-F27301780EE0}"/>
    <hyperlink ref="C23" r:id="rId49" tooltip="Open Prospect Profile" display="https://www.whatifsports.com/hbd/Pages/Popups/ProspectProfile.aspx?pid=13631673" xr:uid="{36E109F5-F99E-4390-84CD-1BFB1CD8D2DA}"/>
    <hyperlink ref="C32" r:id="rId50" tooltip="Open Prospect Profile" display="https://www.whatifsports.com/hbd/Pages/Popups/ProspectProfile.aspx?pid=13631454" xr:uid="{D776342A-C89E-47A1-892F-B737D57120D2}"/>
    <hyperlink ref="C179" r:id="rId51" tooltip="Open Prospect Profile" display="https://www.whatifsports.com/hbd/Pages/Popups/ProspectProfile.aspx?pid=13632172" xr:uid="{90FCF5DF-935F-4FA6-B9FB-7996028AA373}"/>
    <hyperlink ref="C118" r:id="rId52" tooltip="Open Prospect Profile" display="https://www.whatifsports.com/hbd/Pages/Popups/ProspectProfile.aspx?pid=13632087" xr:uid="{311CAB7D-0B17-480D-B7FB-E167DC48DC5C}"/>
    <hyperlink ref="C17" r:id="rId53" tooltip="Open Prospect Profile" display="https://www.whatifsports.com/hbd/Pages/Popups/ProspectProfile.aspx?pid=13631674" xr:uid="{668DDC9A-015D-4113-B7B9-57D0F4D4AD53}"/>
    <hyperlink ref="C9" r:id="rId54" tooltip="Open Prospect Profile" display="https://www.whatifsports.com/hbd/Pages/Popups/ProspectProfile.aspx?pid=13631497" xr:uid="{5FCDD2B4-8580-4DAA-8636-7F509A1B6D95}"/>
    <hyperlink ref="C27" r:id="rId55" tooltip="Open Prospect Profile" display="https://www.whatifsports.com/hbd/Pages/Popups/ProspectProfile.aspx?pid=13631429" xr:uid="{981510EE-71F5-4F89-9665-2F527BC26CAF}"/>
    <hyperlink ref="C177" r:id="rId56" tooltip="Open Prospect Profile" display="https://www.whatifsports.com/hbd/Pages/Popups/ProspectProfile.aspx?pid=13632208" xr:uid="{1DB3A9A0-8980-4F64-8B9F-14331222AD7B}"/>
    <hyperlink ref="C195" r:id="rId57" tooltip="Open Prospect Profile" display="https://www.whatifsports.com/hbd/Pages/Popups/ProspectProfile.aspx?pid=13632206" xr:uid="{777AF901-63DD-4F25-9C22-5CCD86501569}"/>
    <hyperlink ref="C128" r:id="rId58" tooltip="Open Prospect Profile" display="https://www.whatifsports.com/hbd/Pages/Popups/ProspectProfile.aspx?pid=13632169" xr:uid="{4D96EC23-5C36-4618-A6E3-76CD6D44AE08}"/>
    <hyperlink ref="C152" r:id="rId59" tooltip="Open Prospect Profile" display="https://www.whatifsports.com/hbd/Pages/Popups/ProspectProfile.aspx?pid=13632143" xr:uid="{1205FF8D-1297-4A4E-A713-0D786B970658}"/>
    <hyperlink ref="C116" r:id="rId60" tooltip="Open Prospect Profile" display="https://www.whatifsports.com/hbd/Pages/Popups/ProspectProfile.aspx?pid=13631900" xr:uid="{105B57BF-A2CB-4196-A25E-3B09AC5FEF89}"/>
    <hyperlink ref="C35" r:id="rId61" tooltip="Open Prospect Profile" display="https://www.whatifsports.com/hbd/Pages/Popups/ProspectProfile.aspx?pid=13631768" xr:uid="{6E5F3879-0C70-4837-AAB6-E51547400A71}"/>
    <hyperlink ref="C34" r:id="rId62" tooltip="Open Prospect Profile" display="https://www.whatifsports.com/hbd/Pages/Popups/ProspectProfile.aspx?pid=13631725" xr:uid="{1C722858-CCF0-4D18-90EF-AF74EDBD48CA}"/>
    <hyperlink ref="C48" r:id="rId63" tooltip="Open Prospect Profile" display="https://www.whatifsports.com/hbd/Pages/Popups/ProspectProfile.aspx?pid=13631701" xr:uid="{1CB29102-5CC1-4BC3-97E8-68B7BF3900D3}"/>
    <hyperlink ref="C51" r:id="rId64" tooltip="Open Prospect Profile" display="https://www.whatifsports.com/hbd/Pages/Popups/ProspectProfile.aspx?pid=13631541" xr:uid="{34DB6756-6556-4B0D-BBEB-2F23E22575A7}"/>
    <hyperlink ref="C50" r:id="rId65" tooltip="Open Prospect Profile" display="https://www.whatifsports.com/hbd/Pages/Popups/ProspectProfile.aspx?pid=13631579" xr:uid="{C4D90F60-C1FA-496F-93D3-7DA14C59110F}"/>
    <hyperlink ref="C41" r:id="rId66" tooltip="Open Prospect Profile" display="https://www.whatifsports.com/hbd/Pages/Popups/ProspectProfile.aspx?pid=13631552" xr:uid="{D6A8AC35-5DFD-4E73-89CB-67C8B6C3A34B}"/>
    <hyperlink ref="C126" r:id="rId67" tooltip="Open Prospect Profile" display="https://www.whatifsports.com/hbd/Pages/Popups/ProspectProfile.aspx?pid=13632224" xr:uid="{201C488B-F681-43C9-90EB-6003EF4C25B4}"/>
    <hyperlink ref="C121" r:id="rId68" tooltip="Open Prospect Profile" display="https://www.whatifsports.com/hbd/Pages/Popups/ProspectProfile.aspx?pid=13632130" xr:uid="{8709F205-A887-41DE-8804-A4D6E435E117}"/>
    <hyperlink ref="C137" r:id="rId69" tooltip="Open Prospect Profile" display="https://www.whatifsports.com/hbd/Pages/Popups/ProspectProfile.aspx?pid=13632035" xr:uid="{75B74A4F-2A4E-4CE1-920E-D73554B8626E}"/>
    <hyperlink ref="C162" r:id="rId70" tooltip="Open Prospect Profile" display="https://www.whatifsports.com/hbd/Pages/Popups/ProspectProfile.aspx?pid=13632066" xr:uid="{3776D1DB-FF65-469E-A475-7C20290A4B8C}"/>
    <hyperlink ref="C161" r:id="rId71" tooltip="Open Prospect Profile" display="https://www.whatifsports.com/hbd/Pages/Popups/ProspectProfile.aspx?pid=13632052" xr:uid="{E6EB614E-0643-42C1-9FDB-8C92058454C5}"/>
    <hyperlink ref="C46" r:id="rId72" tooltip="Open Prospect Profile" display="https://www.whatifsports.com/hbd/Pages/Popups/ProspectProfile.aspx?pid=13631838" xr:uid="{18941D84-F006-48BD-8569-B4D8E607DC7F}"/>
    <hyperlink ref="C56" r:id="rId73" tooltip="Open Prospect Profile" display="https://www.whatifsports.com/hbd/Pages/Popups/ProspectProfile.aspx?pid=13631718" xr:uid="{DBCDCFD6-BBF5-4D61-A4DC-793470B68A75}"/>
    <hyperlink ref="C30" r:id="rId74" tooltip="Open Prospect Profile" display="https://www.whatifsports.com/hbd/Pages/Popups/ProspectProfile.aspx?pid=13631585" xr:uid="{7191F9E5-1F04-49D9-8180-23C6FACEED8B}"/>
    <hyperlink ref="C44" r:id="rId75" tooltip="Open Prospect Profile" display="https://www.whatifsports.com/hbd/Pages/Popups/ProspectProfile.aspx?pid=13631409" xr:uid="{5DC3304B-094C-4BFA-8BF6-0D8B1F751EBC}"/>
    <hyperlink ref="C157" r:id="rId76" tooltip="Open Prospect Profile" display="https://www.whatifsports.com/hbd/Pages/Popups/ProspectProfile.aspx?pid=13631852" xr:uid="{DA8C97A9-AD00-4D17-BE4C-6BBD365CC12D}"/>
    <hyperlink ref="C57" r:id="rId77" tooltip="Open Prospect Profile" display="https://www.whatifsports.com/hbd/Pages/Popups/ProspectProfile.aspx?pid=13631699" xr:uid="{A956A2AB-92FB-4D13-BE3B-600D333DD66B}"/>
    <hyperlink ref="C26" r:id="rId78" tooltip="Open Prospect Profile" display="https://www.whatifsports.com/hbd/Pages/Popups/ProspectProfile.aspx?pid=13631667" xr:uid="{200C5341-FA25-4F66-83C9-6AE156A13A22}"/>
    <hyperlink ref="C49" r:id="rId79" tooltip="Open Prospect Profile" display="https://www.whatifsports.com/hbd/Pages/Popups/ProspectProfile.aspx?pid=13631484" xr:uid="{1B565F85-2406-4B1C-8F38-6597504D6A40}"/>
    <hyperlink ref="C144" r:id="rId80" tooltip="Open Prospect Profile" display="https://www.whatifsports.com/hbd/Pages/Popups/ProspectProfile.aspx?pid=13632075" xr:uid="{F39AE4A8-7E7E-480D-A29A-144725DD77FB}"/>
    <hyperlink ref="C113" r:id="rId81" tooltip="Open Prospect Profile" display="https://www.whatifsports.com/hbd/Pages/Popups/ProspectProfile.aspx?pid=13631977" xr:uid="{F75C7070-60BC-4A0C-944F-71B5B6857948}"/>
    <hyperlink ref="C153" r:id="rId82" tooltip="Open Prospect Profile" display="https://www.whatifsports.com/hbd/Pages/Popups/ProspectProfile.aspx?pid=13631972" xr:uid="{2908E0DE-3139-4BDA-9254-5294F93F1A1D}"/>
    <hyperlink ref="C204" r:id="rId83" tooltip="Open Prospect Profile" display="https://www.whatifsports.com/hbd/Pages/Popups/ProspectProfile.aspx?pid=13631946" xr:uid="{C0465E0A-9328-4A95-810B-59CC1941FB02}"/>
    <hyperlink ref="C59" r:id="rId84" tooltip="Open Prospect Profile" display="https://www.whatifsports.com/hbd/Pages/Popups/ProspectProfile.aspx?pid=13631478" xr:uid="{1014CE2E-F011-4130-B33F-1BF1787F2D59}"/>
    <hyperlink ref="C175" r:id="rId85" tooltip="Open Prospect Profile" display="https://www.whatifsports.com/hbd/Pages/Popups/ProspectProfile.aspx?pid=13632160" xr:uid="{0CCE2CF8-5647-461C-9977-EEDD7BC1B5E9}"/>
    <hyperlink ref="C66" r:id="rId86" tooltip="Open Prospect Profile" display="https://www.whatifsports.com/hbd/Pages/Popups/ProspectProfile.aspx?pid=13631835" xr:uid="{F0B07943-6DD8-4E7E-8041-6A792053794A}"/>
    <hyperlink ref="C54" r:id="rId87" tooltip="Open Prospect Profile" display="https://www.whatifsports.com/hbd/Pages/Popups/ProspectProfile.aspx?pid=13631567" xr:uid="{9421DCA7-F303-4BD0-92FF-A6A9CABA8A99}"/>
    <hyperlink ref="C155" r:id="rId88" tooltip="Open Prospect Profile" display="https://www.whatifsports.com/hbd/Pages/Popups/ProspectProfile.aspx?pid=13632099" xr:uid="{CD6D944E-6F94-4F72-88D1-A78BA6680D5B}"/>
    <hyperlink ref="C109" r:id="rId89" tooltip="Open Prospect Profile" display="https://www.whatifsports.com/hbd/Pages/Popups/ProspectProfile.aspx?pid=13632030" xr:uid="{9FF92853-6D2F-4BDC-8493-EF93449D2E42}"/>
    <hyperlink ref="C55" r:id="rId90" tooltip="Open Prospect Profile" display="https://www.whatifsports.com/hbd/Pages/Popups/ProspectProfile.aspx?pid=13631731" xr:uid="{124261B4-2E20-459C-B8F8-CCA2FF9C02B2}"/>
    <hyperlink ref="C40" r:id="rId91" tooltip="Open Prospect Profile" display="https://www.whatifsports.com/hbd/Pages/Popups/ProspectProfile.aspx?pid=13631583" xr:uid="{1C1C3AF6-F675-4BC4-BD51-54BBA09DD6C9}"/>
    <hyperlink ref="C68" r:id="rId92" tooltip="Open Prospect Profile" display="https://www.whatifsports.com/hbd/Pages/Popups/ProspectProfile.aspx?pid=13631482" xr:uid="{5F322499-CE5D-45E9-BC42-3574E3E82327}"/>
    <hyperlink ref="C184" r:id="rId93" tooltip="Open Prospect Profile" display="https://www.whatifsports.com/hbd/Pages/Popups/ProspectProfile.aspx?pid=13632183" xr:uid="{94BF55DE-4784-4311-844B-B5FCEAC224A4}"/>
    <hyperlink ref="C142" r:id="rId94" tooltip="Open Prospect Profile" display="https://www.whatifsports.com/hbd/Pages/Popups/ProspectProfile.aspx?pid=13632084" xr:uid="{5240ACC3-4C71-4DEB-A3B0-51127D498CCF}"/>
    <hyperlink ref="C193" r:id="rId95" tooltip="Open Prospect Profile" display="https://www.whatifsports.com/hbd/Pages/Popups/ProspectProfile.aspx?pid=13632022" xr:uid="{A944CADA-5AEE-4B16-A4FB-8D91B21C91DE}"/>
    <hyperlink ref="C58" r:id="rId96" tooltip="Open Prospect Profile" display="https://www.whatifsports.com/hbd/Pages/Popups/ProspectProfile.aspx?pid=13631584" xr:uid="{29DF5D8D-C18D-476C-A461-429D84D59CD8}"/>
    <hyperlink ref="C43" r:id="rId97" tooltip="Open Prospect Profile" display="https://www.whatifsports.com/hbd/Pages/Popups/ProspectProfile.aspx?pid=13631555" xr:uid="{D7B1E220-006A-4CFF-BD80-EDB6E9650FC6}"/>
    <hyperlink ref="C123" r:id="rId98" tooltip="Open Prospect Profile" display="https://www.whatifsports.com/hbd/Pages/Popups/ProspectProfile.aspx?pid=13632123" xr:uid="{EA331F72-D693-4735-8F4E-B435953BB6E4}"/>
    <hyperlink ref="C132" r:id="rId99" tooltip="Open Prospect Profile" display="https://www.whatifsports.com/hbd/Pages/Popups/ProspectProfile.aspx?pid=13632104" xr:uid="{7C12E49D-ADF8-4261-BE31-108341DB50A3}"/>
    <hyperlink ref="C70" r:id="rId100" tooltip="Open Prospect Profile" display="https://www.whatifsports.com/hbd/Pages/Popups/ProspectProfile.aspx?pid=13631459" xr:uid="{E40F6C0F-82AF-4579-AA39-D06DE8AF6223}"/>
    <hyperlink ref="C133" r:id="rId101" tooltip="Open Prospect Profile" display="https://www.whatifsports.com/hbd/Pages/Popups/ProspectProfile.aspx?pid=13632001" xr:uid="{7973E313-0458-4B2F-A931-064F73B72589}"/>
    <hyperlink ref="C136" r:id="rId102" tooltip="Open Prospect Profile" display="https://www.whatifsports.com/hbd/Pages/Popups/ProspectProfile.aspx?pid=13631874" xr:uid="{C5B9FD5E-AFB8-41CC-BFF2-3D740E9AED81}"/>
    <hyperlink ref="C73" r:id="rId103" tooltip="Open Prospect Profile" display="https://www.whatifsports.com/hbd/Pages/Popups/ProspectProfile.aspx?pid=13631457" xr:uid="{5F64EA6D-F9B2-4355-A282-9A59244F6468}"/>
    <hyperlink ref="C72" r:id="rId104" tooltip="Open Prospect Profile" display="https://www.whatifsports.com/hbd/Pages/Popups/ProspectProfile.aspx?pid=13631635" xr:uid="{0F6D4C3C-2E7B-4300-8F20-E3284E685BBE}"/>
    <hyperlink ref="C183" r:id="rId105" tooltip="Open Prospect Profile" display="https://www.whatifsports.com/hbd/Pages/Popups/ProspectProfile.aspx?pid=13632213" xr:uid="{0A86D031-AA13-4422-9E32-99A7A7B76615}"/>
    <hyperlink ref="C166" r:id="rId106" tooltip="Open Prospect Profile" display="https://www.whatifsports.com/hbd/Pages/Popups/ProspectProfile.aspx?pid=13632131" xr:uid="{753EA97B-E6C2-486E-AD15-1A7855C00DC9}"/>
    <hyperlink ref="C138" r:id="rId107" tooltip="Open Prospect Profile" display="https://www.whatifsports.com/hbd/Pages/Popups/ProspectProfile.aspx?pid=13631989" xr:uid="{09EC5698-AFC9-4D77-B555-6C57B448B89D}"/>
    <hyperlink ref="C108" r:id="rId108" tooltip="Open Prospect Profile" display="https://www.whatifsports.com/hbd/Pages/Popups/ProspectProfile.aspx?pid=13631916" xr:uid="{EAD4D3E8-AA40-4693-BDC4-9F639C3D096A}"/>
    <hyperlink ref="C79" r:id="rId109" tooltip="Open Prospect Profile" display="https://www.whatifsports.com/hbd/Pages/Popups/ProspectProfile.aspx?pid=13631716" xr:uid="{23BE0993-AF3F-4EBC-BBC9-83F6E72B0CDC}"/>
    <hyperlink ref="C85" r:id="rId110" tooltip="Open Prospect Profile" display="https://www.whatifsports.com/hbd/Pages/Popups/ProspectProfile.aspx?pid=13631471" xr:uid="{F8A4A571-094D-46E0-9743-867651FD7758}"/>
    <hyperlink ref="C60" r:id="rId111" tooltip="Open Prospect Profile" display="https://www.whatifsports.com/hbd/Pages/Popups/ProspectProfile.aspx?pid=13631437" xr:uid="{EE9028BA-C423-41ED-A6BD-000642B12C3D}"/>
    <hyperlink ref="C200" r:id="rId112" tooltip="Open Prospect Profile" display="https://www.whatifsports.com/hbd/Pages/Popups/ProspectProfile.aspx?pid=13632236" xr:uid="{F69C6FB3-CCCA-48F3-8001-4FEEC8DA9F1B}"/>
    <hyperlink ref="C181" r:id="rId113" tooltip="Open Prospect Profile" display="https://www.whatifsports.com/hbd/Pages/Popups/ProspectProfile.aspx?pid=13631904" xr:uid="{F59EEE73-260B-4275-81FE-4970FF53346F}"/>
    <hyperlink ref="C63" r:id="rId114" tooltip="Open Prospect Profile" display="https://www.whatifsports.com/hbd/Pages/Popups/ProspectProfile.aspx?pid=13631468" xr:uid="{318EA199-7596-42EF-A361-610C4B22A64B}"/>
    <hyperlink ref="C90" r:id="rId115" tooltip="Open Prospect Profile" display="https://www.whatifsports.com/hbd/Pages/Popups/ProspectProfile.aspx?pid=13631453" xr:uid="{8BE8DB1D-85C0-42FB-9AC7-C95F36001C36}"/>
    <hyperlink ref="C140" r:id="rId116" tooltip="Open Prospect Profile" display="https://www.whatifsports.com/hbd/Pages/Popups/ProspectProfile.aspx?pid=13632204" xr:uid="{E29983B4-2D5F-4314-B9EA-CE23669758DD}"/>
    <hyperlink ref="C189" r:id="rId117" tooltip="Open Prospect Profile" display="https://www.whatifsports.com/hbd/Pages/Popups/ProspectProfile.aspx?pid=13632186" xr:uid="{7220E6FD-4995-465D-BAA4-EECC3345B78E}"/>
    <hyperlink ref="C178" r:id="rId118" tooltip="Open Prospect Profile" display="https://www.whatifsports.com/hbd/Pages/Popups/ProspectProfile.aspx?pid=13632149" xr:uid="{6A60F2D7-C4EC-4B12-8A98-187A0C67E1BA}"/>
    <hyperlink ref="C201" r:id="rId119" tooltip="Open Prospect Profile" display="https://www.whatifsports.com/hbd/Pages/Popups/ProspectProfile.aspx?pid=13632019" xr:uid="{A73CBA5F-2D75-4EA6-8DEB-FE163D533D80}"/>
    <hyperlink ref="C104" r:id="rId120" tooltip="Open Prospect Profile" display="https://www.whatifsports.com/hbd/Pages/Popups/ProspectProfile.aspx?pid=13631836" xr:uid="{96FF04EB-6965-4FA1-A9F9-5BF9B20C3FA4}"/>
    <hyperlink ref="C167" r:id="rId121" tooltip="Open Prospect Profile" display="https://www.whatifsports.com/hbd/Pages/Popups/ProspectProfile.aspx?pid=13632201" xr:uid="{6341AFE4-C39A-47C4-B347-530BBFA16A94}"/>
    <hyperlink ref="C158" r:id="rId122" tooltip="Open Prospect Profile" display="https://www.whatifsports.com/hbd/Pages/Popups/ProspectProfile.aspx?pid=13632085" xr:uid="{B94164CF-1071-43F0-A5AC-DECFD6F3034C}"/>
    <hyperlink ref="C206" r:id="rId123" tooltip="Open Prospect Profile" display="https://www.whatifsports.com/hbd/Pages/Popups/ProspectProfile.aspx?pid=13632055" xr:uid="{9ECB55D8-9B75-4ED0-8F44-4B7D2AA9CF6F}"/>
    <hyperlink ref="C203" r:id="rId124" tooltip="Open Prospect Profile" display="https://www.whatifsports.com/hbd/Pages/Popups/ProspectProfile.aspx?pid=13632036" xr:uid="{50C053AD-61D8-4C63-8F8E-7B48382BA170}"/>
    <hyperlink ref="C180" r:id="rId125" tooltip="Open Prospect Profile" display="https://www.whatifsports.com/hbd/Pages/Popups/ProspectProfile.aspx?pid=13631991" xr:uid="{0FB1D418-02AF-4C24-9D22-7CC9411A8589}"/>
    <hyperlink ref="C53" r:id="rId126" tooltip="Open Prospect Profile" display="https://www.whatifsports.com/hbd/Pages/Popups/ProspectProfile.aspx?pid=13631414" xr:uid="{1532BEA6-ABED-4ACD-9065-E75DCBA6792B}"/>
    <hyperlink ref="C156" r:id="rId127" tooltip="Open Prospect Profile" display="https://www.whatifsports.com/hbd/Pages/Popups/ProspectProfile.aspx?pid=13632107" xr:uid="{2CB21462-46D7-49ED-B487-61C8397F8E00}"/>
    <hyperlink ref="C168" r:id="rId128" tooltip="Open Prospect Profile" display="https://www.whatifsports.com/hbd/Pages/Popups/ProspectProfile.aspx?pid=13632071" xr:uid="{B07BB8BE-59DF-46AF-9335-ABDEA323D4FD}"/>
    <hyperlink ref="C194" r:id="rId129" tooltip="Open Prospect Profile" display="https://www.whatifsports.com/hbd/Pages/Popups/ProspectProfile.aspx?pid=13631926" xr:uid="{6C74D04E-2374-4492-BA8C-5D08EC83230E}"/>
    <hyperlink ref="C82" r:id="rId130" tooltip="Open Prospect Profile" display="https://www.whatifsports.com/hbd/Pages/Popups/ProspectProfile.aspx?pid=13631698" xr:uid="{6B0A2E58-A5D0-42F6-91AF-4DC530E9E5B3}"/>
    <hyperlink ref="C129" r:id="rId131" tooltip="Open Prospect Profile" display="https://www.whatifsports.com/hbd/Pages/Popups/ProspectProfile.aspx?pid=13632164" xr:uid="{BD486977-15E0-4CAB-B8D5-CC30F3C4905C}"/>
    <hyperlink ref="C145" r:id="rId132" tooltip="Open Prospect Profile" display="https://www.whatifsports.com/hbd/Pages/Popups/ProspectProfile.aspx?pid=13632113" xr:uid="{11D7CFDF-E3B2-4ABA-8A81-14B343FE25FE}"/>
    <hyperlink ref="C199" r:id="rId133" tooltip="Open Prospect Profile" display="https://www.whatifsports.com/hbd/Pages/Popups/ProspectProfile.aspx?pid=13632063" xr:uid="{245FDF2F-504F-43A2-8A6C-AEC9E0AC841B}"/>
    <hyperlink ref="C67" r:id="rId134" tooltip="Open Prospect Profile" display="https://www.whatifsports.com/hbd/Pages/Popups/ProspectProfile.aspx?pid=13631650" xr:uid="{7943FD7D-6D99-4AE5-8B62-41041AC246C5}"/>
    <hyperlink ref="C84" r:id="rId135" tooltip="Open Prospect Profile" display="https://www.whatifsports.com/hbd/Pages/Popups/ProspectProfile.aspx?pid=13631565" xr:uid="{7513ABC2-F4A7-405D-91F2-46753AC8DC0E}"/>
    <hyperlink ref="C75" r:id="rId136" tooltip="Open Prospect Profile" display="https://www.whatifsports.com/hbd/Pages/Popups/ProspectProfile.aspx?pid=13631391" xr:uid="{43E4AD41-AF19-45D5-B622-BD87BDD293F4}"/>
    <hyperlink ref="C182" r:id="rId137" tooltip="Open Prospect Profile" display="https://www.whatifsports.com/hbd/Pages/Popups/ProspectProfile.aspx?pid=13632116" xr:uid="{4735609E-6993-4E40-AEAB-424717F4317E}"/>
    <hyperlink ref="C191" r:id="rId138" tooltip="Open Prospect Profile" display="https://www.whatifsports.com/hbd/Pages/Popups/ProspectProfile.aspx?pid=13632058" xr:uid="{86EC1AFD-AC31-4D9E-B4E8-AFA7FC65EBA2}"/>
    <hyperlink ref="C135" r:id="rId139" tooltip="Open Prospect Profile" display="https://www.whatifsports.com/hbd/Pages/Popups/ProspectProfile.aspx?pid=13632048" xr:uid="{653405E8-C3A5-459F-AFAE-B95AAFA9F0DF}"/>
    <hyperlink ref="C198" r:id="rId140" tooltip="Open Prospect Profile" display="https://www.whatifsports.com/hbd/Pages/Popups/ProspectProfile.aspx?pid=13631952" xr:uid="{4BD65EDE-0EBE-41F5-AA93-2F5178BCEB5F}"/>
    <hyperlink ref="C174" r:id="rId141" tooltip="Open Prospect Profile" display="https://www.whatifsports.com/hbd/Pages/Popups/ProspectProfile.aspx?pid=13631896" xr:uid="{16024D2B-D6B8-4C48-AC1C-1D3B231EE5CF}"/>
    <hyperlink ref="C141" r:id="rId142" tooltip="Open Prospect Profile" display="https://www.whatifsports.com/hbd/Pages/Popups/ProspectProfile.aspx?pid=13631877" xr:uid="{BC03C0B3-AA5A-415B-82F9-7D4EEA0F8960}"/>
    <hyperlink ref="C172" r:id="rId143" tooltip="Open Prospect Profile" display="https://www.whatifsports.com/hbd/Pages/Popups/ProspectProfile.aspx?pid=13631875" xr:uid="{E1473483-FFBE-4F76-B7AC-4E7DA948DA3D}"/>
    <hyperlink ref="C97" r:id="rId144" tooltip="Open Prospect Profile" display="https://www.whatifsports.com/hbd/Pages/Popups/ProspectProfile.aspx?pid=13631796" xr:uid="{7C268873-A2B0-47F9-97D0-113B48540252}"/>
    <hyperlink ref="C88" r:id="rId145" tooltip="Open Prospect Profile" display="https://www.whatifsports.com/hbd/Pages/Popups/ProspectProfile.aspx?pid=13631713" xr:uid="{F2B141C9-DAD2-4526-AF26-D183A8370E80}"/>
    <hyperlink ref="C86" r:id="rId146" tooltip="Open Prospect Profile" display="https://www.whatifsports.com/hbd/Pages/Popups/ProspectProfile.aspx?pid=13631560" xr:uid="{04E4AE96-B589-422D-A935-65FEFA10B6C0}"/>
    <hyperlink ref="C100" r:id="rId147" tooltip="Open Prospect Profile" display="https://www.whatifsports.com/hbd/Pages/Popups/ProspectProfile.aspx?pid=13631518" xr:uid="{7CCAD398-3EFA-4123-9CAC-C343CE59B2B4}"/>
    <hyperlink ref="C94" r:id="rId148" tooltip="Open Prospect Profile" display="https://www.whatifsports.com/hbd/Pages/Popups/ProspectProfile.aspx?pid=13631435" xr:uid="{4D626A90-9838-4C50-80DD-692DC5C92FDF}"/>
    <hyperlink ref="C103" r:id="rId149" tooltip="Open Prospect Profile" display="https://www.whatifsports.com/hbd/Pages/Popups/ProspectProfile.aspx?pid=13631389" xr:uid="{BFE9E197-D3D2-4165-8720-648E386AEE5B}"/>
    <hyperlink ref="C95" r:id="rId150" tooltip="Open Prospect Profile" display="https://www.whatifsports.com/hbd/Pages/Popups/ProspectProfile.aspx?pid=13632013" xr:uid="{CC016384-EF61-4751-BC2D-EC8180BE94BA}"/>
    <hyperlink ref="C81" r:id="rId151" tooltip="Open Prospect Profile" display="https://www.whatifsports.com/hbd/Pages/Popups/ProspectProfile.aspx?pid=13632078" xr:uid="{F9E85675-CBA6-4E75-A78C-A0C702F8B98A}"/>
    <hyperlink ref="C154" r:id="rId152" tooltip="Open Prospect Profile" display="https://www.whatifsports.com/hbd/Pages/Popups/ProspectProfile.aspx?pid=13631910" xr:uid="{F3E1B510-5D7D-43A6-A2B0-8094EBBB2262}"/>
    <hyperlink ref="C96" r:id="rId153" tooltip="Open Prospect Profile" display="https://www.whatifsports.com/hbd/Pages/Popups/ProspectProfile.aspx?pid=13631448" xr:uid="{3603FDCF-92AB-41E6-8D95-125C5D5E376F}"/>
    <hyperlink ref="C99" r:id="rId154" tooltip="Open Prospect Profile" display="https://www.whatifsports.com/hbd/Pages/Popups/ProspectProfile.aspx?pid=13631442" xr:uid="{7E516EF5-BB24-4793-8613-1DAAB74B537E}"/>
    <hyperlink ref="C205" r:id="rId155" tooltip="Open Prospect Profile" display="https://www.whatifsports.com/hbd/Pages/Popups/ProspectProfile.aspx?pid=13632156" xr:uid="{324095E0-70BB-4434-BD46-14386E855C79}"/>
    <hyperlink ref="C92" r:id="rId156" tooltip="Open Prospect Profile" display="https://www.whatifsports.com/hbd/Pages/Popups/ProspectProfile.aspx?pid=13631642" xr:uid="{793A5646-8313-4580-9852-258FBA14AD7A}"/>
    <hyperlink ref="C134" r:id="rId157" tooltip="Open Prospect Profile" display="https://www.whatifsports.com/hbd/Pages/Popups/ProspectProfile.aspx?pid=13631885" xr:uid="{4902EAB9-AAE9-4FA4-9D70-8C637846842A}"/>
    <hyperlink ref="C186" r:id="rId158" tooltip="Open Prospect Profile" display="https://www.whatifsports.com/hbd/Pages/Popups/ProspectProfile.aspx?pid=13632029" xr:uid="{F5C16054-291C-4E04-8C1D-9BD044DAADED}"/>
    <hyperlink ref="C202" r:id="rId159" tooltip="Open Prospect Profile" display="https://www.whatifsports.com/hbd/Pages/Popups/ProspectProfile.aspx?pid=13631996" xr:uid="{758253B5-2B73-4EC5-BA57-4911EBE8080B}"/>
    <hyperlink ref="C173" r:id="rId160" tooltip="Open Prospect Profile" display="https://www.whatifsports.com/hbd/Pages/Popups/ProspectProfile.aspx?pid=13631863" xr:uid="{11BA12EF-8500-41A7-BE44-ABB9F535621E}"/>
    <hyperlink ref="C107" r:id="rId161" tooltip="Open Prospect Profile" display="https://www.whatifsports.com/hbd/Pages/Popups/ProspectProfile.aspx?pid=13631680" xr:uid="{3DB74388-3E73-45DB-A558-30452F4C01B1}"/>
    <hyperlink ref="C105" r:id="rId162" tooltip="Open Prospect Profile" display="https://www.whatifsports.com/hbd/Pages/Popups/ProspectProfile.aspx?pid=13631630" xr:uid="{1D9A57B8-E943-40DA-A5FE-8CAAEAB38AC6}"/>
    <hyperlink ref="C122" r:id="rId163" tooltip="Open Prospect Profile" display="https://www.whatifsports.com/hbd/Pages/Popups/ProspectProfile.aspx?pid=13632115" xr:uid="{E9510F38-8F77-4613-BC2C-8DE1FE21432A}"/>
    <hyperlink ref="C143" r:id="rId164" tooltip="Open Prospect Profile" display="https://www.whatifsports.com/hbd/Pages/Popups/ProspectProfile.aspx?pid=13631994" xr:uid="{5AF551B1-2D79-4AD9-9EB0-A209494C206E}"/>
    <hyperlink ref="C148" r:id="rId165" tooltip="Open Prospect Profile" display="https://www.whatifsports.com/hbd/Pages/Popups/ProspectProfile.aspx?pid=13631871" xr:uid="{C1DB4E56-F589-466F-980C-41D82E7BC82E}"/>
    <hyperlink ref="C120" r:id="rId166" tooltip="Open Prospect Profile" display="https://www.whatifsports.com/hbd/Pages/Popups/ProspectProfile.aspx?pid=13631808" xr:uid="{BCB07A42-F79A-4139-922F-68BD0F40D566}"/>
    <hyperlink ref="C45" r:id="rId167" tooltip="Open Prospect Profile" display="https://www.whatifsports.com/hbd/Pages/Popups/ProspectProfile.aspx?pid=13631601" xr:uid="{FDF74521-11B7-4E76-82EF-62A1778473D9}"/>
    <hyperlink ref="C197" r:id="rId168" tooltip="Open Prospect Profile" display="https://www.whatifsports.com/hbd/Pages/Popups/ProspectProfile.aspx?pid=13631968" xr:uid="{66755ECE-DDE5-45E2-AAF3-225B6A73B32F}"/>
    <hyperlink ref="C165" r:id="rId169" tooltip="Open Prospect Profile" display="https://www.whatifsports.com/hbd/Pages/Popups/ProspectProfile.aspx?pid=13631945" xr:uid="{1546A08C-F8DF-4E16-B655-3C736BABA5C9}"/>
    <hyperlink ref="C187" r:id="rId170" tooltip="Open Prospect Profile" display="https://www.whatifsports.com/hbd/Pages/Popups/ProspectProfile.aspx?pid=13631914" xr:uid="{B5CD952D-EDA7-4581-93E5-C98BB0856477}"/>
    <hyperlink ref="C190" r:id="rId171" tooltip="Open Prospect Profile" display="https://www.whatifsports.com/hbd/Pages/Popups/ProspectProfile.aspx?pid=13632023" xr:uid="{89D4A2DE-584D-4E2B-B934-F4C319EA298C}"/>
    <hyperlink ref="C176" r:id="rId172" tooltip="Open Prospect Profile" display="https://www.whatifsports.com/hbd/Pages/Popups/ProspectProfile.aspx?pid=13631860" xr:uid="{E066B5C8-E274-41C1-9AF1-BC053D8AFD45}"/>
    <hyperlink ref="C62" r:id="rId173" tooltip="Open Prospect Profile" display="https://www.whatifsports.com/hbd/Pages/Popups/ProspectProfile.aspx?pid=13631526" xr:uid="{254F5813-25C9-4854-80BC-214F497D4982}"/>
    <hyperlink ref="C163" r:id="rId174" tooltip="Open Prospect Profile" display="https://www.whatifsports.com/hbd/Pages/Popups/ProspectProfile.aspx?pid=13631876" xr:uid="{AA907DC3-4275-419B-87C9-02C817EC5F99}"/>
    <hyperlink ref="C102" r:id="rId175" tooltip="Open Prospect Profile" display="https://www.whatifsports.com/hbd/Pages/Popups/ProspectProfile.aspx?pid=13631849" xr:uid="{8A786507-6EA5-49C3-A4C4-2392BBEB44A5}"/>
    <hyperlink ref="C74" r:id="rId176" tooltip="Open Prospect Profile" display="https://www.whatifsports.com/hbd/Pages/Popups/ProspectProfile.aspx?pid=13631576" xr:uid="{AF810BF0-89BC-466D-B4BE-B46EBF9BCAB3}"/>
    <hyperlink ref="C101" r:id="rId177" tooltip="Open Prospect Profile" display="https://www.whatifsports.com/hbd/Pages/Popups/ProspectProfile.aspx?pid=13631939" xr:uid="{8EA0B7A5-0032-4844-B64D-E0B59FCDB7F9}"/>
    <hyperlink ref="C188" r:id="rId178" tooltip="Open Prospect Profile" display="https://www.whatifsports.com/hbd/Pages/Popups/ProspectProfile.aspx?pid=13631853" xr:uid="{4FE4A77B-9968-4661-8FD5-A9492EAD8034}"/>
    <hyperlink ref="C146" r:id="rId179" tooltip="Open Prospect Profile" display="https://www.whatifsports.com/hbd/Pages/Popups/ProspectProfile.aspx?pid=13631913" xr:uid="{16EC6AA5-468B-419D-9A8D-5F3DBE9AAF59}"/>
    <hyperlink ref="C207" r:id="rId180" tooltip="Open Prospect Profile" display="https://www.whatifsports.com/hbd/Pages/Popups/ProspectProfile.aspx?pid=13631908" xr:uid="{20DC68A4-5C86-4739-ADE8-EA29E9EA480B}"/>
    <hyperlink ref="C83" r:id="rId181" tooltip="Open Prospect Profile" display="https://www.whatifsports.com/hbd/Pages/Popups/ProspectProfile.aspx?pid=13631703" xr:uid="{56A4C579-2DC2-42DD-8ECB-B300A18D3887}"/>
    <hyperlink ref="C52" r:id="rId182" tooltip="Open Prospect Profile" display="https://www.whatifsports.com/hbd/Pages/Popups/ProspectProfile.aspx?pid=13631610" xr:uid="{A4963E64-33CA-4501-A20D-64557B167E15}"/>
    <hyperlink ref="C150" r:id="rId183" tooltip="Open Prospect Profile" display="https://www.whatifsports.com/hbd/Pages/Popups/ProspectProfile.aspx?pid=13631963" xr:uid="{3DDE4894-D386-466C-B61F-1240127EA799}"/>
    <hyperlink ref="C131" r:id="rId184" tooltip="Open Prospect Profile" display="https://www.whatifsports.com/hbd/Pages/Popups/ProspectProfile.aspx?pid=13631882" xr:uid="{8C887C11-6025-4ABA-8A80-E1CA16099568}"/>
    <hyperlink ref="C127" r:id="rId185" tooltip="Open Prospect Profile" display="https://www.whatifsports.com/hbd/Pages/Popups/ProspectProfile.aspx?pid=13632154" xr:uid="{452D2752-B951-481E-BACE-FD7F7850FCF0}"/>
    <hyperlink ref="C87" r:id="rId186" tooltip="Open Prospect Profile" display="https://www.whatifsports.com/hbd/Pages/Popups/ProspectProfile.aspx?pid=13631636" xr:uid="{884F4EBB-EF79-4D07-A383-77810B4D9F54}"/>
    <hyperlink ref="C160" r:id="rId187" tooltip="Open Prospect Profile" display="https://www.whatifsports.com/hbd/Pages/Popups/ProspectProfile.aspx?pid=13631844" xr:uid="{3617900C-CC33-405B-9D7E-3DEF1B57BD37}"/>
    <hyperlink ref="C29" r:id="rId188" tooltip="Open Prospect Profile" display="https://www.whatifsports.com/hbd/Pages/Popups/ProspectProfile.aspx?pid=13631775" xr:uid="{C87E36E8-4311-4689-A613-864F5D3309E6}"/>
    <hyperlink ref="C38" r:id="rId189" tooltip="Open Prospect Profile" display="https://www.whatifsports.com/hbd/Pages/Popups/ProspectProfile.aspx?pid=13631823" xr:uid="{85ECF1E4-8F95-40D4-B73F-F4178D627E39}"/>
    <hyperlink ref="C42" r:id="rId190" tooltip="Open Prospect Profile" display="https://www.whatifsports.com/hbd/Pages/Popups/ProspectProfile.aspx?pid=13631818" xr:uid="{27D787D1-B1CA-4046-8D12-692D7DCB4FF5}"/>
    <hyperlink ref="C69" r:id="rId191" tooltip="Open Prospect Profile" display="https://www.whatifsports.com/hbd/Pages/Popups/ProspectProfile.aspx?pid=13631814" xr:uid="{9E5A5360-B0D2-45DF-ACC6-6AA199E3831C}"/>
    <hyperlink ref="C89" r:id="rId192" tooltip="Open Prospect Profile" display="https://www.whatifsports.com/hbd/Pages/Popups/ProspectProfile.aspx?pid=13631803" xr:uid="{00FB8A85-B3B8-40CE-A218-F2CEB038A67B}"/>
    <hyperlink ref="C71" r:id="rId193" tooltip="Open Prospect Profile" display="https://www.whatifsports.com/hbd/Pages/Popups/ProspectProfile.aspx?pid=13631792" xr:uid="{56233911-BF63-41FD-968C-4F54AFAD4A1D}"/>
    <hyperlink ref="C65" r:id="rId194" tooltip="Open Prospect Profile" display="https://www.whatifsports.com/hbd/Pages/Popups/ProspectProfile.aspx?pid=13631791" xr:uid="{4041FAD2-C63D-4063-B3D7-D770C56F7CB8}"/>
    <hyperlink ref="C80" r:id="rId195" tooltip="Open Prospect Profile" display="https://www.whatifsports.com/hbd/Pages/Popups/ProspectProfile.aspx?pid=13631789" xr:uid="{1CDB19D4-D09F-48E1-A0C6-29196E257000}"/>
    <hyperlink ref="C37" r:id="rId196" tooltip="Open Prospect Profile" display="https://www.whatifsports.com/hbd/Pages/Popups/ProspectProfile.aspx?pid=13631763" xr:uid="{B368C49F-6B65-43C8-A615-385104F5E831}"/>
    <hyperlink ref="C64" r:id="rId197" tooltip="Open Prospect Profile" display="https://www.whatifsports.com/hbd/Pages/Popups/ProspectProfile.aspx?pid=13631762" xr:uid="{BB745483-2C7A-4A31-8EF3-CB043466DDF6}"/>
    <hyperlink ref="C93" r:id="rId198" tooltip="Open Prospect Profile" display="https://www.whatifsports.com/hbd/Pages/Popups/ProspectProfile.aspx?pid=13631752" xr:uid="{231C177F-084A-4653-8FA5-7A7D0DF1920D}"/>
    <hyperlink ref="C125" r:id="rId199" tooltip="Open Prospect Profile" display="https://www.whatifsports.com/hbd/Pages/Popups/ProspectProfile.aspx?pid=13631802" xr:uid="{7D911FFD-D53F-4A98-9EEB-883E60DBA1CC}"/>
    <hyperlink ref="C111" r:id="rId200" tooltip="Open Prospect Profile" display="https://www.whatifsports.com/hbd/Pages/Popups/ProspectProfile.aspx?pid=13631780" xr:uid="{246805BD-1B23-4EE9-AACF-11E216C0FB19}"/>
    <hyperlink ref="C98" r:id="rId201" tooltip="Open Prospect Profile" display="https://www.whatifsports.com/hbd/Pages/Popups/ProspectProfile.aspx?pid=13631742" xr:uid="{60DEE0F9-4FAA-422D-B038-C4D604BFF839}"/>
    <hyperlink ref="C61" r:id="rId202" tooltip="Open Prospect Profile" display="https://www.whatifsports.com/hbd/Pages/Popups/ProspectProfile.aspx?pid=13631648" xr:uid="{A9C4F3BB-FBE0-4C25-B774-5606CE474296}"/>
    <hyperlink ref="C76" r:id="rId203" tooltip="Open Prospect Profile" display="https://www.whatifsports.com/hbd/Pages/Popups/ProspectProfile.aspx?pid=13631532" xr:uid="{FBA9AEC6-B3FD-4E21-AD5B-5F69D3774F46}"/>
    <hyperlink ref="C91" r:id="rId204" tooltip="Open Prospect Profile" display="https://www.whatifsports.com/hbd/Pages/Popups/ProspectProfile.aspx?pid=13631531" xr:uid="{66CF45C1-C6AB-483B-B080-752A4722615F}"/>
    <hyperlink ref="C117" r:id="rId205" tooltip="Open Prospect Profile" display="https://www.whatifsports.com/hbd/Pages/Popups/ProspectProfile.aspx?pid=13631516" xr:uid="{15F2FF60-5382-4874-A705-EAAE5F9A45A9}"/>
    <hyperlink ref="C78" r:id="rId206" tooltip="Open Prospect Profile" display="https://www.whatifsports.com/hbd/Pages/Popups/ProspectProfile.aspx?pid=13631514" xr:uid="{B32238D6-4EB7-4627-803D-80D2B223213C}"/>
    <hyperlink ref="C77" r:id="rId207" tooltip="Open Prospect Profile" display="https://www.whatifsports.com/hbd/Pages/Popups/ProspectProfile.aspx?pid=13631406" xr:uid="{6A774079-64BE-4005-B2E8-5783CAF12E03}"/>
    <hyperlink ref="Q6" r:id="rId208" display="https://www.whatifsports.com/hbd/Pages/GM/AmateurDraftPlayerPool.aspx" xr:uid="{57ED708C-078C-48BC-AF0F-8295E32235A7}"/>
    <hyperlink ref="R6" r:id="rId209" display="https://www.whatifsports.com/hbd/Pages/GM/AmateurDraftPlayerPool.aspx" xr:uid="{63E85FE0-1B9C-4EE1-B0E3-C10886CA95E9}"/>
    <hyperlink ref="S6" r:id="rId210" display="https://www.whatifsports.com/hbd/Pages/GM/AmateurDraftPlayerPool.aspx" xr:uid="{B8565FBC-36BC-4AA9-A2AB-E3F0B1A7EAD0}"/>
    <hyperlink ref="T6" r:id="rId211" display="https://www.whatifsports.com/hbd/Pages/GM/AmateurDraftPlayerPool.aspx" xr:uid="{3EABDB8B-98E4-4B17-A3C4-1386524FCC42}"/>
    <hyperlink ref="U6" r:id="rId212" display="https://www.whatifsports.com/hbd/Pages/GM/AmateurDraftPlayerPool.aspx" xr:uid="{AAEF880A-45E8-42D4-ABAE-1A86A1950C51}"/>
    <hyperlink ref="V6" r:id="rId213" display="https://www.whatifsports.com/hbd/Pages/GM/AmateurDraftPlayerPool.aspx" xr:uid="{76987DF5-DCEC-430D-B031-E34A324BB1AC}"/>
    <hyperlink ref="R7" r:id="rId214" tooltip="Open Prospect Profile" display="https://www.whatifsports.com/hbd/Pages/Popups/ProspectProfile.aspx?pid=13631431" xr:uid="{2A981F59-0D7F-4A4E-91CC-5B2E0384B8BF}"/>
    <hyperlink ref="R16" r:id="rId215" tooltip="Open Prospect Profile" display="https://www.whatifsports.com/hbd/Pages/Popups/ProspectProfile.aspx?pid=13631837" xr:uid="{5DFDF076-0573-4B25-9BFB-FA683705F1CB}"/>
    <hyperlink ref="R151" r:id="rId216" tooltip="Open Prospect Profile" display="https://www.whatifsports.com/hbd/Pages/Popups/ProspectProfile.aspx?pid=13632168" xr:uid="{25412377-93B9-46D1-A944-04858186313C}"/>
    <hyperlink ref="R10" r:id="rId217" tooltip="Open Prospect Profile" display="https://www.whatifsports.com/hbd/Pages/Popups/ProspectProfile.aspx?pid=13631500" xr:uid="{EE386F17-0D25-4C24-AC8E-BCD3F0D5F8D5}"/>
    <hyperlink ref="R11" r:id="rId218" tooltip="Open Prospect Profile" display="https://www.whatifsports.com/hbd/Pages/Popups/ProspectProfile.aspx?pid=13631732" xr:uid="{F821562C-278F-4739-8A87-7575FF2BFD1C}"/>
    <hyperlink ref="R170" r:id="rId219" tooltip="Open Prospect Profile" display="https://www.whatifsports.com/hbd/Pages/Popups/ProspectProfile.aspx?pid=13632232" xr:uid="{ADD7E9E8-FC81-4754-A986-A74FC015C644}"/>
    <hyperlink ref="R106" r:id="rId220" tooltip="Open Prospect Profile" display="https://www.whatifsports.com/hbd/Pages/Popups/ProspectProfile.aspx?pid=13632221" xr:uid="{A943D78F-8ED6-436E-B669-C72E941E026C}"/>
    <hyperlink ref="R12" r:id="rId221" tooltip="Open Prospect Profile" display="https://www.whatifsports.com/hbd/Pages/Popups/ProspectProfile.aspx?pid=13631506" xr:uid="{C7E6FCE8-A0EB-46B2-B90D-C7249ED39AAB}"/>
    <hyperlink ref="R112" r:id="rId222" tooltip="Open Prospect Profile" display="https://www.whatifsports.com/hbd/Pages/Popups/ProspectProfile.aspx?pid=13632238" xr:uid="{DD6E5E17-9774-41F5-B2FD-2366C017600E}"/>
    <hyperlink ref="R8" r:id="rId223" tooltip="Open Prospect Profile" display="https://www.whatifsports.com/hbd/Pages/Popups/ProspectProfile.aspx?pid=13631433" xr:uid="{1095CCA0-0AD8-4C66-97A7-8BB4543020BF}"/>
    <hyperlink ref="R124" r:id="rId224" tooltip="Open Prospect Profile" display="https://www.whatifsports.com/hbd/Pages/Popups/ProspectProfile.aspx?pid=13632211" xr:uid="{FC9444C6-A378-41E1-B9B7-ADD3C19A279E}"/>
    <hyperlink ref="R20" r:id="rId225" tooltip="Open Prospect Profile" display="https://www.whatifsports.com/hbd/Pages/Popups/ProspectProfile.aspx?pid=13631772" xr:uid="{4A7518B5-9EF0-4CE7-8FA6-8838973A366F}"/>
    <hyperlink ref="R13" r:id="rId226" tooltip="Open Prospect Profile" display="https://www.whatifsports.com/hbd/Pages/Popups/ProspectProfile.aspx?pid=13631714" xr:uid="{19461453-90BA-42B3-ADD8-EFD4BF75FD55}"/>
    <hyperlink ref="R196" r:id="rId227" tooltip="Open Prospect Profile" display="https://www.whatifsports.com/hbd/Pages/Popups/ProspectProfile.aspx?pid=13632205" xr:uid="{D72C4CC1-84F2-45F3-9022-E0D889203A01}"/>
    <hyperlink ref="R15" r:id="rId228" tooltip="Open Prospect Profile" display="https://www.whatifsports.com/hbd/Pages/Popups/ProspectProfile.aspx?pid=13631505" xr:uid="{01313926-E8FD-40E7-BB66-58261E3C4462}"/>
    <hyperlink ref="R159" r:id="rId229" tooltip="Open Prospect Profile" display="https://www.whatifsports.com/hbd/Pages/Popups/ProspectProfile.aspx?pid=13632233" xr:uid="{81CFB134-361C-454F-BAEA-FBE00CE82AF9}"/>
    <hyperlink ref="R130" r:id="rId230" tooltip="Open Prospect Profile" display="https://www.whatifsports.com/hbd/Pages/Popups/ProspectProfile.aspx?pid=13632194" xr:uid="{0B3A2097-8A84-4CD4-9B70-D31C029DB724}"/>
    <hyperlink ref="R14" r:id="rId231" tooltip="Open Prospect Profile" display="https://www.whatifsports.com/hbd/Pages/Popups/ProspectProfile.aspx?pid=13631607" xr:uid="{A404D8D3-F0A5-43F8-91DE-43C30D35F1B3}"/>
    <hyperlink ref="R171" r:id="rId232" tooltip="Open Prospect Profile" display="https://www.whatifsports.com/hbd/Pages/Popups/ProspectProfile.aspx?pid=13632223" xr:uid="{D1A802FF-EFD4-4100-932E-9C05F5A80C26}"/>
    <hyperlink ref="R149" r:id="rId233" tooltip="Open Prospect Profile" display="https://www.whatifsports.com/hbd/Pages/Popups/ProspectProfile.aspx?pid=13632216" xr:uid="{994F1E25-EFBC-4577-828F-88247ED5D6E0}"/>
    <hyperlink ref="R18" r:id="rId234" tooltip="Open Prospect Profile" display="https://www.whatifsports.com/hbd/Pages/Popups/ProspectProfile.aspx?pid=13631677" xr:uid="{06A9A7BA-46AF-4374-A3E1-AD04340A96E5}"/>
    <hyperlink ref="R139" r:id="rId235" tooltip="Open Prospect Profile" display="https://www.whatifsports.com/hbd/Pages/Popups/ProspectProfile.aspx?pid=13632237" xr:uid="{78DB589A-0391-4C62-B282-A49873966A75}"/>
    <hyperlink ref="R185" r:id="rId236" tooltip="Open Prospect Profile" display="https://www.whatifsports.com/hbd/Pages/Popups/ProspectProfile.aspx?pid=13632234" xr:uid="{AA67D40D-CF40-41E7-8A1A-EF028357B44C}"/>
    <hyperlink ref="R110" r:id="rId237" tooltip="Open Prospect Profile" display="https://www.whatifsports.com/hbd/Pages/Popups/ProspectProfile.aspx?pid=13632217" xr:uid="{322306AB-DE06-4E49-8C7F-453EDF6C8196}"/>
    <hyperlink ref="R119" r:id="rId238" tooltip="Open Prospect Profile" display="https://www.whatifsports.com/hbd/Pages/Popups/ProspectProfile.aspx?pid=13632171" xr:uid="{26C74494-2C24-4B67-8C39-23739AD889F0}"/>
    <hyperlink ref="R33" r:id="rId239" tooltip="Open Prospect Profile" display="https://www.whatifsports.com/hbd/Pages/Popups/ProspectProfile.aspx?pid=13631551" xr:uid="{3E467328-81BE-4CED-AA11-DE6A7DF1B130}"/>
    <hyperlink ref="R19" r:id="rId240" tooltip="Open Prospect Profile" display="https://www.whatifsports.com/hbd/Pages/Popups/ProspectProfile.aspx?pid=13631767" xr:uid="{0B7C9747-32A6-4345-BEF7-6AE4202E3971}"/>
    <hyperlink ref="R22" r:id="rId241" tooltip="Open Prospect Profile" display="https://www.whatifsports.com/hbd/Pages/Popups/ProspectProfile.aspx?pid=13631591" xr:uid="{4A4359F1-0494-40A0-AE53-4B34F0ECD602}"/>
    <hyperlink ref="R115" r:id="rId242" tooltip="Open Prospect Profile" display="https://www.whatifsports.com/hbd/Pages/Popups/ProspectProfile.aspx?pid=13632212" xr:uid="{8CD9F490-84EE-4039-9F46-254CA3CCAD60}"/>
    <hyperlink ref="R24" r:id="rId243" tooltip="Open Prospect Profile" display="https://www.whatifsports.com/hbd/Pages/Popups/ProspectProfile.aspx?pid=13631672" xr:uid="{F329184B-EE27-450C-9C9B-652FB969CD85}"/>
    <hyperlink ref="R36" r:id="rId244" tooltip="Open Prospect Profile" display="https://www.whatifsports.com/hbd/Pages/Popups/ProspectProfile.aspx?pid=13631617" xr:uid="{A04FCBBA-28CB-40E8-B6AA-80A656D1F3BC}"/>
    <hyperlink ref="R28" r:id="rId245" tooltip="Open Prospect Profile" display="https://www.whatifsports.com/hbd/Pages/Popups/ProspectProfile.aspx?pid=13631507" xr:uid="{4B5B02E8-B8F5-4E84-959E-29E683093D3F}"/>
    <hyperlink ref="R114" r:id="rId246" tooltip="Open Prospect Profile" display="https://www.whatifsports.com/hbd/Pages/Popups/ProspectProfile.aspx?pid=13632207" xr:uid="{81A39D76-F920-4348-A690-D1BC3B4182CE}"/>
    <hyperlink ref="R21" r:id="rId247" tooltip="Open Prospect Profile" display="https://www.whatifsports.com/hbd/Pages/Popups/ProspectProfile.aspx?pid=13631605" xr:uid="{926DB5E4-75B3-4B50-B7EF-49DA5528F9B7}"/>
    <hyperlink ref="R147" r:id="rId248" tooltip="Open Prospect Profile" display="https://www.whatifsports.com/hbd/Pages/Popups/ProspectProfile.aspx?pid=13632229" xr:uid="{A794EC73-62A8-4ACD-A90E-26D39EDB6C08}"/>
    <hyperlink ref="R25" r:id="rId249" tooltip="Open Prospect Profile" display="https://www.whatifsports.com/hbd/Pages/Popups/ProspectProfile.aspx?pid=13631678" xr:uid="{8B4A2952-CFD2-4EEC-A467-620D0B5369E8}"/>
    <hyperlink ref="R169" r:id="rId250" tooltip="Open Prospect Profile" display="https://www.whatifsports.com/hbd/Pages/Popups/ProspectProfile.aspx?pid=13632197" xr:uid="{868D1A9D-851D-4B60-979E-FBFF1314E20E}"/>
    <hyperlink ref="R164" r:id="rId251" tooltip="Open Prospect Profile" display="https://www.whatifsports.com/hbd/Pages/Popups/ProspectProfile.aspx?pid=13632178" xr:uid="{A0CCE888-8FBF-4219-A0C4-25BA5157DC73}"/>
    <hyperlink ref="R47" r:id="rId252" tooltip="Open Prospect Profile" display="https://www.whatifsports.com/hbd/Pages/Popups/ProspectProfile.aspx?pid=13631839" xr:uid="{BF28F093-D057-49E8-B6E9-D9EF9E2334BA}"/>
    <hyperlink ref="R39" r:id="rId253" tooltip="Open Prospect Profile" display="https://www.whatifsports.com/hbd/Pages/Popups/ProspectProfile.aspx?pid=13631730" xr:uid="{D4FEABFC-4B19-47A1-BF0C-4252EA2321E1}"/>
    <hyperlink ref="R192" r:id="rId254" tooltip="Open Prospect Profile" display="https://www.whatifsports.com/hbd/Pages/Popups/ProspectProfile.aspx?pid=13632199" xr:uid="{D374051A-31E6-496A-87D2-375E4F2A570A}"/>
    <hyperlink ref="R31" r:id="rId255" tooltip="Open Prospect Profile" display="https://www.whatifsports.com/hbd/Pages/Popups/ProspectProfile.aspx?pid=13631833" xr:uid="{1B8472B3-88D1-4318-A034-FF9B66F7FA94}"/>
    <hyperlink ref="R23" r:id="rId256" tooltip="Open Prospect Profile" display="https://www.whatifsports.com/hbd/Pages/Popups/ProspectProfile.aspx?pid=13631673" xr:uid="{80947242-4390-4859-B23A-1209FB7AA740}"/>
    <hyperlink ref="R32" r:id="rId257" tooltip="Open Prospect Profile" display="https://www.whatifsports.com/hbd/Pages/Popups/ProspectProfile.aspx?pid=13631454" xr:uid="{EC9DFB3D-29F6-448E-B894-97B9086A34AD}"/>
    <hyperlink ref="R179" r:id="rId258" tooltip="Open Prospect Profile" display="https://www.whatifsports.com/hbd/Pages/Popups/ProspectProfile.aspx?pid=13632172" xr:uid="{78C2472C-49FA-41AB-B3C1-C85174D55C84}"/>
    <hyperlink ref="R118" r:id="rId259" tooltip="Open Prospect Profile" display="https://www.whatifsports.com/hbd/Pages/Popups/ProspectProfile.aspx?pid=13632087" xr:uid="{980F9269-21A9-4F3A-8923-871AB3297D84}"/>
    <hyperlink ref="R17" r:id="rId260" tooltip="Open Prospect Profile" display="https://www.whatifsports.com/hbd/Pages/Popups/ProspectProfile.aspx?pid=13631674" xr:uid="{D3CF98EA-9B9D-4706-A4B4-3D1D102619E1}"/>
    <hyperlink ref="R9" r:id="rId261" tooltip="Open Prospect Profile" display="https://www.whatifsports.com/hbd/Pages/Popups/ProspectProfile.aspx?pid=13631497" xr:uid="{E0D26498-5E5D-4A19-8B99-24F8022557BD}"/>
    <hyperlink ref="R27" r:id="rId262" tooltip="Open Prospect Profile" display="https://www.whatifsports.com/hbd/Pages/Popups/ProspectProfile.aspx?pid=13631429" xr:uid="{E2ACAFE9-8223-4A37-B739-7C29D620AEBC}"/>
    <hyperlink ref="R177" r:id="rId263" tooltip="Open Prospect Profile" display="https://www.whatifsports.com/hbd/Pages/Popups/ProspectProfile.aspx?pid=13632208" xr:uid="{A1863400-BBBD-4EAB-9B8A-3AA5CADBD154}"/>
    <hyperlink ref="R195" r:id="rId264" tooltip="Open Prospect Profile" display="https://www.whatifsports.com/hbd/Pages/Popups/ProspectProfile.aspx?pid=13632206" xr:uid="{00CDBA6D-9B40-4E3D-9A3B-FAC5A8928DCE}"/>
    <hyperlink ref="R128" r:id="rId265" tooltip="Open Prospect Profile" display="https://www.whatifsports.com/hbd/Pages/Popups/ProspectProfile.aspx?pid=13632169" xr:uid="{60A99088-56C6-4D32-B8E5-33FE22E32141}"/>
    <hyperlink ref="R152" r:id="rId266" tooltip="Open Prospect Profile" display="https://www.whatifsports.com/hbd/Pages/Popups/ProspectProfile.aspx?pid=13632143" xr:uid="{9084210A-F76F-4DAB-B105-CD08FB809E86}"/>
    <hyperlink ref="R116" r:id="rId267" tooltip="Open Prospect Profile" display="https://www.whatifsports.com/hbd/Pages/Popups/ProspectProfile.aspx?pid=13631900" xr:uid="{47784A9C-E0F0-4AC5-AC86-DEF43122F756}"/>
    <hyperlink ref="R35" r:id="rId268" tooltip="Open Prospect Profile" display="https://www.whatifsports.com/hbd/Pages/Popups/ProspectProfile.aspx?pid=13631768" xr:uid="{1BE7F045-15B5-4475-9F48-66DA337AC8FB}"/>
    <hyperlink ref="R34" r:id="rId269" tooltip="Open Prospect Profile" display="https://www.whatifsports.com/hbd/Pages/Popups/ProspectProfile.aspx?pid=13631725" xr:uid="{601D9AC3-47B4-4640-AE11-0543A7389782}"/>
    <hyperlink ref="R48" r:id="rId270" tooltip="Open Prospect Profile" display="https://www.whatifsports.com/hbd/Pages/Popups/ProspectProfile.aspx?pid=13631701" xr:uid="{53586C69-85AE-4C2D-9F37-6CFEB3039025}"/>
    <hyperlink ref="R51" r:id="rId271" tooltip="Open Prospect Profile" display="https://www.whatifsports.com/hbd/Pages/Popups/ProspectProfile.aspx?pid=13631541" xr:uid="{52267A51-890C-4EA6-97FF-A90EF995A796}"/>
    <hyperlink ref="R50" r:id="rId272" tooltip="Open Prospect Profile" display="https://www.whatifsports.com/hbd/Pages/Popups/ProspectProfile.aspx?pid=13631579" xr:uid="{465E8C6E-E4C5-48E0-A0FD-AEAE19F0F7DC}"/>
    <hyperlink ref="R41" r:id="rId273" tooltip="Open Prospect Profile" display="https://www.whatifsports.com/hbd/Pages/Popups/ProspectProfile.aspx?pid=13631552" xr:uid="{0BFBE891-C7C2-4872-BDD7-B359D0FA9D05}"/>
    <hyperlink ref="R126" r:id="rId274" tooltip="Open Prospect Profile" display="https://www.whatifsports.com/hbd/Pages/Popups/ProspectProfile.aspx?pid=13632224" xr:uid="{AF274235-2FF8-4068-8651-142273D5310A}"/>
    <hyperlink ref="R121" r:id="rId275" tooltip="Open Prospect Profile" display="https://www.whatifsports.com/hbd/Pages/Popups/ProspectProfile.aspx?pid=13632130" xr:uid="{2272BD44-861B-437A-AF3C-9213F8104DA4}"/>
    <hyperlink ref="R137" r:id="rId276" tooltip="Open Prospect Profile" display="https://www.whatifsports.com/hbd/Pages/Popups/ProspectProfile.aspx?pid=13632035" xr:uid="{9454800C-64F2-4AD0-81BF-F210D1CF36C5}"/>
    <hyperlink ref="R162" r:id="rId277" tooltip="Open Prospect Profile" display="https://www.whatifsports.com/hbd/Pages/Popups/ProspectProfile.aspx?pid=13632066" xr:uid="{1E9E93FF-ADAA-4F5A-802A-5D3DFFF9CF17}"/>
    <hyperlink ref="R161" r:id="rId278" tooltip="Open Prospect Profile" display="https://www.whatifsports.com/hbd/Pages/Popups/ProspectProfile.aspx?pid=13632052" xr:uid="{1FB62821-F469-45E1-BCD4-1ED666E7EDEB}"/>
    <hyperlink ref="R46" r:id="rId279" tooltip="Open Prospect Profile" display="https://www.whatifsports.com/hbd/Pages/Popups/ProspectProfile.aspx?pid=13631838" xr:uid="{8845BD71-85E4-47EB-97F6-73E49807CF9A}"/>
    <hyperlink ref="R56" r:id="rId280" tooltip="Open Prospect Profile" display="https://www.whatifsports.com/hbd/Pages/Popups/ProspectProfile.aspx?pid=13631718" xr:uid="{D64F63EC-A304-43B7-B5C9-215E31279404}"/>
    <hyperlink ref="R30" r:id="rId281" tooltip="Open Prospect Profile" display="https://www.whatifsports.com/hbd/Pages/Popups/ProspectProfile.aspx?pid=13631585" xr:uid="{E146C47F-016D-4227-A87F-8BC95475D975}"/>
    <hyperlink ref="R44" r:id="rId282" tooltip="Open Prospect Profile" display="https://www.whatifsports.com/hbd/Pages/Popups/ProspectProfile.aspx?pid=13631409" xr:uid="{38ED7A84-6371-49A9-9328-1F02F6D52537}"/>
    <hyperlink ref="R157" r:id="rId283" tooltip="Open Prospect Profile" display="https://www.whatifsports.com/hbd/Pages/Popups/ProspectProfile.aspx?pid=13631852" xr:uid="{657F35A1-1B38-46CA-8A4C-D0A042AF0443}"/>
    <hyperlink ref="R57" r:id="rId284" tooltip="Open Prospect Profile" display="https://www.whatifsports.com/hbd/Pages/Popups/ProspectProfile.aspx?pid=13631699" xr:uid="{604DD50A-DA48-4753-9722-5CC6CBF7BF9C}"/>
    <hyperlink ref="R26" r:id="rId285" tooltip="Open Prospect Profile" display="https://www.whatifsports.com/hbd/Pages/Popups/ProspectProfile.aspx?pid=13631667" xr:uid="{18FBBD90-48A7-456C-9E1B-995B6FC7124D}"/>
    <hyperlink ref="R49" r:id="rId286" tooltip="Open Prospect Profile" display="https://www.whatifsports.com/hbd/Pages/Popups/ProspectProfile.aspx?pid=13631484" xr:uid="{FA446C33-9E35-40DD-BFD3-0B81433208C1}"/>
    <hyperlink ref="R144" r:id="rId287" tooltip="Open Prospect Profile" display="https://www.whatifsports.com/hbd/Pages/Popups/ProspectProfile.aspx?pid=13632075" xr:uid="{9DB2826A-DFD0-46EA-9FF1-BA892BB7F5AD}"/>
    <hyperlink ref="R113" r:id="rId288" tooltip="Open Prospect Profile" display="https://www.whatifsports.com/hbd/Pages/Popups/ProspectProfile.aspx?pid=13631977" xr:uid="{1467A61A-BFD3-4B28-B26A-95C2394F363C}"/>
    <hyperlink ref="R153" r:id="rId289" tooltip="Open Prospect Profile" display="https://www.whatifsports.com/hbd/Pages/Popups/ProspectProfile.aspx?pid=13631972" xr:uid="{98772E55-8B0E-4492-9CA6-A9D6F566F2FC}"/>
    <hyperlink ref="R204" r:id="rId290" tooltip="Open Prospect Profile" display="https://www.whatifsports.com/hbd/Pages/Popups/ProspectProfile.aspx?pid=13631946" xr:uid="{96824AC4-7D33-4428-B61A-0807A537B1DB}"/>
    <hyperlink ref="R59" r:id="rId291" tooltip="Open Prospect Profile" display="https://www.whatifsports.com/hbd/Pages/Popups/ProspectProfile.aspx?pid=13631478" xr:uid="{C59D397D-7C5D-4616-958B-15B4A5284045}"/>
    <hyperlink ref="R175" r:id="rId292" tooltip="Open Prospect Profile" display="https://www.whatifsports.com/hbd/Pages/Popups/ProspectProfile.aspx?pid=13632160" xr:uid="{AEB478E9-7E2B-4F74-9C41-CB384267B17B}"/>
    <hyperlink ref="R66" r:id="rId293" tooltip="Open Prospect Profile" display="https://www.whatifsports.com/hbd/Pages/Popups/ProspectProfile.aspx?pid=13631835" xr:uid="{CA174789-30A1-44B9-AC54-D3847BA0B671}"/>
    <hyperlink ref="R54" r:id="rId294" tooltip="Open Prospect Profile" display="https://www.whatifsports.com/hbd/Pages/Popups/ProspectProfile.aspx?pid=13631567" xr:uid="{A5A3A368-8588-419B-A320-B1BF5A351047}"/>
    <hyperlink ref="R155" r:id="rId295" tooltip="Open Prospect Profile" display="https://www.whatifsports.com/hbd/Pages/Popups/ProspectProfile.aspx?pid=13632099" xr:uid="{17F4F71D-2B2C-4EE8-8F20-5611038CD770}"/>
    <hyperlink ref="R109" r:id="rId296" tooltip="Open Prospect Profile" display="https://www.whatifsports.com/hbd/Pages/Popups/ProspectProfile.aspx?pid=13632030" xr:uid="{C58DED5B-9D42-4E28-BDA3-12C47E7B42FA}"/>
    <hyperlink ref="R55" r:id="rId297" tooltip="Open Prospect Profile" display="https://www.whatifsports.com/hbd/Pages/Popups/ProspectProfile.aspx?pid=13631731" xr:uid="{CD620916-5B22-4CEC-A3BF-747BC63BC013}"/>
    <hyperlink ref="R40" r:id="rId298" tooltip="Open Prospect Profile" display="https://www.whatifsports.com/hbd/Pages/Popups/ProspectProfile.aspx?pid=13631583" xr:uid="{04AED7CC-31F4-42E5-B73C-F60AE3EFEB3E}"/>
    <hyperlink ref="R68" r:id="rId299" tooltip="Open Prospect Profile" display="https://www.whatifsports.com/hbd/Pages/Popups/ProspectProfile.aspx?pid=13631482" xr:uid="{27755CD3-14E4-46BE-A2C7-C2F8FD54894E}"/>
    <hyperlink ref="R184" r:id="rId300" tooltip="Open Prospect Profile" display="https://www.whatifsports.com/hbd/Pages/Popups/ProspectProfile.aspx?pid=13632183" xr:uid="{50051AD2-C9B4-4955-A625-CC81AD436317}"/>
    <hyperlink ref="R142" r:id="rId301" tooltip="Open Prospect Profile" display="https://www.whatifsports.com/hbd/Pages/Popups/ProspectProfile.aspx?pid=13632084" xr:uid="{599F3868-CDB8-4059-B00D-0BEC08878225}"/>
    <hyperlink ref="R193" r:id="rId302" tooltip="Open Prospect Profile" display="https://www.whatifsports.com/hbd/Pages/Popups/ProspectProfile.aspx?pid=13632022" xr:uid="{D05EE85A-EBCD-440E-8B02-BB197BE9927F}"/>
    <hyperlink ref="R58" r:id="rId303" tooltip="Open Prospect Profile" display="https://www.whatifsports.com/hbd/Pages/Popups/ProspectProfile.aspx?pid=13631584" xr:uid="{A2EA1A3B-DCDF-49BF-A367-B6EA29C83341}"/>
    <hyperlink ref="R43" r:id="rId304" tooltip="Open Prospect Profile" display="https://www.whatifsports.com/hbd/Pages/Popups/ProspectProfile.aspx?pid=13631555" xr:uid="{DEAA8063-CCD2-4710-825E-D0260FBD1E4A}"/>
    <hyperlink ref="R123" r:id="rId305" tooltip="Open Prospect Profile" display="https://www.whatifsports.com/hbd/Pages/Popups/ProspectProfile.aspx?pid=13632123" xr:uid="{112BFB27-1CEF-4124-A51B-7B22EBCBD544}"/>
    <hyperlink ref="R132" r:id="rId306" tooltip="Open Prospect Profile" display="https://www.whatifsports.com/hbd/Pages/Popups/ProspectProfile.aspx?pid=13632104" xr:uid="{A334B63D-0229-4963-ABCA-8F6525DD6C51}"/>
    <hyperlink ref="R70" r:id="rId307" tooltip="Open Prospect Profile" display="https://www.whatifsports.com/hbd/Pages/Popups/ProspectProfile.aspx?pid=13631459" xr:uid="{1754C00A-42F8-4D24-BA45-D6C6F5CB6C31}"/>
    <hyperlink ref="R133" r:id="rId308" tooltip="Open Prospect Profile" display="https://www.whatifsports.com/hbd/Pages/Popups/ProspectProfile.aspx?pid=13632001" xr:uid="{BED7FAE6-0BDC-4C16-B019-A1A7B49E7ACA}"/>
    <hyperlink ref="R136" r:id="rId309" tooltip="Open Prospect Profile" display="https://www.whatifsports.com/hbd/Pages/Popups/ProspectProfile.aspx?pid=13631874" xr:uid="{BA433F48-CAD2-413E-81AC-311A73A6288C}"/>
    <hyperlink ref="R73" r:id="rId310" tooltip="Open Prospect Profile" display="https://www.whatifsports.com/hbd/Pages/Popups/ProspectProfile.aspx?pid=13631457" xr:uid="{6E3D5606-3555-47FB-9180-61994085A260}"/>
    <hyperlink ref="R72" r:id="rId311" tooltip="Open Prospect Profile" display="https://www.whatifsports.com/hbd/Pages/Popups/ProspectProfile.aspx?pid=13631635" xr:uid="{43319E2F-E40E-4BCE-99B9-A1937A279E08}"/>
    <hyperlink ref="R183" r:id="rId312" tooltip="Open Prospect Profile" display="https://www.whatifsports.com/hbd/Pages/Popups/ProspectProfile.aspx?pid=13632213" xr:uid="{E1A881DC-895A-4022-A70F-34045E0C6CCF}"/>
    <hyperlink ref="R166" r:id="rId313" tooltip="Open Prospect Profile" display="https://www.whatifsports.com/hbd/Pages/Popups/ProspectProfile.aspx?pid=13632131" xr:uid="{3F9C530E-B240-46EF-A975-DBFF0989B14D}"/>
    <hyperlink ref="R138" r:id="rId314" tooltip="Open Prospect Profile" display="https://www.whatifsports.com/hbd/Pages/Popups/ProspectProfile.aspx?pid=13631989" xr:uid="{83A1811B-8CD9-475F-BF64-9DD474B79C00}"/>
    <hyperlink ref="R108" r:id="rId315" tooltip="Open Prospect Profile" display="https://www.whatifsports.com/hbd/Pages/Popups/ProspectProfile.aspx?pid=13631916" xr:uid="{3ABE34DD-F154-47E5-9404-BBCE83F59D56}"/>
    <hyperlink ref="R79" r:id="rId316" tooltip="Open Prospect Profile" display="https://www.whatifsports.com/hbd/Pages/Popups/ProspectProfile.aspx?pid=13631716" xr:uid="{A459F2B3-0A9C-49A0-8B3F-CBF4B56E4988}"/>
    <hyperlink ref="R85" r:id="rId317" tooltip="Open Prospect Profile" display="https://www.whatifsports.com/hbd/Pages/Popups/ProspectProfile.aspx?pid=13631471" xr:uid="{43EE7227-DC06-4D70-A699-DF25E1433E4D}"/>
    <hyperlink ref="R60" r:id="rId318" tooltip="Open Prospect Profile" display="https://www.whatifsports.com/hbd/Pages/Popups/ProspectProfile.aspx?pid=13631437" xr:uid="{8F5BCC3A-5860-4427-B2F3-A24A1C10AE61}"/>
    <hyperlink ref="R200" r:id="rId319" tooltip="Open Prospect Profile" display="https://www.whatifsports.com/hbd/Pages/Popups/ProspectProfile.aspx?pid=13632236" xr:uid="{2D08CE08-DF0D-4A15-A9F2-25B5952B5520}"/>
    <hyperlink ref="R181" r:id="rId320" tooltip="Open Prospect Profile" display="https://www.whatifsports.com/hbd/Pages/Popups/ProspectProfile.aspx?pid=13631904" xr:uid="{904A353D-A6E7-4983-9A4D-E37A4F0C7FF8}"/>
    <hyperlink ref="R63" r:id="rId321" tooltip="Open Prospect Profile" display="https://www.whatifsports.com/hbd/Pages/Popups/ProspectProfile.aspx?pid=13631468" xr:uid="{3B38C678-87EB-4467-878C-45D1E86A19B5}"/>
    <hyperlink ref="R90" r:id="rId322" tooltip="Open Prospect Profile" display="https://www.whatifsports.com/hbd/Pages/Popups/ProspectProfile.aspx?pid=13631453" xr:uid="{F27ADA15-74AD-4794-8A38-9A6A28A5CE5B}"/>
    <hyperlink ref="R140" r:id="rId323" tooltip="Open Prospect Profile" display="https://www.whatifsports.com/hbd/Pages/Popups/ProspectProfile.aspx?pid=13632204" xr:uid="{01F8E5D2-1332-4775-BB39-66F79E20F060}"/>
    <hyperlink ref="R189" r:id="rId324" tooltip="Open Prospect Profile" display="https://www.whatifsports.com/hbd/Pages/Popups/ProspectProfile.aspx?pid=13632186" xr:uid="{C95CA55F-2AEE-461E-87AC-F70A3CFC12E7}"/>
    <hyperlink ref="R178" r:id="rId325" tooltip="Open Prospect Profile" display="https://www.whatifsports.com/hbd/Pages/Popups/ProspectProfile.aspx?pid=13632149" xr:uid="{34EE698D-A7FF-4877-807F-7F13B3B4597D}"/>
    <hyperlink ref="R201" r:id="rId326" tooltip="Open Prospect Profile" display="https://www.whatifsports.com/hbd/Pages/Popups/ProspectProfile.aspx?pid=13632019" xr:uid="{B724164D-D823-4234-A564-01EA590D013C}"/>
    <hyperlink ref="R104" r:id="rId327" tooltip="Open Prospect Profile" display="https://www.whatifsports.com/hbd/Pages/Popups/ProspectProfile.aspx?pid=13631836" xr:uid="{34561736-687D-4F63-A6A7-4F467DACA77F}"/>
    <hyperlink ref="R167" r:id="rId328" tooltip="Open Prospect Profile" display="https://www.whatifsports.com/hbd/Pages/Popups/ProspectProfile.aspx?pid=13632201" xr:uid="{AE2075C9-C60B-4238-A6BF-936721D9167B}"/>
    <hyperlink ref="R158" r:id="rId329" tooltip="Open Prospect Profile" display="https://www.whatifsports.com/hbd/Pages/Popups/ProspectProfile.aspx?pid=13632085" xr:uid="{FFA7C8E6-6F4C-41A7-A8BD-AA7BD6605F35}"/>
    <hyperlink ref="R206" r:id="rId330" tooltip="Open Prospect Profile" display="https://www.whatifsports.com/hbd/Pages/Popups/ProspectProfile.aspx?pid=13632055" xr:uid="{AAFEC6C9-94BD-4868-9655-3C3C52307C5A}"/>
    <hyperlink ref="R203" r:id="rId331" tooltip="Open Prospect Profile" display="https://www.whatifsports.com/hbd/Pages/Popups/ProspectProfile.aspx?pid=13632036" xr:uid="{C9BAAED5-20BF-4A1C-9269-A5C67D3F2FC1}"/>
    <hyperlink ref="R180" r:id="rId332" tooltip="Open Prospect Profile" display="https://www.whatifsports.com/hbd/Pages/Popups/ProspectProfile.aspx?pid=13631991" xr:uid="{0BC7E8FB-C036-49AD-A242-22873AE22EE3}"/>
    <hyperlink ref="R53" r:id="rId333" tooltip="Open Prospect Profile" display="https://www.whatifsports.com/hbd/Pages/Popups/ProspectProfile.aspx?pid=13631414" xr:uid="{D4890B7B-F9AE-4CFB-8743-54FDDE821CDD}"/>
    <hyperlink ref="R156" r:id="rId334" tooltip="Open Prospect Profile" display="https://www.whatifsports.com/hbd/Pages/Popups/ProspectProfile.aspx?pid=13632107" xr:uid="{8C9E358A-6B84-40DB-9B0C-049386FBC858}"/>
    <hyperlink ref="R168" r:id="rId335" tooltip="Open Prospect Profile" display="https://www.whatifsports.com/hbd/Pages/Popups/ProspectProfile.aspx?pid=13632071" xr:uid="{5BBD12C8-FE23-4824-97CD-AA134C8B15BB}"/>
    <hyperlink ref="R194" r:id="rId336" tooltip="Open Prospect Profile" display="https://www.whatifsports.com/hbd/Pages/Popups/ProspectProfile.aspx?pid=13631926" xr:uid="{E1E5F94A-BCEA-4EF6-8AC2-B0E2495E3D4A}"/>
    <hyperlink ref="R82" r:id="rId337" tooltip="Open Prospect Profile" display="https://www.whatifsports.com/hbd/Pages/Popups/ProspectProfile.aspx?pid=13631698" xr:uid="{E6640EC8-C015-4236-8A68-C173817271B2}"/>
    <hyperlink ref="R129" r:id="rId338" tooltip="Open Prospect Profile" display="https://www.whatifsports.com/hbd/Pages/Popups/ProspectProfile.aspx?pid=13632164" xr:uid="{7FF9A978-56F9-4C14-A6ED-DEF9A5F2DD50}"/>
    <hyperlink ref="R145" r:id="rId339" tooltip="Open Prospect Profile" display="https://www.whatifsports.com/hbd/Pages/Popups/ProspectProfile.aspx?pid=13632113" xr:uid="{B62AFCA4-BF32-42EE-9537-8F5A2FC7382E}"/>
    <hyperlink ref="R199" r:id="rId340" tooltip="Open Prospect Profile" display="https://www.whatifsports.com/hbd/Pages/Popups/ProspectProfile.aspx?pid=13632063" xr:uid="{599D2818-6C4C-4932-AB74-51F434696A4C}"/>
    <hyperlink ref="R67" r:id="rId341" tooltip="Open Prospect Profile" display="https://www.whatifsports.com/hbd/Pages/Popups/ProspectProfile.aspx?pid=13631650" xr:uid="{578FEDF0-37C2-41D5-929E-D9A1AA4D6BC6}"/>
    <hyperlink ref="R84" r:id="rId342" tooltip="Open Prospect Profile" display="https://www.whatifsports.com/hbd/Pages/Popups/ProspectProfile.aspx?pid=13631565" xr:uid="{C2483182-4562-4DCA-8383-70E32C4BFE41}"/>
    <hyperlink ref="R75" r:id="rId343" tooltip="Open Prospect Profile" display="https://www.whatifsports.com/hbd/Pages/Popups/ProspectProfile.aspx?pid=13631391" xr:uid="{133A9896-7135-4ED6-BA22-8D45F05FBA94}"/>
    <hyperlink ref="R182" r:id="rId344" tooltip="Open Prospect Profile" display="https://www.whatifsports.com/hbd/Pages/Popups/ProspectProfile.aspx?pid=13632116" xr:uid="{87878C07-10D8-4527-905D-948EBC7AA867}"/>
    <hyperlink ref="R191" r:id="rId345" tooltip="Open Prospect Profile" display="https://www.whatifsports.com/hbd/Pages/Popups/ProspectProfile.aspx?pid=13632058" xr:uid="{DE924F49-608A-4157-BD5D-A8016C89F505}"/>
    <hyperlink ref="R135" r:id="rId346" tooltip="Open Prospect Profile" display="https://www.whatifsports.com/hbd/Pages/Popups/ProspectProfile.aspx?pid=13632048" xr:uid="{18D2C061-C962-4B55-AF38-FE645EEF00ED}"/>
    <hyperlink ref="R198" r:id="rId347" tooltip="Open Prospect Profile" display="https://www.whatifsports.com/hbd/Pages/Popups/ProspectProfile.aspx?pid=13631952" xr:uid="{0F76BC20-1061-4564-BFC2-CBA3DDE7BCE0}"/>
    <hyperlink ref="R174" r:id="rId348" tooltip="Open Prospect Profile" display="https://www.whatifsports.com/hbd/Pages/Popups/ProspectProfile.aspx?pid=13631896" xr:uid="{417E11E9-D9CC-49C9-A32E-2ED47001BCAC}"/>
    <hyperlink ref="R141" r:id="rId349" tooltip="Open Prospect Profile" display="https://www.whatifsports.com/hbd/Pages/Popups/ProspectProfile.aspx?pid=13631877" xr:uid="{05E3D827-518D-43E9-A79A-1F0A38BDE42C}"/>
    <hyperlink ref="R172" r:id="rId350" tooltip="Open Prospect Profile" display="https://www.whatifsports.com/hbd/Pages/Popups/ProspectProfile.aspx?pid=13631875" xr:uid="{5D5ADDE6-2BAC-439A-92D5-2A6FE09149AD}"/>
    <hyperlink ref="R97" r:id="rId351" tooltip="Open Prospect Profile" display="https://www.whatifsports.com/hbd/Pages/Popups/ProspectProfile.aspx?pid=13631796" xr:uid="{A5E0F9F9-0CB8-459D-92BC-472A6A02236F}"/>
    <hyperlink ref="R88" r:id="rId352" tooltip="Open Prospect Profile" display="https://www.whatifsports.com/hbd/Pages/Popups/ProspectProfile.aspx?pid=13631713" xr:uid="{950EF4D9-DD75-4F5F-86C5-8FAFCBFF9D6C}"/>
    <hyperlink ref="R86" r:id="rId353" tooltip="Open Prospect Profile" display="https://www.whatifsports.com/hbd/Pages/Popups/ProspectProfile.aspx?pid=13631560" xr:uid="{580EC702-CF0B-49B7-AE40-96173C078F75}"/>
    <hyperlink ref="R100" r:id="rId354" tooltip="Open Prospect Profile" display="https://www.whatifsports.com/hbd/Pages/Popups/ProspectProfile.aspx?pid=13631518" xr:uid="{D33EE1E1-46A2-424E-AA8B-D1FAD88D6D4E}"/>
    <hyperlink ref="R94" r:id="rId355" tooltip="Open Prospect Profile" display="https://www.whatifsports.com/hbd/Pages/Popups/ProspectProfile.aspx?pid=13631435" xr:uid="{76E7A192-917B-4948-A7D4-705B5D471090}"/>
    <hyperlink ref="R103" r:id="rId356" tooltip="Open Prospect Profile" display="https://www.whatifsports.com/hbd/Pages/Popups/ProspectProfile.aspx?pid=13631389" xr:uid="{6022F987-5413-4C1A-B8B2-306E459FE5B8}"/>
    <hyperlink ref="R95" r:id="rId357" tooltip="Open Prospect Profile" display="https://www.whatifsports.com/hbd/Pages/Popups/ProspectProfile.aspx?pid=13632013" xr:uid="{3A84BCBE-5D20-45C9-B0B5-ADE76E5EB849}"/>
    <hyperlink ref="R81" r:id="rId358" tooltip="Open Prospect Profile" display="https://www.whatifsports.com/hbd/Pages/Popups/ProspectProfile.aspx?pid=13632078" xr:uid="{6D12EFCE-F523-4AE6-A274-17112D6B2B24}"/>
    <hyperlink ref="R154" r:id="rId359" tooltip="Open Prospect Profile" display="https://www.whatifsports.com/hbd/Pages/Popups/ProspectProfile.aspx?pid=13631910" xr:uid="{4E0764AA-6C47-44A8-8AE2-752B750073EB}"/>
    <hyperlink ref="R96" r:id="rId360" tooltip="Open Prospect Profile" display="https://www.whatifsports.com/hbd/Pages/Popups/ProspectProfile.aspx?pid=13631448" xr:uid="{C22853E1-3396-4138-9E2F-0F7E8563E5C1}"/>
    <hyperlink ref="R99" r:id="rId361" tooltip="Open Prospect Profile" display="https://www.whatifsports.com/hbd/Pages/Popups/ProspectProfile.aspx?pid=13631442" xr:uid="{C2B4B631-3F89-463D-81F0-795DCFA04D37}"/>
    <hyperlink ref="R205" r:id="rId362" tooltip="Open Prospect Profile" display="https://www.whatifsports.com/hbd/Pages/Popups/ProspectProfile.aspx?pid=13632156" xr:uid="{CA0E1DDD-8E49-4C1D-A73F-4E5EDBE6FF54}"/>
    <hyperlink ref="R92" r:id="rId363" tooltip="Open Prospect Profile" display="https://www.whatifsports.com/hbd/Pages/Popups/ProspectProfile.aspx?pid=13631642" xr:uid="{556FD041-738A-4DBB-81C6-B3639591D9D9}"/>
    <hyperlink ref="R134" r:id="rId364" tooltip="Open Prospect Profile" display="https://www.whatifsports.com/hbd/Pages/Popups/ProspectProfile.aspx?pid=13631885" xr:uid="{3D6FA972-668A-46F5-9719-51B1C520763A}"/>
    <hyperlink ref="R186" r:id="rId365" tooltip="Open Prospect Profile" display="https://www.whatifsports.com/hbd/Pages/Popups/ProspectProfile.aspx?pid=13632029" xr:uid="{CD7B85D4-DC7B-450B-BC87-26823AAA1D19}"/>
    <hyperlink ref="R202" r:id="rId366" tooltip="Open Prospect Profile" display="https://www.whatifsports.com/hbd/Pages/Popups/ProspectProfile.aspx?pid=13631996" xr:uid="{85C6AACE-20D5-4088-9FCB-7D0EA4E2E636}"/>
    <hyperlink ref="R173" r:id="rId367" tooltip="Open Prospect Profile" display="https://www.whatifsports.com/hbd/Pages/Popups/ProspectProfile.aspx?pid=13631863" xr:uid="{223CFEC1-F83D-478F-974D-5CA5BDDFEDBD}"/>
    <hyperlink ref="R107" r:id="rId368" tooltip="Open Prospect Profile" display="https://www.whatifsports.com/hbd/Pages/Popups/ProspectProfile.aspx?pid=13631680" xr:uid="{DDECAB8A-0514-40B6-B284-61F2F30C7865}"/>
    <hyperlink ref="R105" r:id="rId369" tooltip="Open Prospect Profile" display="https://www.whatifsports.com/hbd/Pages/Popups/ProspectProfile.aspx?pid=13631630" xr:uid="{3757A36A-5FF7-46A2-99F8-BAD15D797CD4}"/>
    <hyperlink ref="R122" r:id="rId370" tooltip="Open Prospect Profile" display="https://www.whatifsports.com/hbd/Pages/Popups/ProspectProfile.aspx?pid=13632115" xr:uid="{540E7667-3236-4955-B9EC-A9A84156B8F1}"/>
    <hyperlink ref="R143" r:id="rId371" tooltip="Open Prospect Profile" display="https://www.whatifsports.com/hbd/Pages/Popups/ProspectProfile.aspx?pid=13631994" xr:uid="{2193DF93-C016-48AA-8652-9289218CEF3A}"/>
    <hyperlink ref="R148" r:id="rId372" tooltip="Open Prospect Profile" display="https://www.whatifsports.com/hbd/Pages/Popups/ProspectProfile.aspx?pid=13631871" xr:uid="{3329F4E2-19EB-4904-B541-08AF55497CEE}"/>
    <hyperlink ref="R120" r:id="rId373" tooltip="Open Prospect Profile" display="https://www.whatifsports.com/hbd/Pages/Popups/ProspectProfile.aspx?pid=13631808" xr:uid="{5C21F669-A11A-4947-A6AD-31FCF9DE570F}"/>
    <hyperlink ref="R45" r:id="rId374" tooltip="Open Prospect Profile" display="https://www.whatifsports.com/hbd/Pages/Popups/ProspectProfile.aspx?pid=13631601" xr:uid="{53C93723-181F-42A4-B752-D252AC453C31}"/>
    <hyperlink ref="R197" r:id="rId375" tooltip="Open Prospect Profile" display="https://www.whatifsports.com/hbd/Pages/Popups/ProspectProfile.aspx?pid=13631968" xr:uid="{7C899E3A-9548-4C9F-B38D-CC7DBB2D211D}"/>
    <hyperlink ref="R165" r:id="rId376" tooltip="Open Prospect Profile" display="https://www.whatifsports.com/hbd/Pages/Popups/ProspectProfile.aspx?pid=13631945" xr:uid="{20C2AD57-E6F2-45BC-A177-844B219DB728}"/>
    <hyperlink ref="R187" r:id="rId377" tooltip="Open Prospect Profile" display="https://www.whatifsports.com/hbd/Pages/Popups/ProspectProfile.aspx?pid=13631914" xr:uid="{385C020B-7EC9-47DB-A046-5F56E1AF3AC3}"/>
    <hyperlink ref="R190" r:id="rId378" tooltip="Open Prospect Profile" display="https://www.whatifsports.com/hbd/Pages/Popups/ProspectProfile.aspx?pid=13632023" xr:uid="{F0E983A6-2001-444D-B8EA-D9C29B930199}"/>
    <hyperlink ref="R176" r:id="rId379" tooltip="Open Prospect Profile" display="https://www.whatifsports.com/hbd/Pages/Popups/ProspectProfile.aspx?pid=13631860" xr:uid="{EDFAE011-2545-48B2-B601-0821E3D9E077}"/>
    <hyperlink ref="R62" r:id="rId380" tooltip="Open Prospect Profile" display="https://www.whatifsports.com/hbd/Pages/Popups/ProspectProfile.aspx?pid=13631526" xr:uid="{930D42FD-E544-422C-9DE5-50A0E23FF501}"/>
    <hyperlink ref="R163" r:id="rId381" tooltip="Open Prospect Profile" display="https://www.whatifsports.com/hbd/Pages/Popups/ProspectProfile.aspx?pid=13631876" xr:uid="{9581D545-F4DA-46C5-9EC8-3B4B46996B81}"/>
    <hyperlink ref="R102" r:id="rId382" tooltip="Open Prospect Profile" display="https://www.whatifsports.com/hbd/Pages/Popups/ProspectProfile.aspx?pid=13631849" xr:uid="{BA3FD791-21EA-44FC-93FB-1B1B2FD38861}"/>
    <hyperlink ref="R74" r:id="rId383" tooltip="Open Prospect Profile" display="https://www.whatifsports.com/hbd/Pages/Popups/ProspectProfile.aspx?pid=13631576" xr:uid="{0A05B517-E61A-4105-BA64-5BBD577231DE}"/>
    <hyperlink ref="R101" r:id="rId384" tooltip="Open Prospect Profile" display="https://www.whatifsports.com/hbd/Pages/Popups/ProspectProfile.aspx?pid=13631939" xr:uid="{75336824-CDEC-4E51-9194-41A14090E4A3}"/>
    <hyperlink ref="R188" r:id="rId385" tooltip="Open Prospect Profile" display="https://www.whatifsports.com/hbd/Pages/Popups/ProspectProfile.aspx?pid=13631853" xr:uid="{8452D595-CBB4-4211-B5D7-2EC41357F6C2}"/>
    <hyperlink ref="R146" r:id="rId386" tooltip="Open Prospect Profile" display="https://www.whatifsports.com/hbd/Pages/Popups/ProspectProfile.aspx?pid=13631913" xr:uid="{433C01E3-04F9-42A4-B472-F4A25E91EE8C}"/>
    <hyperlink ref="R207" r:id="rId387" tooltip="Open Prospect Profile" display="https://www.whatifsports.com/hbd/Pages/Popups/ProspectProfile.aspx?pid=13631908" xr:uid="{4F476439-EE1B-434D-9629-2CB6EBF57207}"/>
    <hyperlink ref="R83" r:id="rId388" tooltip="Open Prospect Profile" display="https://www.whatifsports.com/hbd/Pages/Popups/ProspectProfile.aspx?pid=13631703" xr:uid="{7B535CF2-6E25-4183-8CC7-B64B25501C75}"/>
    <hyperlink ref="R52" r:id="rId389" tooltip="Open Prospect Profile" display="https://www.whatifsports.com/hbd/Pages/Popups/ProspectProfile.aspx?pid=13631610" xr:uid="{01963827-2D06-441E-8B68-5CBE53C9CD20}"/>
    <hyperlink ref="R150" r:id="rId390" tooltip="Open Prospect Profile" display="https://www.whatifsports.com/hbd/Pages/Popups/ProspectProfile.aspx?pid=13631963" xr:uid="{AFC77A63-06EF-4384-B02C-91586E5AE39F}"/>
    <hyperlink ref="R131" r:id="rId391" tooltip="Open Prospect Profile" display="https://www.whatifsports.com/hbd/Pages/Popups/ProspectProfile.aspx?pid=13631882" xr:uid="{EF87FD3E-6276-41E6-891E-F547151F14B3}"/>
    <hyperlink ref="R127" r:id="rId392" tooltip="Open Prospect Profile" display="https://www.whatifsports.com/hbd/Pages/Popups/ProspectProfile.aspx?pid=13632154" xr:uid="{23817BC4-6B98-4834-A6E5-3BCCE11D7594}"/>
    <hyperlink ref="R87" r:id="rId393" tooltip="Open Prospect Profile" display="https://www.whatifsports.com/hbd/Pages/Popups/ProspectProfile.aspx?pid=13631636" xr:uid="{456807F5-2DBB-4188-8A69-F32AE117062E}"/>
    <hyperlink ref="R160" r:id="rId394" tooltip="Open Prospect Profile" display="https://www.whatifsports.com/hbd/Pages/Popups/ProspectProfile.aspx?pid=13631844" xr:uid="{A507AEC7-E073-416F-A41F-6B9F61B24FD6}"/>
    <hyperlink ref="R29" r:id="rId395" tooltip="Open Prospect Profile" display="https://www.whatifsports.com/hbd/Pages/Popups/ProspectProfile.aspx?pid=13631775" xr:uid="{B5899CFF-5FA3-4022-BEB2-7E5EE7D1FA5C}"/>
    <hyperlink ref="R38" r:id="rId396" tooltip="Open Prospect Profile" display="https://www.whatifsports.com/hbd/Pages/Popups/ProspectProfile.aspx?pid=13631823" xr:uid="{C2F2B576-03B2-4EE8-A552-048C39583014}"/>
    <hyperlink ref="R42" r:id="rId397" tooltip="Open Prospect Profile" display="https://www.whatifsports.com/hbd/Pages/Popups/ProspectProfile.aspx?pid=13631818" xr:uid="{EEC848D3-6049-4350-8E26-7441C0AB6B39}"/>
    <hyperlink ref="R69" r:id="rId398" tooltip="Open Prospect Profile" display="https://www.whatifsports.com/hbd/Pages/Popups/ProspectProfile.aspx?pid=13631814" xr:uid="{DF7410A0-0E8E-45DD-828B-C291FF71F302}"/>
    <hyperlink ref="R89" r:id="rId399" tooltip="Open Prospect Profile" display="https://www.whatifsports.com/hbd/Pages/Popups/ProspectProfile.aspx?pid=13631803" xr:uid="{BF9ED1E0-A0DC-4D5A-915B-014F4166C4D0}"/>
    <hyperlink ref="R71" r:id="rId400" tooltip="Open Prospect Profile" display="https://www.whatifsports.com/hbd/Pages/Popups/ProspectProfile.aspx?pid=13631792" xr:uid="{112E2B92-A03F-4826-84EC-0365654651D3}"/>
    <hyperlink ref="R65" r:id="rId401" tooltip="Open Prospect Profile" display="https://www.whatifsports.com/hbd/Pages/Popups/ProspectProfile.aspx?pid=13631791" xr:uid="{C5C7B744-C3D9-46E7-8796-FA19AD7FE7AE}"/>
    <hyperlink ref="R80" r:id="rId402" tooltip="Open Prospect Profile" display="https://www.whatifsports.com/hbd/Pages/Popups/ProspectProfile.aspx?pid=13631789" xr:uid="{B08D4F95-2286-4BC4-99D4-F324463F78F5}"/>
    <hyperlink ref="R37" r:id="rId403" tooltip="Open Prospect Profile" display="https://www.whatifsports.com/hbd/Pages/Popups/ProspectProfile.aspx?pid=13631763" xr:uid="{1EF8AED3-A0AA-46B8-A226-754AFCFBE461}"/>
    <hyperlink ref="R64" r:id="rId404" tooltip="Open Prospect Profile" display="https://www.whatifsports.com/hbd/Pages/Popups/ProspectProfile.aspx?pid=13631762" xr:uid="{2432B749-8C09-4BB7-8976-A89B7CB0C7EF}"/>
    <hyperlink ref="R93" r:id="rId405" tooltip="Open Prospect Profile" display="https://www.whatifsports.com/hbd/Pages/Popups/ProspectProfile.aspx?pid=13631752" xr:uid="{2FE5C411-6D33-4FDA-9F8D-A36E49018FD9}"/>
    <hyperlink ref="R125" r:id="rId406" tooltip="Open Prospect Profile" display="https://www.whatifsports.com/hbd/Pages/Popups/ProspectProfile.aspx?pid=13631802" xr:uid="{AA07B374-6652-4821-9984-EA28852170CF}"/>
    <hyperlink ref="R111" r:id="rId407" tooltip="Open Prospect Profile" display="https://www.whatifsports.com/hbd/Pages/Popups/ProspectProfile.aspx?pid=13631780" xr:uid="{AAC6A036-CA4E-452C-B540-D4CFF19FF65B}"/>
    <hyperlink ref="R98" r:id="rId408" tooltip="Open Prospect Profile" display="https://www.whatifsports.com/hbd/Pages/Popups/ProspectProfile.aspx?pid=13631742" xr:uid="{73376C23-682B-43FF-A78A-CB359BB522C2}"/>
    <hyperlink ref="R61" r:id="rId409" tooltip="Open Prospect Profile" display="https://www.whatifsports.com/hbd/Pages/Popups/ProspectProfile.aspx?pid=13631648" xr:uid="{63644D13-0347-47DC-8273-DDAE848B4DA9}"/>
    <hyperlink ref="R76" r:id="rId410" tooltip="Open Prospect Profile" display="https://www.whatifsports.com/hbd/Pages/Popups/ProspectProfile.aspx?pid=13631532" xr:uid="{A49F8419-E1D0-4EE5-93F1-78FCBA6CF8F0}"/>
    <hyperlink ref="R91" r:id="rId411" tooltip="Open Prospect Profile" display="https://www.whatifsports.com/hbd/Pages/Popups/ProspectProfile.aspx?pid=13631531" xr:uid="{31FD56AF-F41B-43F7-BD96-696465A86F87}"/>
    <hyperlink ref="R117" r:id="rId412" tooltip="Open Prospect Profile" display="https://www.whatifsports.com/hbd/Pages/Popups/ProspectProfile.aspx?pid=13631516" xr:uid="{C5131ACB-636B-4E71-AD87-453DB38072EE}"/>
    <hyperlink ref="R78" r:id="rId413" tooltip="Open Prospect Profile" display="https://www.whatifsports.com/hbd/Pages/Popups/ProspectProfile.aspx?pid=13631514" xr:uid="{11FC73D5-9283-41EE-A6B5-592315FD7DFF}"/>
    <hyperlink ref="R77" r:id="rId414" tooltip="Open Prospect Profile" display="https://www.whatifsports.com/hbd/Pages/Popups/ProspectProfile.aspx?pid=13631406" xr:uid="{F0E1DB5B-C1B2-4D7F-A1BE-D6F69EE118B0}"/>
  </hyperlinks>
  <pageMargins left="0.7" right="0.7" top="0.75" bottom="0.75" header="0.3" footer="0.3"/>
  <pageSetup orientation="portrait" r:id="rId415"/>
  <drawing r:id="rId41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505"/>
  <sheetViews>
    <sheetView topLeftCell="A4" workbookViewId="0">
      <selection activeCell="A5" sqref="A5"/>
    </sheetView>
  </sheetViews>
  <sheetFormatPr defaultColWidth="15.6640625" defaultRowHeight="13.5" customHeight="1" x14ac:dyDescent="0.3"/>
  <cols>
    <col min="1" max="1" width="15.6640625" bestFit="1" customWidth="1"/>
    <col min="2" max="2" width="4.88671875" bestFit="1" customWidth="1"/>
    <col min="3" max="3" width="21.5546875" customWidth="1"/>
    <col min="5" max="5" width="4.6640625" bestFit="1" customWidth="1"/>
    <col min="6" max="6" width="6.33203125" bestFit="1" customWidth="1"/>
    <col min="7" max="7" width="4.44140625" bestFit="1" customWidth="1"/>
    <col min="8" max="9" width="4" bestFit="1" customWidth="1"/>
    <col min="10" max="11" width="4.88671875" bestFit="1" customWidth="1"/>
    <col min="12" max="12" width="4" bestFit="1" customWidth="1"/>
    <col min="13" max="16" width="4.88671875" bestFit="1" customWidth="1"/>
    <col min="17" max="17" width="4" bestFit="1" customWidth="1"/>
    <col min="18" max="18" width="4.88671875" bestFit="1" customWidth="1"/>
    <col min="19" max="19" width="4" bestFit="1" customWidth="1"/>
    <col min="20" max="20" width="4.88671875" bestFit="1" customWidth="1"/>
    <col min="21" max="22" width="10" bestFit="1" customWidth="1"/>
    <col min="23" max="23" width="21.5546875" customWidth="1"/>
    <col min="24" max="24" width="11" bestFit="1" customWidth="1"/>
    <col min="25" max="25" width="5.6640625" bestFit="1" customWidth="1"/>
  </cols>
  <sheetData>
    <row r="1" spans="1:25" ht="13.5" customHeight="1" thickBot="1" x14ac:dyDescent="0.35">
      <c r="C1" s="2"/>
      <c r="D1" s="2"/>
      <c r="E1" s="2"/>
      <c r="F1" s="2"/>
      <c r="G1" s="2"/>
      <c r="H1" s="1">
        <v>1</v>
      </c>
      <c r="I1" s="1">
        <v>4</v>
      </c>
      <c r="J1" s="1">
        <v>2</v>
      </c>
      <c r="K1" s="1">
        <v>1</v>
      </c>
      <c r="L1" s="1">
        <v>1.5</v>
      </c>
      <c r="M1" s="1">
        <v>0.2</v>
      </c>
      <c r="N1" s="1">
        <v>0.2</v>
      </c>
      <c r="O1" s="1">
        <v>2</v>
      </c>
      <c r="P1" s="1">
        <v>2</v>
      </c>
      <c r="Q1" s="1">
        <v>1</v>
      </c>
      <c r="R1" s="1">
        <v>0.5</v>
      </c>
      <c r="S1" s="1">
        <v>0.3</v>
      </c>
      <c r="T1" s="4"/>
      <c r="U1" s="23" t="s">
        <v>15</v>
      </c>
      <c r="V1" s="24"/>
      <c r="W1" s="24"/>
      <c r="X1" s="24"/>
    </row>
    <row r="2" spans="1:25" ht="13.5" customHeight="1" thickBot="1" x14ac:dyDescent="0.35">
      <c r="C2" s="2"/>
      <c r="D2" s="2"/>
      <c r="E2" s="2"/>
      <c r="F2" s="2"/>
      <c r="G2" s="2"/>
      <c r="H2" s="25">
        <v>1</v>
      </c>
      <c r="I2" s="26"/>
      <c r="J2" s="25">
        <v>4</v>
      </c>
      <c r="K2" s="27"/>
      <c r="L2" s="27"/>
      <c r="M2" s="27"/>
      <c r="N2" s="26"/>
      <c r="O2" s="27">
        <v>2</v>
      </c>
      <c r="P2" s="27"/>
      <c r="Q2" s="27"/>
      <c r="R2" s="27"/>
      <c r="S2" s="26"/>
      <c r="T2" s="9"/>
    </row>
    <row r="3" spans="1:25" s="11" customFormat="1" ht="13.5" customHeight="1" thickBot="1" x14ac:dyDescent="0.35"/>
    <row r="4" spans="1:25" s="1" customFormat="1" ht="13.5" customHeight="1" thickBot="1" x14ac:dyDescent="0.35">
      <c r="A4" s="6">
        <f>(W4*H$2+U4*J$2+V4*O$2)*100/(W$4*H$2+U$4*J$2+V$4*O$2)</f>
        <v>100</v>
      </c>
      <c r="H4" s="1">
        <v>100</v>
      </c>
      <c r="I4" s="1">
        <v>100</v>
      </c>
      <c r="J4" s="1">
        <v>100</v>
      </c>
      <c r="K4" s="1">
        <v>100</v>
      </c>
      <c r="L4" s="1">
        <v>100</v>
      </c>
      <c r="M4" s="1">
        <v>100</v>
      </c>
      <c r="N4" s="1">
        <v>100</v>
      </c>
      <c r="O4" s="1">
        <v>100</v>
      </c>
      <c r="P4" s="1">
        <v>100</v>
      </c>
      <c r="Q4" s="1">
        <v>100</v>
      </c>
      <c r="R4" s="1">
        <v>100</v>
      </c>
      <c r="S4" s="1">
        <v>100</v>
      </c>
      <c r="T4" s="1">
        <v>100</v>
      </c>
      <c r="U4" s="6">
        <f>J$1*((-2*10^-6)*J4^3+0.00032*J4^2-0.0021*J4)+K$1*((-2*10^-6)*K4^3+0.00032*K4^2-0.0021*K4)+L$1*((-2*10^-6)*L4^3+0.00032*L4^2-0.0021*L4)+M$1*((-2*10^-6)*M4^3+0.00032*M4^2-0.0021*M4)+N$1*((-2*10^-6)*N4^3+0.00032*N4^2-0.0021*N4)</f>
        <v>4.8510000000000018</v>
      </c>
      <c r="V4" s="6">
        <f>O$1*((-2*10^-6)*O4^3+0.00032*O4^2-0.0021*O4)+P$1*((-2*10^-6)*P4^3+0.00032*P4^2-0.0021*P4)+Q$1*((-2*10^-6)*Q4^3+0.00032*Q4^2-0.0021*Q4)+R$1*((-2*10^-6)*R4^3+0.00032*R4^2-0.0021*R4)+S$1*((-2*10^-6)*S4^3+0.00032*S4^2-0.0021*S4)</f>
        <v>5.7420000000000009</v>
      </c>
      <c r="W4" s="6">
        <f>(H$1*H4+I$1*I4)/100</f>
        <v>5</v>
      </c>
      <c r="X4" s="6">
        <f>U4*J$2+V4*O$2+W4*H$2</f>
        <v>35.888000000000005</v>
      </c>
    </row>
    <row r="5" spans="1:25" ht="13.5" customHeight="1" x14ac:dyDescent="0.3">
      <c r="A5" s="22" t="s">
        <v>25</v>
      </c>
      <c r="B5" s="14" t="s">
        <v>26</v>
      </c>
      <c r="C5" s="15" t="s">
        <v>0</v>
      </c>
      <c r="D5" s="16" t="s">
        <v>1</v>
      </c>
      <c r="E5" s="16" t="s">
        <v>27</v>
      </c>
      <c r="F5" s="16" t="s">
        <v>28</v>
      </c>
      <c r="G5" s="16" t="s">
        <v>2</v>
      </c>
      <c r="H5" s="17" t="e" vm="15">
        <v>#VALUE!</v>
      </c>
      <c r="I5" s="17" t="e" vm="21">
        <v>#VALUE!</v>
      </c>
      <c r="J5" s="17" t="e" vm="22">
        <v>#VALUE!</v>
      </c>
      <c r="K5" s="17" t="e" vm="23">
        <v>#VALUE!</v>
      </c>
      <c r="L5" s="17" t="e" vm="24">
        <v>#VALUE!</v>
      </c>
      <c r="M5" s="17" t="e" vm="25">
        <v>#VALUE!</v>
      </c>
      <c r="N5" s="17" t="e" vm="26">
        <v>#VALUE!</v>
      </c>
      <c r="O5" s="17" t="e" vm="27">
        <v>#VALUE!</v>
      </c>
      <c r="P5" s="17" t="e" vm="28">
        <v>#VALUE!</v>
      </c>
      <c r="Q5" s="17" t="e" vm="29">
        <v>#VALUE!</v>
      </c>
      <c r="R5" s="17" t="e" vm="30">
        <v>#VALUE!</v>
      </c>
      <c r="S5" s="17" t="e" vm="31">
        <v>#VALUE!</v>
      </c>
      <c r="T5" s="17" t="e" vm="9">
        <v>#VALUE!</v>
      </c>
      <c r="U5" t="s">
        <v>17</v>
      </c>
      <c r="V5" t="s">
        <v>18</v>
      </c>
      <c r="W5" t="s">
        <v>24</v>
      </c>
      <c r="X5" t="s">
        <v>14</v>
      </c>
    </row>
    <row r="6" spans="1:25" ht="13.5" customHeight="1" thickBot="1" x14ac:dyDescent="0.35">
      <c r="A6">
        <f t="shared" ref="A6:A69" si="0">(W6*H$2+U6*J$2+V6*O$2)*100/(W$4*H$2+U$4*J$2+V$4*O$2)</f>
        <v>77.627238074008034</v>
      </c>
      <c r="B6" s="18">
        <v>3</v>
      </c>
      <c r="C6" s="12" t="s">
        <v>31</v>
      </c>
      <c r="D6" s="19" t="s">
        <v>16</v>
      </c>
      <c r="E6" s="19" t="s">
        <v>19</v>
      </c>
      <c r="F6" s="19" t="s">
        <v>19</v>
      </c>
      <c r="G6" s="19">
        <v>18</v>
      </c>
      <c r="H6" s="19">
        <v>31</v>
      </c>
      <c r="I6" s="19">
        <v>87</v>
      </c>
      <c r="J6" s="19">
        <v>81</v>
      </c>
      <c r="K6" s="19">
        <v>71</v>
      </c>
      <c r="L6" s="19">
        <v>84</v>
      </c>
      <c r="M6" s="19">
        <v>82</v>
      </c>
      <c r="N6" s="19">
        <v>82</v>
      </c>
      <c r="O6" s="19">
        <v>91</v>
      </c>
      <c r="P6" s="19">
        <v>55</v>
      </c>
      <c r="Q6" s="19">
        <v>53</v>
      </c>
      <c r="R6" s="19">
        <v>52</v>
      </c>
      <c r="S6" s="19">
        <v>16</v>
      </c>
      <c r="T6" s="19">
        <v>83</v>
      </c>
      <c r="U6" s="6">
        <f t="shared" ref="U6:U69" si="1">J$1*((-2*10^-6)*J6^3+0.00032*J6^2-0.0021*J6)+K$1*((-2*10^-6)*K6^3+0.00032*K6^2-0.0021*K6)+L$1*((-2*10^-6)*L6^3+0.00032*L6^2-0.0021*L6)+M$1*((-2*10^-6)*M6^3+0.00032*M6^2-0.0021*M6)+N$1*((-2*10^-6)*N6^3+0.00032*N6^2-0.0021*N6)</f>
        <v>4.1761396000000008</v>
      </c>
      <c r="V6">
        <f>O$1*((-2*10^-6)*O6^3+0.00032*O6^2-0.0021*O6)+P$1*((-2*10^-6)*P6^3+0.00032*P6^2-0.0021*P6)+Q$1*((-2*10^-6)*Q6^3+0.00032*Q6^2-0.0021*Q6)+R$1*((-2*10^-6)*R6^3+0.00032*R6^2-0.0021*R6)+S$1*((-2*10^-6)*S6^3+0.00032*S6^2-0.0021*S6)</f>
        <v>3.682152400000001</v>
      </c>
      <c r="W6" s="6">
        <f t="shared" ref="W6:W69" si="2">(H$1*H6+I$1*I6)/100</f>
        <v>3.79</v>
      </c>
      <c r="X6">
        <f t="shared" ref="X6:X69" si="3">U6*J$2+V6*O$2+W6*H$2</f>
        <v>27.858863200000005</v>
      </c>
      <c r="Y6" t="str">
        <f t="shared" ref="Y6:Y69" si="4">IF(AND(I6&gt;50,H6+I6&gt;75),"SP",IF(2*H6+I6&gt;120,"RP","CRAP"))</f>
        <v>SP</v>
      </c>
    </row>
    <row r="7" spans="1:25" ht="13.5" customHeight="1" thickBot="1" x14ac:dyDescent="0.35">
      <c r="A7">
        <f t="shared" si="0"/>
        <v>76.904199732501127</v>
      </c>
      <c r="B7" s="18">
        <v>7</v>
      </c>
      <c r="C7" s="12" t="s">
        <v>35</v>
      </c>
      <c r="D7" s="19" t="s">
        <v>16</v>
      </c>
      <c r="E7" s="19" t="s">
        <v>19</v>
      </c>
      <c r="F7" s="19" t="s">
        <v>19</v>
      </c>
      <c r="G7" s="19">
        <v>18</v>
      </c>
      <c r="H7" s="19">
        <v>67</v>
      </c>
      <c r="I7" s="19">
        <v>26</v>
      </c>
      <c r="J7" s="19">
        <v>94</v>
      </c>
      <c r="K7" s="19">
        <v>75</v>
      </c>
      <c r="L7" s="19">
        <v>89</v>
      </c>
      <c r="M7" s="19">
        <v>98</v>
      </c>
      <c r="N7" s="19">
        <v>86</v>
      </c>
      <c r="O7" s="19">
        <v>92</v>
      </c>
      <c r="P7" s="19">
        <v>72</v>
      </c>
      <c r="Q7" s="19">
        <v>51</v>
      </c>
      <c r="R7" s="19">
        <v>0</v>
      </c>
      <c r="S7" s="19">
        <v>0</v>
      </c>
      <c r="T7" s="19">
        <v>78</v>
      </c>
      <c r="U7" s="6">
        <f t="shared" si="1"/>
        <v>4.5232978000000008</v>
      </c>
      <c r="V7">
        <f t="shared" ref="V7:V70" si="5">O$1*((-2*10^-6)*O7^3+0.00032*O7^2-0.0021*O7)+P$1*((-2*10^-6)*P7^3+0.00032*P7^2-0.0021*P7)+Q$1*((-2*10^-6)*Q7^3+0.00032*Q7^2-0.0021*Q7)+R$1*((-2*10^-6)*R7^3+0.00032*R7^2-0.0021*R7)+S$1*((-2*10^-6)*S7^3+0.00032*S7^2-0.0021*S7)</f>
        <v>3.8980940000000013</v>
      </c>
      <c r="W7" s="6">
        <f t="shared" si="2"/>
        <v>1.71</v>
      </c>
      <c r="X7">
        <f t="shared" si="3"/>
        <v>27.599379200000008</v>
      </c>
      <c r="Y7" t="str">
        <f t="shared" si="4"/>
        <v>RP</v>
      </c>
    </row>
    <row r="8" spans="1:25" ht="13.5" customHeight="1" thickBot="1" x14ac:dyDescent="0.35">
      <c r="A8">
        <f t="shared" si="0"/>
        <v>75.733087382969245</v>
      </c>
      <c r="B8" s="18">
        <v>9</v>
      </c>
      <c r="C8" s="12" t="s">
        <v>37</v>
      </c>
      <c r="D8" s="19" t="s">
        <v>16</v>
      </c>
      <c r="E8" s="19" t="s">
        <v>19</v>
      </c>
      <c r="F8" s="19" t="s">
        <v>19</v>
      </c>
      <c r="G8" s="19">
        <v>18</v>
      </c>
      <c r="H8" s="19">
        <v>29</v>
      </c>
      <c r="I8" s="19">
        <v>52</v>
      </c>
      <c r="J8" s="19">
        <v>94</v>
      </c>
      <c r="K8" s="19">
        <v>66</v>
      </c>
      <c r="L8" s="19">
        <v>89</v>
      </c>
      <c r="M8" s="19">
        <v>36</v>
      </c>
      <c r="N8" s="19">
        <v>85</v>
      </c>
      <c r="O8" s="19">
        <v>89</v>
      </c>
      <c r="P8" s="19">
        <v>66</v>
      </c>
      <c r="Q8" s="19">
        <v>56</v>
      </c>
      <c r="R8" s="19">
        <v>36</v>
      </c>
      <c r="S8" s="19">
        <v>0</v>
      </c>
      <c r="T8" s="19">
        <v>77</v>
      </c>
      <c r="U8" s="6">
        <f t="shared" si="1"/>
        <v>4.2552666000000006</v>
      </c>
      <c r="V8">
        <f t="shared" si="5"/>
        <v>3.8940120000000009</v>
      </c>
      <c r="W8" s="6">
        <f t="shared" si="2"/>
        <v>2.37</v>
      </c>
      <c r="X8">
        <f t="shared" si="3"/>
        <v>27.179090400000003</v>
      </c>
      <c r="Y8" t="str">
        <f t="shared" si="4"/>
        <v>SP</v>
      </c>
    </row>
    <row r="9" spans="1:25" ht="13.5" customHeight="1" thickBot="1" x14ac:dyDescent="0.35">
      <c r="A9">
        <f t="shared" si="0"/>
        <v>76.844305617476607</v>
      </c>
      <c r="B9" s="20">
        <v>20</v>
      </c>
      <c r="C9" s="13" t="s">
        <v>48</v>
      </c>
      <c r="D9" s="21" t="s">
        <v>16</v>
      </c>
      <c r="E9" s="21" t="s">
        <v>19</v>
      </c>
      <c r="F9" s="21" t="s">
        <v>19</v>
      </c>
      <c r="G9" s="21">
        <v>18</v>
      </c>
      <c r="H9" s="21">
        <v>29</v>
      </c>
      <c r="I9" s="21">
        <v>46</v>
      </c>
      <c r="J9" s="21">
        <v>100</v>
      </c>
      <c r="K9" s="21">
        <v>63</v>
      </c>
      <c r="L9" s="21">
        <v>70</v>
      </c>
      <c r="M9" s="21">
        <v>34</v>
      </c>
      <c r="N9" s="21">
        <v>79</v>
      </c>
      <c r="O9" s="21">
        <v>90</v>
      </c>
      <c r="P9" s="21">
        <v>90</v>
      </c>
      <c r="Q9" s="21">
        <v>63</v>
      </c>
      <c r="R9" s="21">
        <v>68</v>
      </c>
      <c r="S9" s="21">
        <v>39</v>
      </c>
      <c r="T9" s="21">
        <v>71</v>
      </c>
      <c r="U9" s="6">
        <f t="shared" si="1"/>
        <v>3.933196800000001</v>
      </c>
      <c r="V9">
        <f t="shared" si="5"/>
        <v>4.8575486000000012</v>
      </c>
      <c r="W9" s="6">
        <f t="shared" si="2"/>
        <v>2.13</v>
      </c>
      <c r="X9">
        <f t="shared" si="3"/>
        <v>27.577884400000006</v>
      </c>
      <c r="Y9" t="str">
        <f t="shared" si="4"/>
        <v>CRAP</v>
      </c>
    </row>
    <row r="10" spans="1:25" ht="13.5" customHeight="1" thickBot="1" x14ac:dyDescent="0.35">
      <c r="A10">
        <f t="shared" si="0"/>
        <v>77.101347525635305</v>
      </c>
      <c r="B10" s="20">
        <v>6</v>
      </c>
      <c r="C10" s="13" t="s">
        <v>34</v>
      </c>
      <c r="D10" s="21" t="s">
        <v>16</v>
      </c>
      <c r="E10" s="21" t="s">
        <v>19</v>
      </c>
      <c r="F10" s="21" t="s">
        <v>19</v>
      </c>
      <c r="G10" s="21">
        <v>18</v>
      </c>
      <c r="H10" s="21">
        <v>32</v>
      </c>
      <c r="I10" s="21">
        <v>70</v>
      </c>
      <c r="J10" s="21">
        <v>100</v>
      </c>
      <c r="K10" s="21">
        <v>68</v>
      </c>
      <c r="L10" s="21">
        <v>81</v>
      </c>
      <c r="M10" s="21">
        <v>27</v>
      </c>
      <c r="N10" s="21">
        <v>56</v>
      </c>
      <c r="O10" s="21">
        <v>91</v>
      </c>
      <c r="P10" s="21">
        <v>64</v>
      </c>
      <c r="Q10" s="21">
        <v>65</v>
      </c>
      <c r="R10" s="21">
        <v>41</v>
      </c>
      <c r="S10" s="21">
        <v>0</v>
      </c>
      <c r="T10" s="21">
        <v>79</v>
      </c>
      <c r="U10" s="6">
        <f t="shared" si="1"/>
        <v>4.122203400000001</v>
      </c>
      <c r="V10">
        <f t="shared" si="5"/>
        <v>4.0306590000000009</v>
      </c>
      <c r="W10" s="6">
        <f t="shared" si="2"/>
        <v>3.12</v>
      </c>
      <c r="X10">
        <f t="shared" si="3"/>
        <v>27.670131600000008</v>
      </c>
      <c r="Y10" t="str">
        <f t="shared" si="4"/>
        <v>SP</v>
      </c>
    </row>
    <row r="11" spans="1:25" ht="13.5" customHeight="1" thickBot="1" x14ac:dyDescent="0.35">
      <c r="A11">
        <f t="shared" si="0"/>
        <v>72.097280427998214</v>
      </c>
      <c r="B11" s="20">
        <v>16</v>
      </c>
      <c r="C11" s="13" t="s">
        <v>44</v>
      </c>
      <c r="D11" s="21" t="s">
        <v>16</v>
      </c>
      <c r="E11" s="21" t="s">
        <v>21</v>
      </c>
      <c r="F11" s="21" t="s">
        <v>20</v>
      </c>
      <c r="G11" s="21">
        <v>18</v>
      </c>
      <c r="H11" s="21">
        <v>27</v>
      </c>
      <c r="I11" s="21">
        <v>85</v>
      </c>
      <c r="J11" s="21">
        <v>93</v>
      </c>
      <c r="K11" s="21">
        <v>67</v>
      </c>
      <c r="L11" s="21">
        <v>43</v>
      </c>
      <c r="M11" s="21">
        <v>38</v>
      </c>
      <c r="N11" s="21">
        <v>82</v>
      </c>
      <c r="O11" s="21">
        <v>81</v>
      </c>
      <c r="P11" s="21">
        <v>71</v>
      </c>
      <c r="Q11" s="21">
        <v>85</v>
      </c>
      <c r="R11" s="21">
        <v>52</v>
      </c>
      <c r="S11" s="21">
        <v>0</v>
      </c>
      <c r="T11" s="21">
        <v>72</v>
      </c>
      <c r="U11" s="6">
        <f t="shared" si="1"/>
        <v>3.3649910000000012</v>
      </c>
      <c r="V11">
        <f t="shared" si="5"/>
        <v>4.372154000000001</v>
      </c>
      <c r="W11" s="6">
        <f t="shared" si="2"/>
        <v>3.67</v>
      </c>
      <c r="X11">
        <f t="shared" si="3"/>
        <v>25.874272000000005</v>
      </c>
      <c r="Y11" t="str">
        <f t="shared" si="4"/>
        <v>SP</v>
      </c>
    </row>
    <row r="12" spans="1:25" ht="13.5" customHeight="1" thickBot="1" x14ac:dyDescent="0.35">
      <c r="A12">
        <f t="shared" si="0"/>
        <v>71.238740526081145</v>
      </c>
      <c r="B12" s="18">
        <v>17</v>
      </c>
      <c r="C12" s="12" t="s">
        <v>45</v>
      </c>
      <c r="D12" s="19" t="s">
        <v>16</v>
      </c>
      <c r="E12" s="19" t="s">
        <v>19</v>
      </c>
      <c r="F12" s="19" t="s">
        <v>19</v>
      </c>
      <c r="G12" s="19">
        <v>18</v>
      </c>
      <c r="H12" s="19">
        <v>24</v>
      </c>
      <c r="I12" s="19">
        <v>88</v>
      </c>
      <c r="J12" s="19">
        <v>76</v>
      </c>
      <c r="K12" s="19">
        <v>43</v>
      </c>
      <c r="L12" s="19">
        <v>70</v>
      </c>
      <c r="M12" s="19">
        <v>28</v>
      </c>
      <c r="N12" s="19">
        <v>81</v>
      </c>
      <c r="O12" s="19">
        <v>86</v>
      </c>
      <c r="P12" s="19">
        <v>79</v>
      </c>
      <c r="Q12" s="19">
        <v>61</v>
      </c>
      <c r="R12" s="19">
        <v>52</v>
      </c>
      <c r="S12" s="19">
        <v>0</v>
      </c>
      <c r="T12" s="19">
        <v>72</v>
      </c>
      <c r="U12" s="6">
        <f t="shared" si="1"/>
        <v>3.2693448000000012</v>
      </c>
      <c r="V12">
        <f t="shared" si="5"/>
        <v>4.364390000000002</v>
      </c>
      <c r="W12" s="6">
        <f t="shared" si="2"/>
        <v>3.76</v>
      </c>
      <c r="X12">
        <f t="shared" si="3"/>
        <v>25.566159200000008</v>
      </c>
      <c r="Y12" t="str">
        <f t="shared" si="4"/>
        <v>SP</v>
      </c>
    </row>
    <row r="13" spans="1:25" ht="13.5" customHeight="1" thickBot="1" x14ac:dyDescent="0.35">
      <c r="A13">
        <f t="shared" si="0"/>
        <v>68.235119259919756</v>
      </c>
      <c r="B13" s="20">
        <v>14</v>
      </c>
      <c r="C13" s="13" t="s">
        <v>42</v>
      </c>
      <c r="D13" s="21" t="s">
        <v>16</v>
      </c>
      <c r="E13" s="21" t="s">
        <v>19</v>
      </c>
      <c r="F13" s="21" t="s">
        <v>19</v>
      </c>
      <c r="G13" s="21">
        <v>18</v>
      </c>
      <c r="H13" s="21">
        <v>23</v>
      </c>
      <c r="I13" s="21">
        <v>92</v>
      </c>
      <c r="J13" s="21">
        <v>55</v>
      </c>
      <c r="K13" s="21">
        <v>74</v>
      </c>
      <c r="L13" s="21">
        <v>79</v>
      </c>
      <c r="M13" s="21">
        <v>43</v>
      </c>
      <c r="N13" s="21">
        <v>73</v>
      </c>
      <c r="O13" s="21">
        <v>81</v>
      </c>
      <c r="P13" s="21">
        <v>60</v>
      </c>
      <c r="Q13" s="21">
        <v>48</v>
      </c>
      <c r="R13" s="21">
        <v>63</v>
      </c>
      <c r="S13" s="21">
        <v>0</v>
      </c>
      <c r="T13" s="21">
        <v>73</v>
      </c>
      <c r="U13" s="6">
        <f t="shared" si="1"/>
        <v>3.3169474000000014</v>
      </c>
      <c r="V13">
        <f t="shared" si="5"/>
        <v>3.655215000000001</v>
      </c>
      <c r="W13" s="6">
        <f t="shared" si="2"/>
        <v>3.91</v>
      </c>
      <c r="X13">
        <f t="shared" si="3"/>
        <v>24.488219600000008</v>
      </c>
      <c r="Y13" t="str">
        <f t="shared" si="4"/>
        <v>SP</v>
      </c>
    </row>
    <row r="14" spans="1:25" ht="13.5" customHeight="1" thickBot="1" x14ac:dyDescent="0.35">
      <c r="A14">
        <f t="shared" si="0"/>
        <v>71.509108337048602</v>
      </c>
      <c r="B14" s="18">
        <v>33</v>
      </c>
      <c r="C14" s="12" t="s">
        <v>61</v>
      </c>
      <c r="D14" s="19" t="s">
        <v>16</v>
      </c>
      <c r="E14" s="19" t="s">
        <v>20</v>
      </c>
      <c r="F14" s="19" t="s">
        <v>20</v>
      </c>
      <c r="G14" s="19">
        <v>18</v>
      </c>
      <c r="H14" s="19">
        <v>37</v>
      </c>
      <c r="I14" s="19">
        <v>25</v>
      </c>
      <c r="J14" s="19">
        <v>87</v>
      </c>
      <c r="K14" s="19">
        <v>97</v>
      </c>
      <c r="L14" s="19">
        <v>68</v>
      </c>
      <c r="M14" s="19">
        <v>97</v>
      </c>
      <c r="N14" s="19">
        <v>54</v>
      </c>
      <c r="O14" s="19">
        <v>84</v>
      </c>
      <c r="P14" s="19">
        <v>67</v>
      </c>
      <c r="Q14" s="19">
        <v>60</v>
      </c>
      <c r="R14" s="19">
        <v>0</v>
      </c>
      <c r="S14" s="19">
        <v>0</v>
      </c>
      <c r="T14" s="19">
        <v>66</v>
      </c>
      <c r="U14" s="6">
        <f t="shared" si="1"/>
        <v>4.1859312000000006</v>
      </c>
      <c r="V14">
        <f t="shared" si="5"/>
        <v>3.7747320000000011</v>
      </c>
      <c r="W14" s="6">
        <f t="shared" si="2"/>
        <v>1.37</v>
      </c>
      <c r="X14">
        <f t="shared" si="3"/>
        <v>25.663188800000004</v>
      </c>
      <c r="Y14" t="str">
        <f t="shared" si="4"/>
        <v>CRAP</v>
      </c>
    </row>
    <row r="15" spans="1:25" ht="13.5" customHeight="1" thickBot="1" x14ac:dyDescent="0.35">
      <c r="A15">
        <f t="shared" si="0"/>
        <v>66.122505572893445</v>
      </c>
      <c r="B15" s="18">
        <v>11</v>
      </c>
      <c r="C15" s="12" t="s">
        <v>39</v>
      </c>
      <c r="D15" s="19" t="s">
        <v>16</v>
      </c>
      <c r="E15" s="19" t="s">
        <v>19</v>
      </c>
      <c r="F15" s="19" t="s">
        <v>19</v>
      </c>
      <c r="G15" s="19">
        <v>18</v>
      </c>
      <c r="H15" s="19">
        <v>35</v>
      </c>
      <c r="I15" s="19">
        <v>91</v>
      </c>
      <c r="J15" s="19">
        <v>61</v>
      </c>
      <c r="K15" s="19">
        <v>47</v>
      </c>
      <c r="L15" s="19">
        <v>68</v>
      </c>
      <c r="M15" s="19">
        <v>98</v>
      </c>
      <c r="N15" s="19">
        <v>90</v>
      </c>
      <c r="O15" s="19">
        <v>93</v>
      </c>
      <c r="P15" s="19">
        <v>62</v>
      </c>
      <c r="Q15" s="19">
        <v>58</v>
      </c>
      <c r="R15" s="19">
        <v>0</v>
      </c>
      <c r="S15" s="19">
        <v>0</v>
      </c>
      <c r="T15" s="19">
        <v>76</v>
      </c>
      <c r="U15" s="6">
        <f t="shared" si="1"/>
        <v>3.065893200000001</v>
      </c>
      <c r="V15">
        <f t="shared" si="5"/>
        <v>3.738236000000001</v>
      </c>
      <c r="W15" s="6">
        <f t="shared" si="2"/>
        <v>3.99</v>
      </c>
      <c r="X15">
        <f t="shared" si="3"/>
        <v>23.730044800000009</v>
      </c>
      <c r="Y15" t="str">
        <f t="shared" si="4"/>
        <v>SP</v>
      </c>
    </row>
    <row r="16" spans="1:25" ht="13.5" customHeight="1" thickBot="1" x14ac:dyDescent="0.35">
      <c r="A16">
        <f t="shared" si="0"/>
        <v>66.25856219349086</v>
      </c>
      <c r="B16" s="18">
        <v>41</v>
      </c>
      <c r="C16" s="12" t="s">
        <v>69</v>
      </c>
      <c r="D16" s="19" t="s">
        <v>16</v>
      </c>
      <c r="E16" s="19" t="s">
        <v>19</v>
      </c>
      <c r="F16" s="19" t="s">
        <v>19</v>
      </c>
      <c r="G16" s="19">
        <v>18</v>
      </c>
      <c r="H16" s="19">
        <v>47</v>
      </c>
      <c r="I16" s="19">
        <v>35</v>
      </c>
      <c r="J16" s="19">
        <v>93</v>
      </c>
      <c r="K16" s="19">
        <v>59</v>
      </c>
      <c r="L16" s="19">
        <v>58</v>
      </c>
      <c r="M16" s="19">
        <v>12</v>
      </c>
      <c r="N16" s="19">
        <v>84</v>
      </c>
      <c r="O16" s="19">
        <v>87</v>
      </c>
      <c r="P16" s="19">
        <v>73</v>
      </c>
      <c r="Q16" s="19">
        <v>53</v>
      </c>
      <c r="R16" s="19">
        <v>0</v>
      </c>
      <c r="S16" s="19">
        <v>0</v>
      </c>
      <c r="T16" s="19">
        <v>63</v>
      </c>
      <c r="U16" s="6">
        <f t="shared" si="1"/>
        <v>3.5359852000000007</v>
      </c>
      <c r="V16">
        <f t="shared" si="5"/>
        <v>3.8824660000000013</v>
      </c>
      <c r="W16" s="6">
        <f t="shared" si="2"/>
        <v>1.87</v>
      </c>
      <c r="X16">
        <f t="shared" si="3"/>
        <v>23.778872800000006</v>
      </c>
      <c r="Y16" t="str">
        <f t="shared" si="4"/>
        <v>RP</v>
      </c>
    </row>
    <row r="17" spans="1:25" ht="13.5" customHeight="1" thickBot="1" x14ac:dyDescent="0.35">
      <c r="A17">
        <f t="shared" si="0"/>
        <v>67.302592510031218</v>
      </c>
      <c r="B17" s="20">
        <v>38</v>
      </c>
      <c r="C17" s="13" t="s">
        <v>66</v>
      </c>
      <c r="D17" s="21" t="s">
        <v>16</v>
      </c>
      <c r="E17" s="21" t="s">
        <v>19</v>
      </c>
      <c r="F17" s="21" t="s">
        <v>19</v>
      </c>
      <c r="G17" s="21">
        <v>18</v>
      </c>
      <c r="H17" s="21">
        <v>22</v>
      </c>
      <c r="I17" s="21">
        <v>51</v>
      </c>
      <c r="J17" s="21">
        <v>82</v>
      </c>
      <c r="K17" s="21">
        <v>60</v>
      </c>
      <c r="L17" s="21">
        <v>70</v>
      </c>
      <c r="M17" s="21">
        <v>87</v>
      </c>
      <c r="N17" s="21">
        <v>62</v>
      </c>
      <c r="O17" s="21">
        <v>91</v>
      </c>
      <c r="P17" s="21">
        <v>54</v>
      </c>
      <c r="Q17" s="21">
        <v>49</v>
      </c>
      <c r="R17" s="21">
        <v>30</v>
      </c>
      <c r="S17" s="21">
        <v>0</v>
      </c>
      <c r="T17" s="21">
        <v>64</v>
      </c>
      <c r="U17" s="6">
        <f t="shared" si="1"/>
        <v>3.759107600000001</v>
      </c>
      <c r="V17">
        <f t="shared" si="5"/>
        <v>3.4285620000000008</v>
      </c>
      <c r="W17" s="6">
        <f t="shared" si="2"/>
        <v>2.2599999999999998</v>
      </c>
      <c r="X17">
        <f t="shared" si="3"/>
        <v>24.153554400000004</v>
      </c>
      <c r="Y17" t="str">
        <f t="shared" si="4"/>
        <v>CRAP</v>
      </c>
    </row>
    <row r="18" spans="1:25" ht="13.5" customHeight="1" thickBot="1" x14ac:dyDescent="0.35">
      <c r="A18">
        <f t="shared" si="0"/>
        <v>67.695140436914855</v>
      </c>
      <c r="B18" s="18">
        <v>23</v>
      </c>
      <c r="C18" s="12" t="s">
        <v>51</v>
      </c>
      <c r="D18" s="19" t="s">
        <v>16</v>
      </c>
      <c r="E18" s="19" t="s">
        <v>19</v>
      </c>
      <c r="F18" s="19" t="s">
        <v>19</v>
      </c>
      <c r="G18" s="19">
        <v>18</v>
      </c>
      <c r="H18" s="19">
        <v>24</v>
      </c>
      <c r="I18" s="19">
        <v>82</v>
      </c>
      <c r="J18" s="19">
        <v>61</v>
      </c>
      <c r="K18" s="19">
        <v>52</v>
      </c>
      <c r="L18" s="19">
        <v>66</v>
      </c>
      <c r="M18" s="19">
        <v>58</v>
      </c>
      <c r="N18" s="19">
        <v>78</v>
      </c>
      <c r="O18" s="19">
        <v>81</v>
      </c>
      <c r="P18" s="19">
        <v>79</v>
      </c>
      <c r="Q18" s="19">
        <v>68</v>
      </c>
      <c r="R18" s="19">
        <v>51</v>
      </c>
      <c r="S18" s="19">
        <v>27</v>
      </c>
      <c r="T18" s="19">
        <v>69</v>
      </c>
      <c r="U18" s="6">
        <f t="shared" si="1"/>
        <v>2.9923584000000005</v>
      </c>
      <c r="V18">
        <f t="shared" si="5"/>
        <v>4.4024992000000012</v>
      </c>
      <c r="W18" s="6">
        <f t="shared" si="2"/>
        <v>3.52</v>
      </c>
      <c r="X18">
        <f t="shared" si="3"/>
        <v>24.294432000000004</v>
      </c>
      <c r="Y18" t="str">
        <f t="shared" si="4"/>
        <v>SP</v>
      </c>
    </row>
    <row r="19" spans="1:25" ht="13.5" customHeight="1" thickBot="1" x14ac:dyDescent="0.35">
      <c r="A19">
        <f t="shared" si="0"/>
        <v>68.863315871600534</v>
      </c>
      <c r="B19" s="18">
        <v>19</v>
      </c>
      <c r="C19" s="12" t="s">
        <v>47</v>
      </c>
      <c r="D19" s="19" t="s">
        <v>16</v>
      </c>
      <c r="E19" s="19" t="s">
        <v>19</v>
      </c>
      <c r="F19" s="19" t="s">
        <v>19</v>
      </c>
      <c r="G19" s="19">
        <v>18</v>
      </c>
      <c r="H19" s="19">
        <v>31</v>
      </c>
      <c r="I19" s="19">
        <v>81</v>
      </c>
      <c r="J19" s="19">
        <v>65</v>
      </c>
      <c r="K19" s="19">
        <v>61</v>
      </c>
      <c r="L19" s="19">
        <v>73</v>
      </c>
      <c r="M19" s="19">
        <v>96</v>
      </c>
      <c r="N19" s="19">
        <v>61</v>
      </c>
      <c r="O19" s="19">
        <v>65</v>
      </c>
      <c r="P19" s="19">
        <v>74</v>
      </c>
      <c r="Q19" s="19">
        <v>68</v>
      </c>
      <c r="R19" s="19">
        <v>37</v>
      </c>
      <c r="S19" s="19">
        <v>0</v>
      </c>
      <c r="T19" s="19">
        <v>71</v>
      </c>
      <c r="U19" s="6">
        <f t="shared" si="1"/>
        <v>3.4194182000000004</v>
      </c>
      <c r="V19">
        <f t="shared" si="5"/>
        <v>3.7429970000000008</v>
      </c>
      <c r="W19" s="6">
        <f t="shared" si="2"/>
        <v>3.55</v>
      </c>
      <c r="X19">
        <f t="shared" si="3"/>
        <v>24.713666800000002</v>
      </c>
      <c r="Y19" t="str">
        <f t="shared" si="4"/>
        <v>SP</v>
      </c>
    </row>
    <row r="20" spans="1:25" ht="13.5" customHeight="1" thickBot="1" x14ac:dyDescent="0.35">
      <c r="A20">
        <f t="shared" si="0"/>
        <v>63.107686134641099</v>
      </c>
      <c r="B20" s="20">
        <v>24</v>
      </c>
      <c r="C20" s="13" t="s">
        <v>52</v>
      </c>
      <c r="D20" s="21" t="s">
        <v>16</v>
      </c>
      <c r="E20" s="21" t="s">
        <v>20</v>
      </c>
      <c r="F20" s="21" t="s">
        <v>20</v>
      </c>
      <c r="G20" s="21">
        <v>18</v>
      </c>
      <c r="H20" s="21">
        <v>48</v>
      </c>
      <c r="I20" s="21">
        <v>47</v>
      </c>
      <c r="J20" s="21">
        <v>87</v>
      </c>
      <c r="K20" s="21">
        <v>66</v>
      </c>
      <c r="L20" s="21">
        <v>41</v>
      </c>
      <c r="M20" s="21">
        <v>88</v>
      </c>
      <c r="N20" s="21">
        <v>69</v>
      </c>
      <c r="O20" s="21">
        <v>68</v>
      </c>
      <c r="P20" s="21">
        <v>77</v>
      </c>
      <c r="Q20" s="21">
        <v>49</v>
      </c>
      <c r="R20" s="21">
        <v>0</v>
      </c>
      <c r="S20" s="21">
        <v>0</v>
      </c>
      <c r="T20" s="21">
        <v>69</v>
      </c>
      <c r="U20" s="6">
        <f t="shared" si="1"/>
        <v>3.326430600000001</v>
      </c>
      <c r="V20">
        <f t="shared" si="5"/>
        <v>3.4911820000000011</v>
      </c>
      <c r="W20" s="6">
        <f t="shared" si="2"/>
        <v>2.36</v>
      </c>
      <c r="X20">
        <f t="shared" si="3"/>
        <v>22.648086400000004</v>
      </c>
      <c r="Y20" t="str">
        <f t="shared" si="4"/>
        <v>RP</v>
      </c>
    </row>
    <row r="21" spans="1:25" ht="13.5" customHeight="1" thickBot="1" x14ac:dyDescent="0.35">
      <c r="A21">
        <f t="shared" si="0"/>
        <v>65.42419527418636</v>
      </c>
      <c r="B21" s="18">
        <v>115</v>
      </c>
      <c r="C21" s="12" t="s">
        <v>143</v>
      </c>
      <c r="D21" s="19" t="s">
        <v>16</v>
      </c>
      <c r="E21" s="19" t="s">
        <v>20</v>
      </c>
      <c r="F21" s="19" t="s">
        <v>20</v>
      </c>
      <c r="G21" s="19">
        <v>21</v>
      </c>
      <c r="H21" s="19">
        <v>8</v>
      </c>
      <c r="I21" s="19">
        <v>82</v>
      </c>
      <c r="J21" s="19">
        <v>65</v>
      </c>
      <c r="K21" s="19">
        <v>83</v>
      </c>
      <c r="L21" s="19">
        <v>62</v>
      </c>
      <c r="M21" s="19">
        <v>37</v>
      </c>
      <c r="N21" s="19">
        <v>58</v>
      </c>
      <c r="O21" s="19">
        <v>52</v>
      </c>
      <c r="P21" s="19">
        <v>81</v>
      </c>
      <c r="Q21" s="19">
        <v>32</v>
      </c>
      <c r="R21" s="19">
        <v>74</v>
      </c>
      <c r="S21" s="19">
        <v>54</v>
      </c>
      <c r="T21" s="19">
        <v>63</v>
      </c>
      <c r="U21" s="6">
        <f t="shared" si="1"/>
        <v>3.3186480000000005</v>
      </c>
      <c r="V21">
        <f t="shared" si="5"/>
        <v>3.4224216000000007</v>
      </c>
      <c r="W21" s="6">
        <f t="shared" si="2"/>
        <v>3.36</v>
      </c>
      <c r="X21">
        <f t="shared" si="3"/>
        <v>23.479435200000005</v>
      </c>
      <c r="Y21" t="str">
        <f t="shared" si="4"/>
        <v>SP</v>
      </c>
    </row>
    <row r="22" spans="1:25" ht="13.5" customHeight="1" thickBot="1" x14ac:dyDescent="0.35">
      <c r="A22">
        <f t="shared" si="0"/>
        <v>59.934480606330823</v>
      </c>
      <c r="B22" s="18">
        <v>125</v>
      </c>
      <c r="C22" s="12" t="s">
        <v>153</v>
      </c>
      <c r="D22" s="19" t="s">
        <v>16</v>
      </c>
      <c r="E22" s="19" t="s">
        <v>20</v>
      </c>
      <c r="F22" s="19" t="s">
        <v>20</v>
      </c>
      <c r="G22" s="19">
        <v>18</v>
      </c>
      <c r="H22" s="19">
        <v>0</v>
      </c>
      <c r="I22" s="19">
        <v>61</v>
      </c>
      <c r="J22" s="19">
        <v>73</v>
      </c>
      <c r="K22" s="19">
        <v>55</v>
      </c>
      <c r="L22" s="19">
        <v>56</v>
      </c>
      <c r="M22" s="19">
        <v>73</v>
      </c>
      <c r="N22" s="19">
        <v>69</v>
      </c>
      <c r="O22" s="19">
        <v>88</v>
      </c>
      <c r="P22" s="19">
        <v>53</v>
      </c>
      <c r="Q22" s="19">
        <v>44</v>
      </c>
      <c r="R22" s="19">
        <v>0</v>
      </c>
      <c r="S22" s="19">
        <v>0</v>
      </c>
      <c r="T22" s="19">
        <v>45</v>
      </c>
      <c r="U22" s="6">
        <f t="shared" si="1"/>
        <v>3.1687836000000011</v>
      </c>
      <c r="V22">
        <f t="shared" si="5"/>
        <v>3.1970760000000014</v>
      </c>
      <c r="W22" s="6">
        <f t="shared" si="2"/>
        <v>2.44</v>
      </c>
      <c r="X22">
        <f t="shared" si="3"/>
        <v>21.509286400000008</v>
      </c>
      <c r="Y22" t="str">
        <f t="shared" si="4"/>
        <v>CRAP</v>
      </c>
    </row>
    <row r="23" spans="1:25" ht="13.5" customHeight="1" thickBot="1" x14ac:dyDescent="0.35">
      <c r="A23">
        <f t="shared" si="0"/>
        <v>59.428914400356661</v>
      </c>
      <c r="B23" s="18">
        <v>25</v>
      </c>
      <c r="C23" s="12" t="s">
        <v>53</v>
      </c>
      <c r="D23" s="19" t="s">
        <v>16</v>
      </c>
      <c r="E23" s="19" t="s">
        <v>21</v>
      </c>
      <c r="F23" s="19" t="s">
        <v>19</v>
      </c>
      <c r="G23" s="19">
        <v>18</v>
      </c>
      <c r="H23" s="19">
        <v>32</v>
      </c>
      <c r="I23" s="19">
        <v>74</v>
      </c>
      <c r="J23" s="19">
        <v>62</v>
      </c>
      <c r="K23" s="19">
        <v>57</v>
      </c>
      <c r="L23" s="19">
        <v>64</v>
      </c>
      <c r="M23" s="19">
        <v>90</v>
      </c>
      <c r="N23" s="19">
        <v>63</v>
      </c>
      <c r="O23" s="19">
        <v>76</v>
      </c>
      <c r="P23" s="19">
        <v>45</v>
      </c>
      <c r="Q23" s="19">
        <v>43</v>
      </c>
      <c r="R23" s="19">
        <v>38</v>
      </c>
      <c r="S23" s="19">
        <v>0</v>
      </c>
      <c r="T23" s="19">
        <v>69</v>
      </c>
      <c r="U23" s="6">
        <f t="shared" si="1"/>
        <v>3.0906272000000006</v>
      </c>
      <c r="V23">
        <f t="shared" si="5"/>
        <v>2.8426700000000005</v>
      </c>
      <c r="W23" s="6">
        <f t="shared" si="2"/>
        <v>3.28</v>
      </c>
      <c r="X23">
        <f t="shared" si="3"/>
        <v>21.327848800000005</v>
      </c>
      <c r="Y23" t="str">
        <f t="shared" si="4"/>
        <v>SP</v>
      </c>
    </row>
    <row r="24" spans="1:25" ht="13.5" customHeight="1" thickBot="1" x14ac:dyDescent="0.35">
      <c r="A24">
        <f t="shared" si="0"/>
        <v>64.520448060633086</v>
      </c>
      <c r="B24" s="18">
        <v>29</v>
      </c>
      <c r="C24" s="12" t="s">
        <v>57</v>
      </c>
      <c r="D24" s="19" t="s">
        <v>16</v>
      </c>
      <c r="E24" s="19" t="s">
        <v>21</v>
      </c>
      <c r="F24" s="19" t="s">
        <v>20</v>
      </c>
      <c r="G24" s="19">
        <v>18</v>
      </c>
      <c r="H24" s="19">
        <v>31</v>
      </c>
      <c r="I24" s="19">
        <v>55</v>
      </c>
      <c r="J24" s="19">
        <v>97</v>
      </c>
      <c r="K24" s="19">
        <v>60</v>
      </c>
      <c r="L24" s="19">
        <v>38</v>
      </c>
      <c r="M24" s="19">
        <v>88</v>
      </c>
      <c r="N24" s="19">
        <v>44</v>
      </c>
      <c r="O24" s="19">
        <v>88</v>
      </c>
      <c r="P24" s="19">
        <v>67</v>
      </c>
      <c r="Q24" s="19">
        <v>41</v>
      </c>
      <c r="R24" s="19">
        <v>62</v>
      </c>
      <c r="S24" s="19">
        <v>0</v>
      </c>
      <c r="T24" s="19">
        <v>67</v>
      </c>
      <c r="U24" s="6">
        <f t="shared" si="1"/>
        <v>3.223889600000001</v>
      </c>
      <c r="V24">
        <f t="shared" si="5"/>
        <v>3.8747700000000012</v>
      </c>
      <c r="W24" s="6">
        <f t="shared" si="2"/>
        <v>2.5099999999999998</v>
      </c>
      <c r="X24">
        <f t="shared" si="3"/>
        <v>23.155098400000007</v>
      </c>
      <c r="Y24" t="str">
        <f t="shared" si="4"/>
        <v>SP</v>
      </c>
    </row>
    <row r="25" spans="1:25" ht="13.5" customHeight="1" thickBot="1" x14ac:dyDescent="0.35">
      <c r="A25">
        <f t="shared" si="0"/>
        <v>59.248723807400808</v>
      </c>
      <c r="B25" s="18">
        <v>51</v>
      </c>
      <c r="C25" s="12" t="s">
        <v>79</v>
      </c>
      <c r="D25" s="19" t="s">
        <v>16</v>
      </c>
      <c r="E25" s="19" t="s">
        <v>21</v>
      </c>
      <c r="F25" s="19" t="s">
        <v>19</v>
      </c>
      <c r="G25" s="19">
        <v>18</v>
      </c>
      <c r="H25" s="19">
        <v>16</v>
      </c>
      <c r="I25" s="19">
        <v>66</v>
      </c>
      <c r="J25" s="19">
        <v>52</v>
      </c>
      <c r="K25" s="19">
        <v>58</v>
      </c>
      <c r="L25" s="19">
        <v>71</v>
      </c>
      <c r="M25" s="19">
        <v>32</v>
      </c>
      <c r="N25" s="19">
        <v>73</v>
      </c>
      <c r="O25" s="19">
        <v>85</v>
      </c>
      <c r="P25" s="19">
        <v>54</v>
      </c>
      <c r="Q25" s="19">
        <v>60</v>
      </c>
      <c r="R25" s="19">
        <v>41</v>
      </c>
      <c r="S25" s="19">
        <v>0</v>
      </c>
      <c r="T25" s="19">
        <v>61</v>
      </c>
      <c r="U25" s="6">
        <f t="shared" si="1"/>
        <v>2.8302590000000007</v>
      </c>
      <c r="V25">
        <f t="shared" si="5"/>
        <v>3.5710730000000015</v>
      </c>
      <c r="W25" s="6">
        <f t="shared" si="2"/>
        <v>2.8</v>
      </c>
      <c r="X25">
        <f t="shared" si="3"/>
        <v>21.263182000000008</v>
      </c>
      <c r="Y25" t="str">
        <f t="shared" si="4"/>
        <v>SP</v>
      </c>
    </row>
    <row r="26" spans="1:25" ht="13.5" customHeight="1" thickBot="1" x14ac:dyDescent="0.35">
      <c r="A26">
        <f t="shared" si="0"/>
        <v>60.618074008024983</v>
      </c>
      <c r="B26" s="20">
        <v>122</v>
      </c>
      <c r="C26" s="13" t="s">
        <v>150</v>
      </c>
      <c r="D26" s="21" t="s">
        <v>16</v>
      </c>
      <c r="E26" s="21" t="s">
        <v>21</v>
      </c>
      <c r="F26" s="21" t="s">
        <v>20</v>
      </c>
      <c r="G26" s="21">
        <v>19</v>
      </c>
      <c r="H26" s="21">
        <v>14</v>
      </c>
      <c r="I26" s="21">
        <v>84</v>
      </c>
      <c r="J26" s="21">
        <v>100</v>
      </c>
      <c r="K26" s="21">
        <v>68</v>
      </c>
      <c r="L26" s="21">
        <v>44</v>
      </c>
      <c r="M26" s="21">
        <v>36</v>
      </c>
      <c r="N26" s="21">
        <v>55</v>
      </c>
      <c r="O26" s="21">
        <v>49</v>
      </c>
      <c r="P26" s="21">
        <v>56</v>
      </c>
      <c r="Q26" s="21">
        <v>28</v>
      </c>
      <c r="R26" s="21">
        <v>60</v>
      </c>
      <c r="S26" s="21">
        <v>0</v>
      </c>
      <c r="T26" s="21">
        <v>62</v>
      </c>
      <c r="U26" s="6">
        <f t="shared" si="1"/>
        <v>3.3762556000000012</v>
      </c>
      <c r="V26">
        <f t="shared" si="5"/>
        <v>2.3747960000000008</v>
      </c>
      <c r="W26" s="6">
        <f t="shared" si="2"/>
        <v>3.5</v>
      </c>
      <c r="X26">
        <f t="shared" si="3"/>
        <v>21.754614400000008</v>
      </c>
      <c r="Y26" t="str">
        <f t="shared" si="4"/>
        <v>SP</v>
      </c>
    </row>
    <row r="27" spans="1:25" ht="13.5" customHeight="1" thickBot="1" x14ac:dyDescent="0.35">
      <c r="A27">
        <f t="shared" si="0"/>
        <v>56.891139099420428</v>
      </c>
      <c r="B27" s="20">
        <v>64</v>
      </c>
      <c r="C27" s="13" t="s">
        <v>92</v>
      </c>
      <c r="D27" s="21" t="s">
        <v>16</v>
      </c>
      <c r="E27" s="21" t="s">
        <v>20</v>
      </c>
      <c r="F27" s="21" t="s">
        <v>20</v>
      </c>
      <c r="G27" s="21">
        <v>18</v>
      </c>
      <c r="H27" s="21">
        <v>41</v>
      </c>
      <c r="I27" s="21">
        <v>37</v>
      </c>
      <c r="J27" s="21">
        <v>85</v>
      </c>
      <c r="K27" s="21">
        <v>45</v>
      </c>
      <c r="L27" s="21">
        <v>31</v>
      </c>
      <c r="M27" s="21">
        <v>83</v>
      </c>
      <c r="N27" s="21">
        <v>82</v>
      </c>
      <c r="O27" s="21">
        <v>91</v>
      </c>
      <c r="P27" s="21">
        <v>73</v>
      </c>
      <c r="Q27" s="21">
        <v>32</v>
      </c>
      <c r="R27" s="21">
        <v>0</v>
      </c>
      <c r="S27" s="21">
        <v>0</v>
      </c>
      <c r="T27" s="21">
        <v>58</v>
      </c>
      <c r="U27" s="6">
        <f t="shared" si="1"/>
        <v>2.8086770000000012</v>
      </c>
      <c r="V27">
        <f t="shared" si="5"/>
        <v>3.6461920000000005</v>
      </c>
      <c r="W27" s="6">
        <f t="shared" si="2"/>
        <v>1.89</v>
      </c>
      <c r="X27">
        <f t="shared" si="3"/>
        <v>20.417092000000007</v>
      </c>
      <c r="Y27" t="str">
        <f t="shared" si="4"/>
        <v>CRAP</v>
      </c>
    </row>
    <row r="28" spans="1:25" ht="13.5" customHeight="1" thickBot="1" x14ac:dyDescent="0.35">
      <c r="A28">
        <f t="shared" si="0"/>
        <v>61.28728934462773</v>
      </c>
      <c r="B28" s="18">
        <v>35</v>
      </c>
      <c r="C28" s="12" t="s">
        <v>63</v>
      </c>
      <c r="D28" s="19" t="s">
        <v>16</v>
      </c>
      <c r="E28" s="19" t="s">
        <v>20</v>
      </c>
      <c r="F28" s="19" t="s">
        <v>20</v>
      </c>
      <c r="G28" s="19">
        <v>18</v>
      </c>
      <c r="H28" s="19">
        <v>78</v>
      </c>
      <c r="I28" s="19">
        <v>32</v>
      </c>
      <c r="J28" s="19">
        <v>91</v>
      </c>
      <c r="K28" s="19">
        <v>63</v>
      </c>
      <c r="L28" s="19">
        <v>38</v>
      </c>
      <c r="M28" s="19">
        <v>84</v>
      </c>
      <c r="N28" s="19">
        <v>48</v>
      </c>
      <c r="O28" s="19">
        <v>98</v>
      </c>
      <c r="P28" s="19">
        <v>74</v>
      </c>
      <c r="Q28" s="19">
        <v>0</v>
      </c>
      <c r="R28" s="19">
        <v>0</v>
      </c>
      <c r="S28" s="19">
        <v>0</v>
      </c>
      <c r="T28" s="19">
        <v>65</v>
      </c>
      <c r="U28" s="6">
        <f t="shared" si="1"/>
        <v>3.212127600000001</v>
      </c>
      <c r="V28">
        <f t="shared" si="5"/>
        <v>3.5431360000000014</v>
      </c>
      <c r="W28" s="6">
        <f t="shared" si="2"/>
        <v>2.06</v>
      </c>
      <c r="X28">
        <f t="shared" si="3"/>
        <v>21.994782400000005</v>
      </c>
      <c r="Y28" t="str">
        <f t="shared" si="4"/>
        <v>RP</v>
      </c>
    </row>
    <row r="29" spans="1:25" ht="13.5" customHeight="1" thickBot="1" x14ac:dyDescent="0.35">
      <c r="A29">
        <f t="shared" si="0"/>
        <v>55.908384975479279</v>
      </c>
      <c r="B29" s="20">
        <v>54</v>
      </c>
      <c r="C29" s="13" t="s">
        <v>82</v>
      </c>
      <c r="D29" s="21" t="s">
        <v>16</v>
      </c>
      <c r="E29" s="21" t="s">
        <v>20</v>
      </c>
      <c r="F29" s="21" t="s">
        <v>20</v>
      </c>
      <c r="G29" s="21">
        <v>18</v>
      </c>
      <c r="H29" s="21">
        <v>30</v>
      </c>
      <c r="I29" s="21">
        <v>98</v>
      </c>
      <c r="J29" s="21">
        <v>85</v>
      </c>
      <c r="K29" s="21">
        <v>37</v>
      </c>
      <c r="L29" s="21">
        <v>25</v>
      </c>
      <c r="M29" s="21">
        <v>82</v>
      </c>
      <c r="N29" s="21">
        <v>75</v>
      </c>
      <c r="O29" s="21">
        <v>66</v>
      </c>
      <c r="P29" s="21">
        <v>53</v>
      </c>
      <c r="Q29" s="21">
        <v>36</v>
      </c>
      <c r="R29" s="21">
        <v>41</v>
      </c>
      <c r="S29" s="21">
        <v>20</v>
      </c>
      <c r="T29" s="21">
        <v>61</v>
      </c>
      <c r="U29" s="6">
        <f t="shared" si="1"/>
        <v>2.579047800000001</v>
      </c>
      <c r="V29">
        <f t="shared" si="5"/>
        <v>2.7641050000000003</v>
      </c>
      <c r="W29" s="6">
        <f t="shared" si="2"/>
        <v>4.22</v>
      </c>
      <c r="X29">
        <f t="shared" si="3"/>
        <v>20.064401200000002</v>
      </c>
      <c r="Y29" t="str">
        <f t="shared" si="4"/>
        <v>SP</v>
      </c>
    </row>
    <row r="30" spans="1:25" ht="13.5" customHeight="1" thickBot="1" x14ac:dyDescent="0.35">
      <c r="A30">
        <f t="shared" si="0"/>
        <v>59.244331252786459</v>
      </c>
      <c r="B30" s="18">
        <v>61</v>
      </c>
      <c r="C30" s="12" t="s">
        <v>89</v>
      </c>
      <c r="D30" s="19" t="s">
        <v>16</v>
      </c>
      <c r="E30" s="19" t="s">
        <v>20</v>
      </c>
      <c r="F30" s="19" t="s">
        <v>20</v>
      </c>
      <c r="G30" s="19">
        <v>18</v>
      </c>
      <c r="H30" s="19">
        <v>50</v>
      </c>
      <c r="I30" s="19">
        <v>26</v>
      </c>
      <c r="J30" s="19">
        <v>63</v>
      </c>
      <c r="K30" s="19">
        <v>61</v>
      </c>
      <c r="L30" s="19">
        <v>53</v>
      </c>
      <c r="M30" s="19">
        <v>80</v>
      </c>
      <c r="N30" s="19">
        <v>59</v>
      </c>
      <c r="O30" s="19">
        <v>87</v>
      </c>
      <c r="P30" s="19">
        <v>71</v>
      </c>
      <c r="Q30" s="19">
        <v>68</v>
      </c>
      <c r="R30" s="19">
        <v>0</v>
      </c>
      <c r="S30" s="19">
        <v>0</v>
      </c>
      <c r="T30" s="19">
        <v>59</v>
      </c>
      <c r="U30" s="6">
        <f t="shared" si="1"/>
        <v>2.9058214000000011</v>
      </c>
      <c r="V30">
        <f t="shared" si="5"/>
        <v>4.0491600000000005</v>
      </c>
      <c r="W30" s="6">
        <f t="shared" si="2"/>
        <v>1.54</v>
      </c>
      <c r="X30">
        <f t="shared" si="3"/>
        <v>21.261605600000003</v>
      </c>
      <c r="Y30" t="str">
        <f t="shared" si="4"/>
        <v>RP</v>
      </c>
    </row>
    <row r="31" spans="1:25" ht="13.5" customHeight="1" thickBot="1" x14ac:dyDescent="0.35">
      <c r="A31">
        <f t="shared" si="0"/>
        <v>57.130808069549722</v>
      </c>
      <c r="B31" s="20">
        <v>62</v>
      </c>
      <c r="C31" s="13" t="s">
        <v>90</v>
      </c>
      <c r="D31" s="21" t="s">
        <v>16</v>
      </c>
      <c r="E31" s="21" t="s">
        <v>19</v>
      </c>
      <c r="F31" s="21" t="s">
        <v>19</v>
      </c>
      <c r="G31" s="21">
        <v>18</v>
      </c>
      <c r="H31" s="21">
        <v>20</v>
      </c>
      <c r="I31" s="21">
        <v>86</v>
      </c>
      <c r="J31" s="21">
        <v>84</v>
      </c>
      <c r="K31" s="21">
        <v>37</v>
      </c>
      <c r="L31" s="21">
        <v>29</v>
      </c>
      <c r="M31" s="21">
        <v>89</v>
      </c>
      <c r="N31" s="21">
        <v>63</v>
      </c>
      <c r="O31" s="21">
        <v>70</v>
      </c>
      <c r="P31" s="21">
        <v>62</v>
      </c>
      <c r="Q31" s="21">
        <v>39</v>
      </c>
      <c r="R31" s="21">
        <v>48</v>
      </c>
      <c r="S31" s="21">
        <v>15</v>
      </c>
      <c r="T31" s="21">
        <v>59</v>
      </c>
      <c r="U31" s="6">
        <f t="shared" si="1"/>
        <v>2.6055746000000011</v>
      </c>
      <c r="V31">
        <f t="shared" si="5"/>
        <v>3.2204030000000006</v>
      </c>
      <c r="W31" s="6">
        <f t="shared" si="2"/>
        <v>3.64</v>
      </c>
      <c r="X31">
        <f t="shared" si="3"/>
        <v>20.503104400000005</v>
      </c>
      <c r="Y31" t="str">
        <f t="shared" si="4"/>
        <v>SP</v>
      </c>
    </row>
    <row r="32" spans="1:25" ht="13.5" customHeight="1" thickBot="1" x14ac:dyDescent="0.35">
      <c r="A32">
        <f t="shared" si="0"/>
        <v>58.122882300490424</v>
      </c>
      <c r="B32" s="20">
        <v>52</v>
      </c>
      <c r="C32" s="13" t="s">
        <v>80</v>
      </c>
      <c r="D32" s="21" t="s">
        <v>16</v>
      </c>
      <c r="E32" s="21" t="s">
        <v>20</v>
      </c>
      <c r="F32" s="21" t="s">
        <v>20</v>
      </c>
      <c r="G32" s="21">
        <v>18</v>
      </c>
      <c r="H32" s="21">
        <v>51</v>
      </c>
      <c r="I32" s="21">
        <v>31</v>
      </c>
      <c r="J32" s="21">
        <v>63</v>
      </c>
      <c r="K32" s="21">
        <v>74</v>
      </c>
      <c r="L32" s="21">
        <v>43</v>
      </c>
      <c r="M32" s="21">
        <v>84</v>
      </c>
      <c r="N32" s="21">
        <v>56</v>
      </c>
      <c r="O32" s="21">
        <v>89</v>
      </c>
      <c r="P32" s="21">
        <v>63</v>
      </c>
      <c r="Q32" s="21">
        <v>66</v>
      </c>
      <c r="R32" s="21">
        <v>0</v>
      </c>
      <c r="S32" s="21">
        <v>0</v>
      </c>
      <c r="T32" s="21">
        <v>61</v>
      </c>
      <c r="U32" s="6">
        <f t="shared" si="1"/>
        <v>2.8615530000000011</v>
      </c>
      <c r="V32">
        <f t="shared" si="5"/>
        <v>3.8314640000000013</v>
      </c>
      <c r="W32" s="6">
        <f t="shared" si="2"/>
        <v>1.75</v>
      </c>
      <c r="X32">
        <f t="shared" si="3"/>
        <v>20.859140000000007</v>
      </c>
      <c r="Y32" t="str">
        <f t="shared" si="4"/>
        <v>RP</v>
      </c>
    </row>
    <row r="33" spans="1:25" ht="13.5" customHeight="1" thickBot="1" x14ac:dyDescent="0.35">
      <c r="A33">
        <f t="shared" si="0"/>
        <v>55.993487516718687</v>
      </c>
      <c r="B33" s="18">
        <v>77</v>
      </c>
      <c r="C33" s="12" t="s">
        <v>105</v>
      </c>
      <c r="D33" s="19" t="s">
        <v>16</v>
      </c>
      <c r="E33" s="19" t="s">
        <v>19</v>
      </c>
      <c r="F33" s="19" t="s">
        <v>19</v>
      </c>
      <c r="G33" s="19">
        <v>18</v>
      </c>
      <c r="H33" s="19">
        <v>25</v>
      </c>
      <c r="I33" s="19">
        <v>100</v>
      </c>
      <c r="J33" s="19">
        <v>74</v>
      </c>
      <c r="K33" s="19">
        <v>31</v>
      </c>
      <c r="L33" s="19">
        <v>29</v>
      </c>
      <c r="M33" s="19">
        <v>70</v>
      </c>
      <c r="N33" s="19">
        <v>63</v>
      </c>
      <c r="O33" s="19">
        <v>78</v>
      </c>
      <c r="P33" s="19">
        <v>59</v>
      </c>
      <c r="Q33" s="19">
        <v>46</v>
      </c>
      <c r="R33" s="19">
        <v>43</v>
      </c>
      <c r="S33" s="19">
        <v>0</v>
      </c>
      <c r="T33" s="19">
        <v>56</v>
      </c>
      <c r="U33" s="6">
        <f t="shared" si="1"/>
        <v>2.2694822000000006</v>
      </c>
      <c r="V33">
        <f t="shared" si="5"/>
        <v>3.3835070000000007</v>
      </c>
      <c r="W33" s="6">
        <f t="shared" si="2"/>
        <v>4.25</v>
      </c>
      <c r="X33">
        <f t="shared" si="3"/>
        <v>20.094942800000005</v>
      </c>
      <c r="Y33" t="str">
        <f t="shared" si="4"/>
        <v>SP</v>
      </c>
    </row>
    <row r="34" spans="1:25" ht="13.5" customHeight="1" thickBot="1" x14ac:dyDescent="0.35">
      <c r="A34">
        <f t="shared" si="0"/>
        <v>53.093905483727156</v>
      </c>
      <c r="B34" s="20">
        <v>82</v>
      </c>
      <c r="C34" s="13" t="s">
        <v>110</v>
      </c>
      <c r="D34" s="21" t="s">
        <v>16</v>
      </c>
      <c r="E34" s="21" t="s">
        <v>20</v>
      </c>
      <c r="F34" s="21" t="s">
        <v>20</v>
      </c>
      <c r="G34" s="21">
        <v>18</v>
      </c>
      <c r="H34" s="21">
        <v>75</v>
      </c>
      <c r="I34" s="21">
        <v>26</v>
      </c>
      <c r="J34" s="21">
        <v>83</v>
      </c>
      <c r="K34" s="21">
        <v>47</v>
      </c>
      <c r="L34" s="21">
        <v>26</v>
      </c>
      <c r="M34" s="21">
        <v>31</v>
      </c>
      <c r="N34" s="21">
        <v>86</v>
      </c>
      <c r="O34" s="21">
        <v>79</v>
      </c>
      <c r="P34" s="21">
        <v>66</v>
      </c>
      <c r="Q34" s="21">
        <v>48</v>
      </c>
      <c r="R34" s="21">
        <v>0</v>
      </c>
      <c r="S34" s="21">
        <v>0</v>
      </c>
      <c r="T34" s="21">
        <v>54</v>
      </c>
      <c r="U34" s="6">
        <f t="shared" si="1"/>
        <v>2.5829672000000015</v>
      </c>
      <c r="V34">
        <f t="shared" si="5"/>
        <v>3.4662360000000008</v>
      </c>
      <c r="W34" s="6">
        <f t="shared" si="2"/>
        <v>1.79</v>
      </c>
      <c r="X34">
        <f t="shared" si="3"/>
        <v>19.054340800000006</v>
      </c>
      <c r="Y34" t="str">
        <f t="shared" si="4"/>
        <v>RP</v>
      </c>
    </row>
    <row r="35" spans="1:25" ht="13.5" customHeight="1" thickBot="1" x14ac:dyDescent="0.35">
      <c r="A35">
        <f t="shared" si="0"/>
        <v>53.061100089166302</v>
      </c>
      <c r="B35" s="18">
        <v>45</v>
      </c>
      <c r="C35" s="12" t="s">
        <v>73</v>
      </c>
      <c r="D35" s="19" t="s">
        <v>16</v>
      </c>
      <c r="E35" s="19" t="s">
        <v>20</v>
      </c>
      <c r="F35" s="19" t="s">
        <v>20</v>
      </c>
      <c r="G35" s="19">
        <v>18</v>
      </c>
      <c r="H35" s="19">
        <v>30</v>
      </c>
      <c r="I35" s="19">
        <v>87</v>
      </c>
      <c r="J35" s="19">
        <v>54</v>
      </c>
      <c r="K35" s="19">
        <v>53</v>
      </c>
      <c r="L35" s="19">
        <v>32</v>
      </c>
      <c r="M35" s="19">
        <v>85</v>
      </c>
      <c r="N35" s="19">
        <v>81</v>
      </c>
      <c r="O35" s="19">
        <v>83</v>
      </c>
      <c r="P35" s="19">
        <v>62</v>
      </c>
      <c r="Q35" s="19">
        <v>30</v>
      </c>
      <c r="R35" s="19">
        <v>35</v>
      </c>
      <c r="S35" s="19">
        <v>24</v>
      </c>
      <c r="T35" s="19">
        <v>62</v>
      </c>
      <c r="U35" s="6">
        <f t="shared" si="1"/>
        <v>2.1461836000000005</v>
      </c>
      <c r="V35">
        <f t="shared" si="5"/>
        <v>3.3389166000000015</v>
      </c>
      <c r="W35" s="6">
        <f t="shared" si="2"/>
        <v>3.78</v>
      </c>
      <c r="X35">
        <f t="shared" si="3"/>
        <v>19.042567600000005</v>
      </c>
      <c r="Y35" t="str">
        <f t="shared" si="4"/>
        <v>SP</v>
      </c>
    </row>
    <row r="36" spans="1:25" ht="13.5" customHeight="1" thickBot="1" x14ac:dyDescent="0.35">
      <c r="A36">
        <f t="shared" si="0"/>
        <v>53.836054391440044</v>
      </c>
      <c r="B36" s="18">
        <v>131</v>
      </c>
      <c r="C36" s="12" t="s">
        <v>159</v>
      </c>
      <c r="D36" s="19" t="s">
        <v>16</v>
      </c>
      <c r="E36" s="19" t="s">
        <v>19</v>
      </c>
      <c r="F36" s="19" t="s">
        <v>19</v>
      </c>
      <c r="G36" s="19">
        <v>22</v>
      </c>
      <c r="H36" s="19">
        <v>87</v>
      </c>
      <c r="I36" s="19">
        <v>25</v>
      </c>
      <c r="J36" s="19">
        <v>96</v>
      </c>
      <c r="K36" s="19">
        <v>49</v>
      </c>
      <c r="L36" s="19">
        <v>32</v>
      </c>
      <c r="M36" s="19">
        <v>92</v>
      </c>
      <c r="N36" s="19">
        <v>70</v>
      </c>
      <c r="O36" s="19">
        <v>56</v>
      </c>
      <c r="P36" s="19">
        <v>76</v>
      </c>
      <c r="Q36" s="19">
        <v>0</v>
      </c>
      <c r="R36" s="19">
        <v>0</v>
      </c>
      <c r="S36" s="19">
        <v>0</v>
      </c>
      <c r="T36" s="19">
        <v>60</v>
      </c>
      <c r="U36" s="6">
        <f t="shared" si="1"/>
        <v>3.0172148000000005</v>
      </c>
      <c r="V36">
        <f t="shared" si="5"/>
        <v>2.6909120000000009</v>
      </c>
      <c r="W36" s="6">
        <f t="shared" si="2"/>
        <v>1.87</v>
      </c>
      <c r="X36">
        <f t="shared" si="3"/>
        <v>19.320683200000005</v>
      </c>
      <c r="Y36" t="str">
        <f t="shared" si="4"/>
        <v>RP</v>
      </c>
    </row>
    <row r="37" spans="1:25" ht="13.5" customHeight="1" thickBot="1" x14ac:dyDescent="0.35">
      <c r="A37">
        <f t="shared" si="0"/>
        <v>56.519810521622844</v>
      </c>
      <c r="B37" s="18">
        <v>87</v>
      </c>
      <c r="C37" s="12" t="s">
        <v>115</v>
      </c>
      <c r="D37" s="19" t="s">
        <v>16</v>
      </c>
      <c r="E37" s="19" t="s">
        <v>19</v>
      </c>
      <c r="F37" s="19" t="s">
        <v>19</v>
      </c>
      <c r="G37" s="19">
        <v>18</v>
      </c>
      <c r="H37" s="19">
        <v>38</v>
      </c>
      <c r="I37" s="19">
        <v>29</v>
      </c>
      <c r="J37" s="19">
        <v>87</v>
      </c>
      <c r="K37" s="19">
        <v>43</v>
      </c>
      <c r="L37" s="19">
        <v>44</v>
      </c>
      <c r="M37" s="19">
        <v>80</v>
      </c>
      <c r="N37" s="19">
        <v>59</v>
      </c>
      <c r="O37" s="19">
        <v>64</v>
      </c>
      <c r="P37" s="19">
        <v>70</v>
      </c>
      <c r="Q37" s="19">
        <v>59</v>
      </c>
      <c r="R37" s="19">
        <v>0</v>
      </c>
      <c r="S37" s="19">
        <v>0</v>
      </c>
      <c r="T37" s="19">
        <v>53</v>
      </c>
      <c r="U37" s="6">
        <f t="shared" si="1"/>
        <v>3.0092944000000013</v>
      </c>
      <c r="V37">
        <f t="shared" si="5"/>
        <v>3.3533260000000005</v>
      </c>
      <c r="W37" s="6">
        <f t="shared" si="2"/>
        <v>1.54</v>
      </c>
      <c r="X37">
        <f t="shared" si="3"/>
        <v>20.283829600000004</v>
      </c>
      <c r="Y37" t="str">
        <f t="shared" si="4"/>
        <v>CRAP</v>
      </c>
    </row>
    <row r="38" spans="1:25" ht="13.5" customHeight="1" thickBot="1" x14ac:dyDescent="0.35">
      <c r="A38">
        <f t="shared" si="0"/>
        <v>52.022767498885429</v>
      </c>
      <c r="B38" s="20">
        <v>118</v>
      </c>
      <c r="C38" s="13" t="s">
        <v>146</v>
      </c>
      <c r="D38" s="21" t="s">
        <v>16</v>
      </c>
      <c r="E38" s="21" t="s">
        <v>19</v>
      </c>
      <c r="F38" s="21" t="s">
        <v>19</v>
      </c>
      <c r="G38" s="21">
        <v>22</v>
      </c>
      <c r="H38" s="21">
        <v>37</v>
      </c>
      <c r="I38" s="21">
        <v>84</v>
      </c>
      <c r="J38" s="21">
        <v>66</v>
      </c>
      <c r="K38" s="21">
        <v>52</v>
      </c>
      <c r="L38" s="21">
        <v>28</v>
      </c>
      <c r="M38" s="21">
        <v>72</v>
      </c>
      <c r="N38" s="21">
        <v>79</v>
      </c>
      <c r="O38" s="21">
        <v>56</v>
      </c>
      <c r="P38" s="21">
        <v>72</v>
      </c>
      <c r="Q38" s="21">
        <v>23</v>
      </c>
      <c r="R38" s="21">
        <v>17</v>
      </c>
      <c r="S38" s="21">
        <v>0</v>
      </c>
      <c r="T38" s="21">
        <v>63</v>
      </c>
      <c r="U38" s="6">
        <f t="shared" si="1"/>
        <v>2.3790492000000008</v>
      </c>
      <c r="V38">
        <f t="shared" si="5"/>
        <v>2.7118670000000011</v>
      </c>
      <c r="W38" s="6">
        <f t="shared" si="2"/>
        <v>3.73</v>
      </c>
      <c r="X38">
        <f t="shared" si="3"/>
        <v>18.669930800000007</v>
      </c>
      <c r="Y38" t="str">
        <f t="shared" si="4"/>
        <v>SP</v>
      </c>
    </row>
    <row r="39" spans="1:25" ht="13.5" customHeight="1" thickBot="1" x14ac:dyDescent="0.35">
      <c r="A39">
        <f t="shared" si="0"/>
        <v>53.455643111903704</v>
      </c>
      <c r="B39" s="18">
        <v>111</v>
      </c>
      <c r="C39" s="12" t="s">
        <v>139</v>
      </c>
      <c r="D39" s="19" t="s">
        <v>16</v>
      </c>
      <c r="E39" s="19" t="s">
        <v>20</v>
      </c>
      <c r="F39" s="19" t="s">
        <v>20</v>
      </c>
      <c r="G39" s="19">
        <v>18</v>
      </c>
      <c r="H39" s="19">
        <v>33</v>
      </c>
      <c r="I39" s="19">
        <v>27</v>
      </c>
      <c r="J39" s="19">
        <v>64</v>
      </c>
      <c r="K39" s="19">
        <v>65</v>
      </c>
      <c r="L39" s="19">
        <v>44</v>
      </c>
      <c r="M39" s="19">
        <v>33</v>
      </c>
      <c r="N39" s="19">
        <v>68</v>
      </c>
      <c r="O39" s="19">
        <v>83</v>
      </c>
      <c r="P39" s="19">
        <v>55</v>
      </c>
      <c r="Q39" s="19">
        <v>47</v>
      </c>
      <c r="R39" s="19">
        <v>49</v>
      </c>
      <c r="S39" s="19">
        <v>38</v>
      </c>
      <c r="T39" s="19">
        <v>48</v>
      </c>
      <c r="U39" s="6">
        <f t="shared" si="1"/>
        <v>2.688506400000001</v>
      </c>
      <c r="V39">
        <f t="shared" si="5"/>
        <v>3.5100678000000012</v>
      </c>
      <c r="W39" s="6">
        <f t="shared" si="2"/>
        <v>1.41</v>
      </c>
      <c r="X39">
        <f t="shared" si="3"/>
        <v>19.184161200000005</v>
      </c>
      <c r="Y39" t="str">
        <f t="shared" si="4"/>
        <v>CRAP</v>
      </c>
    </row>
    <row r="40" spans="1:25" ht="13.5" customHeight="1" thickBot="1" x14ac:dyDescent="0.35">
      <c r="A40">
        <f t="shared" si="0"/>
        <v>50.683517610343301</v>
      </c>
      <c r="B40" s="20">
        <v>92</v>
      </c>
      <c r="C40" s="13" t="s">
        <v>120</v>
      </c>
      <c r="D40" s="21" t="s">
        <v>16</v>
      </c>
      <c r="E40" s="21" t="s">
        <v>19</v>
      </c>
      <c r="F40" s="21" t="s">
        <v>19</v>
      </c>
      <c r="G40" s="21">
        <v>18</v>
      </c>
      <c r="H40" s="21">
        <v>94</v>
      </c>
      <c r="I40" s="21">
        <v>19</v>
      </c>
      <c r="J40" s="21">
        <v>89</v>
      </c>
      <c r="K40" s="21">
        <v>24</v>
      </c>
      <c r="L40" s="21">
        <v>34</v>
      </c>
      <c r="M40" s="21">
        <v>38</v>
      </c>
      <c r="N40" s="21">
        <v>80</v>
      </c>
      <c r="O40" s="21">
        <v>76</v>
      </c>
      <c r="P40" s="21">
        <v>73</v>
      </c>
      <c r="Q40" s="21">
        <v>0</v>
      </c>
      <c r="R40" s="21">
        <v>0</v>
      </c>
      <c r="S40" s="21">
        <v>0</v>
      </c>
      <c r="T40" s="21">
        <v>52</v>
      </c>
      <c r="U40" s="6">
        <f t="shared" si="1"/>
        <v>2.5376112000000006</v>
      </c>
      <c r="V40">
        <f t="shared" si="5"/>
        <v>3.1694280000000008</v>
      </c>
      <c r="W40" s="6">
        <f t="shared" si="2"/>
        <v>1.7</v>
      </c>
      <c r="X40">
        <f t="shared" si="3"/>
        <v>18.189300800000002</v>
      </c>
      <c r="Y40" t="str">
        <f t="shared" si="4"/>
        <v>RP</v>
      </c>
    </row>
    <row r="41" spans="1:25" ht="13.5" customHeight="1" thickBot="1" x14ac:dyDescent="0.35">
      <c r="A41">
        <f t="shared" si="0"/>
        <v>58.252934685688807</v>
      </c>
      <c r="B41" s="18">
        <v>53</v>
      </c>
      <c r="C41" s="12" t="s">
        <v>81</v>
      </c>
      <c r="D41" s="19" t="s">
        <v>16</v>
      </c>
      <c r="E41" s="19" t="s">
        <v>19</v>
      </c>
      <c r="F41" s="19" t="s">
        <v>19</v>
      </c>
      <c r="G41" s="19">
        <v>18</v>
      </c>
      <c r="H41" s="19">
        <v>28</v>
      </c>
      <c r="I41" s="19">
        <v>68</v>
      </c>
      <c r="J41" s="19">
        <v>74</v>
      </c>
      <c r="K41" s="19">
        <v>50</v>
      </c>
      <c r="L41" s="19">
        <v>60</v>
      </c>
      <c r="M41" s="19">
        <v>42</v>
      </c>
      <c r="N41" s="19">
        <v>30</v>
      </c>
      <c r="O41" s="19">
        <v>65</v>
      </c>
      <c r="P41" s="19">
        <v>60</v>
      </c>
      <c r="Q41" s="19">
        <v>44</v>
      </c>
      <c r="R41" s="19">
        <v>25</v>
      </c>
      <c r="S41" s="19">
        <v>0</v>
      </c>
      <c r="T41" s="19">
        <v>61</v>
      </c>
      <c r="U41" s="6">
        <f t="shared" si="1"/>
        <v>3.0087648000000007</v>
      </c>
      <c r="V41">
        <f t="shared" si="5"/>
        <v>2.9353770000000008</v>
      </c>
      <c r="W41" s="6">
        <f t="shared" si="2"/>
        <v>3</v>
      </c>
      <c r="X41">
        <f t="shared" si="3"/>
        <v>20.905813200000004</v>
      </c>
      <c r="Y41" t="str">
        <f t="shared" si="4"/>
        <v>SP</v>
      </c>
    </row>
    <row r="42" spans="1:25" ht="13.5" customHeight="1" thickBot="1" x14ac:dyDescent="0.35">
      <c r="A42">
        <f t="shared" si="0"/>
        <v>46.440362238074002</v>
      </c>
      <c r="B42" s="18">
        <v>179</v>
      </c>
      <c r="C42" s="12" t="s">
        <v>207</v>
      </c>
      <c r="D42" s="19" t="s">
        <v>16</v>
      </c>
      <c r="E42" s="19" t="s">
        <v>19</v>
      </c>
      <c r="F42" s="19" t="s">
        <v>19</v>
      </c>
      <c r="G42" s="19">
        <v>20</v>
      </c>
      <c r="H42" s="19">
        <v>29</v>
      </c>
      <c r="I42" s="19">
        <v>8</v>
      </c>
      <c r="J42" s="19">
        <v>49</v>
      </c>
      <c r="K42" s="19">
        <v>45</v>
      </c>
      <c r="L42" s="19">
        <v>73</v>
      </c>
      <c r="M42" s="19">
        <v>37</v>
      </c>
      <c r="N42" s="19">
        <v>100</v>
      </c>
      <c r="O42" s="19">
        <v>100</v>
      </c>
      <c r="P42" s="19">
        <v>39</v>
      </c>
      <c r="Q42" s="19">
        <v>19</v>
      </c>
      <c r="R42" s="19">
        <v>37</v>
      </c>
      <c r="S42" s="19">
        <v>0</v>
      </c>
      <c r="T42" s="19">
        <v>39</v>
      </c>
      <c r="U42" s="6">
        <f t="shared" si="1"/>
        <v>2.6422278000000001</v>
      </c>
      <c r="V42">
        <f t="shared" si="5"/>
        <v>2.7438030000000007</v>
      </c>
      <c r="W42" s="6">
        <f t="shared" si="2"/>
        <v>0.61</v>
      </c>
      <c r="X42">
        <f t="shared" si="3"/>
        <v>16.666517200000001</v>
      </c>
      <c r="Y42" t="str">
        <f t="shared" si="4"/>
        <v>CRAP</v>
      </c>
    </row>
    <row r="43" spans="1:25" ht="13.5" customHeight="1" thickBot="1" x14ac:dyDescent="0.35">
      <c r="A43">
        <f t="shared" si="0"/>
        <v>54.742750780205078</v>
      </c>
      <c r="B43" s="20">
        <v>22</v>
      </c>
      <c r="C43" s="13" t="s">
        <v>50</v>
      </c>
      <c r="D43" s="21" t="s">
        <v>16</v>
      </c>
      <c r="E43" s="21" t="s">
        <v>21</v>
      </c>
      <c r="F43" s="21" t="s">
        <v>20</v>
      </c>
      <c r="G43" s="21">
        <v>18</v>
      </c>
      <c r="H43" s="21">
        <v>80</v>
      </c>
      <c r="I43" s="21">
        <v>41</v>
      </c>
      <c r="J43" s="21">
        <v>47</v>
      </c>
      <c r="K43" s="21">
        <v>74</v>
      </c>
      <c r="L43" s="21">
        <v>54</v>
      </c>
      <c r="M43" s="21">
        <v>95</v>
      </c>
      <c r="N43" s="21">
        <v>51</v>
      </c>
      <c r="O43" s="21">
        <v>73</v>
      </c>
      <c r="P43" s="21">
        <v>84</v>
      </c>
      <c r="Q43" s="21">
        <v>0</v>
      </c>
      <c r="R43" s="21">
        <v>0</v>
      </c>
      <c r="S43" s="21">
        <v>0</v>
      </c>
      <c r="T43" s="21">
        <v>69</v>
      </c>
      <c r="U43" s="6">
        <f t="shared" si="1"/>
        <v>2.6314616000000002</v>
      </c>
      <c r="V43">
        <f t="shared" si="5"/>
        <v>3.340116000000001</v>
      </c>
      <c r="W43" s="6">
        <f t="shared" si="2"/>
        <v>2.44</v>
      </c>
      <c r="X43">
        <f t="shared" si="3"/>
        <v>19.646078400000004</v>
      </c>
      <c r="Y43" t="str">
        <f t="shared" si="4"/>
        <v>RP</v>
      </c>
    </row>
    <row r="44" spans="1:25" ht="13.5" customHeight="1" thickBot="1" x14ac:dyDescent="0.35">
      <c r="A44">
        <f t="shared" si="0"/>
        <v>55.077229157378511</v>
      </c>
      <c r="B44" s="18">
        <v>63</v>
      </c>
      <c r="C44" s="12" t="s">
        <v>91</v>
      </c>
      <c r="D44" s="19" t="s">
        <v>16</v>
      </c>
      <c r="E44" s="19" t="s">
        <v>20</v>
      </c>
      <c r="F44" s="19" t="s">
        <v>20</v>
      </c>
      <c r="G44" s="19">
        <v>18</v>
      </c>
      <c r="H44" s="19">
        <v>38</v>
      </c>
      <c r="I44" s="19">
        <v>66</v>
      </c>
      <c r="J44" s="19">
        <v>89</v>
      </c>
      <c r="K44" s="19">
        <v>39</v>
      </c>
      <c r="L44" s="19">
        <v>35</v>
      </c>
      <c r="M44" s="19">
        <v>36</v>
      </c>
      <c r="N44" s="19">
        <v>44</v>
      </c>
      <c r="O44" s="19">
        <v>72</v>
      </c>
      <c r="P44" s="19">
        <v>52</v>
      </c>
      <c r="Q44" s="19">
        <v>48</v>
      </c>
      <c r="R44" s="19">
        <v>50</v>
      </c>
      <c r="S44" s="19">
        <v>0</v>
      </c>
      <c r="T44" s="19">
        <v>59</v>
      </c>
      <c r="U44" s="6">
        <f t="shared" si="1"/>
        <v>2.6315830000000004</v>
      </c>
      <c r="V44">
        <f t="shared" si="5"/>
        <v>3.1098920000000008</v>
      </c>
      <c r="W44" s="6">
        <f t="shared" si="2"/>
        <v>3.02</v>
      </c>
      <c r="X44">
        <f t="shared" si="3"/>
        <v>19.766116000000004</v>
      </c>
      <c r="Y44" t="str">
        <f t="shared" si="4"/>
        <v>SP</v>
      </c>
    </row>
    <row r="45" spans="1:25" ht="13.5" customHeight="1" thickBot="1" x14ac:dyDescent="0.35">
      <c r="A45">
        <f t="shared" si="0"/>
        <v>50.038024966562645</v>
      </c>
      <c r="B45" s="20">
        <v>112</v>
      </c>
      <c r="C45" s="13" t="s">
        <v>140</v>
      </c>
      <c r="D45" s="21" t="s">
        <v>16</v>
      </c>
      <c r="E45" s="21" t="s">
        <v>20</v>
      </c>
      <c r="F45" s="21" t="s">
        <v>20</v>
      </c>
      <c r="G45" s="21">
        <v>18</v>
      </c>
      <c r="H45" s="21">
        <v>43</v>
      </c>
      <c r="I45" s="21">
        <v>24</v>
      </c>
      <c r="J45" s="21">
        <v>69</v>
      </c>
      <c r="K45" s="21">
        <v>58</v>
      </c>
      <c r="L45" s="21">
        <v>32</v>
      </c>
      <c r="M45" s="21">
        <v>20</v>
      </c>
      <c r="N45" s="21">
        <v>76</v>
      </c>
      <c r="O45" s="21">
        <v>78</v>
      </c>
      <c r="P45" s="21">
        <v>57</v>
      </c>
      <c r="Q45" s="21">
        <v>46</v>
      </c>
      <c r="R45" s="21">
        <v>44</v>
      </c>
      <c r="S45" s="21">
        <v>0</v>
      </c>
      <c r="T45" s="21">
        <v>48</v>
      </c>
      <c r="U45" s="6">
        <f t="shared" si="1"/>
        <v>2.4762296000000004</v>
      </c>
      <c r="V45">
        <f t="shared" si="5"/>
        <v>3.3313640000000011</v>
      </c>
      <c r="W45" s="6">
        <f t="shared" si="2"/>
        <v>1.39</v>
      </c>
      <c r="X45">
        <f t="shared" si="3"/>
        <v>17.957646400000005</v>
      </c>
      <c r="Y45" t="str">
        <f t="shared" si="4"/>
        <v>CRAP</v>
      </c>
    </row>
    <row r="46" spans="1:25" ht="13.5" customHeight="1" thickBot="1" x14ac:dyDescent="0.35">
      <c r="A46">
        <f t="shared" si="0"/>
        <v>52.875307623718243</v>
      </c>
      <c r="B46" s="18">
        <v>145</v>
      </c>
      <c r="C46" s="12" t="s">
        <v>173</v>
      </c>
      <c r="D46" s="19" t="s">
        <v>16</v>
      </c>
      <c r="E46" s="19" t="s">
        <v>20</v>
      </c>
      <c r="F46" s="19" t="s">
        <v>20</v>
      </c>
      <c r="G46" s="19">
        <v>21</v>
      </c>
      <c r="H46" s="19">
        <v>64</v>
      </c>
      <c r="I46" s="19">
        <v>36</v>
      </c>
      <c r="J46" s="19">
        <v>84</v>
      </c>
      <c r="K46" s="19">
        <v>21</v>
      </c>
      <c r="L46" s="19">
        <v>58</v>
      </c>
      <c r="M46" s="19">
        <v>51</v>
      </c>
      <c r="N46" s="19">
        <v>60</v>
      </c>
      <c r="O46" s="19">
        <v>47</v>
      </c>
      <c r="P46" s="19">
        <v>80</v>
      </c>
      <c r="Q46" s="19">
        <v>21</v>
      </c>
      <c r="R46" s="19">
        <v>0</v>
      </c>
      <c r="S46" s="19">
        <v>0</v>
      </c>
      <c r="T46" s="19">
        <v>58</v>
      </c>
      <c r="U46" s="6">
        <f t="shared" si="1"/>
        <v>2.9281896000000009</v>
      </c>
      <c r="V46">
        <f t="shared" si="5"/>
        <v>2.5915660000000007</v>
      </c>
      <c r="W46" s="6">
        <f t="shared" si="2"/>
        <v>2.08</v>
      </c>
      <c r="X46">
        <f t="shared" si="3"/>
        <v>18.975890400000004</v>
      </c>
      <c r="Y46" t="str">
        <f t="shared" si="4"/>
        <v>RP</v>
      </c>
    </row>
    <row r="47" spans="1:25" ht="13.5" customHeight="1" thickBot="1" x14ac:dyDescent="0.35">
      <c r="A47">
        <f t="shared" si="0"/>
        <v>49.531852429781544</v>
      </c>
      <c r="B47" s="20">
        <v>46</v>
      </c>
      <c r="C47" s="13" t="s">
        <v>74</v>
      </c>
      <c r="D47" s="21" t="s">
        <v>16</v>
      </c>
      <c r="E47" s="21" t="s">
        <v>19</v>
      </c>
      <c r="F47" s="21" t="s">
        <v>19</v>
      </c>
      <c r="G47" s="21">
        <v>18</v>
      </c>
      <c r="H47" s="21">
        <v>71</v>
      </c>
      <c r="I47" s="21">
        <v>46</v>
      </c>
      <c r="J47" s="21">
        <v>80</v>
      </c>
      <c r="K47" s="21">
        <v>38</v>
      </c>
      <c r="L47" s="21">
        <v>37</v>
      </c>
      <c r="M47" s="21">
        <v>85</v>
      </c>
      <c r="N47" s="21">
        <v>67</v>
      </c>
      <c r="O47" s="21">
        <v>61</v>
      </c>
      <c r="P47" s="21">
        <v>54</v>
      </c>
      <c r="Q47" s="21">
        <v>0</v>
      </c>
      <c r="R47" s="21">
        <v>0</v>
      </c>
      <c r="S47" s="21">
        <v>0</v>
      </c>
      <c r="T47" s="21">
        <v>62</v>
      </c>
      <c r="U47" s="6">
        <f t="shared" si="1"/>
        <v>2.6930478000000004</v>
      </c>
      <c r="V47">
        <f t="shared" si="5"/>
        <v>2.2269000000000005</v>
      </c>
      <c r="W47" s="6">
        <f t="shared" si="2"/>
        <v>2.5499999999999998</v>
      </c>
      <c r="X47">
        <f t="shared" si="3"/>
        <v>17.775991200000004</v>
      </c>
      <c r="Y47" t="str">
        <f t="shared" si="4"/>
        <v>RP</v>
      </c>
    </row>
    <row r="48" spans="1:25" ht="13.5" customHeight="1" thickBot="1" x14ac:dyDescent="0.35">
      <c r="A48">
        <f t="shared" si="0"/>
        <v>49.891671868033889</v>
      </c>
      <c r="B48" s="18">
        <v>37</v>
      </c>
      <c r="C48" s="12" t="s">
        <v>65</v>
      </c>
      <c r="D48" s="19" t="s">
        <v>16</v>
      </c>
      <c r="E48" s="19" t="s">
        <v>20</v>
      </c>
      <c r="F48" s="19" t="s">
        <v>20</v>
      </c>
      <c r="G48" s="19">
        <v>18</v>
      </c>
      <c r="H48" s="19">
        <v>36</v>
      </c>
      <c r="I48" s="19">
        <v>76</v>
      </c>
      <c r="J48" s="19">
        <v>26</v>
      </c>
      <c r="K48" s="19">
        <v>66</v>
      </c>
      <c r="L48" s="19">
        <v>53</v>
      </c>
      <c r="M48" s="19">
        <v>49</v>
      </c>
      <c r="N48" s="19">
        <v>79</v>
      </c>
      <c r="O48" s="19">
        <v>75</v>
      </c>
      <c r="P48" s="19">
        <v>72</v>
      </c>
      <c r="Q48" s="19">
        <v>39</v>
      </c>
      <c r="R48" s="19">
        <v>0</v>
      </c>
      <c r="S48" s="19">
        <v>0</v>
      </c>
      <c r="T48" s="19">
        <v>64</v>
      </c>
      <c r="U48" s="6">
        <f t="shared" si="1"/>
        <v>1.9232558000000006</v>
      </c>
      <c r="V48">
        <f t="shared" si="5"/>
        <v>3.4060500000000005</v>
      </c>
      <c r="W48" s="6">
        <f t="shared" si="2"/>
        <v>3.4</v>
      </c>
      <c r="X48">
        <f t="shared" si="3"/>
        <v>17.905123200000002</v>
      </c>
      <c r="Y48" t="str">
        <f t="shared" si="4"/>
        <v>SP</v>
      </c>
    </row>
    <row r="49" spans="1:25" ht="13.5" customHeight="1" thickBot="1" x14ac:dyDescent="0.35">
      <c r="A49">
        <f t="shared" si="0"/>
        <v>51.37919081587161</v>
      </c>
      <c r="B49" s="18">
        <v>65</v>
      </c>
      <c r="C49" s="12" t="s">
        <v>93</v>
      </c>
      <c r="D49" s="19" t="s">
        <v>16</v>
      </c>
      <c r="E49" s="19" t="s">
        <v>20</v>
      </c>
      <c r="F49" s="19" t="s">
        <v>20</v>
      </c>
      <c r="G49" s="19">
        <v>18</v>
      </c>
      <c r="H49" s="19">
        <v>35</v>
      </c>
      <c r="I49" s="19">
        <v>95</v>
      </c>
      <c r="J49" s="19">
        <v>89</v>
      </c>
      <c r="K49" s="19">
        <v>34</v>
      </c>
      <c r="L49" s="19">
        <v>22</v>
      </c>
      <c r="M49" s="19">
        <v>47</v>
      </c>
      <c r="N49" s="19">
        <v>53</v>
      </c>
      <c r="O49" s="19">
        <v>64</v>
      </c>
      <c r="P49" s="19">
        <v>46</v>
      </c>
      <c r="Q49" s="19">
        <v>37</v>
      </c>
      <c r="R49" s="19">
        <v>0</v>
      </c>
      <c r="S49" s="19">
        <v>0</v>
      </c>
      <c r="T49" s="19">
        <v>58</v>
      </c>
      <c r="U49" s="6">
        <f t="shared" si="1"/>
        <v>2.4048240000000005</v>
      </c>
      <c r="V49">
        <f t="shared" si="5"/>
        <v>2.3348340000000007</v>
      </c>
      <c r="W49" s="6">
        <f t="shared" si="2"/>
        <v>4.1500000000000004</v>
      </c>
      <c r="X49">
        <f t="shared" si="3"/>
        <v>18.438964000000006</v>
      </c>
      <c r="Y49" t="str">
        <f t="shared" si="4"/>
        <v>SP</v>
      </c>
    </row>
    <row r="50" spans="1:25" ht="13.5" customHeight="1" thickBot="1" x14ac:dyDescent="0.35">
      <c r="A50">
        <f t="shared" si="0"/>
        <v>47.455521622826573</v>
      </c>
      <c r="B50" s="18">
        <v>83</v>
      </c>
      <c r="C50" s="12" t="s">
        <v>111</v>
      </c>
      <c r="D50" s="19" t="s">
        <v>16</v>
      </c>
      <c r="E50" s="19" t="s">
        <v>19</v>
      </c>
      <c r="F50" s="19" t="s">
        <v>19</v>
      </c>
      <c r="G50" s="19">
        <v>18</v>
      </c>
      <c r="H50" s="19">
        <v>87</v>
      </c>
      <c r="I50" s="19">
        <v>27</v>
      </c>
      <c r="J50" s="19">
        <v>82</v>
      </c>
      <c r="K50" s="19">
        <v>33</v>
      </c>
      <c r="L50" s="19">
        <v>27</v>
      </c>
      <c r="M50" s="19">
        <v>86</v>
      </c>
      <c r="N50" s="19">
        <v>77</v>
      </c>
      <c r="O50" s="19">
        <v>69</v>
      </c>
      <c r="P50" s="19">
        <v>56</v>
      </c>
      <c r="Q50" s="19">
        <v>0</v>
      </c>
      <c r="R50" s="19">
        <v>0</v>
      </c>
      <c r="S50" s="19">
        <v>0</v>
      </c>
      <c r="T50" s="19">
        <v>54</v>
      </c>
      <c r="U50" s="6">
        <f t="shared" si="1"/>
        <v>2.5139194000000007</v>
      </c>
      <c r="V50">
        <f t="shared" si="5"/>
        <v>2.5125800000000007</v>
      </c>
      <c r="W50" s="6">
        <f t="shared" si="2"/>
        <v>1.95</v>
      </c>
      <c r="X50">
        <f t="shared" si="3"/>
        <v>17.030837600000005</v>
      </c>
      <c r="Y50" t="str">
        <f t="shared" si="4"/>
        <v>RP</v>
      </c>
    </row>
    <row r="51" spans="1:25" ht="13.5" customHeight="1" thickBot="1" x14ac:dyDescent="0.35">
      <c r="A51">
        <f t="shared" si="0"/>
        <v>47.356511368702634</v>
      </c>
      <c r="B51" s="18">
        <v>75</v>
      </c>
      <c r="C51" s="12" t="s">
        <v>103</v>
      </c>
      <c r="D51" s="19" t="s">
        <v>16</v>
      </c>
      <c r="E51" s="19" t="s">
        <v>20</v>
      </c>
      <c r="F51" s="19" t="s">
        <v>20</v>
      </c>
      <c r="G51" s="19">
        <v>18</v>
      </c>
      <c r="H51" s="19">
        <v>82</v>
      </c>
      <c r="I51" s="19">
        <v>38</v>
      </c>
      <c r="J51" s="19">
        <v>83</v>
      </c>
      <c r="K51" s="19">
        <v>35</v>
      </c>
      <c r="L51" s="19">
        <v>15</v>
      </c>
      <c r="M51" s="19">
        <v>91</v>
      </c>
      <c r="N51" s="19">
        <v>76</v>
      </c>
      <c r="O51" s="19">
        <v>70</v>
      </c>
      <c r="P51" s="19">
        <v>55</v>
      </c>
      <c r="Q51" s="19">
        <v>0</v>
      </c>
      <c r="R51" s="19">
        <v>0</v>
      </c>
      <c r="S51" s="19">
        <v>0</v>
      </c>
      <c r="T51" s="19">
        <v>56</v>
      </c>
      <c r="U51" s="6">
        <f t="shared" si="1"/>
        <v>2.4090762000000008</v>
      </c>
      <c r="V51">
        <f t="shared" si="5"/>
        <v>2.5095000000000005</v>
      </c>
      <c r="W51" s="6">
        <f t="shared" si="2"/>
        <v>2.34</v>
      </c>
      <c r="X51">
        <f t="shared" si="3"/>
        <v>16.995304800000003</v>
      </c>
      <c r="Y51" t="str">
        <f t="shared" si="4"/>
        <v>RP</v>
      </c>
    </row>
    <row r="52" spans="1:25" ht="13.5" customHeight="1" thickBot="1" x14ac:dyDescent="0.35">
      <c r="A52">
        <f t="shared" si="0"/>
        <v>47.100675434685698</v>
      </c>
      <c r="B52" s="20">
        <v>76</v>
      </c>
      <c r="C52" s="13" t="s">
        <v>104</v>
      </c>
      <c r="D52" s="21" t="s">
        <v>16</v>
      </c>
      <c r="E52" s="21" t="s">
        <v>19</v>
      </c>
      <c r="F52" s="21" t="s">
        <v>19</v>
      </c>
      <c r="G52" s="21">
        <v>18</v>
      </c>
      <c r="H52" s="21">
        <v>55</v>
      </c>
      <c r="I52" s="21">
        <v>46</v>
      </c>
      <c r="J52" s="21">
        <v>86</v>
      </c>
      <c r="K52" s="21">
        <v>31</v>
      </c>
      <c r="L52" s="21">
        <v>25</v>
      </c>
      <c r="M52" s="21">
        <v>36</v>
      </c>
      <c r="N52" s="21">
        <v>75</v>
      </c>
      <c r="O52" s="21">
        <v>71</v>
      </c>
      <c r="P52" s="21">
        <v>47</v>
      </c>
      <c r="Q52" s="21">
        <v>30</v>
      </c>
      <c r="R52" s="21">
        <v>0</v>
      </c>
      <c r="S52" s="21">
        <v>0</v>
      </c>
      <c r="T52" s="21">
        <v>56</v>
      </c>
      <c r="U52" s="6">
        <f t="shared" si="1"/>
        <v>2.394140600000001</v>
      </c>
      <c r="V52">
        <f t="shared" si="5"/>
        <v>2.4684640000000009</v>
      </c>
      <c r="W52" s="6">
        <f t="shared" si="2"/>
        <v>2.39</v>
      </c>
      <c r="X52">
        <f t="shared" si="3"/>
        <v>16.903490400000006</v>
      </c>
      <c r="Y52" t="str">
        <f t="shared" si="4"/>
        <v>RP</v>
      </c>
    </row>
    <row r="53" spans="1:25" ht="13.5" customHeight="1" thickBot="1" x14ac:dyDescent="0.35">
      <c r="A53">
        <f t="shared" si="0"/>
        <v>46.848226705305386</v>
      </c>
      <c r="B53" s="18">
        <v>79</v>
      </c>
      <c r="C53" s="12" t="s">
        <v>107</v>
      </c>
      <c r="D53" s="19" t="s">
        <v>16</v>
      </c>
      <c r="E53" s="19" t="s">
        <v>21</v>
      </c>
      <c r="F53" s="19" t="s">
        <v>19</v>
      </c>
      <c r="G53" s="19">
        <v>18</v>
      </c>
      <c r="H53" s="19">
        <v>39</v>
      </c>
      <c r="I53" s="19">
        <v>32</v>
      </c>
      <c r="J53" s="19">
        <v>39</v>
      </c>
      <c r="K53" s="19">
        <v>57</v>
      </c>
      <c r="L53" s="19">
        <v>68</v>
      </c>
      <c r="M53" s="19">
        <v>52</v>
      </c>
      <c r="N53" s="19">
        <v>88</v>
      </c>
      <c r="O53" s="19">
        <v>60</v>
      </c>
      <c r="P53" s="19">
        <v>50</v>
      </c>
      <c r="Q53" s="19">
        <v>37</v>
      </c>
      <c r="R53" s="19">
        <v>55</v>
      </c>
      <c r="S53" s="19">
        <v>28</v>
      </c>
      <c r="T53" s="19">
        <v>55</v>
      </c>
      <c r="U53" s="6">
        <f t="shared" si="1"/>
        <v>2.4650220000000003</v>
      </c>
      <c r="V53">
        <f t="shared" si="5"/>
        <v>2.6414018000000006</v>
      </c>
      <c r="W53" s="6">
        <f t="shared" si="2"/>
        <v>1.67</v>
      </c>
      <c r="X53">
        <f t="shared" si="3"/>
        <v>16.8128916</v>
      </c>
      <c r="Y53" t="str">
        <f t="shared" si="4"/>
        <v>CRAP</v>
      </c>
    </row>
    <row r="54" spans="1:25" ht="13.5" customHeight="1" thickBot="1" x14ac:dyDescent="0.35">
      <c r="A54">
        <f t="shared" si="0"/>
        <v>52.213022737405282</v>
      </c>
      <c r="B54" s="20">
        <v>88</v>
      </c>
      <c r="C54" s="13" t="s">
        <v>116</v>
      </c>
      <c r="D54" s="21" t="s">
        <v>16</v>
      </c>
      <c r="E54" s="21" t="s">
        <v>19</v>
      </c>
      <c r="F54" s="21" t="s">
        <v>19</v>
      </c>
      <c r="G54" s="21">
        <v>18</v>
      </c>
      <c r="H54" s="21">
        <v>25</v>
      </c>
      <c r="I54" s="21">
        <v>47</v>
      </c>
      <c r="J54" s="21">
        <v>71</v>
      </c>
      <c r="K54" s="21">
        <v>38</v>
      </c>
      <c r="L54" s="21">
        <v>48</v>
      </c>
      <c r="M54" s="21">
        <v>29</v>
      </c>
      <c r="N54" s="21">
        <v>55</v>
      </c>
      <c r="O54" s="21">
        <v>68</v>
      </c>
      <c r="P54" s="21">
        <v>60</v>
      </c>
      <c r="Q54" s="21">
        <v>56</v>
      </c>
      <c r="R54" s="21">
        <v>34</v>
      </c>
      <c r="S54" s="21">
        <v>0</v>
      </c>
      <c r="T54" s="21">
        <v>53</v>
      </c>
      <c r="U54" s="6">
        <f t="shared" si="1"/>
        <v>2.5277144000000011</v>
      </c>
      <c r="V54">
        <f t="shared" si="5"/>
        <v>3.248676000000001</v>
      </c>
      <c r="W54" s="6">
        <f t="shared" si="2"/>
        <v>2.13</v>
      </c>
      <c r="X54">
        <f t="shared" si="3"/>
        <v>18.738209600000005</v>
      </c>
      <c r="Y54" t="str">
        <f t="shared" si="4"/>
        <v>CRAP</v>
      </c>
    </row>
    <row r="55" spans="1:25" ht="13.5" customHeight="1" thickBot="1" x14ac:dyDescent="0.35">
      <c r="A55">
        <f t="shared" si="0"/>
        <v>47.155150468123054</v>
      </c>
      <c r="B55" s="20">
        <v>168</v>
      </c>
      <c r="C55" s="13" t="s">
        <v>196</v>
      </c>
      <c r="D55" s="21" t="s">
        <v>16</v>
      </c>
      <c r="E55" s="21" t="s">
        <v>20</v>
      </c>
      <c r="F55" s="21" t="s">
        <v>20</v>
      </c>
      <c r="G55" s="21">
        <v>22</v>
      </c>
      <c r="H55" s="21">
        <v>41</v>
      </c>
      <c r="I55" s="21">
        <v>22</v>
      </c>
      <c r="J55" s="21">
        <v>78</v>
      </c>
      <c r="K55" s="21">
        <v>59</v>
      </c>
      <c r="L55" s="21">
        <v>31</v>
      </c>
      <c r="M55" s="21">
        <v>44</v>
      </c>
      <c r="N55" s="21">
        <v>78</v>
      </c>
      <c r="O55" s="21">
        <v>49</v>
      </c>
      <c r="P55" s="21">
        <v>68</v>
      </c>
      <c r="Q55" s="21">
        <v>13</v>
      </c>
      <c r="R55" s="21">
        <v>5</v>
      </c>
      <c r="S55" s="21">
        <v>0</v>
      </c>
      <c r="T55" s="21">
        <v>49</v>
      </c>
      <c r="U55" s="6">
        <f t="shared" si="1"/>
        <v>2.7596166000000006</v>
      </c>
      <c r="V55">
        <f t="shared" si="5"/>
        <v>2.2972870000000007</v>
      </c>
      <c r="W55" s="6">
        <f t="shared" si="2"/>
        <v>1.29</v>
      </c>
      <c r="X55">
        <f t="shared" si="3"/>
        <v>16.923040400000005</v>
      </c>
      <c r="Y55" t="str">
        <f t="shared" si="4"/>
        <v>CRAP</v>
      </c>
    </row>
    <row r="56" spans="1:25" ht="13.5" customHeight="1" thickBot="1" x14ac:dyDescent="0.35">
      <c r="A56">
        <f t="shared" si="0"/>
        <v>53.940387873383862</v>
      </c>
      <c r="B56" s="20">
        <v>50</v>
      </c>
      <c r="C56" s="13" t="s">
        <v>78</v>
      </c>
      <c r="D56" s="21" t="s">
        <v>16</v>
      </c>
      <c r="E56" s="21" t="s">
        <v>21</v>
      </c>
      <c r="F56" s="21" t="s">
        <v>19</v>
      </c>
      <c r="G56" s="21">
        <v>18</v>
      </c>
      <c r="H56" s="21">
        <v>34</v>
      </c>
      <c r="I56" s="21">
        <v>71</v>
      </c>
      <c r="J56" s="21">
        <v>40</v>
      </c>
      <c r="K56" s="21">
        <v>44</v>
      </c>
      <c r="L56" s="21">
        <v>74</v>
      </c>
      <c r="M56" s="21">
        <v>46</v>
      </c>
      <c r="N56" s="21">
        <v>35</v>
      </c>
      <c r="O56" s="21">
        <v>97</v>
      </c>
      <c r="P56" s="21">
        <v>65</v>
      </c>
      <c r="Q56" s="21">
        <v>38</v>
      </c>
      <c r="R56" s="21">
        <v>0</v>
      </c>
      <c r="S56" s="21">
        <v>0</v>
      </c>
      <c r="T56" s="21">
        <v>61</v>
      </c>
      <c r="U56" s="6">
        <f t="shared" si="1"/>
        <v>2.2601796000000003</v>
      </c>
      <c r="V56">
        <f t="shared" si="5"/>
        <v>3.5687040000000008</v>
      </c>
      <c r="W56" s="6">
        <f t="shared" si="2"/>
        <v>3.18</v>
      </c>
      <c r="X56">
        <f t="shared" si="3"/>
        <v>19.358126400000003</v>
      </c>
      <c r="Y56" t="str">
        <f t="shared" si="4"/>
        <v>SP</v>
      </c>
    </row>
    <row r="57" spans="1:25" ht="13.5" customHeight="1" thickBot="1" x14ac:dyDescent="0.35">
      <c r="A57">
        <f t="shared" si="0"/>
        <v>49.058911056620602</v>
      </c>
      <c r="B57" s="20">
        <v>70</v>
      </c>
      <c r="C57" s="13" t="s">
        <v>98</v>
      </c>
      <c r="D57" s="21" t="s">
        <v>16</v>
      </c>
      <c r="E57" s="21" t="s">
        <v>19</v>
      </c>
      <c r="F57" s="21" t="s">
        <v>19</v>
      </c>
      <c r="G57" s="21">
        <v>18</v>
      </c>
      <c r="H57" s="21">
        <v>38</v>
      </c>
      <c r="I57" s="21">
        <v>88</v>
      </c>
      <c r="J57" s="21">
        <v>84</v>
      </c>
      <c r="K57" s="21">
        <v>30</v>
      </c>
      <c r="L57" s="21">
        <v>21</v>
      </c>
      <c r="M57" s="21">
        <v>76</v>
      </c>
      <c r="N57" s="21">
        <v>49</v>
      </c>
      <c r="O57" s="21">
        <v>61</v>
      </c>
      <c r="P57" s="21">
        <v>46</v>
      </c>
      <c r="Q57" s="21">
        <v>27</v>
      </c>
      <c r="R57" s="21">
        <v>27</v>
      </c>
      <c r="S57" s="21">
        <v>0</v>
      </c>
      <c r="T57" s="21">
        <v>57</v>
      </c>
      <c r="U57" s="6">
        <f t="shared" si="1"/>
        <v>2.3291490000000006</v>
      </c>
      <c r="V57">
        <f t="shared" si="5"/>
        <v>2.1948330000000005</v>
      </c>
      <c r="W57" s="6">
        <f t="shared" si="2"/>
        <v>3.9</v>
      </c>
      <c r="X57">
        <f t="shared" si="3"/>
        <v>17.606262000000001</v>
      </c>
      <c r="Y57" t="str">
        <f t="shared" si="4"/>
        <v>SP</v>
      </c>
    </row>
    <row r="58" spans="1:25" ht="13.5" customHeight="1" thickBot="1" x14ac:dyDescent="0.35">
      <c r="A58">
        <f t="shared" si="0"/>
        <v>49.494079358002672</v>
      </c>
      <c r="B58" s="18">
        <v>159</v>
      </c>
      <c r="C58" s="12" t="s">
        <v>187</v>
      </c>
      <c r="D58" s="19" t="s">
        <v>16</v>
      </c>
      <c r="E58" s="19" t="s">
        <v>19</v>
      </c>
      <c r="F58" s="19" t="s">
        <v>19</v>
      </c>
      <c r="G58" s="19">
        <v>19</v>
      </c>
      <c r="H58" s="19">
        <v>60</v>
      </c>
      <c r="I58" s="19">
        <v>33</v>
      </c>
      <c r="J58" s="19">
        <v>93</v>
      </c>
      <c r="K58" s="19">
        <v>40</v>
      </c>
      <c r="L58" s="19">
        <v>28</v>
      </c>
      <c r="M58" s="19">
        <v>75</v>
      </c>
      <c r="N58" s="19">
        <v>52</v>
      </c>
      <c r="O58" s="19">
        <v>56</v>
      </c>
      <c r="P58" s="19">
        <v>69</v>
      </c>
      <c r="Q58" s="19">
        <v>0</v>
      </c>
      <c r="R58" s="19">
        <v>0</v>
      </c>
      <c r="S58" s="19">
        <v>0</v>
      </c>
      <c r="T58" s="19">
        <v>53</v>
      </c>
      <c r="U58" s="6">
        <f t="shared" si="1"/>
        <v>2.7043188000000002</v>
      </c>
      <c r="V58">
        <f t="shared" si="5"/>
        <v>2.5125800000000007</v>
      </c>
      <c r="W58" s="6">
        <f t="shared" si="2"/>
        <v>1.92</v>
      </c>
      <c r="X58">
        <f t="shared" si="3"/>
        <v>17.762435200000002</v>
      </c>
      <c r="Y58" t="str">
        <f t="shared" si="4"/>
        <v>RP</v>
      </c>
    </row>
    <row r="59" spans="1:25" ht="13.5" customHeight="1" thickBot="1" x14ac:dyDescent="0.35">
      <c r="A59">
        <f t="shared" si="0"/>
        <v>50.493529870708876</v>
      </c>
      <c r="B59" s="18">
        <v>107</v>
      </c>
      <c r="C59" s="12" t="s">
        <v>135</v>
      </c>
      <c r="D59" s="19" t="s">
        <v>16</v>
      </c>
      <c r="E59" s="19" t="s">
        <v>19</v>
      </c>
      <c r="F59" s="19" t="s">
        <v>19</v>
      </c>
      <c r="G59" s="19">
        <v>18</v>
      </c>
      <c r="H59" s="19">
        <v>29</v>
      </c>
      <c r="I59" s="19">
        <v>81</v>
      </c>
      <c r="J59" s="19">
        <v>74</v>
      </c>
      <c r="K59" s="19">
        <v>15</v>
      </c>
      <c r="L59" s="19">
        <v>31</v>
      </c>
      <c r="M59" s="19">
        <v>34</v>
      </c>
      <c r="N59" s="19">
        <v>50</v>
      </c>
      <c r="O59" s="19">
        <v>74</v>
      </c>
      <c r="P59" s="19">
        <v>61</v>
      </c>
      <c r="Q59" s="19">
        <v>40</v>
      </c>
      <c r="R59" s="19">
        <v>38</v>
      </c>
      <c r="S59" s="19">
        <v>27</v>
      </c>
      <c r="T59" s="19">
        <v>49</v>
      </c>
      <c r="U59" s="6">
        <f t="shared" si="1"/>
        <v>2.0139334000000004</v>
      </c>
      <c r="V59">
        <f t="shared" si="5"/>
        <v>3.2676922000000004</v>
      </c>
      <c r="W59" s="6">
        <f t="shared" si="2"/>
        <v>3.53</v>
      </c>
      <c r="X59">
        <f t="shared" si="3"/>
        <v>18.121118000000003</v>
      </c>
      <c r="Y59" t="str">
        <f t="shared" si="4"/>
        <v>SP</v>
      </c>
    </row>
    <row r="60" spans="1:25" ht="13.5" customHeight="1" thickBot="1" x14ac:dyDescent="0.35">
      <c r="A60">
        <f t="shared" si="0"/>
        <v>49.403553276861359</v>
      </c>
      <c r="B60" s="18">
        <v>95</v>
      </c>
      <c r="C60" s="12" t="s">
        <v>123</v>
      </c>
      <c r="D60" s="19" t="s">
        <v>16</v>
      </c>
      <c r="E60" s="19" t="s">
        <v>20</v>
      </c>
      <c r="F60" s="19" t="s">
        <v>20</v>
      </c>
      <c r="G60" s="19">
        <v>18</v>
      </c>
      <c r="H60" s="19">
        <v>81</v>
      </c>
      <c r="I60" s="19">
        <v>22</v>
      </c>
      <c r="J60" s="19">
        <v>84</v>
      </c>
      <c r="K60" s="19">
        <v>34</v>
      </c>
      <c r="L60" s="19">
        <v>32</v>
      </c>
      <c r="M60" s="19">
        <v>47</v>
      </c>
      <c r="N60" s="19">
        <v>50</v>
      </c>
      <c r="O60" s="19">
        <v>80</v>
      </c>
      <c r="P60" s="19">
        <v>66</v>
      </c>
      <c r="Q60" s="19">
        <v>0</v>
      </c>
      <c r="R60" s="19">
        <v>0</v>
      </c>
      <c r="S60" s="19">
        <v>0</v>
      </c>
      <c r="T60" s="19">
        <v>51</v>
      </c>
      <c r="U60" s="6">
        <f t="shared" si="1"/>
        <v>2.4736588000000008</v>
      </c>
      <c r="V60">
        <f t="shared" si="5"/>
        <v>3.0726560000000003</v>
      </c>
      <c r="W60" s="6">
        <f t="shared" si="2"/>
        <v>1.69</v>
      </c>
      <c r="X60">
        <f t="shared" si="3"/>
        <v>17.729947200000005</v>
      </c>
      <c r="Y60" t="str">
        <f t="shared" si="4"/>
        <v>RP</v>
      </c>
    </row>
    <row r="61" spans="1:25" ht="13.5" customHeight="1" thickBot="1" x14ac:dyDescent="0.35">
      <c r="A61">
        <f t="shared" si="0"/>
        <v>49.884152920196172</v>
      </c>
      <c r="B61" s="20">
        <v>102</v>
      </c>
      <c r="C61" s="13" t="s">
        <v>130</v>
      </c>
      <c r="D61" s="21" t="s">
        <v>16</v>
      </c>
      <c r="E61" s="21" t="s">
        <v>20</v>
      </c>
      <c r="F61" s="21" t="s">
        <v>20</v>
      </c>
      <c r="G61" s="21">
        <v>18</v>
      </c>
      <c r="H61" s="21">
        <v>63</v>
      </c>
      <c r="I61" s="21">
        <v>19</v>
      </c>
      <c r="J61" s="21">
        <v>83</v>
      </c>
      <c r="K61" s="21">
        <v>41</v>
      </c>
      <c r="L61" s="21">
        <v>32</v>
      </c>
      <c r="M61" s="21">
        <v>81</v>
      </c>
      <c r="N61" s="21">
        <v>36</v>
      </c>
      <c r="O61" s="21">
        <v>82</v>
      </c>
      <c r="P61" s="21">
        <v>55</v>
      </c>
      <c r="Q61" s="21">
        <v>37</v>
      </c>
      <c r="R61" s="21">
        <v>0</v>
      </c>
      <c r="S61" s="21">
        <v>0</v>
      </c>
      <c r="T61" s="21">
        <v>50</v>
      </c>
      <c r="U61" s="6">
        <f t="shared" si="1"/>
        <v>2.6020752000000011</v>
      </c>
      <c r="V61">
        <f t="shared" si="5"/>
        <v>3.0520620000000012</v>
      </c>
      <c r="W61" s="6">
        <f t="shared" si="2"/>
        <v>1.39</v>
      </c>
      <c r="X61">
        <f t="shared" si="3"/>
        <v>17.902424800000006</v>
      </c>
      <c r="Y61" t="str">
        <f t="shared" si="4"/>
        <v>RP</v>
      </c>
    </row>
    <row r="62" spans="1:25" ht="13.5" customHeight="1" thickBot="1" x14ac:dyDescent="0.35">
      <c r="A62">
        <f t="shared" si="0"/>
        <v>50.773837494427113</v>
      </c>
      <c r="B62" s="20">
        <v>74</v>
      </c>
      <c r="C62" s="13" t="s">
        <v>102</v>
      </c>
      <c r="D62" s="21" t="s">
        <v>16</v>
      </c>
      <c r="E62" s="21" t="s">
        <v>19</v>
      </c>
      <c r="F62" s="21" t="s">
        <v>19</v>
      </c>
      <c r="G62" s="21">
        <v>18</v>
      </c>
      <c r="H62" s="21">
        <v>30</v>
      </c>
      <c r="I62" s="21">
        <v>69</v>
      </c>
      <c r="J62" s="21">
        <v>57</v>
      </c>
      <c r="K62" s="21">
        <v>37</v>
      </c>
      <c r="L62" s="21">
        <v>42</v>
      </c>
      <c r="M62" s="21">
        <v>79</v>
      </c>
      <c r="N62" s="21">
        <v>42</v>
      </c>
      <c r="O62" s="21">
        <v>64</v>
      </c>
      <c r="P62" s="21">
        <v>79</v>
      </c>
      <c r="Q62" s="21">
        <v>40</v>
      </c>
      <c r="R62" s="21">
        <v>35</v>
      </c>
      <c r="S62" s="21">
        <v>0</v>
      </c>
      <c r="T62" s="21">
        <v>56</v>
      </c>
      <c r="U62" s="6">
        <f t="shared" si="1"/>
        <v>2.0850672000000006</v>
      </c>
      <c r="V62">
        <f t="shared" si="5"/>
        <v>3.4107230000000013</v>
      </c>
      <c r="W62" s="6">
        <f t="shared" si="2"/>
        <v>3.06</v>
      </c>
      <c r="X62">
        <f t="shared" si="3"/>
        <v>18.221714800000004</v>
      </c>
      <c r="Y62" t="str">
        <f t="shared" si="4"/>
        <v>SP</v>
      </c>
    </row>
    <row r="63" spans="1:25" ht="13.5" customHeight="1" thickBot="1" x14ac:dyDescent="0.35">
      <c r="A63">
        <f t="shared" si="0"/>
        <v>47.932458760588496</v>
      </c>
      <c r="B63" s="20">
        <v>126</v>
      </c>
      <c r="C63" s="13" t="s">
        <v>154</v>
      </c>
      <c r="D63" s="21" t="s">
        <v>16</v>
      </c>
      <c r="E63" s="21" t="s">
        <v>19</v>
      </c>
      <c r="F63" s="21" t="s">
        <v>19</v>
      </c>
      <c r="G63" s="21">
        <v>18</v>
      </c>
      <c r="H63" s="21">
        <v>36</v>
      </c>
      <c r="I63" s="21">
        <v>24</v>
      </c>
      <c r="J63" s="21">
        <v>81</v>
      </c>
      <c r="K63" s="21">
        <v>34</v>
      </c>
      <c r="L63" s="21">
        <v>36</v>
      </c>
      <c r="M63" s="21">
        <v>58</v>
      </c>
      <c r="N63" s="21">
        <v>52</v>
      </c>
      <c r="O63" s="21">
        <v>62</v>
      </c>
      <c r="P63" s="21">
        <v>53</v>
      </c>
      <c r="Q63" s="21">
        <v>48</v>
      </c>
      <c r="R63" s="21">
        <v>45</v>
      </c>
      <c r="S63" s="21">
        <v>31</v>
      </c>
      <c r="T63" s="21">
        <v>45</v>
      </c>
      <c r="U63" s="6">
        <f t="shared" si="1"/>
        <v>2.5295640000000001</v>
      </c>
      <c r="V63">
        <f t="shared" si="5"/>
        <v>2.8818724000000007</v>
      </c>
      <c r="W63" s="6">
        <f t="shared" si="2"/>
        <v>1.32</v>
      </c>
      <c r="X63">
        <f t="shared" si="3"/>
        <v>17.2020008</v>
      </c>
      <c r="Y63" t="str">
        <f t="shared" si="4"/>
        <v>CRAP</v>
      </c>
    </row>
    <row r="64" spans="1:25" ht="13.5" customHeight="1" thickBot="1" x14ac:dyDescent="0.35">
      <c r="A64">
        <f t="shared" si="0"/>
        <v>44.869879625501568</v>
      </c>
      <c r="B64" s="18">
        <v>99</v>
      </c>
      <c r="C64" s="12" t="s">
        <v>127</v>
      </c>
      <c r="D64" s="19" t="s">
        <v>16</v>
      </c>
      <c r="E64" s="19" t="s">
        <v>19</v>
      </c>
      <c r="F64" s="19" t="s">
        <v>19</v>
      </c>
      <c r="G64" s="19">
        <v>18</v>
      </c>
      <c r="H64" s="19">
        <v>86</v>
      </c>
      <c r="I64" s="19">
        <v>22</v>
      </c>
      <c r="J64" s="19">
        <v>42</v>
      </c>
      <c r="K64" s="19">
        <v>34</v>
      </c>
      <c r="L64" s="19">
        <v>36</v>
      </c>
      <c r="M64" s="19">
        <v>58</v>
      </c>
      <c r="N64" s="19">
        <v>84</v>
      </c>
      <c r="O64" s="19">
        <v>85</v>
      </c>
      <c r="P64" s="19">
        <v>77</v>
      </c>
      <c r="Q64" s="19">
        <v>64</v>
      </c>
      <c r="R64" s="19">
        <v>0</v>
      </c>
      <c r="S64" s="19">
        <v>0</v>
      </c>
      <c r="T64" s="19">
        <v>50</v>
      </c>
      <c r="U64" s="6">
        <f t="shared" si="1"/>
        <v>1.5369456000000001</v>
      </c>
      <c r="V64">
        <f t="shared" si="5"/>
        <v>4.1075600000000012</v>
      </c>
      <c r="W64" s="6">
        <f t="shared" si="2"/>
        <v>1.74</v>
      </c>
      <c r="X64">
        <f t="shared" si="3"/>
        <v>16.102902400000001</v>
      </c>
      <c r="Y64" t="str">
        <f t="shared" si="4"/>
        <v>RP</v>
      </c>
    </row>
    <row r="65" spans="1:25" ht="13.5" customHeight="1" thickBot="1" x14ac:dyDescent="0.35">
      <c r="A65">
        <f t="shared" si="0"/>
        <v>47.651897012929119</v>
      </c>
      <c r="B65" s="18">
        <v>123</v>
      </c>
      <c r="C65" s="12" t="s">
        <v>151</v>
      </c>
      <c r="D65" s="19" t="s">
        <v>16</v>
      </c>
      <c r="E65" s="19" t="s">
        <v>19</v>
      </c>
      <c r="F65" s="19" t="s">
        <v>19</v>
      </c>
      <c r="G65" s="19">
        <v>18</v>
      </c>
      <c r="H65" s="19">
        <v>39</v>
      </c>
      <c r="I65" s="19">
        <v>31</v>
      </c>
      <c r="J65" s="19">
        <v>86</v>
      </c>
      <c r="K65" s="19">
        <v>30</v>
      </c>
      <c r="L65" s="19">
        <v>35</v>
      </c>
      <c r="M65" s="19">
        <v>25</v>
      </c>
      <c r="N65" s="19">
        <v>43</v>
      </c>
      <c r="O65" s="19">
        <v>79</v>
      </c>
      <c r="P65" s="19">
        <v>51</v>
      </c>
      <c r="Q65" s="19">
        <v>36</v>
      </c>
      <c r="R65" s="19">
        <v>0</v>
      </c>
      <c r="S65" s="19">
        <v>0</v>
      </c>
      <c r="T65" s="19">
        <v>46</v>
      </c>
      <c r="U65" s="6">
        <f t="shared" si="1"/>
        <v>2.439864200000001</v>
      </c>
      <c r="V65">
        <f t="shared" si="5"/>
        <v>2.8559280000000005</v>
      </c>
      <c r="W65" s="6">
        <f t="shared" si="2"/>
        <v>1.63</v>
      </c>
      <c r="X65">
        <f t="shared" si="3"/>
        <v>17.101312800000006</v>
      </c>
      <c r="Y65" t="str">
        <f t="shared" si="4"/>
        <v>CRAP</v>
      </c>
    </row>
    <row r="66" spans="1:25" ht="13.5" customHeight="1" thickBot="1" x14ac:dyDescent="0.35">
      <c r="A66">
        <f t="shared" si="0"/>
        <v>48.25161948283548</v>
      </c>
      <c r="B66" s="18">
        <v>101</v>
      </c>
      <c r="C66" s="12" t="s">
        <v>129</v>
      </c>
      <c r="D66" s="19" t="s">
        <v>16</v>
      </c>
      <c r="E66" s="19" t="s">
        <v>19</v>
      </c>
      <c r="F66" s="19" t="s">
        <v>19</v>
      </c>
      <c r="G66" s="19">
        <v>18</v>
      </c>
      <c r="H66" s="19">
        <v>19</v>
      </c>
      <c r="I66" s="19">
        <v>61</v>
      </c>
      <c r="J66" s="19">
        <v>61</v>
      </c>
      <c r="K66" s="19">
        <v>37</v>
      </c>
      <c r="L66" s="19">
        <v>27</v>
      </c>
      <c r="M66" s="19">
        <v>74</v>
      </c>
      <c r="N66" s="19">
        <v>53</v>
      </c>
      <c r="O66" s="19">
        <v>70</v>
      </c>
      <c r="P66" s="19">
        <v>66</v>
      </c>
      <c r="Q66" s="19">
        <v>51</v>
      </c>
      <c r="R66" s="19">
        <v>36</v>
      </c>
      <c r="S66" s="19">
        <v>31</v>
      </c>
      <c r="T66" s="19">
        <v>50</v>
      </c>
      <c r="U66" s="6">
        <f t="shared" si="1"/>
        <v>1.9374706000000002</v>
      </c>
      <c r="V66">
        <f t="shared" si="5"/>
        <v>3.4683294000000005</v>
      </c>
      <c r="W66" s="6">
        <f t="shared" si="2"/>
        <v>2.63</v>
      </c>
      <c r="X66">
        <f t="shared" si="3"/>
        <v>17.3165412</v>
      </c>
      <c r="Y66" t="str">
        <f t="shared" si="4"/>
        <v>SP</v>
      </c>
    </row>
    <row r="67" spans="1:25" ht="13.5" customHeight="1" thickBot="1" x14ac:dyDescent="0.35">
      <c r="A67">
        <f t="shared" si="0"/>
        <v>50.601256130182797</v>
      </c>
      <c r="B67" s="20">
        <v>144</v>
      </c>
      <c r="C67" s="13" t="s">
        <v>172</v>
      </c>
      <c r="D67" s="21" t="s">
        <v>16</v>
      </c>
      <c r="E67" s="21" t="s">
        <v>19</v>
      </c>
      <c r="F67" s="21" t="s">
        <v>19</v>
      </c>
      <c r="G67" s="21">
        <v>22</v>
      </c>
      <c r="H67" s="21">
        <v>37</v>
      </c>
      <c r="I67" s="21">
        <v>70</v>
      </c>
      <c r="J67" s="21">
        <v>59</v>
      </c>
      <c r="K67" s="21">
        <v>72</v>
      </c>
      <c r="L67" s="21">
        <v>33</v>
      </c>
      <c r="M67" s="21">
        <v>53</v>
      </c>
      <c r="N67" s="21">
        <v>35</v>
      </c>
      <c r="O67" s="21">
        <v>49</v>
      </c>
      <c r="P67" s="21">
        <v>62</v>
      </c>
      <c r="Q67" s="21">
        <v>63</v>
      </c>
      <c r="R67" s="21">
        <v>7</v>
      </c>
      <c r="S67" s="21">
        <v>0</v>
      </c>
      <c r="T67" s="21">
        <v>59</v>
      </c>
      <c r="U67" s="6">
        <f t="shared" si="1"/>
        <v>2.3751822000000002</v>
      </c>
      <c r="V67">
        <f t="shared" si="5"/>
        <v>2.7445250000000012</v>
      </c>
      <c r="W67" s="6">
        <f t="shared" si="2"/>
        <v>3.17</v>
      </c>
      <c r="X67">
        <f t="shared" si="3"/>
        <v>18.159778800000005</v>
      </c>
      <c r="Y67" t="str">
        <f t="shared" si="4"/>
        <v>SP</v>
      </c>
    </row>
    <row r="68" spans="1:25" ht="13.5" customHeight="1" thickBot="1" x14ac:dyDescent="0.35">
      <c r="A68">
        <f t="shared" si="0"/>
        <v>48.427737405260807</v>
      </c>
      <c r="B68" s="18">
        <v>135</v>
      </c>
      <c r="C68" s="12" t="s">
        <v>163</v>
      </c>
      <c r="D68" s="19" t="s">
        <v>16</v>
      </c>
      <c r="E68" s="19" t="s">
        <v>20</v>
      </c>
      <c r="F68" s="19" t="s">
        <v>20</v>
      </c>
      <c r="G68" s="19">
        <v>18</v>
      </c>
      <c r="H68" s="19">
        <v>33</v>
      </c>
      <c r="I68" s="19">
        <v>28</v>
      </c>
      <c r="J68" s="19">
        <v>89</v>
      </c>
      <c r="K68" s="19">
        <v>38</v>
      </c>
      <c r="L68" s="19">
        <v>31</v>
      </c>
      <c r="M68" s="19">
        <v>35</v>
      </c>
      <c r="N68" s="19">
        <v>41</v>
      </c>
      <c r="O68" s="19">
        <v>68</v>
      </c>
      <c r="P68" s="19">
        <v>57</v>
      </c>
      <c r="Q68" s="19">
        <v>46</v>
      </c>
      <c r="R68" s="19">
        <v>0</v>
      </c>
      <c r="S68" s="19">
        <v>0</v>
      </c>
      <c r="T68" s="19">
        <v>44</v>
      </c>
      <c r="U68" s="6">
        <f t="shared" si="1"/>
        <v>2.5319026</v>
      </c>
      <c r="V68">
        <f t="shared" si="5"/>
        <v>2.9010680000000009</v>
      </c>
      <c r="W68" s="6">
        <f t="shared" si="2"/>
        <v>1.45</v>
      </c>
      <c r="X68">
        <f t="shared" si="3"/>
        <v>17.379746400000002</v>
      </c>
      <c r="Y68" t="str">
        <f t="shared" si="4"/>
        <v>CRAP</v>
      </c>
    </row>
    <row r="69" spans="1:25" ht="13.5" customHeight="1" thickBot="1" x14ac:dyDescent="0.35">
      <c r="A69">
        <f t="shared" si="0"/>
        <v>44.952518947837724</v>
      </c>
      <c r="B69" s="20">
        <v>110</v>
      </c>
      <c r="C69" s="13" t="s">
        <v>138</v>
      </c>
      <c r="D69" s="21" t="s">
        <v>16</v>
      </c>
      <c r="E69" s="21" t="s">
        <v>20</v>
      </c>
      <c r="F69" s="21" t="s">
        <v>20</v>
      </c>
      <c r="G69" s="21">
        <v>18</v>
      </c>
      <c r="H69" s="21">
        <v>48</v>
      </c>
      <c r="I69" s="21">
        <v>25</v>
      </c>
      <c r="J69" s="21">
        <v>53</v>
      </c>
      <c r="K69" s="21">
        <v>37</v>
      </c>
      <c r="L69" s="21">
        <v>38</v>
      </c>
      <c r="M69" s="21">
        <v>37</v>
      </c>
      <c r="N69" s="21">
        <v>68</v>
      </c>
      <c r="O69" s="21">
        <v>82</v>
      </c>
      <c r="P69" s="21">
        <v>68</v>
      </c>
      <c r="Q69" s="21">
        <v>52</v>
      </c>
      <c r="R69" s="21">
        <v>0</v>
      </c>
      <c r="S69" s="21">
        <v>0</v>
      </c>
      <c r="T69" s="21">
        <v>48</v>
      </c>
      <c r="U69" s="6">
        <f t="shared" si="1"/>
        <v>1.8409480000000003</v>
      </c>
      <c r="V69">
        <f t="shared" si="5"/>
        <v>3.6443840000000014</v>
      </c>
      <c r="W69" s="6">
        <f t="shared" si="2"/>
        <v>1.48</v>
      </c>
      <c r="X69">
        <f t="shared" si="3"/>
        <v>16.132560000000005</v>
      </c>
      <c r="Y69" t="str">
        <f t="shared" si="4"/>
        <v>RP</v>
      </c>
    </row>
    <row r="70" spans="1:25" ht="13.5" customHeight="1" thickBot="1" x14ac:dyDescent="0.35">
      <c r="A70">
        <f t="shared" ref="A70:A133" si="6">(W70*H$2+U70*J$2+V70*O$2)*100/(W$4*H$2+U$4*J$2+V$4*O$2)</f>
        <v>44.798673651359792</v>
      </c>
      <c r="B70" s="18">
        <v>121</v>
      </c>
      <c r="C70" s="12" t="s">
        <v>149</v>
      </c>
      <c r="D70" s="19" t="s">
        <v>16</v>
      </c>
      <c r="E70" s="19" t="s">
        <v>19</v>
      </c>
      <c r="F70" s="19" t="s">
        <v>19</v>
      </c>
      <c r="G70" s="19">
        <v>18</v>
      </c>
      <c r="H70" s="19">
        <v>60</v>
      </c>
      <c r="I70" s="19">
        <v>20</v>
      </c>
      <c r="J70" s="19">
        <v>63</v>
      </c>
      <c r="K70" s="19">
        <v>42</v>
      </c>
      <c r="L70" s="19">
        <v>36</v>
      </c>
      <c r="M70" s="19">
        <v>50</v>
      </c>
      <c r="N70" s="19">
        <v>60</v>
      </c>
      <c r="O70" s="19">
        <v>66</v>
      </c>
      <c r="P70" s="19">
        <v>64</v>
      </c>
      <c r="Q70" s="19">
        <v>41</v>
      </c>
      <c r="R70" s="19">
        <v>0</v>
      </c>
      <c r="S70" s="19">
        <v>0</v>
      </c>
      <c r="T70" s="19">
        <v>46</v>
      </c>
      <c r="U70" s="6">
        <f t="shared" ref="U70:U133" si="7">J$1*((-2*10^-6)*J70^3+0.00032*J70^2-0.0021*J70)+K$1*((-2*10^-6)*K70^3+0.00032*K70^2-0.0021*K70)+L$1*((-2*10^-6)*L70^3+0.00032*L70^2-0.0021*L70)+M$1*((-2*10^-6)*M70^3+0.00032*M70^2-0.0021*M70)+N$1*((-2*10^-6)*N70^3+0.00032*N70^2-0.0021*N70)</f>
        <v>2.1799880000000007</v>
      </c>
      <c r="V70">
        <f t="shared" si="5"/>
        <v>2.9786980000000005</v>
      </c>
      <c r="W70" s="6">
        <f t="shared" ref="W70:W133" si="8">(H$1*H70+I$1*I70)/100</f>
        <v>1.4</v>
      </c>
      <c r="X70">
        <f t="shared" ref="X70:X133" si="9">U70*J$2+V70*O$2+W70*H$2</f>
        <v>16.077348000000004</v>
      </c>
      <c r="Y70" t="str">
        <f t="shared" ref="Y70:Y133" si="10">IF(AND(I70&gt;50,H70+I70&gt;75),"SP",IF(2*H70+I70&gt;120,"RP","CRAP"))</f>
        <v>RP</v>
      </c>
    </row>
    <row r="71" spans="1:25" ht="13.5" customHeight="1" thickBot="1" x14ac:dyDescent="0.35">
      <c r="A71">
        <f t="shared" si="6"/>
        <v>46.263850869371375</v>
      </c>
      <c r="B71" s="18">
        <v>113</v>
      </c>
      <c r="C71" s="12" t="s">
        <v>141</v>
      </c>
      <c r="D71" s="19" t="s">
        <v>16</v>
      </c>
      <c r="E71" s="19" t="s">
        <v>20</v>
      </c>
      <c r="F71" s="19" t="s">
        <v>20</v>
      </c>
      <c r="G71" s="19">
        <v>18</v>
      </c>
      <c r="H71" s="19">
        <v>35</v>
      </c>
      <c r="I71" s="19">
        <v>62</v>
      </c>
      <c r="J71" s="19">
        <v>70</v>
      </c>
      <c r="K71" s="19">
        <v>32</v>
      </c>
      <c r="L71" s="19">
        <v>20</v>
      </c>
      <c r="M71" s="19">
        <v>37</v>
      </c>
      <c r="N71" s="19">
        <v>49</v>
      </c>
      <c r="O71" s="19">
        <v>69</v>
      </c>
      <c r="P71" s="19">
        <v>61</v>
      </c>
      <c r="Q71" s="19">
        <v>45</v>
      </c>
      <c r="R71" s="19">
        <v>21</v>
      </c>
      <c r="S71" s="19">
        <v>0</v>
      </c>
      <c r="T71" s="19">
        <v>48</v>
      </c>
      <c r="U71" s="6">
        <f t="shared" si="7"/>
        <v>1.9077832000000003</v>
      </c>
      <c r="V71">
        <f t="shared" ref="V71:V134" si="11">O$1*((-2*10^-6)*O71^3+0.00032*O71^2-0.0021*O71)+P$1*((-2*10^-6)*P71^3+0.00032*P71^2-0.0021*P71)+Q$1*((-2*10^-6)*Q71^3+0.00032*Q71^2-0.0021*Q71)+R$1*((-2*10^-6)*R71^3+0.00032*R71^2-0.0021*R71)+S$1*((-2*10^-6)*S71^3+0.00032*S71^2-0.0021*S71)</f>
        <v>3.0710190000000002</v>
      </c>
      <c r="W71" s="6">
        <f t="shared" si="8"/>
        <v>2.83</v>
      </c>
      <c r="X71">
        <f t="shared" si="9"/>
        <v>16.603170800000001</v>
      </c>
      <c r="Y71" t="str">
        <f t="shared" si="10"/>
        <v>SP</v>
      </c>
    </row>
    <row r="72" spans="1:25" ht="13.5" customHeight="1" thickBot="1" x14ac:dyDescent="0.35">
      <c r="A72">
        <f t="shared" si="6"/>
        <v>43.734448283548815</v>
      </c>
      <c r="B72" s="18">
        <v>157</v>
      </c>
      <c r="C72" s="12" t="s">
        <v>185</v>
      </c>
      <c r="D72" s="19" t="s">
        <v>16</v>
      </c>
      <c r="E72" s="19" t="s">
        <v>21</v>
      </c>
      <c r="F72" s="19" t="s">
        <v>19</v>
      </c>
      <c r="G72" s="19">
        <v>19</v>
      </c>
      <c r="H72" s="19">
        <v>21</v>
      </c>
      <c r="I72" s="19">
        <v>83</v>
      </c>
      <c r="J72" s="19">
        <v>33</v>
      </c>
      <c r="K72" s="19">
        <v>36</v>
      </c>
      <c r="L72" s="19">
        <v>45</v>
      </c>
      <c r="M72" s="19">
        <v>66</v>
      </c>
      <c r="N72" s="19">
        <v>61</v>
      </c>
      <c r="O72" s="19">
        <v>78</v>
      </c>
      <c r="P72" s="19">
        <v>43</v>
      </c>
      <c r="Q72" s="19">
        <v>61</v>
      </c>
      <c r="R72" s="19">
        <v>43</v>
      </c>
      <c r="S72" s="19">
        <v>0</v>
      </c>
      <c r="T72" s="19">
        <v>53</v>
      </c>
      <c r="U72" s="6">
        <f t="shared" si="7"/>
        <v>1.4750922</v>
      </c>
      <c r="V72">
        <f t="shared" si="11"/>
        <v>3.1325250000000011</v>
      </c>
      <c r="W72" s="6">
        <f t="shared" si="8"/>
        <v>3.53</v>
      </c>
      <c r="X72">
        <f t="shared" si="9"/>
        <v>15.695418800000001</v>
      </c>
      <c r="Y72" t="str">
        <f t="shared" si="10"/>
        <v>SP</v>
      </c>
    </row>
    <row r="73" spans="1:25" ht="13.5" customHeight="1" thickBot="1" x14ac:dyDescent="0.35">
      <c r="A73">
        <f t="shared" si="6"/>
        <v>39.6001872492198</v>
      </c>
      <c r="B73" s="20">
        <v>158</v>
      </c>
      <c r="C73" s="13" t="s">
        <v>186</v>
      </c>
      <c r="D73" s="21" t="s">
        <v>16</v>
      </c>
      <c r="E73" s="21" t="s">
        <v>21</v>
      </c>
      <c r="F73" s="21" t="s">
        <v>19</v>
      </c>
      <c r="G73" s="21">
        <v>18</v>
      </c>
      <c r="H73" s="21">
        <v>71</v>
      </c>
      <c r="I73" s="21">
        <v>11</v>
      </c>
      <c r="J73" s="21">
        <v>65</v>
      </c>
      <c r="K73" s="21">
        <v>14</v>
      </c>
      <c r="L73" s="21">
        <v>24</v>
      </c>
      <c r="M73" s="21">
        <v>71</v>
      </c>
      <c r="N73" s="21">
        <v>78</v>
      </c>
      <c r="O73" s="21">
        <v>70</v>
      </c>
      <c r="P73" s="21">
        <v>67</v>
      </c>
      <c r="Q73" s="21">
        <v>0</v>
      </c>
      <c r="R73" s="21">
        <v>0</v>
      </c>
      <c r="S73" s="21">
        <v>0</v>
      </c>
      <c r="T73" s="21">
        <v>39</v>
      </c>
      <c r="U73" s="6">
        <f t="shared" si="7"/>
        <v>1.8361748000000004</v>
      </c>
      <c r="V73">
        <f t="shared" si="11"/>
        <v>2.8585080000000005</v>
      </c>
      <c r="W73" s="6">
        <f t="shared" si="8"/>
        <v>1.1499999999999999</v>
      </c>
      <c r="X73">
        <f t="shared" si="9"/>
        <v>14.211715200000002</v>
      </c>
      <c r="Y73" t="str">
        <f t="shared" si="10"/>
        <v>RP</v>
      </c>
    </row>
    <row r="74" spans="1:25" ht="13.5" customHeight="1" thickBot="1" x14ac:dyDescent="0.35">
      <c r="A74">
        <f t="shared" si="6"/>
        <v>37.680692153366032</v>
      </c>
      <c r="B74" s="20">
        <v>134</v>
      </c>
      <c r="C74" s="13" t="s">
        <v>162</v>
      </c>
      <c r="D74" s="21" t="s">
        <v>16</v>
      </c>
      <c r="E74" s="21" t="s">
        <v>20</v>
      </c>
      <c r="F74" s="21" t="s">
        <v>20</v>
      </c>
      <c r="G74" s="21">
        <v>18</v>
      </c>
      <c r="H74" s="21">
        <v>39</v>
      </c>
      <c r="I74" s="21">
        <v>49</v>
      </c>
      <c r="J74" s="21">
        <v>56</v>
      </c>
      <c r="K74" s="21">
        <v>32</v>
      </c>
      <c r="L74" s="21">
        <v>14</v>
      </c>
      <c r="M74" s="21">
        <v>30</v>
      </c>
      <c r="N74" s="21">
        <v>82</v>
      </c>
      <c r="O74" s="21">
        <v>79</v>
      </c>
      <c r="P74" s="21">
        <v>42</v>
      </c>
      <c r="Q74" s="21">
        <v>26</v>
      </c>
      <c r="R74" s="21">
        <v>24</v>
      </c>
      <c r="S74" s="21">
        <v>23</v>
      </c>
      <c r="T74" s="21">
        <v>44</v>
      </c>
      <c r="U74" s="6">
        <f t="shared" si="7"/>
        <v>1.5156168000000005</v>
      </c>
      <c r="V74">
        <f t="shared" si="11"/>
        <v>2.5551898000000008</v>
      </c>
      <c r="W74" s="6">
        <f t="shared" si="8"/>
        <v>2.35</v>
      </c>
      <c r="X74">
        <f t="shared" si="9"/>
        <v>13.522846800000003</v>
      </c>
      <c r="Y74" t="str">
        <f t="shared" si="10"/>
        <v>RP</v>
      </c>
    </row>
    <row r="75" spans="1:25" ht="13.5" customHeight="1" thickBot="1" x14ac:dyDescent="0.35">
      <c r="A75">
        <f t="shared" si="6"/>
        <v>42.115102541239409</v>
      </c>
      <c r="B75" s="18">
        <v>93</v>
      </c>
      <c r="C75" s="12" t="s">
        <v>121</v>
      </c>
      <c r="D75" s="19" t="s">
        <v>16</v>
      </c>
      <c r="E75" s="19" t="s">
        <v>20</v>
      </c>
      <c r="F75" s="19" t="s">
        <v>20</v>
      </c>
      <c r="G75" s="19">
        <v>18</v>
      </c>
      <c r="H75" s="19">
        <v>64</v>
      </c>
      <c r="I75" s="19">
        <v>43</v>
      </c>
      <c r="J75" s="19">
        <v>48</v>
      </c>
      <c r="K75" s="19">
        <v>31</v>
      </c>
      <c r="L75" s="19">
        <v>37</v>
      </c>
      <c r="M75" s="19">
        <v>29</v>
      </c>
      <c r="N75" s="19">
        <v>66</v>
      </c>
      <c r="O75" s="19">
        <v>73</v>
      </c>
      <c r="P75" s="19">
        <v>65</v>
      </c>
      <c r="Q75" s="19">
        <v>44</v>
      </c>
      <c r="R75" s="19">
        <v>0</v>
      </c>
      <c r="S75" s="19">
        <v>0</v>
      </c>
      <c r="T75" s="19">
        <v>52</v>
      </c>
      <c r="U75" s="6">
        <f t="shared" si="7"/>
        <v>1.5699950000000003</v>
      </c>
      <c r="V75">
        <f t="shared" si="11"/>
        <v>3.2371440000000007</v>
      </c>
      <c r="W75" s="6">
        <f t="shared" si="8"/>
        <v>2.36</v>
      </c>
      <c r="X75">
        <f t="shared" si="9"/>
        <v>15.114268000000003</v>
      </c>
      <c r="Y75" t="str">
        <f t="shared" si="10"/>
        <v>RP</v>
      </c>
    </row>
    <row r="76" spans="1:25" ht="13.5" customHeight="1" thickBot="1" x14ac:dyDescent="0.35">
      <c r="A76">
        <f t="shared" si="6"/>
        <v>46.910777975925093</v>
      </c>
      <c r="B76" s="20">
        <v>96</v>
      </c>
      <c r="C76" s="13" t="s">
        <v>124</v>
      </c>
      <c r="D76" s="21" t="s">
        <v>16</v>
      </c>
      <c r="E76" s="21" t="s">
        <v>20</v>
      </c>
      <c r="F76" s="21" t="s">
        <v>20</v>
      </c>
      <c r="G76" s="21">
        <v>18</v>
      </c>
      <c r="H76" s="21">
        <v>54</v>
      </c>
      <c r="I76" s="21">
        <v>48</v>
      </c>
      <c r="J76" s="21">
        <v>73</v>
      </c>
      <c r="K76" s="21">
        <v>23</v>
      </c>
      <c r="L76" s="21">
        <v>31</v>
      </c>
      <c r="M76" s="21">
        <v>74</v>
      </c>
      <c r="N76" s="21">
        <v>31</v>
      </c>
      <c r="O76" s="21">
        <v>67</v>
      </c>
      <c r="P76" s="21">
        <v>60</v>
      </c>
      <c r="Q76" s="21">
        <v>46</v>
      </c>
      <c r="R76" s="21">
        <v>0</v>
      </c>
      <c r="S76" s="21">
        <v>0</v>
      </c>
      <c r="T76" s="21">
        <v>51</v>
      </c>
      <c r="U76" s="6">
        <f t="shared" si="7"/>
        <v>2.1126570000000005</v>
      </c>
      <c r="V76">
        <f t="shared" si="11"/>
        <v>2.9623560000000007</v>
      </c>
      <c r="W76" s="6">
        <f t="shared" si="8"/>
        <v>2.46</v>
      </c>
      <c r="X76">
        <f t="shared" si="9"/>
        <v>16.835340000000002</v>
      </c>
      <c r="Y76" t="str">
        <f t="shared" si="10"/>
        <v>RP</v>
      </c>
    </row>
    <row r="77" spans="1:25" ht="13.5" customHeight="1" thickBot="1" x14ac:dyDescent="0.35">
      <c r="A77">
        <f t="shared" si="6"/>
        <v>40.211285109228712</v>
      </c>
      <c r="B77" s="18">
        <v>127</v>
      </c>
      <c r="C77" s="12" t="s">
        <v>155</v>
      </c>
      <c r="D77" s="19" t="s">
        <v>16</v>
      </c>
      <c r="E77" s="19" t="s">
        <v>19</v>
      </c>
      <c r="F77" s="19" t="s">
        <v>19</v>
      </c>
      <c r="G77" s="19">
        <v>18</v>
      </c>
      <c r="H77" s="19">
        <v>25</v>
      </c>
      <c r="I77" s="19">
        <v>64</v>
      </c>
      <c r="J77" s="19">
        <v>56</v>
      </c>
      <c r="K77" s="19">
        <v>18</v>
      </c>
      <c r="L77" s="19">
        <v>24</v>
      </c>
      <c r="M77" s="19">
        <v>36</v>
      </c>
      <c r="N77" s="19">
        <v>74</v>
      </c>
      <c r="O77" s="19">
        <v>56</v>
      </c>
      <c r="P77" s="19">
        <v>64</v>
      </c>
      <c r="Q77" s="19">
        <v>38</v>
      </c>
      <c r="R77" s="19">
        <v>45</v>
      </c>
      <c r="S77" s="19">
        <v>0</v>
      </c>
      <c r="T77" s="19">
        <v>45</v>
      </c>
      <c r="U77" s="6">
        <f t="shared" si="7"/>
        <v>1.4894560000000003</v>
      </c>
      <c r="V77">
        <f t="shared" si="11"/>
        <v>2.8316010000000005</v>
      </c>
      <c r="W77" s="6">
        <f t="shared" si="8"/>
        <v>2.81</v>
      </c>
      <c r="X77">
        <f t="shared" si="9"/>
        <v>14.431026000000003</v>
      </c>
      <c r="Y77" t="str">
        <f t="shared" si="10"/>
        <v>SP</v>
      </c>
    </row>
    <row r="78" spans="1:25" ht="13.5" customHeight="1" thickBot="1" x14ac:dyDescent="0.35">
      <c r="A78">
        <f t="shared" si="6"/>
        <v>35.845559518502014</v>
      </c>
      <c r="B78" s="20">
        <v>132</v>
      </c>
      <c r="C78" s="13" t="s">
        <v>160</v>
      </c>
      <c r="D78" s="21" t="s">
        <v>16</v>
      </c>
      <c r="E78" s="21" t="s">
        <v>19</v>
      </c>
      <c r="F78" s="21" t="s">
        <v>19</v>
      </c>
      <c r="G78" s="21">
        <v>18</v>
      </c>
      <c r="H78" s="21">
        <v>77</v>
      </c>
      <c r="I78" s="21">
        <v>18</v>
      </c>
      <c r="J78" s="21">
        <v>43</v>
      </c>
      <c r="K78" s="21">
        <v>20</v>
      </c>
      <c r="L78" s="21">
        <v>42</v>
      </c>
      <c r="M78" s="21">
        <v>71</v>
      </c>
      <c r="N78" s="21">
        <v>85</v>
      </c>
      <c r="O78" s="21">
        <v>89</v>
      </c>
      <c r="P78" s="21">
        <v>42</v>
      </c>
      <c r="Q78" s="21">
        <v>0</v>
      </c>
      <c r="R78" s="21">
        <v>0</v>
      </c>
      <c r="S78" s="21">
        <v>0</v>
      </c>
      <c r="T78" s="21">
        <v>44</v>
      </c>
      <c r="U78" s="6">
        <f t="shared" si="7"/>
        <v>1.5775776000000004</v>
      </c>
      <c r="V78">
        <f t="shared" si="11"/>
        <v>2.5319720000000006</v>
      </c>
      <c r="W78" s="6">
        <f t="shared" si="8"/>
        <v>1.49</v>
      </c>
      <c r="X78">
        <f t="shared" si="9"/>
        <v>12.864254400000002</v>
      </c>
      <c r="Y78" t="str">
        <f t="shared" si="10"/>
        <v>RP</v>
      </c>
    </row>
    <row r="79" spans="1:25" ht="13.5" customHeight="1" thickBot="1" x14ac:dyDescent="0.35">
      <c r="A79">
        <f t="shared" si="6"/>
        <v>41.090939589835038</v>
      </c>
      <c r="B79" s="18">
        <v>119</v>
      </c>
      <c r="C79" s="12" t="s">
        <v>147</v>
      </c>
      <c r="D79" s="19" t="s">
        <v>16</v>
      </c>
      <c r="E79" s="19" t="s">
        <v>19</v>
      </c>
      <c r="F79" s="19" t="s">
        <v>19</v>
      </c>
      <c r="G79" s="19">
        <v>18</v>
      </c>
      <c r="H79" s="19">
        <v>28</v>
      </c>
      <c r="I79" s="19">
        <v>59</v>
      </c>
      <c r="J79" s="19">
        <v>58</v>
      </c>
      <c r="K79" s="19">
        <v>24</v>
      </c>
      <c r="L79" s="19">
        <v>27</v>
      </c>
      <c r="M79" s="19">
        <v>30</v>
      </c>
      <c r="N79" s="19">
        <v>56</v>
      </c>
      <c r="O79" s="19">
        <v>74</v>
      </c>
      <c r="P79" s="19">
        <v>47</v>
      </c>
      <c r="Q79" s="19">
        <v>40</v>
      </c>
      <c r="R79" s="19">
        <v>49</v>
      </c>
      <c r="S79" s="19">
        <v>0</v>
      </c>
      <c r="T79" s="19">
        <v>47</v>
      </c>
      <c r="U79" s="6">
        <f t="shared" si="7"/>
        <v>1.5821426000000003</v>
      </c>
      <c r="V79">
        <f t="shared" si="11"/>
        <v>2.8890730000000002</v>
      </c>
      <c r="W79" s="6">
        <f t="shared" si="8"/>
        <v>2.64</v>
      </c>
      <c r="X79">
        <f t="shared" si="9"/>
        <v>14.746716400000002</v>
      </c>
      <c r="Y79" t="str">
        <f t="shared" si="10"/>
        <v>SP</v>
      </c>
    </row>
    <row r="80" spans="1:25" ht="13.5" customHeight="1" thickBot="1" x14ac:dyDescent="0.35">
      <c r="A80">
        <f t="shared" si="6"/>
        <v>44.810088051716448</v>
      </c>
      <c r="B80" s="18">
        <v>117</v>
      </c>
      <c r="C80" s="12" t="s">
        <v>145</v>
      </c>
      <c r="D80" s="19" t="s">
        <v>16</v>
      </c>
      <c r="E80" s="19" t="s">
        <v>21</v>
      </c>
      <c r="F80" s="19" t="s">
        <v>20</v>
      </c>
      <c r="G80" s="19">
        <v>18</v>
      </c>
      <c r="H80" s="19">
        <v>27</v>
      </c>
      <c r="I80" s="19">
        <v>86</v>
      </c>
      <c r="J80" s="19">
        <v>52</v>
      </c>
      <c r="K80" s="19">
        <v>34</v>
      </c>
      <c r="L80" s="19">
        <v>29</v>
      </c>
      <c r="M80" s="19">
        <v>56</v>
      </c>
      <c r="N80" s="19">
        <v>40</v>
      </c>
      <c r="O80" s="19">
        <v>65</v>
      </c>
      <c r="P80" s="19">
        <v>60</v>
      </c>
      <c r="Q80" s="19">
        <v>44</v>
      </c>
      <c r="R80" s="19">
        <v>41</v>
      </c>
      <c r="S80" s="19">
        <v>0</v>
      </c>
      <c r="T80" s="19">
        <v>47</v>
      </c>
      <c r="U80" s="6">
        <f t="shared" si="7"/>
        <v>1.5757406000000005</v>
      </c>
      <c r="V80">
        <f t="shared" si="11"/>
        <v>3.0342410000000006</v>
      </c>
      <c r="W80" s="6">
        <f t="shared" si="8"/>
        <v>3.71</v>
      </c>
      <c r="X80">
        <f t="shared" si="9"/>
        <v>16.081444400000002</v>
      </c>
      <c r="Y80" t="str">
        <f t="shared" si="10"/>
        <v>SP</v>
      </c>
    </row>
    <row r="81" spans="1:25" ht="13.5" customHeight="1" thickBot="1" x14ac:dyDescent="0.35">
      <c r="A81">
        <f t="shared" si="6"/>
        <v>43.779725813642443</v>
      </c>
      <c r="B81" s="18">
        <v>89</v>
      </c>
      <c r="C81" s="12" t="s">
        <v>117</v>
      </c>
      <c r="D81" s="19" t="s">
        <v>16</v>
      </c>
      <c r="E81" s="19" t="s">
        <v>20</v>
      </c>
      <c r="F81" s="19" t="s">
        <v>20</v>
      </c>
      <c r="G81" s="19">
        <v>18</v>
      </c>
      <c r="H81" s="19">
        <v>26</v>
      </c>
      <c r="I81" s="19">
        <v>84</v>
      </c>
      <c r="J81" s="19">
        <v>45</v>
      </c>
      <c r="K81" s="19">
        <v>47</v>
      </c>
      <c r="L81" s="19">
        <v>37</v>
      </c>
      <c r="M81" s="19">
        <v>75</v>
      </c>
      <c r="N81" s="19">
        <v>35</v>
      </c>
      <c r="O81" s="19">
        <v>69</v>
      </c>
      <c r="P81" s="19">
        <v>47</v>
      </c>
      <c r="Q81" s="19">
        <v>38</v>
      </c>
      <c r="R81" s="19">
        <v>24</v>
      </c>
      <c r="S81" s="19">
        <v>0</v>
      </c>
      <c r="T81" s="19">
        <v>53</v>
      </c>
      <c r="U81" s="6">
        <f t="shared" si="7"/>
        <v>1.7379450000000003</v>
      </c>
      <c r="V81">
        <f t="shared" si="11"/>
        <v>2.5699440000000005</v>
      </c>
      <c r="W81" s="6">
        <f t="shared" si="8"/>
        <v>3.62</v>
      </c>
      <c r="X81">
        <f t="shared" si="9"/>
        <v>15.711668000000003</v>
      </c>
      <c r="Y81" t="str">
        <f t="shared" si="10"/>
        <v>SP</v>
      </c>
    </row>
    <row r="82" spans="1:25" ht="13.5" customHeight="1" thickBot="1" x14ac:dyDescent="0.35">
      <c r="A82">
        <f t="shared" si="6"/>
        <v>41.455638653588942</v>
      </c>
      <c r="B82" s="18">
        <v>165</v>
      </c>
      <c r="C82" s="12" t="s">
        <v>193</v>
      </c>
      <c r="D82" s="19" t="s">
        <v>16</v>
      </c>
      <c r="E82" s="19" t="s">
        <v>20</v>
      </c>
      <c r="F82" s="19" t="s">
        <v>20</v>
      </c>
      <c r="G82" s="19">
        <v>21</v>
      </c>
      <c r="H82" s="19">
        <v>36</v>
      </c>
      <c r="I82" s="19">
        <v>74</v>
      </c>
      <c r="J82" s="19">
        <v>34</v>
      </c>
      <c r="K82" s="19">
        <v>68</v>
      </c>
      <c r="L82" s="19">
        <v>25</v>
      </c>
      <c r="M82" s="19">
        <v>11</v>
      </c>
      <c r="N82" s="19">
        <v>62</v>
      </c>
      <c r="O82" s="19">
        <v>50</v>
      </c>
      <c r="P82" s="19">
        <v>70</v>
      </c>
      <c r="Q82" s="19">
        <v>55</v>
      </c>
      <c r="R82" s="19">
        <v>7</v>
      </c>
      <c r="S82" s="19">
        <v>0</v>
      </c>
      <c r="T82" s="19">
        <v>51</v>
      </c>
      <c r="U82" s="6">
        <f t="shared" si="7"/>
        <v>1.4494514000000001</v>
      </c>
      <c r="V82">
        <f t="shared" si="11"/>
        <v>2.8798970000000006</v>
      </c>
      <c r="W82" s="6">
        <f t="shared" si="8"/>
        <v>3.32</v>
      </c>
      <c r="X82">
        <f t="shared" si="9"/>
        <v>14.877599600000002</v>
      </c>
      <c r="Y82" t="str">
        <f t="shared" si="10"/>
        <v>SP</v>
      </c>
    </row>
    <row r="83" spans="1:25" ht="13.5" customHeight="1" thickBot="1" x14ac:dyDescent="0.35">
      <c r="A83">
        <f t="shared" si="6"/>
        <v>45.171155818100758</v>
      </c>
      <c r="B83" s="20">
        <v>100</v>
      </c>
      <c r="C83" s="13" t="s">
        <v>128</v>
      </c>
      <c r="D83" s="21" t="s">
        <v>16</v>
      </c>
      <c r="E83" s="21" t="s">
        <v>20</v>
      </c>
      <c r="F83" s="21" t="s">
        <v>20</v>
      </c>
      <c r="G83" s="21">
        <v>18</v>
      </c>
      <c r="H83" s="21">
        <v>30</v>
      </c>
      <c r="I83" s="21">
        <v>65</v>
      </c>
      <c r="J83" s="21">
        <v>72</v>
      </c>
      <c r="K83" s="21">
        <v>36</v>
      </c>
      <c r="L83" s="21">
        <v>32</v>
      </c>
      <c r="M83" s="21">
        <v>25</v>
      </c>
      <c r="N83" s="21">
        <v>16</v>
      </c>
      <c r="O83" s="21">
        <v>64</v>
      </c>
      <c r="P83" s="21">
        <v>50</v>
      </c>
      <c r="Q83" s="21">
        <v>28</v>
      </c>
      <c r="R83" s="21">
        <v>37</v>
      </c>
      <c r="S83" s="21">
        <v>0</v>
      </c>
      <c r="T83" s="21">
        <v>50</v>
      </c>
      <c r="U83" s="6">
        <f t="shared" si="7"/>
        <v>2.0918676000000005</v>
      </c>
      <c r="V83">
        <f t="shared" si="11"/>
        <v>2.4717770000000003</v>
      </c>
      <c r="W83" s="6">
        <f t="shared" si="8"/>
        <v>2.9</v>
      </c>
      <c r="X83">
        <f t="shared" si="9"/>
        <v>16.211024400000003</v>
      </c>
      <c r="Y83" t="str">
        <f t="shared" si="10"/>
        <v>SP</v>
      </c>
    </row>
    <row r="84" spans="1:25" ht="13.5" customHeight="1" thickBot="1" x14ac:dyDescent="0.35">
      <c r="A84">
        <f t="shared" si="6"/>
        <v>38.801660722247</v>
      </c>
      <c r="B84" s="18">
        <v>151</v>
      </c>
      <c r="C84" s="12" t="s">
        <v>179</v>
      </c>
      <c r="D84" s="19" t="s">
        <v>16</v>
      </c>
      <c r="E84" s="19" t="s">
        <v>20</v>
      </c>
      <c r="F84" s="19" t="s">
        <v>20</v>
      </c>
      <c r="G84" s="19">
        <v>18</v>
      </c>
      <c r="H84" s="19">
        <v>69</v>
      </c>
      <c r="I84" s="19">
        <v>15</v>
      </c>
      <c r="J84" s="19">
        <v>74</v>
      </c>
      <c r="K84" s="19">
        <v>28</v>
      </c>
      <c r="L84" s="19">
        <v>23</v>
      </c>
      <c r="M84" s="19">
        <v>86</v>
      </c>
      <c r="N84" s="19">
        <v>54</v>
      </c>
      <c r="O84" s="19">
        <v>63</v>
      </c>
      <c r="P84" s="19">
        <v>45</v>
      </c>
      <c r="Q84" s="19">
        <v>0</v>
      </c>
      <c r="R84" s="19">
        <v>0</v>
      </c>
      <c r="S84" s="19">
        <v>0</v>
      </c>
      <c r="T84" s="19">
        <v>41</v>
      </c>
      <c r="U84" s="6">
        <f t="shared" si="7"/>
        <v>2.149849000000001</v>
      </c>
      <c r="V84">
        <f t="shared" si="11"/>
        <v>2.0178720000000006</v>
      </c>
      <c r="W84" s="6">
        <f t="shared" si="8"/>
        <v>1.29</v>
      </c>
      <c r="X84">
        <f t="shared" si="9"/>
        <v>13.925140000000006</v>
      </c>
      <c r="Y84" t="str">
        <f t="shared" si="10"/>
        <v>RP</v>
      </c>
    </row>
    <row r="85" spans="1:25" ht="13.5" customHeight="1" thickBot="1" x14ac:dyDescent="0.35">
      <c r="A85">
        <f t="shared" si="6"/>
        <v>44.21336825679893</v>
      </c>
      <c r="B85" s="20">
        <v>106</v>
      </c>
      <c r="C85" s="13" t="s">
        <v>134</v>
      </c>
      <c r="D85" s="21" t="s">
        <v>16</v>
      </c>
      <c r="E85" s="21" t="s">
        <v>21</v>
      </c>
      <c r="F85" s="21" t="s">
        <v>20</v>
      </c>
      <c r="G85" s="21">
        <v>18</v>
      </c>
      <c r="H85" s="21">
        <v>58</v>
      </c>
      <c r="I85" s="21">
        <v>37</v>
      </c>
      <c r="J85" s="21">
        <v>53</v>
      </c>
      <c r="K85" s="21">
        <v>48</v>
      </c>
      <c r="L85" s="21">
        <v>35</v>
      </c>
      <c r="M85" s="21">
        <v>46</v>
      </c>
      <c r="N85" s="21">
        <v>32</v>
      </c>
      <c r="O85" s="21">
        <v>72</v>
      </c>
      <c r="P85" s="21">
        <v>64</v>
      </c>
      <c r="Q85" s="21">
        <v>44</v>
      </c>
      <c r="R85" s="21">
        <v>0</v>
      </c>
      <c r="S85" s="21">
        <v>0</v>
      </c>
      <c r="T85" s="21">
        <v>49</v>
      </c>
      <c r="U85" s="6">
        <f t="shared" si="7"/>
        <v>1.8602314000000002</v>
      </c>
      <c r="V85">
        <f t="shared" si="11"/>
        <v>3.1831840000000007</v>
      </c>
      <c r="W85" s="6">
        <f t="shared" si="8"/>
        <v>2.06</v>
      </c>
      <c r="X85">
        <f t="shared" si="9"/>
        <v>15.867293600000002</v>
      </c>
      <c r="Y85" t="str">
        <f t="shared" si="10"/>
        <v>RP</v>
      </c>
    </row>
    <row r="86" spans="1:25" ht="13.5" customHeight="1" thickBot="1" x14ac:dyDescent="0.35">
      <c r="A86">
        <f t="shared" si="6"/>
        <v>32.065969683459656</v>
      </c>
      <c r="B86" s="18">
        <v>133</v>
      </c>
      <c r="C86" s="12" t="s">
        <v>161</v>
      </c>
      <c r="D86" s="19" t="s">
        <v>16</v>
      </c>
      <c r="E86" s="19" t="s">
        <v>19</v>
      </c>
      <c r="F86" s="19" t="s">
        <v>19</v>
      </c>
      <c r="G86" s="19">
        <v>18</v>
      </c>
      <c r="H86" s="19">
        <v>45</v>
      </c>
      <c r="I86" s="19">
        <v>30</v>
      </c>
      <c r="J86" s="19">
        <v>29</v>
      </c>
      <c r="K86" s="19">
        <v>28</v>
      </c>
      <c r="L86" s="19">
        <v>38</v>
      </c>
      <c r="M86" s="19">
        <v>91</v>
      </c>
      <c r="N86" s="19">
        <v>88</v>
      </c>
      <c r="O86" s="19">
        <v>72</v>
      </c>
      <c r="P86" s="19">
        <v>42</v>
      </c>
      <c r="Q86" s="19">
        <v>36</v>
      </c>
      <c r="R86" s="19">
        <v>0</v>
      </c>
      <c r="S86" s="19">
        <v>0</v>
      </c>
      <c r="T86" s="19">
        <v>44</v>
      </c>
      <c r="U86" s="6">
        <f t="shared" si="7"/>
        <v>1.2522668000000003</v>
      </c>
      <c r="V86">
        <f t="shared" si="11"/>
        <v>2.4243840000000008</v>
      </c>
      <c r="W86" s="6">
        <f t="shared" si="8"/>
        <v>1.65</v>
      </c>
      <c r="X86">
        <f t="shared" si="9"/>
        <v>11.507835200000004</v>
      </c>
      <c r="Y86" t="str">
        <f t="shared" si="10"/>
        <v>CRAP</v>
      </c>
    </row>
    <row r="87" spans="1:25" ht="13.5" customHeight="1" thickBot="1" x14ac:dyDescent="0.35">
      <c r="A87">
        <f t="shared" si="6"/>
        <v>35.887437583593403</v>
      </c>
      <c r="B87" s="20">
        <v>152</v>
      </c>
      <c r="C87" s="13" t="s">
        <v>180</v>
      </c>
      <c r="D87" s="21" t="s">
        <v>16</v>
      </c>
      <c r="E87" s="21" t="s">
        <v>20</v>
      </c>
      <c r="F87" s="21" t="s">
        <v>20</v>
      </c>
      <c r="G87" s="21">
        <v>18</v>
      </c>
      <c r="H87" s="21">
        <v>22</v>
      </c>
      <c r="I87" s="21">
        <v>74</v>
      </c>
      <c r="J87" s="21">
        <v>41</v>
      </c>
      <c r="K87" s="21">
        <v>32</v>
      </c>
      <c r="L87" s="21">
        <v>15</v>
      </c>
      <c r="M87" s="21">
        <v>37</v>
      </c>
      <c r="N87" s="21">
        <v>56</v>
      </c>
      <c r="O87" s="21">
        <v>65</v>
      </c>
      <c r="P87" s="21">
        <v>53</v>
      </c>
      <c r="Q87" s="21">
        <v>42</v>
      </c>
      <c r="R87" s="21">
        <v>34</v>
      </c>
      <c r="S87" s="21">
        <v>25</v>
      </c>
      <c r="T87" s="21">
        <v>40</v>
      </c>
      <c r="U87" s="6">
        <f t="shared" si="7"/>
        <v>1.0322774000000003</v>
      </c>
      <c r="V87">
        <f t="shared" si="11"/>
        <v>2.7850870000000008</v>
      </c>
      <c r="W87" s="6">
        <f t="shared" si="8"/>
        <v>3.18</v>
      </c>
      <c r="X87">
        <f t="shared" si="9"/>
        <v>12.879283600000003</v>
      </c>
      <c r="Y87" t="str">
        <f t="shared" si="10"/>
        <v>SP</v>
      </c>
    </row>
    <row r="88" spans="1:25" ht="13.5" customHeight="1" thickBot="1" x14ac:dyDescent="0.35">
      <c r="A88">
        <f t="shared" si="6"/>
        <v>41.066642888987964</v>
      </c>
      <c r="B88" s="20">
        <v>116</v>
      </c>
      <c r="C88" s="13" t="s">
        <v>144</v>
      </c>
      <c r="D88" s="21" t="s">
        <v>16</v>
      </c>
      <c r="E88" s="21" t="s">
        <v>20</v>
      </c>
      <c r="F88" s="21" t="s">
        <v>20</v>
      </c>
      <c r="G88" s="21">
        <v>18</v>
      </c>
      <c r="H88" s="21">
        <v>72</v>
      </c>
      <c r="I88" s="21">
        <v>27</v>
      </c>
      <c r="J88" s="21">
        <v>44</v>
      </c>
      <c r="K88" s="21">
        <v>44</v>
      </c>
      <c r="L88" s="21">
        <v>44</v>
      </c>
      <c r="M88" s="21">
        <v>79</v>
      </c>
      <c r="N88" s="21">
        <v>12</v>
      </c>
      <c r="O88" s="21">
        <v>70</v>
      </c>
      <c r="P88" s="21">
        <v>69</v>
      </c>
      <c r="Q88" s="21">
        <v>0</v>
      </c>
      <c r="R88" s="21">
        <v>0</v>
      </c>
      <c r="S88" s="21">
        <v>0</v>
      </c>
      <c r="T88" s="21">
        <v>47</v>
      </c>
      <c r="U88" s="6">
        <f t="shared" si="7"/>
        <v>1.7778972000000006</v>
      </c>
      <c r="V88">
        <f t="shared" si="11"/>
        <v>2.9132040000000003</v>
      </c>
      <c r="W88" s="6">
        <f t="shared" si="8"/>
        <v>1.8</v>
      </c>
      <c r="X88">
        <f t="shared" si="9"/>
        <v>14.737996800000005</v>
      </c>
      <c r="Y88" t="str">
        <f t="shared" si="10"/>
        <v>RP</v>
      </c>
    </row>
    <row r="89" spans="1:25" ht="13.5" customHeight="1" thickBot="1" x14ac:dyDescent="0.35">
      <c r="A89">
        <f t="shared" si="6"/>
        <v>33.733397235844855</v>
      </c>
      <c r="B89" s="20">
        <v>146</v>
      </c>
      <c r="C89" s="13" t="s">
        <v>174</v>
      </c>
      <c r="D89" s="21" t="s">
        <v>16</v>
      </c>
      <c r="E89" s="21" t="s">
        <v>19</v>
      </c>
      <c r="F89" s="21" t="s">
        <v>19</v>
      </c>
      <c r="G89" s="21">
        <v>18</v>
      </c>
      <c r="H89" s="21">
        <v>76</v>
      </c>
      <c r="I89" s="21">
        <v>20</v>
      </c>
      <c r="J89" s="21">
        <v>47</v>
      </c>
      <c r="K89" s="21">
        <v>30</v>
      </c>
      <c r="L89" s="21">
        <v>28</v>
      </c>
      <c r="M89" s="21">
        <v>75</v>
      </c>
      <c r="N89" s="21">
        <v>54</v>
      </c>
      <c r="O89" s="21">
        <v>69</v>
      </c>
      <c r="P89" s="21">
        <v>51</v>
      </c>
      <c r="Q89" s="21">
        <v>0</v>
      </c>
      <c r="R89" s="21">
        <v>0</v>
      </c>
      <c r="S89" s="21">
        <v>0</v>
      </c>
      <c r="T89" s="21">
        <v>43</v>
      </c>
      <c r="U89" s="6">
        <f t="shared" si="7"/>
        <v>1.4550404000000003</v>
      </c>
      <c r="V89">
        <f t="shared" si="11"/>
        <v>2.3630400000000007</v>
      </c>
      <c r="W89" s="6">
        <f t="shared" si="8"/>
        <v>1.56</v>
      </c>
      <c r="X89">
        <f t="shared" si="9"/>
        <v>12.106241600000002</v>
      </c>
      <c r="Y89" t="str">
        <f t="shared" si="10"/>
        <v>RP</v>
      </c>
    </row>
    <row r="90" spans="1:25" ht="13.5" customHeight="1" thickBot="1" x14ac:dyDescent="0.35">
      <c r="A90">
        <f t="shared" si="6"/>
        <v>38.921720909496209</v>
      </c>
      <c r="B90" s="18">
        <v>137</v>
      </c>
      <c r="C90" s="12" t="s">
        <v>165</v>
      </c>
      <c r="D90" s="19" t="s">
        <v>16</v>
      </c>
      <c r="E90" s="19" t="s">
        <v>19</v>
      </c>
      <c r="F90" s="19" t="s">
        <v>19</v>
      </c>
      <c r="G90" s="19">
        <v>18</v>
      </c>
      <c r="H90" s="19">
        <v>34</v>
      </c>
      <c r="I90" s="19">
        <v>63</v>
      </c>
      <c r="J90" s="19">
        <v>63</v>
      </c>
      <c r="K90" s="19">
        <v>15</v>
      </c>
      <c r="L90" s="19">
        <v>22</v>
      </c>
      <c r="M90" s="19">
        <v>69</v>
      </c>
      <c r="N90" s="19">
        <v>19</v>
      </c>
      <c r="O90" s="19">
        <v>63</v>
      </c>
      <c r="P90" s="19">
        <v>50</v>
      </c>
      <c r="Q90" s="19">
        <v>32</v>
      </c>
      <c r="R90" s="19">
        <v>0</v>
      </c>
      <c r="S90" s="19">
        <v>0</v>
      </c>
      <c r="T90" s="19">
        <v>44</v>
      </c>
      <c r="U90" s="6">
        <f t="shared" si="7"/>
        <v>1.5968988000000004</v>
      </c>
      <c r="V90">
        <f t="shared" si="11"/>
        <v>2.3603160000000005</v>
      </c>
      <c r="W90" s="6">
        <f t="shared" si="8"/>
        <v>2.86</v>
      </c>
      <c r="X90">
        <f t="shared" si="9"/>
        <v>13.968227200000001</v>
      </c>
      <c r="Y90" t="str">
        <f t="shared" si="10"/>
        <v>SP</v>
      </c>
    </row>
    <row r="91" spans="1:25" ht="13.5" customHeight="1" thickBot="1" x14ac:dyDescent="0.35">
      <c r="A91">
        <f t="shared" si="6"/>
        <v>38.161236067766382</v>
      </c>
      <c r="B91" s="20">
        <v>136</v>
      </c>
      <c r="C91" s="13" t="s">
        <v>164</v>
      </c>
      <c r="D91" s="21" t="s">
        <v>16</v>
      </c>
      <c r="E91" s="21" t="s">
        <v>20</v>
      </c>
      <c r="F91" s="21" t="s">
        <v>20</v>
      </c>
      <c r="G91" s="21">
        <v>18</v>
      </c>
      <c r="H91" s="21">
        <v>32</v>
      </c>
      <c r="I91" s="21">
        <v>64</v>
      </c>
      <c r="J91" s="21">
        <v>50</v>
      </c>
      <c r="K91" s="21">
        <v>35</v>
      </c>
      <c r="L91" s="21">
        <v>18</v>
      </c>
      <c r="M91" s="21">
        <v>79</v>
      </c>
      <c r="N91" s="21">
        <v>20</v>
      </c>
      <c r="O91" s="21">
        <v>56</v>
      </c>
      <c r="P91" s="21">
        <v>62</v>
      </c>
      <c r="Q91" s="21">
        <v>37</v>
      </c>
      <c r="R91" s="21">
        <v>20</v>
      </c>
      <c r="S91" s="21">
        <v>21</v>
      </c>
      <c r="T91" s="21">
        <v>44</v>
      </c>
      <c r="U91" s="6">
        <f t="shared" si="7"/>
        <v>1.3871024000000001</v>
      </c>
      <c r="V91">
        <f t="shared" si="11"/>
        <v>2.6334474000000005</v>
      </c>
      <c r="W91" s="6">
        <f t="shared" si="8"/>
        <v>2.88</v>
      </c>
      <c r="X91">
        <f t="shared" si="9"/>
        <v>13.695304400000001</v>
      </c>
      <c r="Y91" t="str">
        <f t="shared" si="10"/>
        <v>SP</v>
      </c>
    </row>
    <row r="92" spans="1:25" ht="13.5" customHeight="1" thickBot="1" x14ac:dyDescent="0.35">
      <c r="A92">
        <f t="shared" si="6"/>
        <v>32.80068880962996</v>
      </c>
      <c r="B92" s="20">
        <v>162</v>
      </c>
      <c r="C92" s="13" t="s">
        <v>190</v>
      </c>
      <c r="D92" s="21" t="s">
        <v>16</v>
      </c>
      <c r="E92" s="21" t="s">
        <v>21</v>
      </c>
      <c r="F92" s="21" t="s">
        <v>19</v>
      </c>
      <c r="G92" s="21">
        <v>18</v>
      </c>
      <c r="H92" s="21">
        <v>53</v>
      </c>
      <c r="I92" s="21">
        <v>22</v>
      </c>
      <c r="J92" s="21">
        <v>42</v>
      </c>
      <c r="K92" s="21">
        <v>25</v>
      </c>
      <c r="L92" s="21">
        <v>37</v>
      </c>
      <c r="M92" s="21">
        <v>75</v>
      </c>
      <c r="N92" s="21">
        <v>47</v>
      </c>
      <c r="O92" s="21">
        <v>65</v>
      </c>
      <c r="P92" s="21">
        <v>51</v>
      </c>
      <c r="Q92" s="21">
        <v>26</v>
      </c>
      <c r="R92" s="21">
        <v>0</v>
      </c>
      <c r="S92" s="21">
        <v>0</v>
      </c>
      <c r="T92" s="21">
        <v>38</v>
      </c>
      <c r="U92" s="6">
        <f t="shared" si="7"/>
        <v>1.4009258000000004</v>
      </c>
      <c r="V92">
        <f t="shared" si="11"/>
        <v>2.3789040000000004</v>
      </c>
      <c r="W92" s="6">
        <f t="shared" si="8"/>
        <v>1.41</v>
      </c>
      <c r="X92">
        <f t="shared" si="9"/>
        <v>11.771511200000003</v>
      </c>
      <c r="Y92" t="str">
        <f t="shared" si="10"/>
        <v>RP</v>
      </c>
    </row>
    <row r="93" spans="1:25" ht="13.5" customHeight="1" thickBot="1" x14ac:dyDescent="0.35">
      <c r="A93">
        <f t="shared" si="6"/>
        <v>29.745209540793578</v>
      </c>
      <c r="B93" s="18">
        <v>153</v>
      </c>
      <c r="C93" s="12" t="s">
        <v>181</v>
      </c>
      <c r="D93" s="19" t="s">
        <v>16</v>
      </c>
      <c r="E93" s="19" t="s">
        <v>19</v>
      </c>
      <c r="F93" s="19" t="s">
        <v>19</v>
      </c>
      <c r="G93" s="19">
        <v>18</v>
      </c>
      <c r="H93" s="19">
        <v>29</v>
      </c>
      <c r="I93" s="19">
        <v>67</v>
      </c>
      <c r="J93" s="19">
        <v>11</v>
      </c>
      <c r="K93" s="19">
        <v>26</v>
      </c>
      <c r="L93" s="19">
        <v>24</v>
      </c>
      <c r="M93" s="19">
        <v>33</v>
      </c>
      <c r="N93" s="19">
        <v>70</v>
      </c>
      <c r="O93" s="19">
        <v>71</v>
      </c>
      <c r="P93" s="19">
        <v>52</v>
      </c>
      <c r="Q93" s="19">
        <v>43</v>
      </c>
      <c r="R93" s="19">
        <v>26</v>
      </c>
      <c r="S93" s="19">
        <v>0</v>
      </c>
      <c r="T93" s="19">
        <v>40</v>
      </c>
      <c r="U93" s="6">
        <f t="shared" si="7"/>
        <v>0.50035320000000005</v>
      </c>
      <c r="V93">
        <f t="shared" si="11"/>
        <v>2.8517740000000007</v>
      </c>
      <c r="W93" s="6">
        <f t="shared" si="8"/>
        <v>2.97</v>
      </c>
      <c r="X93">
        <f t="shared" si="9"/>
        <v>10.674960800000003</v>
      </c>
      <c r="Y93" t="str">
        <f t="shared" si="10"/>
        <v>SP</v>
      </c>
    </row>
    <row r="94" spans="1:25" ht="13.5" customHeight="1" thickBot="1" x14ac:dyDescent="0.35">
      <c r="A94">
        <f t="shared" si="6"/>
        <v>26.772353990191707</v>
      </c>
      <c r="B94" s="20">
        <v>164</v>
      </c>
      <c r="C94" s="13" t="s">
        <v>192</v>
      </c>
      <c r="D94" s="21" t="s">
        <v>16</v>
      </c>
      <c r="E94" s="21" t="s">
        <v>19</v>
      </c>
      <c r="F94" s="21" t="s">
        <v>19</v>
      </c>
      <c r="G94" s="21">
        <v>18</v>
      </c>
      <c r="H94" s="21">
        <v>43</v>
      </c>
      <c r="I94" s="21">
        <v>40</v>
      </c>
      <c r="J94" s="21">
        <v>32</v>
      </c>
      <c r="K94" s="21">
        <v>13</v>
      </c>
      <c r="L94" s="21">
        <v>28</v>
      </c>
      <c r="M94" s="21">
        <v>72</v>
      </c>
      <c r="N94" s="21">
        <v>72</v>
      </c>
      <c r="O94" s="21">
        <v>71</v>
      </c>
      <c r="P94" s="21">
        <v>33</v>
      </c>
      <c r="Q94" s="21">
        <v>0</v>
      </c>
      <c r="R94" s="21">
        <v>0</v>
      </c>
      <c r="S94" s="21">
        <v>0</v>
      </c>
      <c r="T94" s="21">
        <v>38</v>
      </c>
      <c r="U94" s="6">
        <f t="shared" si="7"/>
        <v>0.93901160000000039</v>
      </c>
      <c r="V94">
        <f t="shared" si="11"/>
        <v>1.9110080000000003</v>
      </c>
      <c r="W94" s="6">
        <f t="shared" si="8"/>
        <v>2.0299999999999998</v>
      </c>
      <c r="X94">
        <f t="shared" si="9"/>
        <v>9.6080624000000014</v>
      </c>
      <c r="Y94" t="str">
        <f t="shared" si="10"/>
        <v>RP</v>
      </c>
    </row>
    <row r="95" spans="1:25" ht="13.5" customHeight="1" thickBot="1" x14ac:dyDescent="0.35">
      <c r="A95">
        <f t="shared" si="6"/>
        <v>32.138690370040131</v>
      </c>
      <c r="B95" s="20">
        <v>178</v>
      </c>
      <c r="C95" s="13" t="s">
        <v>206</v>
      </c>
      <c r="D95" s="21" t="s">
        <v>16</v>
      </c>
      <c r="E95" s="21" t="s">
        <v>20</v>
      </c>
      <c r="F95" s="21" t="s">
        <v>20</v>
      </c>
      <c r="G95" s="21">
        <v>22</v>
      </c>
      <c r="H95" s="21">
        <v>29</v>
      </c>
      <c r="I95" s="21">
        <v>45</v>
      </c>
      <c r="J95" s="21">
        <v>44</v>
      </c>
      <c r="K95" s="21">
        <v>51</v>
      </c>
      <c r="L95" s="21">
        <v>32</v>
      </c>
      <c r="M95" s="21">
        <v>26</v>
      </c>
      <c r="N95" s="21">
        <v>33</v>
      </c>
      <c r="O95" s="21">
        <v>68</v>
      </c>
      <c r="P95" s="21">
        <v>17</v>
      </c>
      <c r="Q95" s="21">
        <v>28</v>
      </c>
      <c r="R95" s="21">
        <v>5</v>
      </c>
      <c r="S95" s="21">
        <v>0</v>
      </c>
      <c r="T95" s="21">
        <v>42</v>
      </c>
      <c r="U95" s="6">
        <f t="shared" si="7"/>
        <v>1.5326128000000008</v>
      </c>
      <c r="V95">
        <f t="shared" si="11"/>
        <v>1.6567410000000007</v>
      </c>
      <c r="W95" s="6">
        <f t="shared" si="8"/>
        <v>2.09</v>
      </c>
      <c r="X95">
        <f t="shared" si="9"/>
        <v>11.533933200000003</v>
      </c>
      <c r="Y95" t="str">
        <f t="shared" si="10"/>
        <v>CRAP</v>
      </c>
    </row>
    <row r="96" spans="1:25" ht="13.5" customHeight="1" thickBot="1" x14ac:dyDescent="0.35">
      <c r="A96">
        <f t="shared" si="6"/>
        <v>35.35800267498886</v>
      </c>
      <c r="B96" s="18">
        <v>149</v>
      </c>
      <c r="C96" s="12" t="s">
        <v>177</v>
      </c>
      <c r="D96" s="19" t="s">
        <v>16</v>
      </c>
      <c r="E96" s="19" t="s">
        <v>21</v>
      </c>
      <c r="F96" s="19" t="s">
        <v>19</v>
      </c>
      <c r="G96" s="19">
        <v>18</v>
      </c>
      <c r="H96" s="19">
        <v>37</v>
      </c>
      <c r="I96" s="19">
        <v>31</v>
      </c>
      <c r="J96" s="19">
        <v>36</v>
      </c>
      <c r="K96" s="19">
        <v>38</v>
      </c>
      <c r="L96" s="19">
        <v>44</v>
      </c>
      <c r="M96" s="19">
        <v>63</v>
      </c>
      <c r="N96" s="19">
        <v>22</v>
      </c>
      <c r="O96" s="19">
        <v>81</v>
      </c>
      <c r="P96" s="19">
        <v>48</v>
      </c>
      <c r="Q96" s="19">
        <v>22</v>
      </c>
      <c r="R96" s="19">
        <v>0</v>
      </c>
      <c r="S96" s="19">
        <v>0</v>
      </c>
      <c r="T96" s="19">
        <v>42</v>
      </c>
      <c r="U96" s="6">
        <f t="shared" si="7"/>
        <v>1.4442940000000006</v>
      </c>
      <c r="V96">
        <f t="shared" si="11"/>
        <v>2.6510520000000009</v>
      </c>
      <c r="W96" s="6">
        <f t="shared" si="8"/>
        <v>1.61</v>
      </c>
      <c r="X96">
        <f t="shared" si="9"/>
        <v>12.689280000000004</v>
      </c>
      <c r="Y96" t="str">
        <f t="shared" si="10"/>
        <v>CRAP</v>
      </c>
    </row>
    <row r="97" spans="1:25" ht="13.5" customHeight="1" thickBot="1" x14ac:dyDescent="0.35">
      <c r="A97">
        <f t="shared" si="6"/>
        <v>25.800918412839945</v>
      </c>
      <c r="B97" s="18">
        <v>181</v>
      </c>
      <c r="C97" s="12" t="s">
        <v>209</v>
      </c>
      <c r="D97" s="19" t="s">
        <v>16</v>
      </c>
      <c r="E97" s="19" t="s">
        <v>19</v>
      </c>
      <c r="F97" s="19" t="s">
        <v>19</v>
      </c>
      <c r="G97" s="19">
        <v>22</v>
      </c>
      <c r="H97" s="19">
        <v>33</v>
      </c>
      <c r="I97" s="19">
        <v>26</v>
      </c>
      <c r="J97" s="19">
        <v>18</v>
      </c>
      <c r="K97" s="19">
        <v>13</v>
      </c>
      <c r="L97" s="19">
        <v>40</v>
      </c>
      <c r="M97" s="19">
        <v>76</v>
      </c>
      <c r="N97" s="19">
        <v>74</v>
      </c>
      <c r="O97" s="19">
        <v>84</v>
      </c>
      <c r="P97" s="19">
        <v>22</v>
      </c>
      <c r="Q97" s="19">
        <v>16</v>
      </c>
      <c r="R97" s="19">
        <v>38</v>
      </c>
      <c r="S97" s="19">
        <v>8</v>
      </c>
      <c r="T97" s="19">
        <v>34</v>
      </c>
      <c r="U97" s="6">
        <f t="shared" si="7"/>
        <v>0.90026600000000023</v>
      </c>
      <c r="V97">
        <f t="shared" si="11"/>
        <v>2.1441848000000006</v>
      </c>
      <c r="W97" s="6">
        <f t="shared" si="8"/>
        <v>1.37</v>
      </c>
      <c r="X97">
        <f t="shared" si="9"/>
        <v>9.2594336000000013</v>
      </c>
      <c r="Y97" t="str">
        <f t="shared" si="10"/>
        <v>CRAP</v>
      </c>
    </row>
    <row r="98" spans="1:25" ht="13.5" customHeight="1" thickBot="1" x14ac:dyDescent="0.35">
      <c r="A98">
        <f t="shared" si="6"/>
        <v>29.426933794025864</v>
      </c>
      <c r="B98" s="18">
        <v>177</v>
      </c>
      <c r="C98" s="12" t="s">
        <v>205</v>
      </c>
      <c r="D98" s="19" t="s">
        <v>16</v>
      </c>
      <c r="E98" s="19" t="s">
        <v>19</v>
      </c>
      <c r="F98" s="19" t="s">
        <v>19</v>
      </c>
      <c r="G98" s="19">
        <v>21</v>
      </c>
      <c r="H98" s="19">
        <v>39</v>
      </c>
      <c r="I98" s="19">
        <v>72</v>
      </c>
      <c r="J98" s="19">
        <v>16</v>
      </c>
      <c r="K98" s="19">
        <v>53</v>
      </c>
      <c r="L98" s="19">
        <v>15</v>
      </c>
      <c r="M98" s="19">
        <v>15</v>
      </c>
      <c r="N98" s="19">
        <v>65</v>
      </c>
      <c r="O98" s="19">
        <v>46</v>
      </c>
      <c r="P98" s="19">
        <v>48</v>
      </c>
      <c r="Q98" s="19">
        <v>54</v>
      </c>
      <c r="R98" s="19">
        <v>15</v>
      </c>
      <c r="S98" s="19">
        <v>0</v>
      </c>
      <c r="T98" s="19">
        <v>42</v>
      </c>
      <c r="U98" s="6">
        <f t="shared" si="7"/>
        <v>0.76070700000000024</v>
      </c>
      <c r="V98">
        <f t="shared" si="11"/>
        <v>2.1239550000000009</v>
      </c>
      <c r="W98" s="6">
        <f t="shared" si="8"/>
        <v>3.27</v>
      </c>
      <c r="X98">
        <f t="shared" si="9"/>
        <v>10.560738000000002</v>
      </c>
      <c r="Y98" t="str">
        <f t="shared" si="10"/>
        <v>SP</v>
      </c>
    </row>
    <row r="99" spans="1:25" ht="13.5" customHeight="1" thickBot="1" x14ac:dyDescent="0.35">
      <c r="A99">
        <f t="shared" si="6"/>
        <v>32.992055283102992</v>
      </c>
      <c r="B99" s="18">
        <v>169</v>
      </c>
      <c r="C99" s="12" t="s">
        <v>197</v>
      </c>
      <c r="D99" s="19" t="s">
        <v>16</v>
      </c>
      <c r="E99" s="19" t="s">
        <v>19</v>
      </c>
      <c r="F99" s="19" t="s">
        <v>19</v>
      </c>
      <c r="G99" s="19">
        <v>22</v>
      </c>
      <c r="H99" s="19">
        <v>92</v>
      </c>
      <c r="I99" s="19">
        <v>45</v>
      </c>
      <c r="J99" s="19">
        <v>45</v>
      </c>
      <c r="K99" s="19">
        <v>30</v>
      </c>
      <c r="L99" s="19">
        <v>12</v>
      </c>
      <c r="M99" s="19">
        <v>57</v>
      </c>
      <c r="N99" s="19">
        <v>44</v>
      </c>
      <c r="O99" s="19">
        <v>38</v>
      </c>
      <c r="P99" s="19">
        <v>83</v>
      </c>
      <c r="Q99" s="19">
        <v>0</v>
      </c>
      <c r="R99" s="19">
        <v>0</v>
      </c>
      <c r="S99" s="19">
        <v>0</v>
      </c>
      <c r="T99" s="19">
        <v>49</v>
      </c>
      <c r="U99" s="6">
        <f t="shared" si="7"/>
        <v>1.1209052000000002</v>
      </c>
      <c r="V99">
        <f t="shared" si="11"/>
        <v>2.3182840000000007</v>
      </c>
      <c r="W99" s="6">
        <f t="shared" si="8"/>
        <v>2.72</v>
      </c>
      <c r="X99">
        <f t="shared" si="9"/>
        <v>11.840188800000002</v>
      </c>
      <c r="Y99" t="str">
        <f t="shared" si="10"/>
        <v>RP</v>
      </c>
    </row>
    <row r="100" spans="1:25" ht="13.5" customHeight="1" thickBot="1" x14ac:dyDescent="0.35">
      <c r="A100">
        <f t="shared" si="6"/>
        <v>23.697189032545701</v>
      </c>
      <c r="B100" s="18">
        <v>173</v>
      </c>
      <c r="C100" s="12" t="s">
        <v>201</v>
      </c>
      <c r="D100" s="19" t="s">
        <v>16</v>
      </c>
      <c r="E100" s="19" t="s">
        <v>20</v>
      </c>
      <c r="F100" s="19" t="s">
        <v>20</v>
      </c>
      <c r="G100" s="19">
        <v>18</v>
      </c>
      <c r="H100" s="19">
        <v>49</v>
      </c>
      <c r="I100" s="19">
        <v>19</v>
      </c>
      <c r="J100" s="19">
        <v>33</v>
      </c>
      <c r="K100" s="19">
        <v>19</v>
      </c>
      <c r="L100" s="19">
        <v>12</v>
      </c>
      <c r="M100" s="19">
        <v>38</v>
      </c>
      <c r="N100" s="19">
        <v>91</v>
      </c>
      <c r="O100" s="19">
        <v>53</v>
      </c>
      <c r="P100" s="19">
        <v>51</v>
      </c>
      <c r="Q100" s="19">
        <v>35</v>
      </c>
      <c r="R100" s="19">
        <v>0</v>
      </c>
      <c r="S100" s="19">
        <v>0</v>
      </c>
      <c r="T100" s="19">
        <v>33</v>
      </c>
      <c r="U100" s="6">
        <f t="shared" si="7"/>
        <v>0.74749280000000007</v>
      </c>
      <c r="V100">
        <f t="shared" si="11"/>
        <v>2.1322380000000001</v>
      </c>
      <c r="W100" s="6">
        <f t="shared" si="8"/>
        <v>1.25</v>
      </c>
      <c r="X100">
        <f t="shared" si="9"/>
        <v>8.5044472000000013</v>
      </c>
      <c r="Y100" t="str">
        <f t="shared" si="10"/>
        <v>CRAP</v>
      </c>
    </row>
    <row r="101" spans="1:25" ht="13.5" customHeight="1" thickBot="1" x14ac:dyDescent="0.35">
      <c r="A101">
        <f t="shared" si="6"/>
        <v>33.808622380740083</v>
      </c>
      <c r="B101" s="18">
        <v>163</v>
      </c>
      <c r="C101" s="12" t="s">
        <v>191</v>
      </c>
      <c r="D101" s="19" t="s">
        <v>16</v>
      </c>
      <c r="E101" s="19" t="s">
        <v>19</v>
      </c>
      <c r="F101" s="19" t="s">
        <v>19</v>
      </c>
      <c r="G101" s="19">
        <v>18</v>
      </c>
      <c r="H101" s="19">
        <v>75</v>
      </c>
      <c r="I101" s="19">
        <v>28</v>
      </c>
      <c r="J101" s="19">
        <v>51</v>
      </c>
      <c r="K101" s="19">
        <v>23</v>
      </c>
      <c r="L101" s="19">
        <v>29</v>
      </c>
      <c r="M101" s="19">
        <v>37</v>
      </c>
      <c r="N101" s="19">
        <v>12</v>
      </c>
      <c r="O101" s="19">
        <v>66</v>
      </c>
      <c r="P101" s="19">
        <v>50</v>
      </c>
      <c r="Q101" s="19">
        <v>37</v>
      </c>
      <c r="R101" s="19">
        <v>0</v>
      </c>
      <c r="S101" s="19">
        <v>0</v>
      </c>
      <c r="T101" s="19">
        <v>38</v>
      </c>
      <c r="U101" s="6">
        <f t="shared" si="7"/>
        <v>1.3109446000000002</v>
      </c>
      <c r="V101">
        <f t="shared" si="11"/>
        <v>2.5097300000000002</v>
      </c>
      <c r="W101" s="6">
        <f t="shared" si="8"/>
        <v>1.87</v>
      </c>
      <c r="X101">
        <f t="shared" si="9"/>
        <v>12.133238400000003</v>
      </c>
      <c r="Y101" t="str">
        <f t="shared" si="10"/>
        <v>RP</v>
      </c>
    </row>
    <row r="102" spans="1:25" ht="13.5" customHeight="1" thickBot="1" x14ac:dyDescent="0.35">
      <c r="A102">
        <f t="shared" si="6"/>
        <v>29.747897904592069</v>
      </c>
      <c r="B102" s="20">
        <v>154</v>
      </c>
      <c r="C102" s="13" t="s">
        <v>182</v>
      </c>
      <c r="D102" s="21" t="s">
        <v>16</v>
      </c>
      <c r="E102" s="21" t="s">
        <v>21</v>
      </c>
      <c r="F102" s="21" t="s">
        <v>19</v>
      </c>
      <c r="G102" s="21">
        <v>18</v>
      </c>
      <c r="H102" s="21">
        <v>87</v>
      </c>
      <c r="I102" s="21">
        <v>40</v>
      </c>
      <c r="J102" s="21">
        <v>42</v>
      </c>
      <c r="K102" s="21">
        <v>17</v>
      </c>
      <c r="L102" s="21">
        <v>15</v>
      </c>
      <c r="M102" s="21">
        <v>82</v>
      </c>
      <c r="N102" s="21">
        <v>26</v>
      </c>
      <c r="O102" s="21">
        <v>64</v>
      </c>
      <c r="P102" s="21">
        <v>50</v>
      </c>
      <c r="Q102" s="21">
        <v>0</v>
      </c>
      <c r="R102" s="21">
        <v>0</v>
      </c>
      <c r="S102" s="21">
        <v>0</v>
      </c>
      <c r="T102" s="21">
        <v>40</v>
      </c>
      <c r="U102" s="6">
        <f t="shared" si="7"/>
        <v>0.95444940000000045</v>
      </c>
      <c r="V102">
        <f t="shared" si="11"/>
        <v>2.1940640000000005</v>
      </c>
      <c r="W102" s="6">
        <f t="shared" si="8"/>
        <v>2.4700000000000002</v>
      </c>
      <c r="X102">
        <f t="shared" si="9"/>
        <v>10.675925600000003</v>
      </c>
      <c r="Y102" t="str">
        <f t="shared" si="10"/>
        <v>RP</v>
      </c>
    </row>
    <row r="103" spans="1:25" ht="13.5" customHeight="1" thickBot="1" x14ac:dyDescent="0.35">
      <c r="A103">
        <f t="shared" si="6"/>
        <v>32.774317877842179</v>
      </c>
      <c r="B103" s="18">
        <v>171</v>
      </c>
      <c r="C103" s="12" t="s">
        <v>199</v>
      </c>
      <c r="D103" s="19" t="s">
        <v>16</v>
      </c>
      <c r="E103" s="19" t="s">
        <v>21</v>
      </c>
      <c r="F103" s="19" t="s">
        <v>20</v>
      </c>
      <c r="G103" s="19">
        <v>21</v>
      </c>
      <c r="H103" s="19">
        <v>66</v>
      </c>
      <c r="I103" s="19">
        <v>36</v>
      </c>
      <c r="J103" s="19">
        <v>36</v>
      </c>
      <c r="K103" s="19">
        <v>43</v>
      </c>
      <c r="L103" s="19">
        <v>21</v>
      </c>
      <c r="M103" s="19">
        <v>63</v>
      </c>
      <c r="N103" s="19">
        <v>21</v>
      </c>
      <c r="O103" s="19">
        <v>48</v>
      </c>
      <c r="P103" s="19">
        <v>85</v>
      </c>
      <c r="Q103" s="19">
        <v>0</v>
      </c>
      <c r="R103" s="19">
        <v>0</v>
      </c>
      <c r="S103" s="19">
        <v>0</v>
      </c>
      <c r="T103" s="19">
        <v>47</v>
      </c>
      <c r="U103" s="6">
        <f t="shared" si="7"/>
        <v>1.0949658000000004</v>
      </c>
      <c r="V103">
        <f t="shared" si="11"/>
        <v>2.6410920000000013</v>
      </c>
      <c r="W103" s="6">
        <f t="shared" si="8"/>
        <v>2.1</v>
      </c>
      <c r="X103">
        <f t="shared" si="9"/>
        <v>11.762047200000003</v>
      </c>
      <c r="Y103" t="str">
        <f t="shared" si="10"/>
        <v>RP</v>
      </c>
    </row>
    <row r="104" spans="1:25" ht="13.5" customHeight="1" thickBot="1" x14ac:dyDescent="0.35">
      <c r="A104">
        <f t="shared" si="6"/>
        <v>25.857039679001339</v>
      </c>
      <c r="B104" s="20">
        <v>166</v>
      </c>
      <c r="C104" s="13" t="s">
        <v>194</v>
      </c>
      <c r="D104" s="21" t="s">
        <v>16</v>
      </c>
      <c r="E104" s="21" t="s">
        <v>19</v>
      </c>
      <c r="F104" s="21" t="s">
        <v>19</v>
      </c>
      <c r="G104" s="21">
        <v>18</v>
      </c>
      <c r="H104" s="21">
        <v>60</v>
      </c>
      <c r="I104" s="21">
        <v>26</v>
      </c>
      <c r="J104" s="21">
        <v>16</v>
      </c>
      <c r="K104" s="21">
        <v>33</v>
      </c>
      <c r="L104" s="21">
        <v>30</v>
      </c>
      <c r="M104" s="21">
        <v>75</v>
      </c>
      <c r="N104" s="21">
        <v>46</v>
      </c>
      <c r="O104" s="21">
        <v>58</v>
      </c>
      <c r="P104" s="21">
        <v>58</v>
      </c>
      <c r="Q104" s="21">
        <v>0</v>
      </c>
      <c r="R104" s="21">
        <v>0</v>
      </c>
      <c r="S104" s="21">
        <v>0</v>
      </c>
      <c r="T104" s="21">
        <v>37</v>
      </c>
      <c r="U104" s="6">
        <f t="shared" si="7"/>
        <v>0.78098160000000016</v>
      </c>
      <c r="V104">
        <f t="shared" si="11"/>
        <v>2.2578240000000007</v>
      </c>
      <c r="W104" s="6">
        <f t="shared" si="8"/>
        <v>1.64</v>
      </c>
      <c r="X104">
        <f t="shared" si="9"/>
        <v>9.2795744000000031</v>
      </c>
      <c r="Y104" t="str">
        <f t="shared" si="10"/>
        <v>RP</v>
      </c>
    </row>
    <row r="105" spans="1:25" ht="13.5" customHeight="1" thickBot="1" x14ac:dyDescent="0.35">
      <c r="A105">
        <f t="shared" si="6"/>
        <v>23.620653143111902</v>
      </c>
      <c r="B105" s="20">
        <v>172</v>
      </c>
      <c r="C105" s="13" t="s">
        <v>200</v>
      </c>
      <c r="D105" s="21" t="s">
        <v>16</v>
      </c>
      <c r="E105" s="21" t="s">
        <v>19</v>
      </c>
      <c r="F105" s="21" t="s">
        <v>19</v>
      </c>
      <c r="G105" s="21">
        <v>18</v>
      </c>
      <c r="H105" s="21">
        <v>76</v>
      </c>
      <c r="I105" s="21">
        <v>38</v>
      </c>
      <c r="J105" s="21">
        <v>27</v>
      </c>
      <c r="K105" s="21">
        <v>10</v>
      </c>
      <c r="L105" s="21">
        <v>15</v>
      </c>
      <c r="M105" s="21">
        <v>72</v>
      </c>
      <c r="N105" s="21">
        <v>53</v>
      </c>
      <c r="O105" s="21">
        <v>58</v>
      </c>
      <c r="P105" s="21">
        <v>47</v>
      </c>
      <c r="Q105" s="21">
        <v>0</v>
      </c>
      <c r="R105" s="21">
        <v>0</v>
      </c>
      <c r="S105" s="21">
        <v>0</v>
      </c>
      <c r="T105" s="21">
        <v>35</v>
      </c>
      <c r="U105" s="6">
        <f t="shared" si="7"/>
        <v>0.58425500000000019</v>
      </c>
      <c r="V105">
        <f t="shared" si="11"/>
        <v>1.9299800000000005</v>
      </c>
      <c r="W105" s="6">
        <f t="shared" si="8"/>
        <v>2.2799999999999998</v>
      </c>
      <c r="X105">
        <f t="shared" si="9"/>
        <v>8.4769800000000011</v>
      </c>
      <c r="Y105" t="str">
        <f t="shared" si="10"/>
        <v>RP</v>
      </c>
    </row>
    <row r="106" spans="1:25" ht="13.5" customHeight="1" thickBot="1" x14ac:dyDescent="0.35">
      <c r="A106">
        <f t="shared" si="6"/>
        <v>27.42380294248774</v>
      </c>
      <c r="B106" s="20">
        <v>174</v>
      </c>
      <c r="C106" s="13" t="s">
        <v>202</v>
      </c>
      <c r="D106" s="21" t="s">
        <v>16</v>
      </c>
      <c r="E106" s="21" t="s">
        <v>19</v>
      </c>
      <c r="F106" s="21" t="s">
        <v>19</v>
      </c>
      <c r="G106" s="21">
        <v>18</v>
      </c>
      <c r="H106" s="21">
        <v>47</v>
      </c>
      <c r="I106" s="21">
        <v>20</v>
      </c>
      <c r="J106" s="21">
        <v>46</v>
      </c>
      <c r="K106" s="21">
        <v>15</v>
      </c>
      <c r="L106" s="21">
        <v>32</v>
      </c>
      <c r="M106" s="21">
        <v>36</v>
      </c>
      <c r="N106" s="21">
        <v>25</v>
      </c>
      <c r="O106" s="21">
        <v>62</v>
      </c>
      <c r="P106" s="21">
        <v>39</v>
      </c>
      <c r="Q106" s="21">
        <v>26</v>
      </c>
      <c r="R106" s="21">
        <v>0</v>
      </c>
      <c r="S106" s="21">
        <v>0</v>
      </c>
      <c r="T106" s="21">
        <v>32</v>
      </c>
      <c r="U106" s="6">
        <f t="shared" si="7"/>
        <v>1.1702736</v>
      </c>
      <c r="V106">
        <f t="shared" si="11"/>
        <v>1.9453800000000003</v>
      </c>
      <c r="W106" s="6">
        <f t="shared" si="8"/>
        <v>1.27</v>
      </c>
      <c r="X106">
        <f t="shared" si="9"/>
        <v>9.8418544000000008</v>
      </c>
      <c r="Y106" t="str">
        <f t="shared" si="10"/>
        <v>CRAP</v>
      </c>
    </row>
    <row r="107" spans="1:25" ht="13.5" customHeight="1" thickBot="1" x14ac:dyDescent="0.35">
      <c r="A107">
        <f t="shared" si="6"/>
        <v>21.416801159161842</v>
      </c>
      <c r="B107" s="20">
        <v>170</v>
      </c>
      <c r="C107" s="13" t="s">
        <v>198</v>
      </c>
      <c r="D107" s="21" t="s">
        <v>10</v>
      </c>
      <c r="E107" s="21" t="s">
        <v>20</v>
      </c>
      <c r="F107" s="21" t="s">
        <v>19</v>
      </c>
      <c r="G107" s="21">
        <v>21</v>
      </c>
      <c r="H107" s="21">
        <v>100</v>
      </c>
      <c r="I107" s="21">
        <v>39</v>
      </c>
      <c r="J107" s="21">
        <v>27</v>
      </c>
      <c r="K107" s="21">
        <v>44</v>
      </c>
      <c r="L107" s="21">
        <v>19</v>
      </c>
      <c r="M107" s="21">
        <v>11</v>
      </c>
      <c r="N107" s="21">
        <v>52</v>
      </c>
      <c r="O107" s="21">
        <v>51</v>
      </c>
      <c r="P107" s="21">
        <v>0</v>
      </c>
      <c r="Q107" s="21">
        <v>0</v>
      </c>
      <c r="R107" s="21">
        <v>0</v>
      </c>
      <c r="S107" s="21">
        <v>0</v>
      </c>
      <c r="T107" s="21">
        <v>49</v>
      </c>
      <c r="U107" s="6">
        <f t="shared" si="7"/>
        <v>0.82159740000000037</v>
      </c>
      <c r="V107">
        <f t="shared" si="11"/>
        <v>0.9198360000000001</v>
      </c>
      <c r="W107" s="6">
        <f t="shared" si="8"/>
        <v>2.56</v>
      </c>
      <c r="X107">
        <f t="shared" si="9"/>
        <v>7.6860616000000022</v>
      </c>
      <c r="Y107" t="str">
        <f t="shared" si="10"/>
        <v>RP</v>
      </c>
    </row>
    <row r="108" spans="1:25" ht="13.5" customHeight="1" thickBot="1" x14ac:dyDescent="0.35">
      <c r="A108">
        <f t="shared" si="6"/>
        <v>19.823727151136868</v>
      </c>
      <c r="B108" s="18">
        <v>167</v>
      </c>
      <c r="C108" s="12" t="s">
        <v>195</v>
      </c>
      <c r="D108" s="19" t="s">
        <v>9</v>
      </c>
      <c r="E108" s="19" t="s">
        <v>19</v>
      </c>
      <c r="F108" s="19" t="s">
        <v>19</v>
      </c>
      <c r="G108" s="19">
        <v>21</v>
      </c>
      <c r="H108" s="19">
        <v>98</v>
      </c>
      <c r="I108" s="19">
        <v>28</v>
      </c>
      <c r="J108" s="19">
        <v>38</v>
      </c>
      <c r="K108" s="19">
        <v>47</v>
      </c>
      <c r="L108" s="19">
        <v>22</v>
      </c>
      <c r="M108" s="19">
        <v>19</v>
      </c>
      <c r="N108" s="19">
        <v>49</v>
      </c>
      <c r="O108" s="19">
        <v>21</v>
      </c>
      <c r="P108" s="19">
        <v>0</v>
      </c>
      <c r="Q108" s="19">
        <v>0</v>
      </c>
      <c r="R108" s="19">
        <v>0</v>
      </c>
      <c r="S108" s="19">
        <v>0</v>
      </c>
      <c r="T108" s="19">
        <v>51</v>
      </c>
      <c r="U108" s="6">
        <f t="shared" si="7"/>
        <v>1.1750868000000003</v>
      </c>
      <c r="V108">
        <f t="shared" si="11"/>
        <v>0.15699600000000005</v>
      </c>
      <c r="W108" s="6">
        <f t="shared" si="8"/>
        <v>2.1</v>
      </c>
      <c r="X108">
        <f t="shared" si="9"/>
        <v>7.1143392000000016</v>
      </c>
      <c r="Y108" t="str">
        <f t="shared" si="10"/>
        <v>RP</v>
      </c>
    </row>
    <row r="109" spans="1:25" ht="13.5" customHeight="1" thickBot="1" x14ac:dyDescent="0.35">
      <c r="A109">
        <f t="shared" si="6"/>
        <v>19.474413731609449</v>
      </c>
      <c r="B109" s="18">
        <v>5</v>
      </c>
      <c r="C109" s="12" t="s">
        <v>33</v>
      </c>
      <c r="D109" s="19" t="s">
        <v>6</v>
      </c>
      <c r="E109" s="19" t="s">
        <v>19</v>
      </c>
      <c r="F109" s="19" t="s">
        <v>19</v>
      </c>
      <c r="G109" s="19">
        <v>18</v>
      </c>
      <c r="H109" s="19">
        <v>90</v>
      </c>
      <c r="I109" s="19">
        <v>20</v>
      </c>
      <c r="J109" s="19">
        <v>41</v>
      </c>
      <c r="K109" s="19">
        <v>24</v>
      </c>
      <c r="L109" s="19">
        <v>18</v>
      </c>
      <c r="M109" s="19">
        <v>2</v>
      </c>
      <c r="N109" s="19">
        <v>51</v>
      </c>
      <c r="O109" s="19">
        <v>48</v>
      </c>
      <c r="P109" s="19">
        <v>0</v>
      </c>
      <c r="Q109" s="19">
        <v>0</v>
      </c>
      <c r="R109" s="19">
        <v>0</v>
      </c>
      <c r="S109" s="19">
        <v>0</v>
      </c>
      <c r="T109" s="19">
        <v>81</v>
      </c>
      <c r="U109" s="6">
        <f t="shared" si="7"/>
        <v>0.90694840000000021</v>
      </c>
      <c r="V109">
        <f t="shared" si="11"/>
        <v>0.83059200000000022</v>
      </c>
      <c r="W109" s="6">
        <f t="shared" si="8"/>
        <v>1.7</v>
      </c>
      <c r="X109">
        <f t="shared" si="9"/>
        <v>6.988977600000001</v>
      </c>
      <c r="Y109" t="str">
        <f t="shared" si="10"/>
        <v>RP</v>
      </c>
    </row>
    <row r="110" spans="1:25" ht="13.5" customHeight="1" thickBot="1" x14ac:dyDescent="0.35">
      <c r="A110">
        <f t="shared" si="6"/>
        <v>16.155242978154259</v>
      </c>
      <c r="B110" s="20">
        <v>180</v>
      </c>
      <c r="C110" s="13" t="s">
        <v>208</v>
      </c>
      <c r="D110" s="21" t="s">
        <v>9</v>
      </c>
      <c r="E110" s="21" t="s">
        <v>19</v>
      </c>
      <c r="F110" s="21" t="s">
        <v>19</v>
      </c>
      <c r="G110" s="21">
        <v>21</v>
      </c>
      <c r="H110" s="21">
        <v>88</v>
      </c>
      <c r="I110" s="21">
        <v>29</v>
      </c>
      <c r="J110" s="21">
        <v>27</v>
      </c>
      <c r="K110" s="21">
        <v>27</v>
      </c>
      <c r="L110" s="21">
        <v>0</v>
      </c>
      <c r="M110" s="21">
        <v>11</v>
      </c>
      <c r="N110" s="21">
        <v>57</v>
      </c>
      <c r="O110" s="21">
        <v>48</v>
      </c>
      <c r="P110" s="21">
        <v>0</v>
      </c>
      <c r="Q110" s="21">
        <v>0</v>
      </c>
      <c r="R110" s="21">
        <v>0</v>
      </c>
      <c r="S110" s="21">
        <v>0</v>
      </c>
      <c r="T110" s="21">
        <v>39</v>
      </c>
      <c r="U110" s="6">
        <f t="shared" si="7"/>
        <v>0.52415240000000018</v>
      </c>
      <c r="V110">
        <f t="shared" si="11"/>
        <v>0.83059200000000022</v>
      </c>
      <c r="W110" s="6">
        <f t="shared" si="8"/>
        <v>2.04</v>
      </c>
      <c r="X110">
        <f t="shared" si="9"/>
        <v>5.7977936000000012</v>
      </c>
      <c r="Y110" t="str">
        <f t="shared" si="10"/>
        <v>RP</v>
      </c>
    </row>
    <row r="111" spans="1:25" ht="13.5" customHeight="1" thickBot="1" x14ac:dyDescent="0.35">
      <c r="A111">
        <f t="shared" si="6"/>
        <v>20.178218903254571</v>
      </c>
      <c r="B111" s="20">
        <v>36</v>
      </c>
      <c r="C111" s="13" t="s">
        <v>64</v>
      </c>
      <c r="D111" s="21" t="s">
        <v>8</v>
      </c>
      <c r="E111" s="21" t="s">
        <v>20</v>
      </c>
      <c r="F111" s="21" t="s">
        <v>19</v>
      </c>
      <c r="G111" s="21">
        <v>18</v>
      </c>
      <c r="H111" s="21">
        <v>84</v>
      </c>
      <c r="I111" s="21">
        <v>47</v>
      </c>
      <c r="J111" s="21">
        <v>18</v>
      </c>
      <c r="K111" s="21">
        <v>15</v>
      </c>
      <c r="L111" s="21">
        <v>29</v>
      </c>
      <c r="M111" s="21">
        <v>0</v>
      </c>
      <c r="N111" s="21">
        <v>27</v>
      </c>
      <c r="O111" s="21">
        <v>69</v>
      </c>
      <c r="P111" s="21">
        <v>0</v>
      </c>
      <c r="Q111" s="21">
        <v>0</v>
      </c>
      <c r="R111" s="21">
        <v>0</v>
      </c>
      <c r="S111" s="21">
        <v>0</v>
      </c>
      <c r="T111" s="21">
        <v>65</v>
      </c>
      <c r="U111" s="6">
        <f t="shared" si="7"/>
        <v>0.40878780000000003</v>
      </c>
      <c r="V111">
        <f t="shared" si="11"/>
        <v>1.4432040000000004</v>
      </c>
      <c r="W111" s="6">
        <f t="shared" si="8"/>
        <v>2.72</v>
      </c>
      <c r="X111">
        <f t="shared" si="9"/>
        <v>7.2415592000000011</v>
      </c>
      <c r="Y111" t="str">
        <f t="shared" si="10"/>
        <v>RP</v>
      </c>
    </row>
    <row r="112" spans="1:25" ht="13.5" customHeight="1" thickBot="1" x14ac:dyDescent="0.35">
      <c r="A112">
        <f t="shared" si="6"/>
        <v>18.618620151582704</v>
      </c>
      <c r="B112" s="18">
        <v>147</v>
      </c>
      <c r="C112" s="12" t="s">
        <v>175</v>
      </c>
      <c r="D112" s="19" t="s">
        <v>9</v>
      </c>
      <c r="E112" s="19" t="s">
        <v>19</v>
      </c>
      <c r="F112" s="19" t="s">
        <v>19</v>
      </c>
      <c r="G112" s="19">
        <v>18</v>
      </c>
      <c r="H112" s="19">
        <v>95</v>
      </c>
      <c r="I112" s="19">
        <v>28</v>
      </c>
      <c r="J112" s="19">
        <v>28</v>
      </c>
      <c r="K112" s="19">
        <v>9</v>
      </c>
      <c r="L112" s="19">
        <v>27</v>
      </c>
      <c r="M112" s="19">
        <v>2</v>
      </c>
      <c r="N112" s="19">
        <v>37</v>
      </c>
      <c r="O112" s="19">
        <v>60</v>
      </c>
      <c r="P112" s="19">
        <v>0</v>
      </c>
      <c r="Q112" s="19">
        <v>0</v>
      </c>
      <c r="R112" s="19">
        <v>0</v>
      </c>
      <c r="S112" s="19">
        <v>0</v>
      </c>
      <c r="T112" s="19">
        <v>43</v>
      </c>
      <c r="U112" s="6">
        <f t="shared" si="7"/>
        <v>0.5589626000000002</v>
      </c>
      <c r="V112">
        <f t="shared" si="11"/>
        <v>1.1880000000000004</v>
      </c>
      <c r="W112" s="6">
        <f t="shared" si="8"/>
        <v>2.0699999999999998</v>
      </c>
      <c r="X112">
        <f t="shared" si="9"/>
        <v>6.6818504000000019</v>
      </c>
      <c r="Y112" t="str">
        <f t="shared" si="10"/>
        <v>RP</v>
      </c>
    </row>
    <row r="113" spans="1:25" ht="13.5" customHeight="1" thickBot="1" x14ac:dyDescent="0.35">
      <c r="A113">
        <f t="shared" si="6"/>
        <v>16.576562639322336</v>
      </c>
      <c r="B113" s="18">
        <v>81</v>
      </c>
      <c r="C113" s="12" t="s">
        <v>109</v>
      </c>
      <c r="D113" s="19" t="s">
        <v>3</v>
      </c>
      <c r="E113" s="19" t="s">
        <v>21</v>
      </c>
      <c r="F113" s="19" t="s">
        <v>19</v>
      </c>
      <c r="G113" s="19">
        <v>18</v>
      </c>
      <c r="H113" s="19">
        <v>90</v>
      </c>
      <c r="I113" s="19">
        <v>33</v>
      </c>
      <c r="J113" s="19">
        <v>16</v>
      </c>
      <c r="K113" s="19">
        <v>7</v>
      </c>
      <c r="L113" s="19">
        <v>0</v>
      </c>
      <c r="M113" s="19">
        <v>22</v>
      </c>
      <c r="N113" s="19">
        <v>49</v>
      </c>
      <c r="O113" s="19">
        <v>71</v>
      </c>
      <c r="P113" s="19">
        <v>0</v>
      </c>
      <c r="Q113" s="19">
        <v>0</v>
      </c>
      <c r="R113" s="19">
        <v>0</v>
      </c>
      <c r="S113" s="19">
        <v>0</v>
      </c>
      <c r="T113" s="19">
        <v>55</v>
      </c>
      <c r="U113" s="6">
        <f t="shared" si="7"/>
        <v>0.18405120000000003</v>
      </c>
      <c r="V113">
        <f t="shared" si="11"/>
        <v>1.4963960000000003</v>
      </c>
      <c r="W113" s="6">
        <f t="shared" si="8"/>
        <v>2.2200000000000002</v>
      </c>
      <c r="X113">
        <f t="shared" si="9"/>
        <v>5.9489968000000015</v>
      </c>
      <c r="Y113" t="str">
        <f t="shared" si="10"/>
        <v>RP</v>
      </c>
    </row>
    <row r="114" spans="1:25" ht="13.5" customHeight="1" thickBot="1" x14ac:dyDescent="0.35">
      <c r="A114">
        <f t="shared" si="6"/>
        <v>19.16820106999554</v>
      </c>
      <c r="B114" s="20">
        <v>30</v>
      </c>
      <c r="C114" s="13" t="s">
        <v>58</v>
      </c>
      <c r="D114" s="21" t="s">
        <v>8</v>
      </c>
      <c r="E114" s="21" t="s">
        <v>19</v>
      </c>
      <c r="F114" s="21" t="s">
        <v>19</v>
      </c>
      <c r="G114" s="21">
        <v>18</v>
      </c>
      <c r="H114" s="21">
        <v>84</v>
      </c>
      <c r="I114" s="21">
        <v>33</v>
      </c>
      <c r="J114" s="21">
        <v>30</v>
      </c>
      <c r="K114" s="21">
        <v>15</v>
      </c>
      <c r="L114" s="21">
        <v>5</v>
      </c>
      <c r="M114" s="21">
        <v>0</v>
      </c>
      <c r="N114" s="21">
        <v>30</v>
      </c>
      <c r="O114" s="21">
        <v>73</v>
      </c>
      <c r="P114" s="21">
        <v>0</v>
      </c>
      <c r="Q114" s="21">
        <v>0</v>
      </c>
      <c r="R114" s="21">
        <v>0</v>
      </c>
      <c r="S114" s="21">
        <v>0</v>
      </c>
      <c r="T114" s="21">
        <v>67</v>
      </c>
      <c r="U114" s="6">
        <f t="shared" si="7"/>
        <v>0.4058250000000001</v>
      </c>
      <c r="V114">
        <f t="shared" si="11"/>
        <v>1.5478920000000003</v>
      </c>
      <c r="W114" s="6">
        <f t="shared" si="8"/>
        <v>2.16</v>
      </c>
      <c r="X114">
        <f t="shared" si="9"/>
        <v>6.8790840000000006</v>
      </c>
      <c r="Y114" t="str">
        <f t="shared" si="10"/>
        <v>RP</v>
      </c>
    </row>
    <row r="115" spans="1:25" ht="13.5" customHeight="1" thickBot="1" x14ac:dyDescent="0.35">
      <c r="A115">
        <f t="shared" si="6"/>
        <v>16.799592064199736</v>
      </c>
      <c r="B115" s="20">
        <v>68</v>
      </c>
      <c r="C115" s="13" t="s">
        <v>96</v>
      </c>
      <c r="D115" s="21" t="s">
        <v>7</v>
      </c>
      <c r="E115" s="21" t="s">
        <v>19</v>
      </c>
      <c r="F115" s="21" t="s">
        <v>19</v>
      </c>
      <c r="G115" s="21">
        <v>20</v>
      </c>
      <c r="H115" s="21">
        <v>83</v>
      </c>
      <c r="I115" s="21">
        <v>20</v>
      </c>
      <c r="J115" s="21">
        <v>13</v>
      </c>
      <c r="K115" s="21">
        <v>6</v>
      </c>
      <c r="L115" s="21">
        <v>1</v>
      </c>
      <c r="M115" s="21">
        <v>0</v>
      </c>
      <c r="N115" s="21">
        <v>44</v>
      </c>
      <c r="O115" s="21">
        <v>99</v>
      </c>
      <c r="P115" s="21">
        <v>0</v>
      </c>
      <c r="Q115" s="21">
        <v>0</v>
      </c>
      <c r="R115" s="21">
        <v>0</v>
      </c>
      <c r="S115" s="21">
        <v>0</v>
      </c>
      <c r="T115" s="21">
        <v>66</v>
      </c>
      <c r="U115" s="6">
        <f t="shared" si="7"/>
        <v>0.11193740000000002</v>
      </c>
      <c r="V115">
        <f t="shared" si="11"/>
        <v>1.9756440000000013</v>
      </c>
      <c r="W115" s="6">
        <f t="shared" si="8"/>
        <v>1.63</v>
      </c>
      <c r="X115">
        <f t="shared" si="9"/>
        <v>6.0290376000000023</v>
      </c>
      <c r="Y115" t="str">
        <f t="shared" si="10"/>
        <v>RP</v>
      </c>
    </row>
    <row r="116" spans="1:25" ht="13.5" customHeight="1" thickBot="1" x14ac:dyDescent="0.35">
      <c r="A116">
        <f t="shared" si="6"/>
        <v>17.51445608559964</v>
      </c>
      <c r="B116" s="20">
        <v>200</v>
      </c>
      <c r="C116" s="13" t="s">
        <v>228</v>
      </c>
      <c r="D116" s="21" t="s">
        <v>4</v>
      </c>
      <c r="E116" s="21" t="s">
        <v>20</v>
      </c>
      <c r="F116" s="21" t="s">
        <v>20</v>
      </c>
      <c r="G116" s="21">
        <v>22</v>
      </c>
      <c r="H116" s="21">
        <v>75</v>
      </c>
      <c r="I116" s="21">
        <v>8</v>
      </c>
      <c r="J116" s="21">
        <v>0</v>
      </c>
      <c r="K116" s="21">
        <v>16</v>
      </c>
      <c r="L116" s="21">
        <v>39</v>
      </c>
      <c r="M116" s="21">
        <v>20</v>
      </c>
      <c r="N116" s="21">
        <v>35</v>
      </c>
      <c r="O116" s="21">
        <v>73</v>
      </c>
      <c r="P116" s="21">
        <v>0</v>
      </c>
      <c r="Q116" s="21">
        <v>0</v>
      </c>
      <c r="R116" s="21">
        <v>0</v>
      </c>
      <c r="S116" s="21">
        <v>0</v>
      </c>
      <c r="T116" s="21">
        <v>42</v>
      </c>
      <c r="U116" s="6">
        <f t="shared" si="7"/>
        <v>0.52995100000000006</v>
      </c>
      <c r="V116">
        <f t="shared" si="11"/>
        <v>1.5478920000000003</v>
      </c>
      <c r="W116" s="6">
        <f t="shared" si="8"/>
        <v>1.07</v>
      </c>
      <c r="X116">
        <f t="shared" si="9"/>
        <v>6.2855880000000006</v>
      </c>
      <c r="Y116" t="str">
        <f t="shared" si="10"/>
        <v>RP</v>
      </c>
    </row>
    <row r="117" spans="1:25" ht="13.5" customHeight="1" thickBot="1" x14ac:dyDescent="0.35">
      <c r="A117">
        <f t="shared" si="6"/>
        <v>14.558967900133748</v>
      </c>
      <c r="B117" s="18">
        <v>1</v>
      </c>
      <c r="C117" s="12" t="s">
        <v>29</v>
      </c>
      <c r="D117" s="19" t="s">
        <v>10</v>
      </c>
      <c r="E117" s="19" t="s">
        <v>21</v>
      </c>
      <c r="F117" s="19" t="s">
        <v>19</v>
      </c>
      <c r="G117" s="19">
        <v>18</v>
      </c>
      <c r="H117" s="19">
        <v>90</v>
      </c>
      <c r="I117" s="19">
        <v>10</v>
      </c>
      <c r="J117" s="19">
        <v>11</v>
      </c>
      <c r="K117" s="19">
        <v>10</v>
      </c>
      <c r="L117" s="19">
        <v>11</v>
      </c>
      <c r="M117" s="19">
        <v>17</v>
      </c>
      <c r="N117" s="19">
        <v>52</v>
      </c>
      <c r="O117" s="19">
        <v>77</v>
      </c>
      <c r="P117" s="19">
        <v>0</v>
      </c>
      <c r="Q117" s="19">
        <v>0</v>
      </c>
      <c r="R117" s="19">
        <v>0</v>
      </c>
      <c r="S117" s="19">
        <v>0</v>
      </c>
      <c r="T117" s="19">
        <v>88</v>
      </c>
      <c r="U117" s="6">
        <f t="shared" si="7"/>
        <v>0.15871660000000007</v>
      </c>
      <c r="V117">
        <f t="shared" si="11"/>
        <v>1.6450280000000004</v>
      </c>
      <c r="W117" s="6">
        <f t="shared" si="8"/>
        <v>1.3</v>
      </c>
      <c r="X117">
        <f t="shared" si="9"/>
        <v>5.2249224000000014</v>
      </c>
      <c r="Y117" t="str">
        <f t="shared" si="10"/>
        <v>RP</v>
      </c>
    </row>
    <row r="118" spans="1:25" ht="13.5" customHeight="1" thickBot="1" x14ac:dyDescent="0.35">
      <c r="A118">
        <f t="shared" si="6"/>
        <v>15.98261480160499</v>
      </c>
      <c r="B118" s="18">
        <v>47</v>
      </c>
      <c r="C118" s="12" t="s">
        <v>75</v>
      </c>
      <c r="D118" s="19" t="s">
        <v>5</v>
      </c>
      <c r="E118" s="19" t="s">
        <v>19</v>
      </c>
      <c r="F118" s="19" t="s">
        <v>19</v>
      </c>
      <c r="G118" s="19">
        <v>18</v>
      </c>
      <c r="H118" s="19">
        <v>76</v>
      </c>
      <c r="I118" s="19">
        <v>30</v>
      </c>
      <c r="J118" s="19">
        <v>26</v>
      </c>
      <c r="K118" s="19">
        <v>0</v>
      </c>
      <c r="L118" s="19">
        <v>1</v>
      </c>
      <c r="M118" s="19">
        <v>10</v>
      </c>
      <c r="N118" s="19">
        <v>43</v>
      </c>
      <c r="O118" s="19">
        <v>62</v>
      </c>
      <c r="P118" s="19">
        <v>0</v>
      </c>
      <c r="Q118" s="19">
        <v>0</v>
      </c>
      <c r="R118" s="19">
        <v>0</v>
      </c>
      <c r="S118" s="19">
        <v>0</v>
      </c>
      <c r="T118" s="19">
        <v>62</v>
      </c>
      <c r="U118" s="6">
        <f t="shared" si="7"/>
        <v>0.32073620000000008</v>
      </c>
      <c r="V118">
        <f t="shared" si="11"/>
        <v>1.2464480000000002</v>
      </c>
      <c r="W118" s="6">
        <f t="shared" si="8"/>
        <v>1.96</v>
      </c>
      <c r="X118">
        <f t="shared" si="9"/>
        <v>5.735840800000001</v>
      </c>
      <c r="Y118" t="str">
        <f t="shared" si="10"/>
        <v>RP</v>
      </c>
    </row>
    <row r="119" spans="1:25" ht="13.5" customHeight="1" thickBot="1" x14ac:dyDescent="0.35">
      <c r="A119">
        <f t="shared" si="6"/>
        <v>16.390572893446279</v>
      </c>
      <c r="B119" s="18">
        <v>69</v>
      </c>
      <c r="C119" s="12" t="s">
        <v>97</v>
      </c>
      <c r="D119" s="19" t="s">
        <v>10</v>
      </c>
      <c r="E119" s="19" t="s">
        <v>19</v>
      </c>
      <c r="F119" s="19" t="s">
        <v>19</v>
      </c>
      <c r="G119" s="19">
        <v>18</v>
      </c>
      <c r="H119" s="19">
        <v>77</v>
      </c>
      <c r="I119" s="19">
        <v>30</v>
      </c>
      <c r="J119" s="19">
        <v>7</v>
      </c>
      <c r="K119" s="19">
        <v>11</v>
      </c>
      <c r="L119" s="19">
        <v>3</v>
      </c>
      <c r="M119" s="19">
        <v>13</v>
      </c>
      <c r="N119" s="19">
        <v>40</v>
      </c>
      <c r="O119" s="19">
        <v>85</v>
      </c>
      <c r="P119" s="19">
        <v>0</v>
      </c>
      <c r="Q119" s="19">
        <v>0</v>
      </c>
      <c r="R119" s="19">
        <v>0</v>
      </c>
      <c r="S119" s="19">
        <v>0</v>
      </c>
      <c r="T119" s="19">
        <v>58</v>
      </c>
      <c r="U119" s="6">
        <f t="shared" si="7"/>
        <v>7.2812200000000021E-2</v>
      </c>
      <c r="V119">
        <f t="shared" si="11"/>
        <v>1.8105000000000009</v>
      </c>
      <c r="W119" s="6">
        <f t="shared" si="8"/>
        <v>1.97</v>
      </c>
      <c r="X119">
        <f t="shared" si="9"/>
        <v>5.8822488000000019</v>
      </c>
      <c r="Y119" t="str">
        <f t="shared" si="10"/>
        <v>RP</v>
      </c>
    </row>
    <row r="120" spans="1:25" ht="13.5" customHeight="1" thickBot="1" x14ac:dyDescent="0.35">
      <c r="A120">
        <f t="shared" si="6"/>
        <v>13.41395452518948</v>
      </c>
      <c r="B120" s="20">
        <v>130</v>
      </c>
      <c r="C120" s="13" t="s">
        <v>158</v>
      </c>
      <c r="D120" s="21" t="s">
        <v>6</v>
      </c>
      <c r="E120" s="21" t="s">
        <v>19</v>
      </c>
      <c r="F120" s="21" t="s">
        <v>19</v>
      </c>
      <c r="G120" s="21">
        <v>18</v>
      </c>
      <c r="H120" s="21">
        <v>86</v>
      </c>
      <c r="I120" s="21">
        <v>25</v>
      </c>
      <c r="J120" s="21">
        <v>23</v>
      </c>
      <c r="K120" s="21">
        <v>4</v>
      </c>
      <c r="L120" s="21">
        <v>6</v>
      </c>
      <c r="M120" s="21">
        <v>18</v>
      </c>
      <c r="N120" s="21">
        <v>57</v>
      </c>
      <c r="O120" s="21">
        <v>49</v>
      </c>
      <c r="P120" s="21">
        <v>0</v>
      </c>
      <c r="Q120" s="21">
        <v>0</v>
      </c>
      <c r="R120" s="21">
        <v>0</v>
      </c>
      <c r="S120" s="21">
        <v>0</v>
      </c>
      <c r="T120" s="21">
        <v>45</v>
      </c>
      <c r="U120" s="6">
        <f t="shared" si="7"/>
        <v>0.3083780000000001</v>
      </c>
      <c r="V120">
        <f t="shared" si="11"/>
        <v>0.86024400000000023</v>
      </c>
      <c r="W120" s="6">
        <f t="shared" si="8"/>
        <v>1.86</v>
      </c>
      <c r="X120">
        <f t="shared" si="9"/>
        <v>4.8140000000000009</v>
      </c>
      <c r="Y120" t="str">
        <f t="shared" si="10"/>
        <v>RP</v>
      </c>
    </row>
    <row r="121" spans="1:25" ht="13.5" customHeight="1" thickBot="1" x14ac:dyDescent="0.35">
      <c r="A121">
        <f t="shared" si="6"/>
        <v>16.190193936691934</v>
      </c>
      <c r="B121" s="20">
        <v>188</v>
      </c>
      <c r="C121" s="13" t="s">
        <v>216</v>
      </c>
      <c r="D121" s="21" t="s">
        <v>4</v>
      </c>
      <c r="E121" s="21" t="s">
        <v>21</v>
      </c>
      <c r="F121" s="21" t="s">
        <v>19</v>
      </c>
      <c r="G121" s="21">
        <v>18</v>
      </c>
      <c r="H121" s="21">
        <v>79</v>
      </c>
      <c r="I121" s="21">
        <v>30</v>
      </c>
      <c r="J121" s="21">
        <v>9</v>
      </c>
      <c r="K121" s="21">
        <v>9</v>
      </c>
      <c r="L121" s="21">
        <v>13</v>
      </c>
      <c r="M121" s="21">
        <v>18</v>
      </c>
      <c r="N121" s="21">
        <v>40</v>
      </c>
      <c r="O121" s="21">
        <v>78</v>
      </c>
      <c r="P121" s="21">
        <v>0</v>
      </c>
      <c r="Q121" s="21">
        <v>0</v>
      </c>
      <c r="R121" s="21">
        <v>0</v>
      </c>
      <c r="S121" s="21">
        <v>0</v>
      </c>
      <c r="T121" s="21">
        <v>53</v>
      </c>
      <c r="U121" s="6">
        <f t="shared" si="7"/>
        <v>0.12110820000000003</v>
      </c>
      <c r="V121">
        <f t="shared" si="11"/>
        <v>1.6679520000000005</v>
      </c>
      <c r="W121" s="6">
        <f t="shared" si="8"/>
        <v>1.99</v>
      </c>
      <c r="X121">
        <f t="shared" si="9"/>
        <v>5.8103368000000009</v>
      </c>
      <c r="Y121" t="str">
        <f t="shared" si="10"/>
        <v>RP</v>
      </c>
    </row>
    <row r="122" spans="1:25" ht="13.5" customHeight="1" thickBot="1" x14ac:dyDescent="0.35">
      <c r="A122">
        <f t="shared" si="6"/>
        <v>16.720287561301827</v>
      </c>
      <c r="B122" s="18">
        <v>21</v>
      </c>
      <c r="C122" s="12" t="s">
        <v>49</v>
      </c>
      <c r="D122" s="19" t="s">
        <v>3</v>
      </c>
      <c r="E122" s="19" t="s">
        <v>19</v>
      </c>
      <c r="F122" s="19" t="s">
        <v>19</v>
      </c>
      <c r="G122" s="19">
        <v>18</v>
      </c>
      <c r="H122" s="19">
        <v>96</v>
      </c>
      <c r="I122" s="19">
        <v>31</v>
      </c>
      <c r="J122" s="19">
        <v>21</v>
      </c>
      <c r="K122" s="19">
        <v>29</v>
      </c>
      <c r="L122" s="19">
        <v>19</v>
      </c>
      <c r="M122" s="19">
        <v>13</v>
      </c>
      <c r="N122" s="19">
        <v>35</v>
      </c>
      <c r="O122" s="19">
        <v>53</v>
      </c>
      <c r="P122" s="19">
        <v>0</v>
      </c>
      <c r="Q122" s="19">
        <v>0</v>
      </c>
      <c r="R122" s="19">
        <v>0</v>
      </c>
      <c r="S122" s="19">
        <v>0</v>
      </c>
      <c r="T122" s="19">
        <v>70</v>
      </c>
      <c r="U122" s="6">
        <f t="shared" si="7"/>
        <v>0.46031820000000012</v>
      </c>
      <c r="V122">
        <f t="shared" si="11"/>
        <v>0.9796520000000003</v>
      </c>
      <c r="W122" s="6">
        <f t="shared" si="8"/>
        <v>2.2000000000000002</v>
      </c>
      <c r="X122">
        <f t="shared" si="9"/>
        <v>6.000576800000001</v>
      </c>
      <c r="Y122" t="str">
        <f t="shared" si="10"/>
        <v>RP</v>
      </c>
    </row>
    <row r="123" spans="1:25" ht="13.5" customHeight="1" thickBot="1" x14ac:dyDescent="0.35">
      <c r="A123">
        <f t="shared" si="6"/>
        <v>16.968508693713776</v>
      </c>
      <c r="B123" s="18">
        <v>185</v>
      </c>
      <c r="C123" s="12" t="s">
        <v>213</v>
      </c>
      <c r="D123" s="19" t="s">
        <v>4</v>
      </c>
      <c r="E123" s="19" t="s">
        <v>19</v>
      </c>
      <c r="F123" s="19" t="s">
        <v>19</v>
      </c>
      <c r="G123" s="19">
        <v>18</v>
      </c>
      <c r="H123" s="19">
        <v>61</v>
      </c>
      <c r="I123" s="19">
        <v>36</v>
      </c>
      <c r="J123" s="19">
        <v>3</v>
      </c>
      <c r="K123" s="19">
        <v>16</v>
      </c>
      <c r="L123" s="19">
        <v>29</v>
      </c>
      <c r="M123" s="19">
        <v>15</v>
      </c>
      <c r="N123" s="19">
        <v>31</v>
      </c>
      <c r="O123" s="19">
        <v>67</v>
      </c>
      <c r="P123" s="19">
        <v>0</v>
      </c>
      <c r="Q123" s="19">
        <v>0</v>
      </c>
      <c r="R123" s="19">
        <v>0</v>
      </c>
      <c r="S123" s="19">
        <v>0</v>
      </c>
      <c r="T123" s="19">
        <v>46</v>
      </c>
      <c r="U123" s="6">
        <f t="shared" si="7"/>
        <v>0.31566060000000007</v>
      </c>
      <c r="V123">
        <f t="shared" si="11"/>
        <v>1.3885080000000003</v>
      </c>
      <c r="W123" s="6">
        <f t="shared" si="8"/>
        <v>2.0499999999999998</v>
      </c>
      <c r="X123">
        <f t="shared" si="9"/>
        <v>6.0896584000000002</v>
      </c>
      <c r="Y123" t="str">
        <f t="shared" si="10"/>
        <v>RP</v>
      </c>
    </row>
    <row r="124" spans="1:25" ht="13.5" customHeight="1" thickBot="1" x14ac:dyDescent="0.35">
      <c r="A124">
        <f t="shared" si="6"/>
        <v>13.156943825234062</v>
      </c>
      <c r="B124" s="20">
        <v>124</v>
      </c>
      <c r="C124" s="13" t="s">
        <v>152</v>
      </c>
      <c r="D124" s="21" t="s">
        <v>8</v>
      </c>
      <c r="E124" s="21" t="s">
        <v>20</v>
      </c>
      <c r="F124" s="21" t="s">
        <v>19</v>
      </c>
      <c r="G124" s="21">
        <v>18</v>
      </c>
      <c r="H124" s="21">
        <v>86</v>
      </c>
      <c r="I124" s="21">
        <v>15</v>
      </c>
      <c r="J124" s="21">
        <v>0</v>
      </c>
      <c r="K124" s="21">
        <v>7</v>
      </c>
      <c r="L124" s="21">
        <v>21</v>
      </c>
      <c r="M124" s="21">
        <v>5</v>
      </c>
      <c r="N124" s="21">
        <v>55</v>
      </c>
      <c r="O124" s="21">
        <v>60</v>
      </c>
      <c r="P124" s="21">
        <v>0</v>
      </c>
      <c r="Q124" s="21">
        <v>0</v>
      </c>
      <c r="R124" s="21">
        <v>0</v>
      </c>
      <c r="S124" s="21">
        <v>0</v>
      </c>
      <c r="T124" s="21">
        <v>46</v>
      </c>
      <c r="U124" s="6">
        <f t="shared" si="7"/>
        <v>0.22144100000000011</v>
      </c>
      <c r="V124">
        <f t="shared" si="11"/>
        <v>1.1880000000000004</v>
      </c>
      <c r="W124" s="6">
        <f t="shared" si="8"/>
        <v>1.46</v>
      </c>
      <c r="X124">
        <f t="shared" si="9"/>
        <v>4.7217640000000012</v>
      </c>
      <c r="Y124" t="str">
        <f t="shared" si="10"/>
        <v>RP</v>
      </c>
    </row>
    <row r="125" spans="1:25" ht="13.5" customHeight="1" thickBot="1" x14ac:dyDescent="0.35">
      <c r="A125">
        <f t="shared" si="6"/>
        <v>16.654491752117703</v>
      </c>
      <c r="B125" s="18">
        <v>59</v>
      </c>
      <c r="C125" s="12" t="s">
        <v>87</v>
      </c>
      <c r="D125" s="19" t="s">
        <v>8</v>
      </c>
      <c r="E125" s="19" t="s">
        <v>20</v>
      </c>
      <c r="F125" s="19" t="s">
        <v>19</v>
      </c>
      <c r="G125" s="19">
        <v>18</v>
      </c>
      <c r="H125" s="19">
        <v>95</v>
      </c>
      <c r="I125" s="19">
        <v>14</v>
      </c>
      <c r="J125" s="19">
        <v>7</v>
      </c>
      <c r="K125" s="19">
        <v>24</v>
      </c>
      <c r="L125" s="19">
        <v>17</v>
      </c>
      <c r="M125" s="19">
        <v>0</v>
      </c>
      <c r="N125" s="19">
        <v>30</v>
      </c>
      <c r="O125" s="19">
        <v>85</v>
      </c>
      <c r="P125" s="19">
        <v>0</v>
      </c>
      <c r="Q125" s="19">
        <v>0</v>
      </c>
      <c r="R125" s="19">
        <v>0</v>
      </c>
      <c r="S125" s="19">
        <v>0</v>
      </c>
      <c r="T125" s="19">
        <v>60</v>
      </c>
      <c r="U125" s="6">
        <f t="shared" si="7"/>
        <v>0.21149100000000004</v>
      </c>
      <c r="V125">
        <f t="shared" si="11"/>
        <v>1.8105000000000009</v>
      </c>
      <c r="W125" s="6">
        <f t="shared" si="8"/>
        <v>1.51</v>
      </c>
      <c r="X125">
        <f t="shared" si="9"/>
        <v>5.9769640000000015</v>
      </c>
      <c r="Y125" t="str">
        <f t="shared" si="10"/>
        <v>RP</v>
      </c>
    </row>
    <row r="126" spans="1:25" ht="13.5" customHeight="1" thickBot="1" x14ac:dyDescent="0.35">
      <c r="A126">
        <f t="shared" si="6"/>
        <v>16.052224699063753</v>
      </c>
      <c r="B126" s="20">
        <v>98</v>
      </c>
      <c r="C126" s="13" t="s">
        <v>126</v>
      </c>
      <c r="D126" s="21" t="s">
        <v>7</v>
      </c>
      <c r="E126" s="21" t="s">
        <v>20</v>
      </c>
      <c r="F126" s="21" t="s">
        <v>19</v>
      </c>
      <c r="G126" s="21">
        <v>19</v>
      </c>
      <c r="H126" s="21">
        <v>76</v>
      </c>
      <c r="I126" s="21">
        <v>30</v>
      </c>
      <c r="J126" s="21">
        <v>2</v>
      </c>
      <c r="K126" s="21">
        <v>24</v>
      </c>
      <c r="L126" s="21">
        <v>22</v>
      </c>
      <c r="M126" s="21">
        <v>2</v>
      </c>
      <c r="N126" s="21">
        <v>32</v>
      </c>
      <c r="O126" s="21">
        <v>66</v>
      </c>
      <c r="P126" s="21">
        <v>0</v>
      </c>
      <c r="Q126" s="21">
        <v>0</v>
      </c>
      <c r="R126" s="21">
        <v>0</v>
      </c>
      <c r="S126" s="21">
        <v>0</v>
      </c>
      <c r="T126" s="21">
        <v>58</v>
      </c>
      <c r="U126" s="6">
        <f t="shared" si="7"/>
        <v>0.26987760000000005</v>
      </c>
      <c r="V126">
        <f t="shared" si="11"/>
        <v>1.3606560000000001</v>
      </c>
      <c r="W126" s="6">
        <f t="shared" si="8"/>
        <v>1.96</v>
      </c>
      <c r="X126">
        <f t="shared" si="9"/>
        <v>5.7608224000000003</v>
      </c>
      <c r="Y126" t="str">
        <f t="shared" si="10"/>
        <v>RP</v>
      </c>
    </row>
    <row r="127" spans="1:25" ht="13.5" customHeight="1" thickBot="1" x14ac:dyDescent="0.35">
      <c r="A127">
        <f t="shared" si="6"/>
        <v>16.356830138207759</v>
      </c>
      <c r="B127" s="20">
        <v>90</v>
      </c>
      <c r="C127" s="13" t="s">
        <v>118</v>
      </c>
      <c r="D127" s="21" t="s">
        <v>5</v>
      </c>
      <c r="E127" s="21" t="s">
        <v>19</v>
      </c>
      <c r="F127" s="21" t="s">
        <v>19</v>
      </c>
      <c r="G127" s="21">
        <v>18</v>
      </c>
      <c r="H127" s="21">
        <v>87</v>
      </c>
      <c r="I127" s="21">
        <v>43</v>
      </c>
      <c r="J127" s="21">
        <v>13</v>
      </c>
      <c r="K127" s="21">
        <v>0</v>
      </c>
      <c r="L127" s="21">
        <v>6</v>
      </c>
      <c r="M127" s="21">
        <v>6</v>
      </c>
      <c r="N127" s="21">
        <v>28</v>
      </c>
      <c r="O127" s="21">
        <v>71</v>
      </c>
      <c r="P127" s="21">
        <v>0</v>
      </c>
      <c r="Q127" s="21">
        <v>0</v>
      </c>
      <c r="R127" s="21">
        <v>0</v>
      </c>
      <c r="S127" s="21">
        <v>0</v>
      </c>
      <c r="T127" s="21">
        <v>53</v>
      </c>
      <c r="U127" s="6">
        <f t="shared" si="7"/>
        <v>7.183680000000002E-2</v>
      </c>
      <c r="V127">
        <f t="shared" si="11"/>
        <v>1.4963960000000003</v>
      </c>
      <c r="W127" s="6">
        <f t="shared" si="8"/>
        <v>2.59</v>
      </c>
      <c r="X127">
        <f t="shared" si="9"/>
        <v>5.8701392000000006</v>
      </c>
      <c r="Y127" t="str">
        <f t="shared" si="10"/>
        <v>RP</v>
      </c>
    </row>
    <row r="128" spans="1:25" ht="13.5" customHeight="1" thickBot="1" x14ac:dyDescent="0.35">
      <c r="A128">
        <f t="shared" si="6"/>
        <v>16.256370931787785</v>
      </c>
      <c r="B128" s="18">
        <v>129</v>
      </c>
      <c r="C128" s="12" t="s">
        <v>157</v>
      </c>
      <c r="D128" s="19" t="s">
        <v>10</v>
      </c>
      <c r="E128" s="19" t="s">
        <v>19</v>
      </c>
      <c r="F128" s="19" t="s">
        <v>19</v>
      </c>
      <c r="G128" s="19">
        <v>18</v>
      </c>
      <c r="H128" s="19">
        <v>84</v>
      </c>
      <c r="I128" s="19">
        <v>22</v>
      </c>
      <c r="J128" s="19">
        <v>6</v>
      </c>
      <c r="K128" s="19">
        <v>10</v>
      </c>
      <c r="L128" s="19">
        <v>14</v>
      </c>
      <c r="M128" s="19">
        <v>1</v>
      </c>
      <c r="N128" s="19">
        <v>25</v>
      </c>
      <c r="O128" s="19">
        <v>92</v>
      </c>
      <c r="P128" s="19">
        <v>0</v>
      </c>
      <c r="Q128" s="19">
        <v>0</v>
      </c>
      <c r="R128" s="19">
        <v>0</v>
      </c>
      <c r="S128" s="19">
        <v>0</v>
      </c>
      <c r="T128" s="19">
        <v>45</v>
      </c>
      <c r="U128" s="6">
        <f t="shared" si="7"/>
        <v>7.061760000000003E-2</v>
      </c>
      <c r="V128">
        <f t="shared" si="11"/>
        <v>1.9158080000000006</v>
      </c>
      <c r="W128" s="6">
        <f t="shared" si="8"/>
        <v>1.72</v>
      </c>
      <c r="X128">
        <f t="shared" si="9"/>
        <v>5.8340864000000012</v>
      </c>
      <c r="Y128" t="str">
        <f t="shared" si="10"/>
        <v>RP</v>
      </c>
    </row>
    <row r="129" spans="1:25" ht="13.5" customHeight="1" thickBot="1" x14ac:dyDescent="0.35">
      <c r="A129">
        <f t="shared" si="6"/>
        <v>14.642944716897013</v>
      </c>
      <c r="B129" s="20">
        <v>8</v>
      </c>
      <c r="C129" s="13" t="s">
        <v>36</v>
      </c>
      <c r="D129" s="21" t="s">
        <v>8</v>
      </c>
      <c r="E129" s="21" t="s">
        <v>19</v>
      </c>
      <c r="F129" s="21" t="s">
        <v>19</v>
      </c>
      <c r="G129" s="21">
        <v>18</v>
      </c>
      <c r="H129" s="21">
        <v>96</v>
      </c>
      <c r="I129" s="21">
        <v>35</v>
      </c>
      <c r="J129" s="21">
        <v>18</v>
      </c>
      <c r="K129" s="21">
        <v>8</v>
      </c>
      <c r="L129" s="21">
        <v>5</v>
      </c>
      <c r="M129" s="21">
        <v>8</v>
      </c>
      <c r="N129" s="21">
        <v>37</v>
      </c>
      <c r="O129" s="21">
        <v>58</v>
      </c>
      <c r="P129" s="21">
        <v>0</v>
      </c>
      <c r="Q129" s="21">
        <v>0</v>
      </c>
      <c r="R129" s="21">
        <v>0</v>
      </c>
      <c r="S129" s="21">
        <v>0</v>
      </c>
      <c r="T129" s="21">
        <v>78</v>
      </c>
      <c r="U129" s="6">
        <f t="shared" si="7"/>
        <v>0.15930900000000003</v>
      </c>
      <c r="V129">
        <f t="shared" si="11"/>
        <v>1.1289120000000004</v>
      </c>
      <c r="W129" s="6">
        <f t="shared" si="8"/>
        <v>2.36</v>
      </c>
      <c r="X129">
        <f t="shared" si="9"/>
        <v>5.2550600000000003</v>
      </c>
      <c r="Y129" t="str">
        <f t="shared" si="10"/>
        <v>RP</v>
      </c>
    </row>
    <row r="130" spans="1:25" ht="13.5" customHeight="1" thickBot="1" x14ac:dyDescent="0.35">
      <c r="A130">
        <f t="shared" si="6"/>
        <v>16.510361123495318</v>
      </c>
      <c r="B130" s="18">
        <v>189</v>
      </c>
      <c r="C130" s="12" t="s">
        <v>217</v>
      </c>
      <c r="D130" s="19" t="s">
        <v>4</v>
      </c>
      <c r="E130" s="19" t="s">
        <v>19</v>
      </c>
      <c r="F130" s="19" t="s">
        <v>19</v>
      </c>
      <c r="G130" s="19">
        <v>18</v>
      </c>
      <c r="H130" s="19">
        <v>95</v>
      </c>
      <c r="I130" s="19">
        <v>30</v>
      </c>
      <c r="J130" s="19">
        <v>19</v>
      </c>
      <c r="K130" s="19">
        <v>7</v>
      </c>
      <c r="L130" s="19">
        <v>0</v>
      </c>
      <c r="M130" s="19">
        <v>12</v>
      </c>
      <c r="N130" s="19">
        <v>22</v>
      </c>
      <c r="O130" s="19">
        <v>75</v>
      </c>
      <c r="P130" s="19">
        <v>0</v>
      </c>
      <c r="Q130" s="19">
        <v>0</v>
      </c>
      <c r="R130" s="19">
        <v>0</v>
      </c>
      <c r="S130" s="19">
        <v>0</v>
      </c>
      <c r="T130" s="19">
        <v>53</v>
      </c>
      <c r="U130" s="6">
        <f t="shared" si="7"/>
        <v>0.14505960000000007</v>
      </c>
      <c r="V130">
        <f t="shared" si="11"/>
        <v>1.5975000000000001</v>
      </c>
      <c r="W130" s="6">
        <f t="shared" si="8"/>
        <v>2.15</v>
      </c>
      <c r="X130">
        <f t="shared" si="9"/>
        <v>5.9252384000000005</v>
      </c>
      <c r="Y130" t="str">
        <f t="shared" si="10"/>
        <v>RP</v>
      </c>
    </row>
    <row r="131" spans="1:25" ht="13.5" customHeight="1" thickBot="1" x14ac:dyDescent="0.35">
      <c r="A131">
        <f t="shared" si="6"/>
        <v>15.542351761034325</v>
      </c>
      <c r="B131" s="18">
        <v>15</v>
      </c>
      <c r="C131" s="12" t="s">
        <v>43</v>
      </c>
      <c r="D131" s="19" t="s">
        <v>7</v>
      </c>
      <c r="E131" s="19" t="s">
        <v>19</v>
      </c>
      <c r="F131" s="19" t="s">
        <v>19</v>
      </c>
      <c r="G131" s="19">
        <v>20</v>
      </c>
      <c r="H131" s="19">
        <v>98</v>
      </c>
      <c r="I131" s="19">
        <v>45</v>
      </c>
      <c r="J131" s="19">
        <v>17</v>
      </c>
      <c r="K131" s="19">
        <v>7</v>
      </c>
      <c r="L131" s="19">
        <v>3</v>
      </c>
      <c r="M131" s="19">
        <v>4</v>
      </c>
      <c r="N131" s="19">
        <v>29</v>
      </c>
      <c r="O131" s="19">
        <v>59</v>
      </c>
      <c r="P131" s="19">
        <v>0</v>
      </c>
      <c r="Q131" s="19">
        <v>0</v>
      </c>
      <c r="R131" s="19">
        <v>0</v>
      </c>
      <c r="S131" s="19">
        <v>0</v>
      </c>
      <c r="T131" s="19">
        <v>82</v>
      </c>
      <c r="U131" s="6">
        <f t="shared" si="7"/>
        <v>0.12019780000000002</v>
      </c>
      <c r="V131">
        <f t="shared" si="11"/>
        <v>1.1585240000000001</v>
      </c>
      <c r="W131" s="6">
        <f t="shared" si="8"/>
        <v>2.78</v>
      </c>
      <c r="X131">
        <f t="shared" si="9"/>
        <v>5.5778391999999997</v>
      </c>
      <c r="Y131" t="str">
        <f t="shared" si="10"/>
        <v>RP</v>
      </c>
    </row>
    <row r="132" spans="1:25" ht="13.5" customHeight="1" thickBot="1" x14ac:dyDescent="0.35">
      <c r="A132">
        <f t="shared" si="6"/>
        <v>14.386928221132413</v>
      </c>
      <c r="B132" s="20">
        <v>10</v>
      </c>
      <c r="C132" s="13" t="s">
        <v>38</v>
      </c>
      <c r="D132" s="21" t="s">
        <v>10</v>
      </c>
      <c r="E132" s="21" t="s">
        <v>21</v>
      </c>
      <c r="F132" s="21" t="s">
        <v>20</v>
      </c>
      <c r="G132" s="21">
        <v>18</v>
      </c>
      <c r="H132" s="21">
        <v>81</v>
      </c>
      <c r="I132" s="21">
        <v>21</v>
      </c>
      <c r="J132" s="21">
        <v>3</v>
      </c>
      <c r="K132" s="21">
        <v>0</v>
      </c>
      <c r="L132" s="21">
        <v>0</v>
      </c>
      <c r="M132" s="21">
        <v>26</v>
      </c>
      <c r="N132" s="21">
        <v>36</v>
      </c>
      <c r="O132" s="21">
        <v>76</v>
      </c>
      <c r="P132" s="21">
        <v>0</v>
      </c>
      <c r="Q132" s="21">
        <v>0</v>
      </c>
      <c r="R132" s="21">
        <v>0</v>
      </c>
      <c r="S132" s="21">
        <v>0</v>
      </c>
      <c r="T132" s="21">
        <v>77</v>
      </c>
      <c r="U132" s="6">
        <f t="shared" si="7"/>
        <v>6.7527200000000009E-2</v>
      </c>
      <c r="V132">
        <f t="shared" si="11"/>
        <v>1.6215360000000005</v>
      </c>
      <c r="W132" s="6">
        <f t="shared" si="8"/>
        <v>1.65</v>
      </c>
      <c r="X132">
        <f t="shared" si="9"/>
        <v>5.163180800000001</v>
      </c>
      <c r="Y132" t="str">
        <f t="shared" si="10"/>
        <v>RP</v>
      </c>
    </row>
    <row r="133" spans="1:25" ht="13.5" customHeight="1" thickBot="1" x14ac:dyDescent="0.35">
      <c r="A133">
        <f t="shared" si="6"/>
        <v>15.211448952296031</v>
      </c>
      <c r="B133" s="20">
        <v>198</v>
      </c>
      <c r="C133" s="13" t="s">
        <v>226</v>
      </c>
      <c r="D133" s="21" t="s">
        <v>4</v>
      </c>
      <c r="E133" s="21" t="s">
        <v>19</v>
      </c>
      <c r="F133" s="21" t="s">
        <v>19</v>
      </c>
      <c r="G133" s="21">
        <v>21</v>
      </c>
      <c r="H133" s="21">
        <v>83</v>
      </c>
      <c r="I133" s="21">
        <v>41</v>
      </c>
      <c r="J133" s="21">
        <v>22</v>
      </c>
      <c r="K133" s="21">
        <v>34</v>
      </c>
      <c r="L133" s="21">
        <v>22</v>
      </c>
      <c r="M133" s="21">
        <v>13</v>
      </c>
      <c r="N133" s="21">
        <v>30</v>
      </c>
      <c r="O133" s="21">
        <v>31</v>
      </c>
      <c r="P133" s="21">
        <v>0</v>
      </c>
      <c r="Q133" s="21">
        <v>0</v>
      </c>
      <c r="R133" s="21">
        <v>0</v>
      </c>
      <c r="S133" s="21">
        <v>0</v>
      </c>
      <c r="T133" s="21">
        <v>45</v>
      </c>
      <c r="U133" s="6">
        <f t="shared" si="7"/>
        <v>0.56443320000000008</v>
      </c>
      <c r="V133">
        <f t="shared" si="11"/>
        <v>0.36567600000000006</v>
      </c>
      <c r="W133" s="6">
        <f t="shared" si="8"/>
        <v>2.4700000000000002</v>
      </c>
      <c r="X133">
        <f t="shared" si="9"/>
        <v>5.4590848000000012</v>
      </c>
      <c r="Y133" t="str">
        <f t="shared" si="10"/>
        <v>RP</v>
      </c>
    </row>
    <row r="134" spans="1:25" ht="13.5" customHeight="1" thickBot="1" x14ac:dyDescent="0.35">
      <c r="A134">
        <f t="shared" ref="A134:A197" si="12">(W134*H$2+U134*J$2+V134*O$2)*100/(W$4*H$2+U$4*J$2+V$4*O$2)</f>
        <v>15.333731609451625</v>
      </c>
      <c r="B134" s="20">
        <v>60</v>
      </c>
      <c r="C134" s="13" t="s">
        <v>88</v>
      </c>
      <c r="D134" s="21" t="s">
        <v>6</v>
      </c>
      <c r="E134" s="21" t="s">
        <v>21</v>
      </c>
      <c r="F134" s="21" t="s">
        <v>19</v>
      </c>
      <c r="G134" s="21">
        <v>18</v>
      </c>
      <c r="H134" s="21">
        <v>86</v>
      </c>
      <c r="I134" s="21">
        <v>45</v>
      </c>
      <c r="J134" s="21">
        <v>7</v>
      </c>
      <c r="K134" s="21">
        <v>6</v>
      </c>
      <c r="L134" s="21">
        <v>0</v>
      </c>
      <c r="M134" s="21">
        <v>5</v>
      </c>
      <c r="N134" s="21">
        <v>29</v>
      </c>
      <c r="O134" s="21">
        <v>66</v>
      </c>
      <c r="P134" s="21">
        <v>0</v>
      </c>
      <c r="Q134" s="21">
        <v>0</v>
      </c>
      <c r="R134" s="21">
        <v>0</v>
      </c>
      <c r="S134" s="21">
        <v>0</v>
      </c>
      <c r="T134" s="21">
        <v>60</v>
      </c>
      <c r="U134" s="6">
        <f t="shared" ref="U134:U197" si="13">J$1*((-2*10^-6)*J134^3+0.00032*J134^2-0.0021*J134)+K$1*((-2*10^-6)*K134^3+0.00032*K134^2-0.0021*K134)+L$1*((-2*10^-6)*L134^3+0.00032*L134^2-0.0021*L134)+M$1*((-2*10^-6)*M134^3+0.00032*M134^2-0.0021*M134)+N$1*((-2*10^-6)*N134^3+0.00032*N134^2-0.0021*N134)</f>
        <v>3.0414400000000015E-2</v>
      </c>
      <c r="V134">
        <f t="shared" si="11"/>
        <v>1.3606560000000001</v>
      </c>
      <c r="W134" s="6">
        <f t="shared" ref="W134:W197" si="14">(H$1*H134+I$1*I134)/100</f>
        <v>2.66</v>
      </c>
      <c r="X134">
        <f t="shared" ref="X134:X197" si="15">U134*J$2+V134*O$2+W134*H$2</f>
        <v>5.5029696000000001</v>
      </c>
      <c r="Y134" t="str">
        <f t="shared" ref="Y134:Y197" si="16">IF(AND(I134&gt;50,H134+I134&gt;75),"SP",IF(2*H134+I134&gt;120,"RP","CRAP"))</f>
        <v>RP</v>
      </c>
    </row>
    <row r="135" spans="1:25" ht="13.5" customHeight="1" thickBot="1" x14ac:dyDescent="0.35">
      <c r="A135">
        <f t="shared" si="12"/>
        <v>13.48684351315203</v>
      </c>
      <c r="B135" s="20">
        <v>4</v>
      </c>
      <c r="C135" s="13" t="s">
        <v>32</v>
      </c>
      <c r="D135" s="21" t="s">
        <v>8</v>
      </c>
      <c r="E135" s="21" t="s">
        <v>19</v>
      </c>
      <c r="F135" s="21" t="s">
        <v>19</v>
      </c>
      <c r="G135" s="21">
        <v>18</v>
      </c>
      <c r="H135" s="21">
        <v>90</v>
      </c>
      <c r="I135" s="21">
        <v>30</v>
      </c>
      <c r="J135" s="21">
        <v>17</v>
      </c>
      <c r="K135" s="21">
        <v>7</v>
      </c>
      <c r="L135" s="21">
        <v>0</v>
      </c>
      <c r="M135" s="21">
        <v>25</v>
      </c>
      <c r="N135" s="21">
        <v>41</v>
      </c>
      <c r="O135" s="21">
        <v>54</v>
      </c>
      <c r="P135" s="21">
        <v>0</v>
      </c>
      <c r="Q135" s="21">
        <v>0</v>
      </c>
      <c r="R135" s="21">
        <v>0</v>
      </c>
      <c r="S135" s="21">
        <v>0</v>
      </c>
      <c r="T135" s="21">
        <v>83</v>
      </c>
      <c r="U135" s="6">
        <f t="shared" si="13"/>
        <v>0.18024760000000004</v>
      </c>
      <c r="V135">
        <f t="shared" ref="V135:V198" si="17">O$1*((-2*10^-6)*O135^3+0.00032*O135^2-0.0021*O135)+P$1*((-2*10^-6)*P135^3+0.00032*P135^2-0.0021*P135)+Q$1*((-2*10^-6)*Q135^3+0.00032*Q135^2-0.0021*Q135)+R$1*((-2*10^-6)*R135^3+0.00032*R135^2-0.0021*R135)+S$1*((-2*10^-6)*S135^3+0.00032*S135^2-0.0021*S135)</f>
        <v>1.0095840000000003</v>
      </c>
      <c r="W135" s="6">
        <f t="shared" si="14"/>
        <v>2.1</v>
      </c>
      <c r="X135">
        <f t="shared" si="15"/>
        <v>4.8401584000000009</v>
      </c>
      <c r="Y135" t="str">
        <f t="shared" si="16"/>
        <v>RP</v>
      </c>
    </row>
    <row r="136" spans="1:25" ht="13.5" customHeight="1" thickBot="1" x14ac:dyDescent="0.35">
      <c r="A136">
        <f t="shared" si="12"/>
        <v>15.284190815871598</v>
      </c>
      <c r="B136" s="18">
        <v>39</v>
      </c>
      <c r="C136" s="12" t="s">
        <v>67</v>
      </c>
      <c r="D136" s="19" t="s">
        <v>7</v>
      </c>
      <c r="E136" s="19" t="s">
        <v>19</v>
      </c>
      <c r="F136" s="19" t="s">
        <v>19</v>
      </c>
      <c r="G136" s="19">
        <v>18</v>
      </c>
      <c r="H136" s="19">
        <v>68</v>
      </c>
      <c r="I136" s="19">
        <v>24</v>
      </c>
      <c r="J136" s="19">
        <v>26</v>
      </c>
      <c r="K136" s="19">
        <v>11</v>
      </c>
      <c r="L136" s="19">
        <v>0</v>
      </c>
      <c r="M136" s="19">
        <v>4</v>
      </c>
      <c r="N136" s="19">
        <v>28</v>
      </c>
      <c r="O136" s="19">
        <v>65</v>
      </c>
      <c r="P136" s="19">
        <v>0</v>
      </c>
      <c r="Q136" s="19">
        <v>0</v>
      </c>
      <c r="R136" s="19">
        <v>0</v>
      </c>
      <c r="S136" s="19">
        <v>0</v>
      </c>
      <c r="T136" s="19">
        <v>57</v>
      </c>
      <c r="U136" s="6">
        <f t="shared" si="13"/>
        <v>0.29504760000000008</v>
      </c>
      <c r="V136">
        <f t="shared" si="17"/>
        <v>1.3325000000000002</v>
      </c>
      <c r="W136" s="6">
        <f t="shared" si="14"/>
        <v>1.64</v>
      </c>
      <c r="X136">
        <f t="shared" si="15"/>
        <v>5.4851904000000005</v>
      </c>
      <c r="Y136" t="str">
        <f t="shared" si="16"/>
        <v>RP</v>
      </c>
    </row>
    <row r="137" spans="1:25" ht="13.5" customHeight="1" thickBot="1" x14ac:dyDescent="0.35">
      <c r="A137">
        <f t="shared" si="12"/>
        <v>14.341094516272848</v>
      </c>
      <c r="B137" s="20">
        <v>28</v>
      </c>
      <c r="C137" s="13" t="s">
        <v>56</v>
      </c>
      <c r="D137" s="21" t="s">
        <v>8</v>
      </c>
      <c r="E137" s="21" t="s">
        <v>21</v>
      </c>
      <c r="F137" s="21" t="s">
        <v>19</v>
      </c>
      <c r="G137" s="21">
        <v>18</v>
      </c>
      <c r="H137" s="21">
        <v>83</v>
      </c>
      <c r="I137" s="21">
        <v>27</v>
      </c>
      <c r="J137" s="21">
        <v>0</v>
      </c>
      <c r="K137" s="21">
        <v>12</v>
      </c>
      <c r="L137" s="21">
        <v>17</v>
      </c>
      <c r="M137" s="21">
        <v>26</v>
      </c>
      <c r="N137" s="21">
        <v>34</v>
      </c>
      <c r="O137" s="21">
        <v>64</v>
      </c>
      <c r="P137" s="21">
        <v>0</v>
      </c>
      <c r="Q137" s="21">
        <v>0</v>
      </c>
      <c r="R137" s="21">
        <v>0</v>
      </c>
      <c r="S137" s="21">
        <v>0</v>
      </c>
      <c r="T137" s="21">
        <v>68</v>
      </c>
      <c r="U137" s="6">
        <f t="shared" si="13"/>
        <v>0.15715100000000004</v>
      </c>
      <c r="V137">
        <f t="shared" si="17"/>
        <v>1.3040640000000003</v>
      </c>
      <c r="W137" s="6">
        <f t="shared" si="14"/>
        <v>1.91</v>
      </c>
      <c r="X137">
        <f t="shared" si="15"/>
        <v>5.146732000000001</v>
      </c>
      <c r="Y137" t="str">
        <f t="shared" si="16"/>
        <v>RP</v>
      </c>
    </row>
    <row r="138" spans="1:25" ht="13.5" customHeight="1" thickBot="1" x14ac:dyDescent="0.35">
      <c r="A138">
        <f t="shared" si="12"/>
        <v>15.856219349086047</v>
      </c>
      <c r="B138" s="20">
        <v>94</v>
      </c>
      <c r="C138" s="13" t="s">
        <v>122</v>
      </c>
      <c r="D138" s="21" t="s">
        <v>6</v>
      </c>
      <c r="E138" s="21" t="s">
        <v>20</v>
      </c>
      <c r="F138" s="21" t="s">
        <v>20</v>
      </c>
      <c r="G138" s="21">
        <v>18</v>
      </c>
      <c r="H138" s="21">
        <v>94</v>
      </c>
      <c r="I138" s="21">
        <v>28</v>
      </c>
      <c r="J138" s="21">
        <v>22</v>
      </c>
      <c r="K138" s="21">
        <v>5</v>
      </c>
      <c r="L138" s="21">
        <v>0</v>
      </c>
      <c r="M138" s="21">
        <v>0</v>
      </c>
      <c r="N138" s="21">
        <v>20</v>
      </c>
      <c r="O138" s="21">
        <v>69</v>
      </c>
      <c r="P138" s="21">
        <v>0</v>
      </c>
      <c r="Q138" s="21">
        <v>0</v>
      </c>
      <c r="R138" s="21">
        <v>0</v>
      </c>
      <c r="S138" s="21">
        <v>0</v>
      </c>
      <c r="T138" s="21">
        <v>52</v>
      </c>
      <c r="U138" s="6">
        <f t="shared" si="13"/>
        <v>0.18601800000000004</v>
      </c>
      <c r="V138">
        <f t="shared" si="17"/>
        <v>1.4432040000000004</v>
      </c>
      <c r="W138" s="6">
        <f t="shared" si="14"/>
        <v>2.06</v>
      </c>
      <c r="X138">
        <f t="shared" si="15"/>
        <v>5.6904800000000009</v>
      </c>
      <c r="Y138" t="str">
        <f t="shared" si="16"/>
        <v>RP</v>
      </c>
    </row>
    <row r="139" spans="1:25" ht="13.5" customHeight="1" thickBot="1" x14ac:dyDescent="0.35">
      <c r="A139">
        <f t="shared" si="12"/>
        <v>16.550748996879179</v>
      </c>
      <c r="B139" s="18">
        <v>103</v>
      </c>
      <c r="C139" s="12" t="s">
        <v>131</v>
      </c>
      <c r="D139" s="19" t="s">
        <v>9</v>
      </c>
      <c r="E139" s="19" t="s">
        <v>19</v>
      </c>
      <c r="F139" s="19" t="s">
        <v>19</v>
      </c>
      <c r="G139" s="19">
        <v>18</v>
      </c>
      <c r="H139" s="19">
        <v>82</v>
      </c>
      <c r="I139" s="19">
        <v>31</v>
      </c>
      <c r="J139" s="19">
        <v>15</v>
      </c>
      <c r="K139" s="19">
        <v>19</v>
      </c>
      <c r="L139" s="19">
        <v>20</v>
      </c>
      <c r="M139" s="19">
        <v>0</v>
      </c>
      <c r="N139" s="19">
        <v>8</v>
      </c>
      <c r="O139" s="19">
        <v>70</v>
      </c>
      <c r="P139" s="19">
        <v>0</v>
      </c>
      <c r="Q139" s="19">
        <v>0</v>
      </c>
      <c r="R139" s="19">
        <v>0</v>
      </c>
      <c r="S139" s="19">
        <v>0</v>
      </c>
      <c r="T139" s="19">
        <v>50</v>
      </c>
      <c r="U139" s="6">
        <f t="shared" si="13"/>
        <v>0.23493320000000004</v>
      </c>
      <c r="V139">
        <f t="shared" si="17"/>
        <v>1.4700000000000002</v>
      </c>
      <c r="W139" s="6">
        <f t="shared" si="14"/>
        <v>2.06</v>
      </c>
      <c r="X139">
        <f t="shared" si="15"/>
        <v>5.9397328000000007</v>
      </c>
      <c r="Y139" t="str">
        <f t="shared" si="16"/>
        <v>RP</v>
      </c>
    </row>
    <row r="140" spans="1:25" ht="13.5" customHeight="1" thickBot="1" x14ac:dyDescent="0.35">
      <c r="A140">
        <f t="shared" si="12"/>
        <v>15.590303165403476</v>
      </c>
      <c r="B140" s="18">
        <v>201</v>
      </c>
      <c r="C140" s="12" t="s">
        <v>229</v>
      </c>
      <c r="D140" s="19" t="s">
        <v>4</v>
      </c>
      <c r="E140" s="19" t="s">
        <v>20</v>
      </c>
      <c r="F140" s="19" t="s">
        <v>20</v>
      </c>
      <c r="G140" s="19">
        <v>18</v>
      </c>
      <c r="H140" s="19">
        <v>79</v>
      </c>
      <c r="I140" s="19">
        <v>33</v>
      </c>
      <c r="J140" s="19">
        <v>12</v>
      </c>
      <c r="K140" s="19">
        <v>22</v>
      </c>
      <c r="L140" s="19">
        <v>16</v>
      </c>
      <c r="M140" s="19">
        <v>23</v>
      </c>
      <c r="N140" s="19">
        <v>22</v>
      </c>
      <c r="O140" s="19">
        <v>64</v>
      </c>
      <c r="P140" s="19">
        <v>0</v>
      </c>
      <c r="Q140" s="19">
        <v>0</v>
      </c>
      <c r="R140" s="19">
        <v>0</v>
      </c>
      <c r="S140" s="19">
        <v>0</v>
      </c>
      <c r="T140" s="19">
        <v>42</v>
      </c>
      <c r="U140" s="6">
        <f t="shared" si="13"/>
        <v>0.21923000000000004</v>
      </c>
      <c r="V140">
        <f t="shared" si="17"/>
        <v>1.3040640000000003</v>
      </c>
      <c r="W140" s="6">
        <f t="shared" si="14"/>
        <v>2.11</v>
      </c>
      <c r="X140">
        <f t="shared" si="15"/>
        <v>5.5950480000000002</v>
      </c>
      <c r="Y140" t="str">
        <f t="shared" si="16"/>
        <v>RP</v>
      </c>
    </row>
    <row r="141" spans="1:25" ht="13.5" customHeight="1" thickBot="1" x14ac:dyDescent="0.35">
      <c r="A141">
        <f t="shared" si="12"/>
        <v>14.264444939812751</v>
      </c>
      <c r="B141" s="18">
        <v>57</v>
      </c>
      <c r="C141" s="12" t="s">
        <v>85</v>
      </c>
      <c r="D141" s="19" t="s">
        <v>6</v>
      </c>
      <c r="E141" s="19" t="s">
        <v>19</v>
      </c>
      <c r="F141" s="19" t="s">
        <v>19</v>
      </c>
      <c r="G141" s="19">
        <v>18</v>
      </c>
      <c r="H141" s="19">
        <v>85</v>
      </c>
      <c r="I141" s="19">
        <v>29</v>
      </c>
      <c r="J141" s="19">
        <v>13</v>
      </c>
      <c r="K141" s="19">
        <v>18</v>
      </c>
      <c r="L141" s="19">
        <v>26</v>
      </c>
      <c r="M141" s="19">
        <v>13</v>
      </c>
      <c r="N141" s="19">
        <v>32</v>
      </c>
      <c r="O141" s="19">
        <v>50</v>
      </c>
      <c r="P141" s="19">
        <v>0</v>
      </c>
      <c r="Q141" s="19">
        <v>0</v>
      </c>
      <c r="R141" s="19">
        <v>0</v>
      </c>
      <c r="S141" s="19">
        <v>0</v>
      </c>
      <c r="T141" s="19">
        <v>61</v>
      </c>
      <c r="U141" s="6">
        <f t="shared" si="13"/>
        <v>0.3323060000000001</v>
      </c>
      <c r="V141">
        <f t="shared" si="17"/>
        <v>0.89000000000000012</v>
      </c>
      <c r="W141" s="6">
        <f t="shared" si="14"/>
        <v>2.0099999999999998</v>
      </c>
      <c r="X141">
        <f t="shared" si="15"/>
        <v>5.1192240000000009</v>
      </c>
      <c r="Y141" t="str">
        <f t="shared" si="16"/>
        <v>RP</v>
      </c>
    </row>
    <row r="142" spans="1:25" ht="13.5" customHeight="1" thickBot="1" x14ac:dyDescent="0.35">
      <c r="A142">
        <f t="shared" si="12"/>
        <v>14.907646009808293</v>
      </c>
      <c r="B142" s="20">
        <v>18</v>
      </c>
      <c r="C142" s="13" t="s">
        <v>46</v>
      </c>
      <c r="D142" s="21" t="s">
        <v>3</v>
      </c>
      <c r="E142" s="21" t="s">
        <v>19</v>
      </c>
      <c r="F142" s="21" t="s">
        <v>19</v>
      </c>
      <c r="G142" s="21">
        <v>18</v>
      </c>
      <c r="H142" s="21">
        <v>100</v>
      </c>
      <c r="I142" s="21">
        <v>45</v>
      </c>
      <c r="J142" s="21">
        <v>7</v>
      </c>
      <c r="K142" s="21">
        <v>7</v>
      </c>
      <c r="L142" s="21">
        <v>0</v>
      </c>
      <c r="M142" s="21">
        <v>8</v>
      </c>
      <c r="N142" s="21">
        <v>27</v>
      </c>
      <c r="O142" s="21">
        <v>61</v>
      </c>
      <c r="P142" s="21">
        <v>0</v>
      </c>
      <c r="Q142" s="21">
        <v>0</v>
      </c>
      <c r="R142" s="21">
        <v>0</v>
      </c>
      <c r="S142" s="21">
        <v>0</v>
      </c>
      <c r="T142" s="21">
        <v>72</v>
      </c>
      <c r="U142" s="6">
        <f t="shared" si="13"/>
        <v>2.8856000000000021E-2</v>
      </c>
      <c r="V142">
        <f t="shared" si="17"/>
        <v>1.2173160000000001</v>
      </c>
      <c r="W142" s="6">
        <f t="shared" si="14"/>
        <v>2.8</v>
      </c>
      <c r="X142">
        <f t="shared" si="15"/>
        <v>5.3500560000000004</v>
      </c>
      <c r="Y142" t="str">
        <f t="shared" si="16"/>
        <v>RP</v>
      </c>
    </row>
    <row r="143" spans="1:25" ht="13.5" customHeight="1" thickBot="1" x14ac:dyDescent="0.35">
      <c r="A143">
        <f t="shared" si="12"/>
        <v>15.919112795363354</v>
      </c>
      <c r="B143" s="18">
        <v>85</v>
      </c>
      <c r="C143" s="12" t="s">
        <v>113</v>
      </c>
      <c r="D143" s="19" t="s">
        <v>8</v>
      </c>
      <c r="E143" s="19" t="s">
        <v>19</v>
      </c>
      <c r="F143" s="19" t="s">
        <v>19</v>
      </c>
      <c r="G143" s="19">
        <v>18</v>
      </c>
      <c r="H143" s="19">
        <v>98</v>
      </c>
      <c r="I143" s="19">
        <v>28</v>
      </c>
      <c r="J143" s="19">
        <v>27</v>
      </c>
      <c r="K143" s="19">
        <v>0</v>
      </c>
      <c r="L143" s="19">
        <v>0</v>
      </c>
      <c r="M143" s="19">
        <v>21</v>
      </c>
      <c r="N143" s="19">
        <v>13</v>
      </c>
      <c r="O143" s="19">
        <v>61</v>
      </c>
      <c r="P143" s="19">
        <v>0</v>
      </c>
      <c r="Q143" s="19">
        <v>0</v>
      </c>
      <c r="R143" s="19">
        <v>0</v>
      </c>
      <c r="S143" s="19">
        <v>0</v>
      </c>
      <c r="T143" s="19">
        <v>54</v>
      </c>
      <c r="U143" s="6">
        <f t="shared" si="13"/>
        <v>0.29460480000000006</v>
      </c>
      <c r="V143">
        <f t="shared" si="17"/>
        <v>1.2173160000000001</v>
      </c>
      <c r="W143" s="6">
        <f t="shared" si="14"/>
        <v>2.1</v>
      </c>
      <c r="X143">
        <f t="shared" si="15"/>
        <v>5.7130512000000007</v>
      </c>
      <c r="Y143" t="str">
        <f t="shared" si="16"/>
        <v>RP</v>
      </c>
    </row>
    <row r="144" spans="1:25" ht="13.5" customHeight="1" thickBot="1" x14ac:dyDescent="0.35">
      <c r="A144">
        <f t="shared" si="12"/>
        <v>12.212868925546145</v>
      </c>
      <c r="B144" s="20">
        <v>66</v>
      </c>
      <c r="C144" s="13" t="s">
        <v>94</v>
      </c>
      <c r="D144" s="21" t="s">
        <v>7</v>
      </c>
      <c r="E144" s="21" t="s">
        <v>19</v>
      </c>
      <c r="F144" s="21" t="s">
        <v>19</v>
      </c>
      <c r="G144" s="21">
        <v>18</v>
      </c>
      <c r="H144" s="21">
        <v>75</v>
      </c>
      <c r="I144" s="21">
        <v>21</v>
      </c>
      <c r="J144" s="21">
        <v>18</v>
      </c>
      <c r="K144" s="21">
        <v>3</v>
      </c>
      <c r="L144" s="21">
        <v>15</v>
      </c>
      <c r="M144" s="21">
        <v>4</v>
      </c>
      <c r="N144" s="21">
        <v>43</v>
      </c>
      <c r="O144" s="21">
        <v>52</v>
      </c>
      <c r="P144" s="21">
        <v>0</v>
      </c>
      <c r="Q144" s="21">
        <v>0</v>
      </c>
      <c r="R144" s="21">
        <v>0</v>
      </c>
      <c r="S144" s="21">
        <v>0</v>
      </c>
      <c r="T144" s="21">
        <v>58</v>
      </c>
      <c r="U144" s="6">
        <f t="shared" si="13"/>
        <v>0.22337460000000003</v>
      </c>
      <c r="V144">
        <f t="shared" si="17"/>
        <v>0.94972800000000035</v>
      </c>
      <c r="W144" s="6">
        <f t="shared" si="14"/>
        <v>1.59</v>
      </c>
      <c r="X144">
        <f t="shared" si="15"/>
        <v>4.3829544000000009</v>
      </c>
      <c r="Y144" t="str">
        <f t="shared" si="16"/>
        <v>RP</v>
      </c>
    </row>
    <row r="145" spans="1:25" ht="13.5" customHeight="1" thickBot="1" x14ac:dyDescent="0.35">
      <c r="A145">
        <f t="shared" si="12"/>
        <v>16.037296032099867</v>
      </c>
      <c r="B145" s="20">
        <v>80</v>
      </c>
      <c r="C145" s="13" t="s">
        <v>108</v>
      </c>
      <c r="D145" s="21" t="s">
        <v>7</v>
      </c>
      <c r="E145" s="21" t="s">
        <v>21</v>
      </c>
      <c r="F145" s="21" t="s">
        <v>19</v>
      </c>
      <c r="G145" s="21">
        <v>18</v>
      </c>
      <c r="H145" s="21">
        <v>79</v>
      </c>
      <c r="I145" s="21">
        <v>7</v>
      </c>
      <c r="J145" s="21">
        <v>6</v>
      </c>
      <c r="K145" s="21">
        <v>27</v>
      </c>
      <c r="L145" s="21">
        <v>35</v>
      </c>
      <c r="M145" s="21">
        <v>16</v>
      </c>
      <c r="N145" s="21">
        <v>6</v>
      </c>
      <c r="O145" s="21">
        <v>66</v>
      </c>
      <c r="P145" s="21">
        <v>0</v>
      </c>
      <c r="Q145" s="21">
        <v>0</v>
      </c>
      <c r="R145" s="21">
        <v>0</v>
      </c>
      <c r="S145" s="21">
        <v>0</v>
      </c>
      <c r="T145" s="21">
        <v>50</v>
      </c>
      <c r="U145" s="6">
        <f t="shared" si="13"/>
        <v>0.49103820000000009</v>
      </c>
      <c r="V145">
        <f t="shared" si="17"/>
        <v>1.3606560000000001</v>
      </c>
      <c r="W145" s="6">
        <f t="shared" si="14"/>
        <v>1.07</v>
      </c>
      <c r="X145">
        <f t="shared" si="15"/>
        <v>5.7554648000000004</v>
      </c>
      <c r="Y145" t="str">
        <f t="shared" si="16"/>
        <v>RP</v>
      </c>
    </row>
    <row r="146" spans="1:25" ht="13.5" customHeight="1" thickBot="1" x14ac:dyDescent="0.35">
      <c r="A146">
        <f t="shared" si="12"/>
        <v>15.332860008916629</v>
      </c>
      <c r="B146" s="18">
        <v>161</v>
      </c>
      <c r="C146" s="12" t="s">
        <v>189</v>
      </c>
      <c r="D146" s="19" t="s">
        <v>8</v>
      </c>
      <c r="E146" s="19" t="s">
        <v>21</v>
      </c>
      <c r="F146" s="19" t="s">
        <v>19</v>
      </c>
      <c r="G146" s="19">
        <v>21</v>
      </c>
      <c r="H146" s="19">
        <v>70</v>
      </c>
      <c r="I146" s="19">
        <v>39</v>
      </c>
      <c r="J146" s="19">
        <v>22</v>
      </c>
      <c r="K146" s="19">
        <v>33</v>
      </c>
      <c r="L146" s="19">
        <v>21</v>
      </c>
      <c r="M146" s="19">
        <v>0</v>
      </c>
      <c r="N146" s="19">
        <v>18</v>
      </c>
      <c r="O146" s="19">
        <v>40</v>
      </c>
      <c r="P146" s="19">
        <v>0</v>
      </c>
      <c r="Q146" s="19">
        <v>0</v>
      </c>
      <c r="R146" s="19">
        <v>0</v>
      </c>
      <c r="S146" s="19">
        <v>0</v>
      </c>
      <c r="T146" s="19">
        <v>53</v>
      </c>
      <c r="U146" s="6">
        <f t="shared" si="13"/>
        <v>0.51066420000000012</v>
      </c>
      <c r="V146">
        <f t="shared" si="17"/>
        <v>0.60000000000000009</v>
      </c>
      <c r="W146" s="6">
        <f t="shared" si="14"/>
        <v>2.2599999999999998</v>
      </c>
      <c r="X146">
        <f t="shared" si="15"/>
        <v>5.5026568000000005</v>
      </c>
      <c r="Y146" t="str">
        <f t="shared" si="16"/>
        <v>RP</v>
      </c>
    </row>
    <row r="147" spans="1:25" ht="13.5" customHeight="1" thickBot="1" x14ac:dyDescent="0.35">
      <c r="A147">
        <f t="shared" si="12"/>
        <v>14.706852429781545</v>
      </c>
      <c r="B147" s="18">
        <v>31</v>
      </c>
      <c r="C147" s="12" t="s">
        <v>59</v>
      </c>
      <c r="D147" s="19" t="s">
        <v>3</v>
      </c>
      <c r="E147" s="19" t="s">
        <v>19</v>
      </c>
      <c r="F147" s="19" t="s">
        <v>19</v>
      </c>
      <c r="G147" s="19">
        <v>18</v>
      </c>
      <c r="H147" s="19">
        <v>93</v>
      </c>
      <c r="I147" s="19">
        <v>11</v>
      </c>
      <c r="J147" s="19">
        <v>21</v>
      </c>
      <c r="K147" s="19">
        <v>11</v>
      </c>
      <c r="L147" s="19">
        <v>0</v>
      </c>
      <c r="M147" s="19">
        <v>4</v>
      </c>
      <c r="N147" s="19">
        <v>24</v>
      </c>
      <c r="O147" s="19">
        <v>74</v>
      </c>
      <c r="P147" s="19">
        <v>0</v>
      </c>
      <c r="Q147" s="19">
        <v>0</v>
      </c>
      <c r="R147" s="19">
        <v>0</v>
      </c>
      <c r="S147" s="19">
        <v>0</v>
      </c>
      <c r="T147" s="19">
        <v>67</v>
      </c>
      <c r="U147" s="6">
        <f t="shared" si="13"/>
        <v>0.19052680000000005</v>
      </c>
      <c r="V147">
        <f t="shared" si="17"/>
        <v>1.5729440000000003</v>
      </c>
      <c r="W147" s="6">
        <f t="shared" si="14"/>
        <v>1.37</v>
      </c>
      <c r="X147">
        <f t="shared" si="15"/>
        <v>5.2779952000000012</v>
      </c>
      <c r="Y147" t="str">
        <f t="shared" si="16"/>
        <v>RP</v>
      </c>
    </row>
    <row r="148" spans="1:25" ht="13.5" customHeight="1" thickBot="1" x14ac:dyDescent="0.35">
      <c r="A148">
        <f t="shared" si="12"/>
        <v>14.579777084262146</v>
      </c>
      <c r="B148" s="20">
        <v>42</v>
      </c>
      <c r="C148" s="13" t="s">
        <v>70</v>
      </c>
      <c r="D148" s="21" t="s">
        <v>7</v>
      </c>
      <c r="E148" s="21" t="s">
        <v>19</v>
      </c>
      <c r="F148" s="21" t="s">
        <v>19</v>
      </c>
      <c r="G148" s="21">
        <v>18</v>
      </c>
      <c r="H148" s="21">
        <v>79</v>
      </c>
      <c r="I148" s="21">
        <v>32</v>
      </c>
      <c r="J148" s="21">
        <v>9</v>
      </c>
      <c r="K148" s="21">
        <v>0</v>
      </c>
      <c r="L148" s="21">
        <v>0</v>
      </c>
      <c r="M148" s="21">
        <v>16</v>
      </c>
      <c r="N148" s="21">
        <v>25</v>
      </c>
      <c r="O148" s="21">
        <v>71</v>
      </c>
      <c r="P148" s="21">
        <v>0</v>
      </c>
      <c r="Q148" s="21">
        <v>0</v>
      </c>
      <c r="R148" s="21">
        <v>0</v>
      </c>
      <c r="S148" s="21">
        <v>0</v>
      </c>
      <c r="T148" s="21">
        <v>61</v>
      </c>
      <c r="U148" s="6">
        <f t="shared" si="13"/>
        <v>4.239960000000001E-2</v>
      </c>
      <c r="V148">
        <f t="shared" si="17"/>
        <v>1.4963960000000003</v>
      </c>
      <c r="W148" s="6">
        <f t="shared" si="14"/>
        <v>2.0699999999999998</v>
      </c>
      <c r="X148">
        <f t="shared" si="15"/>
        <v>5.2323903999999999</v>
      </c>
      <c r="Y148" t="str">
        <f t="shared" si="16"/>
        <v>RP</v>
      </c>
    </row>
    <row r="149" spans="1:25" ht="13.5" customHeight="1" thickBot="1" x14ac:dyDescent="0.35">
      <c r="A149">
        <f t="shared" si="12"/>
        <v>13.958341506910388</v>
      </c>
      <c r="B149" s="18">
        <v>187</v>
      </c>
      <c r="C149" s="12" t="s">
        <v>215</v>
      </c>
      <c r="D149" s="19" t="s">
        <v>4</v>
      </c>
      <c r="E149" s="19" t="s">
        <v>19</v>
      </c>
      <c r="F149" s="19" t="s">
        <v>19</v>
      </c>
      <c r="G149" s="19">
        <v>18</v>
      </c>
      <c r="H149" s="19">
        <v>79</v>
      </c>
      <c r="I149" s="19">
        <v>19</v>
      </c>
      <c r="J149" s="19">
        <v>15</v>
      </c>
      <c r="K149" s="19">
        <v>25</v>
      </c>
      <c r="L149" s="19">
        <v>18</v>
      </c>
      <c r="M149" s="19">
        <v>9</v>
      </c>
      <c r="N149" s="19">
        <v>30</v>
      </c>
      <c r="O149" s="19">
        <v>58</v>
      </c>
      <c r="P149" s="19">
        <v>0</v>
      </c>
      <c r="Q149" s="19">
        <v>0</v>
      </c>
      <c r="R149" s="19">
        <v>0</v>
      </c>
      <c r="S149" s="19">
        <v>0</v>
      </c>
      <c r="T149" s="19">
        <v>51</v>
      </c>
      <c r="U149" s="6">
        <f t="shared" si="13"/>
        <v>0.30038640000000005</v>
      </c>
      <c r="V149">
        <f t="shared" si="17"/>
        <v>1.1289120000000004</v>
      </c>
      <c r="W149" s="6">
        <f t="shared" si="14"/>
        <v>1.55</v>
      </c>
      <c r="X149">
        <f t="shared" si="15"/>
        <v>5.0093696000000012</v>
      </c>
      <c r="Y149" t="str">
        <f t="shared" si="16"/>
        <v>RP</v>
      </c>
    </row>
    <row r="150" spans="1:25" ht="13.5" customHeight="1" thickBot="1" x14ac:dyDescent="0.35">
      <c r="A150">
        <f t="shared" si="12"/>
        <v>15.687958091841283</v>
      </c>
      <c r="B150" s="20">
        <v>32</v>
      </c>
      <c r="C150" s="13" t="s">
        <v>60</v>
      </c>
      <c r="D150" s="21" t="s">
        <v>8</v>
      </c>
      <c r="E150" s="21" t="s">
        <v>21</v>
      </c>
      <c r="F150" s="21" t="s">
        <v>19</v>
      </c>
      <c r="G150" s="21">
        <v>18</v>
      </c>
      <c r="H150" s="21">
        <v>86</v>
      </c>
      <c r="I150" s="21">
        <v>38</v>
      </c>
      <c r="J150" s="21">
        <v>8</v>
      </c>
      <c r="K150" s="21">
        <v>20</v>
      </c>
      <c r="L150" s="21">
        <v>12</v>
      </c>
      <c r="M150" s="21">
        <v>28</v>
      </c>
      <c r="N150" s="21">
        <v>9</v>
      </c>
      <c r="O150" s="21">
        <v>66</v>
      </c>
      <c r="P150" s="21">
        <v>0</v>
      </c>
      <c r="Q150" s="21">
        <v>0</v>
      </c>
      <c r="R150" s="21">
        <v>0</v>
      </c>
      <c r="S150" s="21">
        <v>0</v>
      </c>
      <c r="T150" s="21">
        <v>67</v>
      </c>
      <c r="U150" s="6">
        <f t="shared" si="13"/>
        <v>0.13219560000000005</v>
      </c>
      <c r="V150">
        <f t="shared" si="17"/>
        <v>1.3606560000000001</v>
      </c>
      <c r="W150" s="6">
        <f t="shared" si="14"/>
        <v>2.38</v>
      </c>
      <c r="X150">
        <f t="shared" si="15"/>
        <v>5.6300944000000008</v>
      </c>
      <c r="Y150" t="str">
        <f t="shared" si="16"/>
        <v>RP</v>
      </c>
    </row>
    <row r="151" spans="1:25" ht="13.5" customHeight="1" thickBot="1" x14ac:dyDescent="0.35">
      <c r="A151">
        <f t="shared" si="12"/>
        <v>14.709765938475254</v>
      </c>
      <c r="B151" s="20">
        <v>44</v>
      </c>
      <c r="C151" s="13" t="s">
        <v>72</v>
      </c>
      <c r="D151" s="21" t="s">
        <v>8</v>
      </c>
      <c r="E151" s="21" t="s">
        <v>19</v>
      </c>
      <c r="F151" s="21" t="s">
        <v>19</v>
      </c>
      <c r="G151" s="21">
        <v>18</v>
      </c>
      <c r="H151" s="21">
        <v>77</v>
      </c>
      <c r="I151" s="21">
        <v>40</v>
      </c>
      <c r="J151" s="21">
        <v>14</v>
      </c>
      <c r="K151" s="21">
        <v>9</v>
      </c>
      <c r="L151" s="21">
        <v>25</v>
      </c>
      <c r="M151" s="21">
        <v>4</v>
      </c>
      <c r="N151" s="21">
        <v>22</v>
      </c>
      <c r="O151" s="21">
        <v>52</v>
      </c>
      <c r="P151" s="21">
        <v>0</v>
      </c>
      <c r="Q151" s="21">
        <v>0</v>
      </c>
      <c r="R151" s="21">
        <v>0</v>
      </c>
      <c r="S151" s="21">
        <v>0</v>
      </c>
      <c r="T151" s="21">
        <v>63</v>
      </c>
      <c r="U151" s="6">
        <f t="shared" si="13"/>
        <v>0.25239620000000007</v>
      </c>
      <c r="V151">
        <f t="shared" si="17"/>
        <v>0.94972800000000035</v>
      </c>
      <c r="W151" s="6">
        <f t="shared" si="14"/>
        <v>2.37</v>
      </c>
      <c r="X151">
        <f t="shared" si="15"/>
        <v>5.2790408000000006</v>
      </c>
      <c r="Y151" t="str">
        <f t="shared" si="16"/>
        <v>RP</v>
      </c>
    </row>
    <row r="152" spans="1:25" ht="13.5" customHeight="1" thickBot="1" x14ac:dyDescent="0.35">
      <c r="A152">
        <f t="shared" si="12"/>
        <v>11.542695051270618</v>
      </c>
      <c r="B152" s="20">
        <v>40</v>
      </c>
      <c r="C152" s="13" t="s">
        <v>68</v>
      </c>
      <c r="D152" s="21" t="s">
        <v>8</v>
      </c>
      <c r="E152" s="21" t="s">
        <v>19</v>
      </c>
      <c r="F152" s="21" t="s">
        <v>19</v>
      </c>
      <c r="G152" s="21">
        <v>18</v>
      </c>
      <c r="H152" s="21">
        <v>69</v>
      </c>
      <c r="I152" s="21">
        <v>11</v>
      </c>
      <c r="J152" s="21">
        <v>13</v>
      </c>
      <c r="K152" s="21">
        <v>29</v>
      </c>
      <c r="L152" s="21">
        <v>23</v>
      </c>
      <c r="M152" s="21">
        <v>21</v>
      </c>
      <c r="N152" s="21">
        <v>45</v>
      </c>
      <c r="O152" s="21">
        <v>41</v>
      </c>
      <c r="P152" s="21">
        <v>0</v>
      </c>
      <c r="Q152" s="21">
        <v>0</v>
      </c>
      <c r="R152" s="21">
        <v>0</v>
      </c>
      <c r="S152" s="21">
        <v>0</v>
      </c>
      <c r="T152" s="21">
        <v>64</v>
      </c>
      <c r="U152" s="6">
        <f t="shared" si="13"/>
        <v>0.43913260000000004</v>
      </c>
      <c r="V152">
        <f t="shared" si="17"/>
        <v>0.62795600000000007</v>
      </c>
      <c r="W152" s="6">
        <f t="shared" si="14"/>
        <v>1.1299999999999999</v>
      </c>
      <c r="X152">
        <f t="shared" si="15"/>
        <v>4.1424424000000002</v>
      </c>
      <c r="Y152" t="str">
        <f t="shared" si="16"/>
        <v>RP</v>
      </c>
    </row>
    <row r="153" spans="1:25" ht="13.5" customHeight="1" thickBot="1" x14ac:dyDescent="0.35">
      <c r="A153">
        <f t="shared" si="12"/>
        <v>14.060931787784217</v>
      </c>
      <c r="B153" s="20">
        <v>34</v>
      </c>
      <c r="C153" s="13" t="s">
        <v>62</v>
      </c>
      <c r="D153" s="21" t="s">
        <v>3</v>
      </c>
      <c r="E153" s="21" t="s">
        <v>19</v>
      </c>
      <c r="F153" s="21" t="s">
        <v>19</v>
      </c>
      <c r="G153" s="21">
        <v>18</v>
      </c>
      <c r="H153" s="21">
        <v>84</v>
      </c>
      <c r="I153" s="21">
        <v>33</v>
      </c>
      <c r="J153" s="21">
        <v>11</v>
      </c>
      <c r="K153" s="21">
        <v>8</v>
      </c>
      <c r="L153" s="21">
        <v>10</v>
      </c>
      <c r="M153" s="21">
        <v>0</v>
      </c>
      <c r="N153" s="21">
        <v>27</v>
      </c>
      <c r="O153" s="21">
        <v>64</v>
      </c>
      <c r="P153" s="21">
        <v>0</v>
      </c>
      <c r="Q153" s="21">
        <v>0</v>
      </c>
      <c r="R153" s="21">
        <v>0</v>
      </c>
      <c r="S153" s="21">
        <v>0</v>
      </c>
      <c r="T153" s="21">
        <v>66</v>
      </c>
      <c r="U153" s="6">
        <f t="shared" si="13"/>
        <v>6.9514800000000029E-2</v>
      </c>
      <c r="V153">
        <f t="shared" si="17"/>
        <v>1.3040640000000003</v>
      </c>
      <c r="W153" s="6">
        <f t="shared" si="14"/>
        <v>2.16</v>
      </c>
      <c r="X153">
        <f t="shared" si="15"/>
        <v>5.0461872000000003</v>
      </c>
      <c r="Y153" t="str">
        <f t="shared" si="16"/>
        <v>RP</v>
      </c>
    </row>
    <row r="154" spans="1:25" ht="13.5" customHeight="1" thickBot="1" x14ac:dyDescent="0.35">
      <c r="A154">
        <f t="shared" si="12"/>
        <v>14.264814979937583</v>
      </c>
      <c r="B154" s="20">
        <v>150</v>
      </c>
      <c r="C154" s="13" t="s">
        <v>178</v>
      </c>
      <c r="D154" s="21" t="s">
        <v>6</v>
      </c>
      <c r="E154" s="21" t="s">
        <v>19</v>
      </c>
      <c r="F154" s="21" t="s">
        <v>19</v>
      </c>
      <c r="G154" s="21">
        <v>18</v>
      </c>
      <c r="H154" s="21">
        <v>92</v>
      </c>
      <c r="I154" s="21">
        <v>25</v>
      </c>
      <c r="J154" s="21">
        <v>26</v>
      </c>
      <c r="K154" s="21">
        <v>16</v>
      </c>
      <c r="L154" s="21">
        <v>8</v>
      </c>
      <c r="M154" s="21">
        <v>13</v>
      </c>
      <c r="N154" s="21">
        <v>25</v>
      </c>
      <c r="O154" s="21">
        <v>52</v>
      </c>
      <c r="P154" s="21">
        <v>0</v>
      </c>
      <c r="Q154" s="21">
        <v>0</v>
      </c>
      <c r="R154" s="21">
        <v>0</v>
      </c>
      <c r="S154" s="21">
        <v>0</v>
      </c>
      <c r="T154" s="21">
        <v>42</v>
      </c>
      <c r="U154" s="6">
        <f t="shared" si="13"/>
        <v>0.32497520000000002</v>
      </c>
      <c r="V154">
        <f t="shared" si="17"/>
        <v>0.94972800000000035</v>
      </c>
      <c r="W154" s="6">
        <f t="shared" si="14"/>
        <v>1.92</v>
      </c>
      <c r="X154">
        <f t="shared" si="15"/>
        <v>5.1193568000000003</v>
      </c>
      <c r="Y154" t="str">
        <f t="shared" si="16"/>
        <v>RP</v>
      </c>
    </row>
    <row r="155" spans="1:25" ht="13.5" customHeight="1" thickBot="1" x14ac:dyDescent="0.35">
      <c r="A155">
        <f t="shared" si="12"/>
        <v>12.627476593847526</v>
      </c>
      <c r="B155" s="18">
        <v>71</v>
      </c>
      <c r="C155" s="12" t="s">
        <v>99</v>
      </c>
      <c r="D155" s="19" t="s">
        <v>6</v>
      </c>
      <c r="E155" s="19" t="s">
        <v>19</v>
      </c>
      <c r="F155" s="19" t="s">
        <v>19</v>
      </c>
      <c r="G155" s="19">
        <v>18</v>
      </c>
      <c r="H155" s="19">
        <v>93</v>
      </c>
      <c r="I155" s="19">
        <v>13</v>
      </c>
      <c r="J155" s="19">
        <v>19</v>
      </c>
      <c r="K155" s="19">
        <v>16</v>
      </c>
      <c r="L155" s="19">
        <v>8</v>
      </c>
      <c r="M155" s="19">
        <v>9</v>
      </c>
      <c r="N155" s="19">
        <v>37</v>
      </c>
      <c r="O155" s="19">
        <v>57</v>
      </c>
      <c r="P155" s="19">
        <v>0</v>
      </c>
      <c r="Q155" s="19">
        <v>0</v>
      </c>
      <c r="R155" s="19">
        <v>0</v>
      </c>
      <c r="S155" s="19">
        <v>0</v>
      </c>
      <c r="T155" s="19">
        <v>57</v>
      </c>
      <c r="U155" s="6">
        <f t="shared" si="13"/>
        <v>0.22084320000000007</v>
      </c>
      <c r="V155">
        <f t="shared" si="17"/>
        <v>1.0991880000000003</v>
      </c>
      <c r="W155" s="6">
        <f t="shared" si="14"/>
        <v>1.45</v>
      </c>
      <c r="X155">
        <f t="shared" si="15"/>
        <v>4.5317488000000008</v>
      </c>
      <c r="Y155" t="str">
        <f t="shared" si="16"/>
        <v>RP</v>
      </c>
    </row>
    <row r="156" spans="1:25" ht="13.5" customHeight="1" thickBot="1" x14ac:dyDescent="0.35">
      <c r="A156">
        <f t="shared" si="12"/>
        <v>12.304246544806064</v>
      </c>
      <c r="B156" s="18">
        <v>141</v>
      </c>
      <c r="C156" s="12" t="s">
        <v>169</v>
      </c>
      <c r="D156" s="19" t="s">
        <v>9</v>
      </c>
      <c r="E156" s="19" t="s">
        <v>20</v>
      </c>
      <c r="F156" s="19" t="s">
        <v>20</v>
      </c>
      <c r="G156" s="19">
        <v>18</v>
      </c>
      <c r="H156" s="19">
        <v>91</v>
      </c>
      <c r="I156" s="19">
        <v>10</v>
      </c>
      <c r="J156" s="19">
        <v>16</v>
      </c>
      <c r="K156" s="19">
        <v>2</v>
      </c>
      <c r="L156" s="19">
        <v>13</v>
      </c>
      <c r="M156" s="19">
        <v>1</v>
      </c>
      <c r="N156" s="19">
        <v>39</v>
      </c>
      <c r="O156" s="19">
        <v>61</v>
      </c>
      <c r="P156" s="19">
        <v>0</v>
      </c>
      <c r="Q156" s="19">
        <v>0</v>
      </c>
      <c r="R156" s="19">
        <v>0</v>
      </c>
      <c r="S156" s="19">
        <v>0</v>
      </c>
      <c r="T156" s="19">
        <v>44</v>
      </c>
      <c r="U156" s="6">
        <f t="shared" si="13"/>
        <v>0.16777900000000004</v>
      </c>
      <c r="V156">
        <f t="shared" si="17"/>
        <v>1.2173160000000001</v>
      </c>
      <c r="W156" s="6">
        <f t="shared" si="14"/>
        <v>1.31</v>
      </c>
      <c r="X156">
        <f t="shared" si="15"/>
        <v>4.4157480000000007</v>
      </c>
      <c r="Y156" t="str">
        <f t="shared" si="16"/>
        <v>RP</v>
      </c>
    </row>
    <row r="157" spans="1:25" ht="13.5" customHeight="1" thickBot="1" x14ac:dyDescent="0.35">
      <c r="A157">
        <f t="shared" si="12"/>
        <v>8.917191261703076</v>
      </c>
      <c r="B157" s="20">
        <v>192</v>
      </c>
      <c r="C157" s="13" t="s">
        <v>220</v>
      </c>
      <c r="D157" s="21" t="s">
        <v>4</v>
      </c>
      <c r="E157" s="21" t="s">
        <v>19</v>
      </c>
      <c r="F157" s="21" t="s">
        <v>19</v>
      </c>
      <c r="G157" s="21">
        <v>18</v>
      </c>
      <c r="H157" s="21">
        <v>88</v>
      </c>
      <c r="I157" s="21">
        <v>27</v>
      </c>
      <c r="J157" s="21">
        <v>7</v>
      </c>
      <c r="K157" s="21">
        <v>20</v>
      </c>
      <c r="L157" s="21">
        <v>16</v>
      </c>
      <c r="M157" s="21">
        <v>13</v>
      </c>
      <c r="N157" s="21">
        <v>58</v>
      </c>
      <c r="O157" s="21">
        <v>19</v>
      </c>
      <c r="P157" s="21">
        <v>0</v>
      </c>
      <c r="Q157" s="21">
        <v>0</v>
      </c>
      <c r="R157" s="21">
        <v>0</v>
      </c>
      <c r="S157" s="21">
        <v>0</v>
      </c>
      <c r="T157" s="21">
        <v>50</v>
      </c>
      <c r="U157" s="6">
        <f t="shared" si="13"/>
        <v>0.24814840000000005</v>
      </c>
      <c r="V157">
        <f t="shared" si="17"/>
        <v>0.12380400000000004</v>
      </c>
      <c r="W157" s="6">
        <f t="shared" si="14"/>
        <v>1.96</v>
      </c>
      <c r="X157">
        <f t="shared" si="15"/>
        <v>3.2002016000000002</v>
      </c>
      <c r="Y157" t="str">
        <f t="shared" si="16"/>
        <v>RP</v>
      </c>
    </row>
    <row r="158" spans="1:25" ht="13.5" customHeight="1" thickBot="1" x14ac:dyDescent="0.35">
      <c r="A158">
        <f t="shared" si="12"/>
        <v>15.200887204636649</v>
      </c>
      <c r="B158" s="20">
        <v>184</v>
      </c>
      <c r="C158" s="13" t="s">
        <v>212</v>
      </c>
      <c r="D158" s="21" t="s">
        <v>4</v>
      </c>
      <c r="E158" s="21" t="s">
        <v>19</v>
      </c>
      <c r="F158" s="21" t="s">
        <v>19</v>
      </c>
      <c r="G158" s="21">
        <v>22</v>
      </c>
      <c r="H158" s="21">
        <v>91</v>
      </c>
      <c r="I158" s="21">
        <v>19</v>
      </c>
      <c r="J158" s="21">
        <v>22</v>
      </c>
      <c r="K158" s="21">
        <v>0</v>
      </c>
      <c r="L158" s="21">
        <v>28</v>
      </c>
      <c r="M158" s="21">
        <v>0</v>
      </c>
      <c r="N158" s="21">
        <v>6</v>
      </c>
      <c r="O158" s="21">
        <v>57</v>
      </c>
      <c r="P158" s="21">
        <v>0</v>
      </c>
      <c r="Q158" s="21">
        <v>0</v>
      </c>
      <c r="R158" s="21">
        <v>0</v>
      </c>
      <c r="S158" s="21">
        <v>0</v>
      </c>
      <c r="T158" s="21">
        <v>59</v>
      </c>
      <c r="U158" s="6">
        <f t="shared" si="13"/>
        <v>0.39672960000000013</v>
      </c>
      <c r="V158">
        <f t="shared" si="17"/>
        <v>1.0991880000000003</v>
      </c>
      <c r="W158" s="6">
        <f t="shared" si="14"/>
        <v>1.67</v>
      </c>
      <c r="X158">
        <f t="shared" si="15"/>
        <v>5.4552944000000014</v>
      </c>
      <c r="Y158" t="str">
        <f t="shared" si="16"/>
        <v>RP</v>
      </c>
    </row>
    <row r="159" spans="1:25" ht="13.5" customHeight="1" thickBot="1" x14ac:dyDescent="0.35">
      <c r="A159">
        <f t="shared" si="12"/>
        <v>13.146090057958091</v>
      </c>
      <c r="B159" s="18">
        <v>27</v>
      </c>
      <c r="C159" s="12" t="s">
        <v>55</v>
      </c>
      <c r="D159" s="19" t="s">
        <v>9</v>
      </c>
      <c r="E159" s="19" t="s">
        <v>19</v>
      </c>
      <c r="F159" s="19" t="s">
        <v>19</v>
      </c>
      <c r="G159" s="19">
        <v>18</v>
      </c>
      <c r="H159" s="19">
        <v>85</v>
      </c>
      <c r="I159" s="19">
        <v>36</v>
      </c>
      <c r="J159" s="19">
        <v>23</v>
      </c>
      <c r="K159" s="19">
        <v>24</v>
      </c>
      <c r="L159" s="19">
        <v>16</v>
      </c>
      <c r="M159" s="19">
        <v>21</v>
      </c>
      <c r="N159" s="19">
        <v>31</v>
      </c>
      <c r="O159" s="19">
        <v>32</v>
      </c>
      <c r="P159" s="19">
        <v>0</v>
      </c>
      <c r="Q159" s="19">
        <v>0</v>
      </c>
      <c r="R159" s="19">
        <v>0</v>
      </c>
      <c r="S159" s="19">
        <v>0</v>
      </c>
      <c r="T159" s="19">
        <v>68</v>
      </c>
      <c r="U159" s="6">
        <f t="shared" si="13"/>
        <v>0.41202320000000003</v>
      </c>
      <c r="V159">
        <f t="shared" si="17"/>
        <v>0.38988800000000012</v>
      </c>
      <c r="W159" s="6">
        <f t="shared" si="14"/>
        <v>2.29</v>
      </c>
      <c r="X159">
        <f t="shared" si="15"/>
        <v>4.7178688000000006</v>
      </c>
      <c r="Y159" t="str">
        <f t="shared" si="16"/>
        <v>RP</v>
      </c>
    </row>
    <row r="160" spans="1:25" ht="13.5" customHeight="1" thickBot="1" x14ac:dyDescent="0.35">
      <c r="A160">
        <f t="shared" si="12"/>
        <v>11.803794025858226</v>
      </c>
      <c r="B160" s="20">
        <v>156</v>
      </c>
      <c r="C160" s="13" t="s">
        <v>184</v>
      </c>
      <c r="D160" s="21" t="s">
        <v>9</v>
      </c>
      <c r="E160" s="21" t="s">
        <v>21</v>
      </c>
      <c r="F160" s="21" t="s">
        <v>19</v>
      </c>
      <c r="G160" s="21">
        <v>18</v>
      </c>
      <c r="H160" s="21">
        <v>81</v>
      </c>
      <c r="I160" s="21">
        <v>14</v>
      </c>
      <c r="J160" s="21">
        <v>13</v>
      </c>
      <c r="K160" s="21">
        <v>17</v>
      </c>
      <c r="L160" s="21">
        <v>12</v>
      </c>
      <c r="M160" s="21">
        <v>15</v>
      </c>
      <c r="N160" s="21">
        <v>39</v>
      </c>
      <c r="O160" s="21">
        <v>56</v>
      </c>
      <c r="P160" s="21">
        <v>0</v>
      </c>
      <c r="Q160" s="21">
        <v>0</v>
      </c>
      <c r="R160" s="21">
        <v>0</v>
      </c>
      <c r="S160" s="21">
        <v>0</v>
      </c>
      <c r="T160" s="21">
        <v>40</v>
      </c>
      <c r="U160" s="6">
        <f t="shared" si="13"/>
        <v>0.18184840000000005</v>
      </c>
      <c r="V160">
        <f t="shared" si="17"/>
        <v>1.0693760000000003</v>
      </c>
      <c r="W160" s="6">
        <f t="shared" si="14"/>
        <v>1.37</v>
      </c>
      <c r="X160">
        <f t="shared" si="15"/>
        <v>4.2361456000000004</v>
      </c>
      <c r="Y160" t="str">
        <f t="shared" si="16"/>
        <v>RP</v>
      </c>
    </row>
    <row r="161" spans="1:25" ht="13.5" customHeight="1" thickBot="1" x14ac:dyDescent="0.35">
      <c r="A161">
        <f t="shared" si="12"/>
        <v>13.858386090057957</v>
      </c>
      <c r="B161" s="20">
        <v>114</v>
      </c>
      <c r="C161" s="13" t="s">
        <v>142</v>
      </c>
      <c r="D161" s="21" t="s">
        <v>7</v>
      </c>
      <c r="E161" s="21" t="s">
        <v>19</v>
      </c>
      <c r="F161" s="21" t="s">
        <v>19</v>
      </c>
      <c r="G161" s="21">
        <v>18</v>
      </c>
      <c r="H161" s="21">
        <v>72</v>
      </c>
      <c r="I161" s="21">
        <v>8</v>
      </c>
      <c r="J161" s="21">
        <v>5</v>
      </c>
      <c r="K161" s="21">
        <v>12</v>
      </c>
      <c r="L161" s="21">
        <v>10</v>
      </c>
      <c r="M161" s="21">
        <v>11</v>
      </c>
      <c r="N161" s="21">
        <v>22</v>
      </c>
      <c r="O161" s="21">
        <v>89</v>
      </c>
      <c r="P161" s="21">
        <v>0</v>
      </c>
      <c r="Q161" s="21">
        <v>0</v>
      </c>
      <c r="R161" s="21">
        <v>0</v>
      </c>
      <c r="S161" s="21">
        <v>0</v>
      </c>
      <c r="T161" s="21">
        <v>43</v>
      </c>
      <c r="U161" s="6">
        <f t="shared" si="13"/>
        <v>4.5492400000000016E-2</v>
      </c>
      <c r="V161">
        <f t="shared" si="17"/>
        <v>1.8757640000000004</v>
      </c>
      <c r="W161" s="6">
        <f t="shared" si="14"/>
        <v>1.04</v>
      </c>
      <c r="X161">
        <f t="shared" si="15"/>
        <v>4.9734976000000009</v>
      </c>
      <c r="Y161" t="str">
        <f t="shared" si="16"/>
        <v>RP</v>
      </c>
    </row>
    <row r="162" spans="1:25" ht="13.5" customHeight="1" thickBot="1" x14ac:dyDescent="0.35">
      <c r="A162">
        <f t="shared" si="12"/>
        <v>13.045635309852875</v>
      </c>
      <c r="B162" s="18">
        <v>49</v>
      </c>
      <c r="C162" s="12" t="s">
        <v>77</v>
      </c>
      <c r="D162" s="19" t="s">
        <v>10</v>
      </c>
      <c r="E162" s="19" t="s">
        <v>21</v>
      </c>
      <c r="F162" s="19" t="s">
        <v>20</v>
      </c>
      <c r="G162" s="19">
        <v>18</v>
      </c>
      <c r="H162" s="19">
        <v>75</v>
      </c>
      <c r="I162" s="19">
        <v>17</v>
      </c>
      <c r="J162" s="19">
        <v>22</v>
      </c>
      <c r="K162" s="19">
        <v>17</v>
      </c>
      <c r="L162" s="19">
        <v>4</v>
      </c>
      <c r="M162" s="19">
        <v>0</v>
      </c>
      <c r="N162" s="19">
        <v>29</v>
      </c>
      <c r="O162" s="19">
        <v>58</v>
      </c>
      <c r="P162" s="19">
        <v>0</v>
      </c>
      <c r="Q162" s="19">
        <v>0</v>
      </c>
      <c r="R162" s="19">
        <v>0</v>
      </c>
      <c r="S162" s="19">
        <v>0</v>
      </c>
      <c r="T162" s="19">
        <v>62</v>
      </c>
      <c r="U162" s="6">
        <f t="shared" si="13"/>
        <v>0.24849840000000004</v>
      </c>
      <c r="V162">
        <f t="shared" si="17"/>
        <v>1.1289120000000004</v>
      </c>
      <c r="W162" s="6">
        <f t="shared" si="14"/>
        <v>1.43</v>
      </c>
      <c r="X162">
        <f t="shared" si="15"/>
        <v>4.6818176000000005</v>
      </c>
      <c r="Y162" t="str">
        <f t="shared" si="16"/>
        <v>RP</v>
      </c>
    </row>
    <row r="163" spans="1:25" ht="13.5" customHeight="1" thickBot="1" x14ac:dyDescent="0.35">
      <c r="A163">
        <f t="shared" si="12"/>
        <v>12.171763263486405</v>
      </c>
      <c r="B163" s="18">
        <v>155</v>
      </c>
      <c r="C163" s="12" t="s">
        <v>183</v>
      </c>
      <c r="D163" s="19" t="s">
        <v>6</v>
      </c>
      <c r="E163" s="19" t="s">
        <v>19</v>
      </c>
      <c r="F163" s="19" t="s">
        <v>19</v>
      </c>
      <c r="G163" s="19">
        <v>18</v>
      </c>
      <c r="H163" s="19">
        <v>87</v>
      </c>
      <c r="I163" s="19">
        <v>12</v>
      </c>
      <c r="J163" s="19">
        <v>9</v>
      </c>
      <c r="K163" s="19">
        <v>26</v>
      </c>
      <c r="L163" s="19">
        <v>19</v>
      </c>
      <c r="M163" s="19">
        <v>11</v>
      </c>
      <c r="N163" s="19">
        <v>35</v>
      </c>
      <c r="O163" s="19">
        <v>52</v>
      </c>
      <c r="P163" s="19">
        <v>0</v>
      </c>
      <c r="Q163" s="19">
        <v>0</v>
      </c>
      <c r="R163" s="19">
        <v>0</v>
      </c>
      <c r="S163" s="19">
        <v>0</v>
      </c>
      <c r="T163" s="19">
        <v>40</v>
      </c>
      <c r="U163" s="6">
        <f t="shared" si="13"/>
        <v>0.27968660000000006</v>
      </c>
      <c r="V163">
        <f t="shared" si="17"/>
        <v>0.94972800000000035</v>
      </c>
      <c r="W163" s="6">
        <f t="shared" si="14"/>
        <v>1.35</v>
      </c>
      <c r="X163">
        <f t="shared" si="15"/>
        <v>4.3682024000000013</v>
      </c>
      <c r="Y163" t="str">
        <f t="shared" si="16"/>
        <v>RP</v>
      </c>
    </row>
    <row r="164" spans="1:25" ht="13.5" customHeight="1" thickBot="1" x14ac:dyDescent="0.35">
      <c r="A164">
        <f t="shared" si="12"/>
        <v>14.525855996433348</v>
      </c>
      <c r="B164" s="18">
        <v>197</v>
      </c>
      <c r="C164" s="12" t="s">
        <v>225</v>
      </c>
      <c r="D164" s="19" t="s">
        <v>4</v>
      </c>
      <c r="E164" s="19" t="s">
        <v>19</v>
      </c>
      <c r="F164" s="19" t="s">
        <v>19</v>
      </c>
      <c r="G164" s="19">
        <v>19</v>
      </c>
      <c r="H164" s="19">
        <v>70</v>
      </c>
      <c r="I164" s="19">
        <v>29</v>
      </c>
      <c r="J164" s="19">
        <v>3</v>
      </c>
      <c r="K164" s="19">
        <v>36</v>
      </c>
      <c r="L164" s="19">
        <v>29</v>
      </c>
      <c r="M164" s="19">
        <v>0</v>
      </c>
      <c r="N164" s="19">
        <v>12</v>
      </c>
      <c r="O164" s="19">
        <v>44</v>
      </c>
      <c r="P164" s="19">
        <v>0</v>
      </c>
      <c r="Q164" s="19">
        <v>0</v>
      </c>
      <c r="R164" s="19">
        <v>0</v>
      </c>
      <c r="S164" s="19">
        <v>0</v>
      </c>
      <c r="T164" s="19">
        <v>46</v>
      </c>
      <c r="U164" s="6">
        <f t="shared" si="13"/>
        <v>0.4815078000000001</v>
      </c>
      <c r="V164">
        <f t="shared" si="17"/>
        <v>0.71350400000000025</v>
      </c>
      <c r="W164" s="6">
        <f t="shared" si="14"/>
        <v>1.86</v>
      </c>
      <c r="X164">
        <f t="shared" si="15"/>
        <v>5.2130392000000008</v>
      </c>
      <c r="Y164" t="str">
        <f t="shared" si="16"/>
        <v>RP</v>
      </c>
    </row>
    <row r="165" spans="1:25" ht="13.5" customHeight="1" thickBot="1" x14ac:dyDescent="0.35">
      <c r="A165">
        <f t="shared" si="12"/>
        <v>12.404585376727598</v>
      </c>
      <c r="B165" s="18">
        <v>55</v>
      </c>
      <c r="C165" s="12" t="s">
        <v>83</v>
      </c>
      <c r="D165" s="19" t="s">
        <v>9</v>
      </c>
      <c r="E165" s="19" t="s">
        <v>20</v>
      </c>
      <c r="F165" s="19" t="s">
        <v>20</v>
      </c>
      <c r="G165" s="19">
        <v>18</v>
      </c>
      <c r="H165" s="19">
        <v>85</v>
      </c>
      <c r="I165" s="19">
        <v>13</v>
      </c>
      <c r="J165" s="19">
        <v>10</v>
      </c>
      <c r="K165" s="19">
        <v>17</v>
      </c>
      <c r="L165" s="19">
        <v>23</v>
      </c>
      <c r="M165" s="19">
        <v>3</v>
      </c>
      <c r="N165" s="19">
        <v>33</v>
      </c>
      <c r="O165" s="19">
        <v>55</v>
      </c>
      <c r="P165" s="19">
        <v>0</v>
      </c>
      <c r="Q165" s="19">
        <v>0</v>
      </c>
      <c r="R165" s="19">
        <v>0</v>
      </c>
      <c r="S165" s="19">
        <v>0</v>
      </c>
      <c r="T165" s="19">
        <v>61</v>
      </c>
      <c r="U165" s="6">
        <f t="shared" si="13"/>
        <v>0.25068940000000006</v>
      </c>
      <c r="V165">
        <f t="shared" si="17"/>
        <v>1.0395000000000003</v>
      </c>
      <c r="W165" s="6">
        <f t="shared" si="14"/>
        <v>1.37</v>
      </c>
      <c r="X165">
        <f t="shared" si="15"/>
        <v>4.4517576000000005</v>
      </c>
      <c r="Y165" t="str">
        <f t="shared" si="16"/>
        <v>RP</v>
      </c>
    </row>
    <row r="166" spans="1:25" ht="13.5" customHeight="1" thickBot="1" x14ac:dyDescent="0.35">
      <c r="A166">
        <f t="shared" si="12"/>
        <v>11.525055728934463</v>
      </c>
      <c r="B166" s="18">
        <v>193</v>
      </c>
      <c r="C166" s="12" t="s">
        <v>221</v>
      </c>
      <c r="D166" s="19" t="s">
        <v>4</v>
      </c>
      <c r="E166" s="19" t="s">
        <v>19</v>
      </c>
      <c r="F166" s="19" t="s">
        <v>19</v>
      </c>
      <c r="G166" s="19">
        <v>18</v>
      </c>
      <c r="H166" s="19">
        <v>73</v>
      </c>
      <c r="I166" s="19">
        <v>11</v>
      </c>
      <c r="J166" s="19">
        <v>7</v>
      </c>
      <c r="K166" s="19">
        <v>19</v>
      </c>
      <c r="L166" s="19">
        <v>10</v>
      </c>
      <c r="M166" s="19">
        <v>1</v>
      </c>
      <c r="N166" s="19">
        <v>39</v>
      </c>
      <c r="O166" s="19">
        <v>61</v>
      </c>
      <c r="P166" s="19">
        <v>0</v>
      </c>
      <c r="Q166" s="19">
        <v>0</v>
      </c>
      <c r="R166" s="19">
        <v>0</v>
      </c>
      <c r="S166" s="19">
        <v>0</v>
      </c>
      <c r="T166" s="19">
        <v>38</v>
      </c>
      <c r="U166" s="6">
        <f t="shared" si="13"/>
        <v>0.13287000000000004</v>
      </c>
      <c r="V166">
        <f t="shared" si="17"/>
        <v>1.2173160000000001</v>
      </c>
      <c r="W166" s="6">
        <f t="shared" si="14"/>
        <v>1.17</v>
      </c>
      <c r="X166">
        <f t="shared" si="15"/>
        <v>4.1361120000000007</v>
      </c>
      <c r="Y166" t="str">
        <f t="shared" si="16"/>
        <v>RP</v>
      </c>
    </row>
    <row r="167" spans="1:25" ht="13.5" customHeight="1" thickBot="1" x14ac:dyDescent="0.35">
      <c r="A167">
        <f t="shared" si="12"/>
        <v>11.485198395006686</v>
      </c>
      <c r="B167" s="18">
        <v>143</v>
      </c>
      <c r="C167" s="12" t="s">
        <v>171</v>
      </c>
      <c r="D167" s="19" t="s">
        <v>9</v>
      </c>
      <c r="E167" s="19" t="s">
        <v>19</v>
      </c>
      <c r="F167" s="19" t="s">
        <v>19</v>
      </c>
      <c r="G167" s="19">
        <v>18</v>
      </c>
      <c r="H167" s="19">
        <v>88</v>
      </c>
      <c r="I167" s="19">
        <v>7</v>
      </c>
      <c r="J167" s="19">
        <v>7</v>
      </c>
      <c r="K167" s="19">
        <v>8</v>
      </c>
      <c r="L167" s="19">
        <v>0</v>
      </c>
      <c r="M167" s="19">
        <v>1</v>
      </c>
      <c r="N167" s="19">
        <v>39</v>
      </c>
      <c r="O167" s="19">
        <v>66</v>
      </c>
      <c r="P167" s="19">
        <v>0</v>
      </c>
      <c r="Q167" s="19">
        <v>0</v>
      </c>
      <c r="R167" s="19">
        <v>0</v>
      </c>
      <c r="S167" s="19">
        <v>0</v>
      </c>
      <c r="T167" s="19">
        <v>44</v>
      </c>
      <c r="U167" s="6">
        <f t="shared" si="13"/>
        <v>6.0124000000000025E-2</v>
      </c>
      <c r="V167">
        <f t="shared" si="17"/>
        <v>1.3606560000000001</v>
      </c>
      <c r="W167" s="6">
        <f t="shared" si="14"/>
        <v>1.1599999999999999</v>
      </c>
      <c r="X167">
        <f t="shared" si="15"/>
        <v>4.1218080000000006</v>
      </c>
      <c r="Y167" t="str">
        <f t="shared" si="16"/>
        <v>RP</v>
      </c>
    </row>
    <row r="168" spans="1:25" ht="13.5" customHeight="1" thickBot="1" x14ac:dyDescent="0.35">
      <c r="A168">
        <f t="shared" si="12"/>
        <v>11.784021399910834</v>
      </c>
      <c r="B168" s="20">
        <v>72</v>
      </c>
      <c r="C168" s="13" t="s">
        <v>100</v>
      </c>
      <c r="D168" s="21" t="s">
        <v>5</v>
      </c>
      <c r="E168" s="21" t="s">
        <v>19</v>
      </c>
      <c r="F168" s="21" t="s">
        <v>19</v>
      </c>
      <c r="G168" s="21">
        <v>18</v>
      </c>
      <c r="H168" s="21">
        <v>79</v>
      </c>
      <c r="I168" s="21">
        <v>28</v>
      </c>
      <c r="J168" s="21">
        <v>8</v>
      </c>
      <c r="K168" s="21">
        <v>7</v>
      </c>
      <c r="L168" s="21">
        <v>0</v>
      </c>
      <c r="M168" s="21">
        <v>11</v>
      </c>
      <c r="N168" s="21">
        <v>37</v>
      </c>
      <c r="O168" s="21">
        <v>55</v>
      </c>
      <c r="P168" s="21">
        <v>0</v>
      </c>
      <c r="Q168" s="21">
        <v>0</v>
      </c>
      <c r="R168" s="21">
        <v>0</v>
      </c>
      <c r="S168" s="21">
        <v>0</v>
      </c>
      <c r="T168" s="21">
        <v>57</v>
      </c>
      <c r="U168" s="6">
        <f t="shared" si="13"/>
        <v>6.0012400000000021E-2</v>
      </c>
      <c r="V168">
        <f t="shared" si="17"/>
        <v>1.0395000000000003</v>
      </c>
      <c r="W168" s="6">
        <f t="shared" si="14"/>
        <v>1.91</v>
      </c>
      <c r="X168">
        <f t="shared" si="15"/>
        <v>4.2290496000000006</v>
      </c>
      <c r="Y168" t="str">
        <f t="shared" si="16"/>
        <v>RP</v>
      </c>
    </row>
    <row r="169" spans="1:25" ht="13.5" customHeight="1" thickBot="1" x14ac:dyDescent="0.35">
      <c r="A169">
        <f t="shared" si="12"/>
        <v>13.788377173428445</v>
      </c>
      <c r="B169" s="20">
        <v>140</v>
      </c>
      <c r="C169" s="13" t="s">
        <v>168</v>
      </c>
      <c r="D169" s="21" t="s">
        <v>10</v>
      </c>
      <c r="E169" s="21" t="s">
        <v>19</v>
      </c>
      <c r="F169" s="21" t="s">
        <v>19</v>
      </c>
      <c r="G169" s="21">
        <v>18</v>
      </c>
      <c r="H169" s="21">
        <v>79</v>
      </c>
      <c r="I169" s="21">
        <v>29</v>
      </c>
      <c r="J169" s="21">
        <v>17</v>
      </c>
      <c r="K169" s="21">
        <v>8</v>
      </c>
      <c r="L169" s="21">
        <v>0</v>
      </c>
      <c r="M169" s="21">
        <v>1</v>
      </c>
      <c r="N169" s="21">
        <v>21</v>
      </c>
      <c r="O169" s="21">
        <v>63</v>
      </c>
      <c r="P169" s="21">
        <v>0</v>
      </c>
      <c r="Q169" s="21">
        <v>0</v>
      </c>
      <c r="R169" s="21">
        <v>0</v>
      </c>
      <c r="S169" s="21">
        <v>0</v>
      </c>
      <c r="T169" s="21">
        <v>44</v>
      </c>
      <c r="U169" s="6">
        <f t="shared" si="13"/>
        <v>0.11190720000000003</v>
      </c>
      <c r="V169">
        <f t="shared" si="17"/>
        <v>1.2753720000000004</v>
      </c>
      <c r="W169" s="6">
        <f t="shared" si="14"/>
        <v>1.95</v>
      </c>
      <c r="X169">
        <f t="shared" si="15"/>
        <v>4.9483728000000005</v>
      </c>
      <c r="Y169" t="str">
        <f t="shared" si="16"/>
        <v>RP</v>
      </c>
    </row>
    <row r="170" spans="1:25" ht="13.5" customHeight="1" thickBot="1" x14ac:dyDescent="0.35">
      <c r="A170">
        <f t="shared" si="12"/>
        <v>10.332987070887203</v>
      </c>
      <c r="B170" s="20">
        <v>190</v>
      </c>
      <c r="C170" s="13" t="s">
        <v>218</v>
      </c>
      <c r="D170" s="21" t="s">
        <v>4</v>
      </c>
      <c r="E170" s="21" t="s">
        <v>20</v>
      </c>
      <c r="F170" s="21" t="s">
        <v>20</v>
      </c>
      <c r="G170" s="21">
        <v>18</v>
      </c>
      <c r="H170" s="21">
        <v>80</v>
      </c>
      <c r="I170" s="21">
        <v>34</v>
      </c>
      <c r="J170" s="21">
        <v>2</v>
      </c>
      <c r="K170" s="21">
        <v>0</v>
      </c>
      <c r="L170" s="21">
        <v>0</v>
      </c>
      <c r="M170" s="21">
        <v>10</v>
      </c>
      <c r="N170" s="21">
        <v>46</v>
      </c>
      <c r="O170" s="21">
        <v>41</v>
      </c>
      <c r="P170" s="21">
        <v>0</v>
      </c>
      <c r="Q170" s="21">
        <v>0</v>
      </c>
      <c r="R170" s="21">
        <v>0</v>
      </c>
      <c r="S170" s="21">
        <v>0</v>
      </c>
      <c r="T170" s="21">
        <v>58</v>
      </c>
      <c r="U170" s="6">
        <f t="shared" si="13"/>
        <v>7.3097600000000026E-2</v>
      </c>
      <c r="V170">
        <f t="shared" si="17"/>
        <v>0.62795600000000007</v>
      </c>
      <c r="W170" s="6">
        <f t="shared" si="14"/>
        <v>2.16</v>
      </c>
      <c r="X170">
        <f t="shared" si="15"/>
        <v>3.7083024000000004</v>
      </c>
      <c r="Y170" t="str">
        <f t="shared" si="16"/>
        <v>RP</v>
      </c>
    </row>
    <row r="171" spans="1:25" ht="13.5" customHeight="1" thickBot="1" x14ac:dyDescent="0.35">
      <c r="A171">
        <f t="shared" si="12"/>
        <v>14.576961658493088</v>
      </c>
      <c r="B171" s="20">
        <v>194</v>
      </c>
      <c r="C171" s="13" t="s">
        <v>222</v>
      </c>
      <c r="D171" s="21" t="s">
        <v>4</v>
      </c>
      <c r="E171" s="21" t="s">
        <v>20</v>
      </c>
      <c r="F171" s="21" t="s">
        <v>19</v>
      </c>
      <c r="G171" s="21">
        <v>18</v>
      </c>
      <c r="H171" s="21">
        <v>84</v>
      </c>
      <c r="I171" s="21">
        <v>21</v>
      </c>
      <c r="J171" s="21">
        <v>22</v>
      </c>
      <c r="K171" s="21">
        <v>13</v>
      </c>
      <c r="L171" s="21">
        <v>7</v>
      </c>
      <c r="M171" s="21">
        <v>17</v>
      </c>
      <c r="N171" s="21">
        <v>8</v>
      </c>
      <c r="O171" s="21">
        <v>66</v>
      </c>
      <c r="P171" s="21">
        <v>0</v>
      </c>
      <c r="Q171" s="21">
        <v>0</v>
      </c>
      <c r="R171" s="21">
        <v>0</v>
      </c>
      <c r="S171" s="21">
        <v>0</v>
      </c>
      <c r="T171" s="21">
        <v>43</v>
      </c>
      <c r="U171" s="6">
        <f t="shared" si="13"/>
        <v>0.20751700000000006</v>
      </c>
      <c r="V171">
        <f t="shared" si="17"/>
        <v>1.3606560000000001</v>
      </c>
      <c r="W171" s="6">
        <f t="shared" si="14"/>
        <v>1.68</v>
      </c>
      <c r="X171">
        <f t="shared" si="15"/>
        <v>5.2313800000000006</v>
      </c>
      <c r="Y171" t="str">
        <f t="shared" si="16"/>
        <v>RP</v>
      </c>
    </row>
    <row r="172" spans="1:25" ht="13.5" customHeight="1" thickBot="1" x14ac:dyDescent="0.35">
      <c r="A172">
        <f t="shared" si="12"/>
        <v>12.541604993312527</v>
      </c>
      <c r="B172" s="20">
        <v>104</v>
      </c>
      <c r="C172" s="13" t="s">
        <v>132</v>
      </c>
      <c r="D172" s="21" t="s">
        <v>8</v>
      </c>
      <c r="E172" s="21" t="s">
        <v>19</v>
      </c>
      <c r="F172" s="21" t="s">
        <v>19</v>
      </c>
      <c r="G172" s="21">
        <v>18</v>
      </c>
      <c r="H172" s="21">
        <v>83</v>
      </c>
      <c r="I172" s="21">
        <v>17</v>
      </c>
      <c r="J172" s="21">
        <v>5</v>
      </c>
      <c r="K172" s="21">
        <v>7</v>
      </c>
      <c r="L172" s="21">
        <v>10</v>
      </c>
      <c r="M172" s="21">
        <v>32</v>
      </c>
      <c r="N172" s="21">
        <v>30</v>
      </c>
      <c r="O172" s="21">
        <v>65</v>
      </c>
      <c r="P172" s="21">
        <v>0</v>
      </c>
      <c r="Q172" s="21">
        <v>0</v>
      </c>
      <c r="R172" s="21">
        <v>0</v>
      </c>
      <c r="S172" s="21">
        <v>0</v>
      </c>
      <c r="T172" s="21">
        <v>50</v>
      </c>
      <c r="U172" s="6">
        <f t="shared" si="13"/>
        <v>8.1482800000000036E-2</v>
      </c>
      <c r="V172">
        <f t="shared" si="17"/>
        <v>1.3325000000000002</v>
      </c>
      <c r="W172" s="6">
        <f t="shared" si="14"/>
        <v>1.51</v>
      </c>
      <c r="X172">
        <f t="shared" si="15"/>
        <v>4.500931200000001</v>
      </c>
      <c r="Y172" t="str">
        <f t="shared" si="16"/>
        <v>RP</v>
      </c>
    </row>
    <row r="173" spans="1:25" ht="13.5" customHeight="1" thickBot="1" x14ac:dyDescent="0.35">
      <c r="A173">
        <f t="shared" si="12"/>
        <v>11.245577351761034</v>
      </c>
      <c r="B173" s="20">
        <v>48</v>
      </c>
      <c r="C173" s="13" t="s">
        <v>76</v>
      </c>
      <c r="D173" s="21" t="s">
        <v>5</v>
      </c>
      <c r="E173" s="21" t="s">
        <v>19</v>
      </c>
      <c r="F173" s="21" t="s">
        <v>19</v>
      </c>
      <c r="G173" s="21">
        <v>21</v>
      </c>
      <c r="H173" s="21">
        <v>100</v>
      </c>
      <c r="I173" s="21">
        <v>12</v>
      </c>
      <c r="J173" s="21">
        <v>27</v>
      </c>
      <c r="K173" s="21">
        <v>15</v>
      </c>
      <c r="L173" s="21">
        <v>18</v>
      </c>
      <c r="M173" s="21">
        <v>0</v>
      </c>
      <c r="N173" s="21">
        <v>38</v>
      </c>
      <c r="O173" s="21">
        <v>32</v>
      </c>
      <c r="P173" s="21">
        <v>0</v>
      </c>
      <c r="Q173" s="21">
        <v>0</v>
      </c>
      <c r="R173" s="21">
        <v>0</v>
      </c>
      <c r="S173" s="21">
        <v>0</v>
      </c>
      <c r="T173" s="21">
        <v>83</v>
      </c>
      <c r="U173" s="6">
        <f t="shared" si="13"/>
        <v>0.4440092000000001</v>
      </c>
      <c r="V173">
        <f t="shared" si="17"/>
        <v>0.38988800000000012</v>
      </c>
      <c r="W173" s="6">
        <f t="shared" si="14"/>
        <v>1.48</v>
      </c>
      <c r="X173">
        <f t="shared" si="15"/>
        <v>4.0358128000000004</v>
      </c>
      <c r="Y173" t="str">
        <f t="shared" si="16"/>
        <v>RP</v>
      </c>
    </row>
    <row r="174" spans="1:25" ht="13.5" customHeight="1" thickBot="1" x14ac:dyDescent="0.35">
      <c r="A174">
        <f t="shared" si="12"/>
        <v>13.643823004904148</v>
      </c>
      <c r="B174" s="20">
        <v>120</v>
      </c>
      <c r="C174" s="13" t="s">
        <v>148</v>
      </c>
      <c r="D174" s="21" t="s">
        <v>9</v>
      </c>
      <c r="E174" s="21" t="s">
        <v>21</v>
      </c>
      <c r="F174" s="21" t="s">
        <v>20</v>
      </c>
      <c r="G174" s="21">
        <v>18</v>
      </c>
      <c r="H174" s="21">
        <v>83</v>
      </c>
      <c r="I174" s="21">
        <v>18</v>
      </c>
      <c r="J174" s="21">
        <v>0</v>
      </c>
      <c r="K174" s="21">
        <v>20</v>
      </c>
      <c r="L174" s="21">
        <v>21</v>
      </c>
      <c r="M174" s="21">
        <v>10</v>
      </c>
      <c r="N174" s="21">
        <v>17</v>
      </c>
      <c r="O174" s="21">
        <v>63</v>
      </c>
      <c r="P174" s="21">
        <v>0</v>
      </c>
      <c r="Q174" s="21">
        <v>0</v>
      </c>
      <c r="R174" s="21">
        <v>0</v>
      </c>
      <c r="S174" s="21">
        <v>0</v>
      </c>
      <c r="T174" s="21">
        <v>47</v>
      </c>
      <c r="U174" s="6">
        <f t="shared" si="13"/>
        <v>0.19893780000000005</v>
      </c>
      <c r="V174">
        <f t="shared" si="17"/>
        <v>1.2753720000000004</v>
      </c>
      <c r="W174" s="6">
        <f t="shared" si="14"/>
        <v>1.55</v>
      </c>
      <c r="X174">
        <f t="shared" si="15"/>
        <v>4.8964952000000013</v>
      </c>
      <c r="Y174" t="str">
        <f t="shared" si="16"/>
        <v>RP</v>
      </c>
    </row>
    <row r="175" spans="1:25" ht="13.5" customHeight="1" thickBot="1" x14ac:dyDescent="0.35">
      <c r="A175">
        <f t="shared" si="12"/>
        <v>12.672888987962549</v>
      </c>
      <c r="B175" s="20">
        <v>148</v>
      </c>
      <c r="C175" s="13" t="s">
        <v>176</v>
      </c>
      <c r="D175" s="21" t="s">
        <v>9</v>
      </c>
      <c r="E175" s="21" t="s">
        <v>19</v>
      </c>
      <c r="F175" s="21" t="s">
        <v>19</v>
      </c>
      <c r="G175" s="21">
        <v>18</v>
      </c>
      <c r="H175" s="21">
        <v>92</v>
      </c>
      <c r="I175" s="21">
        <v>35</v>
      </c>
      <c r="J175" s="21">
        <v>14</v>
      </c>
      <c r="K175" s="21">
        <v>16</v>
      </c>
      <c r="L175" s="21">
        <v>8</v>
      </c>
      <c r="M175" s="21">
        <v>10</v>
      </c>
      <c r="N175" s="21">
        <v>26</v>
      </c>
      <c r="O175" s="21">
        <v>49</v>
      </c>
      <c r="P175" s="21">
        <v>0</v>
      </c>
      <c r="Q175" s="21">
        <v>0</v>
      </c>
      <c r="R175" s="21">
        <v>0</v>
      </c>
      <c r="S175" s="21">
        <v>0</v>
      </c>
      <c r="T175" s="21">
        <v>43</v>
      </c>
      <c r="U175" s="6">
        <f t="shared" si="13"/>
        <v>0.12688960000000005</v>
      </c>
      <c r="V175">
        <f t="shared" si="17"/>
        <v>0.86024400000000023</v>
      </c>
      <c r="W175" s="6">
        <f t="shared" si="14"/>
        <v>2.3199999999999998</v>
      </c>
      <c r="X175">
        <f t="shared" si="15"/>
        <v>4.5480464000000005</v>
      </c>
      <c r="Y175" t="str">
        <f t="shared" si="16"/>
        <v>RP</v>
      </c>
    </row>
    <row r="176" spans="1:25" ht="13.5" customHeight="1" thickBot="1" x14ac:dyDescent="0.35">
      <c r="A176">
        <f t="shared" si="12"/>
        <v>10.245483727151138</v>
      </c>
      <c r="B176" s="20">
        <v>128</v>
      </c>
      <c r="C176" s="13" t="s">
        <v>156</v>
      </c>
      <c r="D176" s="21" t="s">
        <v>10</v>
      </c>
      <c r="E176" s="21" t="s">
        <v>19</v>
      </c>
      <c r="F176" s="21" t="s">
        <v>19</v>
      </c>
      <c r="G176" s="21">
        <v>18</v>
      </c>
      <c r="H176" s="21">
        <v>91</v>
      </c>
      <c r="I176" s="21">
        <v>20</v>
      </c>
      <c r="J176" s="21">
        <v>3</v>
      </c>
      <c r="K176" s="21">
        <v>12</v>
      </c>
      <c r="L176" s="21">
        <v>4</v>
      </c>
      <c r="M176" s="21">
        <v>11</v>
      </c>
      <c r="N176" s="21">
        <v>43</v>
      </c>
      <c r="O176" s="21">
        <v>48</v>
      </c>
      <c r="P176" s="21">
        <v>0</v>
      </c>
      <c r="Q176" s="21">
        <v>0</v>
      </c>
      <c r="R176" s="21">
        <v>0</v>
      </c>
      <c r="S176" s="21">
        <v>0</v>
      </c>
      <c r="T176" s="21">
        <v>45</v>
      </c>
      <c r="U176" s="6">
        <f t="shared" si="13"/>
        <v>7.6428800000000033E-2</v>
      </c>
      <c r="V176">
        <f t="shared" si="17"/>
        <v>0.83059200000000022</v>
      </c>
      <c r="W176" s="6">
        <f t="shared" si="14"/>
        <v>1.71</v>
      </c>
      <c r="X176">
        <f t="shared" si="15"/>
        <v>3.6768992000000003</v>
      </c>
      <c r="Y176" t="str">
        <f t="shared" si="16"/>
        <v>RP</v>
      </c>
    </row>
    <row r="177" spans="1:25" ht="13.5" customHeight="1" thickBot="1" x14ac:dyDescent="0.35">
      <c r="A177">
        <f t="shared" si="12"/>
        <v>12.922117699509585</v>
      </c>
      <c r="B177" s="20">
        <v>160</v>
      </c>
      <c r="C177" s="13" t="s">
        <v>188</v>
      </c>
      <c r="D177" s="21" t="s">
        <v>7</v>
      </c>
      <c r="E177" s="21" t="s">
        <v>20</v>
      </c>
      <c r="F177" s="21" t="s">
        <v>19</v>
      </c>
      <c r="G177" s="21">
        <v>18</v>
      </c>
      <c r="H177" s="21">
        <v>77</v>
      </c>
      <c r="I177" s="21">
        <v>25</v>
      </c>
      <c r="J177" s="21">
        <v>0</v>
      </c>
      <c r="K177" s="21">
        <v>0</v>
      </c>
      <c r="L177" s="21">
        <v>8</v>
      </c>
      <c r="M177" s="21">
        <v>3</v>
      </c>
      <c r="N177" s="21">
        <v>23</v>
      </c>
      <c r="O177" s="21">
        <v>67</v>
      </c>
      <c r="P177" s="21">
        <v>0</v>
      </c>
      <c r="Q177" s="21">
        <v>0</v>
      </c>
      <c r="R177" s="21">
        <v>0</v>
      </c>
      <c r="S177" s="21">
        <v>0</v>
      </c>
      <c r="T177" s="21">
        <v>37</v>
      </c>
      <c r="U177" s="6">
        <f t="shared" si="13"/>
        <v>2.2618400000000007E-2</v>
      </c>
      <c r="V177">
        <f t="shared" si="17"/>
        <v>1.3885080000000003</v>
      </c>
      <c r="W177" s="6">
        <f t="shared" si="14"/>
        <v>1.77</v>
      </c>
      <c r="X177">
        <f t="shared" si="15"/>
        <v>4.6374896000000003</v>
      </c>
      <c r="Y177" t="str">
        <f t="shared" si="16"/>
        <v>RP</v>
      </c>
    </row>
    <row r="178" spans="1:25" ht="13.5" customHeight="1" thickBot="1" x14ac:dyDescent="0.35">
      <c r="A178">
        <f t="shared" si="12"/>
        <v>13.305572893446277</v>
      </c>
      <c r="B178" s="18">
        <v>191</v>
      </c>
      <c r="C178" s="12" t="s">
        <v>219</v>
      </c>
      <c r="D178" s="19" t="s">
        <v>4</v>
      </c>
      <c r="E178" s="19" t="s">
        <v>20</v>
      </c>
      <c r="F178" s="19" t="s">
        <v>20</v>
      </c>
      <c r="G178" s="19">
        <v>18</v>
      </c>
      <c r="H178" s="19">
        <v>100</v>
      </c>
      <c r="I178" s="19">
        <v>33</v>
      </c>
      <c r="J178" s="19">
        <v>30</v>
      </c>
      <c r="K178" s="19">
        <v>9</v>
      </c>
      <c r="L178" s="19">
        <v>0</v>
      </c>
      <c r="M178" s="19">
        <v>16</v>
      </c>
      <c r="N178" s="19">
        <v>19</v>
      </c>
      <c r="O178" s="19">
        <v>36</v>
      </c>
      <c r="P178" s="19">
        <v>0</v>
      </c>
      <c r="Q178" s="19">
        <v>0</v>
      </c>
      <c r="R178" s="19">
        <v>0</v>
      </c>
      <c r="S178" s="19">
        <v>0</v>
      </c>
      <c r="T178" s="19">
        <v>55</v>
      </c>
      <c r="U178" s="6">
        <f t="shared" si="13"/>
        <v>0.36796800000000013</v>
      </c>
      <c r="V178">
        <f t="shared" si="17"/>
        <v>0.49161600000000005</v>
      </c>
      <c r="W178" s="6">
        <f t="shared" si="14"/>
        <v>2.3199999999999998</v>
      </c>
      <c r="X178">
        <f t="shared" si="15"/>
        <v>4.7751040000000007</v>
      </c>
      <c r="Y178" t="str">
        <f t="shared" si="16"/>
        <v>RP</v>
      </c>
    </row>
    <row r="179" spans="1:25" ht="13.5" customHeight="1" thickBot="1" x14ac:dyDescent="0.35">
      <c r="A179">
        <f t="shared" si="12"/>
        <v>13.596812304948729</v>
      </c>
      <c r="B179" s="20">
        <v>196</v>
      </c>
      <c r="C179" s="13" t="s">
        <v>224</v>
      </c>
      <c r="D179" s="21" t="s">
        <v>4</v>
      </c>
      <c r="E179" s="21" t="s">
        <v>19</v>
      </c>
      <c r="F179" s="21" t="s">
        <v>19</v>
      </c>
      <c r="G179" s="21">
        <v>21</v>
      </c>
      <c r="H179" s="21">
        <v>95</v>
      </c>
      <c r="I179" s="21">
        <v>29</v>
      </c>
      <c r="J179" s="21">
        <v>28</v>
      </c>
      <c r="K179" s="21">
        <v>0</v>
      </c>
      <c r="L179" s="21">
        <v>28</v>
      </c>
      <c r="M179" s="21">
        <v>3</v>
      </c>
      <c r="N179" s="21">
        <v>12</v>
      </c>
      <c r="O179" s="21">
        <v>30</v>
      </c>
      <c r="P179" s="21">
        <v>0</v>
      </c>
      <c r="Q179" s="21">
        <v>0</v>
      </c>
      <c r="R179" s="21">
        <v>0</v>
      </c>
      <c r="S179" s="21">
        <v>0</v>
      </c>
      <c r="T179" s="21">
        <v>50</v>
      </c>
      <c r="U179" s="6">
        <f t="shared" si="13"/>
        <v>0.52140600000000015</v>
      </c>
      <c r="V179">
        <f t="shared" si="17"/>
        <v>0.34200000000000008</v>
      </c>
      <c r="W179" s="6">
        <f t="shared" si="14"/>
        <v>2.11</v>
      </c>
      <c r="X179">
        <f t="shared" si="15"/>
        <v>4.8796240000000006</v>
      </c>
      <c r="Y179" t="str">
        <f t="shared" si="16"/>
        <v>RP</v>
      </c>
    </row>
    <row r="180" spans="1:25" ht="13.5" customHeight="1" thickBot="1" x14ac:dyDescent="0.35">
      <c r="A180">
        <f t="shared" si="12"/>
        <v>13.557055283102986</v>
      </c>
      <c r="B180" s="20">
        <v>138</v>
      </c>
      <c r="C180" s="13" t="s">
        <v>166</v>
      </c>
      <c r="D180" s="21" t="s">
        <v>7</v>
      </c>
      <c r="E180" s="21" t="s">
        <v>19</v>
      </c>
      <c r="F180" s="21" t="s">
        <v>19</v>
      </c>
      <c r="G180" s="21">
        <v>18</v>
      </c>
      <c r="H180" s="21">
        <v>90</v>
      </c>
      <c r="I180" s="21">
        <v>29</v>
      </c>
      <c r="J180" s="21">
        <v>20</v>
      </c>
      <c r="K180" s="21">
        <v>7</v>
      </c>
      <c r="L180" s="21">
        <v>3</v>
      </c>
      <c r="M180" s="21">
        <v>0</v>
      </c>
      <c r="N180" s="21">
        <v>10</v>
      </c>
      <c r="O180" s="21">
        <v>58</v>
      </c>
      <c r="P180" s="21">
        <v>0</v>
      </c>
      <c r="Q180" s="21">
        <v>0</v>
      </c>
      <c r="R180" s="21">
        <v>0</v>
      </c>
      <c r="S180" s="21">
        <v>0</v>
      </c>
      <c r="T180" s="21">
        <v>45</v>
      </c>
      <c r="U180" s="6">
        <f t="shared" si="13"/>
        <v>0.13688300000000003</v>
      </c>
      <c r="V180">
        <f t="shared" si="17"/>
        <v>1.1289120000000004</v>
      </c>
      <c r="W180" s="6">
        <f t="shared" si="14"/>
        <v>2.06</v>
      </c>
      <c r="X180">
        <f t="shared" si="15"/>
        <v>4.8653560000000002</v>
      </c>
      <c r="Y180" t="str">
        <f t="shared" si="16"/>
        <v>RP</v>
      </c>
    </row>
    <row r="181" spans="1:25" ht="13.5" customHeight="1" thickBot="1" x14ac:dyDescent="0.35">
      <c r="A181">
        <f t="shared" si="12"/>
        <v>11.988029424877398</v>
      </c>
      <c r="B181" s="20">
        <v>108</v>
      </c>
      <c r="C181" s="13" t="s">
        <v>136</v>
      </c>
      <c r="D181" s="21" t="s">
        <v>6</v>
      </c>
      <c r="E181" s="21" t="s">
        <v>20</v>
      </c>
      <c r="F181" s="21" t="s">
        <v>20</v>
      </c>
      <c r="G181" s="21">
        <v>18</v>
      </c>
      <c r="H181" s="21">
        <v>80</v>
      </c>
      <c r="I181" s="21">
        <v>17</v>
      </c>
      <c r="J181" s="21">
        <v>12</v>
      </c>
      <c r="K181" s="21">
        <v>0</v>
      </c>
      <c r="L181" s="21">
        <v>8</v>
      </c>
      <c r="M181" s="21">
        <v>2</v>
      </c>
      <c r="N181" s="21">
        <v>28</v>
      </c>
      <c r="O181" s="21">
        <v>63</v>
      </c>
      <c r="P181" s="21">
        <v>0</v>
      </c>
      <c r="Q181" s="21">
        <v>0</v>
      </c>
      <c r="R181" s="21">
        <v>0</v>
      </c>
      <c r="S181" s="21">
        <v>0</v>
      </c>
      <c r="T181" s="21">
        <v>49</v>
      </c>
      <c r="U181" s="6">
        <f t="shared" si="13"/>
        <v>6.7880000000000024E-2</v>
      </c>
      <c r="V181">
        <f t="shared" si="17"/>
        <v>1.2753720000000004</v>
      </c>
      <c r="W181" s="6">
        <f t="shared" si="14"/>
        <v>1.48</v>
      </c>
      <c r="X181">
        <f t="shared" si="15"/>
        <v>4.302264000000001</v>
      </c>
      <c r="Y181" t="str">
        <f t="shared" si="16"/>
        <v>RP</v>
      </c>
    </row>
    <row r="182" spans="1:25" ht="13.5" customHeight="1" thickBot="1" x14ac:dyDescent="0.35">
      <c r="A182">
        <f t="shared" si="12"/>
        <v>12.874344627730714</v>
      </c>
      <c r="B182" s="18">
        <v>67</v>
      </c>
      <c r="C182" s="12" t="s">
        <v>95</v>
      </c>
      <c r="D182" s="19" t="s">
        <v>9</v>
      </c>
      <c r="E182" s="19" t="s">
        <v>20</v>
      </c>
      <c r="F182" s="19" t="s">
        <v>19</v>
      </c>
      <c r="G182" s="19">
        <v>18</v>
      </c>
      <c r="H182" s="19">
        <v>84</v>
      </c>
      <c r="I182" s="19">
        <v>37</v>
      </c>
      <c r="J182" s="19">
        <v>0</v>
      </c>
      <c r="K182" s="19">
        <v>0</v>
      </c>
      <c r="L182" s="19">
        <v>11</v>
      </c>
      <c r="M182" s="19">
        <v>3</v>
      </c>
      <c r="N182" s="19">
        <v>15</v>
      </c>
      <c r="O182" s="19">
        <v>57</v>
      </c>
      <c r="P182" s="19">
        <v>0</v>
      </c>
      <c r="Q182" s="19">
        <v>0</v>
      </c>
      <c r="R182" s="19">
        <v>0</v>
      </c>
      <c r="S182" s="19">
        <v>0</v>
      </c>
      <c r="T182" s="19">
        <v>58</v>
      </c>
      <c r="U182" s="6">
        <f t="shared" si="13"/>
        <v>2.5492200000000013E-2</v>
      </c>
      <c r="V182">
        <f t="shared" si="17"/>
        <v>1.0991880000000003</v>
      </c>
      <c r="W182" s="6">
        <f t="shared" si="14"/>
        <v>2.3199999999999998</v>
      </c>
      <c r="X182">
        <f t="shared" si="15"/>
        <v>4.6203447999999998</v>
      </c>
      <c r="Y182" t="str">
        <f t="shared" si="16"/>
        <v>RP</v>
      </c>
    </row>
    <row r="183" spans="1:25" ht="13.5" customHeight="1" thickBot="1" x14ac:dyDescent="0.35">
      <c r="A183">
        <f t="shared" si="12"/>
        <v>10.349578689255459</v>
      </c>
      <c r="B183" s="18">
        <v>43</v>
      </c>
      <c r="C183" s="12" t="s">
        <v>71</v>
      </c>
      <c r="D183" s="19" t="s">
        <v>8</v>
      </c>
      <c r="E183" s="19" t="s">
        <v>19</v>
      </c>
      <c r="F183" s="19" t="s">
        <v>19</v>
      </c>
      <c r="G183" s="19">
        <v>18</v>
      </c>
      <c r="H183" s="19">
        <v>73</v>
      </c>
      <c r="I183" s="19">
        <v>30</v>
      </c>
      <c r="J183" s="19">
        <v>8</v>
      </c>
      <c r="K183" s="19">
        <v>6</v>
      </c>
      <c r="L183" s="19">
        <v>5</v>
      </c>
      <c r="M183" s="19">
        <v>3</v>
      </c>
      <c r="N183" s="19">
        <v>35</v>
      </c>
      <c r="O183" s="19">
        <v>47</v>
      </c>
      <c r="P183" s="19">
        <v>0</v>
      </c>
      <c r="Q183" s="19">
        <v>0</v>
      </c>
      <c r="R183" s="19">
        <v>0</v>
      </c>
      <c r="S183" s="19">
        <v>0</v>
      </c>
      <c r="T183" s="19">
        <v>63</v>
      </c>
      <c r="U183" s="6">
        <f t="shared" si="13"/>
        <v>4.5530200000000014E-2</v>
      </c>
      <c r="V183">
        <f t="shared" si="17"/>
        <v>0.80106800000000011</v>
      </c>
      <c r="W183" s="6">
        <f t="shared" si="14"/>
        <v>1.93</v>
      </c>
      <c r="X183">
        <f t="shared" si="15"/>
        <v>3.7142568000000002</v>
      </c>
      <c r="Y183" t="str">
        <f t="shared" si="16"/>
        <v>RP</v>
      </c>
    </row>
    <row r="184" spans="1:25" ht="13.5" customHeight="1" thickBot="1" x14ac:dyDescent="0.35">
      <c r="A184">
        <f t="shared" si="12"/>
        <v>12.908218903254571</v>
      </c>
      <c r="B184" s="20">
        <v>176</v>
      </c>
      <c r="C184" s="13" t="s">
        <v>204</v>
      </c>
      <c r="D184" s="21" t="s">
        <v>8</v>
      </c>
      <c r="E184" s="21" t="s">
        <v>19</v>
      </c>
      <c r="F184" s="21" t="s">
        <v>19</v>
      </c>
      <c r="G184" s="21">
        <v>21</v>
      </c>
      <c r="H184" s="21">
        <v>54</v>
      </c>
      <c r="I184" s="21">
        <v>29</v>
      </c>
      <c r="J184" s="21">
        <v>4</v>
      </c>
      <c r="K184" s="21">
        <v>29</v>
      </c>
      <c r="L184" s="21">
        <v>3</v>
      </c>
      <c r="M184" s="21">
        <v>24</v>
      </c>
      <c r="N184" s="21">
        <v>0</v>
      </c>
      <c r="O184" s="21">
        <v>58</v>
      </c>
      <c r="P184" s="21">
        <v>0</v>
      </c>
      <c r="Q184" s="21">
        <v>0</v>
      </c>
      <c r="R184" s="21">
        <v>0</v>
      </c>
      <c r="S184" s="21">
        <v>0</v>
      </c>
      <c r="T184" s="21">
        <v>44</v>
      </c>
      <c r="U184" s="6">
        <f t="shared" si="13"/>
        <v>0.16866940000000005</v>
      </c>
      <c r="V184">
        <f t="shared" si="17"/>
        <v>1.1289120000000004</v>
      </c>
      <c r="W184" s="6">
        <f t="shared" si="14"/>
        <v>1.7</v>
      </c>
      <c r="X184">
        <f t="shared" si="15"/>
        <v>4.6325016000000012</v>
      </c>
      <c r="Y184" t="str">
        <f t="shared" si="16"/>
        <v>RP</v>
      </c>
    </row>
    <row r="185" spans="1:25" ht="13.5" customHeight="1" thickBot="1" x14ac:dyDescent="0.35">
      <c r="A185">
        <f t="shared" si="12"/>
        <v>12.3193981275078</v>
      </c>
      <c r="B185" s="20">
        <v>2</v>
      </c>
      <c r="C185" s="13" t="s">
        <v>30</v>
      </c>
      <c r="D185" s="21" t="s">
        <v>7</v>
      </c>
      <c r="E185" s="21" t="s">
        <v>19</v>
      </c>
      <c r="F185" s="21" t="s">
        <v>19</v>
      </c>
      <c r="G185" s="21">
        <v>18</v>
      </c>
      <c r="H185" s="21">
        <v>100</v>
      </c>
      <c r="I185" s="21">
        <v>31</v>
      </c>
      <c r="J185" s="21">
        <v>15</v>
      </c>
      <c r="K185" s="21">
        <v>9</v>
      </c>
      <c r="L185" s="21">
        <v>0</v>
      </c>
      <c r="M185" s="21">
        <v>14</v>
      </c>
      <c r="N185" s="21">
        <v>15</v>
      </c>
      <c r="O185" s="21">
        <v>51</v>
      </c>
      <c r="P185" s="21">
        <v>0</v>
      </c>
      <c r="Q185" s="21">
        <v>0</v>
      </c>
      <c r="R185" s="21">
        <v>0</v>
      </c>
      <c r="S185" s="21">
        <v>0</v>
      </c>
      <c r="T185" s="21">
        <v>80</v>
      </c>
      <c r="U185" s="6">
        <f t="shared" si="13"/>
        <v>8.5378400000000007E-2</v>
      </c>
      <c r="V185">
        <f t="shared" si="17"/>
        <v>0.9198360000000001</v>
      </c>
      <c r="W185" s="6">
        <f t="shared" si="14"/>
        <v>2.2400000000000002</v>
      </c>
      <c r="X185">
        <f t="shared" si="15"/>
        <v>4.4211856000000003</v>
      </c>
      <c r="Y185" t="str">
        <f t="shared" si="16"/>
        <v>RP</v>
      </c>
    </row>
    <row r="186" spans="1:25" ht="13.5" customHeight="1" thickBot="1" x14ac:dyDescent="0.35">
      <c r="A186">
        <f t="shared" si="12"/>
        <v>11.577249219794918</v>
      </c>
      <c r="B186" s="20">
        <v>56</v>
      </c>
      <c r="C186" s="13" t="s">
        <v>84</v>
      </c>
      <c r="D186" s="21" t="s">
        <v>6</v>
      </c>
      <c r="E186" s="21" t="s">
        <v>19</v>
      </c>
      <c r="F186" s="21" t="s">
        <v>19</v>
      </c>
      <c r="G186" s="21">
        <v>18</v>
      </c>
      <c r="H186" s="21">
        <v>89</v>
      </c>
      <c r="I186" s="21">
        <v>22</v>
      </c>
      <c r="J186" s="21">
        <v>12</v>
      </c>
      <c r="K186" s="21">
        <v>9</v>
      </c>
      <c r="L186" s="21">
        <v>14</v>
      </c>
      <c r="M186" s="21">
        <v>15</v>
      </c>
      <c r="N186" s="21">
        <v>22</v>
      </c>
      <c r="O186" s="21">
        <v>53</v>
      </c>
      <c r="P186" s="21">
        <v>0</v>
      </c>
      <c r="Q186" s="21">
        <v>0</v>
      </c>
      <c r="R186" s="21">
        <v>0</v>
      </c>
      <c r="S186" s="21">
        <v>0</v>
      </c>
      <c r="T186" s="21">
        <v>61</v>
      </c>
      <c r="U186" s="6">
        <f t="shared" si="13"/>
        <v>0.10638480000000003</v>
      </c>
      <c r="V186">
        <f t="shared" si="17"/>
        <v>0.9796520000000003</v>
      </c>
      <c r="W186" s="6">
        <f t="shared" si="14"/>
        <v>1.77</v>
      </c>
      <c r="X186">
        <f t="shared" si="15"/>
        <v>4.1548432000000002</v>
      </c>
      <c r="Y186" t="str">
        <f t="shared" si="16"/>
        <v>RP</v>
      </c>
    </row>
    <row r="187" spans="1:25" ht="13.5" customHeight="1" thickBot="1" x14ac:dyDescent="0.35">
      <c r="A187">
        <f t="shared" si="12"/>
        <v>10.451176995095853</v>
      </c>
      <c r="B187" s="18">
        <v>97</v>
      </c>
      <c r="C187" s="12" t="s">
        <v>125</v>
      </c>
      <c r="D187" s="19" t="s">
        <v>8</v>
      </c>
      <c r="E187" s="19" t="s">
        <v>19</v>
      </c>
      <c r="F187" s="19" t="s">
        <v>19</v>
      </c>
      <c r="G187" s="19">
        <v>18</v>
      </c>
      <c r="H187" s="19">
        <v>85</v>
      </c>
      <c r="I187" s="19">
        <v>40</v>
      </c>
      <c r="J187" s="19">
        <v>7</v>
      </c>
      <c r="K187" s="19">
        <v>22</v>
      </c>
      <c r="L187" s="19">
        <v>14</v>
      </c>
      <c r="M187" s="19">
        <v>5</v>
      </c>
      <c r="N187" s="19">
        <v>31</v>
      </c>
      <c r="O187" s="19">
        <v>29</v>
      </c>
      <c r="P187" s="19">
        <v>0</v>
      </c>
      <c r="Q187" s="19">
        <v>0</v>
      </c>
      <c r="R187" s="19">
        <v>0</v>
      </c>
      <c r="S187" s="19">
        <v>0</v>
      </c>
      <c r="T187" s="19">
        <v>51</v>
      </c>
      <c r="U187" s="6">
        <f t="shared" si="13"/>
        <v>0.16573760000000007</v>
      </c>
      <c r="V187">
        <f t="shared" si="17"/>
        <v>0.31888400000000006</v>
      </c>
      <c r="W187" s="6">
        <f t="shared" si="14"/>
        <v>2.4500000000000002</v>
      </c>
      <c r="X187">
        <f t="shared" si="15"/>
        <v>3.7507184000000007</v>
      </c>
      <c r="Y187" t="str">
        <f t="shared" si="16"/>
        <v>RP</v>
      </c>
    </row>
    <row r="188" spans="1:25" ht="13.5" customHeight="1" thickBot="1" x14ac:dyDescent="0.35">
      <c r="A188">
        <f t="shared" si="12"/>
        <v>10.496573785109229</v>
      </c>
      <c r="B188" s="20">
        <v>182</v>
      </c>
      <c r="C188" s="13" t="s">
        <v>210</v>
      </c>
      <c r="D188" s="21" t="s">
        <v>4</v>
      </c>
      <c r="E188" s="21" t="s">
        <v>21</v>
      </c>
      <c r="F188" s="21" t="s">
        <v>19</v>
      </c>
      <c r="G188" s="21">
        <v>18</v>
      </c>
      <c r="H188" s="21">
        <v>100</v>
      </c>
      <c r="I188" s="21">
        <v>4</v>
      </c>
      <c r="J188" s="21">
        <v>14</v>
      </c>
      <c r="K188" s="21">
        <v>22</v>
      </c>
      <c r="L188" s="21">
        <v>29</v>
      </c>
      <c r="M188" s="21">
        <v>11</v>
      </c>
      <c r="N188" s="21">
        <v>30</v>
      </c>
      <c r="O188" s="21">
        <v>35</v>
      </c>
      <c r="P188" s="21">
        <v>0</v>
      </c>
      <c r="Q188" s="21">
        <v>0</v>
      </c>
      <c r="R188" s="21">
        <v>0</v>
      </c>
      <c r="S188" s="21">
        <v>0</v>
      </c>
      <c r="T188" s="21">
        <v>62</v>
      </c>
      <c r="U188" s="6">
        <f t="shared" si="13"/>
        <v>0.41900260000000011</v>
      </c>
      <c r="V188">
        <f t="shared" si="17"/>
        <v>0.46550000000000002</v>
      </c>
      <c r="W188" s="6">
        <f t="shared" si="14"/>
        <v>1.1599999999999999</v>
      </c>
      <c r="X188">
        <f t="shared" si="15"/>
        <v>3.7670104000000002</v>
      </c>
      <c r="Y188" t="str">
        <f t="shared" si="16"/>
        <v>RP</v>
      </c>
    </row>
    <row r="189" spans="1:25" ht="13.5" customHeight="1" thickBot="1" x14ac:dyDescent="0.35">
      <c r="A189">
        <f t="shared" si="12"/>
        <v>10.626154703522067</v>
      </c>
      <c r="B189" s="20">
        <v>26</v>
      </c>
      <c r="C189" s="13" t="s">
        <v>54</v>
      </c>
      <c r="D189" s="21" t="s">
        <v>6</v>
      </c>
      <c r="E189" s="21" t="s">
        <v>21</v>
      </c>
      <c r="F189" s="21" t="s">
        <v>20</v>
      </c>
      <c r="G189" s="21">
        <v>18</v>
      </c>
      <c r="H189" s="21">
        <v>93</v>
      </c>
      <c r="I189" s="21">
        <v>14</v>
      </c>
      <c r="J189" s="21">
        <v>6</v>
      </c>
      <c r="K189" s="21">
        <v>20</v>
      </c>
      <c r="L189" s="21">
        <v>19</v>
      </c>
      <c r="M189" s="21">
        <v>14</v>
      </c>
      <c r="N189" s="21">
        <v>28</v>
      </c>
      <c r="O189" s="21">
        <v>46</v>
      </c>
      <c r="P189" s="21">
        <v>0</v>
      </c>
      <c r="Q189" s="21">
        <v>0</v>
      </c>
      <c r="R189" s="21">
        <v>0</v>
      </c>
      <c r="S189" s="21">
        <v>0</v>
      </c>
      <c r="T189" s="21">
        <v>69</v>
      </c>
      <c r="U189" s="6">
        <f t="shared" si="13"/>
        <v>0.19503060000000005</v>
      </c>
      <c r="V189">
        <f t="shared" si="17"/>
        <v>0.77169600000000016</v>
      </c>
      <c r="W189" s="6">
        <f t="shared" si="14"/>
        <v>1.49</v>
      </c>
      <c r="X189">
        <f t="shared" si="15"/>
        <v>3.8135144000000007</v>
      </c>
      <c r="Y189" t="str">
        <f t="shared" si="16"/>
        <v>RP</v>
      </c>
    </row>
    <row r="190" spans="1:25" ht="13.5" customHeight="1" thickBot="1" x14ac:dyDescent="0.35">
      <c r="A190">
        <f t="shared" si="12"/>
        <v>8.5220285332144439</v>
      </c>
      <c r="B190" s="18">
        <v>109</v>
      </c>
      <c r="C190" s="12" t="s">
        <v>137</v>
      </c>
      <c r="D190" s="19" t="s">
        <v>6</v>
      </c>
      <c r="E190" s="19" t="s">
        <v>19</v>
      </c>
      <c r="F190" s="19" t="s">
        <v>19</v>
      </c>
      <c r="G190" s="19">
        <v>18</v>
      </c>
      <c r="H190" s="19">
        <v>81</v>
      </c>
      <c r="I190" s="19">
        <v>23</v>
      </c>
      <c r="J190" s="19">
        <v>5</v>
      </c>
      <c r="K190" s="19">
        <v>3</v>
      </c>
      <c r="L190" s="19">
        <v>4</v>
      </c>
      <c r="M190" s="19">
        <v>16</v>
      </c>
      <c r="N190" s="19">
        <v>42</v>
      </c>
      <c r="O190" s="19">
        <v>38</v>
      </c>
      <c r="P190" s="19">
        <v>0</v>
      </c>
      <c r="Q190" s="19">
        <v>0</v>
      </c>
      <c r="R190" s="19">
        <v>0</v>
      </c>
      <c r="S190" s="19">
        <v>0</v>
      </c>
      <c r="T190" s="19">
        <v>49</v>
      </c>
      <c r="U190" s="6">
        <f t="shared" si="13"/>
        <v>5.9560400000000027E-2</v>
      </c>
      <c r="V190">
        <f t="shared" si="17"/>
        <v>0.54507200000000011</v>
      </c>
      <c r="W190" s="6">
        <f t="shared" si="14"/>
        <v>1.73</v>
      </c>
      <c r="X190">
        <f t="shared" si="15"/>
        <v>3.0583856000000003</v>
      </c>
      <c r="Y190" t="str">
        <f t="shared" si="16"/>
        <v>RP</v>
      </c>
    </row>
    <row r="191" spans="1:25" ht="13.5" customHeight="1" thickBot="1" x14ac:dyDescent="0.35">
      <c r="A191">
        <f t="shared" si="12"/>
        <v>10.603990191707537</v>
      </c>
      <c r="B191" s="20">
        <v>86</v>
      </c>
      <c r="C191" s="13" t="s">
        <v>114</v>
      </c>
      <c r="D191" s="21" t="s">
        <v>6</v>
      </c>
      <c r="E191" s="21" t="s">
        <v>19</v>
      </c>
      <c r="F191" s="21" t="s">
        <v>19</v>
      </c>
      <c r="G191" s="21">
        <v>18</v>
      </c>
      <c r="H191" s="21">
        <v>85</v>
      </c>
      <c r="I191" s="21">
        <v>28</v>
      </c>
      <c r="J191" s="21">
        <v>16</v>
      </c>
      <c r="K191" s="21">
        <v>5</v>
      </c>
      <c r="L191" s="21">
        <v>0</v>
      </c>
      <c r="M191" s="21">
        <v>4</v>
      </c>
      <c r="N191" s="21">
        <v>26</v>
      </c>
      <c r="O191" s="21">
        <v>44</v>
      </c>
      <c r="P191" s="21">
        <v>0</v>
      </c>
      <c r="Q191" s="21">
        <v>0</v>
      </c>
      <c r="R191" s="21">
        <v>0</v>
      </c>
      <c r="S191" s="21">
        <v>0</v>
      </c>
      <c r="T191" s="21">
        <v>54</v>
      </c>
      <c r="U191" s="6">
        <f t="shared" si="13"/>
        <v>0.10213800000000001</v>
      </c>
      <c r="V191">
        <f t="shared" si="17"/>
        <v>0.71350400000000025</v>
      </c>
      <c r="W191" s="6">
        <f t="shared" si="14"/>
        <v>1.97</v>
      </c>
      <c r="X191">
        <f t="shared" si="15"/>
        <v>3.8055600000000007</v>
      </c>
      <c r="Y191" t="str">
        <f t="shared" si="16"/>
        <v>RP</v>
      </c>
    </row>
    <row r="192" spans="1:25" ht="13.5" customHeight="1" thickBot="1" x14ac:dyDescent="0.35">
      <c r="A192">
        <f t="shared" si="12"/>
        <v>9.3125702184574219</v>
      </c>
      <c r="B192" s="18">
        <v>199</v>
      </c>
      <c r="C192" s="12" t="s">
        <v>227</v>
      </c>
      <c r="D192" s="19" t="s">
        <v>4</v>
      </c>
      <c r="E192" s="19" t="s">
        <v>20</v>
      </c>
      <c r="F192" s="19" t="s">
        <v>20</v>
      </c>
      <c r="G192" s="19">
        <v>18</v>
      </c>
      <c r="H192" s="19">
        <v>81</v>
      </c>
      <c r="I192" s="19">
        <v>26</v>
      </c>
      <c r="J192" s="19">
        <v>10</v>
      </c>
      <c r="K192" s="19">
        <v>7</v>
      </c>
      <c r="L192" s="19">
        <v>3</v>
      </c>
      <c r="M192" s="19">
        <v>2</v>
      </c>
      <c r="N192" s="19">
        <v>35</v>
      </c>
      <c r="O192" s="19">
        <v>41</v>
      </c>
      <c r="P192" s="19">
        <v>0</v>
      </c>
      <c r="Q192" s="19">
        <v>0</v>
      </c>
      <c r="R192" s="19">
        <v>0</v>
      </c>
      <c r="S192" s="19">
        <v>0</v>
      </c>
      <c r="T192" s="19">
        <v>38</v>
      </c>
      <c r="U192" s="6">
        <f t="shared" si="13"/>
        <v>5.9045800000000009E-2</v>
      </c>
      <c r="V192">
        <f t="shared" si="17"/>
        <v>0.62795600000000007</v>
      </c>
      <c r="W192" s="6">
        <f t="shared" si="14"/>
        <v>1.85</v>
      </c>
      <c r="X192">
        <f t="shared" si="15"/>
        <v>3.3420952000000002</v>
      </c>
      <c r="Y192" t="str">
        <f t="shared" si="16"/>
        <v>RP</v>
      </c>
    </row>
    <row r="193" spans="1:25" ht="13.5" customHeight="1" thickBot="1" x14ac:dyDescent="0.35">
      <c r="A193">
        <f t="shared" si="12"/>
        <v>11.239032545697725</v>
      </c>
      <c r="B193" s="18">
        <v>175</v>
      </c>
      <c r="C193" s="12" t="s">
        <v>203</v>
      </c>
      <c r="D193" s="19" t="s">
        <v>10</v>
      </c>
      <c r="E193" s="19" t="s">
        <v>20</v>
      </c>
      <c r="F193" s="19" t="s">
        <v>19</v>
      </c>
      <c r="G193" s="19">
        <v>22</v>
      </c>
      <c r="H193" s="19">
        <v>100</v>
      </c>
      <c r="I193" s="19">
        <v>21</v>
      </c>
      <c r="J193" s="19">
        <v>0</v>
      </c>
      <c r="K193" s="19">
        <v>41</v>
      </c>
      <c r="L193" s="19">
        <v>4</v>
      </c>
      <c r="M193" s="19">
        <v>0</v>
      </c>
      <c r="N193" s="19">
        <v>15</v>
      </c>
      <c r="O193" s="19">
        <v>35</v>
      </c>
      <c r="P193" s="19">
        <v>0</v>
      </c>
      <c r="Q193" s="19">
        <v>0</v>
      </c>
      <c r="R193" s="19">
        <v>0</v>
      </c>
      <c r="S193" s="19">
        <v>0</v>
      </c>
      <c r="T193" s="19">
        <v>44</v>
      </c>
      <c r="U193" s="6">
        <f t="shared" si="13"/>
        <v>0.31561600000000001</v>
      </c>
      <c r="V193">
        <f t="shared" si="17"/>
        <v>0.46550000000000002</v>
      </c>
      <c r="W193" s="6">
        <f t="shared" si="14"/>
        <v>1.84</v>
      </c>
      <c r="X193">
        <f t="shared" si="15"/>
        <v>4.0334640000000004</v>
      </c>
      <c r="Y193" t="str">
        <f t="shared" si="16"/>
        <v>RP</v>
      </c>
    </row>
    <row r="194" spans="1:25" ht="13.5" customHeight="1" thickBot="1" x14ac:dyDescent="0.35">
      <c r="A194">
        <f t="shared" si="12"/>
        <v>9.4519282211324125</v>
      </c>
      <c r="B194" s="20">
        <v>78</v>
      </c>
      <c r="C194" s="13" t="s">
        <v>106</v>
      </c>
      <c r="D194" s="21" t="s">
        <v>6</v>
      </c>
      <c r="E194" s="21" t="s">
        <v>19</v>
      </c>
      <c r="F194" s="21" t="s">
        <v>19</v>
      </c>
      <c r="G194" s="21">
        <v>18</v>
      </c>
      <c r="H194" s="21">
        <v>82</v>
      </c>
      <c r="I194" s="21">
        <v>25</v>
      </c>
      <c r="J194" s="21">
        <v>12</v>
      </c>
      <c r="K194" s="21">
        <v>0</v>
      </c>
      <c r="L194" s="21">
        <v>5</v>
      </c>
      <c r="M194" s="21">
        <v>0</v>
      </c>
      <c r="N194" s="21">
        <v>30</v>
      </c>
      <c r="O194" s="21">
        <v>42</v>
      </c>
      <c r="P194" s="21">
        <v>0</v>
      </c>
      <c r="Q194" s="21">
        <v>0</v>
      </c>
      <c r="R194" s="21">
        <v>0</v>
      </c>
      <c r="S194" s="21">
        <v>0</v>
      </c>
      <c r="T194" s="21">
        <v>56</v>
      </c>
      <c r="U194" s="6">
        <f t="shared" si="13"/>
        <v>6.4923000000000008E-2</v>
      </c>
      <c r="V194">
        <f t="shared" si="17"/>
        <v>0.65620800000000024</v>
      </c>
      <c r="W194" s="6">
        <f t="shared" si="14"/>
        <v>1.82</v>
      </c>
      <c r="X194">
        <f t="shared" si="15"/>
        <v>3.3921080000000003</v>
      </c>
      <c r="Y194" t="str">
        <f t="shared" si="16"/>
        <v>RP</v>
      </c>
    </row>
    <row r="195" spans="1:25" ht="13.5" customHeight="1" thickBot="1" x14ac:dyDescent="0.35">
      <c r="A195">
        <f t="shared" si="12"/>
        <v>10.563722692822111</v>
      </c>
      <c r="B195" s="20">
        <v>84</v>
      </c>
      <c r="C195" s="13" t="s">
        <v>112</v>
      </c>
      <c r="D195" s="21" t="s">
        <v>8</v>
      </c>
      <c r="E195" s="21" t="s">
        <v>19</v>
      </c>
      <c r="F195" s="21" t="s">
        <v>19</v>
      </c>
      <c r="G195" s="21">
        <v>18</v>
      </c>
      <c r="H195" s="21">
        <v>77</v>
      </c>
      <c r="I195" s="21">
        <v>33</v>
      </c>
      <c r="J195" s="21">
        <v>0</v>
      </c>
      <c r="K195" s="21">
        <v>3</v>
      </c>
      <c r="L195" s="21">
        <v>4</v>
      </c>
      <c r="M195" s="21">
        <v>23</v>
      </c>
      <c r="N195" s="21">
        <v>20</v>
      </c>
      <c r="O195" s="21">
        <v>47</v>
      </c>
      <c r="P195" s="21">
        <v>0</v>
      </c>
      <c r="Q195" s="21">
        <v>0</v>
      </c>
      <c r="R195" s="21">
        <v>0</v>
      </c>
      <c r="S195" s="21">
        <v>0</v>
      </c>
      <c r="T195" s="21">
        <v>54</v>
      </c>
      <c r="U195" s="6">
        <f t="shared" si="13"/>
        <v>2.4743200000000007E-2</v>
      </c>
      <c r="V195">
        <f t="shared" si="17"/>
        <v>0.80106800000000011</v>
      </c>
      <c r="W195" s="6">
        <f t="shared" si="14"/>
        <v>2.09</v>
      </c>
      <c r="X195">
        <f t="shared" si="15"/>
        <v>3.7911087999999999</v>
      </c>
      <c r="Y195" t="str">
        <f t="shared" si="16"/>
        <v>RP</v>
      </c>
    </row>
    <row r="196" spans="1:25" ht="13.5" customHeight="1" thickBot="1" x14ac:dyDescent="0.35">
      <c r="A196">
        <f t="shared" si="12"/>
        <v>9.3881988408381627</v>
      </c>
      <c r="B196" s="18">
        <v>139</v>
      </c>
      <c r="C196" s="12" t="s">
        <v>167</v>
      </c>
      <c r="D196" s="19" t="s">
        <v>8</v>
      </c>
      <c r="E196" s="19" t="s">
        <v>19</v>
      </c>
      <c r="F196" s="19" t="s">
        <v>19</v>
      </c>
      <c r="G196" s="19">
        <v>18</v>
      </c>
      <c r="H196" s="19">
        <v>76</v>
      </c>
      <c r="I196" s="19">
        <v>31</v>
      </c>
      <c r="J196" s="19">
        <v>3</v>
      </c>
      <c r="K196" s="19">
        <v>9</v>
      </c>
      <c r="L196" s="19">
        <v>8</v>
      </c>
      <c r="M196" s="19">
        <v>23</v>
      </c>
      <c r="N196" s="19">
        <v>30</v>
      </c>
      <c r="O196" s="19">
        <v>39</v>
      </c>
      <c r="P196" s="19">
        <v>0</v>
      </c>
      <c r="Q196" s="19">
        <v>0</v>
      </c>
      <c r="R196" s="19">
        <v>0</v>
      </c>
      <c r="S196" s="19">
        <v>0</v>
      </c>
      <c r="T196" s="19">
        <v>44</v>
      </c>
      <c r="U196" s="6">
        <f t="shared" si="13"/>
        <v>5.6127200000000016E-2</v>
      </c>
      <c r="V196">
        <f t="shared" si="17"/>
        <v>0.57236400000000009</v>
      </c>
      <c r="W196" s="6">
        <f t="shared" si="14"/>
        <v>2</v>
      </c>
      <c r="X196">
        <f t="shared" si="15"/>
        <v>3.3692368000000004</v>
      </c>
      <c r="Y196" t="str">
        <f t="shared" si="16"/>
        <v>RP</v>
      </c>
    </row>
    <row r="197" spans="1:25" ht="13.5" customHeight="1" thickBot="1" x14ac:dyDescent="0.35">
      <c r="A197">
        <f t="shared" si="12"/>
        <v>9.4578934462773088</v>
      </c>
      <c r="B197" s="20">
        <v>58</v>
      </c>
      <c r="C197" s="13" t="s">
        <v>86</v>
      </c>
      <c r="D197" s="21" t="s">
        <v>6</v>
      </c>
      <c r="E197" s="21" t="s">
        <v>20</v>
      </c>
      <c r="F197" s="21" t="s">
        <v>20</v>
      </c>
      <c r="G197" s="21">
        <v>18</v>
      </c>
      <c r="H197" s="21">
        <v>75</v>
      </c>
      <c r="I197" s="21">
        <v>28</v>
      </c>
      <c r="J197" s="21">
        <v>6</v>
      </c>
      <c r="K197" s="21">
        <v>8</v>
      </c>
      <c r="L197" s="21">
        <v>7</v>
      </c>
      <c r="M197" s="21">
        <v>25</v>
      </c>
      <c r="N197" s="21">
        <v>28</v>
      </c>
      <c r="O197" s="21">
        <v>42</v>
      </c>
      <c r="P197" s="21">
        <v>0</v>
      </c>
      <c r="Q197" s="21">
        <v>0</v>
      </c>
      <c r="R197" s="21">
        <v>0</v>
      </c>
      <c r="S197" s="21">
        <v>0</v>
      </c>
      <c r="T197" s="21">
        <v>61</v>
      </c>
      <c r="U197" s="6">
        <f t="shared" si="13"/>
        <v>5.2958200000000032E-2</v>
      </c>
      <c r="V197">
        <f t="shared" si="17"/>
        <v>0.65620800000000024</v>
      </c>
      <c r="W197" s="6">
        <f t="shared" si="14"/>
        <v>1.87</v>
      </c>
      <c r="X197">
        <f t="shared" si="15"/>
        <v>3.3942488000000006</v>
      </c>
      <c r="Y197" t="str">
        <f t="shared" si="16"/>
        <v>RP</v>
      </c>
    </row>
    <row r="198" spans="1:25" ht="13.5" customHeight="1" thickBot="1" x14ac:dyDescent="0.35">
      <c r="A198">
        <f t="shared" ref="A198:A206" si="18">(W198*H$2+U198*J$2+V198*O$2)*100/(W$4*H$2+U$4*J$2+V$4*O$2)</f>
        <v>10.915655372269281</v>
      </c>
      <c r="B198" s="20">
        <v>186</v>
      </c>
      <c r="C198" s="13" t="s">
        <v>214</v>
      </c>
      <c r="D198" s="21" t="s">
        <v>4</v>
      </c>
      <c r="E198" s="21" t="s">
        <v>19</v>
      </c>
      <c r="F198" s="21" t="s">
        <v>19</v>
      </c>
      <c r="G198" s="21">
        <v>18</v>
      </c>
      <c r="H198" s="21">
        <v>81</v>
      </c>
      <c r="I198" s="21">
        <v>11</v>
      </c>
      <c r="J198" s="21">
        <v>17</v>
      </c>
      <c r="K198" s="21">
        <v>5</v>
      </c>
      <c r="L198" s="21">
        <v>3</v>
      </c>
      <c r="M198" s="21">
        <v>8</v>
      </c>
      <c r="N198" s="21">
        <v>9</v>
      </c>
      <c r="O198" s="21">
        <v>59</v>
      </c>
      <c r="P198" s="21">
        <v>0</v>
      </c>
      <c r="Q198" s="21">
        <v>0</v>
      </c>
      <c r="R198" s="21">
        <v>0</v>
      </c>
      <c r="S198" s="21">
        <v>0</v>
      </c>
      <c r="T198" s="21">
        <v>47</v>
      </c>
      <c r="U198" s="6">
        <f t="shared" ref="U198:U206" si="19">J$1*((-2*10^-6)*J198^3+0.00032*J198^2-0.0021*J198)+K$1*((-2*10^-6)*K198^3+0.00032*K198^2-0.0021*K198)+L$1*((-2*10^-6)*L198^3+0.00032*L198^2-0.0021*L198)+M$1*((-2*10^-6)*M198^3+0.00032*M198^2-0.0021*M198)+N$1*((-2*10^-6)*N198^3+0.00032*N198^2-0.0021*N198)</f>
        <v>8.7590600000000018E-2</v>
      </c>
      <c r="V198">
        <f t="shared" si="17"/>
        <v>1.1585240000000001</v>
      </c>
      <c r="W198" s="6">
        <f t="shared" ref="W198:W206" si="20">(H$1*H198+I$1*I198)/100</f>
        <v>1.25</v>
      </c>
      <c r="X198">
        <f t="shared" ref="X198:X206" si="21">U198*J$2+V198*O$2+W198*H$2</f>
        <v>3.9174104000000005</v>
      </c>
      <c r="Y198" t="str">
        <f t="shared" ref="Y198:Y206" si="22">IF(AND(I198&gt;50,H198+I198&gt;75),"SP",IF(2*H198+I198&gt;120,"RP","CRAP"))</f>
        <v>RP</v>
      </c>
    </row>
    <row r="199" spans="1:25" ht="13.5" customHeight="1" thickBot="1" x14ac:dyDescent="0.35">
      <c r="A199">
        <f t="shared" si="18"/>
        <v>8.936203744984395</v>
      </c>
      <c r="B199" s="18">
        <v>73</v>
      </c>
      <c r="C199" s="12" t="s">
        <v>101</v>
      </c>
      <c r="D199" s="19" t="s">
        <v>6</v>
      </c>
      <c r="E199" s="19" t="s">
        <v>20</v>
      </c>
      <c r="F199" s="19" t="s">
        <v>20</v>
      </c>
      <c r="G199" s="19">
        <v>18</v>
      </c>
      <c r="H199" s="19">
        <v>81</v>
      </c>
      <c r="I199" s="19">
        <v>19</v>
      </c>
      <c r="J199" s="19">
        <v>10</v>
      </c>
      <c r="K199" s="19">
        <v>3</v>
      </c>
      <c r="L199" s="19">
        <v>9</v>
      </c>
      <c r="M199" s="19">
        <v>0</v>
      </c>
      <c r="N199" s="19">
        <v>28</v>
      </c>
      <c r="O199" s="19">
        <v>44</v>
      </c>
      <c r="P199" s="19">
        <v>0</v>
      </c>
      <c r="Q199" s="19">
        <v>0</v>
      </c>
      <c r="R199" s="19">
        <v>0</v>
      </c>
      <c r="S199" s="19">
        <v>0</v>
      </c>
      <c r="T199" s="19">
        <v>57</v>
      </c>
      <c r="U199" s="6">
        <f t="shared" si="19"/>
        <v>5.2504200000000015E-2</v>
      </c>
      <c r="V199">
        <f t="shared" ref="V199:V206" si="23">O$1*((-2*10^-6)*O199^3+0.00032*O199^2-0.0021*O199)+P$1*((-2*10^-6)*P199^3+0.00032*P199^2-0.0021*P199)+Q$1*((-2*10^-6)*Q199^3+0.00032*Q199^2-0.0021*Q199)+R$1*((-2*10^-6)*R199^3+0.00032*R199^2-0.0021*R199)+S$1*((-2*10^-6)*S199^3+0.00032*S199^2-0.0021*S199)</f>
        <v>0.71350400000000025</v>
      </c>
      <c r="W199" s="6">
        <f t="shared" si="20"/>
        <v>1.57</v>
      </c>
      <c r="X199">
        <f t="shared" si="21"/>
        <v>3.2070248000000006</v>
      </c>
      <c r="Y199" t="str">
        <f t="shared" si="22"/>
        <v>RP</v>
      </c>
    </row>
    <row r="200" spans="1:25" ht="13.5" customHeight="1" thickBot="1" x14ac:dyDescent="0.35">
      <c r="A200">
        <f t="shared" si="18"/>
        <v>9.4972514489522961</v>
      </c>
      <c r="B200" s="18">
        <v>183</v>
      </c>
      <c r="C200" s="12" t="s">
        <v>211</v>
      </c>
      <c r="D200" s="19" t="s">
        <v>4</v>
      </c>
      <c r="E200" s="19" t="s">
        <v>19</v>
      </c>
      <c r="F200" s="19" t="s">
        <v>19</v>
      </c>
      <c r="G200" s="19">
        <v>18</v>
      </c>
      <c r="H200" s="19">
        <v>77</v>
      </c>
      <c r="I200" s="19">
        <v>25</v>
      </c>
      <c r="J200" s="19">
        <v>2</v>
      </c>
      <c r="K200" s="19">
        <v>6</v>
      </c>
      <c r="L200" s="19">
        <v>5</v>
      </c>
      <c r="M200" s="19">
        <v>24</v>
      </c>
      <c r="N200" s="19">
        <v>20</v>
      </c>
      <c r="O200" s="19">
        <v>46</v>
      </c>
      <c r="P200" s="19">
        <v>0</v>
      </c>
      <c r="Q200" s="19">
        <v>0</v>
      </c>
      <c r="R200" s="19">
        <v>0</v>
      </c>
      <c r="S200" s="19">
        <v>0</v>
      </c>
      <c r="T200" s="19">
        <v>60</v>
      </c>
      <c r="U200" s="6">
        <f t="shared" si="19"/>
        <v>2.3745400000000007E-2</v>
      </c>
      <c r="V200">
        <f t="shared" si="23"/>
        <v>0.77169600000000016</v>
      </c>
      <c r="W200" s="6">
        <f t="shared" si="20"/>
        <v>1.77</v>
      </c>
      <c r="X200">
        <f t="shared" si="21"/>
        <v>3.4083736000000004</v>
      </c>
      <c r="Y200" t="str">
        <f t="shared" si="22"/>
        <v>RP</v>
      </c>
    </row>
    <row r="201" spans="1:25" ht="13.5" customHeight="1" thickBot="1" x14ac:dyDescent="0.35">
      <c r="A201">
        <f t="shared" si="18"/>
        <v>9.982670530539453</v>
      </c>
      <c r="B201" s="20">
        <v>12</v>
      </c>
      <c r="C201" s="13" t="s">
        <v>40</v>
      </c>
      <c r="D201" s="21" t="s">
        <v>9</v>
      </c>
      <c r="E201" s="21" t="s">
        <v>19</v>
      </c>
      <c r="F201" s="21" t="s">
        <v>19</v>
      </c>
      <c r="G201" s="21">
        <v>18</v>
      </c>
      <c r="H201" s="21">
        <v>95</v>
      </c>
      <c r="I201" s="21">
        <v>30</v>
      </c>
      <c r="J201" s="21">
        <v>13</v>
      </c>
      <c r="K201" s="21">
        <v>4</v>
      </c>
      <c r="L201" s="21">
        <v>0</v>
      </c>
      <c r="M201" s="21">
        <v>4</v>
      </c>
      <c r="N201" s="21">
        <v>12</v>
      </c>
      <c r="O201" s="21">
        <v>41</v>
      </c>
      <c r="P201" s="21">
        <v>0</v>
      </c>
      <c r="Q201" s="21">
        <v>0</v>
      </c>
      <c r="R201" s="21">
        <v>0</v>
      </c>
      <c r="S201" s="21">
        <v>0</v>
      </c>
      <c r="T201" s="21">
        <v>74</v>
      </c>
      <c r="U201" s="6">
        <f t="shared" si="19"/>
        <v>4.4167200000000011E-2</v>
      </c>
      <c r="V201">
        <f t="shared" si="23"/>
        <v>0.62795600000000007</v>
      </c>
      <c r="W201" s="6">
        <f t="shared" si="20"/>
        <v>2.15</v>
      </c>
      <c r="X201">
        <f t="shared" si="21"/>
        <v>3.5825808000000001</v>
      </c>
      <c r="Y201" t="str">
        <f t="shared" si="22"/>
        <v>RP</v>
      </c>
    </row>
    <row r="202" spans="1:25" ht="13.5" customHeight="1" thickBot="1" x14ac:dyDescent="0.35">
      <c r="A202">
        <f t="shared" si="18"/>
        <v>7.9361212661613907</v>
      </c>
      <c r="B202" s="18">
        <v>105</v>
      </c>
      <c r="C202" s="12" t="s">
        <v>133</v>
      </c>
      <c r="D202" s="19" t="s">
        <v>6</v>
      </c>
      <c r="E202" s="19" t="s">
        <v>19</v>
      </c>
      <c r="F202" s="19" t="s">
        <v>19</v>
      </c>
      <c r="G202" s="19">
        <v>18</v>
      </c>
      <c r="H202" s="19">
        <v>76</v>
      </c>
      <c r="I202" s="19">
        <v>26</v>
      </c>
      <c r="J202" s="19">
        <v>7</v>
      </c>
      <c r="K202" s="19">
        <v>7</v>
      </c>
      <c r="L202" s="19">
        <v>0</v>
      </c>
      <c r="M202" s="19">
        <v>28</v>
      </c>
      <c r="N202" s="19">
        <v>31</v>
      </c>
      <c r="O202" s="19">
        <v>32</v>
      </c>
      <c r="P202" s="19">
        <v>0</v>
      </c>
      <c r="Q202" s="19">
        <v>0</v>
      </c>
      <c r="R202" s="19">
        <v>0</v>
      </c>
      <c r="S202" s="19">
        <v>0</v>
      </c>
      <c r="T202" s="19">
        <v>50</v>
      </c>
      <c r="U202" s="6">
        <f t="shared" si="19"/>
        <v>6.7084800000000028E-2</v>
      </c>
      <c r="V202">
        <f t="shared" si="23"/>
        <v>0.38988800000000012</v>
      </c>
      <c r="W202" s="6">
        <f t="shared" si="20"/>
        <v>1.8</v>
      </c>
      <c r="X202">
        <f t="shared" si="21"/>
        <v>2.8481152000000005</v>
      </c>
      <c r="Y202" t="str">
        <f t="shared" si="22"/>
        <v>RP</v>
      </c>
    </row>
    <row r="203" spans="1:25" ht="13.5" customHeight="1" thickBot="1" x14ac:dyDescent="0.35">
      <c r="A203">
        <f t="shared" si="18"/>
        <v>9.0138096299598729</v>
      </c>
      <c r="B203" s="20">
        <v>142</v>
      </c>
      <c r="C203" s="13" t="s">
        <v>170</v>
      </c>
      <c r="D203" s="21" t="s">
        <v>9</v>
      </c>
      <c r="E203" s="21" t="s">
        <v>20</v>
      </c>
      <c r="F203" s="21" t="s">
        <v>20</v>
      </c>
      <c r="G203" s="21">
        <v>18</v>
      </c>
      <c r="H203" s="21">
        <v>92</v>
      </c>
      <c r="I203" s="21">
        <v>34</v>
      </c>
      <c r="J203" s="21">
        <v>10</v>
      </c>
      <c r="K203" s="21">
        <v>1</v>
      </c>
      <c r="L203" s="21">
        <v>3</v>
      </c>
      <c r="M203" s="21">
        <v>16</v>
      </c>
      <c r="N203" s="21">
        <v>19</v>
      </c>
      <c r="O203" s="21">
        <v>33</v>
      </c>
      <c r="P203" s="21">
        <v>0</v>
      </c>
      <c r="Q203" s="21">
        <v>0</v>
      </c>
      <c r="R203" s="21">
        <v>0</v>
      </c>
      <c r="S203" s="21">
        <v>0</v>
      </c>
      <c r="T203" s="21">
        <v>44</v>
      </c>
      <c r="U203" s="6">
        <f t="shared" si="19"/>
        <v>3.141300000000001E-2</v>
      </c>
      <c r="V203">
        <f t="shared" si="23"/>
        <v>0.41461200000000004</v>
      </c>
      <c r="W203" s="6">
        <f t="shared" si="20"/>
        <v>2.2799999999999998</v>
      </c>
      <c r="X203">
        <f t="shared" si="21"/>
        <v>3.2348759999999999</v>
      </c>
      <c r="Y203" t="str">
        <f t="shared" si="22"/>
        <v>RP</v>
      </c>
    </row>
    <row r="204" spans="1:25" ht="13.5" customHeight="1" thickBot="1" x14ac:dyDescent="0.35">
      <c r="A204">
        <f t="shared" si="18"/>
        <v>7.9165425769059281</v>
      </c>
      <c r="B204" s="18">
        <v>195</v>
      </c>
      <c r="C204" s="12" t="s">
        <v>223</v>
      </c>
      <c r="D204" s="19" t="s">
        <v>4</v>
      </c>
      <c r="E204" s="19" t="s">
        <v>19</v>
      </c>
      <c r="F204" s="19" t="s">
        <v>19</v>
      </c>
      <c r="G204" s="19">
        <v>18</v>
      </c>
      <c r="H204" s="19">
        <v>75</v>
      </c>
      <c r="I204" s="19">
        <v>30</v>
      </c>
      <c r="J204" s="19">
        <v>13</v>
      </c>
      <c r="K204" s="19">
        <v>15</v>
      </c>
      <c r="L204" s="19">
        <v>9</v>
      </c>
      <c r="M204" s="19">
        <v>0</v>
      </c>
      <c r="N204" s="19">
        <v>28</v>
      </c>
      <c r="O204" s="19">
        <v>24</v>
      </c>
      <c r="P204" s="19">
        <v>0</v>
      </c>
      <c r="Q204" s="19">
        <v>0</v>
      </c>
      <c r="R204" s="19">
        <v>0</v>
      </c>
      <c r="S204" s="19">
        <v>0</v>
      </c>
      <c r="T204" s="19">
        <v>35</v>
      </c>
      <c r="U204" s="6">
        <f t="shared" si="19"/>
        <v>0.11650020000000003</v>
      </c>
      <c r="V204">
        <f t="shared" si="23"/>
        <v>0.21254400000000001</v>
      </c>
      <c r="W204" s="6">
        <f t="shared" si="20"/>
        <v>1.95</v>
      </c>
      <c r="X204">
        <f t="shared" si="21"/>
        <v>2.8410888000000001</v>
      </c>
      <c r="Y204" t="str">
        <f t="shared" si="22"/>
        <v>RP</v>
      </c>
    </row>
    <row r="205" spans="1:25" ht="13.5" customHeight="1" thickBot="1" x14ac:dyDescent="0.35">
      <c r="A205">
        <f t="shared" si="18"/>
        <v>7.6867030762371824</v>
      </c>
      <c r="B205" s="18">
        <v>13</v>
      </c>
      <c r="C205" s="12" t="s">
        <v>41</v>
      </c>
      <c r="D205" s="19" t="s">
        <v>6</v>
      </c>
      <c r="E205" s="19" t="s">
        <v>19</v>
      </c>
      <c r="F205" s="19" t="s">
        <v>19</v>
      </c>
      <c r="G205" s="19">
        <v>18</v>
      </c>
      <c r="H205" s="19">
        <v>89</v>
      </c>
      <c r="I205" s="19">
        <v>22</v>
      </c>
      <c r="J205" s="19">
        <v>0</v>
      </c>
      <c r="K205" s="19">
        <v>10</v>
      </c>
      <c r="L205" s="19">
        <v>19</v>
      </c>
      <c r="M205" s="19">
        <v>2</v>
      </c>
      <c r="N205" s="19">
        <v>28</v>
      </c>
      <c r="O205" s="19">
        <v>25</v>
      </c>
      <c r="P205" s="19">
        <v>0</v>
      </c>
      <c r="Q205" s="19">
        <v>0</v>
      </c>
      <c r="R205" s="19">
        <v>0</v>
      </c>
      <c r="S205" s="19">
        <v>0</v>
      </c>
      <c r="T205" s="19">
        <v>74</v>
      </c>
      <c r="U205" s="6">
        <f t="shared" si="19"/>
        <v>0.13090100000000005</v>
      </c>
      <c r="V205">
        <f t="shared" si="23"/>
        <v>0.23250000000000004</v>
      </c>
      <c r="W205" s="6">
        <f t="shared" si="20"/>
        <v>1.77</v>
      </c>
      <c r="X205">
        <f t="shared" si="21"/>
        <v>2.7586040000000001</v>
      </c>
      <c r="Y205" t="str">
        <f t="shared" si="22"/>
        <v>RP</v>
      </c>
    </row>
    <row r="206" spans="1:25" ht="13.5" customHeight="1" thickBot="1" x14ac:dyDescent="0.35">
      <c r="A206">
        <f t="shared" si="18"/>
        <v>5.8299308961212652</v>
      </c>
      <c r="B206" s="18">
        <v>91</v>
      </c>
      <c r="C206" s="12" t="s">
        <v>119</v>
      </c>
      <c r="D206" s="19" t="s">
        <v>9</v>
      </c>
      <c r="E206" s="19" t="s">
        <v>20</v>
      </c>
      <c r="F206" s="19" t="s">
        <v>20</v>
      </c>
      <c r="G206" s="19">
        <v>18</v>
      </c>
      <c r="H206" s="19">
        <v>86</v>
      </c>
      <c r="I206" s="19">
        <v>13</v>
      </c>
      <c r="J206" s="19">
        <v>6</v>
      </c>
      <c r="K206" s="19">
        <v>6</v>
      </c>
      <c r="L206" s="19">
        <v>7</v>
      </c>
      <c r="M206" s="19">
        <v>0</v>
      </c>
      <c r="N206" s="19">
        <v>4</v>
      </c>
      <c r="O206" s="19">
        <v>31</v>
      </c>
      <c r="P206" s="19">
        <v>0</v>
      </c>
      <c r="Q206" s="19">
        <v>0</v>
      </c>
      <c r="R206" s="19">
        <v>0</v>
      </c>
      <c r="S206" s="19">
        <v>0</v>
      </c>
      <c r="T206" s="19">
        <v>53</v>
      </c>
      <c r="U206" s="6">
        <f t="shared" si="19"/>
        <v>-4.776599999999992E-3</v>
      </c>
      <c r="V206">
        <f t="shared" si="23"/>
        <v>0.36567600000000006</v>
      </c>
      <c r="W206" s="6">
        <f t="shared" si="20"/>
        <v>1.38</v>
      </c>
      <c r="X206">
        <f t="shared" si="21"/>
        <v>2.0922456</v>
      </c>
      <c r="Y206" t="str">
        <f t="shared" si="22"/>
        <v>RP</v>
      </c>
    </row>
    <row r="207" spans="1:25" ht="13.5" customHeight="1" thickBot="1" x14ac:dyDescent="0.35">
      <c r="B207" s="20"/>
      <c r="C207" s="13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</row>
    <row r="208" spans="1:25" ht="13.5" customHeight="1" thickBot="1" x14ac:dyDescent="0.35">
      <c r="B208" s="18"/>
      <c r="C208" s="12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</row>
    <row r="209" spans="2:20" ht="13.5" customHeight="1" thickBot="1" x14ac:dyDescent="0.35">
      <c r="B209" s="20"/>
      <c r="C209" s="13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</row>
    <row r="210" spans="2:20" ht="13.5" customHeight="1" thickBot="1" x14ac:dyDescent="0.35">
      <c r="B210" s="18"/>
      <c r="C210" s="12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</row>
    <row r="211" spans="2:20" ht="13.5" customHeight="1" thickBot="1" x14ac:dyDescent="0.35">
      <c r="B211" s="20"/>
      <c r="C211" s="13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</row>
    <row r="212" spans="2:20" ht="13.5" customHeight="1" thickBot="1" x14ac:dyDescent="0.35">
      <c r="B212" s="18"/>
      <c r="C212" s="12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</row>
    <row r="213" spans="2:20" ht="13.5" customHeight="1" thickBot="1" x14ac:dyDescent="0.35">
      <c r="B213" s="20"/>
      <c r="C213" s="13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</row>
    <row r="214" spans="2:20" ht="13.5" customHeight="1" thickBot="1" x14ac:dyDescent="0.35">
      <c r="B214" s="18"/>
      <c r="C214" s="12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</row>
    <row r="215" spans="2:20" ht="13.5" customHeight="1" thickBot="1" x14ac:dyDescent="0.35">
      <c r="B215" s="20"/>
      <c r="C215" s="13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</row>
    <row r="216" spans="2:20" ht="13.5" customHeight="1" thickBot="1" x14ac:dyDescent="0.35">
      <c r="B216" s="18"/>
      <c r="C216" s="12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</row>
    <row r="217" spans="2:20" ht="13.5" customHeight="1" thickBot="1" x14ac:dyDescent="0.35">
      <c r="B217" s="20"/>
      <c r="C217" s="13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</row>
    <row r="218" spans="2:20" ht="13.5" customHeight="1" thickBot="1" x14ac:dyDescent="0.35">
      <c r="B218" s="18"/>
      <c r="C218" s="12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</row>
    <row r="219" spans="2:20" ht="13.5" customHeight="1" thickBot="1" x14ac:dyDescent="0.35">
      <c r="B219" s="20"/>
      <c r="C219" s="13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</row>
    <row r="220" spans="2:20" ht="13.5" customHeight="1" thickBot="1" x14ac:dyDescent="0.35">
      <c r="B220" s="18"/>
      <c r="C220" s="12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</row>
    <row r="221" spans="2:20" ht="13.5" customHeight="1" thickBot="1" x14ac:dyDescent="0.35">
      <c r="B221" s="20"/>
      <c r="C221" s="13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</row>
    <row r="222" spans="2:20" ht="13.5" customHeight="1" thickBot="1" x14ac:dyDescent="0.35">
      <c r="B222" s="18"/>
      <c r="C222" s="12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</row>
    <row r="223" spans="2:20" ht="13.5" customHeight="1" thickBot="1" x14ac:dyDescent="0.35">
      <c r="B223" s="20"/>
      <c r="C223" s="13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</row>
    <row r="224" spans="2:20" ht="13.5" customHeight="1" thickBot="1" x14ac:dyDescent="0.35">
      <c r="B224" s="18"/>
      <c r="C224" s="12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</row>
    <row r="225" spans="2:20" ht="13.5" customHeight="1" thickBot="1" x14ac:dyDescent="0.35">
      <c r="B225" s="20"/>
      <c r="C225" s="13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</row>
    <row r="226" spans="2:20" ht="13.5" customHeight="1" thickBot="1" x14ac:dyDescent="0.35">
      <c r="B226" s="18"/>
      <c r="C226" s="12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</row>
    <row r="227" spans="2:20" ht="13.5" customHeight="1" thickBot="1" x14ac:dyDescent="0.35">
      <c r="B227" s="20"/>
      <c r="C227" s="13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</row>
    <row r="228" spans="2:20" ht="13.5" customHeight="1" thickBot="1" x14ac:dyDescent="0.35">
      <c r="B228" s="18"/>
      <c r="C228" s="12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</row>
    <row r="229" spans="2:20" ht="13.5" customHeight="1" thickBot="1" x14ac:dyDescent="0.35">
      <c r="B229" s="20"/>
      <c r="C229" s="13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</row>
    <row r="230" spans="2:20" ht="13.5" customHeight="1" thickBot="1" x14ac:dyDescent="0.35">
      <c r="B230" s="18"/>
      <c r="C230" s="12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</row>
    <row r="231" spans="2:20" ht="13.5" customHeight="1" thickBot="1" x14ac:dyDescent="0.35">
      <c r="B231" s="20"/>
      <c r="C231" s="13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</row>
    <row r="232" spans="2:20" ht="13.5" customHeight="1" thickBot="1" x14ac:dyDescent="0.35">
      <c r="B232" s="18"/>
      <c r="C232" s="12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</row>
    <row r="233" spans="2:20" ht="13.5" customHeight="1" thickBot="1" x14ac:dyDescent="0.35">
      <c r="B233" s="20"/>
      <c r="C233" s="13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</row>
    <row r="234" spans="2:20" ht="13.5" customHeight="1" thickBot="1" x14ac:dyDescent="0.35">
      <c r="B234" s="18"/>
      <c r="C234" s="12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</row>
    <row r="235" spans="2:20" ht="13.5" customHeight="1" thickBot="1" x14ac:dyDescent="0.35">
      <c r="B235" s="20"/>
      <c r="C235" s="13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</row>
    <row r="236" spans="2:20" ht="13.5" customHeight="1" thickBot="1" x14ac:dyDescent="0.35">
      <c r="B236" s="18"/>
      <c r="C236" s="12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</row>
    <row r="237" spans="2:20" ht="13.5" customHeight="1" thickBot="1" x14ac:dyDescent="0.35">
      <c r="B237" s="20"/>
      <c r="C237" s="13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</row>
    <row r="238" spans="2:20" ht="13.5" customHeight="1" thickBot="1" x14ac:dyDescent="0.35">
      <c r="B238" s="18"/>
      <c r="C238" s="12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</row>
    <row r="239" spans="2:20" ht="13.5" customHeight="1" thickBot="1" x14ac:dyDescent="0.35">
      <c r="B239" s="20"/>
      <c r="C239" s="13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</row>
    <row r="240" spans="2:20" ht="13.5" customHeight="1" thickBot="1" x14ac:dyDescent="0.35">
      <c r="B240" s="18"/>
      <c r="C240" s="12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</row>
    <row r="241" spans="2:20" ht="13.5" customHeight="1" thickBot="1" x14ac:dyDescent="0.35">
      <c r="B241" s="20"/>
      <c r="C241" s="13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</row>
    <row r="242" spans="2:20" ht="13.5" customHeight="1" thickBot="1" x14ac:dyDescent="0.35">
      <c r="B242" s="18"/>
      <c r="C242" s="12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</row>
    <row r="243" spans="2:20" ht="13.5" customHeight="1" thickBot="1" x14ac:dyDescent="0.35">
      <c r="B243" s="20"/>
      <c r="C243" s="13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</row>
    <row r="244" spans="2:20" ht="13.5" customHeight="1" thickBot="1" x14ac:dyDescent="0.35">
      <c r="B244" s="18"/>
      <c r="C244" s="12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</row>
    <row r="245" spans="2:20" ht="13.5" customHeight="1" thickBot="1" x14ac:dyDescent="0.35">
      <c r="B245" s="20"/>
      <c r="C245" s="13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</row>
    <row r="246" spans="2:20" ht="13.5" customHeight="1" thickBot="1" x14ac:dyDescent="0.35">
      <c r="B246" s="18"/>
      <c r="C246" s="12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</row>
    <row r="247" spans="2:20" ht="13.5" customHeight="1" thickBot="1" x14ac:dyDescent="0.35">
      <c r="B247" s="20"/>
      <c r="C247" s="13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</row>
    <row r="248" spans="2:20" ht="13.5" customHeight="1" thickBot="1" x14ac:dyDescent="0.35">
      <c r="B248" s="18"/>
      <c r="C248" s="12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</row>
    <row r="249" spans="2:20" ht="13.5" customHeight="1" thickBot="1" x14ac:dyDescent="0.35">
      <c r="B249" s="20"/>
      <c r="C249" s="13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</row>
    <row r="250" spans="2:20" ht="13.5" customHeight="1" thickBot="1" x14ac:dyDescent="0.35">
      <c r="B250" s="18"/>
      <c r="C250" s="12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</row>
    <row r="251" spans="2:20" ht="13.5" customHeight="1" thickBot="1" x14ac:dyDescent="0.35">
      <c r="B251" s="20"/>
      <c r="C251" s="13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</row>
    <row r="252" spans="2:20" ht="13.5" customHeight="1" thickBot="1" x14ac:dyDescent="0.35">
      <c r="B252" s="18"/>
      <c r="C252" s="12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</row>
    <row r="253" spans="2:20" ht="13.5" customHeight="1" thickBot="1" x14ac:dyDescent="0.35">
      <c r="B253" s="20"/>
      <c r="C253" s="13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</row>
    <row r="254" spans="2:20" ht="13.5" customHeight="1" thickBot="1" x14ac:dyDescent="0.35">
      <c r="B254" s="18"/>
      <c r="C254" s="12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</row>
    <row r="255" spans="2:20" ht="13.5" customHeight="1" thickBot="1" x14ac:dyDescent="0.35">
      <c r="B255" s="20"/>
      <c r="C255" s="13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</row>
    <row r="256" spans="2:20" ht="13.5" customHeight="1" thickBot="1" x14ac:dyDescent="0.35">
      <c r="B256" s="18"/>
      <c r="C256" s="12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</row>
    <row r="257" spans="2:20" ht="13.5" customHeight="1" thickBot="1" x14ac:dyDescent="0.35">
      <c r="B257" s="20"/>
      <c r="C257" s="13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</row>
    <row r="258" spans="2:20" ht="13.5" customHeight="1" thickBot="1" x14ac:dyDescent="0.35">
      <c r="B258" s="18"/>
      <c r="C258" s="12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</row>
    <row r="259" spans="2:20" ht="13.5" customHeight="1" thickBot="1" x14ac:dyDescent="0.35">
      <c r="B259" s="20"/>
      <c r="C259" s="13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</row>
    <row r="260" spans="2:20" ht="13.5" customHeight="1" thickBot="1" x14ac:dyDescent="0.35">
      <c r="B260" s="18"/>
      <c r="C260" s="12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</row>
    <row r="261" spans="2:20" ht="13.5" customHeight="1" thickBot="1" x14ac:dyDescent="0.35">
      <c r="B261" s="20"/>
      <c r="C261" s="13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</row>
    <row r="262" spans="2:20" ht="13.5" customHeight="1" thickBot="1" x14ac:dyDescent="0.35">
      <c r="B262" s="18"/>
      <c r="C262" s="12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</row>
    <row r="263" spans="2:20" ht="13.5" customHeight="1" thickBot="1" x14ac:dyDescent="0.35">
      <c r="B263" s="20"/>
      <c r="C263" s="13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</row>
    <row r="264" spans="2:20" ht="13.5" customHeight="1" thickBot="1" x14ac:dyDescent="0.35">
      <c r="B264" s="18"/>
      <c r="C264" s="12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</row>
    <row r="265" spans="2:20" ht="13.5" customHeight="1" thickBot="1" x14ac:dyDescent="0.35">
      <c r="B265" s="20"/>
      <c r="C265" s="13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</row>
    <row r="266" spans="2:20" ht="13.5" customHeight="1" thickBot="1" x14ac:dyDescent="0.35">
      <c r="B266" s="18"/>
      <c r="C266" s="12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</row>
    <row r="267" spans="2:20" ht="13.5" customHeight="1" thickBot="1" x14ac:dyDescent="0.35">
      <c r="B267" s="20"/>
      <c r="C267" s="13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</row>
    <row r="268" spans="2:20" ht="13.5" customHeight="1" thickBot="1" x14ac:dyDescent="0.35">
      <c r="B268" s="18"/>
      <c r="C268" s="12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</row>
    <row r="269" spans="2:20" ht="13.5" customHeight="1" thickBot="1" x14ac:dyDescent="0.35">
      <c r="B269" s="20"/>
      <c r="C269" s="13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</row>
    <row r="270" spans="2:20" ht="13.5" customHeight="1" thickBot="1" x14ac:dyDescent="0.35">
      <c r="B270" s="18"/>
      <c r="C270" s="12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</row>
    <row r="271" spans="2:20" ht="13.5" customHeight="1" thickBot="1" x14ac:dyDescent="0.35">
      <c r="B271" s="20"/>
      <c r="C271" s="13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</row>
    <row r="272" spans="2:20" ht="13.5" customHeight="1" thickBot="1" x14ac:dyDescent="0.35">
      <c r="B272" s="18"/>
      <c r="C272" s="12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</row>
    <row r="273" spans="2:20" ht="13.5" customHeight="1" thickBot="1" x14ac:dyDescent="0.35">
      <c r="B273" s="20"/>
      <c r="C273" s="13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</row>
    <row r="274" spans="2:20" ht="13.5" customHeight="1" thickBot="1" x14ac:dyDescent="0.35">
      <c r="B274" s="18"/>
      <c r="C274" s="12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</row>
    <row r="275" spans="2:20" ht="13.5" customHeight="1" thickBot="1" x14ac:dyDescent="0.35">
      <c r="B275" s="20"/>
      <c r="C275" s="13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</row>
    <row r="276" spans="2:20" ht="13.5" customHeight="1" thickBot="1" x14ac:dyDescent="0.35">
      <c r="B276" s="18"/>
      <c r="C276" s="12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</row>
    <row r="277" spans="2:20" ht="13.5" customHeight="1" thickBot="1" x14ac:dyDescent="0.35">
      <c r="B277" s="20"/>
      <c r="C277" s="13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</row>
    <row r="278" spans="2:20" ht="13.5" customHeight="1" thickBot="1" x14ac:dyDescent="0.35">
      <c r="B278" s="18"/>
      <c r="C278" s="12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</row>
    <row r="279" spans="2:20" ht="13.5" customHeight="1" thickBot="1" x14ac:dyDescent="0.35">
      <c r="B279" s="20"/>
      <c r="C279" s="13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</row>
    <row r="280" spans="2:20" ht="13.5" customHeight="1" thickBot="1" x14ac:dyDescent="0.35">
      <c r="B280" s="18"/>
      <c r="C280" s="12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</row>
    <row r="281" spans="2:20" ht="13.5" customHeight="1" thickBot="1" x14ac:dyDescent="0.35">
      <c r="B281" s="20"/>
      <c r="C281" s="13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</row>
    <row r="282" spans="2:20" ht="13.5" customHeight="1" thickBot="1" x14ac:dyDescent="0.35">
      <c r="B282" s="18"/>
      <c r="C282" s="12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</row>
    <row r="283" spans="2:20" ht="13.5" customHeight="1" thickBot="1" x14ac:dyDescent="0.35">
      <c r="B283" s="20"/>
      <c r="C283" s="13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</row>
    <row r="284" spans="2:20" ht="13.5" customHeight="1" thickBot="1" x14ac:dyDescent="0.35">
      <c r="B284" s="18"/>
      <c r="C284" s="12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</row>
    <row r="285" spans="2:20" ht="13.5" customHeight="1" thickBot="1" x14ac:dyDescent="0.35">
      <c r="B285" s="20"/>
      <c r="C285" s="13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</row>
    <row r="286" spans="2:20" ht="13.5" customHeight="1" thickBot="1" x14ac:dyDescent="0.35">
      <c r="B286" s="18"/>
      <c r="C286" s="12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</row>
    <row r="287" spans="2:20" ht="13.5" customHeight="1" thickBot="1" x14ac:dyDescent="0.35">
      <c r="B287" s="20"/>
      <c r="C287" s="13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</row>
    <row r="288" spans="2:20" ht="13.5" customHeight="1" thickBot="1" x14ac:dyDescent="0.35">
      <c r="B288" s="18"/>
      <c r="C288" s="12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</row>
    <row r="289" spans="2:20" ht="13.5" customHeight="1" thickBot="1" x14ac:dyDescent="0.35">
      <c r="B289" s="20"/>
      <c r="C289" s="13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</row>
    <row r="290" spans="2:20" ht="13.5" customHeight="1" thickBot="1" x14ac:dyDescent="0.35">
      <c r="B290" s="18"/>
      <c r="C290" s="12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</row>
    <row r="291" spans="2:20" ht="13.5" customHeight="1" thickBot="1" x14ac:dyDescent="0.35">
      <c r="B291" s="20"/>
      <c r="C291" s="13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</row>
    <row r="292" spans="2:20" ht="13.5" customHeight="1" thickBot="1" x14ac:dyDescent="0.35">
      <c r="B292" s="18"/>
      <c r="C292" s="12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</row>
    <row r="293" spans="2:20" ht="13.5" customHeight="1" thickBot="1" x14ac:dyDescent="0.35">
      <c r="B293" s="20"/>
      <c r="C293" s="13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</row>
    <row r="294" spans="2:20" ht="13.5" customHeight="1" thickBot="1" x14ac:dyDescent="0.35">
      <c r="B294" s="18"/>
      <c r="C294" s="12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</row>
    <row r="295" spans="2:20" ht="13.5" customHeight="1" thickBot="1" x14ac:dyDescent="0.35">
      <c r="B295" s="20"/>
      <c r="C295" s="13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</row>
    <row r="296" spans="2:20" ht="13.5" customHeight="1" thickBot="1" x14ac:dyDescent="0.35">
      <c r="B296" s="18"/>
      <c r="C296" s="12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</row>
    <row r="297" spans="2:20" ht="13.5" customHeight="1" thickBot="1" x14ac:dyDescent="0.35">
      <c r="B297" s="20"/>
      <c r="C297" s="13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</row>
    <row r="298" spans="2:20" ht="13.5" customHeight="1" thickBot="1" x14ac:dyDescent="0.35">
      <c r="B298" s="18"/>
      <c r="C298" s="12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</row>
    <row r="299" spans="2:20" ht="13.5" customHeight="1" thickBot="1" x14ac:dyDescent="0.35">
      <c r="B299" s="20"/>
      <c r="C299" s="13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</row>
    <row r="300" spans="2:20" ht="13.5" customHeight="1" thickBot="1" x14ac:dyDescent="0.35">
      <c r="B300" s="18"/>
      <c r="C300" s="12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</row>
    <row r="301" spans="2:20" ht="13.5" customHeight="1" thickBot="1" x14ac:dyDescent="0.35">
      <c r="B301" s="20"/>
      <c r="C301" s="13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</row>
    <row r="302" spans="2:20" ht="13.5" customHeight="1" thickBot="1" x14ac:dyDescent="0.35">
      <c r="B302" s="18"/>
      <c r="C302" s="12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</row>
    <row r="303" spans="2:20" ht="13.5" customHeight="1" thickBot="1" x14ac:dyDescent="0.35">
      <c r="B303" s="20"/>
      <c r="C303" s="13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</row>
    <row r="304" spans="2:20" ht="13.5" customHeight="1" thickBot="1" x14ac:dyDescent="0.35">
      <c r="B304" s="18"/>
      <c r="C304" s="12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</row>
    <row r="305" spans="2:20" ht="13.5" customHeight="1" thickBot="1" x14ac:dyDescent="0.35">
      <c r="B305" s="20"/>
      <c r="C305" s="13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</row>
    <row r="306" spans="2:20" ht="13.5" customHeight="1" thickBot="1" x14ac:dyDescent="0.35">
      <c r="B306" s="18"/>
      <c r="C306" s="12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</row>
    <row r="307" spans="2:20" ht="13.5" customHeight="1" thickBot="1" x14ac:dyDescent="0.35">
      <c r="B307" s="20"/>
      <c r="C307" s="13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</row>
    <row r="308" spans="2:20" ht="13.5" customHeight="1" thickBot="1" x14ac:dyDescent="0.35">
      <c r="B308" s="18"/>
      <c r="C308" s="12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</row>
    <row r="309" spans="2:20" ht="13.5" customHeight="1" thickBot="1" x14ac:dyDescent="0.35">
      <c r="B309" s="20"/>
      <c r="C309" s="13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</row>
    <row r="310" spans="2:20" ht="13.5" customHeight="1" thickBot="1" x14ac:dyDescent="0.35">
      <c r="B310" s="18"/>
      <c r="C310" s="12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</row>
    <row r="311" spans="2:20" ht="13.5" customHeight="1" thickBot="1" x14ac:dyDescent="0.35">
      <c r="B311" s="20"/>
      <c r="C311" s="13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</row>
    <row r="312" spans="2:20" ht="13.5" customHeight="1" thickBot="1" x14ac:dyDescent="0.35">
      <c r="B312" s="18"/>
      <c r="C312" s="12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</row>
    <row r="313" spans="2:20" ht="13.5" customHeight="1" thickBot="1" x14ac:dyDescent="0.35">
      <c r="B313" s="20"/>
      <c r="C313" s="13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</row>
    <row r="314" spans="2:20" ht="13.5" customHeight="1" thickBot="1" x14ac:dyDescent="0.35">
      <c r="B314" s="18"/>
      <c r="C314" s="12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</row>
    <row r="315" spans="2:20" ht="13.5" customHeight="1" thickBot="1" x14ac:dyDescent="0.35">
      <c r="B315" s="20"/>
      <c r="C315" s="13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</row>
    <row r="316" spans="2:20" ht="13.5" customHeight="1" thickBot="1" x14ac:dyDescent="0.35">
      <c r="B316" s="18"/>
      <c r="C316" s="12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</row>
    <row r="317" spans="2:20" ht="13.5" customHeight="1" thickBot="1" x14ac:dyDescent="0.35">
      <c r="B317" s="20"/>
      <c r="C317" s="13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</row>
    <row r="318" spans="2:20" ht="13.5" customHeight="1" thickBot="1" x14ac:dyDescent="0.35">
      <c r="B318" s="18"/>
      <c r="C318" s="12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</row>
    <row r="319" spans="2:20" ht="13.5" customHeight="1" thickBot="1" x14ac:dyDescent="0.35">
      <c r="B319" s="20"/>
      <c r="C319" s="13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</row>
    <row r="320" spans="2:20" ht="13.5" customHeight="1" thickBot="1" x14ac:dyDescent="0.35">
      <c r="B320" s="18"/>
      <c r="C320" s="12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</row>
    <row r="321" spans="2:20" ht="13.5" customHeight="1" thickBot="1" x14ac:dyDescent="0.35">
      <c r="B321" s="20"/>
      <c r="C321" s="13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</row>
    <row r="322" spans="2:20" ht="13.5" customHeight="1" thickBot="1" x14ac:dyDescent="0.35">
      <c r="B322" s="18"/>
      <c r="C322" s="12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</row>
    <row r="323" spans="2:20" ht="13.5" customHeight="1" thickBot="1" x14ac:dyDescent="0.35">
      <c r="B323" s="20"/>
      <c r="C323" s="13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</row>
    <row r="324" spans="2:20" ht="13.5" customHeight="1" thickBot="1" x14ac:dyDescent="0.35">
      <c r="B324" s="18"/>
      <c r="C324" s="12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</row>
    <row r="325" spans="2:20" ht="13.5" customHeight="1" thickBot="1" x14ac:dyDescent="0.35">
      <c r="B325" s="20"/>
      <c r="C325" s="13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</row>
    <row r="326" spans="2:20" ht="13.5" customHeight="1" thickBot="1" x14ac:dyDescent="0.35">
      <c r="B326" s="18"/>
      <c r="C326" s="12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</row>
    <row r="327" spans="2:20" ht="13.5" customHeight="1" thickBot="1" x14ac:dyDescent="0.35">
      <c r="B327" s="20"/>
      <c r="C327" s="13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</row>
    <row r="328" spans="2:20" ht="13.5" customHeight="1" thickBot="1" x14ac:dyDescent="0.35">
      <c r="B328" s="18"/>
      <c r="C328" s="12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</row>
    <row r="329" spans="2:20" ht="13.5" customHeight="1" thickBot="1" x14ac:dyDescent="0.35">
      <c r="B329" s="20"/>
      <c r="C329" s="13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</row>
    <row r="330" spans="2:20" ht="13.5" customHeight="1" thickBot="1" x14ac:dyDescent="0.35">
      <c r="B330" s="18"/>
      <c r="C330" s="12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</row>
    <row r="331" spans="2:20" ht="13.5" customHeight="1" thickBot="1" x14ac:dyDescent="0.35">
      <c r="B331" s="20"/>
      <c r="C331" s="13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</row>
    <row r="332" spans="2:20" ht="13.5" customHeight="1" thickBot="1" x14ac:dyDescent="0.35">
      <c r="B332" s="18"/>
      <c r="C332" s="12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</row>
    <row r="333" spans="2:20" ht="13.5" customHeight="1" thickBot="1" x14ac:dyDescent="0.35">
      <c r="B333" s="20"/>
      <c r="C333" s="13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</row>
    <row r="334" spans="2:20" ht="13.5" customHeight="1" thickBot="1" x14ac:dyDescent="0.35">
      <c r="B334" s="18"/>
      <c r="C334" s="12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</row>
    <row r="335" spans="2:20" ht="13.5" customHeight="1" thickBot="1" x14ac:dyDescent="0.35">
      <c r="B335" s="20"/>
      <c r="C335" s="13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</row>
    <row r="336" spans="2:20" ht="13.5" customHeight="1" thickBot="1" x14ac:dyDescent="0.35">
      <c r="B336" s="18"/>
      <c r="C336" s="12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</row>
    <row r="337" spans="2:20" ht="13.5" customHeight="1" thickBot="1" x14ac:dyDescent="0.35">
      <c r="B337" s="20"/>
      <c r="C337" s="13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</row>
    <row r="338" spans="2:20" ht="13.5" customHeight="1" thickBot="1" x14ac:dyDescent="0.35">
      <c r="B338" s="18"/>
      <c r="C338" s="12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</row>
    <row r="339" spans="2:20" ht="13.5" customHeight="1" thickBot="1" x14ac:dyDescent="0.35">
      <c r="B339" s="20"/>
      <c r="C339" s="13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</row>
    <row r="340" spans="2:20" ht="13.5" customHeight="1" thickBot="1" x14ac:dyDescent="0.35">
      <c r="B340" s="18"/>
      <c r="C340" s="12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</row>
    <row r="341" spans="2:20" ht="13.5" customHeight="1" thickBot="1" x14ac:dyDescent="0.35">
      <c r="B341" s="20"/>
      <c r="C341" s="13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</row>
    <row r="342" spans="2:20" ht="13.5" customHeight="1" thickBot="1" x14ac:dyDescent="0.35">
      <c r="B342" s="18"/>
      <c r="C342" s="12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</row>
    <row r="343" spans="2:20" ht="13.5" customHeight="1" thickBot="1" x14ac:dyDescent="0.35">
      <c r="B343" s="20"/>
      <c r="C343" s="13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</row>
    <row r="344" spans="2:20" ht="13.5" customHeight="1" thickBot="1" x14ac:dyDescent="0.35">
      <c r="B344" s="18"/>
      <c r="C344" s="12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</row>
    <row r="345" spans="2:20" ht="13.5" customHeight="1" thickBot="1" x14ac:dyDescent="0.35">
      <c r="B345" s="20"/>
      <c r="C345" s="13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</row>
    <row r="346" spans="2:20" ht="13.5" customHeight="1" thickBot="1" x14ac:dyDescent="0.35">
      <c r="B346" s="18"/>
      <c r="C346" s="12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</row>
    <row r="347" spans="2:20" ht="13.5" customHeight="1" thickBot="1" x14ac:dyDescent="0.35">
      <c r="B347" s="20"/>
      <c r="C347" s="13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</row>
    <row r="348" spans="2:20" ht="13.5" customHeight="1" thickBot="1" x14ac:dyDescent="0.35">
      <c r="B348" s="18"/>
      <c r="C348" s="12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</row>
    <row r="349" spans="2:20" ht="13.5" customHeight="1" thickBot="1" x14ac:dyDescent="0.35">
      <c r="B349" s="20"/>
      <c r="C349" s="13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</row>
    <row r="350" spans="2:20" ht="13.5" customHeight="1" thickBot="1" x14ac:dyDescent="0.35">
      <c r="B350" s="18"/>
      <c r="C350" s="12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</row>
    <row r="351" spans="2:20" ht="13.5" customHeight="1" thickBot="1" x14ac:dyDescent="0.35">
      <c r="B351" s="20"/>
      <c r="C351" s="13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</row>
    <row r="352" spans="2:20" ht="13.5" customHeight="1" thickBot="1" x14ac:dyDescent="0.35">
      <c r="B352" s="18"/>
      <c r="C352" s="12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</row>
    <row r="353" spans="2:20" ht="13.5" customHeight="1" thickBot="1" x14ac:dyDescent="0.35">
      <c r="B353" s="20"/>
      <c r="C353" s="13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</row>
    <row r="354" spans="2:20" ht="13.5" customHeight="1" thickBot="1" x14ac:dyDescent="0.35">
      <c r="B354" s="18"/>
      <c r="C354" s="12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</row>
    <row r="355" spans="2:20" ht="13.5" customHeight="1" thickBot="1" x14ac:dyDescent="0.35">
      <c r="B355" s="20"/>
      <c r="C355" s="13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</row>
    <row r="356" spans="2:20" ht="13.5" customHeight="1" thickBot="1" x14ac:dyDescent="0.35">
      <c r="B356" s="18"/>
      <c r="C356" s="12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</row>
    <row r="357" spans="2:20" ht="13.5" customHeight="1" thickBot="1" x14ac:dyDescent="0.35">
      <c r="B357" s="20"/>
      <c r="C357" s="13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</row>
    <row r="358" spans="2:20" ht="13.5" customHeight="1" thickBot="1" x14ac:dyDescent="0.35">
      <c r="B358" s="18"/>
      <c r="C358" s="12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</row>
    <row r="359" spans="2:20" ht="13.5" customHeight="1" thickBot="1" x14ac:dyDescent="0.35">
      <c r="B359" s="20"/>
      <c r="C359" s="13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</row>
    <row r="360" spans="2:20" ht="13.5" customHeight="1" thickBot="1" x14ac:dyDescent="0.35">
      <c r="B360" s="18"/>
      <c r="C360" s="12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</row>
    <row r="361" spans="2:20" ht="13.5" customHeight="1" thickBot="1" x14ac:dyDescent="0.35">
      <c r="B361" s="20"/>
      <c r="C361" s="13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</row>
    <row r="362" spans="2:20" ht="13.5" customHeight="1" thickBot="1" x14ac:dyDescent="0.35">
      <c r="B362" s="18"/>
      <c r="C362" s="12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</row>
    <row r="363" spans="2:20" ht="13.5" customHeight="1" thickBot="1" x14ac:dyDescent="0.35">
      <c r="B363" s="20"/>
      <c r="C363" s="13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</row>
    <row r="364" spans="2:20" ht="13.5" customHeight="1" thickBot="1" x14ac:dyDescent="0.35">
      <c r="B364" s="18"/>
      <c r="C364" s="12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</row>
    <row r="365" spans="2:20" ht="13.5" customHeight="1" thickBot="1" x14ac:dyDescent="0.35">
      <c r="B365" s="20"/>
      <c r="C365" s="13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</row>
    <row r="366" spans="2:20" ht="13.5" customHeight="1" thickBot="1" x14ac:dyDescent="0.35">
      <c r="B366" s="18"/>
      <c r="C366" s="12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</row>
    <row r="367" spans="2:20" ht="13.5" customHeight="1" thickBot="1" x14ac:dyDescent="0.35">
      <c r="B367" s="20"/>
      <c r="C367" s="13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</row>
    <row r="368" spans="2:20" ht="13.5" customHeight="1" thickBot="1" x14ac:dyDescent="0.35">
      <c r="B368" s="18"/>
      <c r="C368" s="12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</row>
    <row r="369" spans="2:20" ht="13.5" customHeight="1" thickBot="1" x14ac:dyDescent="0.35">
      <c r="B369" s="20"/>
      <c r="C369" s="13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</row>
    <row r="370" spans="2:20" ht="13.5" customHeight="1" thickBot="1" x14ac:dyDescent="0.35">
      <c r="B370" s="18"/>
      <c r="C370" s="12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</row>
    <row r="371" spans="2:20" ht="13.5" customHeight="1" thickBot="1" x14ac:dyDescent="0.35">
      <c r="B371" s="20"/>
      <c r="C371" s="13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</row>
    <row r="372" spans="2:20" ht="13.5" customHeight="1" thickBot="1" x14ac:dyDescent="0.35">
      <c r="B372" s="18"/>
      <c r="C372" s="12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</row>
    <row r="373" spans="2:20" ht="13.5" customHeight="1" thickBot="1" x14ac:dyDescent="0.35">
      <c r="B373" s="20"/>
      <c r="C373" s="13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</row>
    <row r="374" spans="2:20" ht="13.5" customHeight="1" thickBot="1" x14ac:dyDescent="0.35">
      <c r="B374" s="18"/>
      <c r="C374" s="12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</row>
    <row r="375" spans="2:20" ht="13.5" customHeight="1" thickBot="1" x14ac:dyDescent="0.35">
      <c r="B375" s="20"/>
      <c r="C375" s="13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</row>
    <row r="376" spans="2:20" ht="13.5" customHeight="1" thickBot="1" x14ac:dyDescent="0.35">
      <c r="B376" s="18"/>
      <c r="C376" s="12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</row>
    <row r="377" spans="2:20" ht="13.5" customHeight="1" thickBot="1" x14ac:dyDescent="0.35">
      <c r="B377" s="20"/>
      <c r="C377" s="13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</row>
    <row r="378" spans="2:20" ht="13.5" customHeight="1" thickBot="1" x14ac:dyDescent="0.35">
      <c r="B378" s="18"/>
      <c r="C378" s="12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</row>
    <row r="379" spans="2:20" ht="13.5" customHeight="1" thickBot="1" x14ac:dyDescent="0.35">
      <c r="B379" s="20"/>
      <c r="C379" s="13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</row>
    <row r="380" spans="2:20" ht="13.5" customHeight="1" thickBot="1" x14ac:dyDescent="0.35">
      <c r="B380" s="18"/>
      <c r="C380" s="12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</row>
    <row r="381" spans="2:20" ht="13.5" customHeight="1" thickBot="1" x14ac:dyDescent="0.35">
      <c r="B381" s="20"/>
      <c r="C381" s="13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</row>
    <row r="382" spans="2:20" ht="13.5" customHeight="1" thickBot="1" x14ac:dyDescent="0.35">
      <c r="B382" s="18"/>
      <c r="C382" s="12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</row>
    <row r="383" spans="2:20" ht="13.5" customHeight="1" thickBot="1" x14ac:dyDescent="0.35">
      <c r="B383" s="20"/>
      <c r="C383" s="13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</row>
    <row r="384" spans="2:20" ht="13.5" customHeight="1" thickBot="1" x14ac:dyDescent="0.35">
      <c r="B384" s="18"/>
      <c r="C384" s="12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</row>
    <row r="385" spans="2:20" ht="13.5" customHeight="1" thickBot="1" x14ac:dyDescent="0.35">
      <c r="B385" s="20"/>
      <c r="C385" s="13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</row>
    <row r="386" spans="2:20" ht="13.5" customHeight="1" thickBot="1" x14ac:dyDescent="0.35">
      <c r="B386" s="18"/>
      <c r="C386" s="12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</row>
    <row r="387" spans="2:20" ht="13.5" customHeight="1" thickBot="1" x14ac:dyDescent="0.35">
      <c r="B387" s="20"/>
      <c r="C387" s="13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</row>
    <row r="388" spans="2:20" ht="13.5" customHeight="1" thickBot="1" x14ac:dyDescent="0.35">
      <c r="B388" s="18"/>
      <c r="C388" s="12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</row>
    <row r="389" spans="2:20" ht="13.5" customHeight="1" thickBot="1" x14ac:dyDescent="0.35">
      <c r="B389" s="20"/>
      <c r="C389" s="13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</row>
    <row r="390" spans="2:20" ht="13.5" customHeight="1" thickBot="1" x14ac:dyDescent="0.35">
      <c r="B390" s="18"/>
      <c r="C390" s="12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</row>
    <row r="391" spans="2:20" ht="13.5" customHeight="1" thickBot="1" x14ac:dyDescent="0.35">
      <c r="B391" s="20"/>
      <c r="C391" s="13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</row>
    <row r="392" spans="2:20" ht="13.5" customHeight="1" thickBot="1" x14ac:dyDescent="0.35">
      <c r="B392" s="18"/>
      <c r="C392" s="12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</row>
    <row r="393" spans="2:20" ht="13.5" customHeight="1" thickBot="1" x14ac:dyDescent="0.35">
      <c r="B393" s="20"/>
      <c r="C393" s="13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</row>
    <row r="394" spans="2:20" ht="13.5" customHeight="1" thickBot="1" x14ac:dyDescent="0.35">
      <c r="B394" s="18"/>
      <c r="C394" s="12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</row>
    <row r="395" spans="2:20" ht="13.5" customHeight="1" thickBot="1" x14ac:dyDescent="0.35">
      <c r="B395" s="20"/>
      <c r="C395" s="13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</row>
    <row r="396" spans="2:20" ht="13.5" customHeight="1" thickBot="1" x14ac:dyDescent="0.35">
      <c r="B396" s="18"/>
      <c r="C396" s="12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</row>
    <row r="397" spans="2:20" ht="13.5" customHeight="1" thickBot="1" x14ac:dyDescent="0.35">
      <c r="B397" s="20"/>
      <c r="C397" s="13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</row>
    <row r="398" spans="2:20" ht="13.5" customHeight="1" thickBot="1" x14ac:dyDescent="0.35">
      <c r="B398" s="18"/>
      <c r="C398" s="12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</row>
    <row r="399" spans="2:20" ht="13.5" customHeight="1" thickBot="1" x14ac:dyDescent="0.35">
      <c r="B399" s="20"/>
      <c r="C399" s="13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</row>
    <row r="400" spans="2:20" ht="13.5" customHeight="1" thickBot="1" x14ac:dyDescent="0.35">
      <c r="B400" s="18"/>
      <c r="C400" s="12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</row>
    <row r="401" spans="2:20" ht="13.5" customHeight="1" thickBot="1" x14ac:dyDescent="0.35">
      <c r="B401" s="20"/>
      <c r="C401" s="13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</row>
    <row r="402" spans="2:20" ht="13.5" customHeight="1" thickBot="1" x14ac:dyDescent="0.35">
      <c r="B402" s="18"/>
      <c r="C402" s="12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</row>
    <row r="403" spans="2:20" ht="13.5" customHeight="1" thickBot="1" x14ac:dyDescent="0.35">
      <c r="B403" s="20"/>
      <c r="C403" s="13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</row>
    <row r="404" spans="2:20" ht="13.5" customHeight="1" thickBot="1" x14ac:dyDescent="0.35">
      <c r="B404" s="18"/>
      <c r="C404" s="12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</row>
    <row r="405" spans="2:20" ht="13.5" customHeight="1" thickBot="1" x14ac:dyDescent="0.35">
      <c r="B405" s="20"/>
      <c r="C405" s="13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</row>
    <row r="406" spans="2:20" ht="13.5" customHeight="1" thickBot="1" x14ac:dyDescent="0.35">
      <c r="B406" s="18"/>
      <c r="C406" s="12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</row>
    <row r="407" spans="2:20" ht="13.5" customHeight="1" thickBot="1" x14ac:dyDescent="0.35">
      <c r="B407" s="20"/>
      <c r="C407" s="13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</row>
    <row r="408" spans="2:20" ht="13.5" customHeight="1" thickBot="1" x14ac:dyDescent="0.35">
      <c r="B408" s="18"/>
      <c r="C408" s="12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</row>
    <row r="409" spans="2:20" ht="13.5" customHeight="1" thickBot="1" x14ac:dyDescent="0.35">
      <c r="B409" s="20"/>
      <c r="C409" s="13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</row>
    <row r="410" spans="2:20" ht="13.5" customHeight="1" thickBot="1" x14ac:dyDescent="0.35">
      <c r="B410" s="18"/>
      <c r="C410" s="12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</row>
    <row r="411" spans="2:20" ht="13.5" customHeight="1" thickBot="1" x14ac:dyDescent="0.35">
      <c r="B411" s="20"/>
      <c r="C411" s="13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</row>
    <row r="412" spans="2:20" ht="13.5" customHeight="1" thickBot="1" x14ac:dyDescent="0.35">
      <c r="B412" s="18"/>
      <c r="C412" s="12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</row>
    <row r="413" spans="2:20" ht="13.5" customHeight="1" thickBot="1" x14ac:dyDescent="0.35">
      <c r="B413" s="20"/>
      <c r="C413" s="13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</row>
    <row r="414" spans="2:20" ht="13.5" customHeight="1" thickBot="1" x14ac:dyDescent="0.35">
      <c r="B414" s="18"/>
      <c r="C414" s="12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</row>
    <row r="415" spans="2:20" ht="13.5" customHeight="1" thickBot="1" x14ac:dyDescent="0.35">
      <c r="B415" s="20"/>
      <c r="C415" s="13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</row>
    <row r="416" spans="2:20" ht="13.5" customHeight="1" thickBot="1" x14ac:dyDescent="0.35">
      <c r="B416" s="18"/>
      <c r="C416" s="12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</row>
    <row r="417" spans="2:20" ht="13.5" customHeight="1" thickBot="1" x14ac:dyDescent="0.35">
      <c r="B417" s="20"/>
      <c r="C417" s="13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</row>
    <row r="418" spans="2:20" ht="13.5" customHeight="1" thickBot="1" x14ac:dyDescent="0.35">
      <c r="B418" s="18"/>
      <c r="C418" s="12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</row>
    <row r="419" spans="2:20" ht="13.5" customHeight="1" thickBot="1" x14ac:dyDescent="0.35">
      <c r="B419" s="20"/>
      <c r="C419" s="13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</row>
    <row r="420" spans="2:20" ht="13.5" customHeight="1" thickBot="1" x14ac:dyDescent="0.35">
      <c r="B420" s="18"/>
      <c r="C420" s="12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</row>
    <row r="421" spans="2:20" ht="13.5" customHeight="1" thickBot="1" x14ac:dyDescent="0.35">
      <c r="B421" s="20"/>
      <c r="C421" s="13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</row>
    <row r="422" spans="2:20" ht="13.5" customHeight="1" thickBot="1" x14ac:dyDescent="0.35">
      <c r="B422" s="18"/>
      <c r="C422" s="12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</row>
    <row r="423" spans="2:20" ht="13.5" customHeight="1" thickBot="1" x14ac:dyDescent="0.35">
      <c r="B423" s="20"/>
      <c r="C423" s="13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</row>
    <row r="424" spans="2:20" ht="13.5" customHeight="1" thickBot="1" x14ac:dyDescent="0.35">
      <c r="B424" s="18"/>
      <c r="C424" s="12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</row>
    <row r="425" spans="2:20" ht="13.5" customHeight="1" thickBot="1" x14ac:dyDescent="0.35">
      <c r="B425" s="20"/>
      <c r="C425" s="13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</row>
    <row r="426" spans="2:20" ht="13.5" customHeight="1" thickBot="1" x14ac:dyDescent="0.35">
      <c r="B426" s="18"/>
      <c r="C426" s="12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</row>
    <row r="427" spans="2:20" ht="13.5" customHeight="1" thickBot="1" x14ac:dyDescent="0.35">
      <c r="B427" s="20"/>
      <c r="C427" s="13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</row>
    <row r="428" spans="2:20" ht="13.5" customHeight="1" thickBot="1" x14ac:dyDescent="0.35">
      <c r="B428" s="18"/>
      <c r="C428" s="12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</row>
    <row r="429" spans="2:20" ht="13.5" customHeight="1" thickBot="1" x14ac:dyDescent="0.35">
      <c r="B429" s="20"/>
      <c r="C429" s="13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</row>
    <row r="430" spans="2:20" ht="13.5" customHeight="1" thickBot="1" x14ac:dyDescent="0.35">
      <c r="B430" s="18"/>
      <c r="C430" s="12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</row>
    <row r="431" spans="2:20" ht="13.5" customHeight="1" thickBot="1" x14ac:dyDescent="0.35">
      <c r="B431" s="20"/>
      <c r="C431" s="13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</row>
    <row r="432" spans="2:20" ht="13.5" customHeight="1" thickBot="1" x14ac:dyDescent="0.35">
      <c r="B432" s="18"/>
      <c r="C432" s="12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</row>
    <row r="433" spans="2:20" ht="13.5" customHeight="1" thickBot="1" x14ac:dyDescent="0.35">
      <c r="B433" s="20"/>
      <c r="C433" s="13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</row>
    <row r="434" spans="2:20" ht="13.5" customHeight="1" thickBot="1" x14ac:dyDescent="0.35">
      <c r="B434" s="18"/>
      <c r="C434" s="12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</row>
    <row r="435" spans="2:20" ht="13.5" customHeight="1" thickBot="1" x14ac:dyDescent="0.35">
      <c r="B435" s="20"/>
      <c r="C435" s="13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</row>
    <row r="436" spans="2:20" ht="13.5" customHeight="1" thickBot="1" x14ac:dyDescent="0.35">
      <c r="B436" s="18"/>
      <c r="C436" s="12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</row>
    <row r="437" spans="2:20" ht="13.5" customHeight="1" thickBot="1" x14ac:dyDescent="0.35">
      <c r="B437" s="20"/>
      <c r="C437" s="13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</row>
    <row r="438" spans="2:20" ht="13.5" customHeight="1" thickBot="1" x14ac:dyDescent="0.35">
      <c r="B438" s="18"/>
      <c r="C438" s="12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</row>
    <row r="439" spans="2:20" ht="13.5" customHeight="1" thickBot="1" x14ac:dyDescent="0.35">
      <c r="B439" s="20"/>
      <c r="C439" s="13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</row>
    <row r="440" spans="2:20" ht="13.5" customHeight="1" thickBot="1" x14ac:dyDescent="0.35">
      <c r="B440" s="18"/>
      <c r="C440" s="12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</row>
    <row r="441" spans="2:20" ht="13.5" customHeight="1" thickBot="1" x14ac:dyDescent="0.35">
      <c r="B441" s="20"/>
      <c r="C441" s="13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</row>
    <row r="442" spans="2:20" ht="13.5" customHeight="1" thickBot="1" x14ac:dyDescent="0.35">
      <c r="B442" s="18"/>
      <c r="C442" s="12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</row>
    <row r="443" spans="2:20" ht="13.5" customHeight="1" thickBot="1" x14ac:dyDescent="0.35">
      <c r="B443" s="20"/>
      <c r="C443" s="13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</row>
    <row r="444" spans="2:20" ht="13.5" customHeight="1" thickBot="1" x14ac:dyDescent="0.35">
      <c r="B444" s="18"/>
      <c r="C444" s="12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</row>
    <row r="445" spans="2:20" ht="13.5" customHeight="1" thickBot="1" x14ac:dyDescent="0.35">
      <c r="B445" s="20"/>
      <c r="C445" s="13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</row>
    <row r="446" spans="2:20" ht="13.5" customHeight="1" thickBot="1" x14ac:dyDescent="0.35">
      <c r="B446" s="18"/>
      <c r="C446" s="12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</row>
    <row r="447" spans="2:20" ht="13.5" customHeight="1" thickBot="1" x14ac:dyDescent="0.35">
      <c r="B447" s="20"/>
      <c r="C447" s="13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</row>
    <row r="448" spans="2:20" ht="13.5" customHeight="1" thickBot="1" x14ac:dyDescent="0.35">
      <c r="B448" s="18"/>
      <c r="C448" s="12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</row>
    <row r="449" spans="2:20" ht="13.5" customHeight="1" thickBot="1" x14ac:dyDescent="0.35">
      <c r="B449" s="20"/>
      <c r="C449" s="13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</row>
    <row r="450" spans="2:20" ht="13.5" customHeight="1" thickBot="1" x14ac:dyDescent="0.35">
      <c r="B450" s="18"/>
      <c r="C450" s="12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</row>
    <row r="451" spans="2:20" ht="13.5" customHeight="1" thickBot="1" x14ac:dyDescent="0.35">
      <c r="B451" s="20"/>
      <c r="C451" s="13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</row>
    <row r="452" spans="2:20" ht="13.5" customHeight="1" thickBot="1" x14ac:dyDescent="0.35">
      <c r="B452" s="18"/>
      <c r="C452" s="12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</row>
    <row r="453" spans="2:20" ht="13.5" customHeight="1" thickBot="1" x14ac:dyDescent="0.35">
      <c r="B453" s="20"/>
      <c r="C453" s="13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</row>
    <row r="454" spans="2:20" ht="13.5" customHeight="1" thickBot="1" x14ac:dyDescent="0.35">
      <c r="B454" s="18"/>
      <c r="C454" s="12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</row>
    <row r="455" spans="2:20" ht="13.5" customHeight="1" thickBot="1" x14ac:dyDescent="0.35">
      <c r="B455" s="20"/>
      <c r="C455" s="13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</row>
    <row r="456" spans="2:20" ht="13.5" customHeight="1" thickBot="1" x14ac:dyDescent="0.35">
      <c r="B456" s="18"/>
      <c r="C456" s="12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</row>
    <row r="457" spans="2:20" ht="13.5" customHeight="1" thickBot="1" x14ac:dyDescent="0.35">
      <c r="B457" s="20"/>
      <c r="C457" s="13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</row>
    <row r="458" spans="2:20" ht="13.5" customHeight="1" thickBot="1" x14ac:dyDescent="0.35">
      <c r="B458" s="18"/>
      <c r="C458" s="12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</row>
    <row r="459" spans="2:20" ht="13.5" customHeight="1" thickBot="1" x14ac:dyDescent="0.35">
      <c r="B459" s="20"/>
      <c r="C459" s="13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</row>
    <row r="460" spans="2:20" ht="13.5" customHeight="1" thickBot="1" x14ac:dyDescent="0.35">
      <c r="B460" s="18"/>
      <c r="C460" s="12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</row>
    <row r="461" spans="2:20" ht="13.5" customHeight="1" thickBot="1" x14ac:dyDescent="0.35">
      <c r="B461" s="20"/>
      <c r="C461" s="13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</row>
    <row r="462" spans="2:20" ht="13.5" customHeight="1" thickBot="1" x14ac:dyDescent="0.35">
      <c r="B462" s="18"/>
      <c r="C462" s="12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</row>
    <row r="463" spans="2:20" ht="13.5" customHeight="1" thickBot="1" x14ac:dyDescent="0.35">
      <c r="B463" s="20"/>
      <c r="C463" s="13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</row>
    <row r="464" spans="2:20" ht="13.5" customHeight="1" thickBot="1" x14ac:dyDescent="0.35">
      <c r="B464" s="18"/>
      <c r="C464" s="12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</row>
    <row r="465" spans="2:20" ht="13.5" customHeight="1" thickBot="1" x14ac:dyDescent="0.35">
      <c r="B465" s="20"/>
      <c r="C465" s="13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</row>
    <row r="466" spans="2:20" ht="13.5" customHeight="1" thickBot="1" x14ac:dyDescent="0.35">
      <c r="B466" s="18"/>
      <c r="C466" s="12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</row>
    <row r="467" spans="2:20" ht="13.5" customHeight="1" thickBot="1" x14ac:dyDescent="0.35">
      <c r="B467" s="20"/>
      <c r="C467" s="13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</row>
    <row r="468" spans="2:20" ht="13.5" customHeight="1" thickBot="1" x14ac:dyDescent="0.35">
      <c r="B468" s="18"/>
      <c r="C468" s="12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</row>
    <row r="469" spans="2:20" ht="13.5" customHeight="1" thickBot="1" x14ac:dyDescent="0.35">
      <c r="B469" s="20"/>
      <c r="C469" s="13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</row>
    <row r="470" spans="2:20" ht="13.5" customHeight="1" thickBot="1" x14ac:dyDescent="0.35">
      <c r="B470" s="18"/>
      <c r="C470" s="12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</row>
    <row r="471" spans="2:20" ht="13.5" customHeight="1" thickBot="1" x14ac:dyDescent="0.35">
      <c r="B471" s="20"/>
      <c r="C471" s="13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</row>
    <row r="472" spans="2:20" ht="13.5" customHeight="1" thickBot="1" x14ac:dyDescent="0.35">
      <c r="B472" s="18"/>
      <c r="C472" s="12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</row>
    <row r="473" spans="2:20" ht="13.5" customHeight="1" thickBot="1" x14ac:dyDescent="0.35">
      <c r="B473" s="20"/>
      <c r="C473" s="13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</row>
    <row r="474" spans="2:20" ht="13.5" customHeight="1" thickBot="1" x14ac:dyDescent="0.35">
      <c r="B474" s="18"/>
      <c r="C474" s="12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</row>
    <row r="475" spans="2:20" ht="13.5" customHeight="1" thickBot="1" x14ac:dyDescent="0.35">
      <c r="B475" s="20"/>
      <c r="C475" s="13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</row>
    <row r="476" spans="2:20" ht="13.5" customHeight="1" thickBot="1" x14ac:dyDescent="0.35">
      <c r="B476" s="18"/>
      <c r="C476" s="12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</row>
    <row r="477" spans="2:20" ht="13.5" customHeight="1" thickBot="1" x14ac:dyDescent="0.35">
      <c r="B477" s="20"/>
      <c r="C477" s="13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</row>
    <row r="478" spans="2:20" ht="13.5" customHeight="1" thickBot="1" x14ac:dyDescent="0.35">
      <c r="B478" s="18"/>
      <c r="C478" s="12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</row>
    <row r="479" spans="2:20" ht="13.5" customHeight="1" thickBot="1" x14ac:dyDescent="0.35">
      <c r="B479" s="20"/>
      <c r="C479" s="13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</row>
    <row r="480" spans="2:20" ht="13.5" customHeight="1" thickBot="1" x14ac:dyDescent="0.35">
      <c r="B480" s="18"/>
      <c r="C480" s="12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</row>
    <row r="481" spans="2:20" ht="13.5" customHeight="1" thickBot="1" x14ac:dyDescent="0.35">
      <c r="B481" s="20"/>
      <c r="C481" s="13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</row>
    <row r="482" spans="2:20" ht="13.5" customHeight="1" thickBot="1" x14ac:dyDescent="0.35">
      <c r="B482" s="18"/>
      <c r="C482" s="12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</row>
    <row r="483" spans="2:20" ht="13.5" customHeight="1" thickBot="1" x14ac:dyDescent="0.35">
      <c r="B483" s="20"/>
      <c r="C483" s="13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</row>
    <row r="484" spans="2:20" ht="13.5" customHeight="1" thickBot="1" x14ac:dyDescent="0.35">
      <c r="B484" s="18"/>
      <c r="C484" s="12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</row>
    <row r="485" spans="2:20" ht="13.5" customHeight="1" thickBot="1" x14ac:dyDescent="0.35">
      <c r="B485" s="20"/>
      <c r="C485" s="13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</row>
    <row r="486" spans="2:20" ht="13.5" customHeight="1" thickBot="1" x14ac:dyDescent="0.35">
      <c r="B486" s="18"/>
      <c r="C486" s="12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</row>
    <row r="487" spans="2:20" ht="13.5" customHeight="1" thickBot="1" x14ac:dyDescent="0.35">
      <c r="B487" s="20"/>
      <c r="C487" s="13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</row>
    <row r="488" spans="2:20" ht="13.5" customHeight="1" thickBot="1" x14ac:dyDescent="0.35">
      <c r="B488" s="18"/>
      <c r="C488" s="12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</row>
    <row r="489" spans="2:20" ht="13.5" customHeight="1" thickBot="1" x14ac:dyDescent="0.35">
      <c r="B489" s="20"/>
      <c r="C489" s="13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</row>
    <row r="490" spans="2:20" ht="13.5" customHeight="1" thickBot="1" x14ac:dyDescent="0.35">
      <c r="B490" s="18"/>
      <c r="C490" s="12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</row>
    <row r="491" spans="2:20" ht="13.5" customHeight="1" thickBot="1" x14ac:dyDescent="0.35">
      <c r="B491" s="20"/>
      <c r="C491" s="13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</row>
    <row r="492" spans="2:20" ht="13.5" customHeight="1" thickBot="1" x14ac:dyDescent="0.35">
      <c r="B492" s="18"/>
      <c r="C492" s="12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</row>
    <row r="493" spans="2:20" ht="13.5" customHeight="1" thickBot="1" x14ac:dyDescent="0.35">
      <c r="B493" s="20"/>
      <c r="C493" s="13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</row>
    <row r="494" spans="2:20" ht="13.5" customHeight="1" thickBot="1" x14ac:dyDescent="0.35">
      <c r="B494" s="18"/>
      <c r="C494" s="12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</row>
    <row r="495" spans="2:20" ht="13.5" customHeight="1" thickBot="1" x14ac:dyDescent="0.35">
      <c r="B495" s="20"/>
      <c r="C495" s="13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</row>
    <row r="496" spans="2:20" ht="13.5" customHeight="1" thickBot="1" x14ac:dyDescent="0.35">
      <c r="B496" s="18"/>
      <c r="C496" s="12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</row>
    <row r="497" spans="2:20" ht="13.5" customHeight="1" thickBot="1" x14ac:dyDescent="0.35">
      <c r="B497" s="20"/>
      <c r="C497" s="13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</row>
    <row r="498" spans="2:20" ht="13.5" customHeight="1" thickBot="1" x14ac:dyDescent="0.35">
      <c r="B498" s="18"/>
      <c r="C498" s="12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</row>
    <row r="499" spans="2:20" ht="13.5" customHeight="1" thickBot="1" x14ac:dyDescent="0.35">
      <c r="B499" s="20"/>
      <c r="C499" s="13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</row>
    <row r="500" spans="2:20" ht="13.5" customHeight="1" thickBot="1" x14ac:dyDescent="0.35">
      <c r="B500" s="18"/>
      <c r="C500" s="12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</row>
    <row r="501" spans="2:20" ht="13.5" customHeight="1" thickBot="1" x14ac:dyDescent="0.35">
      <c r="B501" s="20"/>
      <c r="C501" s="13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</row>
    <row r="502" spans="2:20" ht="13.5" customHeight="1" thickBot="1" x14ac:dyDescent="0.35">
      <c r="B502" s="18"/>
      <c r="C502" s="12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</row>
    <row r="503" spans="2:20" ht="13.5" customHeight="1" thickBot="1" x14ac:dyDescent="0.35">
      <c r="B503" s="20"/>
      <c r="C503" s="13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</row>
    <row r="504" spans="2:20" ht="13.5" customHeight="1" thickBot="1" x14ac:dyDescent="0.35">
      <c r="B504" s="18"/>
      <c r="C504" s="12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</row>
    <row r="505" spans="2:20" ht="13.5" customHeight="1" thickBot="1" x14ac:dyDescent="0.35">
      <c r="B505" s="20"/>
      <c r="C505" s="13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</row>
  </sheetData>
  <autoFilter ref="A5:Y5" xr:uid="{00000000-0009-0000-0000-000002000000}">
    <sortState xmlns:xlrd2="http://schemas.microsoft.com/office/spreadsheetml/2017/richdata2" ref="A6:Y206">
      <sortCondition descending="1" ref="A5"/>
    </sortState>
  </autoFilter>
  <sortState xmlns:xlrd2="http://schemas.microsoft.com/office/spreadsheetml/2017/richdata2" ref="B7:Z102">
    <sortCondition descending="1" ref="X6"/>
  </sortState>
  <mergeCells count="4">
    <mergeCell ref="U1:X1"/>
    <mergeCell ref="H2:I2"/>
    <mergeCell ref="O2:S2"/>
    <mergeCell ref="J2:N2"/>
  </mergeCells>
  <hyperlinks>
    <hyperlink ref="B5" r:id="rId1" display="https://www.whatifsports.com/hbd/Pages/GM/AmateurDraftPlayerPool.aspx" xr:uid="{8671AB30-3A9D-4122-BFC4-D500C2BE6687}"/>
    <hyperlink ref="C5" r:id="rId2" display="https://www.whatifsports.com/hbd/Pages/GM/AmateurDraftPlayerPool.aspx" xr:uid="{690EB2C1-DBF4-41B0-BE93-F9CA511366C3}"/>
    <hyperlink ref="D5" r:id="rId3" display="https://www.whatifsports.com/hbd/Pages/GM/AmateurDraftPlayerPool.aspx" xr:uid="{22D15434-6F5E-42F2-A1C3-B1A66AD6F49C}"/>
    <hyperlink ref="E5" r:id="rId4" display="https://www.whatifsports.com/hbd/Pages/GM/AmateurDraftPlayerPool.aspx" xr:uid="{E4F95389-2B1B-4725-AC03-7ACBCCCF48CC}"/>
    <hyperlink ref="F5" r:id="rId5" display="https://www.whatifsports.com/hbd/Pages/GM/AmateurDraftPlayerPool.aspx" xr:uid="{44998545-7068-4D61-BD1D-35412B2BE0A4}"/>
    <hyperlink ref="G5" r:id="rId6" display="https://www.whatifsports.com/hbd/Pages/GM/AmateurDraftPlayerPool.aspx" xr:uid="{1AF5106A-3D4B-45FD-87A7-4AA8FA4E82BC}"/>
    <hyperlink ref="C117" r:id="rId7" tooltip="Open Prospect Profile" display="https://www.whatifsports.com/hbd/Pages/Popups/ProspectProfile.aspx?pid=13631431" xr:uid="{23F0604E-9E12-43D8-954A-B212EF7B50CC}"/>
    <hyperlink ref="C185" r:id="rId8" tooltip="Open Prospect Profile" display="https://www.whatifsports.com/hbd/Pages/Popups/ProspectProfile.aspx?pid=13631837" xr:uid="{0936B392-7158-4C63-8EE5-C665A32B522E}"/>
    <hyperlink ref="C6" r:id="rId9" tooltip="Open Prospect Profile" display="https://www.whatifsports.com/hbd/Pages/Popups/ProspectProfile.aspx?pid=13632168" xr:uid="{20276689-5FB7-44AC-A7E7-1BAB981C5DEB}"/>
    <hyperlink ref="C135" r:id="rId10" tooltip="Open Prospect Profile" display="https://www.whatifsports.com/hbd/Pages/Popups/ProspectProfile.aspx?pid=13631500" xr:uid="{161654E6-6871-4261-B3B4-1B343EAF5B43}"/>
    <hyperlink ref="C109" r:id="rId11" tooltip="Open Prospect Profile" display="https://www.whatifsports.com/hbd/Pages/Popups/ProspectProfile.aspx?pid=13631732" xr:uid="{B1322E2B-00AF-4AC0-8C16-E7A6376215B3}"/>
    <hyperlink ref="C10" r:id="rId12" tooltip="Open Prospect Profile" display="https://www.whatifsports.com/hbd/Pages/Popups/ProspectProfile.aspx?pid=13632232" xr:uid="{0B068255-95BD-4B97-B3A1-509374F2F96F}"/>
    <hyperlink ref="C7" r:id="rId13" tooltip="Open Prospect Profile" display="https://www.whatifsports.com/hbd/Pages/Popups/ProspectProfile.aspx?pid=13632221" xr:uid="{3DCC2286-AE14-45ED-B627-592E03C1023F}"/>
    <hyperlink ref="C129" r:id="rId14" tooltip="Open Prospect Profile" display="https://www.whatifsports.com/hbd/Pages/Popups/ProspectProfile.aspx?pid=13631506" xr:uid="{AA3BFA98-B36B-4B9A-9260-250CD77B35C3}"/>
    <hyperlink ref="C8" r:id="rId15" tooltip="Open Prospect Profile" display="https://www.whatifsports.com/hbd/Pages/Popups/ProspectProfile.aspx?pid=13632238" xr:uid="{388F9914-D1C8-4F6C-9C3D-83B23A3F7462}"/>
    <hyperlink ref="C132" r:id="rId16" tooltip="Open Prospect Profile" display="https://www.whatifsports.com/hbd/Pages/Popups/ProspectProfile.aspx?pid=13631433" xr:uid="{7315E745-922F-4E7A-9DB5-3DBC63BE0ADE}"/>
    <hyperlink ref="C15" r:id="rId17" tooltip="Open Prospect Profile" display="https://www.whatifsports.com/hbd/Pages/Popups/ProspectProfile.aspx?pid=13632211" xr:uid="{B3004353-82B5-4B56-AEAB-FA2DDEABD3CD}"/>
    <hyperlink ref="C201" r:id="rId18" tooltip="Open Prospect Profile" display="https://www.whatifsports.com/hbd/Pages/Popups/ProspectProfile.aspx?pid=13631772" xr:uid="{E4E160CF-BF71-4A6B-82E0-AD80447DD9DF}"/>
    <hyperlink ref="C205" r:id="rId19" tooltip="Open Prospect Profile" display="https://www.whatifsports.com/hbd/Pages/Popups/ProspectProfile.aspx?pid=13631714" xr:uid="{B4A4C755-BCD8-46FC-B038-87C604053E52}"/>
    <hyperlink ref="C13" r:id="rId20" tooltip="Open Prospect Profile" display="https://www.whatifsports.com/hbd/Pages/Popups/ProspectProfile.aspx?pid=13632205" xr:uid="{6A1C2DAF-4309-4B1B-BC2B-737F3B9A9556}"/>
    <hyperlink ref="C131" r:id="rId21" tooltip="Open Prospect Profile" display="https://www.whatifsports.com/hbd/Pages/Popups/ProspectProfile.aspx?pid=13631505" xr:uid="{78EDC6B8-E57F-4D0E-8FE0-1AC8723950C1}"/>
    <hyperlink ref="C11" r:id="rId22" tooltip="Open Prospect Profile" display="https://www.whatifsports.com/hbd/Pages/Popups/ProspectProfile.aspx?pid=13632233" xr:uid="{9DC8D4CD-9708-43C8-9D39-B170D9CE0C93}"/>
    <hyperlink ref="C12" r:id="rId23" tooltip="Open Prospect Profile" display="https://www.whatifsports.com/hbd/Pages/Popups/ProspectProfile.aspx?pid=13632194" xr:uid="{F5E838C5-90F3-4544-925C-50E31D1CF910}"/>
    <hyperlink ref="C142" r:id="rId24" tooltip="Open Prospect Profile" display="https://www.whatifsports.com/hbd/Pages/Popups/ProspectProfile.aspx?pid=13631607" xr:uid="{5ADC3AB5-4175-4AEE-8A72-332084C3A7D4}"/>
    <hyperlink ref="C19" r:id="rId25" tooltip="Open Prospect Profile" display="https://www.whatifsports.com/hbd/Pages/Popups/ProspectProfile.aspx?pid=13632223" xr:uid="{82F21128-190A-4EF0-AAAA-E54F55B83E8B}"/>
    <hyperlink ref="C9" r:id="rId26" tooltip="Open Prospect Profile" display="https://www.whatifsports.com/hbd/Pages/Popups/ProspectProfile.aspx?pid=13632216" xr:uid="{967C6A92-A2B3-4810-8CAB-BD7920B7F360}"/>
    <hyperlink ref="C122" r:id="rId27" tooltip="Open Prospect Profile" display="https://www.whatifsports.com/hbd/Pages/Popups/ProspectProfile.aspx?pid=13631677" xr:uid="{D7695F5B-2AA3-4FE0-A140-5971EA72C9C1}"/>
    <hyperlink ref="C43" r:id="rId28" tooltip="Open Prospect Profile" display="https://www.whatifsports.com/hbd/Pages/Popups/ProspectProfile.aspx?pid=13632237" xr:uid="{A4DB4A57-C3D4-4EE1-98B8-C5EE4C8DAEE9}"/>
    <hyperlink ref="C18" r:id="rId29" tooltip="Open Prospect Profile" display="https://www.whatifsports.com/hbd/Pages/Popups/ProspectProfile.aspx?pid=13632234" xr:uid="{7C7EB5B3-F819-496B-BA79-22B8B826EE62}"/>
    <hyperlink ref="C20" r:id="rId30" tooltip="Open Prospect Profile" display="https://www.whatifsports.com/hbd/Pages/Popups/ProspectProfile.aspx?pid=13632217" xr:uid="{7DCD433A-314C-4553-BE2C-2EADEB62A211}"/>
    <hyperlink ref="C23" r:id="rId31" tooltip="Open Prospect Profile" display="https://www.whatifsports.com/hbd/Pages/Popups/ProspectProfile.aspx?pid=13632171" xr:uid="{0062E203-1A86-4935-9211-4304234974C0}"/>
    <hyperlink ref="C189" r:id="rId32" tooltip="Open Prospect Profile" display="https://www.whatifsports.com/hbd/Pages/Popups/ProspectProfile.aspx?pid=13631551" xr:uid="{D513A77A-4A7B-4255-B8EB-B5A59E4FA20C}"/>
    <hyperlink ref="C159" r:id="rId33" tooltip="Open Prospect Profile" display="https://www.whatifsports.com/hbd/Pages/Popups/ProspectProfile.aspx?pid=13631767" xr:uid="{CB774E49-DCCB-4242-BD05-3B9E9127E585}"/>
    <hyperlink ref="C137" r:id="rId34" tooltip="Open Prospect Profile" display="https://www.whatifsports.com/hbd/Pages/Popups/ProspectProfile.aspx?pid=13631591" xr:uid="{AC81DF6D-55B4-44F7-8301-AC6AA373EDD9}"/>
    <hyperlink ref="C24" r:id="rId35" tooltip="Open Prospect Profile" display="https://www.whatifsports.com/hbd/Pages/Popups/ProspectProfile.aspx?pid=13632212" xr:uid="{A98D5A96-1E17-48A8-B991-6AD2B9A0B068}"/>
    <hyperlink ref="C114" r:id="rId36" tooltip="Open Prospect Profile" display="https://www.whatifsports.com/hbd/Pages/Popups/ProspectProfile.aspx?pid=13631672" xr:uid="{A2A15977-3995-42EA-BB23-BBCA4F93C73F}"/>
    <hyperlink ref="C147" r:id="rId37" tooltip="Open Prospect Profile" display="https://www.whatifsports.com/hbd/Pages/Popups/ProspectProfile.aspx?pid=13631617" xr:uid="{7567D051-94BC-4730-8F1C-D83C7EBC6478}"/>
    <hyperlink ref="C150" r:id="rId38" tooltip="Open Prospect Profile" display="https://www.whatifsports.com/hbd/Pages/Popups/ProspectProfile.aspx?pid=13631507" xr:uid="{87EB5F59-D057-4F89-8F13-BDA80558BBC6}"/>
    <hyperlink ref="C14" r:id="rId39" tooltip="Open Prospect Profile" display="https://www.whatifsports.com/hbd/Pages/Popups/ProspectProfile.aspx?pid=13632207" xr:uid="{2E0250D4-1446-4586-8D74-22BFD472351F}"/>
    <hyperlink ref="C153" r:id="rId40" tooltip="Open Prospect Profile" display="https://www.whatifsports.com/hbd/Pages/Popups/ProspectProfile.aspx?pid=13631605" xr:uid="{F3367305-0966-47AF-AF20-28E1063D3177}"/>
    <hyperlink ref="C28" r:id="rId41" tooltip="Open Prospect Profile" display="https://www.whatifsports.com/hbd/Pages/Popups/ProspectProfile.aspx?pid=13632229" xr:uid="{52EB670A-CA27-46CE-A6A6-7C4363AAD8B9}"/>
    <hyperlink ref="C111" r:id="rId42" tooltip="Open Prospect Profile" display="https://www.whatifsports.com/hbd/Pages/Popups/ProspectProfile.aspx?pid=13631678" xr:uid="{0E6E9F77-2BE6-4739-81DA-867EBE6B569F}"/>
    <hyperlink ref="C48" r:id="rId43" tooltip="Open Prospect Profile" display="https://www.whatifsports.com/hbd/Pages/Popups/ProspectProfile.aspx?pid=13632197" xr:uid="{9E0E8AEC-16F3-4140-96C1-82D3341611D3}"/>
    <hyperlink ref="C17" r:id="rId44" tooltip="Open Prospect Profile" display="https://www.whatifsports.com/hbd/Pages/Popups/ProspectProfile.aspx?pid=13632178" xr:uid="{5BBFFAB6-D3D1-4380-A0D7-1A8930EA712B}"/>
    <hyperlink ref="C136" r:id="rId45" tooltip="Open Prospect Profile" display="https://www.whatifsports.com/hbd/Pages/Popups/ProspectProfile.aspx?pid=13631839" xr:uid="{8A23AF23-3B4E-4A93-8C13-03A1697F41BF}"/>
    <hyperlink ref="C152" r:id="rId46" tooltip="Open Prospect Profile" display="https://www.whatifsports.com/hbd/Pages/Popups/ProspectProfile.aspx?pid=13631730" xr:uid="{69F95BF9-9FC1-40F0-921F-02DDBC7F897E}"/>
    <hyperlink ref="C16" r:id="rId47" tooltip="Open Prospect Profile" display="https://www.whatifsports.com/hbd/Pages/Popups/ProspectProfile.aspx?pid=13632199" xr:uid="{87B402CA-B1FF-4379-B19A-D65A8B1040BA}"/>
    <hyperlink ref="C148" r:id="rId48" tooltip="Open Prospect Profile" display="https://www.whatifsports.com/hbd/Pages/Popups/ProspectProfile.aspx?pid=13631833" xr:uid="{5D1CA7D6-4058-4DA3-A7B0-2CE43A3884E9}"/>
    <hyperlink ref="C183" r:id="rId49" tooltip="Open Prospect Profile" display="https://www.whatifsports.com/hbd/Pages/Popups/ProspectProfile.aspx?pid=13631673" xr:uid="{5C640C07-DC56-4A5C-9E76-7B5E6A0ECC11}"/>
    <hyperlink ref="C151" r:id="rId50" tooltip="Open Prospect Profile" display="https://www.whatifsports.com/hbd/Pages/Popups/ProspectProfile.aspx?pid=13631454" xr:uid="{4DCD9DC5-0ACC-42A2-8573-D80E70D2752D}"/>
    <hyperlink ref="C35" r:id="rId51" tooltip="Open Prospect Profile" display="https://www.whatifsports.com/hbd/Pages/Popups/ProspectProfile.aspx?pid=13632172" xr:uid="{191EB215-3EB1-484B-AAD6-AF416383845E}"/>
    <hyperlink ref="C47" r:id="rId52" tooltip="Open Prospect Profile" display="https://www.whatifsports.com/hbd/Pages/Popups/ProspectProfile.aspx?pid=13632087" xr:uid="{010290AF-802B-41AF-9D54-4702AA76D7ED}"/>
    <hyperlink ref="C118" r:id="rId53" tooltip="Open Prospect Profile" display="https://www.whatifsports.com/hbd/Pages/Popups/ProspectProfile.aspx?pid=13631674" xr:uid="{0B8FA85C-8D36-469D-9BE4-E1A76CA2C0B5}"/>
    <hyperlink ref="C173" r:id="rId54" tooltip="Open Prospect Profile" display="https://www.whatifsports.com/hbd/Pages/Popups/ProspectProfile.aspx?pid=13631497" xr:uid="{0BFD27E8-9DC1-45B1-A558-2B1CB1B41797}"/>
    <hyperlink ref="C162" r:id="rId55" tooltip="Open Prospect Profile" display="https://www.whatifsports.com/hbd/Pages/Popups/ProspectProfile.aspx?pid=13631429" xr:uid="{EA87845A-143A-46B4-B6A9-CFC661F86132}"/>
    <hyperlink ref="C56" r:id="rId56" tooltip="Open Prospect Profile" display="https://www.whatifsports.com/hbd/Pages/Popups/ProspectProfile.aspx?pid=13632208" xr:uid="{939297F3-4C48-409C-9693-1491F38FE540}"/>
    <hyperlink ref="C25" r:id="rId57" tooltip="Open Prospect Profile" display="https://www.whatifsports.com/hbd/Pages/Popups/ProspectProfile.aspx?pid=13632206" xr:uid="{1D8DC0EA-01B6-42C9-A2A3-083D43E613BA}"/>
    <hyperlink ref="C32" r:id="rId58" tooltip="Open Prospect Profile" display="https://www.whatifsports.com/hbd/Pages/Popups/ProspectProfile.aspx?pid=13632169" xr:uid="{8E18156E-3571-4BC7-8FFC-6DDC2928F542}"/>
    <hyperlink ref="C41" r:id="rId59" tooltip="Open Prospect Profile" display="https://www.whatifsports.com/hbd/Pages/Popups/ProspectProfile.aspx?pid=13632143" xr:uid="{AF006904-3701-4BFF-B7EA-3FF80BC78554}"/>
    <hyperlink ref="C29" r:id="rId60" tooltip="Open Prospect Profile" display="https://www.whatifsports.com/hbd/Pages/Popups/ProspectProfile.aspx?pid=13631900" xr:uid="{98AD1B1A-2285-4FD0-BA4D-7C7E12E4BCBD}"/>
    <hyperlink ref="C165" r:id="rId61" tooltip="Open Prospect Profile" display="https://www.whatifsports.com/hbd/Pages/Popups/ProspectProfile.aspx?pid=13631768" xr:uid="{E5E269FE-FA4A-487C-969D-1FE32933162F}"/>
    <hyperlink ref="C186" r:id="rId62" tooltip="Open Prospect Profile" display="https://www.whatifsports.com/hbd/Pages/Popups/ProspectProfile.aspx?pid=13631725" xr:uid="{A665FD44-784C-49A6-A487-7589C87E52E9}"/>
    <hyperlink ref="C141" r:id="rId63" tooltip="Open Prospect Profile" display="https://www.whatifsports.com/hbd/Pages/Popups/ProspectProfile.aspx?pid=13631701" xr:uid="{EB0CCB67-E20A-4FFF-AAFF-A70ECB3FF0E2}"/>
    <hyperlink ref="C197" r:id="rId64" tooltip="Open Prospect Profile" display="https://www.whatifsports.com/hbd/Pages/Popups/ProspectProfile.aspx?pid=13631541" xr:uid="{CA7F9523-1152-4955-A9DA-ECE341ADB1E2}"/>
    <hyperlink ref="C125" r:id="rId65" tooltip="Open Prospect Profile" display="https://www.whatifsports.com/hbd/Pages/Popups/ProspectProfile.aspx?pid=13631579" xr:uid="{5277913C-78B2-4A87-8B8E-CAEF6DD0E57F}"/>
    <hyperlink ref="C134" r:id="rId66" tooltip="Open Prospect Profile" display="https://www.whatifsports.com/hbd/Pages/Popups/ProspectProfile.aspx?pid=13631552" xr:uid="{9D384C49-13E3-490D-BE83-349D2C09BFA9}"/>
    <hyperlink ref="C30" r:id="rId67" tooltip="Open Prospect Profile" display="https://www.whatifsports.com/hbd/Pages/Popups/ProspectProfile.aspx?pid=13632224" xr:uid="{565BDB0F-E1E6-4728-A749-9DB09E212054}"/>
    <hyperlink ref="C31" r:id="rId68" tooltip="Open Prospect Profile" display="https://www.whatifsports.com/hbd/Pages/Popups/ProspectProfile.aspx?pid=13632130" xr:uid="{A2E40FA2-7751-4D9E-A111-A331259AB119}"/>
    <hyperlink ref="C44" r:id="rId69" tooltip="Open Prospect Profile" display="https://www.whatifsports.com/hbd/Pages/Popups/ProspectProfile.aspx?pid=13632035" xr:uid="{982D230F-2F79-4757-84E4-5944E6F21113}"/>
    <hyperlink ref="C27" r:id="rId70" tooltip="Open Prospect Profile" display="https://www.whatifsports.com/hbd/Pages/Popups/ProspectProfile.aspx?pid=13632066" xr:uid="{4E0FF809-5251-49D3-A9DC-23C7720C39FA}"/>
    <hyperlink ref="C49" r:id="rId71" tooltip="Open Prospect Profile" display="https://www.whatifsports.com/hbd/Pages/Popups/ProspectProfile.aspx?pid=13632052" xr:uid="{1DA9CC78-78CC-4BD9-8BED-E083E99C252C}"/>
    <hyperlink ref="C144" r:id="rId72" tooltip="Open Prospect Profile" display="https://www.whatifsports.com/hbd/Pages/Popups/ProspectProfile.aspx?pid=13631838" xr:uid="{BEA4230F-639F-4ADD-8055-3D571B9FFD51}"/>
    <hyperlink ref="C182" r:id="rId73" tooltip="Open Prospect Profile" display="https://www.whatifsports.com/hbd/Pages/Popups/ProspectProfile.aspx?pid=13631718" xr:uid="{23CF9975-935F-4DDC-BBFC-4741AF2D8C70}"/>
    <hyperlink ref="C115" r:id="rId74" tooltip="Open Prospect Profile" display="https://www.whatifsports.com/hbd/Pages/Popups/ProspectProfile.aspx?pid=13631585" xr:uid="{AF124EEF-B680-4302-BE25-5C6D195C072E}"/>
    <hyperlink ref="C119" r:id="rId75" tooltip="Open Prospect Profile" display="https://www.whatifsports.com/hbd/Pages/Popups/ProspectProfile.aspx?pid=13631409" xr:uid="{8107FAC1-BD04-47DD-B15D-A06DCC523A55}"/>
    <hyperlink ref="C57" r:id="rId76" tooltip="Open Prospect Profile" display="https://www.whatifsports.com/hbd/Pages/Popups/ProspectProfile.aspx?pid=13631852" xr:uid="{E344FE5D-4A27-49A7-9BA4-78A219A3C733}"/>
    <hyperlink ref="C155" r:id="rId77" tooltip="Open Prospect Profile" display="https://www.whatifsports.com/hbd/Pages/Popups/ProspectProfile.aspx?pid=13631699" xr:uid="{CA3F254A-482A-4FA9-8085-ACB6262625F6}"/>
    <hyperlink ref="C168" r:id="rId78" tooltip="Open Prospect Profile" display="https://www.whatifsports.com/hbd/Pages/Popups/ProspectProfile.aspx?pid=13631667" xr:uid="{93AEF131-3BD7-4047-9577-44A555B75454}"/>
    <hyperlink ref="C199" r:id="rId79" tooltip="Open Prospect Profile" display="https://www.whatifsports.com/hbd/Pages/Popups/ProspectProfile.aspx?pid=13631484" xr:uid="{53DB93F0-742E-42A2-8E28-A67134F1108C}"/>
    <hyperlink ref="C62" r:id="rId80" tooltip="Open Prospect Profile" display="https://www.whatifsports.com/hbd/Pages/Popups/ProspectProfile.aspx?pid=13632075" xr:uid="{01053D6E-015D-4DBD-950D-3E055591C4E0}"/>
    <hyperlink ref="C51" r:id="rId81" tooltip="Open Prospect Profile" display="https://www.whatifsports.com/hbd/Pages/Popups/ProspectProfile.aspx?pid=13631977" xr:uid="{4871083B-4DBC-4A81-A97D-6796E8DD59C0}"/>
    <hyperlink ref="C52" r:id="rId82" tooltip="Open Prospect Profile" display="https://www.whatifsports.com/hbd/Pages/Popups/ProspectProfile.aspx?pid=13631972" xr:uid="{1F901C5D-E57E-479E-B6CB-B890F3022E82}"/>
    <hyperlink ref="C33" r:id="rId83" tooltip="Open Prospect Profile" display="https://www.whatifsports.com/hbd/Pages/Popups/ProspectProfile.aspx?pid=13631946" xr:uid="{D7B56AEA-C188-4490-820F-765BE73BB664}"/>
    <hyperlink ref="C194" r:id="rId84" tooltip="Open Prospect Profile" display="https://www.whatifsports.com/hbd/Pages/Popups/ProspectProfile.aspx?pid=13631478" xr:uid="{2CBA9672-2D81-44DC-B1FB-AFA0B8A90D93}"/>
    <hyperlink ref="C53" r:id="rId85" tooltip="Open Prospect Profile" display="https://www.whatifsports.com/hbd/Pages/Popups/ProspectProfile.aspx?pid=13632160" xr:uid="{DA28B4B4-136B-4FD5-954F-D9C284E6F879}"/>
    <hyperlink ref="C145" r:id="rId86" tooltip="Open Prospect Profile" display="https://www.whatifsports.com/hbd/Pages/Popups/ProspectProfile.aspx?pid=13631835" xr:uid="{6EB9ADAC-A1B3-4BDF-BFD7-E1FA51C4A092}"/>
    <hyperlink ref="C113" r:id="rId87" tooltip="Open Prospect Profile" display="https://www.whatifsports.com/hbd/Pages/Popups/ProspectProfile.aspx?pid=13631567" xr:uid="{AAD4A1FD-A29E-4C63-9AB5-D13D2464643B}"/>
    <hyperlink ref="C34" r:id="rId88" tooltip="Open Prospect Profile" display="https://www.whatifsports.com/hbd/Pages/Popups/ProspectProfile.aspx?pid=13632099" xr:uid="{19F6B729-2E1F-4781-AC06-FB5D0E787865}"/>
    <hyperlink ref="C50" r:id="rId89" tooltip="Open Prospect Profile" display="https://www.whatifsports.com/hbd/Pages/Popups/ProspectProfile.aspx?pid=13632030" xr:uid="{FDAE1697-FBEC-4D94-A920-8000DC62B124}"/>
    <hyperlink ref="C195" r:id="rId90" tooltip="Open Prospect Profile" display="https://www.whatifsports.com/hbd/Pages/Popups/ProspectProfile.aspx?pid=13631731" xr:uid="{9177F4D9-BAE3-4079-8CAE-0703623F77DC}"/>
    <hyperlink ref="C143" r:id="rId91" tooltip="Open Prospect Profile" display="https://www.whatifsports.com/hbd/Pages/Popups/ProspectProfile.aspx?pid=13631583" xr:uid="{4B0964DB-E72E-4DBA-B772-C4A9A771DE64}"/>
    <hyperlink ref="C191" r:id="rId92" tooltip="Open Prospect Profile" display="https://www.whatifsports.com/hbd/Pages/Popups/ProspectProfile.aspx?pid=13631482" xr:uid="{13AF8F5C-D384-4580-9236-F2AA2877A539}"/>
    <hyperlink ref="C37" r:id="rId93" tooltip="Open Prospect Profile" display="https://www.whatifsports.com/hbd/Pages/Popups/ProspectProfile.aspx?pid=13632183" xr:uid="{9A346DC6-4B77-413C-8198-11348F2C52AC}"/>
    <hyperlink ref="C54" r:id="rId94" tooltip="Open Prospect Profile" display="https://www.whatifsports.com/hbd/Pages/Popups/ProspectProfile.aspx?pid=13632084" xr:uid="{FE45830D-C7DD-4933-BB1F-187EA29D22C3}"/>
    <hyperlink ref="C81" r:id="rId95" tooltip="Open Prospect Profile" display="https://www.whatifsports.com/hbd/Pages/Popups/ProspectProfile.aspx?pid=13632022" xr:uid="{4924004C-FC74-4658-A2F1-AAF082D959CC}"/>
    <hyperlink ref="C127" r:id="rId96" tooltip="Open Prospect Profile" display="https://www.whatifsports.com/hbd/Pages/Popups/ProspectProfile.aspx?pid=13631584" xr:uid="{FF6E948D-B919-4AB9-8D6E-FF8618A9B19B}"/>
    <hyperlink ref="C206" r:id="rId97" tooltip="Open Prospect Profile" display="https://www.whatifsports.com/hbd/Pages/Popups/ProspectProfile.aspx?pid=13631555" xr:uid="{B9DF8A1D-BD47-4985-97DF-56A2ED67C9A1}"/>
    <hyperlink ref="C40" r:id="rId98" tooltip="Open Prospect Profile" display="https://www.whatifsports.com/hbd/Pages/Popups/ProspectProfile.aspx?pid=13632123" xr:uid="{1174D28A-7A5C-4500-9789-3968A9EFA124}"/>
    <hyperlink ref="C75" r:id="rId99" tooltip="Open Prospect Profile" display="https://www.whatifsports.com/hbd/Pages/Popups/ProspectProfile.aspx?pid=13632104" xr:uid="{66428328-D811-4DAC-B376-A0C5BD0D3B35}"/>
    <hyperlink ref="C138" r:id="rId100" tooltip="Open Prospect Profile" display="https://www.whatifsports.com/hbd/Pages/Popups/ProspectProfile.aspx?pid=13631459" xr:uid="{58AC9BA7-DE68-4AD7-B657-7E3625F1ECEC}"/>
    <hyperlink ref="C60" r:id="rId101" tooltip="Open Prospect Profile" display="https://www.whatifsports.com/hbd/Pages/Popups/ProspectProfile.aspx?pid=13632001" xr:uid="{C1B05AF0-63C8-4238-87C6-E24493EE2A90}"/>
    <hyperlink ref="C76" r:id="rId102" tooltip="Open Prospect Profile" display="https://www.whatifsports.com/hbd/Pages/Popups/ProspectProfile.aspx?pid=13631874" xr:uid="{CF6276E9-FA68-46E6-BC86-5C340E2460DF}"/>
    <hyperlink ref="C187" r:id="rId103" tooltip="Open Prospect Profile" display="https://www.whatifsports.com/hbd/Pages/Popups/ProspectProfile.aspx?pid=13631457" xr:uid="{8049C911-8EF7-4478-A459-AFCE4B7B57F5}"/>
    <hyperlink ref="C126" r:id="rId104" tooltip="Open Prospect Profile" display="https://www.whatifsports.com/hbd/Pages/Popups/ProspectProfile.aspx?pid=13631635" xr:uid="{7C431C21-7B58-4592-AF0A-5A554557D931}"/>
    <hyperlink ref="C64" r:id="rId105" tooltip="Open Prospect Profile" display="https://www.whatifsports.com/hbd/Pages/Popups/ProspectProfile.aspx?pid=13632213" xr:uid="{FC53480B-37A4-4EB1-A148-26AEF54D8919}"/>
    <hyperlink ref="C83" r:id="rId106" tooltip="Open Prospect Profile" display="https://www.whatifsports.com/hbd/Pages/Popups/ProspectProfile.aspx?pid=13632131" xr:uid="{27FD0105-9AEB-4D05-B75B-3ECB38CA0942}"/>
    <hyperlink ref="C66" r:id="rId107" tooltip="Open Prospect Profile" display="https://www.whatifsports.com/hbd/Pages/Popups/ProspectProfile.aspx?pid=13631989" xr:uid="{F2338EBD-A6EF-4500-BD8E-EEB681AE92B9}"/>
    <hyperlink ref="C61" r:id="rId108" tooltip="Open Prospect Profile" display="https://www.whatifsports.com/hbd/Pages/Popups/ProspectProfile.aspx?pid=13631916" xr:uid="{6ED8A8C6-D87A-4ADC-85D3-E49323AED0EB}"/>
    <hyperlink ref="C139" r:id="rId109" tooltip="Open Prospect Profile" display="https://www.whatifsports.com/hbd/Pages/Popups/ProspectProfile.aspx?pid=13631716" xr:uid="{B41095D5-4DF0-4904-ADD9-5CA431FD1C87}"/>
    <hyperlink ref="C172" r:id="rId110" tooltip="Open Prospect Profile" display="https://www.whatifsports.com/hbd/Pages/Popups/ProspectProfile.aspx?pid=13631471" xr:uid="{BD9A8696-75AC-4A73-A27C-E284FF43F758}"/>
    <hyperlink ref="C202" r:id="rId111" tooltip="Open Prospect Profile" display="https://www.whatifsports.com/hbd/Pages/Popups/ProspectProfile.aspx?pid=13631437" xr:uid="{A7B947BB-36C2-4799-BFA6-16B2C5875DCA}"/>
    <hyperlink ref="C85" r:id="rId112" tooltip="Open Prospect Profile" display="https://www.whatifsports.com/hbd/Pages/Popups/ProspectProfile.aspx?pid=13632236" xr:uid="{FB1EAC65-848B-4B3C-8D93-E501CD532878}"/>
    <hyperlink ref="C59" r:id="rId113" tooltip="Open Prospect Profile" display="https://www.whatifsports.com/hbd/Pages/Popups/ProspectProfile.aspx?pid=13631904" xr:uid="{7FADF783-A38B-4D66-B7BD-1D608E43B3AF}"/>
    <hyperlink ref="C181" r:id="rId114" tooltip="Open Prospect Profile" display="https://www.whatifsports.com/hbd/Pages/Popups/ProspectProfile.aspx?pid=13631468" xr:uid="{BA416CD6-8175-4652-AF79-34976CFA54B0}"/>
    <hyperlink ref="C190" r:id="rId115" tooltip="Open Prospect Profile" display="https://www.whatifsports.com/hbd/Pages/Popups/ProspectProfile.aspx?pid=13631453" xr:uid="{8779B4A5-1365-4962-9D44-E95C35EFEB7A}"/>
    <hyperlink ref="C69" r:id="rId116" tooltip="Open Prospect Profile" display="https://www.whatifsports.com/hbd/Pages/Popups/ProspectProfile.aspx?pid=13632204" xr:uid="{599DB09A-762B-41B3-82F4-5FB80F643B7A}"/>
    <hyperlink ref="C39" r:id="rId117" tooltip="Open Prospect Profile" display="https://www.whatifsports.com/hbd/Pages/Popups/ProspectProfile.aspx?pid=13632186" xr:uid="{A8B6EDB1-E40C-4566-ADFA-A36894795A7F}"/>
    <hyperlink ref="C45" r:id="rId118" tooltip="Open Prospect Profile" display="https://www.whatifsports.com/hbd/Pages/Popups/ProspectProfile.aspx?pid=13632149" xr:uid="{6C6C4049-B0F5-4802-BBF5-3D12CD272983}"/>
    <hyperlink ref="C71" r:id="rId119" tooltip="Open Prospect Profile" display="https://www.whatifsports.com/hbd/Pages/Popups/ProspectProfile.aspx?pid=13632019" xr:uid="{9CE3843F-B824-43E0-A173-CEE0C506402E}"/>
    <hyperlink ref="C161" r:id="rId120" tooltip="Open Prospect Profile" display="https://www.whatifsports.com/hbd/Pages/Popups/ProspectProfile.aspx?pid=13631836" xr:uid="{F2C87FC7-D9C3-4399-9F28-6D1D0A986502}"/>
    <hyperlink ref="C21" r:id="rId121" tooltip="Open Prospect Profile" display="https://www.whatifsports.com/hbd/Pages/Popups/ProspectProfile.aspx?pid=13632201" xr:uid="{85568B5C-0844-4BFD-AEEB-D518CFECD9ED}"/>
    <hyperlink ref="C88" r:id="rId122" tooltip="Open Prospect Profile" display="https://www.whatifsports.com/hbd/Pages/Popups/ProspectProfile.aspx?pid=13632085" xr:uid="{401F2205-1D7B-41C1-A8E0-397145D05774}"/>
    <hyperlink ref="C80" r:id="rId123" tooltip="Open Prospect Profile" display="https://www.whatifsports.com/hbd/Pages/Popups/ProspectProfile.aspx?pid=13632055" xr:uid="{3F06DF6F-5802-4FBB-AC44-4A77CDCBEC10}"/>
    <hyperlink ref="C38" r:id="rId124" tooltip="Open Prospect Profile" display="https://www.whatifsports.com/hbd/Pages/Popups/ProspectProfile.aspx?pid=13632036" xr:uid="{D5C93AF5-4BBE-4E97-B1FA-EF82CC0B47A9}"/>
    <hyperlink ref="C79" r:id="rId125" tooltip="Open Prospect Profile" display="https://www.whatifsports.com/hbd/Pages/Popups/ProspectProfile.aspx?pid=13631991" xr:uid="{7F0DCCBD-93B9-4D3E-8A0E-F5B6B2792169}"/>
    <hyperlink ref="C174" r:id="rId126" tooltip="Open Prospect Profile" display="https://www.whatifsports.com/hbd/Pages/Popups/ProspectProfile.aspx?pid=13631414" xr:uid="{7CAE34AE-7FF7-4E1B-9158-B18605CC9F26}"/>
    <hyperlink ref="C70" r:id="rId127" tooltip="Open Prospect Profile" display="https://www.whatifsports.com/hbd/Pages/Popups/ProspectProfile.aspx?pid=13632107" xr:uid="{19009626-6BDD-4D15-B472-DED5A7F51E99}"/>
    <hyperlink ref="C26" r:id="rId128" tooltip="Open Prospect Profile" display="https://www.whatifsports.com/hbd/Pages/Popups/ProspectProfile.aspx?pid=13632071" xr:uid="{B8D8FA32-D6E9-400F-A7B2-BE1A670436EF}"/>
    <hyperlink ref="C65" r:id="rId129" tooltip="Open Prospect Profile" display="https://www.whatifsports.com/hbd/Pages/Popups/ProspectProfile.aspx?pid=13631926" xr:uid="{FC27818E-D913-45E8-A4EA-C8FEB8740629}"/>
    <hyperlink ref="C124" r:id="rId130" tooltip="Open Prospect Profile" display="https://www.whatifsports.com/hbd/Pages/Popups/ProspectProfile.aspx?pid=13631698" xr:uid="{9F8636CE-5400-4DE8-B78A-ED59B2AD609A}"/>
    <hyperlink ref="C22" r:id="rId131" tooltip="Open Prospect Profile" display="https://www.whatifsports.com/hbd/Pages/Popups/ProspectProfile.aspx?pid=13632164" xr:uid="{B87F8669-D8C2-4611-85F0-89913D07C594}"/>
    <hyperlink ref="C63" r:id="rId132" tooltip="Open Prospect Profile" display="https://www.whatifsports.com/hbd/Pages/Popups/ProspectProfile.aspx?pid=13632113" xr:uid="{BEFCF324-DFDC-4484-A569-090AD974F5BC}"/>
    <hyperlink ref="C77" r:id="rId133" tooltip="Open Prospect Profile" display="https://www.whatifsports.com/hbd/Pages/Popups/ProspectProfile.aspx?pid=13632063" xr:uid="{F41CBB24-6AEC-4ACD-BBCE-CDFB96DD4C00}"/>
    <hyperlink ref="C176" r:id="rId134" tooltip="Open Prospect Profile" display="https://www.whatifsports.com/hbd/Pages/Popups/ProspectProfile.aspx?pid=13631650" xr:uid="{CCE3991C-BED6-4FBE-97FB-E79F472F5E67}"/>
    <hyperlink ref="C128" r:id="rId135" tooltip="Open Prospect Profile" display="https://www.whatifsports.com/hbd/Pages/Popups/ProspectProfile.aspx?pid=13631565" xr:uid="{1C966812-938A-40E9-954D-2AB1938C76AE}"/>
    <hyperlink ref="C120" r:id="rId136" tooltip="Open Prospect Profile" display="https://www.whatifsports.com/hbd/Pages/Popups/ProspectProfile.aspx?pid=13631391" xr:uid="{A8DAB72E-7898-4560-984F-470C902EA73C}"/>
    <hyperlink ref="C36" r:id="rId137" tooltip="Open Prospect Profile" display="https://www.whatifsports.com/hbd/Pages/Popups/ProspectProfile.aspx?pid=13632116" xr:uid="{41CFF2D1-B837-47C4-ACED-AF152E389882}"/>
    <hyperlink ref="C78" r:id="rId138" tooltip="Open Prospect Profile" display="https://www.whatifsports.com/hbd/Pages/Popups/ProspectProfile.aspx?pid=13632058" xr:uid="{F0CF0D60-AF8D-4D09-A672-7DDECC5A3494}"/>
    <hyperlink ref="C86" r:id="rId139" tooltip="Open Prospect Profile" display="https://www.whatifsports.com/hbd/Pages/Popups/ProspectProfile.aspx?pid=13632048" xr:uid="{07EE8E18-19E2-45D7-A61C-AA1AD58DAC2C}"/>
    <hyperlink ref="C74" r:id="rId140" tooltip="Open Prospect Profile" display="https://www.whatifsports.com/hbd/Pages/Popups/ProspectProfile.aspx?pid=13631952" xr:uid="{DF82B6DF-0A64-4B0F-A065-88BCDD39479C}"/>
    <hyperlink ref="C68" r:id="rId141" tooltip="Open Prospect Profile" display="https://www.whatifsports.com/hbd/Pages/Popups/ProspectProfile.aspx?pid=13631896" xr:uid="{AACC7384-1ECC-4EB8-A0AD-F349F6E97696}"/>
    <hyperlink ref="C91" r:id="rId142" tooltip="Open Prospect Profile" display="https://www.whatifsports.com/hbd/Pages/Popups/ProspectProfile.aspx?pid=13631877" xr:uid="{2F70AEE8-FB34-44C5-AA52-A580B48A8FBE}"/>
    <hyperlink ref="C90" r:id="rId143" tooltip="Open Prospect Profile" display="https://www.whatifsports.com/hbd/Pages/Popups/ProspectProfile.aspx?pid=13631875" xr:uid="{9FB668AF-FD14-4003-8273-A9AB5212B46A}"/>
    <hyperlink ref="C180" r:id="rId144" tooltip="Open Prospect Profile" display="https://www.whatifsports.com/hbd/Pages/Popups/ProspectProfile.aspx?pid=13631796" xr:uid="{726188ED-5C4B-4A67-B447-C86D7DA4295D}"/>
    <hyperlink ref="C196" r:id="rId145" tooltip="Open Prospect Profile" display="https://www.whatifsports.com/hbd/Pages/Popups/ProspectProfile.aspx?pid=13631713" xr:uid="{822BC978-3D24-4FFA-9B92-7F07E1807BA8}"/>
    <hyperlink ref="C169" r:id="rId146" tooltip="Open Prospect Profile" display="https://www.whatifsports.com/hbd/Pages/Popups/ProspectProfile.aspx?pid=13631560" xr:uid="{E0B3E441-4911-43CA-A299-F7A48DD4FBC8}"/>
    <hyperlink ref="C156" r:id="rId147" tooltip="Open Prospect Profile" display="https://www.whatifsports.com/hbd/Pages/Popups/ProspectProfile.aspx?pid=13631518" xr:uid="{1630BFA4-34F1-4F2B-BBB1-85F3B5185543}"/>
    <hyperlink ref="C203" r:id="rId148" tooltip="Open Prospect Profile" display="https://www.whatifsports.com/hbd/Pages/Popups/ProspectProfile.aspx?pid=13631435" xr:uid="{17BB2FFE-5555-4C5F-BECE-F263034FF29B}"/>
    <hyperlink ref="C167" r:id="rId149" tooltip="Open Prospect Profile" display="https://www.whatifsports.com/hbd/Pages/Popups/ProspectProfile.aspx?pid=13631389" xr:uid="{27E80EEE-B423-4D2B-B003-68E4BD9D837A}"/>
    <hyperlink ref="C67" r:id="rId150" tooltip="Open Prospect Profile" display="https://www.whatifsports.com/hbd/Pages/Popups/ProspectProfile.aspx?pid=13632013" xr:uid="{78563506-CBB6-454B-BEE3-A8D19283E098}"/>
    <hyperlink ref="C46" r:id="rId151" tooltip="Open Prospect Profile" display="https://www.whatifsports.com/hbd/Pages/Popups/ProspectProfile.aspx?pid=13632078" xr:uid="{34597F47-43BF-41FF-A320-2EA58F580BF2}"/>
    <hyperlink ref="C89" r:id="rId152" tooltip="Open Prospect Profile" display="https://www.whatifsports.com/hbd/Pages/Popups/ProspectProfile.aspx?pid=13631910" xr:uid="{E17FE830-59D5-4D0F-A656-331C6BB265D8}"/>
    <hyperlink ref="C112" r:id="rId153" tooltip="Open Prospect Profile" display="https://www.whatifsports.com/hbd/Pages/Popups/ProspectProfile.aspx?pid=13631448" xr:uid="{ABA8D7EC-E9A2-451A-B855-8B5F498AA2AD}"/>
    <hyperlink ref="C175" r:id="rId154" tooltip="Open Prospect Profile" display="https://www.whatifsports.com/hbd/Pages/Popups/ProspectProfile.aspx?pid=13631442" xr:uid="{6EB95B95-E3EB-40EA-8F98-1CA9CB28E9CA}"/>
    <hyperlink ref="C96" r:id="rId155" tooltip="Open Prospect Profile" display="https://www.whatifsports.com/hbd/Pages/Popups/ProspectProfile.aspx?pid=13632156" xr:uid="{44ADE2AE-A3AC-4F98-8B33-B7A0F6D56F92}"/>
    <hyperlink ref="C154" r:id="rId156" tooltip="Open Prospect Profile" display="https://www.whatifsports.com/hbd/Pages/Popups/ProspectProfile.aspx?pid=13631642" xr:uid="{C9849C8D-536D-48A7-AA4A-C02C368806CB}"/>
    <hyperlink ref="C84" r:id="rId157" tooltip="Open Prospect Profile" display="https://www.whatifsports.com/hbd/Pages/Popups/ProspectProfile.aspx?pid=13631885" xr:uid="{97F99984-0FFB-4A59-B41F-F2585DFEA4AB}"/>
    <hyperlink ref="C87" r:id="rId158" tooltip="Open Prospect Profile" display="https://www.whatifsports.com/hbd/Pages/Popups/ProspectProfile.aspx?pid=13632029" xr:uid="{04D5A430-6DA6-4EE8-890F-EA185BAD10FF}"/>
    <hyperlink ref="C93" r:id="rId159" tooltip="Open Prospect Profile" display="https://www.whatifsports.com/hbd/Pages/Popups/ProspectProfile.aspx?pid=13631996" xr:uid="{7C57788B-039E-43CF-A13B-F95E2BC812B5}"/>
    <hyperlink ref="C102" r:id="rId160" tooltip="Open Prospect Profile" display="https://www.whatifsports.com/hbd/Pages/Popups/ProspectProfile.aspx?pid=13631863" xr:uid="{AD721A7D-B53F-48B5-AB1F-DD6D2BB5B859}"/>
    <hyperlink ref="C163" r:id="rId161" tooltip="Open Prospect Profile" display="https://www.whatifsports.com/hbd/Pages/Popups/ProspectProfile.aspx?pid=13631680" xr:uid="{3D8F2F97-8322-43C7-A7CE-292A55247B21}"/>
    <hyperlink ref="C160" r:id="rId162" tooltip="Open Prospect Profile" display="https://www.whatifsports.com/hbd/Pages/Popups/ProspectProfile.aspx?pid=13631630" xr:uid="{924F2A39-78A1-4497-946E-3BE1FA119B6A}"/>
    <hyperlink ref="C72" r:id="rId163" tooltip="Open Prospect Profile" display="https://www.whatifsports.com/hbd/Pages/Popups/ProspectProfile.aspx?pid=13632115" xr:uid="{A8B9141F-3E65-4C35-9FF8-81540B32D356}"/>
    <hyperlink ref="C73" r:id="rId164" tooltip="Open Prospect Profile" display="https://www.whatifsports.com/hbd/Pages/Popups/ProspectProfile.aspx?pid=13631994" xr:uid="{474AFDE9-B5F3-48C0-A7E9-3037F4F4FB56}"/>
    <hyperlink ref="C58" r:id="rId165" tooltip="Open Prospect Profile" display="https://www.whatifsports.com/hbd/Pages/Popups/ProspectProfile.aspx?pid=13631871" xr:uid="{D0629548-FE5F-4622-8765-4D261D4B16BC}"/>
    <hyperlink ref="C177" r:id="rId166" tooltip="Open Prospect Profile" display="https://www.whatifsports.com/hbd/Pages/Popups/ProspectProfile.aspx?pid=13631808" xr:uid="{C83DCB9E-9453-4128-AB79-B21C8A2EE5C0}"/>
    <hyperlink ref="C146" r:id="rId167" tooltip="Open Prospect Profile" display="https://www.whatifsports.com/hbd/Pages/Popups/ProspectProfile.aspx?pid=13631601" xr:uid="{D4F573D7-F260-49C9-91F1-750F017A766E}"/>
    <hyperlink ref="C92" r:id="rId168" tooltip="Open Prospect Profile" display="https://www.whatifsports.com/hbd/Pages/Popups/ProspectProfile.aspx?pid=13631968" xr:uid="{D3EDE59B-C69F-4F8C-96CB-FF43AB5F11E3}"/>
    <hyperlink ref="C101" r:id="rId169" tooltip="Open Prospect Profile" display="https://www.whatifsports.com/hbd/Pages/Popups/ProspectProfile.aspx?pid=13631945" xr:uid="{94FFB766-D671-4421-84B6-483E858685B5}"/>
    <hyperlink ref="C94" r:id="rId170" tooltip="Open Prospect Profile" display="https://www.whatifsports.com/hbd/Pages/Popups/ProspectProfile.aspx?pid=13631914" xr:uid="{F5A94408-4FFD-43AB-ACC2-8D4D0E05F037}"/>
    <hyperlink ref="C82" r:id="rId171" tooltip="Open Prospect Profile" display="https://www.whatifsports.com/hbd/Pages/Popups/ProspectProfile.aspx?pid=13632023" xr:uid="{4A4ECD0C-11D9-4F92-A6AB-C755F953104A}"/>
    <hyperlink ref="C104" r:id="rId172" tooltip="Open Prospect Profile" display="https://www.whatifsports.com/hbd/Pages/Popups/ProspectProfile.aspx?pid=13631860" xr:uid="{FAE2488F-CCDF-4D2F-8881-13C444B1F0CB}"/>
    <hyperlink ref="C108" r:id="rId173" tooltip="Open Prospect Profile" display="https://www.whatifsports.com/hbd/Pages/Popups/ProspectProfile.aspx?pid=13631526" xr:uid="{53F2FE97-D9D5-4CBE-B940-0DCF5975D898}"/>
    <hyperlink ref="C55" r:id="rId174" tooltip="Open Prospect Profile" display="https://www.whatifsports.com/hbd/Pages/Popups/ProspectProfile.aspx?pid=13631876" xr:uid="{F28956F4-C503-49FC-A44E-9DDE8697B9D6}"/>
    <hyperlink ref="C99" r:id="rId175" tooltip="Open Prospect Profile" display="https://www.whatifsports.com/hbd/Pages/Popups/ProspectProfile.aspx?pid=13631849" xr:uid="{A5F5A2FB-A19F-4EE7-8530-EC9037184F77}"/>
    <hyperlink ref="C107" r:id="rId176" tooltip="Open Prospect Profile" display="https://www.whatifsports.com/hbd/Pages/Popups/ProspectProfile.aspx?pid=13631576" xr:uid="{C1BFF4F3-6379-49B5-B602-FA3BC28E39E0}"/>
    <hyperlink ref="C103" r:id="rId177" tooltip="Open Prospect Profile" display="https://www.whatifsports.com/hbd/Pages/Popups/ProspectProfile.aspx?pid=13631939" xr:uid="{58CE1A96-3872-4D5D-B83A-1896054E3F62}"/>
    <hyperlink ref="C105" r:id="rId178" tooltip="Open Prospect Profile" display="https://www.whatifsports.com/hbd/Pages/Popups/ProspectProfile.aspx?pid=13631853" xr:uid="{B49157C8-F4D9-42D5-B8D2-31AE19947FAD}"/>
    <hyperlink ref="C100" r:id="rId179" tooltip="Open Prospect Profile" display="https://www.whatifsports.com/hbd/Pages/Popups/ProspectProfile.aspx?pid=13631913" xr:uid="{DECDDFD4-9E7D-4F59-AFA8-8E5BE6BEECF0}"/>
    <hyperlink ref="C106" r:id="rId180" tooltip="Open Prospect Profile" display="https://www.whatifsports.com/hbd/Pages/Popups/ProspectProfile.aspx?pid=13631908" xr:uid="{B414D9AA-BC05-493A-82FC-3ED70E9A1721}"/>
    <hyperlink ref="C193" r:id="rId181" tooltip="Open Prospect Profile" display="https://www.whatifsports.com/hbd/Pages/Popups/ProspectProfile.aspx?pid=13631703" xr:uid="{7F390F2D-8E76-4D22-BE4A-2A616255212B}"/>
    <hyperlink ref="C184" r:id="rId182" tooltip="Open Prospect Profile" display="https://www.whatifsports.com/hbd/Pages/Popups/ProspectProfile.aspx?pid=13631610" xr:uid="{B9DC7E28-CC2D-46A1-B659-D9C4EF9A7EDD}"/>
    <hyperlink ref="C98" r:id="rId183" tooltip="Open Prospect Profile" display="https://www.whatifsports.com/hbd/Pages/Popups/ProspectProfile.aspx?pid=13631963" xr:uid="{3D6DF093-6139-4D39-ADBF-046F404A6DF9}"/>
    <hyperlink ref="C95" r:id="rId184" tooltip="Open Prospect Profile" display="https://www.whatifsports.com/hbd/Pages/Popups/ProspectProfile.aspx?pid=13631882" xr:uid="{1F4E63A3-6CAB-4328-8F3D-C8C9B3B99592}"/>
    <hyperlink ref="C42" r:id="rId185" tooltip="Open Prospect Profile" display="https://www.whatifsports.com/hbd/Pages/Popups/ProspectProfile.aspx?pid=13632154" xr:uid="{2BF241DC-2527-462F-9705-6004BFA9B13A}"/>
    <hyperlink ref="C110" r:id="rId186" tooltip="Open Prospect Profile" display="https://www.whatifsports.com/hbd/Pages/Popups/ProspectProfile.aspx?pid=13631636" xr:uid="{AD3D28AA-9047-4769-B6BB-8D8C92F21084}"/>
    <hyperlink ref="C97" r:id="rId187" tooltip="Open Prospect Profile" display="https://www.whatifsports.com/hbd/Pages/Popups/ProspectProfile.aspx?pid=13631844" xr:uid="{977A2888-88CF-48CC-A9C8-BACCDA932994}"/>
    <hyperlink ref="C188" r:id="rId188" tooltip="Open Prospect Profile" display="https://www.whatifsports.com/hbd/Pages/Popups/ProspectProfile.aspx?pid=13631775" xr:uid="{824C5B70-C31A-45D1-B290-8DD150CDD8B0}"/>
    <hyperlink ref="C200" r:id="rId189" tooltip="Open Prospect Profile" display="https://www.whatifsports.com/hbd/Pages/Popups/ProspectProfile.aspx?pid=13631823" xr:uid="{620E735E-7492-4EA6-B161-B3FC877861D0}"/>
    <hyperlink ref="C158" r:id="rId190" tooltip="Open Prospect Profile" display="https://www.whatifsports.com/hbd/Pages/Popups/ProspectProfile.aspx?pid=13631818" xr:uid="{C630329E-741A-4DEE-A88E-FD4053246A7C}"/>
    <hyperlink ref="C123" r:id="rId191" tooltip="Open Prospect Profile" display="https://www.whatifsports.com/hbd/Pages/Popups/ProspectProfile.aspx?pid=13631814" xr:uid="{AF48BCFD-AB80-4571-BC28-31081E2B5834}"/>
    <hyperlink ref="C198" r:id="rId192" tooltip="Open Prospect Profile" display="https://www.whatifsports.com/hbd/Pages/Popups/ProspectProfile.aspx?pid=13631803" xr:uid="{07C54A4D-53D3-43AD-931F-4FD06CE23A41}"/>
    <hyperlink ref="C149" r:id="rId193" tooltip="Open Prospect Profile" display="https://www.whatifsports.com/hbd/Pages/Popups/ProspectProfile.aspx?pid=13631792" xr:uid="{CA826EC3-033A-4D0B-8D6E-1B8C18ED7F9B}"/>
    <hyperlink ref="C121" r:id="rId194" tooltip="Open Prospect Profile" display="https://www.whatifsports.com/hbd/Pages/Popups/ProspectProfile.aspx?pid=13631791" xr:uid="{A6E4D198-8DC5-4234-AC4F-C929DBA1DEEF}"/>
    <hyperlink ref="C130" r:id="rId195" tooltip="Open Prospect Profile" display="https://www.whatifsports.com/hbd/Pages/Popups/ProspectProfile.aspx?pid=13631789" xr:uid="{AD4417F7-52A6-4ADD-A1ED-F5760980C1A2}"/>
    <hyperlink ref="C170" r:id="rId196" tooltip="Open Prospect Profile" display="https://www.whatifsports.com/hbd/Pages/Popups/ProspectProfile.aspx?pid=13631763" xr:uid="{080CB318-9566-41F7-A3E5-6D042DABDADC}"/>
    <hyperlink ref="C178" r:id="rId197" tooltip="Open Prospect Profile" display="https://www.whatifsports.com/hbd/Pages/Popups/ProspectProfile.aspx?pid=13631762" xr:uid="{588EBFF2-4055-4E94-BB07-84DFC9A21163}"/>
    <hyperlink ref="C157" r:id="rId198" tooltip="Open Prospect Profile" display="https://www.whatifsports.com/hbd/Pages/Popups/ProspectProfile.aspx?pid=13631752" xr:uid="{32F9652D-F5C4-436D-9B7F-73C5B7597748}"/>
    <hyperlink ref="C166" r:id="rId199" tooltip="Open Prospect Profile" display="https://www.whatifsports.com/hbd/Pages/Popups/ProspectProfile.aspx?pid=13631802" xr:uid="{F32BC534-AC4D-4FA6-AAB0-D0D28C833C56}"/>
    <hyperlink ref="C171" r:id="rId200" tooltip="Open Prospect Profile" display="https://www.whatifsports.com/hbd/Pages/Popups/ProspectProfile.aspx?pid=13631780" xr:uid="{A00E3B97-AC16-4F5F-93D3-555480B52A47}"/>
    <hyperlink ref="C204" r:id="rId201" tooltip="Open Prospect Profile" display="https://www.whatifsports.com/hbd/Pages/Popups/ProspectProfile.aspx?pid=13631742" xr:uid="{F10ADA6B-96EE-4520-BFDB-333C4151D626}"/>
    <hyperlink ref="C179" r:id="rId202" tooltip="Open Prospect Profile" display="https://www.whatifsports.com/hbd/Pages/Popups/ProspectProfile.aspx?pid=13631648" xr:uid="{2463D005-5354-4082-A346-8F6AA2DCBC8A}"/>
    <hyperlink ref="C164" r:id="rId203" tooltip="Open Prospect Profile" display="https://www.whatifsports.com/hbd/Pages/Popups/ProspectProfile.aspx?pid=13631532" xr:uid="{D8D12E55-D47C-45CD-B651-2132E8E5356D}"/>
    <hyperlink ref="C133" r:id="rId204" tooltip="Open Prospect Profile" display="https://www.whatifsports.com/hbd/Pages/Popups/ProspectProfile.aspx?pid=13631531" xr:uid="{579254B4-E16E-43A3-B0EE-46CAE4BFE44C}"/>
    <hyperlink ref="C192" r:id="rId205" tooltip="Open Prospect Profile" display="https://www.whatifsports.com/hbd/Pages/Popups/ProspectProfile.aspx?pid=13631516" xr:uid="{9853BBD5-BB2D-4323-AAC6-0C5BB00832D7}"/>
    <hyperlink ref="C116" r:id="rId206" tooltip="Open Prospect Profile" display="https://www.whatifsports.com/hbd/Pages/Popups/ProspectProfile.aspx?pid=13631514" xr:uid="{C4630CD8-B5B2-44D1-8F58-992A7CF423BB}"/>
    <hyperlink ref="C140" r:id="rId207" tooltip="Open Prospect Profile" display="https://www.whatifsports.com/hbd/Pages/Popups/ProspectProfile.aspx?pid=13631406" xr:uid="{A72F3DED-088D-444F-9563-06867F93D1C9}"/>
  </hyperlinks>
  <pageMargins left="0.7" right="0.7" top="0.75" bottom="0.75" header="0.3" footer="0.3"/>
  <pageSetup orientation="portrait" r:id="rId208"/>
  <drawing r:id="rId20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workbookViewId="0">
      <selection activeCell="F12" sqref="F12"/>
    </sheetView>
  </sheetViews>
  <sheetFormatPr defaultRowHeight="14.4" x14ac:dyDescent="0.3"/>
  <cols>
    <col min="4" max="4" width="12" bestFit="1" customWidth="1"/>
    <col min="7" max="7" width="9.6640625" bestFit="1" customWidth="1"/>
  </cols>
  <sheetData>
    <row r="1" spans="1:11" x14ac:dyDescent="0.3">
      <c r="A1">
        <v>0</v>
      </c>
      <c r="B1">
        <v>0</v>
      </c>
      <c r="C1">
        <f>1/LOG10(111-A1)</f>
        <v>0.48892033696958109</v>
      </c>
      <c r="D1">
        <f>MAX(0, (((LOG(A1+0.000001, 100)*2.6-0.92))))</f>
        <v>0</v>
      </c>
      <c r="E1" t="e">
        <f ca="1">Hitters!AF2(-2*10^-6)*A1^3+0.00032*A1^2-0.0021*A1</f>
        <v>#REF!</v>
      </c>
      <c r="G1">
        <f>-2*10^-6*A1^3</f>
        <v>0</v>
      </c>
      <c r="H1">
        <f>0.00032*A1^2</f>
        <v>0</v>
      </c>
      <c r="I1">
        <f>-0.0021*A1</f>
        <v>0</v>
      </c>
      <c r="J1">
        <v>0</v>
      </c>
      <c r="K1">
        <f>SUM(G1:J1)</f>
        <v>0</v>
      </c>
    </row>
    <row r="2" spans="1:11" x14ac:dyDescent="0.3">
      <c r="A2">
        <v>10</v>
      </c>
      <c r="B2">
        <v>0.05</v>
      </c>
      <c r="C2">
        <f t="shared" ref="C2:C14" si="0">1/LOG10(111-A2)</f>
        <v>0.49892198580547809</v>
      </c>
      <c r="D2">
        <f t="shared" ref="D2:D14" si="1">MAX(0, (((LOG(A2+0.000001, 100)*2.6-0.92))))</f>
        <v>0.38000005645827961</v>
      </c>
      <c r="E2">
        <f t="shared" ref="E2:E14" si="2">(-2*10^-6)*A2^3+0.00032*A2^2-0.0021*A2</f>
        <v>9.0000000000000011E-3</v>
      </c>
      <c r="G2">
        <f t="shared" ref="G2:G14" si="3">-2*10^-6*A2^3</f>
        <v>-2E-3</v>
      </c>
      <c r="H2">
        <f t="shared" ref="H2:H14" si="4">0.00032*A2^2</f>
        <v>3.2000000000000001E-2</v>
      </c>
      <c r="I2">
        <f t="shared" ref="I2:I14" si="5">-0.0021*A2</f>
        <v>-2.0999999999999998E-2</v>
      </c>
      <c r="J2">
        <v>0</v>
      </c>
      <c r="K2">
        <f t="shared" ref="K2:K14" si="6">SUM(G2:J2)</f>
        <v>9.0000000000000011E-3</v>
      </c>
    </row>
    <row r="3" spans="1:11" x14ac:dyDescent="0.3">
      <c r="A3">
        <v>20</v>
      </c>
      <c r="B3">
        <v>0.1</v>
      </c>
      <c r="C3">
        <f t="shared" si="0"/>
        <v>0.51045373717968723</v>
      </c>
      <c r="D3">
        <f t="shared" si="1"/>
        <v>0.7713390225923159</v>
      </c>
      <c r="E3">
        <f t="shared" si="2"/>
        <v>7.0000000000000007E-2</v>
      </c>
      <c r="G3">
        <f t="shared" si="3"/>
        <v>-1.6E-2</v>
      </c>
      <c r="H3">
        <f t="shared" si="4"/>
        <v>0.128</v>
      </c>
      <c r="I3">
        <f t="shared" si="5"/>
        <v>-4.1999999999999996E-2</v>
      </c>
      <c r="J3">
        <v>0</v>
      </c>
      <c r="K3">
        <f t="shared" si="6"/>
        <v>7.0000000000000007E-2</v>
      </c>
    </row>
    <row r="4" spans="1:11" x14ac:dyDescent="0.3">
      <c r="A4">
        <v>22</v>
      </c>
      <c r="B4">
        <v>0.11</v>
      </c>
      <c r="C4">
        <f t="shared" ref="C4:C6" si="7">1/LOG10(111-A4)</f>
        <v>0.51298098204632536</v>
      </c>
      <c r="D4">
        <f t="shared" si="1"/>
        <v>0.82514951073172316</v>
      </c>
      <c r="E4">
        <f t="shared" si="2"/>
        <v>8.7384000000000017E-2</v>
      </c>
      <c r="G4">
        <f t="shared" si="3"/>
        <v>-2.1295999999999999E-2</v>
      </c>
      <c r="H4">
        <f t="shared" si="4"/>
        <v>0.15488000000000002</v>
      </c>
      <c r="I4">
        <f t="shared" si="5"/>
        <v>-4.6199999999999998E-2</v>
      </c>
      <c r="J4">
        <v>0</v>
      </c>
      <c r="K4">
        <f t="shared" si="6"/>
        <v>8.7384000000000017E-2</v>
      </c>
    </row>
    <row r="5" spans="1:11" x14ac:dyDescent="0.3">
      <c r="A5">
        <v>24</v>
      </c>
      <c r="B5">
        <v>0.12</v>
      </c>
      <c r="C5">
        <f t="shared" si="7"/>
        <v>0.51559168523326704</v>
      </c>
      <c r="D5">
        <f t="shared" si="1"/>
        <v>0.87427463774937164</v>
      </c>
      <c r="E5">
        <f t="shared" si="2"/>
        <v>0.10627200000000001</v>
      </c>
      <c r="G5">
        <f t="shared" si="3"/>
        <v>-2.7647999999999999E-2</v>
      </c>
      <c r="H5">
        <f t="shared" si="4"/>
        <v>0.18432000000000001</v>
      </c>
      <c r="I5">
        <f t="shared" si="5"/>
        <v>-5.04E-2</v>
      </c>
      <c r="J5">
        <v>0</v>
      </c>
      <c r="K5">
        <f t="shared" si="6"/>
        <v>0.10627200000000001</v>
      </c>
    </row>
    <row r="6" spans="1:11" x14ac:dyDescent="0.3">
      <c r="A6">
        <v>26</v>
      </c>
      <c r="B6">
        <v>0.13</v>
      </c>
      <c r="C6">
        <f t="shared" si="7"/>
        <v>0.5182907592915772</v>
      </c>
      <c r="D6">
        <f t="shared" si="1"/>
        <v>0.91946537407678675</v>
      </c>
      <c r="E6">
        <f t="shared" si="2"/>
        <v>0.12656800000000001</v>
      </c>
      <c r="G6">
        <f t="shared" si="3"/>
        <v>-3.5151999999999996E-2</v>
      </c>
      <c r="H6">
        <f t="shared" si="4"/>
        <v>0.21632000000000001</v>
      </c>
      <c r="I6">
        <f t="shared" si="5"/>
        <v>-5.4599999999999996E-2</v>
      </c>
      <c r="J6">
        <v>0</v>
      </c>
      <c r="K6">
        <f t="shared" si="6"/>
        <v>0.12656800000000001</v>
      </c>
    </row>
    <row r="7" spans="1:11" x14ac:dyDescent="0.3">
      <c r="A7">
        <v>30</v>
      </c>
      <c r="B7">
        <v>0.15</v>
      </c>
      <c r="C7">
        <f t="shared" si="0"/>
        <v>0.52397581857234621</v>
      </c>
      <c r="D7">
        <f t="shared" si="1"/>
        <v>1.000257649954988</v>
      </c>
      <c r="E7">
        <f t="shared" si="2"/>
        <v>0.17100000000000004</v>
      </c>
      <c r="G7">
        <f t="shared" si="3"/>
        <v>-5.3999999999999999E-2</v>
      </c>
      <c r="H7">
        <f t="shared" si="4"/>
        <v>0.28800000000000003</v>
      </c>
      <c r="I7">
        <f t="shared" si="5"/>
        <v>-6.3E-2</v>
      </c>
      <c r="J7">
        <v>0</v>
      </c>
      <c r="K7">
        <f t="shared" si="6"/>
        <v>0.17100000000000004</v>
      </c>
    </row>
    <row r="8" spans="1:11" x14ac:dyDescent="0.3">
      <c r="A8">
        <v>40</v>
      </c>
      <c r="B8">
        <v>0.3</v>
      </c>
      <c r="C8">
        <f t="shared" si="0"/>
        <v>0.54017312099735892</v>
      </c>
      <c r="D8">
        <f t="shared" si="1"/>
        <v>1.1626780028409214</v>
      </c>
      <c r="E8">
        <f t="shared" si="2"/>
        <v>0.30000000000000004</v>
      </c>
      <c r="G8">
        <f t="shared" si="3"/>
        <v>-0.128</v>
      </c>
      <c r="H8">
        <f t="shared" si="4"/>
        <v>0.51200000000000001</v>
      </c>
      <c r="I8">
        <f t="shared" si="5"/>
        <v>-8.3999999999999991E-2</v>
      </c>
      <c r="J8">
        <v>0</v>
      </c>
      <c r="K8">
        <f t="shared" si="6"/>
        <v>0.30000000000000004</v>
      </c>
    </row>
    <row r="9" spans="1:11" x14ac:dyDescent="0.3">
      <c r="A9">
        <v>50</v>
      </c>
      <c r="B9">
        <v>0.45</v>
      </c>
      <c r="C9">
        <f t="shared" si="0"/>
        <v>0.5601205897026692</v>
      </c>
      <c r="D9">
        <f t="shared" si="1"/>
        <v>1.2886610169284807</v>
      </c>
      <c r="E9">
        <f t="shared" si="2"/>
        <v>0.44500000000000006</v>
      </c>
      <c r="G9">
        <f t="shared" si="3"/>
        <v>-0.25</v>
      </c>
      <c r="H9">
        <f t="shared" si="4"/>
        <v>0.8</v>
      </c>
      <c r="I9">
        <f t="shared" si="5"/>
        <v>-0.105</v>
      </c>
      <c r="J9">
        <v>0</v>
      </c>
      <c r="K9">
        <f t="shared" si="6"/>
        <v>0.44500000000000006</v>
      </c>
    </row>
    <row r="10" spans="1:11" x14ac:dyDescent="0.3">
      <c r="A10">
        <v>60</v>
      </c>
      <c r="B10">
        <v>0.6</v>
      </c>
      <c r="C10">
        <f t="shared" si="0"/>
        <v>0.58562746878441962</v>
      </c>
      <c r="D10">
        <f t="shared" si="1"/>
        <v>1.3915966349084505</v>
      </c>
      <c r="E10">
        <f t="shared" si="2"/>
        <v>0.59400000000000019</v>
      </c>
      <c r="G10">
        <f t="shared" si="3"/>
        <v>-0.432</v>
      </c>
      <c r="H10">
        <f t="shared" si="4"/>
        <v>1.1520000000000001</v>
      </c>
      <c r="I10">
        <f t="shared" si="5"/>
        <v>-0.126</v>
      </c>
      <c r="J10">
        <v>0</v>
      </c>
      <c r="K10">
        <f t="shared" si="6"/>
        <v>0.59400000000000019</v>
      </c>
    </row>
    <row r="11" spans="1:11" x14ac:dyDescent="0.3">
      <c r="A11">
        <v>70</v>
      </c>
      <c r="B11">
        <v>0.75</v>
      </c>
      <c r="C11">
        <f t="shared" si="0"/>
        <v>0.62004588887311562</v>
      </c>
      <c r="D11">
        <f t="shared" si="1"/>
        <v>1.4786274600840028</v>
      </c>
      <c r="E11">
        <f t="shared" si="2"/>
        <v>0.7350000000000001</v>
      </c>
      <c r="G11">
        <f t="shared" si="3"/>
        <v>-0.68599999999999994</v>
      </c>
      <c r="H11">
        <f t="shared" si="4"/>
        <v>1.5680000000000001</v>
      </c>
      <c r="I11">
        <f t="shared" si="5"/>
        <v>-0.14699999999999999</v>
      </c>
      <c r="J11">
        <v>0</v>
      </c>
      <c r="K11">
        <f t="shared" si="6"/>
        <v>0.7350000000000001</v>
      </c>
    </row>
    <row r="12" spans="1:11" x14ac:dyDescent="0.3">
      <c r="A12">
        <v>80</v>
      </c>
      <c r="B12">
        <v>0.85</v>
      </c>
      <c r="C12">
        <f t="shared" si="0"/>
        <v>0.67052815164442925</v>
      </c>
      <c r="D12">
        <f t="shared" si="1"/>
        <v>1.5540169901468119</v>
      </c>
      <c r="E12">
        <f t="shared" si="2"/>
        <v>0.85600000000000009</v>
      </c>
      <c r="G12">
        <f t="shared" si="3"/>
        <v>-1.024</v>
      </c>
      <c r="H12">
        <f t="shared" si="4"/>
        <v>2.048</v>
      </c>
      <c r="I12">
        <f t="shared" si="5"/>
        <v>-0.16799999999999998</v>
      </c>
      <c r="J12">
        <v>0</v>
      </c>
      <c r="K12">
        <f t="shared" si="6"/>
        <v>0.85600000000000009</v>
      </c>
    </row>
    <row r="13" spans="1:11" x14ac:dyDescent="0.3">
      <c r="A13">
        <v>90</v>
      </c>
      <c r="B13">
        <v>0.95</v>
      </c>
      <c r="C13">
        <f t="shared" si="0"/>
        <v>0.75630419551640105</v>
      </c>
      <c r="D13">
        <f t="shared" si="1"/>
        <v>1.6205152685442648</v>
      </c>
      <c r="E13">
        <f t="shared" si="2"/>
        <v>0.94500000000000006</v>
      </c>
      <c r="G13">
        <f t="shared" si="3"/>
        <v>-1.458</v>
      </c>
      <c r="H13">
        <f t="shared" si="4"/>
        <v>2.5920000000000001</v>
      </c>
      <c r="I13">
        <f t="shared" si="5"/>
        <v>-0.189</v>
      </c>
      <c r="J13">
        <v>0</v>
      </c>
      <c r="K13">
        <f t="shared" si="6"/>
        <v>0.94500000000000006</v>
      </c>
    </row>
    <row r="14" spans="1:11" x14ac:dyDescent="0.3">
      <c r="A14">
        <v>100</v>
      </c>
      <c r="B14">
        <v>1</v>
      </c>
      <c r="C14">
        <f t="shared" si="0"/>
        <v>0.96025256778912738</v>
      </c>
      <c r="D14">
        <f t="shared" si="1"/>
        <v>1.6800000056458275</v>
      </c>
      <c r="E14">
        <f t="shared" si="2"/>
        <v>0.99000000000000021</v>
      </c>
      <c r="G14">
        <f t="shared" si="3"/>
        <v>-2</v>
      </c>
      <c r="H14">
        <f t="shared" si="4"/>
        <v>3.2</v>
      </c>
      <c r="I14">
        <f t="shared" si="5"/>
        <v>-0.21</v>
      </c>
      <c r="J14">
        <v>0</v>
      </c>
      <c r="K14">
        <f t="shared" si="6"/>
        <v>0.99000000000000021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Hitters</vt:lpstr>
      <vt:lpstr>Pitchers</vt:lpstr>
      <vt:lpstr>Algorithm</vt:lpstr>
    </vt:vector>
  </TitlesOfParts>
  <Company>Booz Allen Hamilton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Josh Stafford</cp:lastModifiedBy>
  <dcterms:created xsi:type="dcterms:W3CDTF">2010-05-20T16:36:20Z</dcterms:created>
  <dcterms:modified xsi:type="dcterms:W3CDTF">2026-03-15T13:19:29Z</dcterms:modified>
</cp:coreProperties>
</file>