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ocuments\Hardball Dynasty\"/>
    </mc:Choice>
  </mc:AlternateContent>
  <xr:revisionPtr revIDLastSave="0" documentId="13_ncr:1_{7F539934-F661-4AA3-BA5B-9B5C3F8FDDAC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Hitters" sheetId="1" r:id="rId1"/>
    <sheet name="Pitchers" sheetId="3" r:id="rId2"/>
    <sheet name="Algorithm" sheetId="2" r:id="rId3"/>
  </sheets>
  <definedNames>
    <definedName name="_xlnm._FilterDatabase" localSheetId="0" hidden="1">Hitters!$A$6:$AM$6</definedName>
    <definedName name="_xlnm._FilterDatabase" localSheetId="1" hidden="1">Pitchers!$A$5:$Y$5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1" i="3" l="1"/>
  <c r="A178" i="3"/>
  <c r="A170" i="3"/>
  <c r="A130" i="3"/>
  <c r="A123" i="3"/>
  <c r="A158" i="3"/>
  <c r="A200" i="3"/>
  <c r="A188" i="3"/>
  <c r="A110" i="3"/>
  <c r="A42" i="3"/>
  <c r="A55" i="3"/>
  <c r="A92" i="3"/>
  <c r="A146" i="3"/>
  <c r="A177" i="3"/>
  <c r="A58" i="3"/>
  <c r="A72" i="3"/>
  <c r="A160" i="3"/>
  <c r="A163" i="3"/>
  <c r="A46" i="3"/>
  <c r="A67" i="3"/>
  <c r="A196" i="3"/>
  <c r="A180" i="3"/>
  <c r="A90" i="3"/>
  <c r="A74" i="3"/>
  <c r="A86" i="3"/>
  <c r="A78" i="3"/>
  <c r="A36" i="3"/>
  <c r="A26" i="3"/>
  <c r="A70" i="3"/>
  <c r="A88" i="3"/>
  <c r="A21" i="3"/>
  <c r="A161" i="3"/>
  <c r="A69" i="3"/>
  <c r="A190" i="3"/>
  <c r="A181" i="3"/>
  <c r="A59" i="3"/>
  <c r="A126" i="3"/>
  <c r="Y140" i="3"/>
  <c r="W140" i="3"/>
  <c r="A140" i="3" s="1"/>
  <c r="V140" i="3"/>
  <c r="U140" i="3"/>
  <c r="Y116" i="3"/>
  <c r="W116" i="3"/>
  <c r="A116" i="3" s="1"/>
  <c r="V116" i="3"/>
  <c r="U116" i="3"/>
  <c r="X116" i="3" s="1"/>
  <c r="Y192" i="3"/>
  <c r="W192" i="3"/>
  <c r="A192" i="3" s="1"/>
  <c r="V192" i="3"/>
  <c r="U192" i="3"/>
  <c r="Y133" i="3"/>
  <c r="W133" i="3"/>
  <c r="A133" i="3" s="1"/>
  <c r="V133" i="3"/>
  <c r="U133" i="3"/>
  <c r="Y164" i="3"/>
  <c r="W164" i="3"/>
  <c r="A164" i="3" s="1"/>
  <c r="V164" i="3"/>
  <c r="U164" i="3"/>
  <c r="Y179" i="3"/>
  <c r="W179" i="3"/>
  <c r="A179" i="3" s="1"/>
  <c r="V179" i="3"/>
  <c r="U179" i="3"/>
  <c r="X179" i="3" s="1"/>
  <c r="Y204" i="3"/>
  <c r="W204" i="3"/>
  <c r="A204" i="3" s="1"/>
  <c r="V204" i="3"/>
  <c r="U204" i="3"/>
  <c r="Y171" i="3"/>
  <c r="W171" i="3"/>
  <c r="V171" i="3"/>
  <c r="U171" i="3"/>
  <c r="X171" i="3" s="1"/>
  <c r="Y166" i="3"/>
  <c r="W166" i="3"/>
  <c r="A166" i="3" s="1"/>
  <c r="V166" i="3"/>
  <c r="U166" i="3"/>
  <c r="X166" i="3" s="1"/>
  <c r="Y157" i="3"/>
  <c r="W157" i="3"/>
  <c r="A157" i="3" s="1"/>
  <c r="V157" i="3"/>
  <c r="U157" i="3"/>
  <c r="Y178" i="3"/>
  <c r="W178" i="3"/>
  <c r="V178" i="3"/>
  <c r="U178" i="3"/>
  <c r="X178" i="3" s="1"/>
  <c r="Y170" i="3"/>
  <c r="W170" i="3"/>
  <c r="V170" i="3"/>
  <c r="U170" i="3"/>
  <c r="Y130" i="3"/>
  <c r="W130" i="3"/>
  <c r="V130" i="3"/>
  <c r="U130" i="3"/>
  <c r="X130" i="3" s="1"/>
  <c r="Y121" i="3"/>
  <c r="W121" i="3"/>
  <c r="A121" i="3" s="1"/>
  <c r="V121" i="3"/>
  <c r="U121" i="3"/>
  <c r="X121" i="3" s="1"/>
  <c r="Y149" i="3"/>
  <c r="W149" i="3"/>
  <c r="V149" i="3"/>
  <c r="U149" i="3"/>
  <c r="Y198" i="3"/>
  <c r="W198" i="3"/>
  <c r="A198" i="3" s="1"/>
  <c r="V198" i="3"/>
  <c r="U198" i="3"/>
  <c r="Y123" i="3"/>
  <c r="W123" i="3"/>
  <c r="V123" i="3"/>
  <c r="U123" i="3"/>
  <c r="X123" i="3" s="1"/>
  <c r="Y158" i="3"/>
  <c r="W158" i="3"/>
  <c r="V158" i="3"/>
  <c r="U158" i="3"/>
  <c r="X158" i="3" s="1"/>
  <c r="Y200" i="3"/>
  <c r="W200" i="3"/>
  <c r="V200" i="3"/>
  <c r="U200" i="3"/>
  <c r="X200" i="3" s="1"/>
  <c r="Y188" i="3"/>
  <c r="W188" i="3"/>
  <c r="V188" i="3"/>
  <c r="U188" i="3"/>
  <c r="X188" i="3" s="1"/>
  <c r="Y97" i="3"/>
  <c r="W97" i="3"/>
  <c r="A97" i="3" s="1"/>
  <c r="V97" i="3"/>
  <c r="U97" i="3"/>
  <c r="X97" i="3" s="1"/>
  <c r="Y110" i="3"/>
  <c r="W110" i="3"/>
  <c r="V110" i="3"/>
  <c r="U110" i="3"/>
  <c r="Y42" i="3"/>
  <c r="W42" i="3"/>
  <c r="V42" i="3"/>
  <c r="U42" i="3"/>
  <c r="X42" i="3" s="1"/>
  <c r="Y95" i="3"/>
  <c r="W95" i="3"/>
  <c r="A95" i="3" s="1"/>
  <c r="V95" i="3"/>
  <c r="X95" i="3" s="1"/>
  <c r="U95" i="3"/>
  <c r="Y98" i="3"/>
  <c r="W98" i="3"/>
  <c r="A98" i="3" s="1"/>
  <c r="V98" i="3"/>
  <c r="U98" i="3"/>
  <c r="Y184" i="3"/>
  <c r="W184" i="3"/>
  <c r="A184" i="3" s="1"/>
  <c r="V184" i="3"/>
  <c r="U184" i="3"/>
  <c r="X184" i="3" s="1"/>
  <c r="Y193" i="3"/>
  <c r="W193" i="3"/>
  <c r="A193" i="3" s="1"/>
  <c r="V193" i="3"/>
  <c r="U193" i="3"/>
  <c r="Y106" i="3"/>
  <c r="W106" i="3"/>
  <c r="A106" i="3" s="1"/>
  <c r="V106" i="3"/>
  <c r="U106" i="3"/>
  <c r="Y100" i="3"/>
  <c r="W100" i="3"/>
  <c r="V100" i="3"/>
  <c r="U100" i="3"/>
  <c r="Y105" i="3"/>
  <c r="W105" i="3"/>
  <c r="A105" i="3" s="1"/>
  <c r="V105" i="3"/>
  <c r="U105" i="3"/>
  <c r="Y103" i="3"/>
  <c r="W103" i="3"/>
  <c r="A103" i="3" s="1"/>
  <c r="V103" i="3"/>
  <c r="U103" i="3"/>
  <c r="X103" i="3" s="1"/>
  <c r="Y107" i="3"/>
  <c r="W107" i="3"/>
  <c r="A107" i="3" s="1"/>
  <c r="V107" i="3"/>
  <c r="U107" i="3"/>
  <c r="X107" i="3" s="1"/>
  <c r="Y99" i="3"/>
  <c r="W99" i="3"/>
  <c r="A99" i="3" s="1"/>
  <c r="V99" i="3"/>
  <c r="U99" i="3"/>
  <c r="X99" i="3" s="1"/>
  <c r="Y55" i="3"/>
  <c r="W55" i="3"/>
  <c r="V55" i="3"/>
  <c r="U55" i="3"/>
  <c r="X55" i="3" s="1"/>
  <c r="Y108" i="3"/>
  <c r="W108" i="3"/>
  <c r="V108" i="3"/>
  <c r="U108" i="3"/>
  <c r="X108" i="3" s="1"/>
  <c r="Y104" i="3"/>
  <c r="W104" i="3"/>
  <c r="X104" i="3" s="1"/>
  <c r="V104" i="3"/>
  <c r="U104" i="3"/>
  <c r="Y82" i="3"/>
  <c r="W82" i="3"/>
  <c r="A82" i="3" s="1"/>
  <c r="V82" i="3"/>
  <c r="U82" i="3"/>
  <c r="X82" i="3" s="1"/>
  <c r="Y94" i="3"/>
  <c r="W94" i="3"/>
  <c r="A94" i="3" s="1"/>
  <c r="V94" i="3"/>
  <c r="U94" i="3"/>
  <c r="X94" i="3" s="1"/>
  <c r="Y101" i="3"/>
  <c r="W101" i="3"/>
  <c r="X101" i="3" s="1"/>
  <c r="V101" i="3"/>
  <c r="U101" i="3"/>
  <c r="Y92" i="3"/>
  <c r="W92" i="3"/>
  <c r="V92" i="3"/>
  <c r="U92" i="3"/>
  <c r="X92" i="3" s="1"/>
  <c r="Y146" i="3"/>
  <c r="W146" i="3"/>
  <c r="V146" i="3"/>
  <c r="U146" i="3"/>
  <c r="X146" i="3" s="1"/>
  <c r="Y177" i="3"/>
  <c r="W177" i="3"/>
  <c r="V177" i="3"/>
  <c r="U177" i="3"/>
  <c r="X177" i="3" s="1"/>
  <c r="Y58" i="3"/>
  <c r="W58" i="3"/>
  <c r="V58" i="3"/>
  <c r="U58" i="3"/>
  <c r="X58" i="3" s="1"/>
  <c r="Y73" i="3"/>
  <c r="W73" i="3"/>
  <c r="A73" i="3" s="1"/>
  <c r="V73" i="3"/>
  <c r="U73" i="3"/>
  <c r="X73" i="3" s="1"/>
  <c r="Y72" i="3"/>
  <c r="W72" i="3"/>
  <c r="V72" i="3"/>
  <c r="U72" i="3"/>
  <c r="Y160" i="3"/>
  <c r="W160" i="3"/>
  <c r="V160" i="3"/>
  <c r="U160" i="3"/>
  <c r="X160" i="3" s="1"/>
  <c r="Y163" i="3"/>
  <c r="W163" i="3"/>
  <c r="V163" i="3"/>
  <c r="U163" i="3"/>
  <c r="Y102" i="3"/>
  <c r="W102" i="3"/>
  <c r="A102" i="3" s="1"/>
  <c r="V102" i="3"/>
  <c r="U102" i="3"/>
  <c r="Y93" i="3"/>
  <c r="W93" i="3"/>
  <c r="A93" i="3" s="1"/>
  <c r="V93" i="3"/>
  <c r="U93" i="3"/>
  <c r="X93" i="3" s="1"/>
  <c r="Y87" i="3"/>
  <c r="W87" i="3"/>
  <c r="A87" i="3" s="1"/>
  <c r="V87" i="3"/>
  <c r="U87" i="3"/>
  <c r="X87" i="3" s="1"/>
  <c r="Y84" i="3"/>
  <c r="W84" i="3"/>
  <c r="A84" i="3" s="1"/>
  <c r="V84" i="3"/>
  <c r="X84" i="3" s="1"/>
  <c r="U84" i="3"/>
  <c r="Y154" i="3"/>
  <c r="W154" i="3"/>
  <c r="A154" i="3" s="1"/>
  <c r="V154" i="3"/>
  <c r="U154" i="3"/>
  <c r="X154" i="3" s="1"/>
  <c r="Y96" i="3"/>
  <c r="W96" i="3"/>
  <c r="A96" i="3" s="1"/>
  <c r="V96" i="3"/>
  <c r="U96" i="3"/>
  <c r="Y175" i="3"/>
  <c r="W175" i="3"/>
  <c r="A175" i="3" s="1"/>
  <c r="V175" i="3"/>
  <c r="U175" i="3"/>
  <c r="X175" i="3" s="1"/>
  <c r="Y112" i="3"/>
  <c r="W112" i="3"/>
  <c r="A112" i="3" s="1"/>
  <c r="V112" i="3"/>
  <c r="U112" i="3"/>
  <c r="X112" i="3" s="1"/>
  <c r="Y89" i="3"/>
  <c r="W89" i="3"/>
  <c r="A89" i="3" s="1"/>
  <c r="V89" i="3"/>
  <c r="U89" i="3"/>
  <c r="X89" i="3" s="1"/>
  <c r="Y46" i="3"/>
  <c r="W46" i="3"/>
  <c r="V46" i="3"/>
  <c r="U46" i="3"/>
  <c r="Y67" i="3"/>
  <c r="W67" i="3"/>
  <c r="V67" i="3"/>
  <c r="U67" i="3"/>
  <c r="X67" i="3" s="1"/>
  <c r="Y167" i="3"/>
  <c r="W167" i="3"/>
  <c r="A167" i="3" s="1"/>
  <c r="V167" i="3"/>
  <c r="U167" i="3"/>
  <c r="Y203" i="3"/>
  <c r="W203" i="3"/>
  <c r="A203" i="3" s="1"/>
  <c r="V203" i="3"/>
  <c r="U203" i="3"/>
  <c r="Y156" i="3"/>
  <c r="W156" i="3"/>
  <c r="A156" i="3" s="1"/>
  <c r="V156" i="3"/>
  <c r="U156" i="3"/>
  <c r="X156" i="3" s="1"/>
  <c r="Y169" i="3"/>
  <c r="W169" i="3"/>
  <c r="A169" i="3" s="1"/>
  <c r="V169" i="3"/>
  <c r="U169" i="3"/>
  <c r="Y196" i="3"/>
  <c r="X196" i="3"/>
  <c r="W196" i="3"/>
  <c r="V196" i="3"/>
  <c r="U196" i="3"/>
  <c r="Y180" i="3"/>
  <c r="W180" i="3"/>
  <c r="V180" i="3"/>
  <c r="U180" i="3"/>
  <c r="X180" i="3" s="1"/>
  <c r="Y90" i="3"/>
  <c r="W90" i="3"/>
  <c r="V90" i="3"/>
  <c r="U90" i="3"/>
  <c r="X90" i="3" s="1"/>
  <c r="Y91" i="3"/>
  <c r="W91" i="3"/>
  <c r="V91" i="3"/>
  <c r="U91" i="3"/>
  <c r="X91" i="3" s="1"/>
  <c r="Y68" i="3"/>
  <c r="W68" i="3"/>
  <c r="A68" i="3" s="1"/>
  <c r="V68" i="3"/>
  <c r="U68" i="3"/>
  <c r="X68" i="3" s="1"/>
  <c r="Y74" i="3"/>
  <c r="X74" i="3"/>
  <c r="W74" i="3"/>
  <c r="V74" i="3"/>
  <c r="U74" i="3"/>
  <c r="Y86" i="3"/>
  <c r="W86" i="3"/>
  <c r="V86" i="3"/>
  <c r="U86" i="3"/>
  <c r="X86" i="3" s="1"/>
  <c r="Y78" i="3"/>
  <c r="W78" i="3"/>
  <c r="V78" i="3"/>
  <c r="U78" i="3"/>
  <c r="Y36" i="3"/>
  <c r="W36" i="3"/>
  <c r="V36" i="3"/>
  <c r="U36" i="3"/>
  <c r="X36" i="3" s="1"/>
  <c r="Y120" i="3"/>
  <c r="W120" i="3"/>
  <c r="A120" i="3" s="1"/>
  <c r="V120" i="3"/>
  <c r="U120" i="3"/>
  <c r="Y128" i="3"/>
  <c r="W128" i="3"/>
  <c r="A128" i="3" s="1"/>
  <c r="V128" i="3"/>
  <c r="U128" i="3"/>
  <c r="Y176" i="3"/>
  <c r="W176" i="3"/>
  <c r="A176" i="3" s="1"/>
  <c r="V176" i="3"/>
  <c r="U176" i="3"/>
  <c r="Y77" i="3"/>
  <c r="W77" i="3"/>
  <c r="A77" i="3" s="1"/>
  <c r="V77" i="3"/>
  <c r="U77" i="3"/>
  <c r="Y63" i="3"/>
  <c r="W63" i="3"/>
  <c r="A63" i="3" s="1"/>
  <c r="V63" i="3"/>
  <c r="U63" i="3"/>
  <c r="Y22" i="3"/>
  <c r="W22" i="3"/>
  <c r="V22" i="3"/>
  <c r="U22" i="3"/>
  <c r="Y124" i="3"/>
  <c r="W124" i="3"/>
  <c r="A124" i="3" s="1"/>
  <c r="V124" i="3"/>
  <c r="U124" i="3"/>
  <c r="X124" i="3" s="1"/>
  <c r="Y65" i="3"/>
  <c r="W65" i="3"/>
  <c r="A65" i="3" s="1"/>
  <c r="V65" i="3"/>
  <c r="U65" i="3"/>
  <c r="Y26" i="3"/>
  <c r="W26" i="3"/>
  <c r="V26" i="3"/>
  <c r="U26" i="3"/>
  <c r="Y70" i="3"/>
  <c r="W70" i="3"/>
  <c r="V70" i="3"/>
  <c r="U70" i="3"/>
  <c r="X70" i="3" s="1"/>
  <c r="Y174" i="3"/>
  <c r="W174" i="3"/>
  <c r="A174" i="3" s="1"/>
  <c r="V174" i="3"/>
  <c r="U174" i="3"/>
  <c r="X174" i="3" s="1"/>
  <c r="Y79" i="3"/>
  <c r="W79" i="3"/>
  <c r="A79" i="3" s="1"/>
  <c r="V79" i="3"/>
  <c r="U79" i="3"/>
  <c r="X79" i="3" s="1"/>
  <c r="Y38" i="3"/>
  <c r="W38" i="3"/>
  <c r="A38" i="3" s="1"/>
  <c r="V38" i="3"/>
  <c r="U38" i="3"/>
  <c r="Y80" i="3"/>
  <c r="W80" i="3"/>
  <c r="A80" i="3" s="1"/>
  <c r="V80" i="3"/>
  <c r="U80" i="3"/>
  <c r="Y88" i="3"/>
  <c r="W88" i="3"/>
  <c r="V88" i="3"/>
  <c r="U88" i="3"/>
  <c r="Y21" i="3"/>
  <c r="W21" i="3"/>
  <c r="V21" i="3"/>
  <c r="U21" i="3"/>
  <c r="X21" i="3" s="1"/>
  <c r="Y161" i="3"/>
  <c r="W161" i="3"/>
  <c r="V161" i="3"/>
  <c r="U161" i="3"/>
  <c r="X161" i="3" s="1"/>
  <c r="Y71" i="3"/>
  <c r="W71" i="3"/>
  <c r="V71" i="3"/>
  <c r="U71" i="3"/>
  <c r="X71" i="3" s="1"/>
  <c r="Y45" i="3"/>
  <c r="W45" i="3"/>
  <c r="A45" i="3" s="1"/>
  <c r="V45" i="3"/>
  <c r="U45" i="3"/>
  <c r="X45" i="3" s="1"/>
  <c r="Y39" i="3"/>
  <c r="W39" i="3"/>
  <c r="A39" i="3" s="1"/>
  <c r="V39" i="3"/>
  <c r="U39" i="3"/>
  <c r="Y69" i="3"/>
  <c r="W69" i="3"/>
  <c r="V69" i="3"/>
  <c r="U69" i="3"/>
  <c r="X69" i="3" s="1"/>
  <c r="Y190" i="3"/>
  <c r="W190" i="3"/>
  <c r="V190" i="3"/>
  <c r="U190" i="3"/>
  <c r="X190" i="3" s="1"/>
  <c r="Y181" i="3"/>
  <c r="W181" i="3"/>
  <c r="V181" i="3"/>
  <c r="U181" i="3"/>
  <c r="X181" i="3" s="1"/>
  <c r="Y59" i="3"/>
  <c r="W59" i="3"/>
  <c r="V59" i="3"/>
  <c r="U59" i="3"/>
  <c r="X59" i="3" s="1"/>
  <c r="Y85" i="3"/>
  <c r="W85" i="3"/>
  <c r="A85" i="3" s="1"/>
  <c r="V85" i="3"/>
  <c r="U85" i="3"/>
  <c r="Y202" i="3"/>
  <c r="W202" i="3"/>
  <c r="A202" i="3" s="1"/>
  <c r="V202" i="3"/>
  <c r="U202" i="3"/>
  <c r="Y172" i="3"/>
  <c r="W172" i="3"/>
  <c r="A172" i="3" s="1"/>
  <c r="V172" i="3"/>
  <c r="U172" i="3"/>
  <c r="X172" i="3" s="1"/>
  <c r="Y139" i="3"/>
  <c r="W139" i="3"/>
  <c r="A139" i="3" s="1"/>
  <c r="V139" i="3"/>
  <c r="U139" i="3"/>
  <c r="Y61" i="3"/>
  <c r="W61" i="3"/>
  <c r="A61" i="3" s="1"/>
  <c r="V61" i="3"/>
  <c r="U61" i="3"/>
  <c r="X61" i="3" s="1"/>
  <c r="Y66" i="3"/>
  <c r="W66" i="3"/>
  <c r="A66" i="3" s="1"/>
  <c r="V66" i="3"/>
  <c r="U66" i="3"/>
  <c r="Y83" i="3"/>
  <c r="W83" i="3"/>
  <c r="A83" i="3" s="1"/>
  <c r="V83" i="3"/>
  <c r="U83" i="3"/>
  <c r="X83" i="3" s="1"/>
  <c r="Y64" i="3"/>
  <c r="W64" i="3"/>
  <c r="A64" i="3" s="1"/>
  <c r="V64" i="3"/>
  <c r="U64" i="3"/>
  <c r="Y126" i="3"/>
  <c r="W126" i="3"/>
  <c r="V126" i="3"/>
  <c r="U126" i="3"/>
  <c r="X126" i="3" s="1"/>
  <c r="A125" i="1"/>
  <c r="A65" i="1"/>
  <c r="A71" i="1"/>
  <c r="A38" i="1"/>
  <c r="A29" i="1"/>
  <c r="A160" i="1"/>
  <c r="A131" i="1"/>
  <c r="A102" i="1"/>
  <c r="A187" i="1"/>
  <c r="A165" i="1"/>
  <c r="A148" i="1"/>
  <c r="A143" i="1"/>
  <c r="A122" i="1"/>
  <c r="A173" i="1"/>
  <c r="A81" i="1"/>
  <c r="A86" i="1"/>
  <c r="A88" i="1"/>
  <c r="A174" i="1"/>
  <c r="A198" i="1"/>
  <c r="A135" i="1"/>
  <c r="A75" i="1"/>
  <c r="A156" i="1"/>
  <c r="AM77" i="1"/>
  <c r="AL77" i="1"/>
  <c r="AK77" i="1"/>
  <c r="AJ77" i="1"/>
  <c r="AI77" i="1"/>
  <c r="A77" i="1" s="1"/>
  <c r="AM78" i="1"/>
  <c r="AL78" i="1"/>
  <c r="AK78" i="1"/>
  <c r="AJ78" i="1"/>
  <c r="AI78" i="1"/>
  <c r="A78" i="1" s="1"/>
  <c r="AM117" i="1"/>
  <c r="AL117" i="1"/>
  <c r="AK117" i="1"/>
  <c r="AJ117" i="1"/>
  <c r="AI117" i="1"/>
  <c r="A117" i="1" s="1"/>
  <c r="AM91" i="1"/>
  <c r="AL91" i="1"/>
  <c r="AK91" i="1"/>
  <c r="AJ91" i="1"/>
  <c r="AI91" i="1"/>
  <c r="A91" i="1" s="1"/>
  <c r="AM76" i="1"/>
  <c r="AL76" i="1"/>
  <c r="AK76" i="1"/>
  <c r="AJ76" i="1"/>
  <c r="AI76" i="1"/>
  <c r="A76" i="1" s="1"/>
  <c r="AM61" i="1"/>
  <c r="AL61" i="1"/>
  <c r="AK61" i="1"/>
  <c r="AJ61" i="1"/>
  <c r="AI61" i="1"/>
  <c r="A61" i="1" s="1"/>
  <c r="AM98" i="1"/>
  <c r="AL98" i="1"/>
  <c r="AK98" i="1"/>
  <c r="AJ98" i="1"/>
  <c r="AI98" i="1"/>
  <c r="A98" i="1" s="1"/>
  <c r="AM111" i="1"/>
  <c r="AL111" i="1"/>
  <c r="AK111" i="1"/>
  <c r="AJ111" i="1"/>
  <c r="A111" i="1" s="1"/>
  <c r="AI111" i="1"/>
  <c r="AM125" i="1"/>
  <c r="AL125" i="1"/>
  <c r="AK125" i="1"/>
  <c r="AJ125" i="1"/>
  <c r="AI125" i="1"/>
  <c r="AM93" i="1"/>
  <c r="AL93" i="1"/>
  <c r="AK93" i="1"/>
  <c r="AJ93" i="1"/>
  <c r="AI93" i="1"/>
  <c r="A93" i="1" s="1"/>
  <c r="AM64" i="1"/>
  <c r="AL64" i="1"/>
  <c r="AK64" i="1"/>
  <c r="AJ64" i="1"/>
  <c r="AI64" i="1"/>
  <c r="A64" i="1" s="1"/>
  <c r="AM37" i="1"/>
  <c r="AL37" i="1"/>
  <c r="AK37" i="1"/>
  <c r="AJ37" i="1"/>
  <c r="AI37" i="1"/>
  <c r="A37" i="1" s="1"/>
  <c r="AM80" i="1"/>
  <c r="AL80" i="1"/>
  <c r="AK80" i="1"/>
  <c r="A80" i="1" s="1"/>
  <c r="AJ80" i="1"/>
  <c r="AI80" i="1"/>
  <c r="AM65" i="1"/>
  <c r="AL65" i="1"/>
  <c r="AK65" i="1"/>
  <c r="AJ65" i="1"/>
  <c r="AI65" i="1"/>
  <c r="AM71" i="1"/>
  <c r="AL71" i="1"/>
  <c r="AK71" i="1"/>
  <c r="AJ71" i="1"/>
  <c r="AI71" i="1"/>
  <c r="AM89" i="1"/>
  <c r="AL89" i="1"/>
  <c r="AK89" i="1"/>
  <c r="AJ89" i="1"/>
  <c r="AI89" i="1"/>
  <c r="A89" i="1" s="1"/>
  <c r="AM69" i="1"/>
  <c r="AL69" i="1"/>
  <c r="AK69" i="1"/>
  <c r="AJ69" i="1"/>
  <c r="AI69" i="1"/>
  <c r="A69" i="1" s="1"/>
  <c r="AM42" i="1"/>
  <c r="AL42" i="1"/>
  <c r="A42" i="1" s="1"/>
  <c r="AK42" i="1"/>
  <c r="AJ42" i="1"/>
  <c r="AI42" i="1"/>
  <c r="AM38" i="1"/>
  <c r="AL38" i="1"/>
  <c r="AK38" i="1"/>
  <c r="AJ38" i="1"/>
  <c r="AI38" i="1"/>
  <c r="AM29" i="1"/>
  <c r="AL29" i="1"/>
  <c r="AK29" i="1"/>
  <c r="AJ29" i="1"/>
  <c r="AI29" i="1"/>
  <c r="AM160" i="1"/>
  <c r="AL160" i="1"/>
  <c r="AK160" i="1"/>
  <c r="AJ160" i="1"/>
  <c r="AI160" i="1"/>
  <c r="AM87" i="1"/>
  <c r="AL87" i="1"/>
  <c r="AK87" i="1"/>
  <c r="AJ87" i="1"/>
  <c r="AI87" i="1"/>
  <c r="A87" i="1" s="1"/>
  <c r="AM127" i="1"/>
  <c r="A127" i="1" s="1"/>
  <c r="AL127" i="1"/>
  <c r="AK127" i="1"/>
  <c r="AJ127" i="1"/>
  <c r="AI127" i="1"/>
  <c r="AM131" i="1"/>
  <c r="AL131" i="1"/>
  <c r="AK131" i="1"/>
  <c r="AJ131" i="1"/>
  <c r="AI131" i="1"/>
  <c r="AM150" i="1"/>
  <c r="AL150" i="1"/>
  <c r="AK150" i="1"/>
  <c r="AJ150" i="1"/>
  <c r="AI150" i="1"/>
  <c r="A150" i="1" s="1"/>
  <c r="AM52" i="1"/>
  <c r="AL52" i="1"/>
  <c r="AK52" i="1"/>
  <c r="AJ52" i="1"/>
  <c r="AI52" i="1"/>
  <c r="A52" i="1" s="1"/>
  <c r="AM83" i="1"/>
  <c r="AL83" i="1"/>
  <c r="AK83" i="1"/>
  <c r="AJ83" i="1"/>
  <c r="AI83" i="1"/>
  <c r="A83" i="1" s="1"/>
  <c r="AM207" i="1"/>
  <c r="AL207" i="1"/>
  <c r="AK207" i="1"/>
  <c r="AJ207" i="1"/>
  <c r="AI207" i="1"/>
  <c r="A207" i="1" s="1"/>
  <c r="AM146" i="1"/>
  <c r="AL146" i="1"/>
  <c r="AK146" i="1"/>
  <c r="AJ146" i="1"/>
  <c r="AI146" i="1"/>
  <c r="A146" i="1" s="1"/>
  <c r="AM188" i="1"/>
  <c r="AL188" i="1"/>
  <c r="AK188" i="1"/>
  <c r="AJ188" i="1"/>
  <c r="AI188" i="1"/>
  <c r="A188" i="1" s="1"/>
  <c r="AM101" i="1"/>
  <c r="AL101" i="1"/>
  <c r="AK101" i="1"/>
  <c r="AJ101" i="1"/>
  <c r="AI101" i="1"/>
  <c r="A101" i="1" s="1"/>
  <c r="AM74" i="1"/>
  <c r="AL74" i="1"/>
  <c r="AK74" i="1"/>
  <c r="AJ74" i="1"/>
  <c r="A74" i="1" s="1"/>
  <c r="AI74" i="1"/>
  <c r="AM102" i="1"/>
  <c r="AL102" i="1"/>
  <c r="AK102" i="1"/>
  <c r="AJ102" i="1"/>
  <c r="AI102" i="1"/>
  <c r="AM163" i="1"/>
  <c r="AL163" i="1"/>
  <c r="AK163" i="1"/>
  <c r="AJ163" i="1"/>
  <c r="AI163" i="1"/>
  <c r="A163" i="1" s="1"/>
  <c r="AM62" i="1"/>
  <c r="AL62" i="1"/>
  <c r="AK62" i="1"/>
  <c r="AJ62" i="1"/>
  <c r="AI62" i="1"/>
  <c r="A62" i="1" s="1"/>
  <c r="AM176" i="1"/>
  <c r="AL176" i="1"/>
  <c r="AK176" i="1"/>
  <c r="AJ176" i="1"/>
  <c r="AI176" i="1"/>
  <c r="A176" i="1" s="1"/>
  <c r="AM190" i="1"/>
  <c r="AL190" i="1"/>
  <c r="AK190" i="1"/>
  <c r="A190" i="1" s="1"/>
  <c r="AJ190" i="1"/>
  <c r="AI190" i="1"/>
  <c r="AM187" i="1"/>
  <c r="AL187" i="1"/>
  <c r="AK187" i="1"/>
  <c r="AJ187" i="1"/>
  <c r="AI187" i="1"/>
  <c r="AM165" i="1"/>
  <c r="AL165" i="1"/>
  <c r="AK165" i="1"/>
  <c r="AJ165" i="1"/>
  <c r="AI165" i="1"/>
  <c r="AM197" i="1"/>
  <c r="AL197" i="1"/>
  <c r="AK197" i="1"/>
  <c r="AJ197" i="1"/>
  <c r="AI197" i="1"/>
  <c r="A197" i="1" s="1"/>
  <c r="AM45" i="1"/>
  <c r="AL45" i="1"/>
  <c r="AK45" i="1"/>
  <c r="AJ45" i="1"/>
  <c r="AI45" i="1"/>
  <c r="A45" i="1" s="1"/>
  <c r="AM120" i="1"/>
  <c r="AL120" i="1"/>
  <c r="A120" i="1" s="1"/>
  <c r="AK120" i="1"/>
  <c r="AJ120" i="1"/>
  <c r="AI120" i="1"/>
  <c r="AM148" i="1"/>
  <c r="AL148" i="1"/>
  <c r="AK148" i="1"/>
  <c r="AJ148" i="1"/>
  <c r="AI148" i="1"/>
  <c r="AM143" i="1"/>
  <c r="AL143" i="1"/>
  <c r="AK143" i="1"/>
  <c r="AJ143" i="1"/>
  <c r="AI143" i="1"/>
  <c r="AM122" i="1"/>
  <c r="AL122" i="1"/>
  <c r="AK122" i="1"/>
  <c r="AJ122" i="1"/>
  <c r="AI122" i="1"/>
  <c r="AM105" i="1"/>
  <c r="AL105" i="1"/>
  <c r="AK105" i="1"/>
  <c r="AJ105" i="1"/>
  <c r="AI105" i="1"/>
  <c r="A105" i="1" s="1"/>
  <c r="AM107" i="1"/>
  <c r="A107" i="1" s="1"/>
  <c r="AL107" i="1"/>
  <c r="AK107" i="1"/>
  <c r="AJ107" i="1"/>
  <c r="AI107" i="1"/>
  <c r="AM173" i="1"/>
  <c r="AL173" i="1"/>
  <c r="AK173" i="1"/>
  <c r="AJ173" i="1"/>
  <c r="AI173" i="1"/>
  <c r="AM202" i="1"/>
  <c r="AL202" i="1"/>
  <c r="AK202" i="1"/>
  <c r="AJ202" i="1"/>
  <c r="AI202" i="1"/>
  <c r="A202" i="1" s="1"/>
  <c r="AM186" i="1"/>
  <c r="AL186" i="1"/>
  <c r="AK186" i="1"/>
  <c r="AJ186" i="1"/>
  <c r="AI186" i="1"/>
  <c r="A186" i="1" s="1"/>
  <c r="AM134" i="1"/>
  <c r="AL134" i="1"/>
  <c r="AK134" i="1"/>
  <c r="AJ134" i="1"/>
  <c r="AI134" i="1"/>
  <c r="A134" i="1" s="1"/>
  <c r="AM92" i="1"/>
  <c r="AL92" i="1"/>
  <c r="AK92" i="1"/>
  <c r="AJ92" i="1"/>
  <c r="AI92" i="1"/>
  <c r="A92" i="1" s="1"/>
  <c r="AM205" i="1"/>
  <c r="AL205" i="1"/>
  <c r="AK205" i="1"/>
  <c r="AJ205" i="1"/>
  <c r="AI205" i="1"/>
  <c r="A205" i="1" s="1"/>
  <c r="AM99" i="1"/>
  <c r="AL99" i="1"/>
  <c r="AK99" i="1"/>
  <c r="AJ99" i="1"/>
  <c r="AI99" i="1"/>
  <c r="A99" i="1" s="1"/>
  <c r="AM96" i="1"/>
  <c r="AL96" i="1"/>
  <c r="AK96" i="1"/>
  <c r="AJ96" i="1"/>
  <c r="AI96" i="1"/>
  <c r="A96" i="1" s="1"/>
  <c r="AM154" i="1"/>
  <c r="AL154" i="1"/>
  <c r="AK154" i="1"/>
  <c r="AJ154" i="1"/>
  <c r="A154" i="1" s="1"/>
  <c r="AI154" i="1"/>
  <c r="AM81" i="1"/>
  <c r="AL81" i="1"/>
  <c r="AK81" i="1"/>
  <c r="AJ81" i="1"/>
  <c r="AI81" i="1"/>
  <c r="AM95" i="1"/>
  <c r="AL95" i="1"/>
  <c r="AK95" i="1"/>
  <c r="AJ95" i="1"/>
  <c r="AI95" i="1"/>
  <c r="A95" i="1" s="1"/>
  <c r="AM103" i="1"/>
  <c r="AL103" i="1"/>
  <c r="AK103" i="1"/>
  <c r="AJ103" i="1"/>
  <c r="AI103" i="1"/>
  <c r="A103" i="1" s="1"/>
  <c r="AM94" i="1"/>
  <c r="AL94" i="1"/>
  <c r="AK94" i="1"/>
  <c r="AJ94" i="1"/>
  <c r="AI94" i="1"/>
  <c r="A94" i="1" s="1"/>
  <c r="AM100" i="1"/>
  <c r="AL100" i="1"/>
  <c r="AK100" i="1"/>
  <c r="A100" i="1" s="1"/>
  <c r="AJ100" i="1"/>
  <c r="AI100" i="1"/>
  <c r="AM86" i="1"/>
  <c r="AL86" i="1"/>
  <c r="AK86" i="1"/>
  <c r="AJ86" i="1"/>
  <c r="AI86" i="1"/>
  <c r="AM88" i="1"/>
  <c r="AL88" i="1"/>
  <c r="AK88" i="1"/>
  <c r="AJ88" i="1"/>
  <c r="AI88" i="1"/>
  <c r="AM97" i="1"/>
  <c r="AL97" i="1"/>
  <c r="AK97" i="1"/>
  <c r="AJ97" i="1"/>
  <c r="AI97" i="1"/>
  <c r="A97" i="1" s="1"/>
  <c r="AM172" i="1"/>
  <c r="AL172" i="1"/>
  <c r="AK172" i="1"/>
  <c r="AJ172" i="1"/>
  <c r="AI172" i="1"/>
  <c r="A172" i="1" s="1"/>
  <c r="AM141" i="1"/>
  <c r="AL141" i="1"/>
  <c r="A141" i="1" s="1"/>
  <c r="AK141" i="1"/>
  <c r="AJ141" i="1"/>
  <c r="AI141" i="1"/>
  <c r="AM174" i="1"/>
  <c r="AL174" i="1"/>
  <c r="AK174" i="1"/>
  <c r="AJ174" i="1"/>
  <c r="AI174" i="1"/>
  <c r="AM198" i="1"/>
  <c r="AL198" i="1"/>
  <c r="AK198" i="1"/>
  <c r="AJ198" i="1"/>
  <c r="AI198" i="1"/>
  <c r="AM135" i="1"/>
  <c r="AL135" i="1"/>
  <c r="AK135" i="1"/>
  <c r="AJ135" i="1"/>
  <c r="AI135" i="1"/>
  <c r="AM191" i="1"/>
  <c r="AL191" i="1"/>
  <c r="AK191" i="1"/>
  <c r="AJ191" i="1"/>
  <c r="AI191" i="1"/>
  <c r="A191" i="1" s="1"/>
  <c r="AM182" i="1"/>
  <c r="A182" i="1" s="1"/>
  <c r="AL182" i="1"/>
  <c r="AK182" i="1"/>
  <c r="AJ182" i="1"/>
  <c r="AI182" i="1"/>
  <c r="AM75" i="1"/>
  <c r="AL75" i="1"/>
  <c r="AK75" i="1"/>
  <c r="AJ75" i="1"/>
  <c r="AI75" i="1"/>
  <c r="AM84" i="1"/>
  <c r="AL84" i="1"/>
  <c r="AK84" i="1"/>
  <c r="AJ84" i="1"/>
  <c r="AI84" i="1"/>
  <c r="A84" i="1" s="1"/>
  <c r="AM67" i="1"/>
  <c r="AL67" i="1"/>
  <c r="AK67" i="1"/>
  <c r="AJ67" i="1"/>
  <c r="AI67" i="1"/>
  <c r="A67" i="1" s="1"/>
  <c r="AM199" i="1"/>
  <c r="AL199" i="1"/>
  <c r="AK199" i="1"/>
  <c r="AJ199" i="1"/>
  <c r="AI199" i="1"/>
  <c r="A199" i="1" s="1"/>
  <c r="AM145" i="1"/>
  <c r="AL145" i="1"/>
  <c r="AK145" i="1"/>
  <c r="AJ145" i="1"/>
  <c r="AI145" i="1"/>
  <c r="A145" i="1" s="1"/>
  <c r="AM129" i="1"/>
  <c r="AL129" i="1"/>
  <c r="AK129" i="1"/>
  <c r="AJ129" i="1"/>
  <c r="AI129" i="1"/>
  <c r="A129" i="1" s="1"/>
  <c r="AM82" i="1"/>
  <c r="AL82" i="1"/>
  <c r="AK82" i="1"/>
  <c r="AJ82" i="1"/>
  <c r="AI82" i="1"/>
  <c r="A82" i="1" s="1"/>
  <c r="AM194" i="1"/>
  <c r="AL194" i="1"/>
  <c r="AK194" i="1"/>
  <c r="AJ194" i="1"/>
  <c r="AI194" i="1"/>
  <c r="A194" i="1" s="1"/>
  <c r="AM168" i="1"/>
  <c r="AL168" i="1"/>
  <c r="AK168" i="1"/>
  <c r="AJ168" i="1"/>
  <c r="A168" i="1" s="1"/>
  <c r="AI168" i="1"/>
  <c r="AM156" i="1"/>
  <c r="AL156" i="1"/>
  <c r="AK156" i="1"/>
  <c r="AJ156" i="1"/>
  <c r="AI156" i="1"/>
  <c r="AM53" i="1"/>
  <c r="AL53" i="1"/>
  <c r="AK53" i="1"/>
  <c r="AJ53" i="1"/>
  <c r="AI53" i="1"/>
  <c r="AM180" i="1"/>
  <c r="AL180" i="1"/>
  <c r="AK180" i="1"/>
  <c r="AJ180" i="1"/>
  <c r="AI180" i="1"/>
  <c r="A180" i="1" s="1"/>
  <c r="AM203" i="1"/>
  <c r="AL203" i="1"/>
  <c r="AK203" i="1"/>
  <c r="AJ203" i="1"/>
  <c r="AI203" i="1"/>
  <c r="A203" i="1" s="1"/>
  <c r="AM206" i="1"/>
  <c r="AL206" i="1"/>
  <c r="AK206" i="1"/>
  <c r="AJ206" i="1"/>
  <c r="AI206" i="1"/>
  <c r="AM158" i="1"/>
  <c r="AL158" i="1"/>
  <c r="AK158" i="1"/>
  <c r="AJ158" i="1"/>
  <c r="A158" i="1" s="1"/>
  <c r="AI158" i="1"/>
  <c r="AM167" i="1"/>
  <c r="AL167" i="1"/>
  <c r="AK167" i="1"/>
  <c r="AJ167" i="1"/>
  <c r="AI167" i="1"/>
  <c r="AM104" i="1"/>
  <c r="AL104" i="1"/>
  <c r="AK104" i="1"/>
  <c r="AJ104" i="1"/>
  <c r="AI104" i="1"/>
  <c r="A104" i="1" s="1"/>
  <c r="AM201" i="1"/>
  <c r="AL201" i="1"/>
  <c r="AK201" i="1"/>
  <c r="AJ201" i="1"/>
  <c r="AI201" i="1"/>
  <c r="A201" i="1" s="1"/>
  <c r="AM178" i="1"/>
  <c r="AL178" i="1"/>
  <c r="AK178" i="1"/>
  <c r="AJ178" i="1"/>
  <c r="AI178" i="1"/>
  <c r="AM189" i="1"/>
  <c r="AL189" i="1"/>
  <c r="AK189" i="1"/>
  <c r="AJ189" i="1"/>
  <c r="AI189" i="1"/>
  <c r="AM140" i="1"/>
  <c r="AL140" i="1"/>
  <c r="AK140" i="1"/>
  <c r="AJ140" i="1"/>
  <c r="AI140" i="1"/>
  <c r="A140" i="1" s="1"/>
  <c r="A189" i="1"/>
  <c r="U56" i="3"/>
  <c r="V56" i="3"/>
  <c r="W56" i="3"/>
  <c r="Y56" i="3"/>
  <c r="U168" i="3"/>
  <c r="V168" i="3"/>
  <c r="W168" i="3"/>
  <c r="Y168" i="3"/>
  <c r="U37" i="3"/>
  <c r="V37" i="3"/>
  <c r="W37" i="3"/>
  <c r="Y37" i="3"/>
  <c r="U159" i="3"/>
  <c r="V159" i="3"/>
  <c r="W159" i="3"/>
  <c r="Y159" i="3"/>
  <c r="U195" i="3"/>
  <c r="V195" i="3"/>
  <c r="W195" i="3"/>
  <c r="Y195" i="3"/>
  <c r="U8" i="3"/>
  <c r="V8" i="3"/>
  <c r="W8" i="3"/>
  <c r="Y8" i="3"/>
  <c r="U134" i="3"/>
  <c r="V134" i="3"/>
  <c r="W134" i="3"/>
  <c r="Y134" i="3"/>
  <c r="U14" i="3"/>
  <c r="V14" i="3"/>
  <c r="W14" i="3"/>
  <c r="Y14" i="3"/>
  <c r="U76" i="3"/>
  <c r="V76" i="3"/>
  <c r="W76" i="3"/>
  <c r="Y76" i="3"/>
  <c r="U197" i="3"/>
  <c r="V197" i="3"/>
  <c r="W197" i="3"/>
  <c r="Y197" i="3"/>
  <c r="U18" i="3"/>
  <c r="V18" i="3"/>
  <c r="W18" i="3"/>
  <c r="Y18" i="3"/>
  <c r="U41" i="3"/>
  <c r="V41" i="3"/>
  <c r="W41" i="3"/>
  <c r="Y41" i="3"/>
  <c r="U57" i="3"/>
  <c r="V57" i="3"/>
  <c r="W57" i="3"/>
  <c r="Y57" i="3"/>
  <c r="U24" i="3"/>
  <c r="V24" i="3"/>
  <c r="W24" i="3"/>
  <c r="Y24" i="3"/>
  <c r="U199" i="3"/>
  <c r="V199" i="3"/>
  <c r="W199" i="3"/>
  <c r="Y199" i="3"/>
  <c r="U11" i="3"/>
  <c r="V11" i="3"/>
  <c r="W11" i="3"/>
  <c r="Y11" i="3"/>
  <c r="U33" i="3"/>
  <c r="V33" i="3"/>
  <c r="W33" i="3"/>
  <c r="Y33" i="3"/>
  <c r="U54" i="3"/>
  <c r="V54" i="3"/>
  <c r="W54" i="3"/>
  <c r="Y54" i="3"/>
  <c r="U49" i="3"/>
  <c r="V49" i="3"/>
  <c r="W49" i="3"/>
  <c r="Y49" i="3"/>
  <c r="U23" i="3"/>
  <c r="V23" i="3"/>
  <c r="W23" i="3"/>
  <c r="Y23" i="3"/>
  <c r="U47" i="3"/>
  <c r="V47" i="3"/>
  <c r="W47" i="3"/>
  <c r="Y47" i="3"/>
  <c r="U137" i="3"/>
  <c r="V137" i="3"/>
  <c r="W137" i="3"/>
  <c r="Y137" i="3"/>
  <c r="U40" i="3"/>
  <c r="V40" i="3"/>
  <c r="W40" i="3"/>
  <c r="Y40" i="3"/>
  <c r="U152" i="3"/>
  <c r="V152" i="3"/>
  <c r="W152" i="3"/>
  <c r="Y152" i="3"/>
  <c r="U29" i="3"/>
  <c r="V29" i="3"/>
  <c r="W29" i="3"/>
  <c r="Y29" i="3"/>
  <c r="U125" i="3"/>
  <c r="V125" i="3"/>
  <c r="W125" i="3"/>
  <c r="Y125" i="3"/>
  <c r="U19" i="3"/>
  <c r="V19" i="3"/>
  <c r="W19" i="3"/>
  <c r="Y19" i="3"/>
  <c r="U194" i="3"/>
  <c r="V194" i="3"/>
  <c r="W194" i="3"/>
  <c r="Y194" i="3"/>
  <c r="U187" i="3"/>
  <c r="V187" i="3"/>
  <c r="W187" i="3"/>
  <c r="Y187" i="3"/>
  <c r="U30" i="3"/>
  <c r="V30" i="3"/>
  <c r="W30" i="3"/>
  <c r="Y30" i="3"/>
  <c r="U182" i="3"/>
  <c r="V182" i="3"/>
  <c r="W182" i="3"/>
  <c r="Y182" i="3"/>
  <c r="U119" i="3"/>
  <c r="V119" i="3"/>
  <c r="W119" i="3"/>
  <c r="Y119" i="3"/>
  <c r="U31" i="3"/>
  <c r="V31" i="3"/>
  <c r="W31" i="3"/>
  <c r="Y31" i="3"/>
  <c r="U143" i="3"/>
  <c r="V143" i="3"/>
  <c r="W143" i="3"/>
  <c r="Y143" i="3"/>
  <c r="U28" i="3"/>
  <c r="V28" i="3"/>
  <c r="W28" i="3"/>
  <c r="Y28" i="3"/>
  <c r="U81" i="3"/>
  <c r="V81" i="3"/>
  <c r="W81" i="3"/>
  <c r="Y81" i="3"/>
  <c r="U53" i="3"/>
  <c r="V53" i="3"/>
  <c r="W53" i="3"/>
  <c r="Y53" i="3"/>
  <c r="U183" i="3"/>
  <c r="V183" i="3"/>
  <c r="W183" i="3"/>
  <c r="Y183" i="3"/>
  <c r="U151" i="3"/>
  <c r="V151" i="3"/>
  <c r="W151" i="3"/>
  <c r="Y151" i="3"/>
  <c r="U165" i="3"/>
  <c r="V165" i="3"/>
  <c r="W165" i="3"/>
  <c r="Y165" i="3"/>
  <c r="U145" i="3"/>
  <c r="V145" i="3"/>
  <c r="W145" i="3"/>
  <c r="Y145" i="3"/>
  <c r="U44" i="3"/>
  <c r="V44" i="3"/>
  <c r="W44" i="3"/>
  <c r="Y44" i="3"/>
  <c r="U206" i="3"/>
  <c r="V206" i="3"/>
  <c r="W206" i="3"/>
  <c r="Y206" i="3"/>
  <c r="U148" i="3"/>
  <c r="V148" i="3"/>
  <c r="W148" i="3"/>
  <c r="Y148" i="3"/>
  <c r="U111" i="3"/>
  <c r="V111" i="3"/>
  <c r="W111" i="3"/>
  <c r="Y111" i="3"/>
  <c r="U34" i="3"/>
  <c r="V34" i="3"/>
  <c r="W34" i="3"/>
  <c r="Y34" i="3"/>
  <c r="U52" i="3"/>
  <c r="V52" i="3"/>
  <c r="W52" i="3"/>
  <c r="Y52" i="3"/>
  <c r="U113" i="3"/>
  <c r="V113" i="3"/>
  <c r="W113" i="3"/>
  <c r="Y113" i="3"/>
  <c r="U138" i="3"/>
  <c r="V138" i="3"/>
  <c r="W138" i="3"/>
  <c r="Y138" i="3"/>
  <c r="AI142" i="1"/>
  <c r="AJ142" i="1"/>
  <c r="AK142" i="1"/>
  <c r="AL142" i="1"/>
  <c r="AM142" i="1"/>
  <c r="AI56" i="1"/>
  <c r="AJ56" i="1"/>
  <c r="AK56" i="1"/>
  <c r="AL56" i="1"/>
  <c r="AM56" i="1"/>
  <c r="AI183" i="1"/>
  <c r="AJ183" i="1"/>
  <c r="AK183" i="1"/>
  <c r="AL183" i="1"/>
  <c r="AM183" i="1"/>
  <c r="AI139" i="1"/>
  <c r="AJ139" i="1"/>
  <c r="AK139" i="1"/>
  <c r="AL139" i="1"/>
  <c r="AM139" i="1"/>
  <c r="AI184" i="1"/>
  <c r="AJ184" i="1"/>
  <c r="AK184" i="1"/>
  <c r="AL184" i="1"/>
  <c r="AM184" i="1"/>
  <c r="AI59" i="1"/>
  <c r="AJ59" i="1"/>
  <c r="AK59" i="1"/>
  <c r="AL59" i="1"/>
  <c r="AM59" i="1"/>
  <c r="AI193" i="1"/>
  <c r="AJ193" i="1"/>
  <c r="AK193" i="1"/>
  <c r="AL193" i="1"/>
  <c r="AM193" i="1"/>
  <c r="AI40" i="1"/>
  <c r="AJ40" i="1"/>
  <c r="AK40" i="1"/>
  <c r="AL40" i="1"/>
  <c r="AM40" i="1"/>
  <c r="AI106" i="1"/>
  <c r="AJ106" i="1"/>
  <c r="AK106" i="1"/>
  <c r="AL106" i="1"/>
  <c r="AM106" i="1"/>
  <c r="AI116" i="1"/>
  <c r="AJ116" i="1"/>
  <c r="AK116" i="1"/>
  <c r="AL116" i="1"/>
  <c r="AM116" i="1"/>
  <c r="AI195" i="1"/>
  <c r="AJ195" i="1"/>
  <c r="AK195" i="1"/>
  <c r="AL195" i="1"/>
  <c r="AM195" i="1"/>
  <c r="AI33" i="1"/>
  <c r="AJ33" i="1"/>
  <c r="AK33" i="1"/>
  <c r="AL33" i="1"/>
  <c r="AM33" i="1"/>
  <c r="AI124" i="1"/>
  <c r="AJ124" i="1"/>
  <c r="AK124" i="1"/>
  <c r="AL124" i="1"/>
  <c r="AM124" i="1"/>
  <c r="AI175" i="1"/>
  <c r="AJ175" i="1"/>
  <c r="AK175" i="1"/>
  <c r="AL175" i="1"/>
  <c r="AM175" i="1"/>
  <c r="AI79" i="1"/>
  <c r="AJ79" i="1"/>
  <c r="AK79" i="1"/>
  <c r="AL79" i="1"/>
  <c r="AM79" i="1"/>
  <c r="AI60" i="1"/>
  <c r="AJ60" i="1"/>
  <c r="AK60" i="1"/>
  <c r="AL60" i="1"/>
  <c r="AM60" i="1"/>
  <c r="AI27" i="1"/>
  <c r="AJ27" i="1"/>
  <c r="AK27" i="1"/>
  <c r="AL27" i="1"/>
  <c r="AM27" i="1"/>
  <c r="AI128" i="1"/>
  <c r="AJ128" i="1"/>
  <c r="AK128" i="1"/>
  <c r="AL128" i="1"/>
  <c r="AM128" i="1"/>
  <c r="AI36" i="1"/>
  <c r="AJ36" i="1"/>
  <c r="AK36" i="1"/>
  <c r="AL36" i="1"/>
  <c r="AM36" i="1"/>
  <c r="AI24" i="1"/>
  <c r="AJ24" i="1"/>
  <c r="AK24" i="1"/>
  <c r="AL24" i="1"/>
  <c r="AM24" i="1"/>
  <c r="AI162" i="1"/>
  <c r="AJ162" i="1"/>
  <c r="AK162" i="1"/>
  <c r="AL162" i="1"/>
  <c r="AM162" i="1"/>
  <c r="AI63" i="1"/>
  <c r="AJ63" i="1"/>
  <c r="AK63" i="1"/>
  <c r="AL63" i="1"/>
  <c r="AM63" i="1"/>
  <c r="AI15" i="1"/>
  <c r="AJ15" i="1"/>
  <c r="AK15" i="1"/>
  <c r="AL15" i="1"/>
  <c r="AM15" i="1"/>
  <c r="AI12" i="1"/>
  <c r="AJ12" i="1"/>
  <c r="AK12" i="1"/>
  <c r="AL12" i="1"/>
  <c r="AM12" i="1"/>
  <c r="AI68" i="1"/>
  <c r="AJ68" i="1"/>
  <c r="AK68" i="1"/>
  <c r="AL68" i="1"/>
  <c r="AM68" i="1"/>
  <c r="AI138" i="1"/>
  <c r="AJ138" i="1"/>
  <c r="AK138" i="1"/>
  <c r="AL138" i="1"/>
  <c r="AM138" i="1"/>
  <c r="AI85" i="1"/>
  <c r="AJ85" i="1"/>
  <c r="AK85" i="1"/>
  <c r="AL85" i="1"/>
  <c r="AM85" i="1"/>
  <c r="AI118" i="1"/>
  <c r="AJ118" i="1"/>
  <c r="AK118" i="1"/>
  <c r="AL118" i="1"/>
  <c r="AM118" i="1"/>
  <c r="AI121" i="1"/>
  <c r="AJ121" i="1"/>
  <c r="AK121" i="1"/>
  <c r="AL121" i="1"/>
  <c r="AM121" i="1"/>
  <c r="AI44" i="1"/>
  <c r="AJ44" i="1"/>
  <c r="AK44" i="1"/>
  <c r="AL44" i="1"/>
  <c r="AM44" i="1"/>
  <c r="AI13" i="1"/>
  <c r="AJ13" i="1"/>
  <c r="AK13" i="1"/>
  <c r="AL13" i="1"/>
  <c r="AM13" i="1"/>
  <c r="AI133" i="1"/>
  <c r="AJ133" i="1"/>
  <c r="AK133" i="1"/>
  <c r="AL133" i="1"/>
  <c r="AM133" i="1"/>
  <c r="AI152" i="1"/>
  <c r="AJ152" i="1"/>
  <c r="AK152" i="1"/>
  <c r="AL152" i="1"/>
  <c r="AM152" i="1"/>
  <c r="AI204" i="1"/>
  <c r="AJ204" i="1"/>
  <c r="AK204" i="1"/>
  <c r="AL204" i="1"/>
  <c r="AM204" i="1"/>
  <c r="AI50" i="1"/>
  <c r="AJ50" i="1"/>
  <c r="AK50" i="1"/>
  <c r="AL50" i="1"/>
  <c r="AM50" i="1"/>
  <c r="AI49" i="1"/>
  <c r="AJ49" i="1"/>
  <c r="AK49" i="1"/>
  <c r="AL49" i="1"/>
  <c r="AM49" i="1"/>
  <c r="AI73" i="1"/>
  <c r="AJ73" i="1"/>
  <c r="AK73" i="1"/>
  <c r="AL73" i="1"/>
  <c r="AM73" i="1"/>
  <c r="AI147" i="1"/>
  <c r="AJ147" i="1"/>
  <c r="AK147" i="1"/>
  <c r="AL147" i="1"/>
  <c r="AM147" i="1"/>
  <c r="AI170" i="1"/>
  <c r="AJ170" i="1"/>
  <c r="AK170" i="1"/>
  <c r="AL170" i="1"/>
  <c r="AM170" i="1"/>
  <c r="AI55" i="1"/>
  <c r="AJ55" i="1"/>
  <c r="AK55" i="1"/>
  <c r="AL55" i="1"/>
  <c r="AM55" i="1"/>
  <c r="AI136" i="1"/>
  <c r="AJ136" i="1"/>
  <c r="AK136" i="1"/>
  <c r="AL136" i="1"/>
  <c r="AM136" i="1"/>
  <c r="AI9" i="1"/>
  <c r="AJ9" i="1"/>
  <c r="AK9" i="1"/>
  <c r="AL9" i="1"/>
  <c r="AM9" i="1"/>
  <c r="AI113" i="1"/>
  <c r="AJ113" i="1"/>
  <c r="AK113" i="1"/>
  <c r="AL113" i="1"/>
  <c r="AM113" i="1"/>
  <c r="AI31" i="1"/>
  <c r="AJ31" i="1"/>
  <c r="AK31" i="1"/>
  <c r="AL31" i="1"/>
  <c r="AM31" i="1"/>
  <c r="AI8" i="1"/>
  <c r="AJ8" i="1"/>
  <c r="AK8" i="1"/>
  <c r="AL8" i="1"/>
  <c r="AM8" i="1"/>
  <c r="AI179" i="1"/>
  <c r="AI10" i="1"/>
  <c r="AI171" i="1"/>
  <c r="AI112" i="1"/>
  <c r="AI47" i="1"/>
  <c r="AI7" i="1"/>
  <c r="AI16" i="1"/>
  <c r="AI19" i="1"/>
  <c r="AI39" i="1"/>
  <c r="AI151" i="1"/>
  <c r="AI11" i="1"/>
  <c r="AI114" i="1"/>
  <c r="AI23" i="1"/>
  <c r="AI177" i="1"/>
  <c r="AI58" i="1"/>
  <c r="AI130" i="1"/>
  <c r="AI185" i="1"/>
  <c r="AI32" i="1"/>
  <c r="AI57" i="1"/>
  <c r="AI115" i="1"/>
  <c r="AI20" i="1"/>
  <c r="AI119" i="1"/>
  <c r="AI181" i="1"/>
  <c r="AI51" i="1"/>
  <c r="AI22" i="1"/>
  <c r="AI200" i="1"/>
  <c r="AI149" i="1"/>
  <c r="AI109" i="1"/>
  <c r="AI166" i="1"/>
  <c r="AI25" i="1"/>
  <c r="AI18" i="1"/>
  <c r="AI157" i="1"/>
  <c r="AI164" i="1"/>
  <c r="AI169" i="1"/>
  <c r="AI34" i="1"/>
  <c r="AI54" i="1"/>
  <c r="AI108" i="1"/>
  <c r="AI70" i="1"/>
  <c r="AI196" i="1"/>
  <c r="AI48" i="1"/>
  <c r="AI153" i="1"/>
  <c r="AI72" i="1"/>
  <c r="AI192" i="1"/>
  <c r="AI126" i="1"/>
  <c r="AI46" i="1"/>
  <c r="AI132" i="1"/>
  <c r="AI159" i="1"/>
  <c r="AI41" i="1"/>
  <c r="AI123" i="1"/>
  <c r="AI155" i="1"/>
  <c r="AI28" i="1"/>
  <c r="AI43" i="1"/>
  <c r="AI14" i="1"/>
  <c r="AI161" i="1"/>
  <c r="AI137" i="1"/>
  <c r="AI90" i="1"/>
  <c r="AI144" i="1"/>
  <c r="AI35" i="1"/>
  <c r="AI66" i="1"/>
  <c r="AI21" i="1"/>
  <c r="AI110" i="1"/>
  <c r="AI26" i="1"/>
  <c r="AI30" i="1"/>
  <c r="AI17" i="1"/>
  <c r="X149" i="3" l="1"/>
  <c r="X80" i="3"/>
  <c r="X169" i="3"/>
  <c r="X133" i="3"/>
  <c r="X128" i="3"/>
  <c r="X37" i="3"/>
  <c r="X125" i="3"/>
  <c r="X98" i="3"/>
  <c r="X22" i="3"/>
  <c r="X167" i="3"/>
  <c r="X204" i="3"/>
  <c r="X140" i="3"/>
  <c r="A104" i="3"/>
  <c r="X63" i="3"/>
  <c r="X78" i="3"/>
  <c r="X163" i="3"/>
  <c r="X105" i="3"/>
  <c r="A108" i="3"/>
  <c r="X120" i="3"/>
  <c r="X170" i="3"/>
  <c r="X157" i="3"/>
  <c r="X102" i="3"/>
  <c r="X77" i="3"/>
  <c r="X65" i="3"/>
  <c r="X192" i="3"/>
  <c r="X134" i="3"/>
  <c r="X100" i="3"/>
  <c r="A22" i="3"/>
  <c r="A100" i="3"/>
  <c r="X193" i="3"/>
  <c r="X38" i="3"/>
  <c r="A91" i="3"/>
  <c r="X66" i="3"/>
  <c r="A101" i="3"/>
  <c r="X203" i="3"/>
  <c r="X96" i="3"/>
  <c r="X88" i="3"/>
  <c r="A71" i="3"/>
  <c r="X26" i="3"/>
  <c r="X176" i="3"/>
  <c r="X46" i="3"/>
  <c r="X72" i="3"/>
  <c r="X106" i="3"/>
  <c r="X110" i="3"/>
  <c r="X85" i="3"/>
  <c r="A149" i="3"/>
  <c r="X139" i="3"/>
  <c r="X164" i="3"/>
  <c r="X64" i="3"/>
  <c r="X202" i="3"/>
  <c r="X39" i="3"/>
  <c r="X198" i="3"/>
  <c r="X159" i="3"/>
  <c r="A53" i="1"/>
  <c r="A167" i="1"/>
  <c r="A178" i="1"/>
  <c r="A206" i="1"/>
  <c r="X11" i="3"/>
  <c r="X148" i="3"/>
  <c r="X183" i="3"/>
  <c r="X165" i="3"/>
  <c r="X33" i="3"/>
  <c r="X54" i="3"/>
  <c r="X31" i="3"/>
  <c r="X76" i="3"/>
  <c r="X14" i="3"/>
  <c r="X41" i="3"/>
  <c r="X194" i="3"/>
  <c r="X151" i="3"/>
  <c r="X40" i="3"/>
  <c r="X29" i="3"/>
  <c r="X111" i="3"/>
  <c r="X199" i="3"/>
  <c r="X30" i="3"/>
  <c r="X23" i="3"/>
  <c r="X197" i="3"/>
  <c r="X52" i="3"/>
  <c r="X195" i="3"/>
  <c r="X81" i="3"/>
  <c r="X137" i="3"/>
  <c r="X145" i="3"/>
  <c r="X138" i="3"/>
  <c r="X113" i="3"/>
  <c r="X182" i="3"/>
  <c r="X57" i="3"/>
  <c r="X56" i="3"/>
  <c r="X47" i="3"/>
  <c r="X152" i="3"/>
  <c r="X8" i="3"/>
  <c r="X18" i="3"/>
  <c r="X19" i="3"/>
  <c r="X143" i="3"/>
  <c r="X28" i="3"/>
  <c r="X187" i="3"/>
  <c r="X34" i="3"/>
  <c r="X206" i="3"/>
  <c r="X24" i="3"/>
  <c r="X49" i="3"/>
  <c r="X44" i="3"/>
  <c r="X53" i="3"/>
  <c r="X119" i="3"/>
  <c r="X168" i="3"/>
  <c r="U147" i="3"/>
  <c r="V147" i="3"/>
  <c r="W147" i="3"/>
  <c r="Y147" i="3"/>
  <c r="U185" i="3"/>
  <c r="V185" i="3"/>
  <c r="W185" i="3"/>
  <c r="Y185" i="3"/>
  <c r="U150" i="3"/>
  <c r="V150" i="3"/>
  <c r="W150" i="3"/>
  <c r="Y150" i="3"/>
  <c r="U162" i="3"/>
  <c r="V162" i="3"/>
  <c r="W162" i="3"/>
  <c r="Y162" i="3"/>
  <c r="U17" i="3"/>
  <c r="V17" i="3"/>
  <c r="W17" i="3"/>
  <c r="Y17" i="3"/>
  <c r="X162" i="3" l="1"/>
  <c r="X147" i="3"/>
  <c r="X150" i="3"/>
  <c r="X185" i="3"/>
  <c r="X17" i="3"/>
  <c r="U60" i="3"/>
  <c r="V60" i="3"/>
  <c r="W60" i="3"/>
  <c r="Y60" i="3"/>
  <c r="U173" i="3"/>
  <c r="V173" i="3"/>
  <c r="W173" i="3"/>
  <c r="Y173" i="3"/>
  <c r="U142" i="3"/>
  <c r="V142" i="3"/>
  <c r="W142" i="3"/>
  <c r="Y142" i="3"/>
  <c r="AJ32" i="1"/>
  <c r="AK32" i="1"/>
  <c r="AL32" i="1"/>
  <c r="AM32" i="1"/>
  <c r="AJ66" i="1"/>
  <c r="AK66" i="1"/>
  <c r="AL66" i="1"/>
  <c r="AM66" i="1"/>
  <c r="AJ126" i="1"/>
  <c r="AK126" i="1"/>
  <c r="AL126" i="1"/>
  <c r="AM126" i="1"/>
  <c r="W4" i="3"/>
  <c r="U20" i="3"/>
  <c r="U62" i="3"/>
  <c r="U27" i="3"/>
  <c r="U48" i="3"/>
  <c r="U153" i="3"/>
  <c r="U135" i="3"/>
  <c r="U32" i="3"/>
  <c r="U205" i="3"/>
  <c r="U136" i="3"/>
  <c r="U35" i="3"/>
  <c r="U16" i="3"/>
  <c r="U109" i="3"/>
  <c r="U201" i="3"/>
  <c r="U131" i="3"/>
  <c r="U186" i="3"/>
  <c r="U25" i="3"/>
  <c r="U144" i="3"/>
  <c r="U15" i="3"/>
  <c r="U118" i="3"/>
  <c r="U141" i="3"/>
  <c r="U155" i="3"/>
  <c r="U132" i="3"/>
  <c r="U129" i="3"/>
  <c r="U117" i="3"/>
  <c r="U6" i="3"/>
  <c r="U10" i="3"/>
  <c r="U122" i="3"/>
  <c r="U115" i="3"/>
  <c r="U191" i="3"/>
  <c r="U43" i="3"/>
  <c r="U13" i="3"/>
  <c r="U12" i="3"/>
  <c r="U51" i="3"/>
  <c r="U114" i="3"/>
  <c r="U127" i="3"/>
  <c r="U50" i="3"/>
  <c r="U7" i="3"/>
  <c r="U75" i="3"/>
  <c r="U9" i="3"/>
  <c r="U189" i="3"/>
  <c r="U4" i="3"/>
  <c r="W20" i="3"/>
  <c r="W62" i="3"/>
  <c r="W27" i="3"/>
  <c r="W48" i="3"/>
  <c r="W153" i="3"/>
  <c r="W135" i="3"/>
  <c r="W32" i="3"/>
  <c r="W205" i="3"/>
  <c r="W136" i="3"/>
  <c r="W35" i="3"/>
  <c r="W16" i="3"/>
  <c r="W109" i="3"/>
  <c r="W201" i="3"/>
  <c r="W131" i="3"/>
  <c r="W186" i="3"/>
  <c r="W25" i="3"/>
  <c r="W144" i="3"/>
  <c r="W15" i="3"/>
  <c r="W118" i="3"/>
  <c r="W141" i="3"/>
  <c r="W155" i="3"/>
  <c r="W132" i="3"/>
  <c r="W129" i="3"/>
  <c r="W117" i="3"/>
  <c r="W6" i="3"/>
  <c r="W10" i="3"/>
  <c r="W122" i="3"/>
  <c r="W115" i="3"/>
  <c r="W191" i="3"/>
  <c r="W43" i="3"/>
  <c r="W13" i="3"/>
  <c r="W12" i="3"/>
  <c r="W51" i="3"/>
  <c r="W114" i="3"/>
  <c r="W127" i="3"/>
  <c r="W50" i="3"/>
  <c r="W7" i="3"/>
  <c r="W75" i="3"/>
  <c r="W9" i="3"/>
  <c r="W189" i="3"/>
  <c r="AK5" i="1"/>
  <c r="AK11" i="1"/>
  <c r="AK151" i="1"/>
  <c r="AK47" i="1"/>
  <c r="AK7" i="1"/>
  <c r="AK130" i="1"/>
  <c r="AK35" i="1"/>
  <c r="AK109" i="1"/>
  <c r="AK115" i="1"/>
  <c r="AK112" i="1"/>
  <c r="AK19" i="1"/>
  <c r="AK144" i="1"/>
  <c r="AK54" i="1"/>
  <c r="AK164" i="1"/>
  <c r="AK14" i="1"/>
  <c r="AK169" i="1"/>
  <c r="AK119" i="1"/>
  <c r="AK17" i="1"/>
  <c r="AK196" i="1"/>
  <c r="AK43" i="1"/>
  <c r="AK114" i="1"/>
  <c r="AK25" i="1"/>
  <c r="AK10" i="1"/>
  <c r="AK166" i="1"/>
  <c r="AK41" i="1"/>
  <c r="AK18" i="1"/>
  <c r="AK153" i="1"/>
  <c r="AK192" i="1"/>
  <c r="AK132" i="1"/>
  <c r="AK90" i="1"/>
  <c r="AK137" i="1"/>
  <c r="AK28" i="1"/>
  <c r="AK200" i="1"/>
  <c r="AK70" i="1"/>
  <c r="AK157" i="1"/>
  <c r="AK46" i="1"/>
  <c r="AK23" i="1"/>
  <c r="AK181" i="1"/>
  <c r="AK26" i="1"/>
  <c r="AK20" i="1"/>
  <c r="AK39" i="1"/>
  <c r="AK16" i="1"/>
  <c r="AK34" i="1"/>
  <c r="AK185" i="1"/>
  <c r="AK110" i="1"/>
  <c r="AK48" i="1"/>
  <c r="AK21" i="1"/>
  <c r="AK159" i="1"/>
  <c r="AK57" i="1"/>
  <c r="AK161" i="1"/>
  <c r="AK72" i="1"/>
  <c r="AK30" i="1"/>
  <c r="AK123" i="1"/>
  <c r="AK108" i="1"/>
  <c r="AK171" i="1"/>
  <c r="AK58" i="1"/>
  <c r="AK149" i="1"/>
  <c r="AK51" i="1"/>
  <c r="AK177" i="1"/>
  <c r="AK155" i="1"/>
  <c r="AK179" i="1"/>
  <c r="AK22" i="1"/>
  <c r="AM11" i="1"/>
  <c r="AM35" i="1"/>
  <c r="AM7" i="1"/>
  <c r="AM112" i="1"/>
  <c r="AM130" i="1"/>
  <c r="AM119" i="1"/>
  <c r="AM151" i="1"/>
  <c r="AM109" i="1"/>
  <c r="AM115" i="1"/>
  <c r="AM10" i="1"/>
  <c r="AM47" i="1"/>
  <c r="AM166" i="1"/>
  <c r="AM54" i="1"/>
  <c r="AM144" i="1"/>
  <c r="AM18" i="1"/>
  <c r="AM41" i="1"/>
  <c r="AM114" i="1"/>
  <c r="AM19" i="1"/>
  <c r="AM43" i="1"/>
  <c r="AM137" i="1"/>
  <c r="AM164" i="1"/>
  <c r="AM169" i="1"/>
  <c r="AM28" i="1"/>
  <c r="AM46" i="1"/>
  <c r="AM192" i="1"/>
  <c r="AM181" i="1"/>
  <c r="AM70" i="1"/>
  <c r="AM90" i="1"/>
  <c r="AM14" i="1"/>
  <c r="AM196" i="1"/>
  <c r="AM132" i="1"/>
  <c r="AM153" i="1"/>
  <c r="AM16" i="1"/>
  <c r="AM108" i="1"/>
  <c r="AM200" i="1"/>
  <c r="AM34" i="1"/>
  <c r="AM23" i="1"/>
  <c r="AM110" i="1"/>
  <c r="AM157" i="1"/>
  <c r="AM17" i="1"/>
  <c r="AM161" i="1"/>
  <c r="AM25" i="1"/>
  <c r="AM21" i="1"/>
  <c r="AM72" i="1"/>
  <c r="AM30" i="1"/>
  <c r="AM123" i="1"/>
  <c r="AM39" i="1"/>
  <c r="AM185" i="1"/>
  <c r="AM20" i="1"/>
  <c r="AM26" i="1"/>
  <c r="AM48" i="1"/>
  <c r="AM159" i="1"/>
  <c r="AM58" i="1"/>
  <c r="AM179" i="1"/>
  <c r="AM22" i="1"/>
  <c r="AM57" i="1"/>
  <c r="AM177" i="1"/>
  <c r="AM149" i="1"/>
  <c r="AM51" i="1"/>
  <c r="AM155" i="1"/>
  <c r="AM171" i="1"/>
  <c r="AM5" i="1"/>
  <c r="AI5" i="1"/>
  <c r="AJ11" i="1"/>
  <c r="AJ35" i="1"/>
  <c r="AJ7" i="1"/>
  <c r="AJ112" i="1"/>
  <c r="AJ130" i="1"/>
  <c r="AJ119" i="1"/>
  <c r="AJ151" i="1"/>
  <c r="AJ109" i="1"/>
  <c r="AJ115" i="1"/>
  <c r="AJ10" i="1"/>
  <c r="AJ47" i="1"/>
  <c r="AJ166" i="1"/>
  <c r="AJ54" i="1"/>
  <c r="AJ144" i="1"/>
  <c r="AJ18" i="1"/>
  <c r="AJ41" i="1"/>
  <c r="AJ114" i="1"/>
  <c r="AJ19" i="1"/>
  <c r="AJ43" i="1"/>
  <c r="AJ137" i="1"/>
  <c r="AJ164" i="1"/>
  <c r="AJ169" i="1"/>
  <c r="AJ28" i="1"/>
  <c r="AJ46" i="1"/>
  <c r="AJ192" i="1"/>
  <c r="AJ181" i="1"/>
  <c r="AJ70" i="1"/>
  <c r="AJ90" i="1"/>
  <c r="AJ14" i="1"/>
  <c r="AJ196" i="1"/>
  <c r="AJ132" i="1"/>
  <c r="AJ153" i="1"/>
  <c r="AJ16" i="1"/>
  <c r="AJ108" i="1"/>
  <c r="AJ200" i="1"/>
  <c r="AJ34" i="1"/>
  <c r="AJ23" i="1"/>
  <c r="AJ110" i="1"/>
  <c r="AJ157" i="1"/>
  <c r="AJ17" i="1"/>
  <c r="AJ161" i="1"/>
  <c r="AJ25" i="1"/>
  <c r="AJ21" i="1"/>
  <c r="AJ72" i="1"/>
  <c r="AJ30" i="1"/>
  <c r="AJ123" i="1"/>
  <c r="AJ39" i="1"/>
  <c r="AJ185" i="1"/>
  <c r="AJ20" i="1"/>
  <c r="AJ26" i="1"/>
  <c r="AJ48" i="1"/>
  <c r="AJ159" i="1"/>
  <c r="AJ58" i="1"/>
  <c r="AJ179" i="1"/>
  <c r="AJ22" i="1"/>
  <c r="AJ57" i="1"/>
  <c r="AJ177" i="1"/>
  <c r="AJ149" i="1"/>
  <c r="AJ51" i="1"/>
  <c r="AJ155" i="1"/>
  <c r="AJ171" i="1"/>
  <c r="AJ5" i="1"/>
  <c r="V15" i="3"/>
  <c r="Y15" i="3"/>
  <c r="V16" i="3"/>
  <c r="Y16" i="3"/>
  <c r="V205" i="3"/>
  <c r="Y205" i="3"/>
  <c r="V109" i="3"/>
  <c r="Y109" i="3"/>
  <c r="V135" i="3"/>
  <c r="Y135" i="3"/>
  <c r="V32" i="3"/>
  <c r="Y32" i="3"/>
  <c r="V51" i="3"/>
  <c r="Y51" i="3"/>
  <c r="V115" i="3"/>
  <c r="Y115" i="3"/>
  <c r="V136" i="3"/>
  <c r="Y136" i="3"/>
  <c r="V141" i="3"/>
  <c r="Y141" i="3"/>
  <c r="V13" i="3"/>
  <c r="Y13" i="3"/>
  <c r="V127" i="3"/>
  <c r="Y127" i="3"/>
  <c r="V9" i="3"/>
  <c r="Y9" i="3"/>
  <c r="V132" i="3"/>
  <c r="Y132" i="3"/>
  <c r="V43" i="3"/>
  <c r="Y43" i="3"/>
  <c r="V191" i="3"/>
  <c r="Y191" i="3"/>
  <c r="V186" i="3"/>
  <c r="Y186" i="3"/>
  <c r="V10" i="3"/>
  <c r="Y10" i="3"/>
  <c r="V144" i="3"/>
  <c r="Y144" i="3"/>
  <c r="V118" i="3"/>
  <c r="Y118" i="3"/>
  <c r="V25" i="3"/>
  <c r="Y25" i="3"/>
  <c r="V117" i="3"/>
  <c r="Y117" i="3"/>
  <c r="V201" i="3"/>
  <c r="Y201" i="3"/>
  <c r="V129" i="3"/>
  <c r="Y129" i="3"/>
  <c r="V6" i="3"/>
  <c r="Y6" i="3"/>
  <c r="V7" i="3"/>
  <c r="Y7" i="3"/>
  <c r="V12" i="3"/>
  <c r="Y12" i="3"/>
  <c r="V50" i="3"/>
  <c r="Y50" i="3"/>
  <c r="V155" i="3"/>
  <c r="Y155" i="3"/>
  <c r="V122" i="3"/>
  <c r="Y122" i="3"/>
  <c r="V75" i="3"/>
  <c r="Y75" i="3"/>
  <c r="V189" i="3"/>
  <c r="Y189" i="3"/>
  <c r="V114" i="3"/>
  <c r="Y114" i="3"/>
  <c r="V4" i="3"/>
  <c r="Y27" i="3"/>
  <c r="Y62" i="3"/>
  <c r="Y20" i="3"/>
  <c r="Y153" i="3"/>
  <c r="Y48" i="3"/>
  <c r="Y131" i="3"/>
  <c r="Y35" i="3"/>
  <c r="V27" i="3"/>
  <c r="V62" i="3"/>
  <c r="V20" i="3"/>
  <c r="V153" i="3"/>
  <c r="V48" i="3"/>
  <c r="V131" i="3"/>
  <c r="V35" i="3"/>
  <c r="AL110" i="1"/>
  <c r="AL132" i="1"/>
  <c r="AL26" i="1"/>
  <c r="AL17" i="1"/>
  <c r="AL57" i="1"/>
  <c r="AL185" i="1"/>
  <c r="AL112" i="1"/>
  <c r="AL22" i="1"/>
  <c r="AL155" i="1"/>
  <c r="AL115" i="1"/>
  <c r="AL54" i="1"/>
  <c r="AL11" i="1"/>
  <c r="AL72" i="1"/>
  <c r="AL164" i="1"/>
  <c r="AL171" i="1"/>
  <c r="AL144" i="1"/>
  <c r="AL25" i="1"/>
  <c r="AL7" i="1"/>
  <c r="AL21" i="1"/>
  <c r="AL123" i="1"/>
  <c r="AL153" i="1"/>
  <c r="AL58" i="1"/>
  <c r="AL10" i="1"/>
  <c r="AL151" i="1"/>
  <c r="AL161" i="1"/>
  <c r="AL200" i="1"/>
  <c r="AL41" i="1"/>
  <c r="AL109" i="1"/>
  <c r="AL114" i="1"/>
  <c r="AL20" i="1"/>
  <c r="AL149" i="1"/>
  <c r="AL47" i="1"/>
  <c r="AL137" i="1"/>
  <c r="AL159" i="1"/>
  <c r="AL108" i="1"/>
  <c r="AL196" i="1"/>
  <c r="AL169" i="1"/>
  <c r="AL34" i="1"/>
  <c r="AL14" i="1"/>
  <c r="AL35" i="1"/>
  <c r="AL16" i="1"/>
  <c r="AL130" i="1"/>
  <c r="AL30" i="1"/>
  <c r="AL119" i="1"/>
  <c r="AL46" i="1"/>
  <c r="AL51" i="1"/>
  <c r="AL48" i="1"/>
  <c r="AL19" i="1"/>
  <c r="AL28" i="1"/>
  <c r="AL23" i="1"/>
  <c r="AL70" i="1"/>
  <c r="AL179" i="1"/>
  <c r="AL90" i="1"/>
  <c r="AL39" i="1"/>
  <c r="AL166" i="1"/>
  <c r="AL43" i="1"/>
  <c r="AL157" i="1"/>
  <c r="AL192" i="1"/>
  <c r="AL18" i="1"/>
  <c r="AL177" i="1"/>
  <c r="AL181" i="1"/>
  <c r="A56" i="3" l="1"/>
  <c r="A81" i="3"/>
  <c r="A138" i="3"/>
  <c r="A113" i="3"/>
  <c r="A206" i="3"/>
  <c r="A197" i="3"/>
  <c r="A52" i="3"/>
  <c r="A40" i="3"/>
  <c r="A49" i="3"/>
  <c r="A119" i="3"/>
  <c r="A44" i="3"/>
  <c r="A30" i="3"/>
  <c r="A76" i="3"/>
  <c r="A11" i="3"/>
  <c r="A168" i="3"/>
  <c r="A28" i="3"/>
  <c r="A159" i="3"/>
  <c r="A33" i="3"/>
  <c r="A47" i="3"/>
  <c r="A195" i="3"/>
  <c r="A23" i="3"/>
  <c r="A183" i="3"/>
  <c r="A137" i="3"/>
  <c r="A148" i="3"/>
  <c r="A31" i="3"/>
  <c r="A134" i="3"/>
  <c r="A34" i="3"/>
  <c r="A194" i="3"/>
  <c r="A53" i="3"/>
  <c r="A182" i="3"/>
  <c r="A143" i="3"/>
  <c r="A57" i="3"/>
  <c r="A165" i="3"/>
  <c r="A54" i="3"/>
  <c r="A29" i="3"/>
  <c r="A14" i="3"/>
  <c r="A199" i="3"/>
  <c r="A152" i="3"/>
  <c r="A8" i="3"/>
  <c r="A24" i="3"/>
  <c r="A125" i="3"/>
  <c r="A111" i="3"/>
  <c r="A187" i="3"/>
  <c r="A151" i="3"/>
  <c r="A18" i="3"/>
  <c r="A145" i="3"/>
  <c r="A19" i="3"/>
  <c r="A41" i="3"/>
  <c r="A37" i="3"/>
  <c r="A147" i="3"/>
  <c r="A17" i="3"/>
  <c r="A185" i="3"/>
  <c r="A150" i="3"/>
  <c r="A162" i="3"/>
  <c r="X142" i="3"/>
  <c r="A173" i="3"/>
  <c r="A60" i="3"/>
  <c r="A142" i="3"/>
  <c r="X173" i="3"/>
  <c r="X60" i="3"/>
  <c r="X75" i="3"/>
  <c r="X25" i="3"/>
  <c r="X118" i="3"/>
  <c r="X186" i="3"/>
  <c r="X43" i="3"/>
  <c r="A136" i="3"/>
  <c r="X155" i="3"/>
  <c r="X50" i="3"/>
  <c r="X129" i="3"/>
  <c r="A127" i="3"/>
  <c r="A186" i="3"/>
  <c r="X122" i="3"/>
  <c r="A25" i="3"/>
  <c r="A114" i="3"/>
  <c r="A50" i="3"/>
  <c r="A129" i="3"/>
  <c r="X115" i="3"/>
  <c r="A132" i="3"/>
  <c r="X7" i="3"/>
  <c r="X201" i="3"/>
  <c r="A191" i="3"/>
  <c r="X132" i="3"/>
  <c r="X9" i="3"/>
  <c r="X127" i="3"/>
  <c r="A16" i="3"/>
  <c r="X15" i="3"/>
  <c r="X141" i="3"/>
  <c r="X144" i="3"/>
  <c r="A205" i="3"/>
  <c r="A15" i="3"/>
  <c r="A10" i="3"/>
  <c r="A109" i="3"/>
  <c r="A141" i="3"/>
  <c r="A32" i="3"/>
  <c r="A12" i="3"/>
  <c r="A144" i="3"/>
  <c r="X136" i="3"/>
  <c r="X16" i="3"/>
  <c r="X114" i="3"/>
  <c r="A155" i="3"/>
  <c r="X6" i="3"/>
  <c r="A201" i="3"/>
  <c r="X10" i="3"/>
  <c r="A51" i="3"/>
  <c r="X51" i="3"/>
  <c r="A189" i="3"/>
  <c r="A117" i="3"/>
  <c r="A13" i="3"/>
  <c r="X191" i="3"/>
  <c r="X32" i="3"/>
  <c r="X205" i="3"/>
  <c r="A6" i="3"/>
  <c r="A43" i="3"/>
  <c r="A9" i="3"/>
  <c r="X109" i="3"/>
  <c r="A122" i="3"/>
  <c r="X12" i="3"/>
  <c r="A135" i="3"/>
  <c r="X135" i="3"/>
  <c r="X189" i="3"/>
  <c r="A75" i="3"/>
  <c r="A7" i="3"/>
  <c r="X117" i="3"/>
  <c r="A118" i="3"/>
  <c r="X13" i="3"/>
  <c r="A115" i="3"/>
  <c r="X4" i="3"/>
  <c r="A4" i="3"/>
  <c r="A62" i="3"/>
  <c r="A48" i="3"/>
  <c r="A20" i="3"/>
  <c r="A27" i="3"/>
  <c r="A131" i="3"/>
  <c r="X131" i="3"/>
  <c r="X62" i="3"/>
  <c r="A153" i="3"/>
  <c r="X35" i="3"/>
  <c r="A35" i="3"/>
  <c r="X20" i="3"/>
  <c r="X27" i="3"/>
  <c r="X48" i="3"/>
  <c r="X153" i="3"/>
  <c r="AL5" i="1" l="1"/>
  <c r="A31" i="1" l="1"/>
  <c r="A116" i="1"/>
  <c r="A68" i="1"/>
  <c r="A50" i="1"/>
  <c r="A184" i="1"/>
  <c r="A147" i="1"/>
  <c r="A73" i="1"/>
  <c r="A63" i="1"/>
  <c r="A121" i="1"/>
  <c r="A139" i="1"/>
  <c r="A9" i="1"/>
  <c r="A204" i="1"/>
  <c r="A142" i="1"/>
  <c r="A15" i="1"/>
  <c r="A36" i="1"/>
  <c r="A40" i="1"/>
  <c r="A106" i="1"/>
  <c r="A60" i="1"/>
  <c r="A152" i="1"/>
  <c r="A79" i="1"/>
  <c r="A27" i="1"/>
  <c r="A44" i="1"/>
  <c r="A162" i="1"/>
  <c r="A33" i="1"/>
  <c r="A133" i="1"/>
  <c r="A59" i="1"/>
  <c r="A85" i="1"/>
  <c r="A128" i="1"/>
  <c r="A49" i="1"/>
  <c r="A8" i="1"/>
  <c r="A118" i="1"/>
  <c r="A183" i="1"/>
  <c r="A193" i="1"/>
  <c r="A13" i="1"/>
  <c r="A175" i="1"/>
  <c r="A12" i="1"/>
  <c r="A55" i="1"/>
  <c r="A170" i="1"/>
  <c r="A56" i="1"/>
  <c r="A113" i="1"/>
  <c r="A195" i="1"/>
  <c r="A136" i="1"/>
  <c r="A24" i="1"/>
  <c r="A138" i="1"/>
  <c r="A124" i="1"/>
  <c r="A32" i="1"/>
  <c r="A126" i="1"/>
  <c r="A66" i="1"/>
  <c r="A57" i="1"/>
  <c r="A157" i="1"/>
  <c r="A28" i="1"/>
  <c r="A161" i="1"/>
  <c r="A26" i="1"/>
  <c r="A177" i="1"/>
  <c r="A108" i="1"/>
  <c r="A11" i="1"/>
  <c r="A18" i="1"/>
  <c r="A48" i="1"/>
  <c r="A54" i="1"/>
  <c r="A159" i="1"/>
  <c r="A200" i="1"/>
  <c r="A171" i="1"/>
  <c r="A34" i="1"/>
  <c r="A25" i="1"/>
  <c r="A46" i="1"/>
  <c r="A196" i="1"/>
  <c r="A166" i="1"/>
  <c r="A149" i="1"/>
  <c r="A39" i="1"/>
  <c r="A151" i="1"/>
  <c r="A181" i="1"/>
  <c r="A23" i="1"/>
  <c r="A10" i="1"/>
  <c r="A43" i="1"/>
  <c r="A5" i="1"/>
  <c r="A169" i="1"/>
  <c r="A119" i="1"/>
  <c r="A144" i="1"/>
  <c r="A137" i="1"/>
  <c r="A41" i="1"/>
  <c r="A35" i="1"/>
  <c r="A72" i="1"/>
  <c r="A164" i="1"/>
  <c r="A7" i="1"/>
  <c r="A115" i="1"/>
  <c r="A114" i="1"/>
  <c r="A109" i="1"/>
  <c r="A155" i="1"/>
  <c r="A20" i="1"/>
  <c r="A110" i="1"/>
  <c r="A21" i="1"/>
  <c r="A192" i="1"/>
  <c r="A130" i="1"/>
  <c r="A70" i="1"/>
  <c r="A90" i="1"/>
  <c r="A14" i="1"/>
  <c r="A47" i="1"/>
  <c r="A30" i="1"/>
  <c r="A132" i="1"/>
  <c r="A22" i="1"/>
  <c r="A17" i="1"/>
  <c r="A123" i="1"/>
  <c r="A153" i="1"/>
  <c r="A16" i="1"/>
  <c r="A51" i="1"/>
  <c r="A19" i="1"/>
  <c r="A185" i="1"/>
  <c r="A112" i="1"/>
  <c r="A58" i="1"/>
  <c r="A179" i="1"/>
  <c r="E2" i="2"/>
  <c r="E3" i="2"/>
  <c r="E4" i="2"/>
  <c r="E5" i="2"/>
  <c r="E6" i="2"/>
  <c r="E7" i="2"/>
  <c r="E8" i="2"/>
  <c r="E9" i="2"/>
  <c r="E10" i="2"/>
  <c r="E11" i="2"/>
  <c r="E12" i="2"/>
  <c r="E13" i="2"/>
  <c r="E14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" i="2"/>
  <c r="G2" i="2"/>
  <c r="G3" i="2"/>
  <c r="G4" i="2"/>
  <c r="G5" i="2"/>
  <c r="G6" i="2"/>
  <c r="K6" i="2" s="1"/>
  <c r="G7" i="2"/>
  <c r="K7" i="2" s="1"/>
  <c r="G8" i="2"/>
  <c r="G9" i="2"/>
  <c r="G10" i="2"/>
  <c r="G11" i="2"/>
  <c r="G12" i="2"/>
  <c r="G13" i="2"/>
  <c r="K13" i="2" s="1"/>
  <c r="G14" i="2"/>
  <c r="K14" i="2" s="1"/>
  <c r="G1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" i="2"/>
  <c r="C6" i="2"/>
  <c r="C5" i="2"/>
  <c r="C4" i="2"/>
  <c r="C2" i="2"/>
  <c r="C3" i="2"/>
  <c r="C7" i="2"/>
  <c r="C8" i="2"/>
  <c r="C9" i="2"/>
  <c r="C10" i="2"/>
  <c r="C11" i="2"/>
  <c r="C12" i="2"/>
  <c r="C13" i="2"/>
  <c r="C14" i="2"/>
  <c r="C1" i="2"/>
  <c r="E1" i="2"/>
  <c r="K5" i="2" l="1"/>
  <c r="K9" i="2"/>
  <c r="K10" i="2"/>
  <c r="K2" i="2"/>
  <c r="K11" i="2"/>
  <c r="K3" i="2"/>
  <c r="K1" i="2"/>
  <c r="K4" i="2"/>
  <c r="K12" i="2"/>
  <c r="K8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1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</futureMetadata>
  <valueMetadata count="31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</valueMetadata>
</metadata>
</file>

<file path=xl/sharedStrings.xml><?xml version="1.0" encoding="utf-8"?>
<sst xmlns="http://schemas.openxmlformats.org/spreadsheetml/2006/main" count="2443" uniqueCount="230">
  <si>
    <t>Player</t>
  </si>
  <si>
    <t>Pos</t>
  </si>
  <si>
    <t>Age</t>
  </si>
  <si>
    <t>SS</t>
  </si>
  <si>
    <t>DH</t>
  </si>
  <si>
    <t>3B</t>
  </si>
  <si>
    <t>LF</t>
  </si>
  <si>
    <t>C</t>
  </si>
  <si>
    <t>2B</t>
  </si>
  <si>
    <t>1B</t>
  </si>
  <si>
    <t>RF</t>
  </si>
  <si>
    <t>hitting</t>
  </si>
  <si>
    <t>fielding</t>
  </si>
  <si>
    <t>durabilityhealth</t>
  </si>
  <si>
    <t>total</t>
  </si>
  <si>
    <t>(-2*10^-6)*A1^3+0.00032*A1^2-0.0021*A1</t>
  </si>
  <si>
    <t>P</t>
  </si>
  <si>
    <t>pitching</t>
  </si>
  <si>
    <t>pitches</t>
  </si>
  <si>
    <t>R</t>
  </si>
  <si>
    <t>L</t>
  </si>
  <si>
    <t>S</t>
  </si>
  <si>
    <t>baserunning</t>
  </si>
  <si>
    <t>speed/intangibles</t>
  </si>
  <si>
    <t>durabilitystamina</t>
  </si>
  <si>
    <t>Overall Projection</t>
  </si>
  <si>
    <t>Rnk</t>
  </si>
  <si>
    <t>B</t>
  </si>
  <si>
    <t>T</t>
  </si>
  <si>
    <t>Knotts, Kennie</t>
  </si>
  <si>
    <t>Burkett, Red</t>
  </si>
  <si>
    <t>Craig, Jo-jo</t>
  </si>
  <si>
    <t>Workman, Hub</t>
  </si>
  <si>
    <t>Trujillo, Bob</t>
  </si>
  <si>
    <t>Bowles, Justin</t>
  </si>
  <si>
    <t>Batista, Javy</t>
  </si>
  <si>
    <t>Yount, Phillip</t>
  </si>
  <si>
    <t>Capuano, Boone</t>
  </si>
  <si>
    <t>Henley, Chris</t>
  </si>
  <si>
    <t>Head, Larry</t>
  </si>
  <si>
    <t>Schneider, Jim</t>
  </si>
  <si>
    <t>Phillips, Brian</t>
  </si>
  <si>
    <t>Howard, Phillip</t>
  </si>
  <si>
    <t>Romero, Sam</t>
  </si>
  <si>
    <t>Doster, Theodore</t>
  </si>
  <si>
    <t>Lee, Marino</t>
  </si>
  <si>
    <t>Chang, Calvin</t>
  </si>
  <si>
    <t>Chisenhall, Felix</t>
  </si>
  <si>
    <t>Williamson, Willis</t>
  </si>
  <si>
    <t>Lewis, Joe</t>
  </si>
  <si>
    <t>Riley, Mason</t>
  </si>
  <si>
    <t>Dempster, Aaron</t>
  </si>
  <si>
    <t>Benitez, Tony</t>
  </si>
  <si>
    <t>Hermida, Vincent</t>
  </si>
  <si>
    <t>Dawkins, Marvin</t>
  </si>
  <si>
    <t>Bittle, Tommie</t>
  </si>
  <si>
    <t>Seager, Sean</t>
  </si>
  <si>
    <t>Kent, Stewart</t>
  </si>
  <si>
    <t>Brewington, Beamer</t>
  </si>
  <si>
    <t>Turnbow, Flash</t>
  </si>
  <si>
    <t>Lockwood, Lou</t>
  </si>
  <si>
    <t>Nelson, Kordell</t>
  </si>
  <si>
    <t>Carson, Eric</t>
  </si>
  <si>
    <t>Reagan, Stuffy</t>
  </si>
  <si>
    <t>Griffiths, Eddie</t>
  </si>
  <si>
    <t>Crawford, Sherman</t>
  </si>
  <si>
    <t>Freel, Vinny</t>
  </si>
  <si>
    <t>Surhoff, Teddy</t>
  </si>
  <si>
    <t>Hague, Jecksson</t>
  </si>
  <si>
    <t>Parrott, Matthew</t>
  </si>
  <si>
    <t>Butler, Allen</t>
  </si>
  <si>
    <t>Castro, David</t>
  </si>
  <si>
    <t>Medica, Kirt</t>
  </si>
  <si>
    <t>Gagne, Victor</t>
  </si>
  <si>
    <t>Lee, Carlos</t>
  </si>
  <si>
    <t>Tapies, Matty</t>
  </si>
  <si>
    <t>Wall, Stew</t>
  </si>
  <si>
    <t>Rodriguez, Arquimedes</t>
  </si>
  <si>
    <t>Morey, Goose</t>
  </si>
  <si>
    <t>Whitehead, Kevin</t>
  </si>
  <si>
    <t>Olerud, Eddie</t>
  </si>
  <si>
    <t>Doubront, Damaso</t>
  </si>
  <si>
    <t>Oswalt, Gaylord</t>
  </si>
  <si>
    <t>Cruz, Dilson</t>
  </si>
  <si>
    <t>Bergesen, Pete</t>
  </si>
  <si>
    <t>Mitchell, Jacob</t>
  </si>
  <si>
    <t>Torres, Ed</t>
  </si>
  <si>
    <t>Maduro, Branden</t>
  </si>
  <si>
    <t>Rivers, Denny</t>
  </si>
  <si>
    <t>Burch, Gerald</t>
  </si>
  <si>
    <t>Porter, Fred</t>
  </si>
  <si>
    <t>Camilli, Dustin</t>
  </si>
  <si>
    <t>Wilhelmsen, Trevor</t>
  </si>
  <si>
    <t>Gilmore, Freddie</t>
  </si>
  <si>
    <t>Rain, Abel</t>
  </si>
  <si>
    <t>Torres, Emmanuel</t>
  </si>
  <si>
    <t>Frieri, Omar</t>
  </si>
  <si>
    <t>Chen, Pat</t>
  </si>
  <si>
    <t>Jodie, Roy</t>
  </si>
  <si>
    <t>Grahe, Jonathan</t>
  </si>
  <si>
    <t>Brooks, Jody</t>
  </si>
  <si>
    <t>Garza, Hector</t>
  </si>
  <si>
    <t>Miles, Scott</t>
  </si>
  <si>
    <t>Montas, Marquis</t>
  </si>
  <si>
    <t>Figureoa, Julio</t>
  </si>
  <si>
    <t>Osich, Kenny</t>
  </si>
  <si>
    <t>Swift, Brent</t>
  </si>
  <si>
    <t>Cruz, Carlos</t>
  </si>
  <si>
    <t>Guzman, Ivan</t>
  </si>
  <si>
    <t>Paredes, Joaquin</t>
  </si>
  <si>
    <t>Darwin, Kareem</t>
  </si>
  <si>
    <t>Travis, Pierce</t>
  </si>
  <si>
    <t>McDade, Marshall</t>
  </si>
  <si>
    <t>Lee, Jerry</t>
  </si>
  <si>
    <t>Jefferson, Cameron</t>
  </si>
  <si>
    <t>Bantz, Mickey</t>
  </si>
  <si>
    <t>Telis, Victor</t>
  </si>
  <si>
    <t>McKay, Roy</t>
  </si>
  <si>
    <t>Bridges, Luther</t>
  </si>
  <si>
    <t>Woodall, Timothy</t>
  </si>
  <si>
    <t>Adams, Jett</t>
  </si>
  <si>
    <t>Rolls, Tom</t>
  </si>
  <si>
    <t>McCormick, Terrence</t>
  </si>
  <si>
    <t>Stairs, Leo</t>
  </si>
  <si>
    <t>Kintzler, Sonny</t>
  </si>
  <si>
    <t>Garcia, Jerrud</t>
  </si>
  <si>
    <t>Ward, Ken</t>
  </si>
  <si>
    <t>Rodgers, Gil</t>
  </si>
  <si>
    <t>Conger, Bud</t>
  </si>
  <si>
    <t>Lowry, Howard</t>
  </si>
  <si>
    <t>Buford, Aaron</t>
  </si>
  <si>
    <t>Schoop, Yogi</t>
  </si>
  <si>
    <t>Brandt, Vin</t>
  </si>
  <si>
    <t>Milton, Rick</t>
  </si>
  <si>
    <t>Carter, Freddie</t>
  </si>
  <si>
    <t>Egan, Jody</t>
  </si>
  <si>
    <t>Killefer, Daniel</t>
  </si>
  <si>
    <t>Constanza, Brian</t>
  </si>
  <si>
    <t>Delgado, Tomas</t>
  </si>
  <si>
    <t>Ordonez, Del</t>
  </si>
  <si>
    <t>Cunnane, Herb</t>
  </si>
  <si>
    <t>Bastardo, Juan</t>
  </si>
  <si>
    <t>Viciedo, Everth</t>
  </si>
  <si>
    <t>Paulson, Dusty</t>
  </si>
  <si>
    <t>Krause, Randy</t>
  </si>
  <si>
    <t>Walls, Joe</t>
  </si>
  <si>
    <t>Esposito, Rafael</t>
  </si>
  <si>
    <t>Below, Rick</t>
  </si>
  <si>
    <t>Stevenson, Bob</t>
  </si>
  <si>
    <t>Teixeira, Howie</t>
  </si>
  <si>
    <t>Drese, Sid</t>
  </si>
  <si>
    <t>Ordonez, Kendrys</t>
  </si>
  <si>
    <t>Jenkins, Chaz</t>
  </si>
  <si>
    <t>Terrero, Osvaldo</t>
  </si>
  <si>
    <t>Pfisterer, Randal</t>
  </si>
  <si>
    <t>Buckley, Phillippe</t>
  </si>
  <si>
    <t>Camilli, Billy Ray</t>
  </si>
  <si>
    <t>Delcarmen, Richie</t>
  </si>
  <si>
    <t>Watson, Roy</t>
  </si>
  <si>
    <t>Kirk, Clinton</t>
  </si>
  <si>
    <t>Henry, Ron</t>
  </si>
  <si>
    <t>Hendrick, Tim</t>
  </si>
  <si>
    <t>Garcia, Cody</t>
  </si>
  <si>
    <t>Fleming, Morgan</t>
  </si>
  <si>
    <t>Walker, Willie</t>
  </si>
  <si>
    <t>Mullin, Ted</t>
  </si>
  <si>
    <t>Garko, Dustin</t>
  </si>
  <si>
    <t>Relaford, Tex</t>
  </si>
  <si>
    <t>Henry, Chipper</t>
  </si>
  <si>
    <t>Morris, Blake</t>
  </si>
  <si>
    <t>Gallagher, Vance</t>
  </si>
  <si>
    <t>Martin, Placido</t>
  </si>
  <si>
    <t>Lennon, Dennis</t>
  </si>
  <si>
    <t>Scheffer, Jimmy</t>
  </si>
  <si>
    <t>Barnum, Fred</t>
  </si>
  <si>
    <t>Sewell, Bruce</t>
  </si>
  <si>
    <t>Lynn, Lyle</t>
  </si>
  <si>
    <t>Stowers, Bill</t>
  </si>
  <si>
    <t>Rhodes, Chadd</t>
  </si>
  <si>
    <t>Quinlan, Drake</t>
  </si>
  <si>
    <t>Lombard, Allen</t>
  </si>
  <si>
    <t>Fleming, Tommy</t>
  </si>
  <si>
    <t>Lamm, Duke</t>
  </si>
  <si>
    <t>Wagner, Doug</t>
  </si>
  <si>
    <t>Cordero, Alfredo</t>
  </si>
  <si>
    <t>Randolph, Jamie</t>
  </si>
  <si>
    <t>Greinke, Trayce</t>
  </si>
  <si>
    <t>Giles, Matt</t>
  </si>
  <si>
    <t>Cashman, Tony</t>
  </si>
  <si>
    <t>Carlson, Jon</t>
  </si>
  <si>
    <t>Toregas, Alexei</t>
  </si>
  <si>
    <t>Ryan, Sal</t>
  </si>
  <si>
    <t>Oliva, Julian</t>
  </si>
  <si>
    <t>Spencer, Bret</t>
  </si>
  <si>
    <t>Kerr, Roger</t>
  </si>
  <si>
    <t>Elcano, Dilson</t>
  </si>
  <si>
    <t>Diaz, Dante</t>
  </si>
  <si>
    <t>Leskanic, Gene</t>
  </si>
  <si>
    <t>Garland, Darryl</t>
  </si>
  <si>
    <t>Ruf, Todd</t>
  </si>
  <si>
    <t>Taylor, Lonnie</t>
  </si>
  <si>
    <t>Shirley, Darrell</t>
  </si>
  <si>
    <t>Ogea, Ryan</t>
  </si>
  <si>
    <t>Young, Kevin</t>
  </si>
  <si>
    <t>Drabek, Darren</t>
  </si>
  <si>
    <t>Monzon, Gabby</t>
  </si>
  <si>
    <t>Jacobson, Stephen</t>
  </si>
  <si>
    <t>Abreu, Jesus</t>
  </si>
  <si>
    <t>Bolick, Christopher</t>
  </si>
  <si>
    <t>Ishii, O'Koyea</t>
  </si>
  <si>
    <t>Yoshii, Del</t>
  </si>
  <si>
    <t>Bullinger, Woodie</t>
  </si>
  <si>
    <t>Amaro, Alving</t>
  </si>
  <si>
    <t>Martinez, Angel</t>
  </si>
  <si>
    <t>Alexander, Levi</t>
  </si>
  <si>
    <t>Milliard, Gary</t>
  </si>
  <si>
    <t>Morton, Mike</t>
  </si>
  <si>
    <t>Hernandez, Dale</t>
  </si>
  <si>
    <t>Taylor, Freddy</t>
  </si>
  <si>
    <t>Mazzaro, Burch</t>
  </si>
  <si>
    <t>Castillo, Juan</t>
  </si>
  <si>
    <t>Cunningham, Clem</t>
  </si>
  <si>
    <t>Aybar, Addison</t>
  </si>
  <si>
    <t>Vaughn, Lawrence</t>
  </si>
  <si>
    <t>Reynoso, Leandro</t>
  </si>
  <si>
    <t>Graves, Dion</t>
  </si>
  <si>
    <t>Ayala, R.J.</t>
  </si>
  <si>
    <t>Murray, Cap</t>
  </si>
  <si>
    <t>Slaughter, Milt</t>
  </si>
  <si>
    <t>Happ, Jon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</si>
</sst>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Calibri"/>
      <family val="2"/>
      <scheme val="minor"/>
    </font>
    <font>
      <b/>
      <sz val="8"/>
      <color rgb="FF242022"/>
      <name val="Tahoma"/>
      <family val="2"/>
    </font>
    <font>
      <u/>
      <sz val="11"/>
      <color theme="10"/>
      <name val="Calibri"/>
      <family val="2"/>
    </font>
    <font>
      <b/>
      <sz val="11"/>
      <color theme="1"/>
      <name val="Calibri"/>
      <family val="2"/>
      <scheme val="minor"/>
    </font>
    <font>
      <b/>
      <u/>
      <sz val="11"/>
      <color theme="10"/>
      <name val="Calibri"/>
      <family val="2"/>
    </font>
    <font>
      <b/>
      <sz val="7"/>
      <color rgb="FF000000"/>
      <name val="Tahoma"/>
      <family val="2"/>
    </font>
    <font>
      <sz val="7"/>
      <color rgb="FF000000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CCBEB8"/>
        <bgColor indexed="64"/>
      </patternFill>
    </fill>
    <fill>
      <patternFill patternType="solid">
        <fgColor rgb="FFDEDDD5"/>
        <bgColor indexed="64"/>
      </patternFill>
    </fill>
    <fill>
      <patternFill patternType="solid">
        <fgColor rgb="FFF1F1F1"/>
        <bgColor indexed="64"/>
      </patternFill>
    </fill>
    <fill>
      <patternFill patternType="solid">
        <fgColor rgb="FFB8B6AF"/>
        <bgColor indexed="64"/>
      </patternFill>
    </fill>
  </fills>
  <borders count="9">
    <border>
      <left/>
      <right/>
      <top/>
      <bottom/>
      <diagonal/>
    </border>
    <border>
      <left style="medium">
        <color rgb="FFBCA399"/>
      </left>
      <right style="medium">
        <color rgb="FFBCA399"/>
      </right>
      <top style="medium">
        <color rgb="FFBCA399"/>
      </top>
      <bottom style="medium">
        <color rgb="FFBCA399"/>
      </bottom>
      <diagonal/>
    </border>
    <border>
      <left style="medium">
        <color rgb="FFBCA399"/>
      </left>
      <right/>
      <top style="medium">
        <color rgb="FFBCA399"/>
      </top>
      <bottom style="medium">
        <color rgb="FFBCA399"/>
      </bottom>
      <diagonal/>
    </border>
    <border>
      <left/>
      <right/>
      <top style="medium">
        <color rgb="FFBCA399"/>
      </top>
      <bottom style="medium">
        <color rgb="FFBCA399"/>
      </bottom>
      <diagonal/>
    </border>
    <border>
      <left/>
      <right style="medium">
        <color rgb="FFBCA399"/>
      </right>
      <top style="medium">
        <color rgb="FFBCA399"/>
      </top>
      <bottom style="medium">
        <color rgb="FFBCA399"/>
      </bottom>
      <diagonal/>
    </border>
    <border>
      <left style="medium">
        <color rgb="FFBCA399"/>
      </left>
      <right style="medium">
        <color rgb="FFBCA399"/>
      </right>
      <top/>
      <bottom/>
      <diagonal/>
    </border>
    <border>
      <left style="medium">
        <color rgb="FFBCA399"/>
      </left>
      <right/>
      <top/>
      <bottom/>
      <diagonal/>
    </border>
    <border>
      <left/>
      <right/>
      <top/>
      <bottom style="medium">
        <color rgb="FFCCCBC4"/>
      </bottom>
      <diagonal/>
    </border>
    <border>
      <left style="medium">
        <color rgb="FFCCCBC4"/>
      </left>
      <right/>
      <top/>
      <bottom style="medium">
        <color rgb="FFCCCBC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1" applyFill="1" applyBorder="1" applyAlignment="1" applyProtection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44" fontId="2" fillId="2" borderId="1" xfId="1" applyNumberFormat="1" applyFill="1" applyBorder="1" applyAlignment="1" applyProtection="1">
      <alignment horizontal="center" vertical="center" wrapText="1"/>
    </xf>
    <xf numFmtId="44" fontId="0" fillId="0" borderId="0" xfId="0" applyNumberFormat="1"/>
    <xf numFmtId="0" fontId="3" fillId="0" borderId="0" xfId="0" applyFont="1"/>
    <xf numFmtId="0" fontId="1" fillId="2" borderId="3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4" fillId="2" borderId="1" xfId="1" applyFont="1" applyFill="1" applyBorder="1" applyAlignment="1" applyProtection="1">
      <alignment horizontal="center" vertical="center" wrapText="1"/>
    </xf>
    <xf numFmtId="0" fontId="2" fillId="4" borderId="8" xfId="1" applyFill="1" applyBorder="1" applyAlignment="1" applyProtection="1">
      <alignment horizontal="left" vertical="center"/>
    </xf>
    <xf numFmtId="0" fontId="2" fillId="3" borderId="8" xfId="1" applyFill="1" applyBorder="1" applyAlignment="1" applyProtection="1">
      <alignment horizontal="left" vertical="center"/>
    </xf>
    <xf numFmtId="0" fontId="2" fillId="5" borderId="0" xfId="1" applyFill="1" applyAlignment="1" applyProtection="1">
      <alignment horizontal="left" vertical="center"/>
    </xf>
    <xf numFmtId="0" fontId="2" fillId="5" borderId="0" xfId="1" applyFill="1" applyAlignment="1" applyProtection="1">
      <alignment horizontal="left" vertical="center" wrapText="1"/>
    </xf>
    <xf numFmtId="0" fontId="2" fillId="5" borderId="0" xfId="1" applyFill="1" applyAlignment="1" applyProtection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6" fillId="4" borderId="7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og"/>
            <c:dispRSqr val="0"/>
            <c:dispEq val="0"/>
          </c:trendline>
          <c:trendline>
            <c:trendlineType val="poly"/>
            <c:order val="3"/>
            <c:dispRSqr val="0"/>
            <c:dispEq val="0"/>
          </c:trendline>
          <c:trendline>
            <c:trendlineType val="poly"/>
            <c:order val="3"/>
            <c:dispRSqr val="0"/>
            <c:dispEq val="1"/>
            <c:trendlineLbl>
              <c:numFmt formatCode="General" sourceLinked="0"/>
            </c:trendlineLbl>
          </c:trendline>
          <c:xVal>
            <c:numRef>
              <c:f>Algorithm!$A$1:$A$14</c:f>
              <c:numCache>
                <c:formatCode>General</c:formatCode>
                <c:ptCount val="14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22</c:v>
                </c:pt>
                <c:pt idx="4">
                  <c:v>24</c:v>
                </c:pt>
                <c:pt idx="5">
                  <c:v>26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90</c:v>
                </c:pt>
                <c:pt idx="13">
                  <c:v>100</c:v>
                </c:pt>
              </c:numCache>
            </c:numRef>
          </c:xVal>
          <c:yVal>
            <c:numRef>
              <c:f>Algorithm!$B$1:$B$14</c:f>
              <c:numCache>
                <c:formatCode>General</c:formatCode>
                <c:ptCount val="14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0.11</c:v>
                </c:pt>
                <c:pt idx="4">
                  <c:v>0.12</c:v>
                </c:pt>
                <c:pt idx="5">
                  <c:v>0.13</c:v>
                </c:pt>
                <c:pt idx="6">
                  <c:v>0.15</c:v>
                </c:pt>
                <c:pt idx="7">
                  <c:v>0.3</c:v>
                </c:pt>
                <c:pt idx="8">
                  <c:v>0.45</c:v>
                </c:pt>
                <c:pt idx="9">
                  <c:v>0.6</c:v>
                </c:pt>
                <c:pt idx="10">
                  <c:v>0.75</c:v>
                </c:pt>
                <c:pt idx="11">
                  <c:v>0.85</c:v>
                </c:pt>
                <c:pt idx="12">
                  <c:v>0.95</c:v>
                </c:pt>
                <c:pt idx="1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4F8-48DE-A4BA-FD6406431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9964032"/>
        <c:axId val="157220864"/>
      </c:scatterChart>
      <c:valAx>
        <c:axId val="2299640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57220864"/>
        <c:crosses val="autoZero"/>
        <c:crossBetween val="midCat"/>
      </c:valAx>
      <c:valAx>
        <c:axId val="15722086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2996403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1" l="0.70000000000000062" r="0.70000000000000062" t="0.750000000000001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39.gif"/><Relationship Id="rId13" Type="http://schemas.openxmlformats.org/officeDocument/2006/relationships/image" Target="../media/image43.gif"/><Relationship Id="rId18" Type="http://schemas.openxmlformats.org/officeDocument/2006/relationships/image" Target="../media/image48.gif"/><Relationship Id="rId3" Type="http://schemas.openxmlformats.org/officeDocument/2006/relationships/image" Target="../media/image34.gif"/><Relationship Id="rId21" Type="http://schemas.openxmlformats.org/officeDocument/2006/relationships/image" Target="../media/image51.gif"/><Relationship Id="rId7" Type="http://schemas.openxmlformats.org/officeDocument/2006/relationships/image" Target="../media/image38.gif"/><Relationship Id="rId12" Type="http://schemas.openxmlformats.org/officeDocument/2006/relationships/image" Target="../media/image42.gif"/><Relationship Id="rId17" Type="http://schemas.openxmlformats.org/officeDocument/2006/relationships/image" Target="../media/image47.gif"/><Relationship Id="rId2" Type="http://schemas.openxmlformats.org/officeDocument/2006/relationships/image" Target="../media/image33.gif"/><Relationship Id="rId16" Type="http://schemas.openxmlformats.org/officeDocument/2006/relationships/image" Target="../media/image46.gif"/><Relationship Id="rId20" Type="http://schemas.openxmlformats.org/officeDocument/2006/relationships/image" Target="../media/image50.gif"/><Relationship Id="rId1" Type="http://schemas.openxmlformats.org/officeDocument/2006/relationships/image" Target="../media/image32.gif"/><Relationship Id="rId6" Type="http://schemas.openxmlformats.org/officeDocument/2006/relationships/image" Target="../media/image37.gif"/><Relationship Id="rId11" Type="http://schemas.openxmlformats.org/officeDocument/2006/relationships/image" Target="../media/image41.gif"/><Relationship Id="rId5" Type="http://schemas.openxmlformats.org/officeDocument/2006/relationships/image" Target="../media/image36.gif"/><Relationship Id="rId15" Type="http://schemas.openxmlformats.org/officeDocument/2006/relationships/image" Target="../media/image45.gif"/><Relationship Id="rId10" Type="http://schemas.openxmlformats.org/officeDocument/2006/relationships/hyperlink" Target="https://www.whatifsports.com/hbd/Pages/GM/AmateurDraftPlayerPool.aspx" TargetMode="External"/><Relationship Id="rId19" Type="http://schemas.openxmlformats.org/officeDocument/2006/relationships/image" Target="../media/image49.gif"/><Relationship Id="rId4" Type="http://schemas.openxmlformats.org/officeDocument/2006/relationships/image" Target="../media/image35.gif"/><Relationship Id="rId9" Type="http://schemas.openxmlformats.org/officeDocument/2006/relationships/image" Target="../media/image40.gif"/><Relationship Id="rId14" Type="http://schemas.openxmlformats.org/officeDocument/2006/relationships/image" Target="../media/image44.gif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57.gif"/><Relationship Id="rId13" Type="http://schemas.openxmlformats.org/officeDocument/2006/relationships/image" Target="../media/image62.gif"/><Relationship Id="rId18" Type="http://schemas.openxmlformats.org/officeDocument/2006/relationships/image" Target="../media/image41.gif"/><Relationship Id="rId3" Type="http://schemas.openxmlformats.org/officeDocument/2006/relationships/image" Target="../media/image52.gif"/><Relationship Id="rId21" Type="http://schemas.openxmlformats.org/officeDocument/2006/relationships/image" Target="../media/image40.gif"/><Relationship Id="rId7" Type="http://schemas.openxmlformats.org/officeDocument/2006/relationships/image" Target="../media/image56.gif"/><Relationship Id="rId12" Type="http://schemas.openxmlformats.org/officeDocument/2006/relationships/image" Target="../media/image61.gif"/><Relationship Id="rId17" Type="http://schemas.openxmlformats.org/officeDocument/2006/relationships/image" Target="../media/image39.gif"/><Relationship Id="rId2" Type="http://schemas.openxmlformats.org/officeDocument/2006/relationships/image" Target="../media/image32.gif"/><Relationship Id="rId16" Type="http://schemas.openxmlformats.org/officeDocument/2006/relationships/image" Target="../media/image38.gif"/><Relationship Id="rId20" Type="http://schemas.openxmlformats.org/officeDocument/2006/relationships/image" Target="../media/image43.gif"/><Relationship Id="rId1" Type="http://schemas.openxmlformats.org/officeDocument/2006/relationships/image" Target="../media/image44.gif"/><Relationship Id="rId6" Type="http://schemas.openxmlformats.org/officeDocument/2006/relationships/image" Target="../media/image55.gif"/><Relationship Id="rId11" Type="http://schemas.openxmlformats.org/officeDocument/2006/relationships/image" Target="../media/image60.gif"/><Relationship Id="rId24" Type="http://schemas.openxmlformats.org/officeDocument/2006/relationships/image" Target="../media/image47.gif"/><Relationship Id="rId5" Type="http://schemas.openxmlformats.org/officeDocument/2006/relationships/image" Target="../media/image54.gif"/><Relationship Id="rId15" Type="http://schemas.openxmlformats.org/officeDocument/2006/relationships/image" Target="../media/image48.gif"/><Relationship Id="rId23" Type="http://schemas.openxmlformats.org/officeDocument/2006/relationships/image" Target="../media/image46.gif"/><Relationship Id="rId10" Type="http://schemas.openxmlformats.org/officeDocument/2006/relationships/image" Target="../media/image59.gif"/><Relationship Id="rId19" Type="http://schemas.openxmlformats.org/officeDocument/2006/relationships/image" Target="../media/image42.gif"/><Relationship Id="rId4" Type="http://schemas.openxmlformats.org/officeDocument/2006/relationships/image" Target="../media/image53.gif"/><Relationship Id="rId9" Type="http://schemas.openxmlformats.org/officeDocument/2006/relationships/image" Target="../media/image58.gif"/><Relationship Id="rId14" Type="http://schemas.openxmlformats.org/officeDocument/2006/relationships/hyperlink" Target="https://www.whatifsports.com/hbd/Pages/GM/AmateurDraftPlayerPool.aspx" TargetMode="External"/><Relationship Id="rId22" Type="http://schemas.openxmlformats.org/officeDocument/2006/relationships/image" Target="../media/image45.gi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5</xdr:row>
      <xdr:rowOff>0</xdr:rowOff>
    </xdr:from>
    <xdr:to>
      <xdr:col>7</xdr:col>
      <xdr:colOff>171450</xdr:colOff>
      <xdr:row>5</xdr:row>
      <xdr:rowOff>171450</xdr:rowOff>
    </xdr:to>
    <xdr:pic>
      <xdr:nvPicPr>
        <xdr:cNvPr id="1026" name="Picture 2" descr="http://www.whatifsports.com/HBD/Images/Icons/PlayerRatings/Health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0480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171450</xdr:colOff>
      <xdr:row>5</xdr:row>
      <xdr:rowOff>171450</xdr:rowOff>
    </xdr:to>
    <xdr:pic>
      <xdr:nvPicPr>
        <xdr:cNvPr id="1027" name="Picture 3" descr="http://www.whatifsports.com/HBD/Images/Icons/PlayerRatings/Contact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576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171450</xdr:colOff>
      <xdr:row>5</xdr:row>
      <xdr:rowOff>171450</xdr:rowOff>
    </xdr:to>
    <xdr:pic>
      <xdr:nvPicPr>
        <xdr:cNvPr id="1028" name="Picture 4" descr="http://www.whatifsports.com/HBD/Images/Icons/PlayerRatings/Power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672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171450</xdr:colOff>
      <xdr:row>5</xdr:row>
      <xdr:rowOff>171450</xdr:rowOff>
    </xdr:to>
    <xdr:pic>
      <xdr:nvPicPr>
        <xdr:cNvPr id="1029" name="Picture 5" descr="http://www.whatifsports.com/HBD/Images/Icons/PlayerRatings/battingVsLHP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8768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171450</xdr:colOff>
      <xdr:row>5</xdr:row>
      <xdr:rowOff>171450</xdr:rowOff>
    </xdr:to>
    <xdr:pic>
      <xdr:nvPicPr>
        <xdr:cNvPr id="1030" name="Picture 6" descr="http://www.whatifsports.com/HBD/Images/Icons/PlayerRatings/battingVsRHP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4864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171450</xdr:colOff>
      <xdr:row>5</xdr:row>
      <xdr:rowOff>171450</xdr:rowOff>
    </xdr:to>
    <xdr:pic>
      <xdr:nvPicPr>
        <xdr:cNvPr id="1031" name="Picture 7" descr="http://www.whatifsports.com/HBD/Images/Icons/PlayerRatings/BattingEye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0960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171450</xdr:colOff>
      <xdr:row>5</xdr:row>
      <xdr:rowOff>171450</xdr:rowOff>
    </xdr:to>
    <xdr:pic>
      <xdr:nvPicPr>
        <xdr:cNvPr id="1033" name="Picture 9" descr="http://www.whatifsports.com/HBD/Images/Icons/PlayerRatings/Range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152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23</xdr:col>
      <xdr:colOff>0</xdr:colOff>
      <xdr:row>5</xdr:row>
      <xdr:rowOff>0</xdr:rowOff>
    </xdr:from>
    <xdr:to>
      <xdr:col>23</xdr:col>
      <xdr:colOff>171450</xdr:colOff>
      <xdr:row>5</xdr:row>
      <xdr:rowOff>171450</xdr:rowOff>
    </xdr:to>
    <xdr:pic>
      <xdr:nvPicPr>
        <xdr:cNvPr id="1034" name="Picture 10" descr="http://www.whatifsports.com/HBD/Images/Icons/PlayerRatings/Glove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79248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171450</xdr:colOff>
      <xdr:row>5</xdr:row>
      <xdr:rowOff>171450</xdr:rowOff>
    </xdr:to>
    <xdr:pic>
      <xdr:nvPicPr>
        <xdr:cNvPr id="1039" name="Picture 15" descr="http://www.whatifsports.com/HBD/Images/Icons/PlayerRatings/Health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0480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171450</xdr:colOff>
      <xdr:row>5</xdr:row>
      <xdr:rowOff>171450</xdr:rowOff>
    </xdr:to>
    <xdr:pic>
      <xdr:nvPicPr>
        <xdr:cNvPr id="1040" name="Picture 16" descr="http://www.whatifsports.com/HBD/Images/Icons/PlayerRatings/Contact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576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171450</xdr:colOff>
      <xdr:row>5</xdr:row>
      <xdr:rowOff>171450</xdr:rowOff>
    </xdr:to>
    <xdr:pic>
      <xdr:nvPicPr>
        <xdr:cNvPr id="1041" name="Picture 17" descr="http://www.whatifsports.com/HBD/Images/Icons/PlayerRatings/Power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672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171450</xdr:colOff>
      <xdr:row>5</xdr:row>
      <xdr:rowOff>171450</xdr:rowOff>
    </xdr:to>
    <xdr:pic>
      <xdr:nvPicPr>
        <xdr:cNvPr id="1042" name="Picture 18" descr="http://www.whatifsports.com/HBD/Images/Icons/PlayerRatings/battingVsLHP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8768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171450</xdr:colOff>
      <xdr:row>5</xdr:row>
      <xdr:rowOff>171450</xdr:rowOff>
    </xdr:to>
    <xdr:pic>
      <xdr:nvPicPr>
        <xdr:cNvPr id="1043" name="Picture 19" descr="http://www.whatifsports.com/HBD/Images/Icons/PlayerRatings/battingVsRHP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4864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171450</xdr:colOff>
      <xdr:row>5</xdr:row>
      <xdr:rowOff>171450</xdr:rowOff>
    </xdr:to>
    <xdr:pic>
      <xdr:nvPicPr>
        <xdr:cNvPr id="1044" name="Picture 20" descr="http://www.whatifsports.com/HBD/Images/Icons/PlayerRatings/BattingEye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0960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171450</xdr:colOff>
      <xdr:row>5</xdr:row>
      <xdr:rowOff>171450</xdr:rowOff>
    </xdr:to>
    <xdr:pic>
      <xdr:nvPicPr>
        <xdr:cNvPr id="1046" name="Picture 22" descr="http://www.whatifsports.com/HBD/Images/Icons/PlayerRatings/Range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152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23</xdr:col>
      <xdr:colOff>0</xdr:colOff>
      <xdr:row>5</xdr:row>
      <xdr:rowOff>0</xdr:rowOff>
    </xdr:from>
    <xdr:to>
      <xdr:col>23</xdr:col>
      <xdr:colOff>171450</xdr:colOff>
      <xdr:row>5</xdr:row>
      <xdr:rowOff>171450</xdr:rowOff>
    </xdr:to>
    <xdr:pic>
      <xdr:nvPicPr>
        <xdr:cNvPr id="1047" name="Picture 23" descr="http://www.whatifsports.com/HBD/Images/Icons/PlayerRatings/Glove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79248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29</xdr:col>
      <xdr:colOff>0</xdr:colOff>
      <xdr:row>5</xdr:row>
      <xdr:rowOff>0</xdr:rowOff>
    </xdr:from>
    <xdr:to>
      <xdr:col>29</xdr:col>
      <xdr:colOff>171450</xdr:colOff>
      <xdr:row>5</xdr:row>
      <xdr:rowOff>171450</xdr:rowOff>
    </xdr:to>
    <xdr:pic>
      <xdr:nvPicPr>
        <xdr:cNvPr id="20" name="Picture 8" descr="http://www.whatifsports.com/HBD/Images/Icons/PlayerRatings/Speed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737235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171450</xdr:colOff>
      <xdr:row>5</xdr:row>
      <xdr:rowOff>171450</xdr:rowOff>
    </xdr:to>
    <xdr:pic>
      <xdr:nvPicPr>
        <xdr:cNvPr id="32" name="Picture 31" descr="Rang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A1BCF0C5-7127-44D0-8DC1-B904205EC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583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0</xdr:colOff>
      <xdr:row>5</xdr:row>
      <xdr:rowOff>0</xdr:rowOff>
    </xdr:from>
    <xdr:to>
      <xdr:col>23</xdr:col>
      <xdr:colOff>171450</xdr:colOff>
      <xdr:row>5</xdr:row>
      <xdr:rowOff>171450</xdr:rowOff>
    </xdr:to>
    <xdr:pic>
      <xdr:nvPicPr>
        <xdr:cNvPr id="33" name="Picture 32" descr="Glov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60CB34D-D75F-43D6-BB3B-D4230D0F83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377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24</xdr:col>
      <xdr:colOff>171450</xdr:colOff>
      <xdr:row>5</xdr:row>
      <xdr:rowOff>171450</xdr:rowOff>
    </xdr:to>
    <xdr:pic>
      <xdr:nvPicPr>
        <xdr:cNvPr id="34" name="Picture 33" descr="ArmStreng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2960BF1-DA85-449F-9C52-053E6752CC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171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25</xdr:col>
      <xdr:colOff>0</xdr:colOff>
      <xdr:row>5</xdr:row>
      <xdr:rowOff>0</xdr:rowOff>
    </xdr:from>
    <xdr:to>
      <xdr:col>25</xdr:col>
      <xdr:colOff>171450</xdr:colOff>
      <xdr:row>5</xdr:row>
      <xdr:rowOff>171450</xdr:rowOff>
    </xdr:to>
    <xdr:pic>
      <xdr:nvPicPr>
        <xdr:cNvPr id="35" name="Picture 34" descr="ArmAccurac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F7A4F39-55A2-42AC-8DCD-BCCE926790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26</xdr:col>
      <xdr:colOff>0</xdr:colOff>
      <xdr:row>5</xdr:row>
      <xdr:rowOff>0</xdr:rowOff>
    </xdr:from>
    <xdr:to>
      <xdr:col>26</xdr:col>
      <xdr:colOff>171450</xdr:colOff>
      <xdr:row>5</xdr:row>
      <xdr:rowOff>171450</xdr:rowOff>
    </xdr:to>
    <xdr:pic>
      <xdr:nvPicPr>
        <xdr:cNvPr id="36" name="Picture 35" descr="PitchCall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CC0D973-78DB-4143-BDFC-E61223CCCD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82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0</xdr:colOff>
      <xdr:row>5</xdr:row>
      <xdr:rowOff>0</xdr:rowOff>
    </xdr:from>
    <xdr:to>
      <xdr:col>27</xdr:col>
      <xdr:colOff>171450</xdr:colOff>
      <xdr:row>5</xdr:row>
      <xdr:rowOff>171450</xdr:rowOff>
    </xdr:to>
    <xdr:pic>
      <xdr:nvPicPr>
        <xdr:cNvPr id="37" name="Picture 36" descr="Durabilit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733F7D1-C2EC-4933-88B1-C23C35E138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331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5</xdr:row>
      <xdr:rowOff>0</xdr:rowOff>
    </xdr:from>
    <xdr:to>
      <xdr:col>28</xdr:col>
      <xdr:colOff>171450</xdr:colOff>
      <xdr:row>5</xdr:row>
      <xdr:rowOff>171450</xdr:rowOff>
    </xdr:to>
    <xdr:pic>
      <xdr:nvPicPr>
        <xdr:cNvPr id="38" name="Picture 37" descr="Heal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82173A2-A765-4AB1-B6E6-E879B2BA84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12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29</xdr:col>
      <xdr:colOff>0</xdr:colOff>
      <xdr:row>5</xdr:row>
      <xdr:rowOff>0</xdr:rowOff>
    </xdr:from>
    <xdr:to>
      <xdr:col>29</xdr:col>
      <xdr:colOff>171450</xdr:colOff>
      <xdr:row>5</xdr:row>
      <xdr:rowOff>171450</xdr:rowOff>
    </xdr:to>
    <xdr:pic>
      <xdr:nvPicPr>
        <xdr:cNvPr id="39" name="Picture 38" descr="Speed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C271A80-066F-488B-8933-AB08B45106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98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0</xdr:colOff>
      <xdr:row>5</xdr:row>
      <xdr:rowOff>0</xdr:rowOff>
    </xdr:from>
    <xdr:to>
      <xdr:col>30</xdr:col>
      <xdr:colOff>171450</xdr:colOff>
      <xdr:row>5</xdr:row>
      <xdr:rowOff>171450</xdr:rowOff>
    </xdr:to>
    <xdr:pic>
      <xdr:nvPicPr>
        <xdr:cNvPr id="40" name="Picture 39" descr="Patienc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FCD70A1-8296-4772-B438-9CD830C351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777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31</xdr:col>
      <xdr:colOff>0</xdr:colOff>
      <xdr:row>5</xdr:row>
      <xdr:rowOff>0</xdr:rowOff>
    </xdr:from>
    <xdr:to>
      <xdr:col>31</xdr:col>
      <xdr:colOff>171450</xdr:colOff>
      <xdr:row>5</xdr:row>
      <xdr:rowOff>171450</xdr:rowOff>
    </xdr:to>
    <xdr:pic>
      <xdr:nvPicPr>
        <xdr:cNvPr id="41" name="Picture 40" descr="Temp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D71F20D3-65CE-4E66-A751-E3B0C7390F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33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32</xdr:col>
      <xdr:colOff>0</xdr:colOff>
      <xdr:row>5</xdr:row>
      <xdr:rowOff>0</xdr:rowOff>
    </xdr:from>
    <xdr:to>
      <xdr:col>32</xdr:col>
      <xdr:colOff>171450</xdr:colOff>
      <xdr:row>5</xdr:row>
      <xdr:rowOff>171450</xdr:rowOff>
    </xdr:to>
    <xdr:pic>
      <xdr:nvPicPr>
        <xdr:cNvPr id="42" name="Picture 41" descr="Makeu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AE7C9E22-F0D4-43F6-B8ED-19BB505D15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07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33</xdr:col>
      <xdr:colOff>0</xdr:colOff>
      <xdr:row>5</xdr:row>
      <xdr:rowOff>0</xdr:rowOff>
    </xdr:from>
    <xdr:to>
      <xdr:col>33</xdr:col>
      <xdr:colOff>171450</xdr:colOff>
      <xdr:row>5</xdr:row>
      <xdr:rowOff>171450</xdr:rowOff>
    </xdr:to>
    <xdr:pic>
      <xdr:nvPicPr>
        <xdr:cNvPr id="43" name="Picture 42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F1FA901-350C-40FF-8162-2451ECAABA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188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171450</xdr:colOff>
      <xdr:row>5</xdr:row>
      <xdr:rowOff>171450</xdr:rowOff>
    </xdr:to>
    <xdr:pic>
      <xdr:nvPicPr>
        <xdr:cNvPr id="44" name="Picture 43" descr="Contac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EAF6DE6-5482-462D-B165-5B5F622FA5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560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171450</xdr:colOff>
      <xdr:row>5</xdr:row>
      <xdr:rowOff>171450</xdr:rowOff>
    </xdr:to>
    <xdr:pic>
      <xdr:nvPicPr>
        <xdr:cNvPr id="45" name="Picture 44" descr="Pow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77B34F5-4E47-4810-A9E3-EE502C26B9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354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171450</xdr:colOff>
      <xdr:row>5</xdr:row>
      <xdr:rowOff>171450</xdr:rowOff>
    </xdr:to>
    <xdr:pic>
      <xdr:nvPicPr>
        <xdr:cNvPr id="46" name="Picture 45" descr="battingVsL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0E54E88-BB3D-4B01-AABC-E4FE152D0A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171450</xdr:colOff>
      <xdr:row>5</xdr:row>
      <xdr:rowOff>171450</xdr:rowOff>
    </xdr:to>
    <xdr:pic>
      <xdr:nvPicPr>
        <xdr:cNvPr id="47" name="Picture 46" descr="battingVsR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126DFFD7-16CD-449E-9A49-2C76C9F204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942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171450</xdr:colOff>
      <xdr:row>5</xdr:row>
      <xdr:rowOff>171450</xdr:rowOff>
    </xdr:to>
    <xdr:pic>
      <xdr:nvPicPr>
        <xdr:cNvPr id="48" name="Picture 47" descr="BattingEy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C5E2B14-ABD4-49C1-8C27-202141A6D8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36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5</xdr:row>
      <xdr:rowOff>0</xdr:rowOff>
    </xdr:from>
    <xdr:to>
      <xdr:col>12</xdr:col>
      <xdr:colOff>171450</xdr:colOff>
      <xdr:row>5</xdr:row>
      <xdr:rowOff>171450</xdr:rowOff>
    </xdr:to>
    <xdr:pic>
      <xdr:nvPicPr>
        <xdr:cNvPr id="49" name="Picture 48" descr="Baserunn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4DB3C7D-587C-4739-907C-366A8869AE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171450</xdr:colOff>
      <xdr:row>5</xdr:row>
      <xdr:rowOff>171450</xdr:rowOff>
    </xdr:to>
    <xdr:pic>
      <xdr:nvPicPr>
        <xdr:cNvPr id="50" name="Picture 49" descr="Bun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1CD5B7A-81E2-49AB-BCFF-C389F69D2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817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171450</xdr:colOff>
      <xdr:row>5</xdr:row>
      <xdr:rowOff>171450</xdr:rowOff>
    </xdr:to>
    <xdr:pic>
      <xdr:nvPicPr>
        <xdr:cNvPr id="51" name="Picture 50" descr="Pushpu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C242B5-58B3-4189-B021-A568144368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05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5</xdr:row>
      <xdr:rowOff>0</xdr:rowOff>
    </xdr:from>
    <xdr:to>
      <xdr:col>15</xdr:col>
      <xdr:colOff>171450</xdr:colOff>
      <xdr:row>5</xdr:row>
      <xdr:rowOff>171450</xdr:rowOff>
    </xdr:to>
    <xdr:pic>
      <xdr:nvPicPr>
        <xdr:cNvPr id="52" name="Picture 51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34AD1BE-A69A-4BE4-8F3F-7B67F1BC9A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38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171450</xdr:colOff>
      <xdr:row>5</xdr:row>
      <xdr:rowOff>171450</xdr:rowOff>
    </xdr:to>
    <xdr:pic>
      <xdr:nvPicPr>
        <xdr:cNvPr id="2" name="Picture 1" descr="Contac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EDDAFBED-D052-A327-0C16-26B586FDBB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560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171450</xdr:colOff>
      <xdr:row>5</xdr:row>
      <xdr:rowOff>171450</xdr:rowOff>
    </xdr:to>
    <xdr:pic>
      <xdr:nvPicPr>
        <xdr:cNvPr id="3" name="Picture 2" descr="Pow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F962FC9-B7DA-B2CA-3497-403C92978E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354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171450</xdr:colOff>
      <xdr:row>5</xdr:row>
      <xdr:rowOff>171450</xdr:rowOff>
    </xdr:to>
    <xdr:pic>
      <xdr:nvPicPr>
        <xdr:cNvPr id="4" name="Picture 3" descr="battingVsL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53B3EC9-BFBB-528A-827F-793588ECC6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171450</xdr:colOff>
      <xdr:row>5</xdr:row>
      <xdr:rowOff>171450</xdr:rowOff>
    </xdr:to>
    <xdr:pic>
      <xdr:nvPicPr>
        <xdr:cNvPr id="5" name="Picture 4" descr="battingVsR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9C05BD7-8DD9-4BD4-2BFA-98467051C1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942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171450</xdr:colOff>
      <xdr:row>5</xdr:row>
      <xdr:rowOff>171450</xdr:rowOff>
    </xdr:to>
    <xdr:pic>
      <xdr:nvPicPr>
        <xdr:cNvPr id="6" name="Picture 5" descr="BattingEy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D3FFA346-20BA-8680-91AE-951762A3DC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36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5</xdr:row>
      <xdr:rowOff>0</xdr:rowOff>
    </xdr:from>
    <xdr:to>
      <xdr:col>12</xdr:col>
      <xdr:colOff>171450</xdr:colOff>
      <xdr:row>5</xdr:row>
      <xdr:rowOff>171450</xdr:rowOff>
    </xdr:to>
    <xdr:pic>
      <xdr:nvPicPr>
        <xdr:cNvPr id="7" name="Picture 6" descr="Baserunn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5D77309-1062-B950-616B-76A38F760B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171450</xdr:colOff>
      <xdr:row>5</xdr:row>
      <xdr:rowOff>171450</xdr:rowOff>
    </xdr:to>
    <xdr:pic>
      <xdr:nvPicPr>
        <xdr:cNvPr id="8" name="Picture 7" descr="Bun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05F421D-9FBD-2996-9DBC-573520D18B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817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171450</xdr:colOff>
      <xdr:row>5</xdr:row>
      <xdr:rowOff>171450</xdr:rowOff>
    </xdr:to>
    <xdr:pic>
      <xdr:nvPicPr>
        <xdr:cNvPr id="9" name="Picture 8" descr="Pushpu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50A9237-55A3-31CC-C0ED-B1D81BEB9B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05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5</xdr:row>
      <xdr:rowOff>0</xdr:rowOff>
    </xdr:from>
    <xdr:to>
      <xdr:col>15</xdr:col>
      <xdr:colOff>171450</xdr:colOff>
      <xdr:row>5</xdr:row>
      <xdr:rowOff>171450</xdr:rowOff>
    </xdr:to>
    <xdr:pic>
      <xdr:nvPicPr>
        <xdr:cNvPr id="10" name="Picture 9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B7F14D1-3396-7068-E1C3-4202C30D6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38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171450</xdr:colOff>
      <xdr:row>5</xdr:row>
      <xdr:rowOff>171450</xdr:rowOff>
    </xdr:to>
    <xdr:pic>
      <xdr:nvPicPr>
        <xdr:cNvPr id="24" name="Picture 23" descr="Rang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3C61C14-866C-A97C-C3F1-7452404AA3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583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0</xdr:colOff>
      <xdr:row>5</xdr:row>
      <xdr:rowOff>0</xdr:rowOff>
    </xdr:from>
    <xdr:to>
      <xdr:col>23</xdr:col>
      <xdr:colOff>171450</xdr:colOff>
      <xdr:row>5</xdr:row>
      <xdr:rowOff>171450</xdr:rowOff>
    </xdr:to>
    <xdr:pic>
      <xdr:nvPicPr>
        <xdr:cNvPr id="25" name="Picture 24" descr="Glov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B9DBFC0-7C76-B559-6FA3-6172C2129E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377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24</xdr:col>
      <xdr:colOff>171450</xdr:colOff>
      <xdr:row>5</xdr:row>
      <xdr:rowOff>171450</xdr:rowOff>
    </xdr:to>
    <xdr:pic>
      <xdr:nvPicPr>
        <xdr:cNvPr id="26" name="Picture 25" descr="ArmStreng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7C765F7-12C5-F039-8D8C-9AB8571430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171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25</xdr:col>
      <xdr:colOff>0</xdr:colOff>
      <xdr:row>5</xdr:row>
      <xdr:rowOff>0</xdr:rowOff>
    </xdr:from>
    <xdr:to>
      <xdr:col>25</xdr:col>
      <xdr:colOff>171450</xdr:colOff>
      <xdr:row>5</xdr:row>
      <xdr:rowOff>171450</xdr:rowOff>
    </xdr:to>
    <xdr:pic>
      <xdr:nvPicPr>
        <xdr:cNvPr id="27" name="Picture 26" descr="ArmAccurac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3E9C59E-2C6C-68F8-6D31-68ED3A0BA9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26</xdr:col>
      <xdr:colOff>0</xdr:colOff>
      <xdr:row>5</xdr:row>
      <xdr:rowOff>0</xdr:rowOff>
    </xdr:from>
    <xdr:to>
      <xdr:col>26</xdr:col>
      <xdr:colOff>171450</xdr:colOff>
      <xdr:row>5</xdr:row>
      <xdr:rowOff>171450</xdr:rowOff>
    </xdr:to>
    <xdr:pic>
      <xdr:nvPicPr>
        <xdr:cNvPr id="28" name="Picture 27" descr="PitchCall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3A1321A-36F7-8D59-7935-B6C4BC814D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82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0</xdr:colOff>
      <xdr:row>5</xdr:row>
      <xdr:rowOff>0</xdr:rowOff>
    </xdr:from>
    <xdr:to>
      <xdr:col>27</xdr:col>
      <xdr:colOff>171450</xdr:colOff>
      <xdr:row>5</xdr:row>
      <xdr:rowOff>171450</xdr:rowOff>
    </xdr:to>
    <xdr:pic>
      <xdr:nvPicPr>
        <xdr:cNvPr id="29" name="Picture 28" descr="Durabilit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A0EAE7BC-A5CA-AB81-830D-5698F9AE48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331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5</xdr:row>
      <xdr:rowOff>0</xdr:rowOff>
    </xdr:from>
    <xdr:to>
      <xdr:col>28</xdr:col>
      <xdr:colOff>171450</xdr:colOff>
      <xdr:row>5</xdr:row>
      <xdr:rowOff>171450</xdr:rowOff>
    </xdr:to>
    <xdr:pic>
      <xdr:nvPicPr>
        <xdr:cNvPr id="30" name="Picture 29" descr="Heal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16F6495-37AF-A603-2D4B-4C3F4966A4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12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29</xdr:col>
      <xdr:colOff>0</xdr:colOff>
      <xdr:row>5</xdr:row>
      <xdr:rowOff>0</xdr:rowOff>
    </xdr:from>
    <xdr:to>
      <xdr:col>29</xdr:col>
      <xdr:colOff>171450</xdr:colOff>
      <xdr:row>5</xdr:row>
      <xdr:rowOff>171450</xdr:rowOff>
    </xdr:to>
    <xdr:pic>
      <xdr:nvPicPr>
        <xdr:cNvPr id="31" name="Picture 30" descr="Speed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2529526-1514-D31B-C10F-593ADEC601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98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0</xdr:colOff>
      <xdr:row>5</xdr:row>
      <xdr:rowOff>0</xdr:rowOff>
    </xdr:from>
    <xdr:to>
      <xdr:col>30</xdr:col>
      <xdr:colOff>171450</xdr:colOff>
      <xdr:row>5</xdr:row>
      <xdr:rowOff>171450</xdr:rowOff>
    </xdr:to>
    <xdr:pic>
      <xdr:nvPicPr>
        <xdr:cNvPr id="53" name="Picture 52" descr="Patienc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88CB567-5AC5-3CE0-59DB-AE6881BF05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777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31</xdr:col>
      <xdr:colOff>0</xdr:colOff>
      <xdr:row>5</xdr:row>
      <xdr:rowOff>0</xdr:rowOff>
    </xdr:from>
    <xdr:to>
      <xdr:col>31</xdr:col>
      <xdr:colOff>171450</xdr:colOff>
      <xdr:row>5</xdr:row>
      <xdr:rowOff>171450</xdr:rowOff>
    </xdr:to>
    <xdr:pic>
      <xdr:nvPicPr>
        <xdr:cNvPr id="54" name="Picture 53" descr="Temp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663AD52-0A78-6915-797C-989C9A75BF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33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32</xdr:col>
      <xdr:colOff>0</xdr:colOff>
      <xdr:row>5</xdr:row>
      <xdr:rowOff>0</xdr:rowOff>
    </xdr:from>
    <xdr:to>
      <xdr:col>32</xdr:col>
      <xdr:colOff>171450</xdr:colOff>
      <xdr:row>5</xdr:row>
      <xdr:rowOff>171450</xdr:rowOff>
    </xdr:to>
    <xdr:pic>
      <xdr:nvPicPr>
        <xdr:cNvPr id="55" name="Picture 54" descr="Makeu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BBEECA7-3A96-C373-F7D2-8E98AC8B98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07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33</xdr:col>
      <xdr:colOff>0</xdr:colOff>
      <xdr:row>5</xdr:row>
      <xdr:rowOff>0</xdr:rowOff>
    </xdr:from>
    <xdr:to>
      <xdr:col>33</xdr:col>
      <xdr:colOff>171450</xdr:colOff>
      <xdr:row>5</xdr:row>
      <xdr:rowOff>171450</xdr:rowOff>
    </xdr:to>
    <xdr:pic>
      <xdr:nvPicPr>
        <xdr:cNvPr id="56" name="Picture 55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4EBE15A-EEFF-F7F3-A8FC-17B2E8530B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188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171450</xdr:colOff>
      <xdr:row>5</xdr:row>
      <xdr:rowOff>171450</xdr:rowOff>
    </xdr:to>
    <xdr:pic>
      <xdr:nvPicPr>
        <xdr:cNvPr id="11" name="Picture 10" descr="Contac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2C0EB86-A02A-234C-F1AE-1373295C93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560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171450</xdr:colOff>
      <xdr:row>5</xdr:row>
      <xdr:rowOff>171450</xdr:rowOff>
    </xdr:to>
    <xdr:pic>
      <xdr:nvPicPr>
        <xdr:cNvPr id="12" name="Picture 11" descr="Pow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450E994-BFFC-A04E-1892-2F4AA9C3C1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354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171450</xdr:colOff>
      <xdr:row>5</xdr:row>
      <xdr:rowOff>171450</xdr:rowOff>
    </xdr:to>
    <xdr:pic>
      <xdr:nvPicPr>
        <xdr:cNvPr id="13" name="Picture 12" descr="battingVsL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F00C010-8B5B-AB50-5195-6BDC4E241C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171450</xdr:colOff>
      <xdr:row>5</xdr:row>
      <xdr:rowOff>171450</xdr:rowOff>
    </xdr:to>
    <xdr:pic>
      <xdr:nvPicPr>
        <xdr:cNvPr id="14" name="Picture 13" descr="battingVsR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E00260D-8A51-3958-6839-E4B0E0FD9B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942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171450</xdr:colOff>
      <xdr:row>5</xdr:row>
      <xdr:rowOff>171450</xdr:rowOff>
    </xdr:to>
    <xdr:pic>
      <xdr:nvPicPr>
        <xdr:cNvPr id="15" name="Picture 14" descr="BattingEy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E6995BE7-08D4-B08D-32B1-9ED3182AD6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36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5</xdr:row>
      <xdr:rowOff>0</xdr:rowOff>
    </xdr:from>
    <xdr:to>
      <xdr:col>12</xdr:col>
      <xdr:colOff>171450</xdr:colOff>
      <xdr:row>5</xdr:row>
      <xdr:rowOff>171450</xdr:rowOff>
    </xdr:to>
    <xdr:pic>
      <xdr:nvPicPr>
        <xdr:cNvPr id="16" name="Picture 15" descr="Baserunn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96C11D5-A4F9-8E8A-CE75-B666D63FCA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171450</xdr:colOff>
      <xdr:row>5</xdr:row>
      <xdr:rowOff>171450</xdr:rowOff>
    </xdr:to>
    <xdr:pic>
      <xdr:nvPicPr>
        <xdr:cNvPr id="17" name="Picture 16" descr="Bun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7F08101-E87A-A7BC-83DA-F4DA4F10E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817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171450</xdr:colOff>
      <xdr:row>5</xdr:row>
      <xdr:rowOff>171450</xdr:rowOff>
    </xdr:to>
    <xdr:pic>
      <xdr:nvPicPr>
        <xdr:cNvPr id="18" name="Picture 17" descr="Pushpu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36B68C6-4EEB-E49B-C6F6-C35B7D0ED7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05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5</xdr:row>
      <xdr:rowOff>0</xdr:rowOff>
    </xdr:from>
    <xdr:to>
      <xdr:col>15</xdr:col>
      <xdr:colOff>171450</xdr:colOff>
      <xdr:row>5</xdr:row>
      <xdr:rowOff>171450</xdr:rowOff>
    </xdr:to>
    <xdr:pic>
      <xdr:nvPicPr>
        <xdr:cNvPr id="19" name="Picture 18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5A8FFBB-F91C-582E-36EF-649BE74116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38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171450</xdr:colOff>
      <xdr:row>5</xdr:row>
      <xdr:rowOff>171450</xdr:rowOff>
    </xdr:to>
    <xdr:pic>
      <xdr:nvPicPr>
        <xdr:cNvPr id="21" name="Picture 20" descr="Rang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E318181-C732-AE6F-534C-3A27CECCDC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583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0</xdr:colOff>
      <xdr:row>5</xdr:row>
      <xdr:rowOff>0</xdr:rowOff>
    </xdr:from>
    <xdr:to>
      <xdr:col>23</xdr:col>
      <xdr:colOff>171450</xdr:colOff>
      <xdr:row>5</xdr:row>
      <xdr:rowOff>171450</xdr:rowOff>
    </xdr:to>
    <xdr:pic>
      <xdr:nvPicPr>
        <xdr:cNvPr id="22" name="Picture 21" descr="Glov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F91853E-D508-577A-2472-21AD934D54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377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24</xdr:col>
      <xdr:colOff>171450</xdr:colOff>
      <xdr:row>5</xdr:row>
      <xdr:rowOff>171450</xdr:rowOff>
    </xdr:to>
    <xdr:pic>
      <xdr:nvPicPr>
        <xdr:cNvPr id="23" name="Picture 22" descr="ArmStreng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DBAA640-F7FD-8937-6BE6-D05098EF17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171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25</xdr:col>
      <xdr:colOff>0</xdr:colOff>
      <xdr:row>5</xdr:row>
      <xdr:rowOff>0</xdr:rowOff>
    </xdr:from>
    <xdr:to>
      <xdr:col>25</xdr:col>
      <xdr:colOff>171450</xdr:colOff>
      <xdr:row>5</xdr:row>
      <xdr:rowOff>171450</xdr:rowOff>
    </xdr:to>
    <xdr:pic>
      <xdr:nvPicPr>
        <xdr:cNvPr id="57" name="Picture 56" descr="ArmAccurac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177CD27-92E0-DFB6-E45A-45393ADE59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26</xdr:col>
      <xdr:colOff>0</xdr:colOff>
      <xdr:row>5</xdr:row>
      <xdr:rowOff>0</xdr:rowOff>
    </xdr:from>
    <xdr:to>
      <xdr:col>26</xdr:col>
      <xdr:colOff>171450</xdr:colOff>
      <xdr:row>5</xdr:row>
      <xdr:rowOff>171450</xdr:rowOff>
    </xdr:to>
    <xdr:pic>
      <xdr:nvPicPr>
        <xdr:cNvPr id="58" name="Picture 57" descr="PitchCall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D77BF788-186A-8F00-172A-C7EE2982A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82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0</xdr:colOff>
      <xdr:row>5</xdr:row>
      <xdr:rowOff>0</xdr:rowOff>
    </xdr:from>
    <xdr:to>
      <xdr:col>27</xdr:col>
      <xdr:colOff>171450</xdr:colOff>
      <xdr:row>5</xdr:row>
      <xdr:rowOff>171450</xdr:rowOff>
    </xdr:to>
    <xdr:pic>
      <xdr:nvPicPr>
        <xdr:cNvPr id="59" name="Picture 58" descr="Durabilit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E8901BB-3997-3E99-87DF-A8860897EE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331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5</xdr:row>
      <xdr:rowOff>0</xdr:rowOff>
    </xdr:from>
    <xdr:to>
      <xdr:col>28</xdr:col>
      <xdr:colOff>171450</xdr:colOff>
      <xdr:row>5</xdr:row>
      <xdr:rowOff>171450</xdr:rowOff>
    </xdr:to>
    <xdr:pic>
      <xdr:nvPicPr>
        <xdr:cNvPr id="60" name="Picture 59" descr="Heal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E0DE847-59FC-8974-E7C9-895D0E6ABF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12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29</xdr:col>
      <xdr:colOff>0</xdr:colOff>
      <xdr:row>5</xdr:row>
      <xdr:rowOff>0</xdr:rowOff>
    </xdr:from>
    <xdr:to>
      <xdr:col>29</xdr:col>
      <xdr:colOff>171450</xdr:colOff>
      <xdr:row>5</xdr:row>
      <xdr:rowOff>171450</xdr:rowOff>
    </xdr:to>
    <xdr:pic>
      <xdr:nvPicPr>
        <xdr:cNvPr id="61" name="Picture 60" descr="Speed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1C142A4-16A7-8120-493F-F9ABA46D42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98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0</xdr:colOff>
      <xdr:row>5</xdr:row>
      <xdr:rowOff>0</xdr:rowOff>
    </xdr:from>
    <xdr:to>
      <xdr:col>30</xdr:col>
      <xdr:colOff>171450</xdr:colOff>
      <xdr:row>5</xdr:row>
      <xdr:rowOff>171450</xdr:rowOff>
    </xdr:to>
    <xdr:pic>
      <xdr:nvPicPr>
        <xdr:cNvPr id="62" name="Picture 61" descr="Patienc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03B47C9-0B10-B9F7-AE7C-8F505D31A3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777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31</xdr:col>
      <xdr:colOff>0</xdr:colOff>
      <xdr:row>5</xdr:row>
      <xdr:rowOff>0</xdr:rowOff>
    </xdr:from>
    <xdr:to>
      <xdr:col>31</xdr:col>
      <xdr:colOff>171450</xdr:colOff>
      <xdr:row>5</xdr:row>
      <xdr:rowOff>171450</xdr:rowOff>
    </xdr:to>
    <xdr:pic>
      <xdr:nvPicPr>
        <xdr:cNvPr id="63" name="Picture 62" descr="Temp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66E4E50-52FA-0CA2-703E-710603F40B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33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32</xdr:col>
      <xdr:colOff>0</xdr:colOff>
      <xdr:row>5</xdr:row>
      <xdr:rowOff>0</xdr:rowOff>
    </xdr:from>
    <xdr:to>
      <xdr:col>32</xdr:col>
      <xdr:colOff>171450</xdr:colOff>
      <xdr:row>5</xdr:row>
      <xdr:rowOff>171450</xdr:rowOff>
    </xdr:to>
    <xdr:pic>
      <xdr:nvPicPr>
        <xdr:cNvPr id="1024" name="Picture 1023" descr="Makeu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D790195F-B463-5D13-93FD-E1182515AD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07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33</xdr:col>
      <xdr:colOff>0</xdr:colOff>
      <xdr:row>5</xdr:row>
      <xdr:rowOff>0</xdr:rowOff>
    </xdr:from>
    <xdr:to>
      <xdr:col>33</xdr:col>
      <xdr:colOff>171450</xdr:colOff>
      <xdr:row>5</xdr:row>
      <xdr:rowOff>171450</xdr:rowOff>
    </xdr:to>
    <xdr:pic>
      <xdr:nvPicPr>
        <xdr:cNvPr id="1025" name="Picture 1024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43B8179-2FCF-6F3A-A3C3-8B543DE361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188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175260</xdr:colOff>
      <xdr:row>5</xdr:row>
      <xdr:rowOff>175260</xdr:rowOff>
    </xdr:to>
    <xdr:pic>
      <xdr:nvPicPr>
        <xdr:cNvPr id="1032" name="Picture 1031" descr="Contac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2FA9499-BC6A-713D-EC86-EEA64341A8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175260</xdr:colOff>
      <xdr:row>5</xdr:row>
      <xdr:rowOff>175260</xdr:rowOff>
    </xdr:to>
    <xdr:pic>
      <xdr:nvPicPr>
        <xdr:cNvPr id="1035" name="Picture 1034" descr="Pow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A2BE0DE-4F73-DC31-DE9E-0533A822A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6052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175260</xdr:colOff>
      <xdr:row>5</xdr:row>
      <xdr:rowOff>175260</xdr:rowOff>
    </xdr:to>
    <xdr:pic>
      <xdr:nvPicPr>
        <xdr:cNvPr id="1036" name="Picture 1035" descr="battingVsL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8426FF5-80AC-C310-E804-991EC45F4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3484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175260</xdr:colOff>
      <xdr:row>5</xdr:row>
      <xdr:rowOff>175260</xdr:rowOff>
    </xdr:to>
    <xdr:pic>
      <xdr:nvPicPr>
        <xdr:cNvPr id="1037" name="Picture 1036" descr="battingVsR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94A86F0-909F-2204-71EE-7699A1B3B8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0916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175260</xdr:colOff>
      <xdr:row>5</xdr:row>
      <xdr:rowOff>175260</xdr:rowOff>
    </xdr:to>
    <xdr:pic>
      <xdr:nvPicPr>
        <xdr:cNvPr id="1038" name="Picture 1037" descr="BattingEy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7B0736C-30EB-B67B-98C2-1A81C0F366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8348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5</xdr:row>
      <xdr:rowOff>0</xdr:rowOff>
    </xdr:from>
    <xdr:to>
      <xdr:col>12</xdr:col>
      <xdr:colOff>175260</xdr:colOff>
      <xdr:row>5</xdr:row>
      <xdr:rowOff>175260</xdr:rowOff>
    </xdr:to>
    <xdr:pic>
      <xdr:nvPicPr>
        <xdr:cNvPr id="1045" name="Picture 1044" descr="Baserunn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814BF21-B09B-7756-523A-DB3CA5504B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5780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175260</xdr:colOff>
      <xdr:row>5</xdr:row>
      <xdr:rowOff>175260</xdr:rowOff>
    </xdr:to>
    <xdr:pic>
      <xdr:nvPicPr>
        <xdr:cNvPr id="1048" name="Picture 1047" descr="Bun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37BE80F-83F5-0B8E-352F-5B8BC2FE10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7502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175260</xdr:colOff>
      <xdr:row>5</xdr:row>
      <xdr:rowOff>175260</xdr:rowOff>
    </xdr:to>
    <xdr:pic>
      <xdr:nvPicPr>
        <xdr:cNvPr id="1049" name="Picture 1048" descr="Pushpu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5B710F6-FE87-9DB8-26F2-1B8BECCC70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9506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5</xdr:row>
      <xdr:rowOff>0</xdr:rowOff>
    </xdr:from>
    <xdr:to>
      <xdr:col>15</xdr:col>
      <xdr:colOff>175260</xdr:colOff>
      <xdr:row>5</xdr:row>
      <xdr:rowOff>175260</xdr:rowOff>
    </xdr:to>
    <xdr:pic>
      <xdr:nvPicPr>
        <xdr:cNvPr id="1050" name="Picture 1049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A142B94-818A-2615-AFDF-50094FF6CD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2084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175260</xdr:colOff>
      <xdr:row>5</xdr:row>
      <xdr:rowOff>175260</xdr:rowOff>
    </xdr:to>
    <xdr:pic>
      <xdr:nvPicPr>
        <xdr:cNvPr id="1051" name="Picture 1050" descr="Rang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7C925CA-B589-3A6B-C775-3DF3252F69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9452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0</xdr:colOff>
      <xdr:row>5</xdr:row>
      <xdr:rowOff>0</xdr:rowOff>
    </xdr:from>
    <xdr:to>
      <xdr:col>23</xdr:col>
      <xdr:colOff>175260</xdr:colOff>
      <xdr:row>5</xdr:row>
      <xdr:rowOff>175260</xdr:rowOff>
    </xdr:to>
    <xdr:pic>
      <xdr:nvPicPr>
        <xdr:cNvPr id="1052" name="Picture 1051" descr="Glov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1A5F025-5332-732C-787C-2B665304FE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6884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24</xdr:col>
      <xdr:colOff>175260</xdr:colOff>
      <xdr:row>5</xdr:row>
      <xdr:rowOff>175260</xdr:rowOff>
    </xdr:to>
    <xdr:pic>
      <xdr:nvPicPr>
        <xdr:cNvPr id="1053" name="Picture 1052" descr="ArmStreng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356D52A-EEBF-5685-4B23-896D114C71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316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25</xdr:col>
      <xdr:colOff>0</xdr:colOff>
      <xdr:row>5</xdr:row>
      <xdr:rowOff>0</xdr:rowOff>
    </xdr:from>
    <xdr:to>
      <xdr:col>25</xdr:col>
      <xdr:colOff>175260</xdr:colOff>
      <xdr:row>5</xdr:row>
      <xdr:rowOff>175260</xdr:rowOff>
    </xdr:to>
    <xdr:pic>
      <xdr:nvPicPr>
        <xdr:cNvPr id="1054" name="Picture 1053" descr="ArmAccurac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717B2E4-1293-FCF9-B5CD-398D5847BC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1748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26</xdr:col>
      <xdr:colOff>0</xdr:colOff>
      <xdr:row>5</xdr:row>
      <xdr:rowOff>0</xdr:rowOff>
    </xdr:from>
    <xdr:to>
      <xdr:col>26</xdr:col>
      <xdr:colOff>175260</xdr:colOff>
      <xdr:row>5</xdr:row>
      <xdr:rowOff>175260</xdr:rowOff>
    </xdr:to>
    <xdr:pic>
      <xdr:nvPicPr>
        <xdr:cNvPr id="1055" name="Picture 1054" descr="PitchCall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17F0DD91-C746-C7BF-76C6-8CF0EB28C3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59942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0</xdr:colOff>
      <xdr:row>5</xdr:row>
      <xdr:rowOff>0</xdr:rowOff>
    </xdr:from>
    <xdr:to>
      <xdr:col>27</xdr:col>
      <xdr:colOff>175260</xdr:colOff>
      <xdr:row>5</xdr:row>
      <xdr:rowOff>175260</xdr:rowOff>
    </xdr:to>
    <xdr:pic>
      <xdr:nvPicPr>
        <xdr:cNvPr id="1056" name="Picture 1055" descr="Durabilit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E093A26D-1862-A8CD-6B55-80E3215276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138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5</xdr:row>
      <xdr:rowOff>0</xdr:rowOff>
    </xdr:from>
    <xdr:to>
      <xdr:col>28</xdr:col>
      <xdr:colOff>175260</xdr:colOff>
      <xdr:row>5</xdr:row>
      <xdr:rowOff>175260</xdr:rowOff>
    </xdr:to>
    <xdr:pic>
      <xdr:nvPicPr>
        <xdr:cNvPr id="1057" name="Picture 1056" descr="Heal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09C2407-DDF2-8FF4-B0F5-34D4092DBC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1570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29</xdr:col>
      <xdr:colOff>0</xdr:colOff>
      <xdr:row>5</xdr:row>
      <xdr:rowOff>0</xdr:rowOff>
    </xdr:from>
    <xdr:to>
      <xdr:col>29</xdr:col>
      <xdr:colOff>175260</xdr:colOff>
      <xdr:row>5</xdr:row>
      <xdr:rowOff>175260</xdr:rowOff>
    </xdr:to>
    <xdr:pic>
      <xdr:nvPicPr>
        <xdr:cNvPr id="1058" name="Picture 1057" descr="Speed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21975CF-AED5-551E-D541-B4DCDBEE3F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9764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0</xdr:colOff>
      <xdr:row>5</xdr:row>
      <xdr:rowOff>0</xdr:rowOff>
    </xdr:from>
    <xdr:to>
      <xdr:col>30</xdr:col>
      <xdr:colOff>175260</xdr:colOff>
      <xdr:row>5</xdr:row>
      <xdr:rowOff>175260</xdr:rowOff>
    </xdr:to>
    <xdr:pic>
      <xdr:nvPicPr>
        <xdr:cNvPr id="1059" name="Picture 1058" descr="Patienc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98F101C-998F-400C-9E28-7F7F24A47B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87196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31</xdr:col>
      <xdr:colOff>0</xdr:colOff>
      <xdr:row>5</xdr:row>
      <xdr:rowOff>0</xdr:rowOff>
    </xdr:from>
    <xdr:to>
      <xdr:col>31</xdr:col>
      <xdr:colOff>175260</xdr:colOff>
      <xdr:row>5</xdr:row>
      <xdr:rowOff>175260</xdr:rowOff>
    </xdr:to>
    <xdr:pic>
      <xdr:nvPicPr>
        <xdr:cNvPr id="1060" name="Picture 1059" descr="Temp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897CC52-B08B-C3B4-C989-4BF0D537E9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2248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32</xdr:col>
      <xdr:colOff>0</xdr:colOff>
      <xdr:row>5</xdr:row>
      <xdr:rowOff>0</xdr:rowOff>
    </xdr:from>
    <xdr:to>
      <xdr:col>32</xdr:col>
      <xdr:colOff>175260</xdr:colOff>
      <xdr:row>5</xdr:row>
      <xdr:rowOff>175260</xdr:rowOff>
    </xdr:to>
    <xdr:pic>
      <xdr:nvPicPr>
        <xdr:cNvPr id="1061" name="Picture 1060" descr="Makeu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8329E88-0B5B-BB0F-6A9A-0985DF2954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8824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33</xdr:col>
      <xdr:colOff>0</xdr:colOff>
      <xdr:row>5</xdr:row>
      <xdr:rowOff>0</xdr:rowOff>
    </xdr:from>
    <xdr:to>
      <xdr:col>33</xdr:col>
      <xdr:colOff>175260</xdr:colOff>
      <xdr:row>5</xdr:row>
      <xdr:rowOff>175260</xdr:rowOff>
    </xdr:to>
    <xdr:pic>
      <xdr:nvPicPr>
        <xdr:cNvPr id="1062" name="Picture 1061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C8DC98C-CF6F-CA83-35E0-8719DCCC0A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6162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4</xdr:row>
      <xdr:rowOff>0</xdr:rowOff>
    </xdr:from>
    <xdr:to>
      <xdr:col>7</xdr:col>
      <xdr:colOff>171450</xdr:colOff>
      <xdr:row>5</xdr:row>
      <xdr:rowOff>0</xdr:rowOff>
    </xdr:to>
    <xdr:pic>
      <xdr:nvPicPr>
        <xdr:cNvPr id="1025" name="Picture 1" descr="http://www.whatifsports.com/HBD/Images/Icons/PlayerRatings/Durability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4384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0</xdr:colOff>
      <xdr:row>4</xdr:row>
      <xdr:rowOff>0</xdr:rowOff>
    </xdr:from>
    <xdr:to>
      <xdr:col>8</xdr:col>
      <xdr:colOff>171450</xdr:colOff>
      <xdr:row>5</xdr:row>
      <xdr:rowOff>0</xdr:rowOff>
    </xdr:to>
    <xdr:pic>
      <xdr:nvPicPr>
        <xdr:cNvPr id="1026" name="Picture 2" descr="http://www.whatifsports.com/HBD/Images/Icons/PlayerRatings/Health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0480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0</xdr:colOff>
      <xdr:row>4</xdr:row>
      <xdr:rowOff>0</xdr:rowOff>
    </xdr:from>
    <xdr:to>
      <xdr:col>8</xdr:col>
      <xdr:colOff>171450</xdr:colOff>
      <xdr:row>5</xdr:row>
      <xdr:rowOff>0</xdr:rowOff>
    </xdr:to>
    <xdr:pic>
      <xdr:nvPicPr>
        <xdr:cNvPr id="1027" name="Picture 3" descr="http://www.whatifsports.com/HBD/Images/Icons/PlayerRatings/Stamina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36576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9</xdr:col>
      <xdr:colOff>0</xdr:colOff>
      <xdr:row>4</xdr:row>
      <xdr:rowOff>0</xdr:rowOff>
    </xdr:from>
    <xdr:to>
      <xdr:col>9</xdr:col>
      <xdr:colOff>171450</xdr:colOff>
      <xdr:row>5</xdr:row>
      <xdr:rowOff>0</xdr:rowOff>
    </xdr:to>
    <xdr:pic>
      <xdr:nvPicPr>
        <xdr:cNvPr id="1028" name="Picture 4" descr="http://www.whatifsports.com/HBD/Images/Icons/PlayerRatings/Control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672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10</xdr:col>
      <xdr:colOff>0</xdr:colOff>
      <xdr:row>4</xdr:row>
      <xdr:rowOff>0</xdr:rowOff>
    </xdr:from>
    <xdr:to>
      <xdr:col>10</xdr:col>
      <xdr:colOff>171450</xdr:colOff>
      <xdr:row>5</xdr:row>
      <xdr:rowOff>0</xdr:rowOff>
    </xdr:to>
    <xdr:pic>
      <xdr:nvPicPr>
        <xdr:cNvPr id="1029" name="Picture 5" descr="http://www.whatifsports.com/HBD/Images/Icons/PlayerRatings/EffectivenessVsLHB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48768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11</xdr:col>
      <xdr:colOff>0</xdr:colOff>
      <xdr:row>4</xdr:row>
      <xdr:rowOff>0</xdr:rowOff>
    </xdr:from>
    <xdr:to>
      <xdr:col>11</xdr:col>
      <xdr:colOff>171450</xdr:colOff>
      <xdr:row>5</xdr:row>
      <xdr:rowOff>0</xdr:rowOff>
    </xdr:to>
    <xdr:pic>
      <xdr:nvPicPr>
        <xdr:cNvPr id="1030" name="Picture 6" descr="http://www.whatifsports.com/HBD/Images/Icons/PlayerRatings/EffectivenessVsRHB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54864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12</xdr:col>
      <xdr:colOff>0</xdr:colOff>
      <xdr:row>4</xdr:row>
      <xdr:rowOff>0</xdr:rowOff>
    </xdr:from>
    <xdr:to>
      <xdr:col>12</xdr:col>
      <xdr:colOff>171450</xdr:colOff>
      <xdr:row>5</xdr:row>
      <xdr:rowOff>0</xdr:rowOff>
    </xdr:to>
    <xdr:pic>
      <xdr:nvPicPr>
        <xdr:cNvPr id="1031" name="Picture 7" descr="http://www.whatifsports.com/HBD/Images/Icons/PlayerRatings/Velocity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60960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13</xdr:col>
      <xdr:colOff>0</xdr:colOff>
      <xdr:row>4</xdr:row>
      <xdr:rowOff>0</xdr:rowOff>
    </xdr:from>
    <xdr:to>
      <xdr:col>13</xdr:col>
      <xdr:colOff>171450</xdr:colOff>
      <xdr:row>5</xdr:row>
      <xdr:rowOff>0</xdr:rowOff>
    </xdr:to>
    <xdr:pic>
      <xdr:nvPicPr>
        <xdr:cNvPr id="1032" name="Picture 8" descr="http://www.whatifsports.com/HBD/Images/Icons/PlayerRatings/GroundBallFlyBall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67056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14</xdr:col>
      <xdr:colOff>0</xdr:colOff>
      <xdr:row>4</xdr:row>
      <xdr:rowOff>0</xdr:rowOff>
    </xdr:from>
    <xdr:to>
      <xdr:col>14</xdr:col>
      <xdr:colOff>171450</xdr:colOff>
      <xdr:row>5</xdr:row>
      <xdr:rowOff>0</xdr:rowOff>
    </xdr:to>
    <xdr:pic>
      <xdr:nvPicPr>
        <xdr:cNvPr id="1033" name="Picture 9" descr="http://www.whatifsports.com/HBD/Images/Icons/PlayerRatings/Pitch_1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73152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15</xdr:col>
      <xdr:colOff>0</xdr:colOff>
      <xdr:row>4</xdr:row>
      <xdr:rowOff>0</xdr:rowOff>
    </xdr:from>
    <xdr:to>
      <xdr:col>15</xdr:col>
      <xdr:colOff>171450</xdr:colOff>
      <xdr:row>5</xdr:row>
      <xdr:rowOff>0</xdr:rowOff>
    </xdr:to>
    <xdr:pic>
      <xdr:nvPicPr>
        <xdr:cNvPr id="1034" name="Picture 10" descr="http://www.whatifsports.com/HBD/Images/Icons/PlayerRatings/Pitch_2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79248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16</xdr:col>
      <xdr:colOff>0</xdr:colOff>
      <xdr:row>4</xdr:row>
      <xdr:rowOff>0</xdr:rowOff>
    </xdr:from>
    <xdr:to>
      <xdr:col>16</xdr:col>
      <xdr:colOff>171450</xdr:colOff>
      <xdr:row>5</xdr:row>
      <xdr:rowOff>0</xdr:rowOff>
    </xdr:to>
    <xdr:pic>
      <xdr:nvPicPr>
        <xdr:cNvPr id="1035" name="Picture 11" descr="http://www.whatifsports.com/HBD/Images/Icons/PlayerRatings/Pitch_3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5344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17</xdr:col>
      <xdr:colOff>0</xdr:colOff>
      <xdr:row>4</xdr:row>
      <xdr:rowOff>0</xdr:rowOff>
    </xdr:from>
    <xdr:to>
      <xdr:col>17</xdr:col>
      <xdr:colOff>171450</xdr:colOff>
      <xdr:row>5</xdr:row>
      <xdr:rowOff>0</xdr:rowOff>
    </xdr:to>
    <xdr:pic>
      <xdr:nvPicPr>
        <xdr:cNvPr id="1036" name="Picture 12" descr="http://www.whatifsports.com/HBD/Images/Icons/PlayerRatings/Pitch_4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91440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18</xdr:col>
      <xdr:colOff>0</xdr:colOff>
      <xdr:row>4</xdr:row>
      <xdr:rowOff>0</xdr:rowOff>
    </xdr:from>
    <xdr:to>
      <xdr:col>18</xdr:col>
      <xdr:colOff>171450</xdr:colOff>
      <xdr:row>5</xdr:row>
      <xdr:rowOff>0</xdr:rowOff>
    </xdr:to>
    <xdr:pic>
      <xdr:nvPicPr>
        <xdr:cNvPr id="1037" name="Picture 13" descr="http://www.whatifsports.com/HBD/Images/Icons/PlayerRatings/Pitch_5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/>
        <a:srcRect/>
        <a:stretch>
          <a:fillRect/>
        </a:stretch>
      </xdr:blipFill>
      <xdr:spPr bwMode="auto">
        <a:xfrm>
          <a:off x="97536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171450</xdr:colOff>
      <xdr:row>5</xdr:row>
      <xdr:rowOff>0</xdr:rowOff>
    </xdr:to>
    <xdr:pic>
      <xdr:nvPicPr>
        <xdr:cNvPr id="41" name="Picture 40" descr="Durabilit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8481843F-9EEC-4A2B-960D-F822044B0E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11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4</xdr:row>
      <xdr:rowOff>0</xdr:rowOff>
    </xdr:from>
    <xdr:to>
      <xdr:col>8</xdr:col>
      <xdr:colOff>171450</xdr:colOff>
      <xdr:row>5</xdr:row>
      <xdr:rowOff>0</xdr:rowOff>
    </xdr:to>
    <xdr:pic>
      <xdr:nvPicPr>
        <xdr:cNvPr id="42" name="Picture 41" descr="Stamina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9AE310CD-70F5-4AFF-AA6B-E44350A304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11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4</xdr:row>
      <xdr:rowOff>0</xdr:rowOff>
    </xdr:from>
    <xdr:to>
      <xdr:col>9</xdr:col>
      <xdr:colOff>171450</xdr:colOff>
      <xdr:row>5</xdr:row>
      <xdr:rowOff>0</xdr:rowOff>
    </xdr:to>
    <xdr:pic>
      <xdr:nvPicPr>
        <xdr:cNvPr id="43" name="Picture 42" descr="Contro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5670E116-A8DE-4B51-934C-C54B22AAF1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705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4</xdr:row>
      <xdr:rowOff>0</xdr:rowOff>
    </xdr:from>
    <xdr:to>
      <xdr:col>10</xdr:col>
      <xdr:colOff>171450</xdr:colOff>
      <xdr:row>5</xdr:row>
      <xdr:rowOff>0</xdr:rowOff>
    </xdr:to>
    <xdr:pic>
      <xdr:nvPicPr>
        <xdr:cNvPr id="44" name="Picture 43" descr="EffectivenessVsLHB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D9DE00E9-B08A-4A40-B747-926E32980C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134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4</xdr:row>
      <xdr:rowOff>0</xdr:rowOff>
    </xdr:from>
    <xdr:to>
      <xdr:col>11</xdr:col>
      <xdr:colOff>171450</xdr:colOff>
      <xdr:row>5</xdr:row>
      <xdr:rowOff>0</xdr:rowOff>
    </xdr:to>
    <xdr:pic>
      <xdr:nvPicPr>
        <xdr:cNvPr id="45" name="Picture 44" descr="EffectivenessVsRHB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69DF4E43-898E-4033-84AA-AFB0D28FD9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63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4</xdr:row>
      <xdr:rowOff>0</xdr:rowOff>
    </xdr:from>
    <xdr:to>
      <xdr:col>12</xdr:col>
      <xdr:colOff>171450</xdr:colOff>
      <xdr:row>5</xdr:row>
      <xdr:rowOff>0</xdr:rowOff>
    </xdr:to>
    <xdr:pic>
      <xdr:nvPicPr>
        <xdr:cNvPr id="46" name="Picture 45" descr="Velocit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CB6998A2-499D-4B54-8767-1B704D9525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35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4</xdr:row>
      <xdr:rowOff>0</xdr:rowOff>
    </xdr:from>
    <xdr:to>
      <xdr:col>13</xdr:col>
      <xdr:colOff>171450</xdr:colOff>
      <xdr:row>5</xdr:row>
      <xdr:rowOff>0</xdr:rowOff>
    </xdr:to>
    <xdr:pic>
      <xdr:nvPicPr>
        <xdr:cNvPr id="47" name="Picture 46" descr="GroundBallFlyBal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358E3994-B22C-4747-B9A8-15F2A20B72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786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4</xdr:row>
      <xdr:rowOff>0</xdr:rowOff>
    </xdr:from>
    <xdr:to>
      <xdr:col>14</xdr:col>
      <xdr:colOff>171450</xdr:colOff>
      <xdr:row>5</xdr:row>
      <xdr:rowOff>0</xdr:rowOff>
    </xdr:to>
    <xdr:pic>
      <xdr:nvPicPr>
        <xdr:cNvPr id="48" name="Picture 47" descr="Pitch_1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DB7A35D3-6672-464F-9D40-86EFF40254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215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4</xdr:row>
      <xdr:rowOff>0</xdr:rowOff>
    </xdr:from>
    <xdr:to>
      <xdr:col>15</xdr:col>
      <xdr:colOff>171450</xdr:colOff>
      <xdr:row>5</xdr:row>
      <xdr:rowOff>0</xdr:rowOff>
    </xdr:to>
    <xdr:pic>
      <xdr:nvPicPr>
        <xdr:cNvPr id="49" name="Picture 48" descr="Pitch_2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EA328617-685C-4CB9-95C8-52D38F6C14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644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4</xdr:row>
      <xdr:rowOff>0</xdr:rowOff>
    </xdr:from>
    <xdr:to>
      <xdr:col>16</xdr:col>
      <xdr:colOff>171450</xdr:colOff>
      <xdr:row>5</xdr:row>
      <xdr:rowOff>0</xdr:rowOff>
    </xdr:to>
    <xdr:pic>
      <xdr:nvPicPr>
        <xdr:cNvPr id="50" name="Picture 49" descr="Pitch_3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E2FFBB80-5EF4-4BC5-B96F-F6EFDFA2C4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73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0</xdr:colOff>
      <xdr:row>4</xdr:row>
      <xdr:rowOff>0</xdr:rowOff>
    </xdr:from>
    <xdr:to>
      <xdr:col>17</xdr:col>
      <xdr:colOff>171450</xdr:colOff>
      <xdr:row>5</xdr:row>
      <xdr:rowOff>0</xdr:rowOff>
    </xdr:to>
    <xdr:pic>
      <xdr:nvPicPr>
        <xdr:cNvPr id="51" name="Picture 50" descr="Pitch_4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36501217-2C7B-4DCF-BC9B-1D7FA3D5D6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86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0</xdr:colOff>
      <xdr:row>4</xdr:row>
      <xdr:rowOff>0</xdr:rowOff>
    </xdr:from>
    <xdr:to>
      <xdr:col>18</xdr:col>
      <xdr:colOff>171450</xdr:colOff>
      <xdr:row>5</xdr:row>
      <xdr:rowOff>0</xdr:rowOff>
    </xdr:to>
    <xdr:pic>
      <xdr:nvPicPr>
        <xdr:cNvPr id="52" name="Picture 51" descr="Pitch_5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6B31FC68-4342-4CFD-A566-36ABD0FD51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4</xdr:row>
      <xdr:rowOff>0</xdr:rowOff>
    </xdr:from>
    <xdr:to>
      <xdr:col>19</xdr:col>
      <xdr:colOff>171450</xdr:colOff>
      <xdr:row>5</xdr:row>
      <xdr:rowOff>0</xdr:rowOff>
    </xdr:to>
    <xdr:pic>
      <xdr:nvPicPr>
        <xdr:cNvPr id="53" name="Picture 52" descr="Overal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CE1631C7-F386-49D4-A1FA-D2CCEBD49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9090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171450</xdr:colOff>
      <xdr:row>5</xdr:row>
      <xdr:rowOff>0</xdr:rowOff>
    </xdr:to>
    <xdr:pic>
      <xdr:nvPicPr>
        <xdr:cNvPr id="26" name="Picture 25" descr="Range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64C9B36A-10F2-E806-F8E3-DF750CD367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11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4</xdr:row>
      <xdr:rowOff>0</xdr:rowOff>
    </xdr:from>
    <xdr:to>
      <xdr:col>8</xdr:col>
      <xdr:colOff>171450</xdr:colOff>
      <xdr:row>5</xdr:row>
      <xdr:rowOff>0</xdr:rowOff>
    </xdr:to>
    <xdr:pic>
      <xdr:nvPicPr>
        <xdr:cNvPr id="27" name="Picture 26" descr="Glove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5EB720C1-EF4B-C6ED-8763-436BF293D6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11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4</xdr:row>
      <xdr:rowOff>0</xdr:rowOff>
    </xdr:from>
    <xdr:to>
      <xdr:col>9</xdr:col>
      <xdr:colOff>171450</xdr:colOff>
      <xdr:row>5</xdr:row>
      <xdr:rowOff>0</xdr:rowOff>
    </xdr:to>
    <xdr:pic>
      <xdr:nvPicPr>
        <xdr:cNvPr id="28" name="Picture 27" descr="ArmStrength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360DFD5D-E2E2-1527-51BB-F99F80B93A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705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4</xdr:row>
      <xdr:rowOff>0</xdr:rowOff>
    </xdr:from>
    <xdr:to>
      <xdr:col>10</xdr:col>
      <xdr:colOff>171450</xdr:colOff>
      <xdr:row>5</xdr:row>
      <xdr:rowOff>0</xdr:rowOff>
    </xdr:to>
    <xdr:pic>
      <xdr:nvPicPr>
        <xdr:cNvPr id="29" name="Picture 28" descr="ArmAccurac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38537479-4BFA-E774-DF59-AE4D4C87B6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134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4</xdr:row>
      <xdr:rowOff>0</xdr:rowOff>
    </xdr:from>
    <xdr:to>
      <xdr:col>11</xdr:col>
      <xdr:colOff>171450</xdr:colOff>
      <xdr:row>5</xdr:row>
      <xdr:rowOff>0</xdr:rowOff>
    </xdr:to>
    <xdr:pic>
      <xdr:nvPicPr>
        <xdr:cNvPr id="30" name="Picture 29" descr="PitchCalling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C1D231D0-2AD8-2DB3-BB8B-ACBE14B61C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63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4</xdr:row>
      <xdr:rowOff>0</xdr:rowOff>
    </xdr:from>
    <xdr:to>
      <xdr:col>12</xdr:col>
      <xdr:colOff>171450</xdr:colOff>
      <xdr:row>5</xdr:row>
      <xdr:rowOff>0</xdr:rowOff>
    </xdr:to>
    <xdr:pic>
      <xdr:nvPicPr>
        <xdr:cNvPr id="31" name="Picture 30" descr="Durabilit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2F1E8D80-FBD5-CEC0-7CD3-48A97D37E0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35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4</xdr:row>
      <xdr:rowOff>0</xdr:rowOff>
    </xdr:from>
    <xdr:to>
      <xdr:col>13</xdr:col>
      <xdr:colOff>171450</xdr:colOff>
      <xdr:row>5</xdr:row>
      <xdr:rowOff>0</xdr:rowOff>
    </xdr:to>
    <xdr:pic>
      <xdr:nvPicPr>
        <xdr:cNvPr id="32" name="Picture 31" descr="Health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417744E3-1878-EB09-B84C-941D9B64BE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786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4</xdr:row>
      <xdr:rowOff>0</xdr:rowOff>
    </xdr:from>
    <xdr:to>
      <xdr:col>14</xdr:col>
      <xdr:colOff>171450</xdr:colOff>
      <xdr:row>5</xdr:row>
      <xdr:rowOff>0</xdr:rowOff>
    </xdr:to>
    <xdr:pic>
      <xdr:nvPicPr>
        <xdr:cNvPr id="33" name="Picture 32" descr="Speed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226B8F52-5484-9FCD-C029-4B26684EF0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215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4</xdr:row>
      <xdr:rowOff>0</xdr:rowOff>
    </xdr:from>
    <xdr:to>
      <xdr:col>15</xdr:col>
      <xdr:colOff>171450</xdr:colOff>
      <xdr:row>5</xdr:row>
      <xdr:rowOff>0</xdr:rowOff>
    </xdr:to>
    <xdr:pic>
      <xdr:nvPicPr>
        <xdr:cNvPr id="34" name="Picture 33" descr="Patience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25C1DFFF-0998-4CB8-A3D8-370B71D3E2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644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4</xdr:row>
      <xdr:rowOff>0</xdr:rowOff>
    </xdr:from>
    <xdr:to>
      <xdr:col>16</xdr:col>
      <xdr:colOff>171450</xdr:colOff>
      <xdr:row>5</xdr:row>
      <xdr:rowOff>0</xdr:rowOff>
    </xdr:to>
    <xdr:pic>
      <xdr:nvPicPr>
        <xdr:cNvPr id="35" name="Picture 34" descr="Temper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81E0AA44-E514-4143-ABDF-E6977FF45B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73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0</xdr:colOff>
      <xdr:row>4</xdr:row>
      <xdr:rowOff>0</xdr:rowOff>
    </xdr:from>
    <xdr:to>
      <xdr:col>17</xdr:col>
      <xdr:colOff>171450</xdr:colOff>
      <xdr:row>5</xdr:row>
      <xdr:rowOff>0</xdr:rowOff>
    </xdr:to>
    <xdr:pic>
      <xdr:nvPicPr>
        <xdr:cNvPr id="36" name="Picture 35" descr="Makeup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FF0A9C25-F486-56AB-AE1A-5E101D5449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86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0</xdr:colOff>
      <xdr:row>4</xdr:row>
      <xdr:rowOff>0</xdr:rowOff>
    </xdr:from>
    <xdr:to>
      <xdr:col>18</xdr:col>
      <xdr:colOff>171450</xdr:colOff>
      <xdr:row>5</xdr:row>
      <xdr:rowOff>0</xdr:rowOff>
    </xdr:to>
    <xdr:pic>
      <xdr:nvPicPr>
        <xdr:cNvPr id="37" name="Picture 36" descr="Overal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9E1EC975-7C9B-2FB3-C6DB-E9183809A2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171450</xdr:colOff>
      <xdr:row>5</xdr:row>
      <xdr:rowOff>0</xdr:rowOff>
    </xdr:to>
    <xdr:pic>
      <xdr:nvPicPr>
        <xdr:cNvPr id="63" name="Picture 62" descr="Durabilit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8BD2C734-C625-4A03-AA47-757DFDE72D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11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4</xdr:row>
      <xdr:rowOff>0</xdr:rowOff>
    </xdr:from>
    <xdr:to>
      <xdr:col>8</xdr:col>
      <xdr:colOff>171450</xdr:colOff>
      <xdr:row>5</xdr:row>
      <xdr:rowOff>0</xdr:rowOff>
    </xdr:to>
    <xdr:pic>
      <xdr:nvPicPr>
        <xdr:cNvPr id="1024" name="Picture 1023" descr="Stamina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A47544F2-4AF4-C1BC-6AB1-2FBBC83F6A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11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4</xdr:row>
      <xdr:rowOff>0</xdr:rowOff>
    </xdr:from>
    <xdr:to>
      <xdr:col>9</xdr:col>
      <xdr:colOff>171450</xdr:colOff>
      <xdr:row>5</xdr:row>
      <xdr:rowOff>0</xdr:rowOff>
    </xdr:to>
    <xdr:pic>
      <xdr:nvPicPr>
        <xdr:cNvPr id="1038" name="Picture 1037" descr="Contro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34C1F3E3-D082-C26D-204B-E841A9260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705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4</xdr:row>
      <xdr:rowOff>0</xdr:rowOff>
    </xdr:from>
    <xdr:to>
      <xdr:col>10</xdr:col>
      <xdr:colOff>171450</xdr:colOff>
      <xdr:row>5</xdr:row>
      <xdr:rowOff>0</xdr:rowOff>
    </xdr:to>
    <xdr:pic>
      <xdr:nvPicPr>
        <xdr:cNvPr id="1039" name="Picture 1038" descr="EffectivenessVsLHB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6FB1F784-9E9E-E073-E4A3-07E170E8C6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134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4</xdr:row>
      <xdr:rowOff>0</xdr:rowOff>
    </xdr:from>
    <xdr:to>
      <xdr:col>11</xdr:col>
      <xdr:colOff>171450</xdr:colOff>
      <xdr:row>5</xdr:row>
      <xdr:rowOff>0</xdr:rowOff>
    </xdr:to>
    <xdr:pic>
      <xdr:nvPicPr>
        <xdr:cNvPr id="1040" name="Picture 1039" descr="EffectivenessVsRHB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88B4675E-50D0-AB36-3F5B-80EF2441F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63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4</xdr:row>
      <xdr:rowOff>0</xdr:rowOff>
    </xdr:from>
    <xdr:to>
      <xdr:col>12</xdr:col>
      <xdr:colOff>171450</xdr:colOff>
      <xdr:row>5</xdr:row>
      <xdr:rowOff>0</xdr:rowOff>
    </xdr:to>
    <xdr:pic>
      <xdr:nvPicPr>
        <xdr:cNvPr id="1041" name="Picture 1040" descr="Velocit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F3A9731F-4ECA-4CAD-9987-CCFFF86C34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35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4</xdr:row>
      <xdr:rowOff>0</xdr:rowOff>
    </xdr:from>
    <xdr:to>
      <xdr:col>13</xdr:col>
      <xdr:colOff>171450</xdr:colOff>
      <xdr:row>5</xdr:row>
      <xdr:rowOff>0</xdr:rowOff>
    </xdr:to>
    <xdr:pic>
      <xdr:nvPicPr>
        <xdr:cNvPr id="1042" name="Picture 1041" descr="GroundBallFlyBal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76073D98-2969-F304-7F1E-739D10A6EA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786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4</xdr:row>
      <xdr:rowOff>0</xdr:rowOff>
    </xdr:from>
    <xdr:to>
      <xdr:col>14</xdr:col>
      <xdr:colOff>171450</xdr:colOff>
      <xdr:row>5</xdr:row>
      <xdr:rowOff>0</xdr:rowOff>
    </xdr:to>
    <xdr:pic>
      <xdr:nvPicPr>
        <xdr:cNvPr id="1043" name="Picture 1042" descr="Pitch_1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B61510F4-2659-43C2-AC18-3AA410C550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215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4</xdr:row>
      <xdr:rowOff>0</xdr:rowOff>
    </xdr:from>
    <xdr:to>
      <xdr:col>15</xdr:col>
      <xdr:colOff>171450</xdr:colOff>
      <xdr:row>5</xdr:row>
      <xdr:rowOff>0</xdr:rowOff>
    </xdr:to>
    <xdr:pic>
      <xdr:nvPicPr>
        <xdr:cNvPr id="1044" name="Picture 1043" descr="Pitch_2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C8ADC843-3742-34F2-6A47-A555C1A14F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644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4</xdr:row>
      <xdr:rowOff>0</xdr:rowOff>
    </xdr:from>
    <xdr:to>
      <xdr:col>16</xdr:col>
      <xdr:colOff>171450</xdr:colOff>
      <xdr:row>5</xdr:row>
      <xdr:rowOff>0</xdr:rowOff>
    </xdr:to>
    <xdr:pic>
      <xdr:nvPicPr>
        <xdr:cNvPr id="1045" name="Picture 1044" descr="Pitch_3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F9AF6A78-E3BE-B54B-0C33-0132916C80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73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0</xdr:colOff>
      <xdr:row>4</xdr:row>
      <xdr:rowOff>0</xdr:rowOff>
    </xdr:from>
    <xdr:to>
      <xdr:col>17</xdr:col>
      <xdr:colOff>171450</xdr:colOff>
      <xdr:row>5</xdr:row>
      <xdr:rowOff>0</xdr:rowOff>
    </xdr:to>
    <xdr:pic>
      <xdr:nvPicPr>
        <xdr:cNvPr id="1046" name="Picture 1045" descr="Pitch_4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740A8E3D-7EBA-373B-1B0A-FD86A4754D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86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0</xdr:colOff>
      <xdr:row>4</xdr:row>
      <xdr:rowOff>0</xdr:rowOff>
    </xdr:from>
    <xdr:to>
      <xdr:col>18</xdr:col>
      <xdr:colOff>171450</xdr:colOff>
      <xdr:row>5</xdr:row>
      <xdr:rowOff>0</xdr:rowOff>
    </xdr:to>
    <xdr:pic>
      <xdr:nvPicPr>
        <xdr:cNvPr id="1047" name="Picture 1046" descr="Pitch_5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6A69AB0D-87AB-4B6F-019F-F25B29AB67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4</xdr:row>
      <xdr:rowOff>0</xdr:rowOff>
    </xdr:from>
    <xdr:to>
      <xdr:col>19</xdr:col>
      <xdr:colOff>171450</xdr:colOff>
      <xdr:row>5</xdr:row>
      <xdr:rowOff>0</xdr:rowOff>
    </xdr:to>
    <xdr:pic>
      <xdr:nvPicPr>
        <xdr:cNvPr id="1048" name="Picture 1047" descr="Overal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DAD8B804-3197-9A31-5CDE-046336A6E9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9090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175260</xdr:colOff>
      <xdr:row>5</xdr:row>
      <xdr:rowOff>7620</xdr:rowOff>
    </xdr:to>
    <xdr:pic>
      <xdr:nvPicPr>
        <xdr:cNvPr id="2" name="Picture 1" descr="Durabilit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E618146-A4C6-7E83-B082-C1D0AE336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158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4</xdr:row>
      <xdr:rowOff>0</xdr:rowOff>
    </xdr:from>
    <xdr:to>
      <xdr:col>8</xdr:col>
      <xdr:colOff>175260</xdr:colOff>
      <xdr:row>5</xdr:row>
      <xdr:rowOff>7620</xdr:rowOff>
    </xdr:to>
    <xdr:pic>
      <xdr:nvPicPr>
        <xdr:cNvPr id="3" name="Picture 2" descr="Stamina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DB689AE8-6201-FB27-8ECD-F1156F351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9590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4</xdr:row>
      <xdr:rowOff>0</xdr:rowOff>
    </xdr:from>
    <xdr:to>
      <xdr:col>9</xdr:col>
      <xdr:colOff>175260</xdr:colOff>
      <xdr:row>5</xdr:row>
      <xdr:rowOff>7620</xdr:rowOff>
    </xdr:to>
    <xdr:pic>
      <xdr:nvPicPr>
        <xdr:cNvPr id="4" name="Picture 3" descr="Contro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17B5B31-4B7E-B4D9-92CB-4DEB4BD677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7022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4</xdr:row>
      <xdr:rowOff>0</xdr:rowOff>
    </xdr:from>
    <xdr:to>
      <xdr:col>10</xdr:col>
      <xdr:colOff>175260</xdr:colOff>
      <xdr:row>5</xdr:row>
      <xdr:rowOff>7620</xdr:rowOff>
    </xdr:to>
    <xdr:pic>
      <xdr:nvPicPr>
        <xdr:cNvPr id="5" name="Picture 4" descr="EffectivenessVsLHB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D7EC74B3-23E3-7152-F76E-8CD0ABCB47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0550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4</xdr:row>
      <xdr:rowOff>0</xdr:rowOff>
    </xdr:from>
    <xdr:to>
      <xdr:col>11</xdr:col>
      <xdr:colOff>175260</xdr:colOff>
      <xdr:row>5</xdr:row>
      <xdr:rowOff>7620</xdr:rowOff>
    </xdr:to>
    <xdr:pic>
      <xdr:nvPicPr>
        <xdr:cNvPr id="6" name="Picture 5" descr="EffectivenessVsRHB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E6175E09-7010-C4A8-7E65-1FAF767552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078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4</xdr:row>
      <xdr:rowOff>0</xdr:rowOff>
    </xdr:from>
    <xdr:to>
      <xdr:col>12</xdr:col>
      <xdr:colOff>175260</xdr:colOff>
      <xdr:row>5</xdr:row>
      <xdr:rowOff>7620</xdr:rowOff>
    </xdr:to>
    <xdr:pic>
      <xdr:nvPicPr>
        <xdr:cNvPr id="7" name="Picture 6" descr="Velocit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F5001670-B706-B339-A4F8-A3636C4770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1510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4</xdr:row>
      <xdr:rowOff>0</xdr:rowOff>
    </xdr:from>
    <xdr:to>
      <xdr:col>13</xdr:col>
      <xdr:colOff>175260</xdr:colOff>
      <xdr:row>5</xdr:row>
      <xdr:rowOff>7620</xdr:rowOff>
    </xdr:to>
    <xdr:pic>
      <xdr:nvPicPr>
        <xdr:cNvPr id="8" name="Picture 7" descr="GroundBallFlyBal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CCBFDF03-4AE2-F53E-7E0C-0F3836D5BF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038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4</xdr:row>
      <xdr:rowOff>0</xdr:rowOff>
    </xdr:from>
    <xdr:to>
      <xdr:col>14</xdr:col>
      <xdr:colOff>175260</xdr:colOff>
      <xdr:row>5</xdr:row>
      <xdr:rowOff>7620</xdr:rowOff>
    </xdr:to>
    <xdr:pic>
      <xdr:nvPicPr>
        <xdr:cNvPr id="9" name="Picture 8" descr="Pitch_1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C0CCDD39-34B9-DDC0-CE2A-AB87A1354C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566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4</xdr:row>
      <xdr:rowOff>0</xdr:rowOff>
    </xdr:from>
    <xdr:to>
      <xdr:col>15</xdr:col>
      <xdr:colOff>175260</xdr:colOff>
      <xdr:row>5</xdr:row>
      <xdr:rowOff>7620</xdr:rowOff>
    </xdr:to>
    <xdr:pic>
      <xdr:nvPicPr>
        <xdr:cNvPr id="10" name="Picture 9" descr="Pitch_2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E2AE9E89-66E8-F0B5-1C55-23E96821C5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094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4</xdr:row>
      <xdr:rowOff>0</xdr:rowOff>
    </xdr:from>
    <xdr:to>
      <xdr:col>16</xdr:col>
      <xdr:colOff>175260</xdr:colOff>
      <xdr:row>5</xdr:row>
      <xdr:rowOff>7620</xdr:rowOff>
    </xdr:to>
    <xdr:pic>
      <xdr:nvPicPr>
        <xdr:cNvPr id="11" name="Picture 10" descr="Pitch_3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E2DCA498-E25E-E4D2-6FE3-216A53277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5622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0</xdr:colOff>
      <xdr:row>4</xdr:row>
      <xdr:rowOff>0</xdr:rowOff>
    </xdr:from>
    <xdr:to>
      <xdr:col>17</xdr:col>
      <xdr:colOff>175260</xdr:colOff>
      <xdr:row>5</xdr:row>
      <xdr:rowOff>7620</xdr:rowOff>
    </xdr:to>
    <xdr:pic>
      <xdr:nvPicPr>
        <xdr:cNvPr id="12" name="Picture 11" descr="Pitch_4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62D3816C-71E2-7F90-80B0-7BE717C31C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054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0</xdr:colOff>
      <xdr:row>4</xdr:row>
      <xdr:rowOff>0</xdr:rowOff>
    </xdr:from>
    <xdr:to>
      <xdr:col>18</xdr:col>
      <xdr:colOff>175260</xdr:colOff>
      <xdr:row>5</xdr:row>
      <xdr:rowOff>7620</xdr:rowOff>
    </xdr:to>
    <xdr:pic>
      <xdr:nvPicPr>
        <xdr:cNvPr id="13" name="Picture 12" descr="Pitch_5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4F740F64-97E2-4E69-9D24-3A6E002CB5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6582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4</xdr:row>
      <xdr:rowOff>0</xdr:rowOff>
    </xdr:from>
    <xdr:to>
      <xdr:col>19</xdr:col>
      <xdr:colOff>175260</xdr:colOff>
      <xdr:row>5</xdr:row>
      <xdr:rowOff>7620</xdr:rowOff>
    </xdr:to>
    <xdr:pic>
      <xdr:nvPicPr>
        <xdr:cNvPr id="14" name="Picture 13" descr="Overal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44176F1D-796B-5CF8-DFB0-7B66B6C1BE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4014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11</xdr:row>
      <xdr:rowOff>76200</xdr:rowOff>
    </xdr:from>
    <xdr:to>
      <xdr:col>23</xdr:col>
      <xdr:colOff>142875</xdr:colOff>
      <xdr:row>34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gif"/><Relationship Id="rId13" Type="http://schemas.openxmlformats.org/officeDocument/2006/relationships/image" Target="../media/image13.gif"/><Relationship Id="rId18" Type="http://schemas.openxmlformats.org/officeDocument/2006/relationships/image" Target="../media/image18.gif"/><Relationship Id="rId26" Type="http://schemas.openxmlformats.org/officeDocument/2006/relationships/image" Target="../media/image26.gif"/><Relationship Id="rId3" Type="http://schemas.openxmlformats.org/officeDocument/2006/relationships/image" Target="../media/image3.gif"/><Relationship Id="rId21" Type="http://schemas.openxmlformats.org/officeDocument/2006/relationships/image" Target="../media/image21.gif"/><Relationship Id="rId7" Type="http://schemas.openxmlformats.org/officeDocument/2006/relationships/image" Target="../media/image7.gif"/><Relationship Id="rId12" Type="http://schemas.openxmlformats.org/officeDocument/2006/relationships/image" Target="../media/image12.gif"/><Relationship Id="rId17" Type="http://schemas.openxmlformats.org/officeDocument/2006/relationships/image" Target="../media/image17.gif"/><Relationship Id="rId25" Type="http://schemas.openxmlformats.org/officeDocument/2006/relationships/image" Target="../media/image25.gif"/><Relationship Id="rId2" Type="http://schemas.openxmlformats.org/officeDocument/2006/relationships/image" Target="../media/image2.gif"/><Relationship Id="rId16" Type="http://schemas.openxmlformats.org/officeDocument/2006/relationships/image" Target="../media/image16.gif"/><Relationship Id="rId20" Type="http://schemas.openxmlformats.org/officeDocument/2006/relationships/image" Target="../media/image20.gif"/><Relationship Id="rId29" Type="http://schemas.openxmlformats.org/officeDocument/2006/relationships/image" Target="../media/image29.gif"/><Relationship Id="rId1" Type="http://schemas.openxmlformats.org/officeDocument/2006/relationships/image" Target="../media/image1.gif"/><Relationship Id="rId6" Type="http://schemas.openxmlformats.org/officeDocument/2006/relationships/image" Target="../media/image6.gif"/><Relationship Id="rId11" Type="http://schemas.openxmlformats.org/officeDocument/2006/relationships/image" Target="../media/image11.gif"/><Relationship Id="rId24" Type="http://schemas.openxmlformats.org/officeDocument/2006/relationships/image" Target="../media/image24.gif"/><Relationship Id="rId5" Type="http://schemas.openxmlformats.org/officeDocument/2006/relationships/image" Target="../media/image5.gif"/><Relationship Id="rId15" Type="http://schemas.openxmlformats.org/officeDocument/2006/relationships/image" Target="../media/image15.gif"/><Relationship Id="rId23" Type="http://schemas.openxmlformats.org/officeDocument/2006/relationships/image" Target="../media/image23.gif"/><Relationship Id="rId28" Type="http://schemas.openxmlformats.org/officeDocument/2006/relationships/image" Target="../media/image28.gif"/><Relationship Id="rId10" Type="http://schemas.openxmlformats.org/officeDocument/2006/relationships/image" Target="../media/image10.gif"/><Relationship Id="rId19" Type="http://schemas.openxmlformats.org/officeDocument/2006/relationships/image" Target="../media/image19.gif"/><Relationship Id="rId31" Type="http://schemas.openxmlformats.org/officeDocument/2006/relationships/image" Target="../media/image31.gif"/><Relationship Id="rId4" Type="http://schemas.openxmlformats.org/officeDocument/2006/relationships/image" Target="../media/image4.gif"/><Relationship Id="rId9" Type="http://schemas.openxmlformats.org/officeDocument/2006/relationships/image" Target="../media/image9.gif"/><Relationship Id="rId14" Type="http://schemas.openxmlformats.org/officeDocument/2006/relationships/image" Target="../media/image14.gif"/><Relationship Id="rId22" Type="http://schemas.openxmlformats.org/officeDocument/2006/relationships/image" Target="../media/image22.gif"/><Relationship Id="rId27" Type="http://schemas.openxmlformats.org/officeDocument/2006/relationships/image" Target="../media/image27.gif"/><Relationship Id="rId30" Type="http://schemas.openxmlformats.org/officeDocument/2006/relationships/image" Target="../media/image30.gif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1">
  <rv s="0">
    <v>0</v>
    <v>5</v>
    <v>Contact</v>
  </rv>
  <rv s="0">
    <v>1</v>
    <v>5</v>
    <v>Power</v>
  </rv>
  <rv s="0">
    <v>2</v>
    <v>5</v>
    <v>battingVsLHP</v>
  </rv>
  <rv s="0">
    <v>3</v>
    <v>5</v>
    <v>battingVsRHP</v>
  </rv>
  <rv s="0">
    <v>4</v>
    <v>5</v>
    <v>BattingEye</v>
  </rv>
  <rv s="0">
    <v>5</v>
    <v>5</v>
    <v>Baserunning</v>
  </rv>
  <rv s="0">
    <v>6</v>
    <v>5</v>
    <v>Bunt</v>
  </rv>
  <rv s="0">
    <v>7</v>
    <v>5</v>
    <v>Pushpull</v>
  </rv>
  <rv s="0">
    <v>8</v>
    <v>5</v>
    <v>Overall</v>
  </rv>
  <rv s="0">
    <v>9</v>
    <v>5</v>
    <v>Range</v>
  </rv>
  <rv s="0">
    <v>10</v>
    <v>5</v>
    <v>Glove</v>
  </rv>
  <rv s="0">
    <v>11</v>
    <v>5</v>
    <v>ArmStrength</v>
  </rv>
  <rv s="0">
    <v>12</v>
    <v>5</v>
    <v>ArmAccuracy</v>
  </rv>
  <rv s="0">
    <v>13</v>
    <v>5</v>
    <v>PitchCalling</v>
  </rv>
  <rv s="0">
    <v>14</v>
    <v>5</v>
    <v>Durability</v>
  </rv>
  <rv s="0">
    <v>15</v>
    <v>5</v>
    <v>Health</v>
  </rv>
  <rv s="0">
    <v>16</v>
    <v>5</v>
    <v>Speed</v>
  </rv>
  <rv s="0">
    <v>17</v>
    <v>5</v>
    <v>Patience</v>
  </rv>
  <rv s="0">
    <v>18</v>
    <v>5</v>
    <v>Temper</v>
  </rv>
  <rv s="0">
    <v>19</v>
    <v>5</v>
    <v>Makeup</v>
  </rv>
  <rv s="0">
    <v>20</v>
    <v>5</v>
    <v>Stamina</v>
  </rv>
  <rv s="0">
    <v>21</v>
    <v>5</v>
    <v>Control</v>
  </rv>
  <rv s="0">
    <v>22</v>
    <v>5</v>
    <v>EffectivenessVsLHB</v>
  </rv>
  <rv s="0">
    <v>23</v>
    <v>5</v>
    <v>EffectivenessVsRHB</v>
  </rv>
  <rv s="0">
    <v>24</v>
    <v>5</v>
    <v>Velocity</v>
  </rv>
  <rv s="0">
    <v>25</v>
    <v>5</v>
    <v>GroundBallFlyBall</v>
  </rv>
  <rv s="0">
    <v>26</v>
    <v>5</v>
    <v>Pitch_1</v>
  </rv>
  <rv s="0">
    <v>27</v>
    <v>5</v>
    <v>Pitch_2</v>
  </rv>
  <rv s="0">
    <v>28</v>
    <v>5</v>
    <v>Pitch_3</v>
  </rv>
  <rv s="0">
    <v>29</v>
    <v>5</v>
    <v>Pitch_4</v>
  </rv>
  <rv s="0">
    <v>30</v>
    <v>5</v>
    <v>Pitch_5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</richValueRel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whatifsports.com/hbd/Pages/Popups/ProspectProfile.aspx?pid=13632186" TargetMode="External"/><Relationship Id="rId299" Type="http://schemas.openxmlformats.org/officeDocument/2006/relationships/hyperlink" Target="https://www.whatifsports.com/hbd/Pages/Popups/ProspectProfile.aspx?pid=13631482" TargetMode="External"/><Relationship Id="rId21" Type="http://schemas.openxmlformats.org/officeDocument/2006/relationships/hyperlink" Target="https://www.whatifsports.com/hbd/Pages/Popups/ProspectProfile.aspx?pid=13631505" TargetMode="External"/><Relationship Id="rId63" Type="http://schemas.openxmlformats.org/officeDocument/2006/relationships/hyperlink" Target="https://www.whatifsports.com/hbd/Pages/Popups/ProspectProfile.aspx?pid=13631701" TargetMode="External"/><Relationship Id="rId159" Type="http://schemas.openxmlformats.org/officeDocument/2006/relationships/hyperlink" Target="https://www.whatifsports.com/hbd/Pages/Popups/ProspectProfile.aspx?pid=13631996" TargetMode="External"/><Relationship Id="rId324" Type="http://schemas.openxmlformats.org/officeDocument/2006/relationships/hyperlink" Target="https://www.whatifsports.com/hbd/Pages/Popups/ProspectProfile.aspx?pid=13632186" TargetMode="External"/><Relationship Id="rId366" Type="http://schemas.openxmlformats.org/officeDocument/2006/relationships/hyperlink" Target="https://www.whatifsports.com/hbd/Pages/Popups/ProspectProfile.aspx?pid=13631996" TargetMode="External"/><Relationship Id="rId170" Type="http://schemas.openxmlformats.org/officeDocument/2006/relationships/hyperlink" Target="https://www.whatifsports.com/hbd/Pages/Popups/ProspectProfile.aspx?pid=13631914" TargetMode="External"/><Relationship Id="rId226" Type="http://schemas.openxmlformats.org/officeDocument/2006/relationships/hyperlink" Target="https://www.whatifsports.com/hbd/Pages/Popups/ProspectProfile.aspx?pid=13631714" TargetMode="External"/><Relationship Id="rId268" Type="http://schemas.openxmlformats.org/officeDocument/2006/relationships/hyperlink" Target="https://www.whatifsports.com/hbd/Pages/Popups/ProspectProfile.aspx?pid=13631768" TargetMode="External"/><Relationship Id="rId32" Type="http://schemas.openxmlformats.org/officeDocument/2006/relationships/hyperlink" Target="https://www.whatifsports.com/hbd/Pages/Popups/ProspectProfile.aspx?pid=13631551" TargetMode="External"/><Relationship Id="rId74" Type="http://schemas.openxmlformats.org/officeDocument/2006/relationships/hyperlink" Target="https://www.whatifsports.com/hbd/Pages/Popups/ProspectProfile.aspx?pid=13631585" TargetMode="External"/><Relationship Id="rId128" Type="http://schemas.openxmlformats.org/officeDocument/2006/relationships/hyperlink" Target="https://www.whatifsports.com/hbd/Pages/Popups/ProspectProfile.aspx?pid=13632071" TargetMode="External"/><Relationship Id="rId335" Type="http://schemas.openxmlformats.org/officeDocument/2006/relationships/hyperlink" Target="https://www.whatifsports.com/hbd/Pages/Popups/ProspectProfile.aspx?pid=13632071" TargetMode="External"/><Relationship Id="rId377" Type="http://schemas.openxmlformats.org/officeDocument/2006/relationships/hyperlink" Target="https://www.whatifsports.com/hbd/Pages/Popups/ProspectProfile.aspx?pid=13631914" TargetMode="External"/><Relationship Id="rId5" Type="http://schemas.openxmlformats.org/officeDocument/2006/relationships/hyperlink" Target="https://www.whatifsports.com/hbd/Pages/GM/AmateurDraftPlayerPool.aspx" TargetMode="External"/><Relationship Id="rId181" Type="http://schemas.openxmlformats.org/officeDocument/2006/relationships/hyperlink" Target="https://www.whatifsports.com/hbd/Pages/Popups/ProspectProfile.aspx?pid=13631703" TargetMode="External"/><Relationship Id="rId237" Type="http://schemas.openxmlformats.org/officeDocument/2006/relationships/hyperlink" Target="https://www.whatifsports.com/hbd/Pages/Popups/ProspectProfile.aspx?pid=13632217" TargetMode="External"/><Relationship Id="rId402" Type="http://schemas.openxmlformats.org/officeDocument/2006/relationships/hyperlink" Target="https://www.whatifsports.com/hbd/Pages/Popups/ProspectProfile.aspx?pid=13631789" TargetMode="External"/><Relationship Id="rId258" Type="http://schemas.openxmlformats.org/officeDocument/2006/relationships/hyperlink" Target="https://www.whatifsports.com/hbd/Pages/Popups/ProspectProfile.aspx?pid=13632172" TargetMode="External"/><Relationship Id="rId279" Type="http://schemas.openxmlformats.org/officeDocument/2006/relationships/hyperlink" Target="https://www.whatifsports.com/hbd/Pages/Popups/ProspectProfile.aspx?pid=13631838" TargetMode="External"/><Relationship Id="rId22" Type="http://schemas.openxmlformats.org/officeDocument/2006/relationships/hyperlink" Target="https://www.whatifsports.com/hbd/Pages/Popups/ProspectProfile.aspx?pid=13632233" TargetMode="External"/><Relationship Id="rId43" Type="http://schemas.openxmlformats.org/officeDocument/2006/relationships/hyperlink" Target="https://www.whatifsports.com/hbd/Pages/Popups/ProspectProfile.aspx?pid=13632197" TargetMode="External"/><Relationship Id="rId64" Type="http://schemas.openxmlformats.org/officeDocument/2006/relationships/hyperlink" Target="https://www.whatifsports.com/hbd/Pages/Popups/ProspectProfile.aspx?pid=13631541" TargetMode="External"/><Relationship Id="rId118" Type="http://schemas.openxmlformats.org/officeDocument/2006/relationships/hyperlink" Target="https://www.whatifsports.com/hbd/Pages/Popups/ProspectProfile.aspx?pid=13632149" TargetMode="External"/><Relationship Id="rId139" Type="http://schemas.openxmlformats.org/officeDocument/2006/relationships/hyperlink" Target="https://www.whatifsports.com/hbd/Pages/Popups/ProspectProfile.aspx?pid=13632048" TargetMode="External"/><Relationship Id="rId290" Type="http://schemas.openxmlformats.org/officeDocument/2006/relationships/hyperlink" Target="https://www.whatifsports.com/hbd/Pages/Popups/ProspectProfile.aspx?pid=13631946" TargetMode="External"/><Relationship Id="rId304" Type="http://schemas.openxmlformats.org/officeDocument/2006/relationships/hyperlink" Target="https://www.whatifsports.com/hbd/Pages/Popups/ProspectProfile.aspx?pid=13631555" TargetMode="External"/><Relationship Id="rId325" Type="http://schemas.openxmlformats.org/officeDocument/2006/relationships/hyperlink" Target="https://www.whatifsports.com/hbd/Pages/Popups/ProspectProfile.aspx?pid=13632149" TargetMode="External"/><Relationship Id="rId346" Type="http://schemas.openxmlformats.org/officeDocument/2006/relationships/hyperlink" Target="https://www.whatifsports.com/hbd/Pages/Popups/ProspectProfile.aspx?pid=13632048" TargetMode="External"/><Relationship Id="rId367" Type="http://schemas.openxmlformats.org/officeDocument/2006/relationships/hyperlink" Target="https://www.whatifsports.com/hbd/Pages/Popups/ProspectProfile.aspx?pid=13631863" TargetMode="External"/><Relationship Id="rId388" Type="http://schemas.openxmlformats.org/officeDocument/2006/relationships/hyperlink" Target="https://www.whatifsports.com/hbd/Pages/Popups/ProspectProfile.aspx?pid=13631703" TargetMode="External"/><Relationship Id="rId85" Type="http://schemas.openxmlformats.org/officeDocument/2006/relationships/hyperlink" Target="https://www.whatifsports.com/hbd/Pages/Popups/ProspectProfile.aspx?pid=13632160" TargetMode="External"/><Relationship Id="rId150" Type="http://schemas.openxmlformats.org/officeDocument/2006/relationships/hyperlink" Target="https://www.whatifsports.com/hbd/Pages/Popups/ProspectProfile.aspx?pid=13632013" TargetMode="External"/><Relationship Id="rId171" Type="http://schemas.openxmlformats.org/officeDocument/2006/relationships/hyperlink" Target="https://www.whatifsports.com/hbd/Pages/Popups/ProspectProfile.aspx?pid=13632023" TargetMode="External"/><Relationship Id="rId192" Type="http://schemas.openxmlformats.org/officeDocument/2006/relationships/hyperlink" Target="https://www.whatifsports.com/hbd/Pages/Popups/ProspectProfile.aspx?pid=13631803" TargetMode="External"/><Relationship Id="rId206" Type="http://schemas.openxmlformats.org/officeDocument/2006/relationships/hyperlink" Target="https://www.whatifsports.com/hbd/Pages/Popups/ProspectProfile.aspx?pid=13631514" TargetMode="External"/><Relationship Id="rId227" Type="http://schemas.openxmlformats.org/officeDocument/2006/relationships/hyperlink" Target="https://www.whatifsports.com/hbd/Pages/Popups/ProspectProfile.aspx?pid=13632205" TargetMode="External"/><Relationship Id="rId413" Type="http://schemas.openxmlformats.org/officeDocument/2006/relationships/hyperlink" Target="https://www.whatifsports.com/hbd/Pages/Popups/ProspectProfile.aspx?pid=13631514" TargetMode="External"/><Relationship Id="rId248" Type="http://schemas.openxmlformats.org/officeDocument/2006/relationships/hyperlink" Target="https://www.whatifsports.com/hbd/Pages/Popups/ProspectProfile.aspx?pid=13632229" TargetMode="External"/><Relationship Id="rId269" Type="http://schemas.openxmlformats.org/officeDocument/2006/relationships/hyperlink" Target="https://www.whatifsports.com/hbd/Pages/Popups/ProspectProfile.aspx?pid=13631725" TargetMode="External"/><Relationship Id="rId12" Type="http://schemas.openxmlformats.org/officeDocument/2006/relationships/hyperlink" Target="https://www.whatifsports.com/hbd/Pages/Popups/ProspectProfile.aspx?pid=13632232" TargetMode="External"/><Relationship Id="rId33" Type="http://schemas.openxmlformats.org/officeDocument/2006/relationships/hyperlink" Target="https://www.whatifsports.com/hbd/Pages/Popups/ProspectProfile.aspx?pid=13631767" TargetMode="External"/><Relationship Id="rId108" Type="http://schemas.openxmlformats.org/officeDocument/2006/relationships/hyperlink" Target="https://www.whatifsports.com/hbd/Pages/Popups/ProspectProfile.aspx?pid=13631916" TargetMode="External"/><Relationship Id="rId129" Type="http://schemas.openxmlformats.org/officeDocument/2006/relationships/hyperlink" Target="https://www.whatifsports.com/hbd/Pages/Popups/ProspectProfile.aspx?pid=13631926" TargetMode="External"/><Relationship Id="rId280" Type="http://schemas.openxmlformats.org/officeDocument/2006/relationships/hyperlink" Target="https://www.whatifsports.com/hbd/Pages/Popups/ProspectProfile.aspx?pid=13631718" TargetMode="External"/><Relationship Id="rId315" Type="http://schemas.openxmlformats.org/officeDocument/2006/relationships/hyperlink" Target="https://www.whatifsports.com/hbd/Pages/Popups/ProspectProfile.aspx?pid=13631916" TargetMode="External"/><Relationship Id="rId336" Type="http://schemas.openxmlformats.org/officeDocument/2006/relationships/hyperlink" Target="https://www.whatifsports.com/hbd/Pages/Popups/ProspectProfile.aspx?pid=13631926" TargetMode="External"/><Relationship Id="rId357" Type="http://schemas.openxmlformats.org/officeDocument/2006/relationships/hyperlink" Target="https://www.whatifsports.com/hbd/Pages/Popups/ProspectProfile.aspx?pid=13632013" TargetMode="External"/><Relationship Id="rId54" Type="http://schemas.openxmlformats.org/officeDocument/2006/relationships/hyperlink" Target="https://www.whatifsports.com/hbd/Pages/Popups/ProspectProfile.aspx?pid=13631497" TargetMode="External"/><Relationship Id="rId75" Type="http://schemas.openxmlformats.org/officeDocument/2006/relationships/hyperlink" Target="https://www.whatifsports.com/hbd/Pages/Popups/ProspectProfile.aspx?pid=13631409" TargetMode="External"/><Relationship Id="rId96" Type="http://schemas.openxmlformats.org/officeDocument/2006/relationships/hyperlink" Target="https://www.whatifsports.com/hbd/Pages/Popups/ProspectProfile.aspx?pid=13631584" TargetMode="External"/><Relationship Id="rId140" Type="http://schemas.openxmlformats.org/officeDocument/2006/relationships/hyperlink" Target="https://www.whatifsports.com/hbd/Pages/Popups/ProspectProfile.aspx?pid=13631952" TargetMode="External"/><Relationship Id="rId161" Type="http://schemas.openxmlformats.org/officeDocument/2006/relationships/hyperlink" Target="https://www.whatifsports.com/hbd/Pages/Popups/ProspectProfile.aspx?pid=13631680" TargetMode="External"/><Relationship Id="rId182" Type="http://schemas.openxmlformats.org/officeDocument/2006/relationships/hyperlink" Target="https://www.whatifsports.com/hbd/Pages/Popups/ProspectProfile.aspx?pid=13631610" TargetMode="External"/><Relationship Id="rId217" Type="http://schemas.openxmlformats.org/officeDocument/2006/relationships/hyperlink" Target="https://www.whatifsports.com/hbd/Pages/Popups/ProspectProfile.aspx?pid=13631500" TargetMode="External"/><Relationship Id="rId378" Type="http://schemas.openxmlformats.org/officeDocument/2006/relationships/hyperlink" Target="https://www.whatifsports.com/hbd/Pages/Popups/ProspectProfile.aspx?pid=13632023" TargetMode="External"/><Relationship Id="rId399" Type="http://schemas.openxmlformats.org/officeDocument/2006/relationships/hyperlink" Target="https://www.whatifsports.com/hbd/Pages/Popups/ProspectProfile.aspx?pid=13631803" TargetMode="External"/><Relationship Id="rId403" Type="http://schemas.openxmlformats.org/officeDocument/2006/relationships/hyperlink" Target="https://www.whatifsports.com/hbd/Pages/Popups/ProspectProfile.aspx?pid=13631763" TargetMode="External"/><Relationship Id="rId6" Type="http://schemas.openxmlformats.org/officeDocument/2006/relationships/hyperlink" Target="https://www.whatifsports.com/hbd/Pages/GM/AmateurDraftPlayerPool.aspx" TargetMode="External"/><Relationship Id="rId238" Type="http://schemas.openxmlformats.org/officeDocument/2006/relationships/hyperlink" Target="https://www.whatifsports.com/hbd/Pages/Popups/ProspectProfile.aspx?pid=13632171" TargetMode="External"/><Relationship Id="rId259" Type="http://schemas.openxmlformats.org/officeDocument/2006/relationships/hyperlink" Target="https://www.whatifsports.com/hbd/Pages/Popups/ProspectProfile.aspx?pid=13632087" TargetMode="External"/><Relationship Id="rId23" Type="http://schemas.openxmlformats.org/officeDocument/2006/relationships/hyperlink" Target="https://www.whatifsports.com/hbd/Pages/Popups/ProspectProfile.aspx?pid=13632194" TargetMode="External"/><Relationship Id="rId119" Type="http://schemas.openxmlformats.org/officeDocument/2006/relationships/hyperlink" Target="https://www.whatifsports.com/hbd/Pages/Popups/ProspectProfile.aspx?pid=13632019" TargetMode="External"/><Relationship Id="rId270" Type="http://schemas.openxmlformats.org/officeDocument/2006/relationships/hyperlink" Target="https://www.whatifsports.com/hbd/Pages/Popups/ProspectProfile.aspx?pid=13631701" TargetMode="External"/><Relationship Id="rId291" Type="http://schemas.openxmlformats.org/officeDocument/2006/relationships/hyperlink" Target="https://www.whatifsports.com/hbd/Pages/Popups/ProspectProfile.aspx?pid=13631478" TargetMode="External"/><Relationship Id="rId305" Type="http://schemas.openxmlformats.org/officeDocument/2006/relationships/hyperlink" Target="https://www.whatifsports.com/hbd/Pages/Popups/ProspectProfile.aspx?pid=13632123" TargetMode="External"/><Relationship Id="rId326" Type="http://schemas.openxmlformats.org/officeDocument/2006/relationships/hyperlink" Target="https://www.whatifsports.com/hbd/Pages/Popups/ProspectProfile.aspx?pid=13632019" TargetMode="External"/><Relationship Id="rId347" Type="http://schemas.openxmlformats.org/officeDocument/2006/relationships/hyperlink" Target="https://www.whatifsports.com/hbd/Pages/Popups/ProspectProfile.aspx?pid=13631952" TargetMode="External"/><Relationship Id="rId44" Type="http://schemas.openxmlformats.org/officeDocument/2006/relationships/hyperlink" Target="https://www.whatifsports.com/hbd/Pages/Popups/ProspectProfile.aspx?pid=13632178" TargetMode="External"/><Relationship Id="rId65" Type="http://schemas.openxmlformats.org/officeDocument/2006/relationships/hyperlink" Target="https://www.whatifsports.com/hbd/Pages/Popups/ProspectProfile.aspx?pid=13631579" TargetMode="External"/><Relationship Id="rId86" Type="http://schemas.openxmlformats.org/officeDocument/2006/relationships/hyperlink" Target="https://www.whatifsports.com/hbd/Pages/Popups/ProspectProfile.aspx?pid=13631835" TargetMode="External"/><Relationship Id="rId130" Type="http://schemas.openxmlformats.org/officeDocument/2006/relationships/hyperlink" Target="https://www.whatifsports.com/hbd/Pages/Popups/ProspectProfile.aspx?pid=13631698" TargetMode="External"/><Relationship Id="rId151" Type="http://schemas.openxmlformats.org/officeDocument/2006/relationships/hyperlink" Target="https://www.whatifsports.com/hbd/Pages/Popups/ProspectProfile.aspx?pid=13632078" TargetMode="External"/><Relationship Id="rId368" Type="http://schemas.openxmlformats.org/officeDocument/2006/relationships/hyperlink" Target="https://www.whatifsports.com/hbd/Pages/Popups/ProspectProfile.aspx?pid=13631680" TargetMode="External"/><Relationship Id="rId389" Type="http://schemas.openxmlformats.org/officeDocument/2006/relationships/hyperlink" Target="https://www.whatifsports.com/hbd/Pages/Popups/ProspectProfile.aspx?pid=13631610" TargetMode="External"/><Relationship Id="rId172" Type="http://schemas.openxmlformats.org/officeDocument/2006/relationships/hyperlink" Target="https://www.whatifsports.com/hbd/Pages/Popups/ProspectProfile.aspx?pid=13631860" TargetMode="External"/><Relationship Id="rId193" Type="http://schemas.openxmlformats.org/officeDocument/2006/relationships/hyperlink" Target="https://www.whatifsports.com/hbd/Pages/Popups/ProspectProfile.aspx?pid=13631792" TargetMode="External"/><Relationship Id="rId207" Type="http://schemas.openxmlformats.org/officeDocument/2006/relationships/hyperlink" Target="https://www.whatifsports.com/hbd/Pages/Popups/ProspectProfile.aspx?pid=13631406" TargetMode="External"/><Relationship Id="rId228" Type="http://schemas.openxmlformats.org/officeDocument/2006/relationships/hyperlink" Target="https://www.whatifsports.com/hbd/Pages/Popups/ProspectProfile.aspx?pid=13631505" TargetMode="External"/><Relationship Id="rId249" Type="http://schemas.openxmlformats.org/officeDocument/2006/relationships/hyperlink" Target="https://www.whatifsports.com/hbd/Pages/Popups/ProspectProfile.aspx?pid=13631678" TargetMode="External"/><Relationship Id="rId414" Type="http://schemas.openxmlformats.org/officeDocument/2006/relationships/hyperlink" Target="https://www.whatifsports.com/hbd/Pages/Popups/ProspectProfile.aspx?pid=13631406" TargetMode="External"/><Relationship Id="rId13" Type="http://schemas.openxmlformats.org/officeDocument/2006/relationships/hyperlink" Target="https://www.whatifsports.com/hbd/Pages/Popups/ProspectProfile.aspx?pid=13632221" TargetMode="External"/><Relationship Id="rId109" Type="http://schemas.openxmlformats.org/officeDocument/2006/relationships/hyperlink" Target="https://www.whatifsports.com/hbd/Pages/Popups/ProspectProfile.aspx?pid=13631716" TargetMode="External"/><Relationship Id="rId260" Type="http://schemas.openxmlformats.org/officeDocument/2006/relationships/hyperlink" Target="https://www.whatifsports.com/hbd/Pages/Popups/ProspectProfile.aspx?pid=13631674" TargetMode="External"/><Relationship Id="rId281" Type="http://schemas.openxmlformats.org/officeDocument/2006/relationships/hyperlink" Target="https://www.whatifsports.com/hbd/Pages/Popups/ProspectProfile.aspx?pid=13631585" TargetMode="External"/><Relationship Id="rId316" Type="http://schemas.openxmlformats.org/officeDocument/2006/relationships/hyperlink" Target="https://www.whatifsports.com/hbd/Pages/Popups/ProspectProfile.aspx?pid=13631716" TargetMode="External"/><Relationship Id="rId337" Type="http://schemas.openxmlformats.org/officeDocument/2006/relationships/hyperlink" Target="https://www.whatifsports.com/hbd/Pages/Popups/ProspectProfile.aspx?pid=13631698" TargetMode="External"/><Relationship Id="rId34" Type="http://schemas.openxmlformats.org/officeDocument/2006/relationships/hyperlink" Target="https://www.whatifsports.com/hbd/Pages/Popups/ProspectProfile.aspx?pid=13631591" TargetMode="External"/><Relationship Id="rId55" Type="http://schemas.openxmlformats.org/officeDocument/2006/relationships/hyperlink" Target="https://www.whatifsports.com/hbd/Pages/Popups/ProspectProfile.aspx?pid=13631429" TargetMode="External"/><Relationship Id="rId76" Type="http://schemas.openxmlformats.org/officeDocument/2006/relationships/hyperlink" Target="https://www.whatifsports.com/hbd/Pages/Popups/ProspectProfile.aspx?pid=13631852" TargetMode="External"/><Relationship Id="rId97" Type="http://schemas.openxmlformats.org/officeDocument/2006/relationships/hyperlink" Target="https://www.whatifsports.com/hbd/Pages/Popups/ProspectProfile.aspx?pid=13631555" TargetMode="External"/><Relationship Id="rId120" Type="http://schemas.openxmlformats.org/officeDocument/2006/relationships/hyperlink" Target="https://www.whatifsports.com/hbd/Pages/Popups/ProspectProfile.aspx?pid=13631836" TargetMode="External"/><Relationship Id="rId141" Type="http://schemas.openxmlformats.org/officeDocument/2006/relationships/hyperlink" Target="https://www.whatifsports.com/hbd/Pages/Popups/ProspectProfile.aspx?pid=13631896" TargetMode="External"/><Relationship Id="rId358" Type="http://schemas.openxmlformats.org/officeDocument/2006/relationships/hyperlink" Target="https://www.whatifsports.com/hbd/Pages/Popups/ProspectProfile.aspx?pid=13632078" TargetMode="External"/><Relationship Id="rId379" Type="http://schemas.openxmlformats.org/officeDocument/2006/relationships/hyperlink" Target="https://www.whatifsports.com/hbd/Pages/Popups/ProspectProfile.aspx?pid=13631860" TargetMode="External"/><Relationship Id="rId7" Type="http://schemas.openxmlformats.org/officeDocument/2006/relationships/hyperlink" Target="https://www.whatifsports.com/hbd/Pages/Popups/ProspectProfile.aspx?pid=13631431" TargetMode="External"/><Relationship Id="rId162" Type="http://schemas.openxmlformats.org/officeDocument/2006/relationships/hyperlink" Target="https://www.whatifsports.com/hbd/Pages/Popups/ProspectProfile.aspx?pid=13631630" TargetMode="External"/><Relationship Id="rId183" Type="http://schemas.openxmlformats.org/officeDocument/2006/relationships/hyperlink" Target="https://www.whatifsports.com/hbd/Pages/Popups/ProspectProfile.aspx?pid=13631963" TargetMode="External"/><Relationship Id="rId218" Type="http://schemas.openxmlformats.org/officeDocument/2006/relationships/hyperlink" Target="https://www.whatifsports.com/hbd/Pages/Popups/ProspectProfile.aspx?pid=13631732" TargetMode="External"/><Relationship Id="rId239" Type="http://schemas.openxmlformats.org/officeDocument/2006/relationships/hyperlink" Target="https://www.whatifsports.com/hbd/Pages/Popups/ProspectProfile.aspx?pid=13631551" TargetMode="External"/><Relationship Id="rId390" Type="http://schemas.openxmlformats.org/officeDocument/2006/relationships/hyperlink" Target="https://www.whatifsports.com/hbd/Pages/Popups/ProspectProfile.aspx?pid=13631963" TargetMode="External"/><Relationship Id="rId404" Type="http://schemas.openxmlformats.org/officeDocument/2006/relationships/hyperlink" Target="https://www.whatifsports.com/hbd/Pages/Popups/ProspectProfile.aspx?pid=13631762" TargetMode="External"/><Relationship Id="rId250" Type="http://schemas.openxmlformats.org/officeDocument/2006/relationships/hyperlink" Target="https://www.whatifsports.com/hbd/Pages/Popups/ProspectProfile.aspx?pid=13632197" TargetMode="External"/><Relationship Id="rId271" Type="http://schemas.openxmlformats.org/officeDocument/2006/relationships/hyperlink" Target="https://www.whatifsports.com/hbd/Pages/Popups/ProspectProfile.aspx?pid=13631541" TargetMode="External"/><Relationship Id="rId292" Type="http://schemas.openxmlformats.org/officeDocument/2006/relationships/hyperlink" Target="https://www.whatifsports.com/hbd/Pages/Popups/ProspectProfile.aspx?pid=13632160" TargetMode="External"/><Relationship Id="rId306" Type="http://schemas.openxmlformats.org/officeDocument/2006/relationships/hyperlink" Target="https://www.whatifsports.com/hbd/Pages/Popups/ProspectProfile.aspx?pid=13632104" TargetMode="External"/><Relationship Id="rId24" Type="http://schemas.openxmlformats.org/officeDocument/2006/relationships/hyperlink" Target="https://www.whatifsports.com/hbd/Pages/Popups/ProspectProfile.aspx?pid=13631607" TargetMode="External"/><Relationship Id="rId45" Type="http://schemas.openxmlformats.org/officeDocument/2006/relationships/hyperlink" Target="https://www.whatifsports.com/hbd/Pages/Popups/ProspectProfile.aspx?pid=13631839" TargetMode="External"/><Relationship Id="rId66" Type="http://schemas.openxmlformats.org/officeDocument/2006/relationships/hyperlink" Target="https://www.whatifsports.com/hbd/Pages/Popups/ProspectProfile.aspx?pid=13631552" TargetMode="External"/><Relationship Id="rId87" Type="http://schemas.openxmlformats.org/officeDocument/2006/relationships/hyperlink" Target="https://www.whatifsports.com/hbd/Pages/Popups/ProspectProfile.aspx?pid=13631567" TargetMode="External"/><Relationship Id="rId110" Type="http://schemas.openxmlformats.org/officeDocument/2006/relationships/hyperlink" Target="https://www.whatifsports.com/hbd/Pages/Popups/ProspectProfile.aspx?pid=13631471" TargetMode="External"/><Relationship Id="rId131" Type="http://schemas.openxmlformats.org/officeDocument/2006/relationships/hyperlink" Target="https://www.whatifsports.com/hbd/Pages/Popups/ProspectProfile.aspx?pid=13632164" TargetMode="External"/><Relationship Id="rId327" Type="http://schemas.openxmlformats.org/officeDocument/2006/relationships/hyperlink" Target="https://www.whatifsports.com/hbd/Pages/Popups/ProspectProfile.aspx?pid=13631836" TargetMode="External"/><Relationship Id="rId348" Type="http://schemas.openxmlformats.org/officeDocument/2006/relationships/hyperlink" Target="https://www.whatifsports.com/hbd/Pages/Popups/ProspectProfile.aspx?pid=13631896" TargetMode="External"/><Relationship Id="rId369" Type="http://schemas.openxmlformats.org/officeDocument/2006/relationships/hyperlink" Target="https://www.whatifsports.com/hbd/Pages/Popups/ProspectProfile.aspx?pid=13631630" TargetMode="External"/><Relationship Id="rId152" Type="http://schemas.openxmlformats.org/officeDocument/2006/relationships/hyperlink" Target="https://www.whatifsports.com/hbd/Pages/Popups/ProspectProfile.aspx?pid=13631910" TargetMode="External"/><Relationship Id="rId173" Type="http://schemas.openxmlformats.org/officeDocument/2006/relationships/hyperlink" Target="https://www.whatifsports.com/hbd/Pages/Popups/ProspectProfile.aspx?pid=13631526" TargetMode="External"/><Relationship Id="rId194" Type="http://schemas.openxmlformats.org/officeDocument/2006/relationships/hyperlink" Target="https://www.whatifsports.com/hbd/Pages/Popups/ProspectProfile.aspx?pid=13631791" TargetMode="External"/><Relationship Id="rId208" Type="http://schemas.openxmlformats.org/officeDocument/2006/relationships/hyperlink" Target="https://www.whatifsports.com/hbd/Pages/GM/AmateurDraftPlayerPool.aspx" TargetMode="External"/><Relationship Id="rId229" Type="http://schemas.openxmlformats.org/officeDocument/2006/relationships/hyperlink" Target="https://www.whatifsports.com/hbd/Pages/Popups/ProspectProfile.aspx?pid=13632233" TargetMode="External"/><Relationship Id="rId380" Type="http://schemas.openxmlformats.org/officeDocument/2006/relationships/hyperlink" Target="https://www.whatifsports.com/hbd/Pages/Popups/ProspectProfile.aspx?pid=13631526" TargetMode="External"/><Relationship Id="rId415" Type="http://schemas.openxmlformats.org/officeDocument/2006/relationships/printerSettings" Target="../printerSettings/printerSettings1.bin"/><Relationship Id="rId240" Type="http://schemas.openxmlformats.org/officeDocument/2006/relationships/hyperlink" Target="https://www.whatifsports.com/hbd/Pages/Popups/ProspectProfile.aspx?pid=13631767" TargetMode="External"/><Relationship Id="rId261" Type="http://schemas.openxmlformats.org/officeDocument/2006/relationships/hyperlink" Target="https://www.whatifsports.com/hbd/Pages/Popups/ProspectProfile.aspx?pid=13631497" TargetMode="External"/><Relationship Id="rId14" Type="http://schemas.openxmlformats.org/officeDocument/2006/relationships/hyperlink" Target="https://www.whatifsports.com/hbd/Pages/Popups/ProspectProfile.aspx?pid=13631506" TargetMode="External"/><Relationship Id="rId35" Type="http://schemas.openxmlformats.org/officeDocument/2006/relationships/hyperlink" Target="https://www.whatifsports.com/hbd/Pages/Popups/ProspectProfile.aspx?pid=13632212" TargetMode="External"/><Relationship Id="rId56" Type="http://schemas.openxmlformats.org/officeDocument/2006/relationships/hyperlink" Target="https://www.whatifsports.com/hbd/Pages/Popups/ProspectProfile.aspx?pid=13632208" TargetMode="External"/><Relationship Id="rId77" Type="http://schemas.openxmlformats.org/officeDocument/2006/relationships/hyperlink" Target="https://www.whatifsports.com/hbd/Pages/Popups/ProspectProfile.aspx?pid=13631699" TargetMode="External"/><Relationship Id="rId100" Type="http://schemas.openxmlformats.org/officeDocument/2006/relationships/hyperlink" Target="https://www.whatifsports.com/hbd/Pages/Popups/ProspectProfile.aspx?pid=13631459" TargetMode="External"/><Relationship Id="rId282" Type="http://schemas.openxmlformats.org/officeDocument/2006/relationships/hyperlink" Target="https://www.whatifsports.com/hbd/Pages/Popups/ProspectProfile.aspx?pid=13631409" TargetMode="External"/><Relationship Id="rId317" Type="http://schemas.openxmlformats.org/officeDocument/2006/relationships/hyperlink" Target="https://www.whatifsports.com/hbd/Pages/Popups/ProspectProfile.aspx?pid=13631471" TargetMode="External"/><Relationship Id="rId338" Type="http://schemas.openxmlformats.org/officeDocument/2006/relationships/hyperlink" Target="https://www.whatifsports.com/hbd/Pages/Popups/ProspectProfile.aspx?pid=13632164" TargetMode="External"/><Relationship Id="rId359" Type="http://schemas.openxmlformats.org/officeDocument/2006/relationships/hyperlink" Target="https://www.whatifsports.com/hbd/Pages/Popups/ProspectProfile.aspx?pid=13631910" TargetMode="External"/><Relationship Id="rId8" Type="http://schemas.openxmlformats.org/officeDocument/2006/relationships/hyperlink" Target="https://www.whatifsports.com/hbd/Pages/Popups/ProspectProfile.aspx?pid=13631837" TargetMode="External"/><Relationship Id="rId98" Type="http://schemas.openxmlformats.org/officeDocument/2006/relationships/hyperlink" Target="https://www.whatifsports.com/hbd/Pages/Popups/ProspectProfile.aspx?pid=13632123" TargetMode="External"/><Relationship Id="rId121" Type="http://schemas.openxmlformats.org/officeDocument/2006/relationships/hyperlink" Target="https://www.whatifsports.com/hbd/Pages/Popups/ProspectProfile.aspx?pid=13632201" TargetMode="External"/><Relationship Id="rId142" Type="http://schemas.openxmlformats.org/officeDocument/2006/relationships/hyperlink" Target="https://www.whatifsports.com/hbd/Pages/Popups/ProspectProfile.aspx?pid=13631877" TargetMode="External"/><Relationship Id="rId163" Type="http://schemas.openxmlformats.org/officeDocument/2006/relationships/hyperlink" Target="https://www.whatifsports.com/hbd/Pages/Popups/ProspectProfile.aspx?pid=13632115" TargetMode="External"/><Relationship Id="rId184" Type="http://schemas.openxmlformats.org/officeDocument/2006/relationships/hyperlink" Target="https://www.whatifsports.com/hbd/Pages/Popups/ProspectProfile.aspx?pid=13631882" TargetMode="External"/><Relationship Id="rId219" Type="http://schemas.openxmlformats.org/officeDocument/2006/relationships/hyperlink" Target="https://www.whatifsports.com/hbd/Pages/Popups/ProspectProfile.aspx?pid=13632232" TargetMode="External"/><Relationship Id="rId370" Type="http://schemas.openxmlformats.org/officeDocument/2006/relationships/hyperlink" Target="https://www.whatifsports.com/hbd/Pages/Popups/ProspectProfile.aspx?pid=13632115" TargetMode="External"/><Relationship Id="rId391" Type="http://schemas.openxmlformats.org/officeDocument/2006/relationships/hyperlink" Target="https://www.whatifsports.com/hbd/Pages/Popups/ProspectProfile.aspx?pid=13631882" TargetMode="External"/><Relationship Id="rId405" Type="http://schemas.openxmlformats.org/officeDocument/2006/relationships/hyperlink" Target="https://www.whatifsports.com/hbd/Pages/Popups/ProspectProfile.aspx?pid=13631752" TargetMode="External"/><Relationship Id="rId230" Type="http://schemas.openxmlformats.org/officeDocument/2006/relationships/hyperlink" Target="https://www.whatifsports.com/hbd/Pages/Popups/ProspectProfile.aspx?pid=13632194" TargetMode="External"/><Relationship Id="rId251" Type="http://schemas.openxmlformats.org/officeDocument/2006/relationships/hyperlink" Target="https://www.whatifsports.com/hbd/Pages/Popups/ProspectProfile.aspx?pid=13632178" TargetMode="External"/><Relationship Id="rId25" Type="http://schemas.openxmlformats.org/officeDocument/2006/relationships/hyperlink" Target="https://www.whatifsports.com/hbd/Pages/Popups/ProspectProfile.aspx?pid=13632223" TargetMode="External"/><Relationship Id="rId46" Type="http://schemas.openxmlformats.org/officeDocument/2006/relationships/hyperlink" Target="https://www.whatifsports.com/hbd/Pages/Popups/ProspectProfile.aspx?pid=13631730" TargetMode="External"/><Relationship Id="rId67" Type="http://schemas.openxmlformats.org/officeDocument/2006/relationships/hyperlink" Target="https://www.whatifsports.com/hbd/Pages/Popups/ProspectProfile.aspx?pid=13632224" TargetMode="External"/><Relationship Id="rId272" Type="http://schemas.openxmlformats.org/officeDocument/2006/relationships/hyperlink" Target="https://www.whatifsports.com/hbd/Pages/Popups/ProspectProfile.aspx?pid=13631579" TargetMode="External"/><Relationship Id="rId293" Type="http://schemas.openxmlformats.org/officeDocument/2006/relationships/hyperlink" Target="https://www.whatifsports.com/hbd/Pages/Popups/ProspectProfile.aspx?pid=13631835" TargetMode="External"/><Relationship Id="rId307" Type="http://schemas.openxmlformats.org/officeDocument/2006/relationships/hyperlink" Target="https://www.whatifsports.com/hbd/Pages/Popups/ProspectProfile.aspx?pid=13631459" TargetMode="External"/><Relationship Id="rId328" Type="http://schemas.openxmlformats.org/officeDocument/2006/relationships/hyperlink" Target="https://www.whatifsports.com/hbd/Pages/Popups/ProspectProfile.aspx?pid=13632201" TargetMode="External"/><Relationship Id="rId349" Type="http://schemas.openxmlformats.org/officeDocument/2006/relationships/hyperlink" Target="https://www.whatifsports.com/hbd/Pages/Popups/ProspectProfile.aspx?pid=13631877" TargetMode="External"/><Relationship Id="rId88" Type="http://schemas.openxmlformats.org/officeDocument/2006/relationships/hyperlink" Target="https://www.whatifsports.com/hbd/Pages/Popups/ProspectProfile.aspx?pid=13632099" TargetMode="External"/><Relationship Id="rId111" Type="http://schemas.openxmlformats.org/officeDocument/2006/relationships/hyperlink" Target="https://www.whatifsports.com/hbd/Pages/Popups/ProspectProfile.aspx?pid=13631437" TargetMode="External"/><Relationship Id="rId132" Type="http://schemas.openxmlformats.org/officeDocument/2006/relationships/hyperlink" Target="https://www.whatifsports.com/hbd/Pages/Popups/ProspectProfile.aspx?pid=13632113" TargetMode="External"/><Relationship Id="rId153" Type="http://schemas.openxmlformats.org/officeDocument/2006/relationships/hyperlink" Target="https://www.whatifsports.com/hbd/Pages/Popups/ProspectProfile.aspx?pid=13631448" TargetMode="External"/><Relationship Id="rId174" Type="http://schemas.openxmlformats.org/officeDocument/2006/relationships/hyperlink" Target="https://www.whatifsports.com/hbd/Pages/Popups/ProspectProfile.aspx?pid=13631876" TargetMode="External"/><Relationship Id="rId195" Type="http://schemas.openxmlformats.org/officeDocument/2006/relationships/hyperlink" Target="https://www.whatifsports.com/hbd/Pages/Popups/ProspectProfile.aspx?pid=13631789" TargetMode="External"/><Relationship Id="rId209" Type="http://schemas.openxmlformats.org/officeDocument/2006/relationships/hyperlink" Target="https://www.whatifsports.com/hbd/Pages/GM/AmateurDraftPlayerPool.aspx" TargetMode="External"/><Relationship Id="rId360" Type="http://schemas.openxmlformats.org/officeDocument/2006/relationships/hyperlink" Target="https://www.whatifsports.com/hbd/Pages/Popups/ProspectProfile.aspx?pid=13631448" TargetMode="External"/><Relationship Id="rId381" Type="http://schemas.openxmlformats.org/officeDocument/2006/relationships/hyperlink" Target="https://www.whatifsports.com/hbd/Pages/Popups/ProspectProfile.aspx?pid=13631876" TargetMode="External"/><Relationship Id="rId416" Type="http://schemas.openxmlformats.org/officeDocument/2006/relationships/drawing" Target="../drawings/drawing1.xml"/><Relationship Id="rId220" Type="http://schemas.openxmlformats.org/officeDocument/2006/relationships/hyperlink" Target="https://www.whatifsports.com/hbd/Pages/Popups/ProspectProfile.aspx?pid=13632221" TargetMode="External"/><Relationship Id="rId241" Type="http://schemas.openxmlformats.org/officeDocument/2006/relationships/hyperlink" Target="https://www.whatifsports.com/hbd/Pages/Popups/ProspectProfile.aspx?pid=13631591" TargetMode="External"/><Relationship Id="rId15" Type="http://schemas.openxmlformats.org/officeDocument/2006/relationships/hyperlink" Target="https://www.whatifsports.com/hbd/Pages/Popups/ProspectProfile.aspx?pid=13632238" TargetMode="External"/><Relationship Id="rId36" Type="http://schemas.openxmlformats.org/officeDocument/2006/relationships/hyperlink" Target="https://www.whatifsports.com/hbd/Pages/Popups/ProspectProfile.aspx?pid=13631672" TargetMode="External"/><Relationship Id="rId57" Type="http://schemas.openxmlformats.org/officeDocument/2006/relationships/hyperlink" Target="https://www.whatifsports.com/hbd/Pages/Popups/ProspectProfile.aspx?pid=13632206" TargetMode="External"/><Relationship Id="rId262" Type="http://schemas.openxmlformats.org/officeDocument/2006/relationships/hyperlink" Target="https://www.whatifsports.com/hbd/Pages/Popups/ProspectProfile.aspx?pid=13631429" TargetMode="External"/><Relationship Id="rId283" Type="http://schemas.openxmlformats.org/officeDocument/2006/relationships/hyperlink" Target="https://www.whatifsports.com/hbd/Pages/Popups/ProspectProfile.aspx?pid=13631852" TargetMode="External"/><Relationship Id="rId318" Type="http://schemas.openxmlformats.org/officeDocument/2006/relationships/hyperlink" Target="https://www.whatifsports.com/hbd/Pages/Popups/ProspectProfile.aspx?pid=13631437" TargetMode="External"/><Relationship Id="rId339" Type="http://schemas.openxmlformats.org/officeDocument/2006/relationships/hyperlink" Target="https://www.whatifsports.com/hbd/Pages/Popups/ProspectProfile.aspx?pid=13632113" TargetMode="External"/><Relationship Id="rId78" Type="http://schemas.openxmlformats.org/officeDocument/2006/relationships/hyperlink" Target="https://www.whatifsports.com/hbd/Pages/Popups/ProspectProfile.aspx?pid=13631667" TargetMode="External"/><Relationship Id="rId99" Type="http://schemas.openxmlformats.org/officeDocument/2006/relationships/hyperlink" Target="https://www.whatifsports.com/hbd/Pages/Popups/ProspectProfile.aspx?pid=13632104" TargetMode="External"/><Relationship Id="rId101" Type="http://schemas.openxmlformats.org/officeDocument/2006/relationships/hyperlink" Target="https://www.whatifsports.com/hbd/Pages/Popups/ProspectProfile.aspx?pid=13632001" TargetMode="External"/><Relationship Id="rId122" Type="http://schemas.openxmlformats.org/officeDocument/2006/relationships/hyperlink" Target="https://www.whatifsports.com/hbd/Pages/Popups/ProspectProfile.aspx?pid=13632085" TargetMode="External"/><Relationship Id="rId143" Type="http://schemas.openxmlformats.org/officeDocument/2006/relationships/hyperlink" Target="https://www.whatifsports.com/hbd/Pages/Popups/ProspectProfile.aspx?pid=13631875" TargetMode="External"/><Relationship Id="rId164" Type="http://schemas.openxmlformats.org/officeDocument/2006/relationships/hyperlink" Target="https://www.whatifsports.com/hbd/Pages/Popups/ProspectProfile.aspx?pid=13631994" TargetMode="External"/><Relationship Id="rId185" Type="http://schemas.openxmlformats.org/officeDocument/2006/relationships/hyperlink" Target="https://www.whatifsports.com/hbd/Pages/Popups/ProspectProfile.aspx?pid=13632154" TargetMode="External"/><Relationship Id="rId350" Type="http://schemas.openxmlformats.org/officeDocument/2006/relationships/hyperlink" Target="https://www.whatifsports.com/hbd/Pages/Popups/ProspectProfile.aspx?pid=13631875" TargetMode="External"/><Relationship Id="rId371" Type="http://schemas.openxmlformats.org/officeDocument/2006/relationships/hyperlink" Target="https://www.whatifsports.com/hbd/Pages/Popups/ProspectProfile.aspx?pid=13631994" TargetMode="External"/><Relationship Id="rId406" Type="http://schemas.openxmlformats.org/officeDocument/2006/relationships/hyperlink" Target="https://www.whatifsports.com/hbd/Pages/Popups/ProspectProfile.aspx?pid=13631802" TargetMode="External"/><Relationship Id="rId9" Type="http://schemas.openxmlformats.org/officeDocument/2006/relationships/hyperlink" Target="https://www.whatifsports.com/hbd/Pages/Popups/ProspectProfile.aspx?pid=13632168" TargetMode="External"/><Relationship Id="rId210" Type="http://schemas.openxmlformats.org/officeDocument/2006/relationships/hyperlink" Target="https://www.whatifsports.com/hbd/Pages/GM/AmateurDraftPlayerPool.aspx" TargetMode="External"/><Relationship Id="rId392" Type="http://schemas.openxmlformats.org/officeDocument/2006/relationships/hyperlink" Target="https://www.whatifsports.com/hbd/Pages/Popups/ProspectProfile.aspx?pid=13632154" TargetMode="External"/><Relationship Id="rId26" Type="http://schemas.openxmlformats.org/officeDocument/2006/relationships/hyperlink" Target="https://www.whatifsports.com/hbd/Pages/Popups/ProspectProfile.aspx?pid=13632216" TargetMode="External"/><Relationship Id="rId231" Type="http://schemas.openxmlformats.org/officeDocument/2006/relationships/hyperlink" Target="https://www.whatifsports.com/hbd/Pages/Popups/ProspectProfile.aspx?pid=13631607" TargetMode="External"/><Relationship Id="rId252" Type="http://schemas.openxmlformats.org/officeDocument/2006/relationships/hyperlink" Target="https://www.whatifsports.com/hbd/Pages/Popups/ProspectProfile.aspx?pid=13631839" TargetMode="External"/><Relationship Id="rId273" Type="http://schemas.openxmlformats.org/officeDocument/2006/relationships/hyperlink" Target="https://www.whatifsports.com/hbd/Pages/Popups/ProspectProfile.aspx?pid=13631552" TargetMode="External"/><Relationship Id="rId294" Type="http://schemas.openxmlformats.org/officeDocument/2006/relationships/hyperlink" Target="https://www.whatifsports.com/hbd/Pages/Popups/ProspectProfile.aspx?pid=13631567" TargetMode="External"/><Relationship Id="rId308" Type="http://schemas.openxmlformats.org/officeDocument/2006/relationships/hyperlink" Target="https://www.whatifsports.com/hbd/Pages/Popups/ProspectProfile.aspx?pid=13632001" TargetMode="External"/><Relationship Id="rId329" Type="http://schemas.openxmlformats.org/officeDocument/2006/relationships/hyperlink" Target="https://www.whatifsports.com/hbd/Pages/Popups/ProspectProfile.aspx?pid=13632085" TargetMode="External"/><Relationship Id="rId47" Type="http://schemas.openxmlformats.org/officeDocument/2006/relationships/hyperlink" Target="https://www.whatifsports.com/hbd/Pages/Popups/ProspectProfile.aspx?pid=13632199" TargetMode="External"/><Relationship Id="rId68" Type="http://schemas.openxmlformats.org/officeDocument/2006/relationships/hyperlink" Target="https://www.whatifsports.com/hbd/Pages/Popups/ProspectProfile.aspx?pid=13632130" TargetMode="External"/><Relationship Id="rId89" Type="http://schemas.openxmlformats.org/officeDocument/2006/relationships/hyperlink" Target="https://www.whatifsports.com/hbd/Pages/Popups/ProspectProfile.aspx?pid=13632030" TargetMode="External"/><Relationship Id="rId112" Type="http://schemas.openxmlformats.org/officeDocument/2006/relationships/hyperlink" Target="https://www.whatifsports.com/hbd/Pages/Popups/ProspectProfile.aspx?pid=13632236" TargetMode="External"/><Relationship Id="rId133" Type="http://schemas.openxmlformats.org/officeDocument/2006/relationships/hyperlink" Target="https://www.whatifsports.com/hbd/Pages/Popups/ProspectProfile.aspx?pid=13632063" TargetMode="External"/><Relationship Id="rId154" Type="http://schemas.openxmlformats.org/officeDocument/2006/relationships/hyperlink" Target="https://www.whatifsports.com/hbd/Pages/Popups/ProspectProfile.aspx?pid=13631442" TargetMode="External"/><Relationship Id="rId175" Type="http://schemas.openxmlformats.org/officeDocument/2006/relationships/hyperlink" Target="https://www.whatifsports.com/hbd/Pages/Popups/ProspectProfile.aspx?pid=13631849" TargetMode="External"/><Relationship Id="rId340" Type="http://schemas.openxmlformats.org/officeDocument/2006/relationships/hyperlink" Target="https://www.whatifsports.com/hbd/Pages/Popups/ProspectProfile.aspx?pid=13632063" TargetMode="External"/><Relationship Id="rId361" Type="http://schemas.openxmlformats.org/officeDocument/2006/relationships/hyperlink" Target="https://www.whatifsports.com/hbd/Pages/Popups/ProspectProfile.aspx?pid=13631442" TargetMode="External"/><Relationship Id="rId196" Type="http://schemas.openxmlformats.org/officeDocument/2006/relationships/hyperlink" Target="https://www.whatifsports.com/hbd/Pages/Popups/ProspectProfile.aspx?pid=13631763" TargetMode="External"/><Relationship Id="rId200" Type="http://schemas.openxmlformats.org/officeDocument/2006/relationships/hyperlink" Target="https://www.whatifsports.com/hbd/Pages/Popups/ProspectProfile.aspx?pid=13631780" TargetMode="External"/><Relationship Id="rId382" Type="http://schemas.openxmlformats.org/officeDocument/2006/relationships/hyperlink" Target="https://www.whatifsports.com/hbd/Pages/Popups/ProspectProfile.aspx?pid=13631849" TargetMode="External"/><Relationship Id="rId16" Type="http://schemas.openxmlformats.org/officeDocument/2006/relationships/hyperlink" Target="https://www.whatifsports.com/hbd/Pages/Popups/ProspectProfile.aspx?pid=13631433" TargetMode="External"/><Relationship Id="rId221" Type="http://schemas.openxmlformats.org/officeDocument/2006/relationships/hyperlink" Target="https://www.whatifsports.com/hbd/Pages/Popups/ProspectProfile.aspx?pid=13631506" TargetMode="External"/><Relationship Id="rId242" Type="http://schemas.openxmlformats.org/officeDocument/2006/relationships/hyperlink" Target="https://www.whatifsports.com/hbd/Pages/Popups/ProspectProfile.aspx?pid=13632212" TargetMode="External"/><Relationship Id="rId263" Type="http://schemas.openxmlformats.org/officeDocument/2006/relationships/hyperlink" Target="https://www.whatifsports.com/hbd/Pages/Popups/ProspectProfile.aspx?pid=13632208" TargetMode="External"/><Relationship Id="rId284" Type="http://schemas.openxmlformats.org/officeDocument/2006/relationships/hyperlink" Target="https://www.whatifsports.com/hbd/Pages/Popups/ProspectProfile.aspx?pid=13631699" TargetMode="External"/><Relationship Id="rId319" Type="http://schemas.openxmlformats.org/officeDocument/2006/relationships/hyperlink" Target="https://www.whatifsports.com/hbd/Pages/Popups/ProspectProfile.aspx?pid=13632236" TargetMode="External"/><Relationship Id="rId37" Type="http://schemas.openxmlformats.org/officeDocument/2006/relationships/hyperlink" Target="https://www.whatifsports.com/hbd/Pages/Popups/ProspectProfile.aspx?pid=13631617" TargetMode="External"/><Relationship Id="rId58" Type="http://schemas.openxmlformats.org/officeDocument/2006/relationships/hyperlink" Target="https://www.whatifsports.com/hbd/Pages/Popups/ProspectProfile.aspx?pid=13632169" TargetMode="External"/><Relationship Id="rId79" Type="http://schemas.openxmlformats.org/officeDocument/2006/relationships/hyperlink" Target="https://www.whatifsports.com/hbd/Pages/Popups/ProspectProfile.aspx?pid=13631484" TargetMode="External"/><Relationship Id="rId102" Type="http://schemas.openxmlformats.org/officeDocument/2006/relationships/hyperlink" Target="https://www.whatifsports.com/hbd/Pages/Popups/ProspectProfile.aspx?pid=13631874" TargetMode="External"/><Relationship Id="rId123" Type="http://schemas.openxmlformats.org/officeDocument/2006/relationships/hyperlink" Target="https://www.whatifsports.com/hbd/Pages/Popups/ProspectProfile.aspx?pid=13632055" TargetMode="External"/><Relationship Id="rId144" Type="http://schemas.openxmlformats.org/officeDocument/2006/relationships/hyperlink" Target="https://www.whatifsports.com/hbd/Pages/Popups/ProspectProfile.aspx?pid=13631796" TargetMode="External"/><Relationship Id="rId330" Type="http://schemas.openxmlformats.org/officeDocument/2006/relationships/hyperlink" Target="https://www.whatifsports.com/hbd/Pages/Popups/ProspectProfile.aspx?pid=13632055" TargetMode="External"/><Relationship Id="rId90" Type="http://schemas.openxmlformats.org/officeDocument/2006/relationships/hyperlink" Target="https://www.whatifsports.com/hbd/Pages/Popups/ProspectProfile.aspx?pid=13631731" TargetMode="External"/><Relationship Id="rId165" Type="http://schemas.openxmlformats.org/officeDocument/2006/relationships/hyperlink" Target="https://www.whatifsports.com/hbd/Pages/Popups/ProspectProfile.aspx?pid=13631871" TargetMode="External"/><Relationship Id="rId186" Type="http://schemas.openxmlformats.org/officeDocument/2006/relationships/hyperlink" Target="https://www.whatifsports.com/hbd/Pages/Popups/ProspectProfile.aspx?pid=13631636" TargetMode="External"/><Relationship Id="rId351" Type="http://schemas.openxmlformats.org/officeDocument/2006/relationships/hyperlink" Target="https://www.whatifsports.com/hbd/Pages/Popups/ProspectProfile.aspx?pid=13631796" TargetMode="External"/><Relationship Id="rId372" Type="http://schemas.openxmlformats.org/officeDocument/2006/relationships/hyperlink" Target="https://www.whatifsports.com/hbd/Pages/Popups/ProspectProfile.aspx?pid=13631871" TargetMode="External"/><Relationship Id="rId393" Type="http://schemas.openxmlformats.org/officeDocument/2006/relationships/hyperlink" Target="https://www.whatifsports.com/hbd/Pages/Popups/ProspectProfile.aspx?pid=13631636" TargetMode="External"/><Relationship Id="rId407" Type="http://schemas.openxmlformats.org/officeDocument/2006/relationships/hyperlink" Target="https://www.whatifsports.com/hbd/Pages/Popups/ProspectProfile.aspx?pid=13631780" TargetMode="External"/><Relationship Id="rId211" Type="http://schemas.openxmlformats.org/officeDocument/2006/relationships/hyperlink" Target="https://www.whatifsports.com/hbd/Pages/GM/AmateurDraftPlayerPool.aspx" TargetMode="External"/><Relationship Id="rId232" Type="http://schemas.openxmlformats.org/officeDocument/2006/relationships/hyperlink" Target="https://www.whatifsports.com/hbd/Pages/Popups/ProspectProfile.aspx?pid=13632223" TargetMode="External"/><Relationship Id="rId253" Type="http://schemas.openxmlformats.org/officeDocument/2006/relationships/hyperlink" Target="https://www.whatifsports.com/hbd/Pages/Popups/ProspectProfile.aspx?pid=13631730" TargetMode="External"/><Relationship Id="rId274" Type="http://schemas.openxmlformats.org/officeDocument/2006/relationships/hyperlink" Target="https://www.whatifsports.com/hbd/Pages/Popups/ProspectProfile.aspx?pid=13632224" TargetMode="External"/><Relationship Id="rId295" Type="http://schemas.openxmlformats.org/officeDocument/2006/relationships/hyperlink" Target="https://www.whatifsports.com/hbd/Pages/Popups/ProspectProfile.aspx?pid=13632099" TargetMode="External"/><Relationship Id="rId309" Type="http://schemas.openxmlformats.org/officeDocument/2006/relationships/hyperlink" Target="https://www.whatifsports.com/hbd/Pages/Popups/ProspectProfile.aspx?pid=13631874" TargetMode="External"/><Relationship Id="rId27" Type="http://schemas.openxmlformats.org/officeDocument/2006/relationships/hyperlink" Target="https://www.whatifsports.com/hbd/Pages/Popups/ProspectProfile.aspx?pid=13631677" TargetMode="External"/><Relationship Id="rId48" Type="http://schemas.openxmlformats.org/officeDocument/2006/relationships/hyperlink" Target="https://www.whatifsports.com/hbd/Pages/Popups/ProspectProfile.aspx?pid=13631833" TargetMode="External"/><Relationship Id="rId69" Type="http://schemas.openxmlformats.org/officeDocument/2006/relationships/hyperlink" Target="https://www.whatifsports.com/hbd/Pages/Popups/ProspectProfile.aspx?pid=13632035" TargetMode="External"/><Relationship Id="rId113" Type="http://schemas.openxmlformats.org/officeDocument/2006/relationships/hyperlink" Target="https://www.whatifsports.com/hbd/Pages/Popups/ProspectProfile.aspx?pid=13631904" TargetMode="External"/><Relationship Id="rId134" Type="http://schemas.openxmlformats.org/officeDocument/2006/relationships/hyperlink" Target="https://www.whatifsports.com/hbd/Pages/Popups/ProspectProfile.aspx?pid=13631650" TargetMode="External"/><Relationship Id="rId320" Type="http://schemas.openxmlformats.org/officeDocument/2006/relationships/hyperlink" Target="https://www.whatifsports.com/hbd/Pages/Popups/ProspectProfile.aspx?pid=13631904" TargetMode="External"/><Relationship Id="rId80" Type="http://schemas.openxmlformats.org/officeDocument/2006/relationships/hyperlink" Target="https://www.whatifsports.com/hbd/Pages/Popups/ProspectProfile.aspx?pid=13632075" TargetMode="External"/><Relationship Id="rId155" Type="http://schemas.openxmlformats.org/officeDocument/2006/relationships/hyperlink" Target="https://www.whatifsports.com/hbd/Pages/Popups/ProspectProfile.aspx?pid=13632156" TargetMode="External"/><Relationship Id="rId176" Type="http://schemas.openxmlformats.org/officeDocument/2006/relationships/hyperlink" Target="https://www.whatifsports.com/hbd/Pages/Popups/ProspectProfile.aspx?pid=13631576" TargetMode="External"/><Relationship Id="rId197" Type="http://schemas.openxmlformats.org/officeDocument/2006/relationships/hyperlink" Target="https://www.whatifsports.com/hbd/Pages/Popups/ProspectProfile.aspx?pid=13631762" TargetMode="External"/><Relationship Id="rId341" Type="http://schemas.openxmlformats.org/officeDocument/2006/relationships/hyperlink" Target="https://www.whatifsports.com/hbd/Pages/Popups/ProspectProfile.aspx?pid=13631650" TargetMode="External"/><Relationship Id="rId362" Type="http://schemas.openxmlformats.org/officeDocument/2006/relationships/hyperlink" Target="https://www.whatifsports.com/hbd/Pages/Popups/ProspectProfile.aspx?pid=13632156" TargetMode="External"/><Relationship Id="rId383" Type="http://schemas.openxmlformats.org/officeDocument/2006/relationships/hyperlink" Target="https://www.whatifsports.com/hbd/Pages/Popups/ProspectProfile.aspx?pid=13631576" TargetMode="External"/><Relationship Id="rId201" Type="http://schemas.openxmlformats.org/officeDocument/2006/relationships/hyperlink" Target="https://www.whatifsports.com/hbd/Pages/Popups/ProspectProfile.aspx?pid=13631742" TargetMode="External"/><Relationship Id="rId222" Type="http://schemas.openxmlformats.org/officeDocument/2006/relationships/hyperlink" Target="https://www.whatifsports.com/hbd/Pages/Popups/ProspectProfile.aspx?pid=13632238" TargetMode="External"/><Relationship Id="rId243" Type="http://schemas.openxmlformats.org/officeDocument/2006/relationships/hyperlink" Target="https://www.whatifsports.com/hbd/Pages/Popups/ProspectProfile.aspx?pid=13631672" TargetMode="External"/><Relationship Id="rId264" Type="http://schemas.openxmlformats.org/officeDocument/2006/relationships/hyperlink" Target="https://www.whatifsports.com/hbd/Pages/Popups/ProspectProfile.aspx?pid=13632206" TargetMode="External"/><Relationship Id="rId285" Type="http://schemas.openxmlformats.org/officeDocument/2006/relationships/hyperlink" Target="https://www.whatifsports.com/hbd/Pages/Popups/ProspectProfile.aspx?pid=13631667" TargetMode="External"/><Relationship Id="rId17" Type="http://schemas.openxmlformats.org/officeDocument/2006/relationships/hyperlink" Target="https://www.whatifsports.com/hbd/Pages/Popups/ProspectProfile.aspx?pid=13632211" TargetMode="External"/><Relationship Id="rId38" Type="http://schemas.openxmlformats.org/officeDocument/2006/relationships/hyperlink" Target="https://www.whatifsports.com/hbd/Pages/Popups/ProspectProfile.aspx?pid=13631507" TargetMode="External"/><Relationship Id="rId59" Type="http://schemas.openxmlformats.org/officeDocument/2006/relationships/hyperlink" Target="https://www.whatifsports.com/hbd/Pages/Popups/ProspectProfile.aspx?pid=13632143" TargetMode="External"/><Relationship Id="rId103" Type="http://schemas.openxmlformats.org/officeDocument/2006/relationships/hyperlink" Target="https://www.whatifsports.com/hbd/Pages/Popups/ProspectProfile.aspx?pid=13631457" TargetMode="External"/><Relationship Id="rId124" Type="http://schemas.openxmlformats.org/officeDocument/2006/relationships/hyperlink" Target="https://www.whatifsports.com/hbd/Pages/Popups/ProspectProfile.aspx?pid=13632036" TargetMode="External"/><Relationship Id="rId310" Type="http://schemas.openxmlformats.org/officeDocument/2006/relationships/hyperlink" Target="https://www.whatifsports.com/hbd/Pages/Popups/ProspectProfile.aspx?pid=13631457" TargetMode="External"/><Relationship Id="rId70" Type="http://schemas.openxmlformats.org/officeDocument/2006/relationships/hyperlink" Target="https://www.whatifsports.com/hbd/Pages/Popups/ProspectProfile.aspx?pid=13632066" TargetMode="External"/><Relationship Id="rId91" Type="http://schemas.openxmlformats.org/officeDocument/2006/relationships/hyperlink" Target="https://www.whatifsports.com/hbd/Pages/Popups/ProspectProfile.aspx?pid=13631583" TargetMode="External"/><Relationship Id="rId145" Type="http://schemas.openxmlformats.org/officeDocument/2006/relationships/hyperlink" Target="https://www.whatifsports.com/hbd/Pages/Popups/ProspectProfile.aspx?pid=13631713" TargetMode="External"/><Relationship Id="rId166" Type="http://schemas.openxmlformats.org/officeDocument/2006/relationships/hyperlink" Target="https://www.whatifsports.com/hbd/Pages/Popups/ProspectProfile.aspx?pid=13631808" TargetMode="External"/><Relationship Id="rId187" Type="http://schemas.openxmlformats.org/officeDocument/2006/relationships/hyperlink" Target="https://www.whatifsports.com/hbd/Pages/Popups/ProspectProfile.aspx?pid=13631844" TargetMode="External"/><Relationship Id="rId331" Type="http://schemas.openxmlformats.org/officeDocument/2006/relationships/hyperlink" Target="https://www.whatifsports.com/hbd/Pages/Popups/ProspectProfile.aspx?pid=13632036" TargetMode="External"/><Relationship Id="rId352" Type="http://schemas.openxmlformats.org/officeDocument/2006/relationships/hyperlink" Target="https://www.whatifsports.com/hbd/Pages/Popups/ProspectProfile.aspx?pid=13631713" TargetMode="External"/><Relationship Id="rId373" Type="http://schemas.openxmlformats.org/officeDocument/2006/relationships/hyperlink" Target="https://www.whatifsports.com/hbd/Pages/Popups/ProspectProfile.aspx?pid=13631808" TargetMode="External"/><Relationship Id="rId394" Type="http://schemas.openxmlformats.org/officeDocument/2006/relationships/hyperlink" Target="https://www.whatifsports.com/hbd/Pages/Popups/ProspectProfile.aspx?pid=13631844" TargetMode="External"/><Relationship Id="rId408" Type="http://schemas.openxmlformats.org/officeDocument/2006/relationships/hyperlink" Target="https://www.whatifsports.com/hbd/Pages/Popups/ProspectProfile.aspx?pid=13631742" TargetMode="External"/><Relationship Id="rId1" Type="http://schemas.openxmlformats.org/officeDocument/2006/relationships/hyperlink" Target="https://www.whatifsports.com/hbd/Pages/GM/AmateurDraftPlayerPool.aspx" TargetMode="External"/><Relationship Id="rId212" Type="http://schemas.openxmlformats.org/officeDocument/2006/relationships/hyperlink" Target="https://www.whatifsports.com/hbd/Pages/GM/AmateurDraftPlayerPool.aspx" TargetMode="External"/><Relationship Id="rId233" Type="http://schemas.openxmlformats.org/officeDocument/2006/relationships/hyperlink" Target="https://www.whatifsports.com/hbd/Pages/Popups/ProspectProfile.aspx?pid=13632216" TargetMode="External"/><Relationship Id="rId254" Type="http://schemas.openxmlformats.org/officeDocument/2006/relationships/hyperlink" Target="https://www.whatifsports.com/hbd/Pages/Popups/ProspectProfile.aspx?pid=13632199" TargetMode="External"/><Relationship Id="rId28" Type="http://schemas.openxmlformats.org/officeDocument/2006/relationships/hyperlink" Target="https://www.whatifsports.com/hbd/Pages/Popups/ProspectProfile.aspx?pid=13632237" TargetMode="External"/><Relationship Id="rId49" Type="http://schemas.openxmlformats.org/officeDocument/2006/relationships/hyperlink" Target="https://www.whatifsports.com/hbd/Pages/Popups/ProspectProfile.aspx?pid=13631673" TargetMode="External"/><Relationship Id="rId114" Type="http://schemas.openxmlformats.org/officeDocument/2006/relationships/hyperlink" Target="https://www.whatifsports.com/hbd/Pages/Popups/ProspectProfile.aspx?pid=13631468" TargetMode="External"/><Relationship Id="rId275" Type="http://schemas.openxmlformats.org/officeDocument/2006/relationships/hyperlink" Target="https://www.whatifsports.com/hbd/Pages/Popups/ProspectProfile.aspx?pid=13632130" TargetMode="External"/><Relationship Id="rId296" Type="http://schemas.openxmlformats.org/officeDocument/2006/relationships/hyperlink" Target="https://www.whatifsports.com/hbd/Pages/Popups/ProspectProfile.aspx?pid=13632030" TargetMode="External"/><Relationship Id="rId300" Type="http://schemas.openxmlformats.org/officeDocument/2006/relationships/hyperlink" Target="https://www.whatifsports.com/hbd/Pages/Popups/ProspectProfile.aspx?pid=13632183" TargetMode="External"/><Relationship Id="rId60" Type="http://schemas.openxmlformats.org/officeDocument/2006/relationships/hyperlink" Target="https://www.whatifsports.com/hbd/Pages/Popups/ProspectProfile.aspx?pid=13631900" TargetMode="External"/><Relationship Id="rId81" Type="http://schemas.openxmlformats.org/officeDocument/2006/relationships/hyperlink" Target="https://www.whatifsports.com/hbd/Pages/Popups/ProspectProfile.aspx?pid=13631977" TargetMode="External"/><Relationship Id="rId135" Type="http://schemas.openxmlformats.org/officeDocument/2006/relationships/hyperlink" Target="https://www.whatifsports.com/hbd/Pages/Popups/ProspectProfile.aspx?pid=13631565" TargetMode="External"/><Relationship Id="rId156" Type="http://schemas.openxmlformats.org/officeDocument/2006/relationships/hyperlink" Target="https://www.whatifsports.com/hbd/Pages/Popups/ProspectProfile.aspx?pid=13631642" TargetMode="External"/><Relationship Id="rId177" Type="http://schemas.openxmlformats.org/officeDocument/2006/relationships/hyperlink" Target="https://www.whatifsports.com/hbd/Pages/Popups/ProspectProfile.aspx?pid=13631939" TargetMode="External"/><Relationship Id="rId198" Type="http://schemas.openxmlformats.org/officeDocument/2006/relationships/hyperlink" Target="https://www.whatifsports.com/hbd/Pages/Popups/ProspectProfile.aspx?pid=13631752" TargetMode="External"/><Relationship Id="rId321" Type="http://schemas.openxmlformats.org/officeDocument/2006/relationships/hyperlink" Target="https://www.whatifsports.com/hbd/Pages/Popups/ProspectProfile.aspx?pid=13631468" TargetMode="External"/><Relationship Id="rId342" Type="http://schemas.openxmlformats.org/officeDocument/2006/relationships/hyperlink" Target="https://www.whatifsports.com/hbd/Pages/Popups/ProspectProfile.aspx?pid=13631565" TargetMode="External"/><Relationship Id="rId363" Type="http://schemas.openxmlformats.org/officeDocument/2006/relationships/hyperlink" Target="https://www.whatifsports.com/hbd/Pages/Popups/ProspectProfile.aspx?pid=13631642" TargetMode="External"/><Relationship Id="rId384" Type="http://schemas.openxmlformats.org/officeDocument/2006/relationships/hyperlink" Target="https://www.whatifsports.com/hbd/Pages/Popups/ProspectProfile.aspx?pid=13631939" TargetMode="External"/><Relationship Id="rId202" Type="http://schemas.openxmlformats.org/officeDocument/2006/relationships/hyperlink" Target="https://www.whatifsports.com/hbd/Pages/Popups/ProspectProfile.aspx?pid=13631648" TargetMode="External"/><Relationship Id="rId223" Type="http://schemas.openxmlformats.org/officeDocument/2006/relationships/hyperlink" Target="https://www.whatifsports.com/hbd/Pages/Popups/ProspectProfile.aspx?pid=13631433" TargetMode="External"/><Relationship Id="rId244" Type="http://schemas.openxmlformats.org/officeDocument/2006/relationships/hyperlink" Target="https://www.whatifsports.com/hbd/Pages/Popups/ProspectProfile.aspx?pid=13631617" TargetMode="External"/><Relationship Id="rId18" Type="http://schemas.openxmlformats.org/officeDocument/2006/relationships/hyperlink" Target="https://www.whatifsports.com/hbd/Pages/Popups/ProspectProfile.aspx?pid=13631772" TargetMode="External"/><Relationship Id="rId39" Type="http://schemas.openxmlformats.org/officeDocument/2006/relationships/hyperlink" Target="https://www.whatifsports.com/hbd/Pages/Popups/ProspectProfile.aspx?pid=13632207" TargetMode="External"/><Relationship Id="rId265" Type="http://schemas.openxmlformats.org/officeDocument/2006/relationships/hyperlink" Target="https://www.whatifsports.com/hbd/Pages/Popups/ProspectProfile.aspx?pid=13632169" TargetMode="External"/><Relationship Id="rId286" Type="http://schemas.openxmlformats.org/officeDocument/2006/relationships/hyperlink" Target="https://www.whatifsports.com/hbd/Pages/Popups/ProspectProfile.aspx?pid=13631484" TargetMode="External"/><Relationship Id="rId50" Type="http://schemas.openxmlformats.org/officeDocument/2006/relationships/hyperlink" Target="https://www.whatifsports.com/hbd/Pages/Popups/ProspectProfile.aspx?pid=13631454" TargetMode="External"/><Relationship Id="rId104" Type="http://schemas.openxmlformats.org/officeDocument/2006/relationships/hyperlink" Target="https://www.whatifsports.com/hbd/Pages/Popups/ProspectProfile.aspx?pid=13631635" TargetMode="External"/><Relationship Id="rId125" Type="http://schemas.openxmlformats.org/officeDocument/2006/relationships/hyperlink" Target="https://www.whatifsports.com/hbd/Pages/Popups/ProspectProfile.aspx?pid=13631991" TargetMode="External"/><Relationship Id="rId146" Type="http://schemas.openxmlformats.org/officeDocument/2006/relationships/hyperlink" Target="https://www.whatifsports.com/hbd/Pages/Popups/ProspectProfile.aspx?pid=13631560" TargetMode="External"/><Relationship Id="rId167" Type="http://schemas.openxmlformats.org/officeDocument/2006/relationships/hyperlink" Target="https://www.whatifsports.com/hbd/Pages/Popups/ProspectProfile.aspx?pid=13631601" TargetMode="External"/><Relationship Id="rId188" Type="http://schemas.openxmlformats.org/officeDocument/2006/relationships/hyperlink" Target="https://www.whatifsports.com/hbd/Pages/Popups/ProspectProfile.aspx?pid=13631775" TargetMode="External"/><Relationship Id="rId311" Type="http://schemas.openxmlformats.org/officeDocument/2006/relationships/hyperlink" Target="https://www.whatifsports.com/hbd/Pages/Popups/ProspectProfile.aspx?pid=13631635" TargetMode="External"/><Relationship Id="rId332" Type="http://schemas.openxmlformats.org/officeDocument/2006/relationships/hyperlink" Target="https://www.whatifsports.com/hbd/Pages/Popups/ProspectProfile.aspx?pid=13631991" TargetMode="External"/><Relationship Id="rId353" Type="http://schemas.openxmlformats.org/officeDocument/2006/relationships/hyperlink" Target="https://www.whatifsports.com/hbd/Pages/Popups/ProspectProfile.aspx?pid=13631560" TargetMode="External"/><Relationship Id="rId374" Type="http://schemas.openxmlformats.org/officeDocument/2006/relationships/hyperlink" Target="https://www.whatifsports.com/hbd/Pages/Popups/ProspectProfile.aspx?pid=13631601" TargetMode="External"/><Relationship Id="rId395" Type="http://schemas.openxmlformats.org/officeDocument/2006/relationships/hyperlink" Target="https://www.whatifsports.com/hbd/Pages/Popups/ProspectProfile.aspx?pid=13631775" TargetMode="External"/><Relationship Id="rId409" Type="http://schemas.openxmlformats.org/officeDocument/2006/relationships/hyperlink" Target="https://www.whatifsports.com/hbd/Pages/Popups/ProspectProfile.aspx?pid=13631648" TargetMode="External"/><Relationship Id="rId71" Type="http://schemas.openxmlformats.org/officeDocument/2006/relationships/hyperlink" Target="https://www.whatifsports.com/hbd/Pages/Popups/ProspectProfile.aspx?pid=13632052" TargetMode="External"/><Relationship Id="rId92" Type="http://schemas.openxmlformats.org/officeDocument/2006/relationships/hyperlink" Target="https://www.whatifsports.com/hbd/Pages/Popups/ProspectProfile.aspx?pid=13631482" TargetMode="External"/><Relationship Id="rId213" Type="http://schemas.openxmlformats.org/officeDocument/2006/relationships/hyperlink" Target="https://www.whatifsports.com/hbd/Pages/GM/AmateurDraftPlayerPool.aspx" TargetMode="External"/><Relationship Id="rId234" Type="http://schemas.openxmlformats.org/officeDocument/2006/relationships/hyperlink" Target="https://www.whatifsports.com/hbd/Pages/Popups/ProspectProfile.aspx?pid=13631677" TargetMode="External"/><Relationship Id="rId2" Type="http://schemas.openxmlformats.org/officeDocument/2006/relationships/hyperlink" Target="https://www.whatifsports.com/hbd/Pages/GM/AmateurDraftPlayerPool.aspx" TargetMode="External"/><Relationship Id="rId29" Type="http://schemas.openxmlformats.org/officeDocument/2006/relationships/hyperlink" Target="https://www.whatifsports.com/hbd/Pages/Popups/ProspectProfile.aspx?pid=13632234" TargetMode="External"/><Relationship Id="rId255" Type="http://schemas.openxmlformats.org/officeDocument/2006/relationships/hyperlink" Target="https://www.whatifsports.com/hbd/Pages/Popups/ProspectProfile.aspx?pid=13631833" TargetMode="External"/><Relationship Id="rId276" Type="http://schemas.openxmlformats.org/officeDocument/2006/relationships/hyperlink" Target="https://www.whatifsports.com/hbd/Pages/Popups/ProspectProfile.aspx?pid=13632035" TargetMode="External"/><Relationship Id="rId297" Type="http://schemas.openxmlformats.org/officeDocument/2006/relationships/hyperlink" Target="https://www.whatifsports.com/hbd/Pages/Popups/ProspectProfile.aspx?pid=13631731" TargetMode="External"/><Relationship Id="rId40" Type="http://schemas.openxmlformats.org/officeDocument/2006/relationships/hyperlink" Target="https://www.whatifsports.com/hbd/Pages/Popups/ProspectProfile.aspx?pid=13631605" TargetMode="External"/><Relationship Id="rId115" Type="http://schemas.openxmlformats.org/officeDocument/2006/relationships/hyperlink" Target="https://www.whatifsports.com/hbd/Pages/Popups/ProspectProfile.aspx?pid=13631453" TargetMode="External"/><Relationship Id="rId136" Type="http://schemas.openxmlformats.org/officeDocument/2006/relationships/hyperlink" Target="https://www.whatifsports.com/hbd/Pages/Popups/ProspectProfile.aspx?pid=13631391" TargetMode="External"/><Relationship Id="rId157" Type="http://schemas.openxmlformats.org/officeDocument/2006/relationships/hyperlink" Target="https://www.whatifsports.com/hbd/Pages/Popups/ProspectProfile.aspx?pid=13631885" TargetMode="External"/><Relationship Id="rId178" Type="http://schemas.openxmlformats.org/officeDocument/2006/relationships/hyperlink" Target="https://www.whatifsports.com/hbd/Pages/Popups/ProspectProfile.aspx?pid=13631853" TargetMode="External"/><Relationship Id="rId301" Type="http://schemas.openxmlformats.org/officeDocument/2006/relationships/hyperlink" Target="https://www.whatifsports.com/hbd/Pages/Popups/ProspectProfile.aspx?pid=13632084" TargetMode="External"/><Relationship Id="rId322" Type="http://schemas.openxmlformats.org/officeDocument/2006/relationships/hyperlink" Target="https://www.whatifsports.com/hbd/Pages/Popups/ProspectProfile.aspx?pid=13631453" TargetMode="External"/><Relationship Id="rId343" Type="http://schemas.openxmlformats.org/officeDocument/2006/relationships/hyperlink" Target="https://www.whatifsports.com/hbd/Pages/Popups/ProspectProfile.aspx?pid=13631391" TargetMode="External"/><Relationship Id="rId364" Type="http://schemas.openxmlformats.org/officeDocument/2006/relationships/hyperlink" Target="https://www.whatifsports.com/hbd/Pages/Popups/ProspectProfile.aspx?pid=13631885" TargetMode="External"/><Relationship Id="rId61" Type="http://schemas.openxmlformats.org/officeDocument/2006/relationships/hyperlink" Target="https://www.whatifsports.com/hbd/Pages/Popups/ProspectProfile.aspx?pid=13631768" TargetMode="External"/><Relationship Id="rId82" Type="http://schemas.openxmlformats.org/officeDocument/2006/relationships/hyperlink" Target="https://www.whatifsports.com/hbd/Pages/Popups/ProspectProfile.aspx?pid=13631972" TargetMode="External"/><Relationship Id="rId199" Type="http://schemas.openxmlformats.org/officeDocument/2006/relationships/hyperlink" Target="https://www.whatifsports.com/hbd/Pages/Popups/ProspectProfile.aspx?pid=13631802" TargetMode="External"/><Relationship Id="rId203" Type="http://schemas.openxmlformats.org/officeDocument/2006/relationships/hyperlink" Target="https://www.whatifsports.com/hbd/Pages/Popups/ProspectProfile.aspx?pid=13631532" TargetMode="External"/><Relationship Id="rId385" Type="http://schemas.openxmlformats.org/officeDocument/2006/relationships/hyperlink" Target="https://www.whatifsports.com/hbd/Pages/Popups/ProspectProfile.aspx?pid=13631853" TargetMode="External"/><Relationship Id="rId19" Type="http://schemas.openxmlformats.org/officeDocument/2006/relationships/hyperlink" Target="https://www.whatifsports.com/hbd/Pages/Popups/ProspectProfile.aspx?pid=13631714" TargetMode="External"/><Relationship Id="rId224" Type="http://schemas.openxmlformats.org/officeDocument/2006/relationships/hyperlink" Target="https://www.whatifsports.com/hbd/Pages/Popups/ProspectProfile.aspx?pid=13632211" TargetMode="External"/><Relationship Id="rId245" Type="http://schemas.openxmlformats.org/officeDocument/2006/relationships/hyperlink" Target="https://www.whatifsports.com/hbd/Pages/Popups/ProspectProfile.aspx?pid=13631507" TargetMode="External"/><Relationship Id="rId266" Type="http://schemas.openxmlformats.org/officeDocument/2006/relationships/hyperlink" Target="https://www.whatifsports.com/hbd/Pages/Popups/ProspectProfile.aspx?pid=13632143" TargetMode="External"/><Relationship Id="rId287" Type="http://schemas.openxmlformats.org/officeDocument/2006/relationships/hyperlink" Target="https://www.whatifsports.com/hbd/Pages/Popups/ProspectProfile.aspx?pid=13632075" TargetMode="External"/><Relationship Id="rId410" Type="http://schemas.openxmlformats.org/officeDocument/2006/relationships/hyperlink" Target="https://www.whatifsports.com/hbd/Pages/Popups/ProspectProfile.aspx?pid=13631532" TargetMode="External"/><Relationship Id="rId30" Type="http://schemas.openxmlformats.org/officeDocument/2006/relationships/hyperlink" Target="https://www.whatifsports.com/hbd/Pages/Popups/ProspectProfile.aspx?pid=13632217" TargetMode="External"/><Relationship Id="rId105" Type="http://schemas.openxmlformats.org/officeDocument/2006/relationships/hyperlink" Target="https://www.whatifsports.com/hbd/Pages/Popups/ProspectProfile.aspx?pid=13632213" TargetMode="External"/><Relationship Id="rId126" Type="http://schemas.openxmlformats.org/officeDocument/2006/relationships/hyperlink" Target="https://www.whatifsports.com/hbd/Pages/Popups/ProspectProfile.aspx?pid=13631414" TargetMode="External"/><Relationship Id="rId147" Type="http://schemas.openxmlformats.org/officeDocument/2006/relationships/hyperlink" Target="https://www.whatifsports.com/hbd/Pages/Popups/ProspectProfile.aspx?pid=13631518" TargetMode="External"/><Relationship Id="rId168" Type="http://schemas.openxmlformats.org/officeDocument/2006/relationships/hyperlink" Target="https://www.whatifsports.com/hbd/Pages/Popups/ProspectProfile.aspx?pid=13631968" TargetMode="External"/><Relationship Id="rId312" Type="http://schemas.openxmlformats.org/officeDocument/2006/relationships/hyperlink" Target="https://www.whatifsports.com/hbd/Pages/Popups/ProspectProfile.aspx?pid=13632213" TargetMode="External"/><Relationship Id="rId333" Type="http://schemas.openxmlformats.org/officeDocument/2006/relationships/hyperlink" Target="https://www.whatifsports.com/hbd/Pages/Popups/ProspectProfile.aspx?pid=13631414" TargetMode="External"/><Relationship Id="rId354" Type="http://schemas.openxmlformats.org/officeDocument/2006/relationships/hyperlink" Target="https://www.whatifsports.com/hbd/Pages/Popups/ProspectProfile.aspx?pid=13631518" TargetMode="External"/><Relationship Id="rId51" Type="http://schemas.openxmlformats.org/officeDocument/2006/relationships/hyperlink" Target="https://www.whatifsports.com/hbd/Pages/Popups/ProspectProfile.aspx?pid=13632172" TargetMode="External"/><Relationship Id="rId72" Type="http://schemas.openxmlformats.org/officeDocument/2006/relationships/hyperlink" Target="https://www.whatifsports.com/hbd/Pages/Popups/ProspectProfile.aspx?pid=13631838" TargetMode="External"/><Relationship Id="rId93" Type="http://schemas.openxmlformats.org/officeDocument/2006/relationships/hyperlink" Target="https://www.whatifsports.com/hbd/Pages/Popups/ProspectProfile.aspx?pid=13632183" TargetMode="External"/><Relationship Id="rId189" Type="http://schemas.openxmlformats.org/officeDocument/2006/relationships/hyperlink" Target="https://www.whatifsports.com/hbd/Pages/Popups/ProspectProfile.aspx?pid=13631823" TargetMode="External"/><Relationship Id="rId375" Type="http://schemas.openxmlformats.org/officeDocument/2006/relationships/hyperlink" Target="https://www.whatifsports.com/hbd/Pages/Popups/ProspectProfile.aspx?pid=13631968" TargetMode="External"/><Relationship Id="rId396" Type="http://schemas.openxmlformats.org/officeDocument/2006/relationships/hyperlink" Target="https://www.whatifsports.com/hbd/Pages/Popups/ProspectProfile.aspx?pid=13631823" TargetMode="External"/><Relationship Id="rId3" Type="http://schemas.openxmlformats.org/officeDocument/2006/relationships/hyperlink" Target="https://www.whatifsports.com/hbd/Pages/GM/AmateurDraftPlayerPool.aspx" TargetMode="External"/><Relationship Id="rId214" Type="http://schemas.openxmlformats.org/officeDocument/2006/relationships/hyperlink" Target="https://www.whatifsports.com/hbd/Pages/Popups/ProspectProfile.aspx?pid=13631431" TargetMode="External"/><Relationship Id="rId235" Type="http://schemas.openxmlformats.org/officeDocument/2006/relationships/hyperlink" Target="https://www.whatifsports.com/hbd/Pages/Popups/ProspectProfile.aspx?pid=13632237" TargetMode="External"/><Relationship Id="rId256" Type="http://schemas.openxmlformats.org/officeDocument/2006/relationships/hyperlink" Target="https://www.whatifsports.com/hbd/Pages/Popups/ProspectProfile.aspx?pid=13631673" TargetMode="External"/><Relationship Id="rId277" Type="http://schemas.openxmlformats.org/officeDocument/2006/relationships/hyperlink" Target="https://www.whatifsports.com/hbd/Pages/Popups/ProspectProfile.aspx?pid=13632066" TargetMode="External"/><Relationship Id="rId298" Type="http://schemas.openxmlformats.org/officeDocument/2006/relationships/hyperlink" Target="https://www.whatifsports.com/hbd/Pages/Popups/ProspectProfile.aspx?pid=13631583" TargetMode="External"/><Relationship Id="rId400" Type="http://schemas.openxmlformats.org/officeDocument/2006/relationships/hyperlink" Target="https://www.whatifsports.com/hbd/Pages/Popups/ProspectProfile.aspx?pid=13631792" TargetMode="External"/><Relationship Id="rId116" Type="http://schemas.openxmlformats.org/officeDocument/2006/relationships/hyperlink" Target="https://www.whatifsports.com/hbd/Pages/Popups/ProspectProfile.aspx?pid=13632204" TargetMode="External"/><Relationship Id="rId137" Type="http://schemas.openxmlformats.org/officeDocument/2006/relationships/hyperlink" Target="https://www.whatifsports.com/hbd/Pages/Popups/ProspectProfile.aspx?pid=13632116" TargetMode="External"/><Relationship Id="rId158" Type="http://schemas.openxmlformats.org/officeDocument/2006/relationships/hyperlink" Target="https://www.whatifsports.com/hbd/Pages/Popups/ProspectProfile.aspx?pid=13632029" TargetMode="External"/><Relationship Id="rId302" Type="http://schemas.openxmlformats.org/officeDocument/2006/relationships/hyperlink" Target="https://www.whatifsports.com/hbd/Pages/Popups/ProspectProfile.aspx?pid=13632022" TargetMode="External"/><Relationship Id="rId323" Type="http://schemas.openxmlformats.org/officeDocument/2006/relationships/hyperlink" Target="https://www.whatifsports.com/hbd/Pages/Popups/ProspectProfile.aspx?pid=13632204" TargetMode="External"/><Relationship Id="rId344" Type="http://schemas.openxmlformats.org/officeDocument/2006/relationships/hyperlink" Target="https://www.whatifsports.com/hbd/Pages/Popups/ProspectProfile.aspx?pid=13632116" TargetMode="External"/><Relationship Id="rId20" Type="http://schemas.openxmlformats.org/officeDocument/2006/relationships/hyperlink" Target="https://www.whatifsports.com/hbd/Pages/Popups/ProspectProfile.aspx?pid=13632205" TargetMode="External"/><Relationship Id="rId41" Type="http://schemas.openxmlformats.org/officeDocument/2006/relationships/hyperlink" Target="https://www.whatifsports.com/hbd/Pages/Popups/ProspectProfile.aspx?pid=13632229" TargetMode="External"/><Relationship Id="rId62" Type="http://schemas.openxmlformats.org/officeDocument/2006/relationships/hyperlink" Target="https://www.whatifsports.com/hbd/Pages/Popups/ProspectProfile.aspx?pid=13631725" TargetMode="External"/><Relationship Id="rId83" Type="http://schemas.openxmlformats.org/officeDocument/2006/relationships/hyperlink" Target="https://www.whatifsports.com/hbd/Pages/Popups/ProspectProfile.aspx?pid=13631946" TargetMode="External"/><Relationship Id="rId179" Type="http://schemas.openxmlformats.org/officeDocument/2006/relationships/hyperlink" Target="https://www.whatifsports.com/hbd/Pages/Popups/ProspectProfile.aspx?pid=13631913" TargetMode="External"/><Relationship Id="rId365" Type="http://schemas.openxmlformats.org/officeDocument/2006/relationships/hyperlink" Target="https://www.whatifsports.com/hbd/Pages/Popups/ProspectProfile.aspx?pid=13632029" TargetMode="External"/><Relationship Id="rId386" Type="http://schemas.openxmlformats.org/officeDocument/2006/relationships/hyperlink" Target="https://www.whatifsports.com/hbd/Pages/Popups/ProspectProfile.aspx?pid=13631913" TargetMode="External"/><Relationship Id="rId190" Type="http://schemas.openxmlformats.org/officeDocument/2006/relationships/hyperlink" Target="https://www.whatifsports.com/hbd/Pages/Popups/ProspectProfile.aspx?pid=13631818" TargetMode="External"/><Relationship Id="rId204" Type="http://schemas.openxmlformats.org/officeDocument/2006/relationships/hyperlink" Target="https://www.whatifsports.com/hbd/Pages/Popups/ProspectProfile.aspx?pid=13631531" TargetMode="External"/><Relationship Id="rId225" Type="http://schemas.openxmlformats.org/officeDocument/2006/relationships/hyperlink" Target="https://www.whatifsports.com/hbd/Pages/Popups/ProspectProfile.aspx?pid=13631772" TargetMode="External"/><Relationship Id="rId246" Type="http://schemas.openxmlformats.org/officeDocument/2006/relationships/hyperlink" Target="https://www.whatifsports.com/hbd/Pages/Popups/ProspectProfile.aspx?pid=13632207" TargetMode="External"/><Relationship Id="rId267" Type="http://schemas.openxmlformats.org/officeDocument/2006/relationships/hyperlink" Target="https://www.whatifsports.com/hbd/Pages/Popups/ProspectProfile.aspx?pid=13631900" TargetMode="External"/><Relationship Id="rId288" Type="http://schemas.openxmlformats.org/officeDocument/2006/relationships/hyperlink" Target="https://www.whatifsports.com/hbd/Pages/Popups/ProspectProfile.aspx?pid=13631977" TargetMode="External"/><Relationship Id="rId411" Type="http://schemas.openxmlformats.org/officeDocument/2006/relationships/hyperlink" Target="https://www.whatifsports.com/hbd/Pages/Popups/ProspectProfile.aspx?pid=13631531" TargetMode="External"/><Relationship Id="rId106" Type="http://schemas.openxmlformats.org/officeDocument/2006/relationships/hyperlink" Target="https://www.whatifsports.com/hbd/Pages/Popups/ProspectProfile.aspx?pid=13632131" TargetMode="External"/><Relationship Id="rId127" Type="http://schemas.openxmlformats.org/officeDocument/2006/relationships/hyperlink" Target="https://www.whatifsports.com/hbd/Pages/Popups/ProspectProfile.aspx?pid=13632107" TargetMode="External"/><Relationship Id="rId313" Type="http://schemas.openxmlformats.org/officeDocument/2006/relationships/hyperlink" Target="https://www.whatifsports.com/hbd/Pages/Popups/ProspectProfile.aspx?pid=13632131" TargetMode="External"/><Relationship Id="rId10" Type="http://schemas.openxmlformats.org/officeDocument/2006/relationships/hyperlink" Target="https://www.whatifsports.com/hbd/Pages/Popups/ProspectProfile.aspx?pid=13631500" TargetMode="External"/><Relationship Id="rId31" Type="http://schemas.openxmlformats.org/officeDocument/2006/relationships/hyperlink" Target="https://www.whatifsports.com/hbd/Pages/Popups/ProspectProfile.aspx?pid=13632171" TargetMode="External"/><Relationship Id="rId52" Type="http://schemas.openxmlformats.org/officeDocument/2006/relationships/hyperlink" Target="https://www.whatifsports.com/hbd/Pages/Popups/ProspectProfile.aspx?pid=13632087" TargetMode="External"/><Relationship Id="rId73" Type="http://schemas.openxmlformats.org/officeDocument/2006/relationships/hyperlink" Target="https://www.whatifsports.com/hbd/Pages/Popups/ProspectProfile.aspx?pid=13631718" TargetMode="External"/><Relationship Id="rId94" Type="http://schemas.openxmlformats.org/officeDocument/2006/relationships/hyperlink" Target="https://www.whatifsports.com/hbd/Pages/Popups/ProspectProfile.aspx?pid=13632084" TargetMode="External"/><Relationship Id="rId148" Type="http://schemas.openxmlformats.org/officeDocument/2006/relationships/hyperlink" Target="https://www.whatifsports.com/hbd/Pages/Popups/ProspectProfile.aspx?pid=13631435" TargetMode="External"/><Relationship Id="rId169" Type="http://schemas.openxmlformats.org/officeDocument/2006/relationships/hyperlink" Target="https://www.whatifsports.com/hbd/Pages/Popups/ProspectProfile.aspx?pid=13631945" TargetMode="External"/><Relationship Id="rId334" Type="http://schemas.openxmlformats.org/officeDocument/2006/relationships/hyperlink" Target="https://www.whatifsports.com/hbd/Pages/Popups/ProspectProfile.aspx?pid=13632107" TargetMode="External"/><Relationship Id="rId355" Type="http://schemas.openxmlformats.org/officeDocument/2006/relationships/hyperlink" Target="https://www.whatifsports.com/hbd/Pages/Popups/ProspectProfile.aspx?pid=13631435" TargetMode="External"/><Relationship Id="rId376" Type="http://schemas.openxmlformats.org/officeDocument/2006/relationships/hyperlink" Target="https://www.whatifsports.com/hbd/Pages/Popups/ProspectProfile.aspx?pid=13631945" TargetMode="External"/><Relationship Id="rId397" Type="http://schemas.openxmlformats.org/officeDocument/2006/relationships/hyperlink" Target="https://www.whatifsports.com/hbd/Pages/Popups/ProspectProfile.aspx?pid=13631818" TargetMode="External"/><Relationship Id="rId4" Type="http://schemas.openxmlformats.org/officeDocument/2006/relationships/hyperlink" Target="https://www.whatifsports.com/hbd/Pages/GM/AmateurDraftPlayerPool.aspx" TargetMode="External"/><Relationship Id="rId180" Type="http://schemas.openxmlformats.org/officeDocument/2006/relationships/hyperlink" Target="https://www.whatifsports.com/hbd/Pages/Popups/ProspectProfile.aspx?pid=13631908" TargetMode="External"/><Relationship Id="rId215" Type="http://schemas.openxmlformats.org/officeDocument/2006/relationships/hyperlink" Target="https://www.whatifsports.com/hbd/Pages/Popups/ProspectProfile.aspx?pid=13631837" TargetMode="External"/><Relationship Id="rId236" Type="http://schemas.openxmlformats.org/officeDocument/2006/relationships/hyperlink" Target="https://www.whatifsports.com/hbd/Pages/Popups/ProspectProfile.aspx?pid=13632234" TargetMode="External"/><Relationship Id="rId257" Type="http://schemas.openxmlformats.org/officeDocument/2006/relationships/hyperlink" Target="https://www.whatifsports.com/hbd/Pages/Popups/ProspectProfile.aspx?pid=13631454" TargetMode="External"/><Relationship Id="rId278" Type="http://schemas.openxmlformats.org/officeDocument/2006/relationships/hyperlink" Target="https://www.whatifsports.com/hbd/Pages/Popups/ProspectProfile.aspx?pid=13632052" TargetMode="External"/><Relationship Id="rId401" Type="http://schemas.openxmlformats.org/officeDocument/2006/relationships/hyperlink" Target="https://www.whatifsports.com/hbd/Pages/Popups/ProspectProfile.aspx?pid=13631791" TargetMode="External"/><Relationship Id="rId303" Type="http://schemas.openxmlformats.org/officeDocument/2006/relationships/hyperlink" Target="https://www.whatifsports.com/hbd/Pages/Popups/ProspectProfile.aspx?pid=13631584" TargetMode="External"/><Relationship Id="rId42" Type="http://schemas.openxmlformats.org/officeDocument/2006/relationships/hyperlink" Target="https://www.whatifsports.com/hbd/Pages/Popups/ProspectProfile.aspx?pid=13631678" TargetMode="External"/><Relationship Id="rId84" Type="http://schemas.openxmlformats.org/officeDocument/2006/relationships/hyperlink" Target="https://www.whatifsports.com/hbd/Pages/Popups/ProspectProfile.aspx?pid=13631478" TargetMode="External"/><Relationship Id="rId138" Type="http://schemas.openxmlformats.org/officeDocument/2006/relationships/hyperlink" Target="https://www.whatifsports.com/hbd/Pages/Popups/ProspectProfile.aspx?pid=13632058" TargetMode="External"/><Relationship Id="rId345" Type="http://schemas.openxmlformats.org/officeDocument/2006/relationships/hyperlink" Target="https://www.whatifsports.com/hbd/Pages/Popups/ProspectProfile.aspx?pid=13632058" TargetMode="External"/><Relationship Id="rId387" Type="http://schemas.openxmlformats.org/officeDocument/2006/relationships/hyperlink" Target="https://www.whatifsports.com/hbd/Pages/Popups/ProspectProfile.aspx?pid=13631908" TargetMode="External"/><Relationship Id="rId191" Type="http://schemas.openxmlformats.org/officeDocument/2006/relationships/hyperlink" Target="https://www.whatifsports.com/hbd/Pages/Popups/ProspectProfile.aspx?pid=13631814" TargetMode="External"/><Relationship Id="rId205" Type="http://schemas.openxmlformats.org/officeDocument/2006/relationships/hyperlink" Target="https://www.whatifsports.com/hbd/Pages/Popups/ProspectProfile.aspx?pid=13631516" TargetMode="External"/><Relationship Id="rId247" Type="http://schemas.openxmlformats.org/officeDocument/2006/relationships/hyperlink" Target="https://www.whatifsports.com/hbd/Pages/Popups/ProspectProfile.aspx?pid=13631605" TargetMode="External"/><Relationship Id="rId412" Type="http://schemas.openxmlformats.org/officeDocument/2006/relationships/hyperlink" Target="https://www.whatifsports.com/hbd/Pages/Popups/ProspectProfile.aspx?pid=13631516" TargetMode="External"/><Relationship Id="rId107" Type="http://schemas.openxmlformats.org/officeDocument/2006/relationships/hyperlink" Target="https://www.whatifsports.com/hbd/Pages/Popups/ProspectProfile.aspx?pid=13631989" TargetMode="External"/><Relationship Id="rId289" Type="http://schemas.openxmlformats.org/officeDocument/2006/relationships/hyperlink" Target="https://www.whatifsports.com/hbd/Pages/Popups/ProspectProfile.aspx?pid=13631972" TargetMode="External"/><Relationship Id="rId11" Type="http://schemas.openxmlformats.org/officeDocument/2006/relationships/hyperlink" Target="https://www.whatifsports.com/hbd/Pages/Popups/ProspectProfile.aspx?pid=13631732" TargetMode="External"/><Relationship Id="rId53" Type="http://schemas.openxmlformats.org/officeDocument/2006/relationships/hyperlink" Target="https://www.whatifsports.com/hbd/Pages/Popups/ProspectProfile.aspx?pid=13631674" TargetMode="External"/><Relationship Id="rId149" Type="http://schemas.openxmlformats.org/officeDocument/2006/relationships/hyperlink" Target="https://www.whatifsports.com/hbd/Pages/Popups/ProspectProfile.aspx?pid=13631389" TargetMode="External"/><Relationship Id="rId314" Type="http://schemas.openxmlformats.org/officeDocument/2006/relationships/hyperlink" Target="https://www.whatifsports.com/hbd/Pages/Popups/ProspectProfile.aspx?pid=13631989" TargetMode="External"/><Relationship Id="rId356" Type="http://schemas.openxmlformats.org/officeDocument/2006/relationships/hyperlink" Target="https://www.whatifsports.com/hbd/Pages/Popups/ProspectProfile.aspx?pid=13631389" TargetMode="External"/><Relationship Id="rId398" Type="http://schemas.openxmlformats.org/officeDocument/2006/relationships/hyperlink" Target="https://www.whatifsports.com/hbd/Pages/Popups/ProspectProfile.aspx?pid=13631814" TargetMode="External"/><Relationship Id="rId95" Type="http://schemas.openxmlformats.org/officeDocument/2006/relationships/hyperlink" Target="https://www.whatifsports.com/hbd/Pages/Popups/ProspectProfile.aspx?pid=13632022" TargetMode="External"/><Relationship Id="rId160" Type="http://schemas.openxmlformats.org/officeDocument/2006/relationships/hyperlink" Target="https://www.whatifsports.com/hbd/Pages/Popups/ProspectProfile.aspx?pid=13631863" TargetMode="External"/><Relationship Id="rId216" Type="http://schemas.openxmlformats.org/officeDocument/2006/relationships/hyperlink" Target="https://www.whatifsports.com/hbd/Pages/Popups/ProspectProfile.aspx?pid=13632168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whatifsports.com/hbd/Pages/Popups/ProspectProfile.aspx?pid=13632186" TargetMode="External"/><Relationship Id="rId21" Type="http://schemas.openxmlformats.org/officeDocument/2006/relationships/hyperlink" Target="https://www.whatifsports.com/hbd/Pages/Popups/ProspectProfile.aspx?pid=13631505" TargetMode="External"/><Relationship Id="rId42" Type="http://schemas.openxmlformats.org/officeDocument/2006/relationships/hyperlink" Target="https://www.whatifsports.com/hbd/Pages/Popups/ProspectProfile.aspx?pid=13631678" TargetMode="External"/><Relationship Id="rId63" Type="http://schemas.openxmlformats.org/officeDocument/2006/relationships/hyperlink" Target="https://www.whatifsports.com/hbd/Pages/Popups/ProspectProfile.aspx?pid=13631701" TargetMode="External"/><Relationship Id="rId84" Type="http://schemas.openxmlformats.org/officeDocument/2006/relationships/hyperlink" Target="https://www.whatifsports.com/hbd/Pages/Popups/ProspectProfile.aspx?pid=13631478" TargetMode="External"/><Relationship Id="rId138" Type="http://schemas.openxmlformats.org/officeDocument/2006/relationships/hyperlink" Target="https://www.whatifsports.com/hbd/Pages/Popups/ProspectProfile.aspx?pid=13632058" TargetMode="External"/><Relationship Id="rId159" Type="http://schemas.openxmlformats.org/officeDocument/2006/relationships/hyperlink" Target="https://www.whatifsports.com/hbd/Pages/Popups/ProspectProfile.aspx?pid=13631996" TargetMode="External"/><Relationship Id="rId170" Type="http://schemas.openxmlformats.org/officeDocument/2006/relationships/hyperlink" Target="https://www.whatifsports.com/hbd/Pages/Popups/ProspectProfile.aspx?pid=13631914" TargetMode="External"/><Relationship Id="rId191" Type="http://schemas.openxmlformats.org/officeDocument/2006/relationships/hyperlink" Target="https://www.whatifsports.com/hbd/Pages/Popups/ProspectProfile.aspx?pid=13631814" TargetMode="External"/><Relationship Id="rId205" Type="http://schemas.openxmlformats.org/officeDocument/2006/relationships/hyperlink" Target="https://www.whatifsports.com/hbd/Pages/Popups/ProspectProfile.aspx?pid=13631516" TargetMode="External"/><Relationship Id="rId16" Type="http://schemas.openxmlformats.org/officeDocument/2006/relationships/hyperlink" Target="https://www.whatifsports.com/hbd/Pages/Popups/ProspectProfile.aspx?pid=13631433" TargetMode="External"/><Relationship Id="rId107" Type="http://schemas.openxmlformats.org/officeDocument/2006/relationships/hyperlink" Target="https://www.whatifsports.com/hbd/Pages/Popups/ProspectProfile.aspx?pid=13631989" TargetMode="External"/><Relationship Id="rId11" Type="http://schemas.openxmlformats.org/officeDocument/2006/relationships/hyperlink" Target="https://www.whatifsports.com/hbd/Pages/Popups/ProspectProfile.aspx?pid=13631732" TargetMode="External"/><Relationship Id="rId32" Type="http://schemas.openxmlformats.org/officeDocument/2006/relationships/hyperlink" Target="https://www.whatifsports.com/hbd/Pages/Popups/ProspectProfile.aspx?pid=13631551" TargetMode="External"/><Relationship Id="rId37" Type="http://schemas.openxmlformats.org/officeDocument/2006/relationships/hyperlink" Target="https://www.whatifsports.com/hbd/Pages/Popups/ProspectProfile.aspx?pid=13631617" TargetMode="External"/><Relationship Id="rId53" Type="http://schemas.openxmlformats.org/officeDocument/2006/relationships/hyperlink" Target="https://www.whatifsports.com/hbd/Pages/Popups/ProspectProfile.aspx?pid=13631674" TargetMode="External"/><Relationship Id="rId58" Type="http://schemas.openxmlformats.org/officeDocument/2006/relationships/hyperlink" Target="https://www.whatifsports.com/hbd/Pages/Popups/ProspectProfile.aspx?pid=13632169" TargetMode="External"/><Relationship Id="rId74" Type="http://schemas.openxmlformats.org/officeDocument/2006/relationships/hyperlink" Target="https://www.whatifsports.com/hbd/Pages/Popups/ProspectProfile.aspx?pid=13631585" TargetMode="External"/><Relationship Id="rId79" Type="http://schemas.openxmlformats.org/officeDocument/2006/relationships/hyperlink" Target="https://www.whatifsports.com/hbd/Pages/Popups/ProspectProfile.aspx?pid=13631484" TargetMode="External"/><Relationship Id="rId102" Type="http://schemas.openxmlformats.org/officeDocument/2006/relationships/hyperlink" Target="https://www.whatifsports.com/hbd/Pages/Popups/ProspectProfile.aspx?pid=13631874" TargetMode="External"/><Relationship Id="rId123" Type="http://schemas.openxmlformats.org/officeDocument/2006/relationships/hyperlink" Target="https://www.whatifsports.com/hbd/Pages/Popups/ProspectProfile.aspx?pid=13632055" TargetMode="External"/><Relationship Id="rId128" Type="http://schemas.openxmlformats.org/officeDocument/2006/relationships/hyperlink" Target="https://www.whatifsports.com/hbd/Pages/Popups/ProspectProfile.aspx?pid=13632071" TargetMode="External"/><Relationship Id="rId144" Type="http://schemas.openxmlformats.org/officeDocument/2006/relationships/hyperlink" Target="https://www.whatifsports.com/hbd/Pages/Popups/ProspectProfile.aspx?pid=13631796" TargetMode="External"/><Relationship Id="rId149" Type="http://schemas.openxmlformats.org/officeDocument/2006/relationships/hyperlink" Target="https://www.whatifsports.com/hbd/Pages/Popups/ProspectProfile.aspx?pid=13631389" TargetMode="External"/><Relationship Id="rId5" Type="http://schemas.openxmlformats.org/officeDocument/2006/relationships/hyperlink" Target="https://www.whatifsports.com/hbd/Pages/GM/AmateurDraftPlayerPool.aspx" TargetMode="External"/><Relationship Id="rId90" Type="http://schemas.openxmlformats.org/officeDocument/2006/relationships/hyperlink" Target="https://www.whatifsports.com/hbd/Pages/Popups/ProspectProfile.aspx?pid=13631731" TargetMode="External"/><Relationship Id="rId95" Type="http://schemas.openxmlformats.org/officeDocument/2006/relationships/hyperlink" Target="https://www.whatifsports.com/hbd/Pages/Popups/ProspectProfile.aspx?pid=13632022" TargetMode="External"/><Relationship Id="rId160" Type="http://schemas.openxmlformats.org/officeDocument/2006/relationships/hyperlink" Target="https://www.whatifsports.com/hbd/Pages/Popups/ProspectProfile.aspx?pid=13631863" TargetMode="External"/><Relationship Id="rId165" Type="http://schemas.openxmlformats.org/officeDocument/2006/relationships/hyperlink" Target="https://www.whatifsports.com/hbd/Pages/Popups/ProspectProfile.aspx?pid=13631871" TargetMode="External"/><Relationship Id="rId181" Type="http://schemas.openxmlformats.org/officeDocument/2006/relationships/hyperlink" Target="https://www.whatifsports.com/hbd/Pages/Popups/ProspectProfile.aspx?pid=13631703" TargetMode="External"/><Relationship Id="rId186" Type="http://schemas.openxmlformats.org/officeDocument/2006/relationships/hyperlink" Target="https://www.whatifsports.com/hbd/Pages/Popups/ProspectProfile.aspx?pid=13631636" TargetMode="External"/><Relationship Id="rId22" Type="http://schemas.openxmlformats.org/officeDocument/2006/relationships/hyperlink" Target="https://www.whatifsports.com/hbd/Pages/Popups/ProspectProfile.aspx?pid=13632233" TargetMode="External"/><Relationship Id="rId27" Type="http://schemas.openxmlformats.org/officeDocument/2006/relationships/hyperlink" Target="https://www.whatifsports.com/hbd/Pages/Popups/ProspectProfile.aspx?pid=13631677" TargetMode="External"/><Relationship Id="rId43" Type="http://schemas.openxmlformats.org/officeDocument/2006/relationships/hyperlink" Target="https://www.whatifsports.com/hbd/Pages/Popups/ProspectProfile.aspx?pid=13632197" TargetMode="External"/><Relationship Id="rId48" Type="http://schemas.openxmlformats.org/officeDocument/2006/relationships/hyperlink" Target="https://www.whatifsports.com/hbd/Pages/Popups/ProspectProfile.aspx?pid=13631833" TargetMode="External"/><Relationship Id="rId64" Type="http://schemas.openxmlformats.org/officeDocument/2006/relationships/hyperlink" Target="https://www.whatifsports.com/hbd/Pages/Popups/ProspectProfile.aspx?pid=13631541" TargetMode="External"/><Relationship Id="rId69" Type="http://schemas.openxmlformats.org/officeDocument/2006/relationships/hyperlink" Target="https://www.whatifsports.com/hbd/Pages/Popups/ProspectProfile.aspx?pid=13632035" TargetMode="External"/><Relationship Id="rId113" Type="http://schemas.openxmlformats.org/officeDocument/2006/relationships/hyperlink" Target="https://www.whatifsports.com/hbd/Pages/Popups/ProspectProfile.aspx?pid=13631904" TargetMode="External"/><Relationship Id="rId118" Type="http://schemas.openxmlformats.org/officeDocument/2006/relationships/hyperlink" Target="https://www.whatifsports.com/hbd/Pages/Popups/ProspectProfile.aspx?pid=13632149" TargetMode="External"/><Relationship Id="rId134" Type="http://schemas.openxmlformats.org/officeDocument/2006/relationships/hyperlink" Target="https://www.whatifsports.com/hbd/Pages/Popups/ProspectProfile.aspx?pid=13631650" TargetMode="External"/><Relationship Id="rId139" Type="http://schemas.openxmlformats.org/officeDocument/2006/relationships/hyperlink" Target="https://www.whatifsports.com/hbd/Pages/Popups/ProspectProfile.aspx?pid=13632048" TargetMode="External"/><Relationship Id="rId80" Type="http://schemas.openxmlformats.org/officeDocument/2006/relationships/hyperlink" Target="https://www.whatifsports.com/hbd/Pages/Popups/ProspectProfile.aspx?pid=13632075" TargetMode="External"/><Relationship Id="rId85" Type="http://schemas.openxmlformats.org/officeDocument/2006/relationships/hyperlink" Target="https://www.whatifsports.com/hbd/Pages/Popups/ProspectProfile.aspx?pid=13632160" TargetMode="External"/><Relationship Id="rId150" Type="http://schemas.openxmlformats.org/officeDocument/2006/relationships/hyperlink" Target="https://www.whatifsports.com/hbd/Pages/Popups/ProspectProfile.aspx?pid=13632013" TargetMode="External"/><Relationship Id="rId155" Type="http://schemas.openxmlformats.org/officeDocument/2006/relationships/hyperlink" Target="https://www.whatifsports.com/hbd/Pages/Popups/ProspectProfile.aspx?pid=13632156" TargetMode="External"/><Relationship Id="rId171" Type="http://schemas.openxmlformats.org/officeDocument/2006/relationships/hyperlink" Target="https://www.whatifsports.com/hbd/Pages/Popups/ProspectProfile.aspx?pid=13632023" TargetMode="External"/><Relationship Id="rId176" Type="http://schemas.openxmlformats.org/officeDocument/2006/relationships/hyperlink" Target="https://www.whatifsports.com/hbd/Pages/Popups/ProspectProfile.aspx?pid=13631576" TargetMode="External"/><Relationship Id="rId192" Type="http://schemas.openxmlformats.org/officeDocument/2006/relationships/hyperlink" Target="https://www.whatifsports.com/hbd/Pages/Popups/ProspectProfile.aspx?pid=13631803" TargetMode="External"/><Relationship Id="rId197" Type="http://schemas.openxmlformats.org/officeDocument/2006/relationships/hyperlink" Target="https://www.whatifsports.com/hbd/Pages/Popups/ProspectProfile.aspx?pid=13631762" TargetMode="External"/><Relationship Id="rId206" Type="http://schemas.openxmlformats.org/officeDocument/2006/relationships/hyperlink" Target="https://www.whatifsports.com/hbd/Pages/Popups/ProspectProfile.aspx?pid=13631514" TargetMode="External"/><Relationship Id="rId201" Type="http://schemas.openxmlformats.org/officeDocument/2006/relationships/hyperlink" Target="https://www.whatifsports.com/hbd/Pages/Popups/ProspectProfile.aspx?pid=13631742" TargetMode="External"/><Relationship Id="rId12" Type="http://schemas.openxmlformats.org/officeDocument/2006/relationships/hyperlink" Target="https://www.whatifsports.com/hbd/Pages/Popups/ProspectProfile.aspx?pid=13632232" TargetMode="External"/><Relationship Id="rId17" Type="http://schemas.openxmlformats.org/officeDocument/2006/relationships/hyperlink" Target="https://www.whatifsports.com/hbd/Pages/Popups/ProspectProfile.aspx?pid=13632211" TargetMode="External"/><Relationship Id="rId33" Type="http://schemas.openxmlformats.org/officeDocument/2006/relationships/hyperlink" Target="https://www.whatifsports.com/hbd/Pages/Popups/ProspectProfile.aspx?pid=13631767" TargetMode="External"/><Relationship Id="rId38" Type="http://schemas.openxmlformats.org/officeDocument/2006/relationships/hyperlink" Target="https://www.whatifsports.com/hbd/Pages/Popups/ProspectProfile.aspx?pid=13631507" TargetMode="External"/><Relationship Id="rId59" Type="http://schemas.openxmlformats.org/officeDocument/2006/relationships/hyperlink" Target="https://www.whatifsports.com/hbd/Pages/Popups/ProspectProfile.aspx?pid=13632143" TargetMode="External"/><Relationship Id="rId103" Type="http://schemas.openxmlformats.org/officeDocument/2006/relationships/hyperlink" Target="https://www.whatifsports.com/hbd/Pages/Popups/ProspectProfile.aspx?pid=13631457" TargetMode="External"/><Relationship Id="rId108" Type="http://schemas.openxmlformats.org/officeDocument/2006/relationships/hyperlink" Target="https://www.whatifsports.com/hbd/Pages/Popups/ProspectProfile.aspx?pid=13631916" TargetMode="External"/><Relationship Id="rId124" Type="http://schemas.openxmlformats.org/officeDocument/2006/relationships/hyperlink" Target="https://www.whatifsports.com/hbd/Pages/Popups/ProspectProfile.aspx?pid=13632036" TargetMode="External"/><Relationship Id="rId129" Type="http://schemas.openxmlformats.org/officeDocument/2006/relationships/hyperlink" Target="https://www.whatifsports.com/hbd/Pages/Popups/ProspectProfile.aspx?pid=13631926" TargetMode="External"/><Relationship Id="rId54" Type="http://schemas.openxmlformats.org/officeDocument/2006/relationships/hyperlink" Target="https://www.whatifsports.com/hbd/Pages/Popups/ProspectProfile.aspx?pid=13631497" TargetMode="External"/><Relationship Id="rId70" Type="http://schemas.openxmlformats.org/officeDocument/2006/relationships/hyperlink" Target="https://www.whatifsports.com/hbd/Pages/Popups/ProspectProfile.aspx?pid=13632066" TargetMode="External"/><Relationship Id="rId75" Type="http://schemas.openxmlformats.org/officeDocument/2006/relationships/hyperlink" Target="https://www.whatifsports.com/hbd/Pages/Popups/ProspectProfile.aspx?pid=13631409" TargetMode="External"/><Relationship Id="rId91" Type="http://schemas.openxmlformats.org/officeDocument/2006/relationships/hyperlink" Target="https://www.whatifsports.com/hbd/Pages/Popups/ProspectProfile.aspx?pid=13631583" TargetMode="External"/><Relationship Id="rId96" Type="http://schemas.openxmlformats.org/officeDocument/2006/relationships/hyperlink" Target="https://www.whatifsports.com/hbd/Pages/Popups/ProspectProfile.aspx?pid=13631584" TargetMode="External"/><Relationship Id="rId140" Type="http://schemas.openxmlformats.org/officeDocument/2006/relationships/hyperlink" Target="https://www.whatifsports.com/hbd/Pages/Popups/ProspectProfile.aspx?pid=13631952" TargetMode="External"/><Relationship Id="rId145" Type="http://schemas.openxmlformats.org/officeDocument/2006/relationships/hyperlink" Target="https://www.whatifsports.com/hbd/Pages/Popups/ProspectProfile.aspx?pid=13631713" TargetMode="External"/><Relationship Id="rId161" Type="http://schemas.openxmlformats.org/officeDocument/2006/relationships/hyperlink" Target="https://www.whatifsports.com/hbd/Pages/Popups/ProspectProfile.aspx?pid=13631680" TargetMode="External"/><Relationship Id="rId166" Type="http://schemas.openxmlformats.org/officeDocument/2006/relationships/hyperlink" Target="https://www.whatifsports.com/hbd/Pages/Popups/ProspectProfile.aspx?pid=13631808" TargetMode="External"/><Relationship Id="rId182" Type="http://schemas.openxmlformats.org/officeDocument/2006/relationships/hyperlink" Target="https://www.whatifsports.com/hbd/Pages/Popups/ProspectProfile.aspx?pid=13631610" TargetMode="External"/><Relationship Id="rId187" Type="http://schemas.openxmlformats.org/officeDocument/2006/relationships/hyperlink" Target="https://www.whatifsports.com/hbd/Pages/Popups/ProspectProfile.aspx?pid=13631844" TargetMode="External"/><Relationship Id="rId1" Type="http://schemas.openxmlformats.org/officeDocument/2006/relationships/hyperlink" Target="https://www.whatifsports.com/hbd/Pages/GM/AmateurDraftPlayerPool.aspx" TargetMode="External"/><Relationship Id="rId6" Type="http://schemas.openxmlformats.org/officeDocument/2006/relationships/hyperlink" Target="https://www.whatifsports.com/hbd/Pages/GM/AmateurDraftPlayerPool.aspx" TargetMode="External"/><Relationship Id="rId23" Type="http://schemas.openxmlformats.org/officeDocument/2006/relationships/hyperlink" Target="https://www.whatifsports.com/hbd/Pages/Popups/ProspectProfile.aspx?pid=13632194" TargetMode="External"/><Relationship Id="rId28" Type="http://schemas.openxmlformats.org/officeDocument/2006/relationships/hyperlink" Target="https://www.whatifsports.com/hbd/Pages/Popups/ProspectProfile.aspx?pid=13632237" TargetMode="External"/><Relationship Id="rId49" Type="http://schemas.openxmlformats.org/officeDocument/2006/relationships/hyperlink" Target="https://www.whatifsports.com/hbd/Pages/Popups/ProspectProfile.aspx?pid=13631673" TargetMode="External"/><Relationship Id="rId114" Type="http://schemas.openxmlformats.org/officeDocument/2006/relationships/hyperlink" Target="https://www.whatifsports.com/hbd/Pages/Popups/ProspectProfile.aspx?pid=13631468" TargetMode="External"/><Relationship Id="rId119" Type="http://schemas.openxmlformats.org/officeDocument/2006/relationships/hyperlink" Target="https://www.whatifsports.com/hbd/Pages/Popups/ProspectProfile.aspx?pid=13632019" TargetMode="External"/><Relationship Id="rId44" Type="http://schemas.openxmlformats.org/officeDocument/2006/relationships/hyperlink" Target="https://www.whatifsports.com/hbd/Pages/Popups/ProspectProfile.aspx?pid=13632178" TargetMode="External"/><Relationship Id="rId60" Type="http://schemas.openxmlformats.org/officeDocument/2006/relationships/hyperlink" Target="https://www.whatifsports.com/hbd/Pages/Popups/ProspectProfile.aspx?pid=13631900" TargetMode="External"/><Relationship Id="rId65" Type="http://schemas.openxmlformats.org/officeDocument/2006/relationships/hyperlink" Target="https://www.whatifsports.com/hbd/Pages/Popups/ProspectProfile.aspx?pid=13631579" TargetMode="External"/><Relationship Id="rId81" Type="http://schemas.openxmlformats.org/officeDocument/2006/relationships/hyperlink" Target="https://www.whatifsports.com/hbd/Pages/Popups/ProspectProfile.aspx?pid=13631977" TargetMode="External"/><Relationship Id="rId86" Type="http://schemas.openxmlformats.org/officeDocument/2006/relationships/hyperlink" Target="https://www.whatifsports.com/hbd/Pages/Popups/ProspectProfile.aspx?pid=13631835" TargetMode="External"/><Relationship Id="rId130" Type="http://schemas.openxmlformats.org/officeDocument/2006/relationships/hyperlink" Target="https://www.whatifsports.com/hbd/Pages/Popups/ProspectProfile.aspx?pid=13631698" TargetMode="External"/><Relationship Id="rId135" Type="http://schemas.openxmlformats.org/officeDocument/2006/relationships/hyperlink" Target="https://www.whatifsports.com/hbd/Pages/Popups/ProspectProfile.aspx?pid=13631565" TargetMode="External"/><Relationship Id="rId151" Type="http://schemas.openxmlformats.org/officeDocument/2006/relationships/hyperlink" Target="https://www.whatifsports.com/hbd/Pages/Popups/ProspectProfile.aspx?pid=13632078" TargetMode="External"/><Relationship Id="rId156" Type="http://schemas.openxmlformats.org/officeDocument/2006/relationships/hyperlink" Target="https://www.whatifsports.com/hbd/Pages/Popups/ProspectProfile.aspx?pid=13631642" TargetMode="External"/><Relationship Id="rId177" Type="http://schemas.openxmlformats.org/officeDocument/2006/relationships/hyperlink" Target="https://www.whatifsports.com/hbd/Pages/Popups/ProspectProfile.aspx?pid=13631939" TargetMode="External"/><Relationship Id="rId198" Type="http://schemas.openxmlformats.org/officeDocument/2006/relationships/hyperlink" Target="https://www.whatifsports.com/hbd/Pages/Popups/ProspectProfile.aspx?pid=13631752" TargetMode="External"/><Relationship Id="rId172" Type="http://schemas.openxmlformats.org/officeDocument/2006/relationships/hyperlink" Target="https://www.whatifsports.com/hbd/Pages/Popups/ProspectProfile.aspx?pid=13631860" TargetMode="External"/><Relationship Id="rId193" Type="http://schemas.openxmlformats.org/officeDocument/2006/relationships/hyperlink" Target="https://www.whatifsports.com/hbd/Pages/Popups/ProspectProfile.aspx?pid=13631792" TargetMode="External"/><Relationship Id="rId202" Type="http://schemas.openxmlformats.org/officeDocument/2006/relationships/hyperlink" Target="https://www.whatifsports.com/hbd/Pages/Popups/ProspectProfile.aspx?pid=13631648" TargetMode="External"/><Relationship Id="rId207" Type="http://schemas.openxmlformats.org/officeDocument/2006/relationships/hyperlink" Target="https://www.whatifsports.com/hbd/Pages/Popups/ProspectProfile.aspx?pid=13631406" TargetMode="External"/><Relationship Id="rId13" Type="http://schemas.openxmlformats.org/officeDocument/2006/relationships/hyperlink" Target="https://www.whatifsports.com/hbd/Pages/Popups/ProspectProfile.aspx?pid=13632221" TargetMode="External"/><Relationship Id="rId18" Type="http://schemas.openxmlformats.org/officeDocument/2006/relationships/hyperlink" Target="https://www.whatifsports.com/hbd/Pages/Popups/ProspectProfile.aspx?pid=13631772" TargetMode="External"/><Relationship Id="rId39" Type="http://schemas.openxmlformats.org/officeDocument/2006/relationships/hyperlink" Target="https://www.whatifsports.com/hbd/Pages/Popups/ProspectProfile.aspx?pid=13632207" TargetMode="External"/><Relationship Id="rId109" Type="http://schemas.openxmlformats.org/officeDocument/2006/relationships/hyperlink" Target="https://www.whatifsports.com/hbd/Pages/Popups/ProspectProfile.aspx?pid=13631716" TargetMode="External"/><Relationship Id="rId34" Type="http://schemas.openxmlformats.org/officeDocument/2006/relationships/hyperlink" Target="https://www.whatifsports.com/hbd/Pages/Popups/ProspectProfile.aspx?pid=13631591" TargetMode="External"/><Relationship Id="rId50" Type="http://schemas.openxmlformats.org/officeDocument/2006/relationships/hyperlink" Target="https://www.whatifsports.com/hbd/Pages/Popups/ProspectProfile.aspx?pid=13631454" TargetMode="External"/><Relationship Id="rId55" Type="http://schemas.openxmlformats.org/officeDocument/2006/relationships/hyperlink" Target="https://www.whatifsports.com/hbd/Pages/Popups/ProspectProfile.aspx?pid=13631429" TargetMode="External"/><Relationship Id="rId76" Type="http://schemas.openxmlformats.org/officeDocument/2006/relationships/hyperlink" Target="https://www.whatifsports.com/hbd/Pages/Popups/ProspectProfile.aspx?pid=13631852" TargetMode="External"/><Relationship Id="rId97" Type="http://schemas.openxmlformats.org/officeDocument/2006/relationships/hyperlink" Target="https://www.whatifsports.com/hbd/Pages/Popups/ProspectProfile.aspx?pid=13631555" TargetMode="External"/><Relationship Id="rId104" Type="http://schemas.openxmlformats.org/officeDocument/2006/relationships/hyperlink" Target="https://www.whatifsports.com/hbd/Pages/Popups/ProspectProfile.aspx?pid=13631635" TargetMode="External"/><Relationship Id="rId120" Type="http://schemas.openxmlformats.org/officeDocument/2006/relationships/hyperlink" Target="https://www.whatifsports.com/hbd/Pages/Popups/ProspectProfile.aspx?pid=13631836" TargetMode="External"/><Relationship Id="rId125" Type="http://schemas.openxmlformats.org/officeDocument/2006/relationships/hyperlink" Target="https://www.whatifsports.com/hbd/Pages/Popups/ProspectProfile.aspx?pid=13631991" TargetMode="External"/><Relationship Id="rId141" Type="http://schemas.openxmlformats.org/officeDocument/2006/relationships/hyperlink" Target="https://www.whatifsports.com/hbd/Pages/Popups/ProspectProfile.aspx?pid=13631896" TargetMode="External"/><Relationship Id="rId146" Type="http://schemas.openxmlformats.org/officeDocument/2006/relationships/hyperlink" Target="https://www.whatifsports.com/hbd/Pages/Popups/ProspectProfile.aspx?pid=13631560" TargetMode="External"/><Relationship Id="rId167" Type="http://schemas.openxmlformats.org/officeDocument/2006/relationships/hyperlink" Target="https://www.whatifsports.com/hbd/Pages/Popups/ProspectProfile.aspx?pid=13631601" TargetMode="External"/><Relationship Id="rId188" Type="http://schemas.openxmlformats.org/officeDocument/2006/relationships/hyperlink" Target="https://www.whatifsports.com/hbd/Pages/Popups/ProspectProfile.aspx?pid=13631775" TargetMode="External"/><Relationship Id="rId7" Type="http://schemas.openxmlformats.org/officeDocument/2006/relationships/hyperlink" Target="https://www.whatifsports.com/hbd/Pages/Popups/ProspectProfile.aspx?pid=13631431" TargetMode="External"/><Relationship Id="rId71" Type="http://schemas.openxmlformats.org/officeDocument/2006/relationships/hyperlink" Target="https://www.whatifsports.com/hbd/Pages/Popups/ProspectProfile.aspx?pid=13632052" TargetMode="External"/><Relationship Id="rId92" Type="http://schemas.openxmlformats.org/officeDocument/2006/relationships/hyperlink" Target="https://www.whatifsports.com/hbd/Pages/Popups/ProspectProfile.aspx?pid=13631482" TargetMode="External"/><Relationship Id="rId162" Type="http://schemas.openxmlformats.org/officeDocument/2006/relationships/hyperlink" Target="https://www.whatifsports.com/hbd/Pages/Popups/ProspectProfile.aspx?pid=13631630" TargetMode="External"/><Relationship Id="rId183" Type="http://schemas.openxmlformats.org/officeDocument/2006/relationships/hyperlink" Target="https://www.whatifsports.com/hbd/Pages/Popups/ProspectProfile.aspx?pid=13631963" TargetMode="External"/><Relationship Id="rId2" Type="http://schemas.openxmlformats.org/officeDocument/2006/relationships/hyperlink" Target="https://www.whatifsports.com/hbd/Pages/GM/AmateurDraftPlayerPool.aspx" TargetMode="External"/><Relationship Id="rId29" Type="http://schemas.openxmlformats.org/officeDocument/2006/relationships/hyperlink" Target="https://www.whatifsports.com/hbd/Pages/Popups/ProspectProfile.aspx?pid=13632234" TargetMode="External"/><Relationship Id="rId24" Type="http://schemas.openxmlformats.org/officeDocument/2006/relationships/hyperlink" Target="https://www.whatifsports.com/hbd/Pages/Popups/ProspectProfile.aspx?pid=13631607" TargetMode="External"/><Relationship Id="rId40" Type="http://schemas.openxmlformats.org/officeDocument/2006/relationships/hyperlink" Target="https://www.whatifsports.com/hbd/Pages/Popups/ProspectProfile.aspx?pid=13631605" TargetMode="External"/><Relationship Id="rId45" Type="http://schemas.openxmlformats.org/officeDocument/2006/relationships/hyperlink" Target="https://www.whatifsports.com/hbd/Pages/Popups/ProspectProfile.aspx?pid=13631839" TargetMode="External"/><Relationship Id="rId66" Type="http://schemas.openxmlformats.org/officeDocument/2006/relationships/hyperlink" Target="https://www.whatifsports.com/hbd/Pages/Popups/ProspectProfile.aspx?pid=13631552" TargetMode="External"/><Relationship Id="rId87" Type="http://schemas.openxmlformats.org/officeDocument/2006/relationships/hyperlink" Target="https://www.whatifsports.com/hbd/Pages/Popups/ProspectProfile.aspx?pid=13631567" TargetMode="External"/><Relationship Id="rId110" Type="http://schemas.openxmlformats.org/officeDocument/2006/relationships/hyperlink" Target="https://www.whatifsports.com/hbd/Pages/Popups/ProspectProfile.aspx?pid=13631471" TargetMode="External"/><Relationship Id="rId115" Type="http://schemas.openxmlformats.org/officeDocument/2006/relationships/hyperlink" Target="https://www.whatifsports.com/hbd/Pages/Popups/ProspectProfile.aspx?pid=13631453" TargetMode="External"/><Relationship Id="rId131" Type="http://schemas.openxmlformats.org/officeDocument/2006/relationships/hyperlink" Target="https://www.whatifsports.com/hbd/Pages/Popups/ProspectProfile.aspx?pid=13632164" TargetMode="External"/><Relationship Id="rId136" Type="http://schemas.openxmlformats.org/officeDocument/2006/relationships/hyperlink" Target="https://www.whatifsports.com/hbd/Pages/Popups/ProspectProfile.aspx?pid=13631391" TargetMode="External"/><Relationship Id="rId157" Type="http://schemas.openxmlformats.org/officeDocument/2006/relationships/hyperlink" Target="https://www.whatifsports.com/hbd/Pages/Popups/ProspectProfile.aspx?pid=13631885" TargetMode="External"/><Relationship Id="rId178" Type="http://schemas.openxmlformats.org/officeDocument/2006/relationships/hyperlink" Target="https://www.whatifsports.com/hbd/Pages/Popups/ProspectProfile.aspx?pid=13631853" TargetMode="External"/><Relationship Id="rId61" Type="http://schemas.openxmlformats.org/officeDocument/2006/relationships/hyperlink" Target="https://www.whatifsports.com/hbd/Pages/Popups/ProspectProfile.aspx?pid=13631768" TargetMode="External"/><Relationship Id="rId82" Type="http://schemas.openxmlformats.org/officeDocument/2006/relationships/hyperlink" Target="https://www.whatifsports.com/hbd/Pages/Popups/ProspectProfile.aspx?pid=13631972" TargetMode="External"/><Relationship Id="rId152" Type="http://schemas.openxmlformats.org/officeDocument/2006/relationships/hyperlink" Target="https://www.whatifsports.com/hbd/Pages/Popups/ProspectProfile.aspx?pid=13631910" TargetMode="External"/><Relationship Id="rId173" Type="http://schemas.openxmlformats.org/officeDocument/2006/relationships/hyperlink" Target="https://www.whatifsports.com/hbd/Pages/Popups/ProspectProfile.aspx?pid=13631526" TargetMode="External"/><Relationship Id="rId194" Type="http://schemas.openxmlformats.org/officeDocument/2006/relationships/hyperlink" Target="https://www.whatifsports.com/hbd/Pages/Popups/ProspectProfile.aspx?pid=13631791" TargetMode="External"/><Relationship Id="rId199" Type="http://schemas.openxmlformats.org/officeDocument/2006/relationships/hyperlink" Target="https://www.whatifsports.com/hbd/Pages/Popups/ProspectProfile.aspx?pid=13631802" TargetMode="External"/><Relationship Id="rId203" Type="http://schemas.openxmlformats.org/officeDocument/2006/relationships/hyperlink" Target="https://www.whatifsports.com/hbd/Pages/Popups/ProspectProfile.aspx?pid=13631532" TargetMode="External"/><Relationship Id="rId208" Type="http://schemas.openxmlformats.org/officeDocument/2006/relationships/printerSettings" Target="../printerSettings/printerSettings2.bin"/><Relationship Id="rId19" Type="http://schemas.openxmlformats.org/officeDocument/2006/relationships/hyperlink" Target="https://www.whatifsports.com/hbd/Pages/Popups/ProspectProfile.aspx?pid=13631714" TargetMode="External"/><Relationship Id="rId14" Type="http://schemas.openxmlformats.org/officeDocument/2006/relationships/hyperlink" Target="https://www.whatifsports.com/hbd/Pages/Popups/ProspectProfile.aspx?pid=13631506" TargetMode="External"/><Relationship Id="rId30" Type="http://schemas.openxmlformats.org/officeDocument/2006/relationships/hyperlink" Target="https://www.whatifsports.com/hbd/Pages/Popups/ProspectProfile.aspx?pid=13632217" TargetMode="External"/><Relationship Id="rId35" Type="http://schemas.openxmlformats.org/officeDocument/2006/relationships/hyperlink" Target="https://www.whatifsports.com/hbd/Pages/Popups/ProspectProfile.aspx?pid=13632212" TargetMode="External"/><Relationship Id="rId56" Type="http://schemas.openxmlformats.org/officeDocument/2006/relationships/hyperlink" Target="https://www.whatifsports.com/hbd/Pages/Popups/ProspectProfile.aspx?pid=13632208" TargetMode="External"/><Relationship Id="rId77" Type="http://schemas.openxmlformats.org/officeDocument/2006/relationships/hyperlink" Target="https://www.whatifsports.com/hbd/Pages/Popups/ProspectProfile.aspx?pid=13631699" TargetMode="External"/><Relationship Id="rId100" Type="http://schemas.openxmlformats.org/officeDocument/2006/relationships/hyperlink" Target="https://www.whatifsports.com/hbd/Pages/Popups/ProspectProfile.aspx?pid=13631459" TargetMode="External"/><Relationship Id="rId105" Type="http://schemas.openxmlformats.org/officeDocument/2006/relationships/hyperlink" Target="https://www.whatifsports.com/hbd/Pages/Popups/ProspectProfile.aspx?pid=13632213" TargetMode="External"/><Relationship Id="rId126" Type="http://schemas.openxmlformats.org/officeDocument/2006/relationships/hyperlink" Target="https://www.whatifsports.com/hbd/Pages/Popups/ProspectProfile.aspx?pid=13631414" TargetMode="External"/><Relationship Id="rId147" Type="http://schemas.openxmlformats.org/officeDocument/2006/relationships/hyperlink" Target="https://www.whatifsports.com/hbd/Pages/Popups/ProspectProfile.aspx?pid=13631518" TargetMode="External"/><Relationship Id="rId168" Type="http://schemas.openxmlformats.org/officeDocument/2006/relationships/hyperlink" Target="https://www.whatifsports.com/hbd/Pages/Popups/ProspectProfile.aspx?pid=13631968" TargetMode="External"/><Relationship Id="rId8" Type="http://schemas.openxmlformats.org/officeDocument/2006/relationships/hyperlink" Target="https://www.whatifsports.com/hbd/Pages/Popups/ProspectProfile.aspx?pid=13631837" TargetMode="External"/><Relationship Id="rId51" Type="http://schemas.openxmlformats.org/officeDocument/2006/relationships/hyperlink" Target="https://www.whatifsports.com/hbd/Pages/Popups/ProspectProfile.aspx?pid=13632172" TargetMode="External"/><Relationship Id="rId72" Type="http://schemas.openxmlformats.org/officeDocument/2006/relationships/hyperlink" Target="https://www.whatifsports.com/hbd/Pages/Popups/ProspectProfile.aspx?pid=13631838" TargetMode="External"/><Relationship Id="rId93" Type="http://schemas.openxmlformats.org/officeDocument/2006/relationships/hyperlink" Target="https://www.whatifsports.com/hbd/Pages/Popups/ProspectProfile.aspx?pid=13632183" TargetMode="External"/><Relationship Id="rId98" Type="http://schemas.openxmlformats.org/officeDocument/2006/relationships/hyperlink" Target="https://www.whatifsports.com/hbd/Pages/Popups/ProspectProfile.aspx?pid=13632123" TargetMode="External"/><Relationship Id="rId121" Type="http://schemas.openxmlformats.org/officeDocument/2006/relationships/hyperlink" Target="https://www.whatifsports.com/hbd/Pages/Popups/ProspectProfile.aspx?pid=13632201" TargetMode="External"/><Relationship Id="rId142" Type="http://schemas.openxmlformats.org/officeDocument/2006/relationships/hyperlink" Target="https://www.whatifsports.com/hbd/Pages/Popups/ProspectProfile.aspx?pid=13631877" TargetMode="External"/><Relationship Id="rId163" Type="http://schemas.openxmlformats.org/officeDocument/2006/relationships/hyperlink" Target="https://www.whatifsports.com/hbd/Pages/Popups/ProspectProfile.aspx?pid=13632115" TargetMode="External"/><Relationship Id="rId184" Type="http://schemas.openxmlformats.org/officeDocument/2006/relationships/hyperlink" Target="https://www.whatifsports.com/hbd/Pages/Popups/ProspectProfile.aspx?pid=13631882" TargetMode="External"/><Relationship Id="rId189" Type="http://schemas.openxmlformats.org/officeDocument/2006/relationships/hyperlink" Target="https://www.whatifsports.com/hbd/Pages/Popups/ProspectProfile.aspx?pid=13631823" TargetMode="External"/><Relationship Id="rId3" Type="http://schemas.openxmlformats.org/officeDocument/2006/relationships/hyperlink" Target="https://www.whatifsports.com/hbd/Pages/GM/AmateurDraftPlayerPool.aspx" TargetMode="External"/><Relationship Id="rId25" Type="http://schemas.openxmlformats.org/officeDocument/2006/relationships/hyperlink" Target="https://www.whatifsports.com/hbd/Pages/Popups/ProspectProfile.aspx?pid=13632223" TargetMode="External"/><Relationship Id="rId46" Type="http://schemas.openxmlformats.org/officeDocument/2006/relationships/hyperlink" Target="https://www.whatifsports.com/hbd/Pages/Popups/ProspectProfile.aspx?pid=13631730" TargetMode="External"/><Relationship Id="rId67" Type="http://schemas.openxmlformats.org/officeDocument/2006/relationships/hyperlink" Target="https://www.whatifsports.com/hbd/Pages/Popups/ProspectProfile.aspx?pid=13632224" TargetMode="External"/><Relationship Id="rId116" Type="http://schemas.openxmlformats.org/officeDocument/2006/relationships/hyperlink" Target="https://www.whatifsports.com/hbd/Pages/Popups/ProspectProfile.aspx?pid=13632204" TargetMode="External"/><Relationship Id="rId137" Type="http://schemas.openxmlformats.org/officeDocument/2006/relationships/hyperlink" Target="https://www.whatifsports.com/hbd/Pages/Popups/ProspectProfile.aspx?pid=13632116" TargetMode="External"/><Relationship Id="rId158" Type="http://schemas.openxmlformats.org/officeDocument/2006/relationships/hyperlink" Target="https://www.whatifsports.com/hbd/Pages/Popups/ProspectProfile.aspx?pid=13632029" TargetMode="External"/><Relationship Id="rId20" Type="http://schemas.openxmlformats.org/officeDocument/2006/relationships/hyperlink" Target="https://www.whatifsports.com/hbd/Pages/Popups/ProspectProfile.aspx?pid=13632205" TargetMode="External"/><Relationship Id="rId41" Type="http://schemas.openxmlformats.org/officeDocument/2006/relationships/hyperlink" Target="https://www.whatifsports.com/hbd/Pages/Popups/ProspectProfile.aspx?pid=13632229" TargetMode="External"/><Relationship Id="rId62" Type="http://schemas.openxmlformats.org/officeDocument/2006/relationships/hyperlink" Target="https://www.whatifsports.com/hbd/Pages/Popups/ProspectProfile.aspx?pid=13631725" TargetMode="External"/><Relationship Id="rId83" Type="http://schemas.openxmlformats.org/officeDocument/2006/relationships/hyperlink" Target="https://www.whatifsports.com/hbd/Pages/Popups/ProspectProfile.aspx?pid=13631946" TargetMode="External"/><Relationship Id="rId88" Type="http://schemas.openxmlformats.org/officeDocument/2006/relationships/hyperlink" Target="https://www.whatifsports.com/hbd/Pages/Popups/ProspectProfile.aspx?pid=13632099" TargetMode="External"/><Relationship Id="rId111" Type="http://schemas.openxmlformats.org/officeDocument/2006/relationships/hyperlink" Target="https://www.whatifsports.com/hbd/Pages/Popups/ProspectProfile.aspx?pid=13631437" TargetMode="External"/><Relationship Id="rId132" Type="http://schemas.openxmlformats.org/officeDocument/2006/relationships/hyperlink" Target="https://www.whatifsports.com/hbd/Pages/Popups/ProspectProfile.aspx?pid=13632113" TargetMode="External"/><Relationship Id="rId153" Type="http://schemas.openxmlformats.org/officeDocument/2006/relationships/hyperlink" Target="https://www.whatifsports.com/hbd/Pages/Popups/ProspectProfile.aspx?pid=13631448" TargetMode="External"/><Relationship Id="rId174" Type="http://schemas.openxmlformats.org/officeDocument/2006/relationships/hyperlink" Target="https://www.whatifsports.com/hbd/Pages/Popups/ProspectProfile.aspx?pid=13631876" TargetMode="External"/><Relationship Id="rId179" Type="http://schemas.openxmlformats.org/officeDocument/2006/relationships/hyperlink" Target="https://www.whatifsports.com/hbd/Pages/Popups/ProspectProfile.aspx?pid=13631913" TargetMode="External"/><Relationship Id="rId195" Type="http://schemas.openxmlformats.org/officeDocument/2006/relationships/hyperlink" Target="https://www.whatifsports.com/hbd/Pages/Popups/ProspectProfile.aspx?pid=13631789" TargetMode="External"/><Relationship Id="rId209" Type="http://schemas.openxmlformats.org/officeDocument/2006/relationships/drawing" Target="../drawings/drawing2.xml"/><Relationship Id="rId190" Type="http://schemas.openxmlformats.org/officeDocument/2006/relationships/hyperlink" Target="https://www.whatifsports.com/hbd/Pages/Popups/ProspectProfile.aspx?pid=13631818" TargetMode="External"/><Relationship Id="rId204" Type="http://schemas.openxmlformats.org/officeDocument/2006/relationships/hyperlink" Target="https://www.whatifsports.com/hbd/Pages/Popups/ProspectProfile.aspx?pid=13631531" TargetMode="External"/><Relationship Id="rId15" Type="http://schemas.openxmlformats.org/officeDocument/2006/relationships/hyperlink" Target="https://www.whatifsports.com/hbd/Pages/Popups/ProspectProfile.aspx?pid=13632238" TargetMode="External"/><Relationship Id="rId36" Type="http://schemas.openxmlformats.org/officeDocument/2006/relationships/hyperlink" Target="https://www.whatifsports.com/hbd/Pages/Popups/ProspectProfile.aspx?pid=13631672" TargetMode="External"/><Relationship Id="rId57" Type="http://schemas.openxmlformats.org/officeDocument/2006/relationships/hyperlink" Target="https://www.whatifsports.com/hbd/Pages/Popups/ProspectProfile.aspx?pid=13632206" TargetMode="External"/><Relationship Id="rId106" Type="http://schemas.openxmlformats.org/officeDocument/2006/relationships/hyperlink" Target="https://www.whatifsports.com/hbd/Pages/Popups/ProspectProfile.aspx?pid=13632131" TargetMode="External"/><Relationship Id="rId127" Type="http://schemas.openxmlformats.org/officeDocument/2006/relationships/hyperlink" Target="https://www.whatifsports.com/hbd/Pages/Popups/ProspectProfile.aspx?pid=13632107" TargetMode="External"/><Relationship Id="rId10" Type="http://schemas.openxmlformats.org/officeDocument/2006/relationships/hyperlink" Target="https://www.whatifsports.com/hbd/Pages/Popups/ProspectProfile.aspx?pid=13631500" TargetMode="External"/><Relationship Id="rId31" Type="http://schemas.openxmlformats.org/officeDocument/2006/relationships/hyperlink" Target="https://www.whatifsports.com/hbd/Pages/Popups/ProspectProfile.aspx?pid=13632171" TargetMode="External"/><Relationship Id="rId52" Type="http://schemas.openxmlformats.org/officeDocument/2006/relationships/hyperlink" Target="https://www.whatifsports.com/hbd/Pages/Popups/ProspectProfile.aspx?pid=13632087" TargetMode="External"/><Relationship Id="rId73" Type="http://schemas.openxmlformats.org/officeDocument/2006/relationships/hyperlink" Target="https://www.whatifsports.com/hbd/Pages/Popups/ProspectProfile.aspx?pid=13631718" TargetMode="External"/><Relationship Id="rId78" Type="http://schemas.openxmlformats.org/officeDocument/2006/relationships/hyperlink" Target="https://www.whatifsports.com/hbd/Pages/Popups/ProspectProfile.aspx?pid=13631667" TargetMode="External"/><Relationship Id="rId94" Type="http://schemas.openxmlformats.org/officeDocument/2006/relationships/hyperlink" Target="https://www.whatifsports.com/hbd/Pages/Popups/ProspectProfile.aspx?pid=13632084" TargetMode="External"/><Relationship Id="rId99" Type="http://schemas.openxmlformats.org/officeDocument/2006/relationships/hyperlink" Target="https://www.whatifsports.com/hbd/Pages/Popups/ProspectProfile.aspx?pid=13632104" TargetMode="External"/><Relationship Id="rId101" Type="http://schemas.openxmlformats.org/officeDocument/2006/relationships/hyperlink" Target="https://www.whatifsports.com/hbd/Pages/Popups/ProspectProfile.aspx?pid=13632001" TargetMode="External"/><Relationship Id="rId122" Type="http://schemas.openxmlformats.org/officeDocument/2006/relationships/hyperlink" Target="https://www.whatifsports.com/hbd/Pages/Popups/ProspectProfile.aspx?pid=13632085" TargetMode="External"/><Relationship Id="rId143" Type="http://schemas.openxmlformats.org/officeDocument/2006/relationships/hyperlink" Target="https://www.whatifsports.com/hbd/Pages/Popups/ProspectProfile.aspx?pid=13631875" TargetMode="External"/><Relationship Id="rId148" Type="http://schemas.openxmlformats.org/officeDocument/2006/relationships/hyperlink" Target="https://www.whatifsports.com/hbd/Pages/Popups/ProspectProfile.aspx?pid=13631435" TargetMode="External"/><Relationship Id="rId164" Type="http://schemas.openxmlformats.org/officeDocument/2006/relationships/hyperlink" Target="https://www.whatifsports.com/hbd/Pages/Popups/ProspectProfile.aspx?pid=13631994" TargetMode="External"/><Relationship Id="rId169" Type="http://schemas.openxmlformats.org/officeDocument/2006/relationships/hyperlink" Target="https://www.whatifsports.com/hbd/Pages/Popups/ProspectProfile.aspx?pid=13631945" TargetMode="External"/><Relationship Id="rId185" Type="http://schemas.openxmlformats.org/officeDocument/2006/relationships/hyperlink" Target="https://www.whatifsports.com/hbd/Pages/Popups/ProspectProfile.aspx?pid=13632154" TargetMode="External"/><Relationship Id="rId4" Type="http://schemas.openxmlformats.org/officeDocument/2006/relationships/hyperlink" Target="https://www.whatifsports.com/hbd/Pages/GM/AmateurDraftPlayerPool.aspx" TargetMode="External"/><Relationship Id="rId9" Type="http://schemas.openxmlformats.org/officeDocument/2006/relationships/hyperlink" Target="https://www.whatifsports.com/hbd/Pages/Popups/ProspectProfile.aspx?pid=13632168" TargetMode="External"/><Relationship Id="rId180" Type="http://schemas.openxmlformats.org/officeDocument/2006/relationships/hyperlink" Target="https://www.whatifsports.com/hbd/Pages/Popups/ProspectProfile.aspx?pid=13631908" TargetMode="External"/><Relationship Id="rId26" Type="http://schemas.openxmlformats.org/officeDocument/2006/relationships/hyperlink" Target="https://www.whatifsports.com/hbd/Pages/Popups/ProspectProfile.aspx?pid=13632216" TargetMode="External"/><Relationship Id="rId47" Type="http://schemas.openxmlformats.org/officeDocument/2006/relationships/hyperlink" Target="https://www.whatifsports.com/hbd/Pages/Popups/ProspectProfile.aspx?pid=13632199" TargetMode="External"/><Relationship Id="rId68" Type="http://schemas.openxmlformats.org/officeDocument/2006/relationships/hyperlink" Target="https://www.whatifsports.com/hbd/Pages/Popups/ProspectProfile.aspx?pid=13632130" TargetMode="External"/><Relationship Id="rId89" Type="http://schemas.openxmlformats.org/officeDocument/2006/relationships/hyperlink" Target="https://www.whatifsports.com/hbd/Pages/Popups/ProspectProfile.aspx?pid=13632030" TargetMode="External"/><Relationship Id="rId112" Type="http://schemas.openxmlformats.org/officeDocument/2006/relationships/hyperlink" Target="https://www.whatifsports.com/hbd/Pages/Popups/ProspectProfile.aspx?pid=13632236" TargetMode="External"/><Relationship Id="rId133" Type="http://schemas.openxmlformats.org/officeDocument/2006/relationships/hyperlink" Target="https://www.whatifsports.com/hbd/Pages/Popups/ProspectProfile.aspx?pid=13632063" TargetMode="External"/><Relationship Id="rId154" Type="http://schemas.openxmlformats.org/officeDocument/2006/relationships/hyperlink" Target="https://www.whatifsports.com/hbd/Pages/Popups/ProspectProfile.aspx?pid=13631442" TargetMode="External"/><Relationship Id="rId175" Type="http://schemas.openxmlformats.org/officeDocument/2006/relationships/hyperlink" Target="https://www.whatifsports.com/hbd/Pages/Popups/ProspectProfile.aspx?pid=13631849" TargetMode="External"/><Relationship Id="rId196" Type="http://schemas.openxmlformats.org/officeDocument/2006/relationships/hyperlink" Target="https://www.whatifsports.com/hbd/Pages/Popups/ProspectProfile.aspx?pid=13631763" TargetMode="External"/><Relationship Id="rId200" Type="http://schemas.openxmlformats.org/officeDocument/2006/relationships/hyperlink" Target="https://www.whatifsports.com/hbd/Pages/Popups/ProspectProfile.aspx?pid=13631780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06"/>
  <sheetViews>
    <sheetView tabSelected="1" workbookViewId="0">
      <pane ySplit="6" topLeftCell="A7" activePane="bottomLeft" state="frozen"/>
      <selection activeCell="N1" sqref="N1"/>
      <selection pane="bottomLeft" activeCell="AG20" sqref="AG20"/>
    </sheetView>
  </sheetViews>
  <sheetFormatPr defaultRowHeight="14.4" x14ac:dyDescent="0.3"/>
  <cols>
    <col min="1" max="1" width="12" bestFit="1" customWidth="1"/>
    <col min="2" max="2" width="5.33203125" bestFit="1" customWidth="1"/>
    <col min="3" max="3" width="19" bestFit="1" customWidth="1"/>
    <col min="4" max="4" width="4.109375" bestFit="1" customWidth="1"/>
    <col min="5" max="5" width="4.6640625" bestFit="1" customWidth="1"/>
    <col min="6" max="6" width="7.44140625" bestFit="1" customWidth="1"/>
    <col min="7" max="7" width="4.109375" bestFit="1" customWidth="1"/>
    <col min="8" max="12" width="4" bestFit="1" customWidth="1"/>
    <col min="13" max="13" width="9" bestFit="1" customWidth="1"/>
    <col min="14" max="14" width="4.6640625" bestFit="1" customWidth="1"/>
    <col min="15" max="15" width="7.6640625" bestFit="1" customWidth="1"/>
    <col min="16" max="16" width="5.6640625" bestFit="1" customWidth="1"/>
    <col min="17" max="17" width="3.5546875" bestFit="1" customWidth="1"/>
    <col min="18" max="18" width="21.5546875" bestFit="1" customWidth="1"/>
    <col min="19" max="19" width="3" bestFit="1" customWidth="1"/>
    <col min="20" max="21" width="2" bestFit="1" customWidth="1"/>
    <col min="22" max="22" width="2.6640625" bestFit="1" customWidth="1"/>
    <col min="23" max="25" width="4" bestFit="1" customWidth="1"/>
    <col min="26" max="26" width="4.109375" bestFit="1" customWidth="1"/>
    <col min="27" max="27" width="6.44140625" style="5" bestFit="1" customWidth="1"/>
    <col min="28" max="28" width="4" bestFit="1" customWidth="1"/>
    <col min="29" max="29" width="4.109375" bestFit="1" customWidth="1"/>
    <col min="30" max="30" width="4" bestFit="1" customWidth="1"/>
    <col min="31" max="31" width="5.109375" bestFit="1" customWidth="1"/>
    <col min="32" max="32" width="5.33203125" bestFit="1" customWidth="1"/>
    <col min="33" max="33" width="5.44140625" bestFit="1" customWidth="1"/>
    <col min="34" max="34" width="5.6640625" bestFit="1" customWidth="1"/>
    <col min="35" max="37" width="10" bestFit="1" customWidth="1"/>
    <col min="38" max="38" width="15.44140625" bestFit="1" customWidth="1"/>
    <col min="39" max="39" width="17.44140625" bestFit="1" customWidth="1"/>
  </cols>
  <sheetData>
    <row r="1" spans="1:39" ht="15" thickBot="1" x14ac:dyDescent="0.35">
      <c r="B1" s="2"/>
      <c r="C1" s="2"/>
      <c r="D1" s="2"/>
      <c r="E1" s="2"/>
      <c r="F1" s="2"/>
      <c r="G1" s="1">
        <v>0</v>
      </c>
      <c r="H1" s="1">
        <v>1</v>
      </c>
      <c r="I1" s="1">
        <v>2</v>
      </c>
      <c r="J1" s="1">
        <v>0.6</v>
      </c>
      <c r="K1" s="1">
        <v>0.8</v>
      </c>
      <c r="L1" s="1">
        <v>2.2000000000000002</v>
      </c>
      <c r="M1" s="8">
        <v>1</v>
      </c>
      <c r="N1" s="8">
        <v>0.2</v>
      </c>
      <c r="O1" s="1">
        <v>0.1</v>
      </c>
      <c r="P1" s="1"/>
      <c r="Q1" s="1"/>
      <c r="R1" s="1"/>
      <c r="S1" s="1"/>
      <c r="T1" s="1"/>
      <c r="U1" s="1"/>
      <c r="V1" s="1"/>
      <c r="W1" s="1">
        <v>1</v>
      </c>
      <c r="X1" s="1">
        <v>1</v>
      </c>
      <c r="Y1" s="1">
        <v>1</v>
      </c>
      <c r="Z1" s="1">
        <v>1</v>
      </c>
      <c r="AA1" s="1"/>
      <c r="AB1" s="1">
        <v>0.8</v>
      </c>
      <c r="AC1" s="1">
        <v>0.2</v>
      </c>
      <c r="AD1" s="1">
        <v>1</v>
      </c>
      <c r="AE1" s="1">
        <v>0.1</v>
      </c>
      <c r="AF1" s="1">
        <v>0.1</v>
      </c>
      <c r="AG1" s="1">
        <v>0.1</v>
      </c>
      <c r="AH1" s="1"/>
      <c r="AI1" s="22" t="s">
        <v>15</v>
      </c>
      <c r="AJ1" s="23"/>
      <c r="AK1" s="23"/>
      <c r="AL1" s="23"/>
      <c r="AM1" s="23"/>
    </row>
    <row r="2" spans="1:39" ht="15" thickBot="1" x14ac:dyDescent="0.35">
      <c r="B2" s="2"/>
      <c r="C2" s="2"/>
      <c r="D2" s="2"/>
      <c r="E2" s="2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>
        <v>0.2</v>
      </c>
      <c r="Y2" s="1">
        <v>0.5</v>
      </c>
      <c r="Z2" s="1">
        <v>0.3</v>
      </c>
      <c r="AA2" s="1">
        <v>1</v>
      </c>
      <c r="AB2" s="1"/>
      <c r="AC2" s="1"/>
      <c r="AD2" s="1"/>
      <c r="AE2" s="1"/>
      <c r="AF2" s="1"/>
      <c r="AG2" s="1"/>
      <c r="AH2" s="1"/>
    </row>
    <row r="3" spans="1:39" ht="15" thickBot="1" x14ac:dyDescent="0.35">
      <c r="B3" s="2"/>
      <c r="C3" s="2"/>
      <c r="D3" s="2"/>
      <c r="E3" s="2"/>
      <c r="F3" s="2"/>
      <c r="G3" s="1"/>
      <c r="H3" s="24">
        <v>2.5</v>
      </c>
      <c r="I3" s="26"/>
      <c r="J3" s="26"/>
      <c r="K3" s="26"/>
      <c r="L3" s="26"/>
      <c r="M3" s="26">
        <v>0.6</v>
      </c>
      <c r="N3" s="26"/>
      <c r="O3" s="25"/>
      <c r="P3" s="7"/>
      <c r="Q3" s="7"/>
      <c r="R3" s="7"/>
      <c r="S3" s="7"/>
      <c r="T3" s="7"/>
      <c r="U3" s="7"/>
      <c r="V3" s="7"/>
      <c r="W3" s="24">
        <v>2</v>
      </c>
      <c r="X3" s="26"/>
      <c r="Y3" s="26"/>
      <c r="Z3" s="26"/>
      <c r="AA3" s="25"/>
      <c r="AB3" s="24">
        <v>1</v>
      </c>
      <c r="AC3" s="25"/>
      <c r="AD3" s="24">
        <v>0.6</v>
      </c>
      <c r="AE3" s="26"/>
      <c r="AF3" s="26"/>
      <c r="AG3" s="25"/>
      <c r="AH3" s="1"/>
    </row>
    <row r="4" spans="1:39" ht="15" thickBot="1" x14ac:dyDescent="0.35">
      <c r="B4" s="2"/>
      <c r="C4" s="2"/>
      <c r="D4" s="2"/>
      <c r="E4" s="2"/>
      <c r="F4" s="2"/>
      <c r="G4" s="1"/>
      <c r="H4" s="3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3"/>
      <c r="X4" s="7"/>
      <c r="Y4" s="7"/>
      <c r="Z4" s="7"/>
      <c r="AA4" s="7"/>
      <c r="AB4" s="3"/>
      <c r="AC4" s="7"/>
      <c r="AD4" s="7"/>
      <c r="AE4" s="1"/>
      <c r="AF4" s="1"/>
      <c r="AG4" s="1"/>
      <c r="AH4" s="1"/>
      <c r="AK4" s="6"/>
    </row>
    <row r="5" spans="1:39" ht="15" thickBot="1" x14ac:dyDescent="0.35">
      <c r="A5" s="6">
        <f>(AI5*H$3+AJ5*M$3+AK5*W$3+AL5*AB$3+AM5*AD$3)*100/(AI$5*H$3+AJ$5*M$3+AK$5*W$3+AL$5*AB$3+AM$5*AD$3)</f>
        <v>100</v>
      </c>
      <c r="B5" s="2"/>
      <c r="C5" s="2"/>
      <c r="D5" s="2"/>
      <c r="E5" s="2"/>
      <c r="F5" s="2"/>
      <c r="G5" s="1"/>
      <c r="H5" s="3">
        <v>100</v>
      </c>
      <c r="I5" s="3">
        <v>100</v>
      </c>
      <c r="J5" s="3">
        <v>100</v>
      </c>
      <c r="K5" s="3">
        <v>100</v>
      </c>
      <c r="L5" s="3">
        <v>100</v>
      </c>
      <c r="M5" s="3">
        <v>100</v>
      </c>
      <c r="N5" s="3">
        <v>100</v>
      </c>
      <c r="O5" s="3">
        <v>100</v>
      </c>
      <c r="P5" s="3">
        <v>100</v>
      </c>
      <c r="Q5" s="3"/>
      <c r="R5" s="3"/>
      <c r="S5" s="3"/>
      <c r="T5" s="3"/>
      <c r="U5" s="3"/>
      <c r="V5" s="3"/>
      <c r="W5" s="3">
        <v>100</v>
      </c>
      <c r="X5" s="3">
        <v>100</v>
      </c>
      <c r="Y5" s="3">
        <v>100</v>
      </c>
      <c r="Z5" s="3">
        <v>100</v>
      </c>
      <c r="AA5" s="3">
        <v>100</v>
      </c>
      <c r="AB5" s="3">
        <v>100</v>
      </c>
      <c r="AC5" s="3">
        <v>100</v>
      </c>
      <c r="AD5" s="3">
        <v>100</v>
      </c>
      <c r="AE5" s="3">
        <v>100</v>
      </c>
      <c r="AF5" s="3">
        <v>100</v>
      </c>
      <c r="AG5" s="3">
        <v>100</v>
      </c>
      <c r="AH5" s="1"/>
      <c r="AI5" s="6">
        <f>H$1*((-2*10^-6)*H5^3+0.00032*H5^2-0.0021*H5)+I$1*((-2*10^-6)*I5^3+0.00032*I5^2-0.0021*I5)+J$1*((-2*10^-6)*J5^3+0.00032*J5^2-0.0021*J5)+K$1*((-2*10^-6)*K5^3+0.00032*K5^2-0.0021*K5)+L$1*((-2*10^-6)*L5^3+0.00032*L5^2-0.0021*L5)</f>
        <v>6.5340000000000025</v>
      </c>
      <c r="AJ5" s="6">
        <f>(M$1*M5+N$1*N5+O$1*O5)/100</f>
        <v>1.3</v>
      </c>
      <c r="AK5" s="6">
        <f>IF(AA5&gt;50,W$1*((-2*10^-6)*W5^3+0.00032*W5^2-0.0021*W5)+X$1*((-2*10^-6)*X5^3+0.00032*X5^2-0.0021*X5)+Y$1*((-2*10^-6)*Y5^3+0.00032*Y5^2-0.0021*Y5)+Z$1*((-2*10^-6)*Z5^3+0.00032*Z5^2-0.0021*Z5),X$2*((-2*10^-6)*X5^3+0.00032*X5^2-0.0021*AA5)+Y$2*((-2*10^-6)*Y5^3+0.00032*Y5^2-0.0021*Y5)+Z$2*((-2*10^-6)*Z5^3+0.00032*Z5^2-0.0021*Z5)+ AA$2*((-2*10^-6)*AA5^3+0.00032*AA5^2-0.0021*AA5))</f>
        <v>3.9600000000000009</v>
      </c>
      <c r="AL5" s="6">
        <f>(AB$1*AB5+AC$1*AC5)/100</f>
        <v>1</v>
      </c>
      <c r="AM5" s="6">
        <f>AD$1*((-2*10^-6)*AD5^3+0.00032*AD5^2-0.0021*AD5)+AE$1*((-2*10^-6)*AE5^3+0.00032*AE5^2-0.0021*AE5)+AF$1*((-2*10^-6)*AF5^3+0.00032*AF5^2-0.0021*AF5)+AG$1*((-2*10^-6)*AG5^3+0.00032*AG5^2-0.0021*AG5)</f>
        <v>1.2870000000000001</v>
      </c>
    </row>
    <row r="6" spans="1:39" ht="22.95" customHeight="1" x14ac:dyDescent="0.3">
      <c r="A6" s="6" t="s">
        <v>14</v>
      </c>
      <c r="B6" s="14" t="s">
        <v>26</v>
      </c>
      <c r="C6" s="15" t="s">
        <v>0</v>
      </c>
      <c r="D6" s="16" t="s">
        <v>1</v>
      </c>
      <c r="E6" s="16" t="s">
        <v>27</v>
      </c>
      <c r="F6" s="16" t="s">
        <v>28</v>
      </c>
      <c r="G6" s="16" t="s">
        <v>2</v>
      </c>
      <c r="H6" s="17" t="e" vm="1">
        <v>#VALUE!</v>
      </c>
      <c r="I6" s="17" t="e" vm="2">
        <v>#VALUE!</v>
      </c>
      <c r="J6" s="17" t="e" vm="3">
        <v>#VALUE!</v>
      </c>
      <c r="K6" s="17" t="e" vm="4">
        <v>#VALUE!</v>
      </c>
      <c r="L6" s="17" t="e" vm="5">
        <v>#VALUE!</v>
      </c>
      <c r="M6" s="17" t="e" vm="6">
        <v>#VALUE!</v>
      </c>
      <c r="N6" s="17" t="e" vm="7">
        <v>#VALUE!</v>
      </c>
      <c r="O6" s="17" t="e" vm="8">
        <v>#VALUE!</v>
      </c>
      <c r="P6" s="17" t="e" vm="9">
        <v>#VALUE!</v>
      </c>
      <c r="Q6" s="14" t="s">
        <v>26</v>
      </c>
      <c r="R6" s="15" t="s">
        <v>0</v>
      </c>
      <c r="S6" s="16" t="s">
        <v>1</v>
      </c>
      <c r="T6" s="16" t="s">
        <v>27</v>
      </c>
      <c r="U6" s="16" t="s">
        <v>28</v>
      </c>
      <c r="V6" s="16" t="s">
        <v>2</v>
      </c>
      <c r="W6" s="17" t="e" vm="10">
        <v>#VALUE!</v>
      </c>
      <c r="X6" s="17" t="e" vm="11">
        <v>#VALUE!</v>
      </c>
      <c r="Y6" s="17" t="e" vm="12">
        <v>#VALUE!</v>
      </c>
      <c r="Z6" s="17" t="e" vm="13">
        <v>#VALUE!</v>
      </c>
      <c r="AA6" s="17" t="e" vm="14">
        <v>#VALUE!</v>
      </c>
      <c r="AB6" s="17" t="e" vm="15">
        <v>#VALUE!</v>
      </c>
      <c r="AC6" s="17" t="e" vm="16">
        <v>#VALUE!</v>
      </c>
      <c r="AD6" s="17" t="e" vm="17">
        <v>#VALUE!</v>
      </c>
      <c r="AE6" s="17" t="e" vm="18">
        <v>#VALUE!</v>
      </c>
      <c r="AF6" s="17" t="e" vm="19">
        <v>#VALUE!</v>
      </c>
      <c r="AG6" s="17" t="e" vm="20">
        <v>#VALUE!</v>
      </c>
      <c r="AH6" s="17" t="e" vm="9">
        <v>#VALUE!</v>
      </c>
      <c r="AI6" s="6" t="s">
        <v>11</v>
      </c>
      <c r="AJ6" s="10" t="s">
        <v>22</v>
      </c>
      <c r="AK6" s="6" t="s">
        <v>12</v>
      </c>
      <c r="AL6" s="6" t="s">
        <v>13</v>
      </c>
      <c r="AM6" s="6" t="s">
        <v>23</v>
      </c>
    </row>
    <row r="7" spans="1:39" ht="15" thickBot="1" x14ac:dyDescent="0.35">
      <c r="A7" s="6">
        <f>(AI7*H$3+AJ7*M$3+AK7*W$3+AL7*AB$3+AM7*AD$3)*100/(AI$5*H$3+AJ$5*M$3+AK$5*W$3+AL$5*AB$3+AM$5*AD$3)</f>
        <v>76.925821122683445</v>
      </c>
      <c r="B7" s="18">
        <v>1</v>
      </c>
      <c r="C7" s="12" t="s">
        <v>29</v>
      </c>
      <c r="D7" s="19" t="s">
        <v>10</v>
      </c>
      <c r="E7" s="19" t="s">
        <v>21</v>
      </c>
      <c r="F7" s="19" t="s">
        <v>19</v>
      </c>
      <c r="G7" s="19">
        <v>18</v>
      </c>
      <c r="H7" s="19">
        <v>81</v>
      </c>
      <c r="I7" s="19">
        <v>91</v>
      </c>
      <c r="J7" s="19">
        <v>95</v>
      </c>
      <c r="K7" s="19">
        <v>87</v>
      </c>
      <c r="L7" s="19">
        <v>60</v>
      </c>
      <c r="M7" s="19">
        <v>71</v>
      </c>
      <c r="N7" s="19">
        <v>36</v>
      </c>
      <c r="O7" s="19">
        <v>45</v>
      </c>
      <c r="P7" s="19">
        <v>88</v>
      </c>
      <c r="Q7" s="18">
        <v>1</v>
      </c>
      <c r="R7" s="12" t="s">
        <v>29</v>
      </c>
      <c r="S7" s="19" t="s">
        <v>10</v>
      </c>
      <c r="T7" s="19" t="s">
        <v>21</v>
      </c>
      <c r="U7" s="19" t="s">
        <v>19</v>
      </c>
      <c r="V7" s="19">
        <v>18</v>
      </c>
      <c r="W7" s="19">
        <v>62</v>
      </c>
      <c r="X7" s="19">
        <v>51</v>
      </c>
      <c r="Y7" s="19">
        <v>73</v>
      </c>
      <c r="Z7" s="19">
        <v>70</v>
      </c>
      <c r="AA7" s="19">
        <v>4</v>
      </c>
      <c r="AB7" s="19">
        <v>90</v>
      </c>
      <c r="AC7" s="19">
        <v>59</v>
      </c>
      <c r="AD7" s="19">
        <v>78</v>
      </c>
      <c r="AE7" s="19">
        <v>91</v>
      </c>
      <c r="AF7" s="19">
        <v>29</v>
      </c>
      <c r="AG7" s="19">
        <v>64</v>
      </c>
      <c r="AH7" s="19">
        <v>88</v>
      </c>
      <c r="AI7" s="6">
        <f>H$1*((-2*10^-6)*H7^3+0.00032*H7^2-0.0021*H7)+I$1*((-2*10^-6)*I7^3+0.00032*I7^2-0.0021*I7)+J$1*((-2*10^-6)*J7^3+0.00032*J7^2-0.0021*J7)+K$1*((-2*10^-6)*K7^3+0.00032*K7^2-0.0021*K7)+L$1*((-2*10^-6)*L7^3+0.00032*L7^2-0.0021*L7)</f>
        <v>5.3988432000000017</v>
      </c>
      <c r="AJ7" s="6">
        <f>(M$1*M7+N$1*N7+O$1*O7)/100</f>
        <v>0.82700000000000007</v>
      </c>
      <c r="AK7" s="6">
        <f>IF(AA7&lt;50,W$1*((-2*10^-6)*W7^3+0.00032*W7^2-0.0021*W7)+X$1*((-2*10^-6)*X7^3+0.00032*X7^2-0.0021*X7)+Y$1*((-2*10^-6)*Y7^3+0.00032*Y7^2-0.0021*Y7)+Z$1*((-2*10^-6)*Z7^3+0.00032*Z7^2-0.0021*Z7),X$2*((-2*10^-6)*X7^3+0.00032*X7^2-0.0021*AA7)+Y$2*((-2*10^-6)*Y7^3+0.00032*Y7^2-0.0021*Y7)+Z$2*((-2*10^-6)*Z7^3+0.00032*Z7^2-0.0021*Z7)+ AA$2*((-2*10^-6)*AA7^3+0.00032*AA7^2-0.0021*AA7))</f>
        <v>2.5920880000000004</v>
      </c>
      <c r="AL7" s="6">
        <f>(AB$1*AB7+AC$1*AC7)/100</f>
        <v>0.83799999999999997</v>
      </c>
      <c r="AM7" s="6">
        <f>AD$1*((-2*10^-6)*AD7^3+0.00032*AD7^2-0.0021*AD7)+AE$1*((-2*10^-6)*AE7^3+0.00032*AE7^2-0.0021*AE7)+AF$1*((-2*10^-6)*AF7^3+0.00032*AF7^2-0.0021*AF7)+AG$1*((-2*10^-6)*AG7^3+0.00032*AG7^2-0.0021*AG7)</f>
        <v>1.0102912000000002</v>
      </c>
    </row>
    <row r="8" spans="1:39" ht="15" thickBot="1" x14ac:dyDescent="0.35">
      <c r="A8" s="6">
        <f>(AI8*H$3+AJ8*M$3+AK8*W$3+AL8*AB$3+AM8*AD$3)*100/(AI$5*H$3+AJ$5*M$3+AK$5*W$3+AL$5*AB$3+AM$5*AD$3)</f>
        <v>72.014497896087605</v>
      </c>
      <c r="B8" s="20">
        <v>10</v>
      </c>
      <c r="C8" s="13" t="s">
        <v>38</v>
      </c>
      <c r="D8" s="21" t="s">
        <v>10</v>
      </c>
      <c r="E8" s="21" t="s">
        <v>21</v>
      </c>
      <c r="F8" s="21" t="s">
        <v>20</v>
      </c>
      <c r="G8" s="21">
        <v>18</v>
      </c>
      <c r="H8" s="21">
        <v>62</v>
      </c>
      <c r="I8" s="21">
        <v>75</v>
      </c>
      <c r="J8" s="21">
        <v>68</v>
      </c>
      <c r="K8" s="21">
        <v>94</v>
      </c>
      <c r="L8" s="21">
        <v>72</v>
      </c>
      <c r="M8" s="21">
        <v>81</v>
      </c>
      <c r="N8" s="21">
        <v>0</v>
      </c>
      <c r="O8" s="21">
        <v>56</v>
      </c>
      <c r="P8" s="21">
        <v>77</v>
      </c>
      <c r="Q8" s="20">
        <v>10</v>
      </c>
      <c r="R8" s="13" t="s">
        <v>38</v>
      </c>
      <c r="S8" s="21" t="s">
        <v>10</v>
      </c>
      <c r="T8" s="21" t="s">
        <v>21</v>
      </c>
      <c r="U8" s="21" t="s">
        <v>20</v>
      </c>
      <c r="V8" s="21">
        <v>18</v>
      </c>
      <c r="W8" s="21">
        <v>64</v>
      </c>
      <c r="X8" s="21">
        <v>46</v>
      </c>
      <c r="Y8" s="21">
        <v>63</v>
      </c>
      <c r="Z8" s="21">
        <v>73</v>
      </c>
      <c r="AA8" s="21">
        <v>19</v>
      </c>
      <c r="AB8" s="21">
        <v>81</v>
      </c>
      <c r="AC8" s="21">
        <v>54</v>
      </c>
      <c r="AD8" s="21">
        <v>57</v>
      </c>
      <c r="AE8" s="21">
        <v>31</v>
      </c>
      <c r="AF8" s="21">
        <v>23</v>
      </c>
      <c r="AG8" s="21">
        <v>72</v>
      </c>
      <c r="AH8" s="21">
        <v>77</v>
      </c>
      <c r="AI8" s="6">
        <f>H$1*((-2*10^-6)*H8^3+0.00032*H8^2-0.0021*H8)+I$1*((-2*10^-6)*I8^3+0.00032*I8^2-0.0021*I8)+J$1*((-2*10^-6)*J8^3+0.00032*J8^2-0.0021*J8)+K$1*((-2*10^-6)*K8^3+0.00032*K8^2-0.0021*K8)+L$1*((-2*10^-6)*L8^3+0.00032*L8^2-0.0021*L8)</f>
        <v>5.0953000000000008</v>
      </c>
      <c r="AJ8" s="6">
        <f>(M$1*M8+N$1*N8+O$1*O8)/100</f>
        <v>0.86599999999999999</v>
      </c>
      <c r="AK8" s="6">
        <f>IF(AA8&lt;50,W$1*((-2*10^-6)*W8^3+0.00032*W8^2-0.0021*W8)+X$1*((-2*10^-6)*X8^3+0.00032*X8^2-0.0021*X8)+Y$1*((-2*10^-6)*Y8^3+0.00032*Y8^2-0.0021*Y8)+Z$1*((-2*10^-6)*Z8^3+0.00032*Z8^2-0.0021*Z8),X$2*((-2*10^-6)*X8^3+0.00032*X8^2-0.0021*AA8)+Y$2*((-2*10^-6)*Y8^3+0.00032*Y8^2-0.0021*Y8)+Z$2*((-2*10^-6)*Z8^3+0.00032*Z8^2-0.0021*Z8)+ AA$2*((-2*10^-6)*AA8^3+0.00032*AA8^2-0.0021*AA8))</f>
        <v>2.4495120000000008</v>
      </c>
      <c r="AL8" s="6">
        <f>(AB$1*AB8+AC$1*AC8)/100</f>
        <v>0.75599999999999989</v>
      </c>
      <c r="AM8" s="6">
        <f>AD$1*((-2*10^-6)*AD8^3+0.00032*AD8^2-0.0021*AD8)+AE$1*((-2*10^-6)*AE8^3+0.00032*AE8^2-0.0021*AE8)+AF$1*((-2*10^-6)*AF8^3+0.00032*AF8^2-0.0021*AF8)+AG$1*((-2*10^-6)*AG8^3+0.00032*AG8^2-0.0021*AG8)</f>
        <v>0.65366080000000015</v>
      </c>
    </row>
    <row r="9" spans="1:39" ht="15" thickBot="1" x14ac:dyDescent="0.35">
      <c r="A9" s="6">
        <f>(AI9*H$3+AJ9*M$3+AK9*W$3+AL9*AB$3+AM9*AD$3)*100/(AI$5*H$3+AJ$5*M$3+AK$5*W$3+AL$5*AB$3+AM$5*AD$3)</f>
        <v>70.83639126801755</v>
      </c>
      <c r="B9" s="20">
        <v>48</v>
      </c>
      <c r="C9" s="13" t="s">
        <v>76</v>
      </c>
      <c r="D9" s="21" t="s">
        <v>5</v>
      </c>
      <c r="E9" s="21" t="s">
        <v>19</v>
      </c>
      <c r="F9" s="21" t="s">
        <v>19</v>
      </c>
      <c r="G9" s="21">
        <v>21</v>
      </c>
      <c r="H9" s="21">
        <v>84</v>
      </c>
      <c r="I9" s="21">
        <v>78</v>
      </c>
      <c r="J9" s="21">
        <v>63</v>
      </c>
      <c r="K9" s="21">
        <v>56</v>
      </c>
      <c r="L9" s="21">
        <v>53</v>
      </c>
      <c r="M9" s="21">
        <v>16</v>
      </c>
      <c r="N9" s="21">
        <v>42</v>
      </c>
      <c r="O9" s="21">
        <v>62</v>
      </c>
      <c r="P9" s="21">
        <v>83</v>
      </c>
      <c r="Q9" s="20">
        <v>48</v>
      </c>
      <c r="R9" s="13" t="s">
        <v>76</v>
      </c>
      <c r="S9" s="21" t="s">
        <v>5</v>
      </c>
      <c r="T9" s="21" t="s">
        <v>19</v>
      </c>
      <c r="U9" s="21" t="s">
        <v>19</v>
      </c>
      <c r="V9" s="21">
        <v>21</v>
      </c>
      <c r="W9" s="21">
        <v>100</v>
      </c>
      <c r="X9" s="21">
        <v>58</v>
      </c>
      <c r="Y9" s="21">
        <v>64</v>
      </c>
      <c r="Z9" s="21">
        <v>79</v>
      </c>
      <c r="AA9" s="21">
        <v>1</v>
      </c>
      <c r="AB9" s="21">
        <v>100</v>
      </c>
      <c r="AC9" s="21">
        <v>75</v>
      </c>
      <c r="AD9" s="21">
        <v>82</v>
      </c>
      <c r="AE9" s="21">
        <v>41</v>
      </c>
      <c r="AF9" s="21">
        <v>40</v>
      </c>
      <c r="AG9" s="21">
        <v>100</v>
      </c>
      <c r="AH9" s="21">
        <v>83</v>
      </c>
      <c r="AI9" s="6">
        <f>H$1*((-2*10^-6)*H9^3+0.00032*H9^2-0.0021*H9)+I$1*((-2*10^-6)*I9^3+0.00032*I9^2-0.0021*I9)+J$1*((-2*10^-6)*J9^3+0.00032*J9^2-0.0021*J9)+K$1*((-2*10^-6)*K9^3+0.00032*K9^2-0.0021*K9)+L$1*((-2*10^-6)*L9^3+0.00032*L9^2-0.0021*L9)</f>
        <v>4.4520432000000021</v>
      </c>
      <c r="AJ9" s="6">
        <f>(M$1*M9+N$1*N9+O$1*O9)/100</f>
        <v>0.30599999999999999</v>
      </c>
      <c r="AK9" s="6">
        <f>IF(AA9&lt;50,W$1*((-2*10^-6)*W9^3+0.00032*W9^2-0.0021*W9)+X$1*((-2*10^-6)*X9^3+0.00032*X9^2-0.0021*X9)+Y$1*((-2*10^-6)*Y9^3+0.00032*Y9^2-0.0021*Y9)+Z$1*((-2*10^-6)*Z9^3+0.00032*Z9^2-0.0021*Z9),X$2*((-2*10^-6)*X9^3+0.00032*X9^2-0.0021*AA9)+Y$2*((-2*10^-6)*Y9^3+0.00032*Y9^2-0.0021*Y9)+Z$2*((-2*10^-6)*Z9^3+0.00032*Z9^2-0.0021*Z9)+ AA$2*((-2*10^-6)*AA9^3+0.00032*AA9^2-0.0021*AA9))</f>
        <v>3.0516300000000012</v>
      </c>
      <c r="AL9" s="6">
        <f>(AB$1*AB9+AC$1*AC9)/100</f>
        <v>0.95</v>
      </c>
      <c r="AM9" s="6">
        <f>AD$1*((-2*10^-6)*AD9^3+0.00032*AD9^2-0.0021*AD9)+AE$1*((-2*10^-6)*AE9^3+0.00032*AE9^2-0.0021*AE9)+AF$1*((-2*10^-6)*AF9^3+0.00032*AF9^2-0.0021*AF9)+AG$1*((-2*10^-6)*AG9^3+0.00032*AG9^2-0.0021*AG9)</f>
        <v>1.0371418000000003</v>
      </c>
    </row>
    <row r="10" spans="1:39" ht="15" thickBot="1" x14ac:dyDescent="0.35">
      <c r="A10" s="6">
        <f>(AI10*H$3+AJ10*M$3+AK10*W$3+AL10*AB$3+AM10*AD$3)*100/(AI$5*H$3+AJ$5*M$3+AK$5*W$3+AL$5*AB$3+AM$5*AD$3)</f>
        <v>69.296207287594356</v>
      </c>
      <c r="B10" s="20">
        <v>4</v>
      </c>
      <c r="C10" s="13" t="s">
        <v>32</v>
      </c>
      <c r="D10" s="21" t="s">
        <v>8</v>
      </c>
      <c r="E10" s="21" t="s">
        <v>19</v>
      </c>
      <c r="F10" s="21" t="s">
        <v>19</v>
      </c>
      <c r="G10" s="21">
        <v>18</v>
      </c>
      <c r="H10" s="21">
        <v>79</v>
      </c>
      <c r="I10" s="21">
        <v>68</v>
      </c>
      <c r="J10" s="21">
        <v>42</v>
      </c>
      <c r="K10" s="21">
        <v>53</v>
      </c>
      <c r="L10" s="21">
        <v>62</v>
      </c>
      <c r="M10" s="21">
        <v>74</v>
      </c>
      <c r="N10" s="21">
        <v>100</v>
      </c>
      <c r="O10" s="21">
        <v>38</v>
      </c>
      <c r="P10" s="21">
        <v>83</v>
      </c>
      <c r="Q10" s="20">
        <v>4</v>
      </c>
      <c r="R10" s="13" t="s">
        <v>32</v>
      </c>
      <c r="S10" s="21" t="s">
        <v>8</v>
      </c>
      <c r="T10" s="21" t="s">
        <v>19</v>
      </c>
      <c r="U10" s="21" t="s">
        <v>19</v>
      </c>
      <c r="V10" s="21">
        <v>18</v>
      </c>
      <c r="W10" s="21">
        <v>96</v>
      </c>
      <c r="X10" s="21">
        <v>73</v>
      </c>
      <c r="Y10" s="21">
        <v>54</v>
      </c>
      <c r="Z10" s="21">
        <v>67</v>
      </c>
      <c r="AA10" s="21">
        <v>24</v>
      </c>
      <c r="AB10" s="21">
        <v>90</v>
      </c>
      <c r="AC10" s="21">
        <v>61</v>
      </c>
      <c r="AD10" s="21">
        <v>91</v>
      </c>
      <c r="AE10" s="21">
        <v>76</v>
      </c>
      <c r="AF10" s="21">
        <v>35</v>
      </c>
      <c r="AG10" s="21">
        <v>100</v>
      </c>
      <c r="AH10" s="21">
        <v>83</v>
      </c>
      <c r="AI10" s="6">
        <f>H$1*((-2*10^-6)*H10^3+0.00032*H10^2-0.0021*H10)+I$1*((-2*10^-6)*I10^3+0.00032*I10^2-0.0021*I10)+J$1*((-2*10^-6)*J10^3+0.00032*J10^2-0.0021*J10)+K$1*((-2*10^-6)*K10^3+0.00032*K10^2-0.0021*K10)+L$1*((-2*10^-6)*L10^3+0.00032*L10^2-0.0021*L10)</f>
        <v>4.2209900000000014</v>
      </c>
      <c r="AJ10" s="6">
        <f>(M$1*M10+N$1*N10+O$1*O10)/100</f>
        <v>0.97799999999999998</v>
      </c>
      <c r="AK10" s="6">
        <f>IF(AA10&lt;50,W$1*((-2*10^-6)*W10^3+0.00032*W10^2-0.0021*W10)+X$1*((-2*10^-6)*X10^3+0.00032*X10^2-0.0021*X10)+Y$1*((-2*10^-6)*Y10^3+0.00032*Y10^2-0.0021*Y10)+Z$1*((-2*10^-6)*Z10^3+0.00032*Z10^2-0.0021*Z10),X$2*((-2*10^-6)*X10^3+0.00032*X10^2-0.0021*AA10)+Y$2*((-2*10^-6)*Y10^3+0.00032*Y10^2-0.0021*Y10)+Z$2*((-2*10^-6)*Z10^3+0.00032*Z10^2-0.0021*Z10)+ AA$2*((-2*10^-6)*AA10^3+0.00032*AA10^2-0.0021*AA10))</f>
        <v>2.9510400000000008</v>
      </c>
      <c r="AL10" s="6">
        <f>(AB$1*AB10+AC$1*AC10)/100</f>
        <v>0.84200000000000008</v>
      </c>
      <c r="AM10" s="6">
        <f>AD$1*((-2*10^-6)*AD10^3+0.00032*AD10^2-0.0021*AD10)+AE$1*((-2*10^-6)*AE10^3+0.00032*AE10^2-0.0021*AE10)+AF$1*((-2*10^-6)*AF10^3+0.00032*AF10^2-0.0021*AF10)+AG$1*((-2*10^-6)*AG10^3+0.00032*AG10^2-0.0021*AG10)</f>
        <v>1.1550298000000001</v>
      </c>
    </row>
    <row r="11" spans="1:39" ht="15" thickBot="1" x14ac:dyDescent="0.35">
      <c r="A11" s="6">
        <f>(AI11*H$3+AJ11*M$3+AK11*W$3+AL11*AB$3+AM11*AD$3)*100/(AI$5*H$3+AJ$5*M$3+AK$5*W$3+AL$5*AB$3+AM$5*AD$3)</f>
        <v>68.02485108478318</v>
      </c>
      <c r="B11" s="18">
        <v>5</v>
      </c>
      <c r="C11" s="12" t="s">
        <v>33</v>
      </c>
      <c r="D11" s="19" t="s">
        <v>6</v>
      </c>
      <c r="E11" s="19" t="s">
        <v>19</v>
      </c>
      <c r="F11" s="19" t="s">
        <v>19</v>
      </c>
      <c r="G11" s="19">
        <v>18</v>
      </c>
      <c r="H11" s="19">
        <v>65</v>
      </c>
      <c r="I11" s="19">
        <v>57</v>
      </c>
      <c r="J11" s="19">
        <v>75</v>
      </c>
      <c r="K11" s="19">
        <v>63</v>
      </c>
      <c r="L11" s="19">
        <v>80</v>
      </c>
      <c r="M11" s="19">
        <v>55</v>
      </c>
      <c r="N11" s="19">
        <v>38</v>
      </c>
      <c r="O11" s="19">
        <v>36</v>
      </c>
      <c r="P11" s="19">
        <v>81</v>
      </c>
      <c r="Q11" s="18">
        <v>5</v>
      </c>
      <c r="R11" s="12" t="s">
        <v>33</v>
      </c>
      <c r="S11" s="19" t="s">
        <v>6</v>
      </c>
      <c r="T11" s="19" t="s">
        <v>19</v>
      </c>
      <c r="U11" s="19" t="s">
        <v>19</v>
      </c>
      <c r="V11" s="19">
        <v>18</v>
      </c>
      <c r="W11" s="19">
        <v>75</v>
      </c>
      <c r="X11" s="19">
        <v>70</v>
      </c>
      <c r="Y11" s="19">
        <v>46</v>
      </c>
      <c r="Z11" s="19">
        <v>51</v>
      </c>
      <c r="AA11" s="19">
        <v>28</v>
      </c>
      <c r="AB11" s="19">
        <v>90</v>
      </c>
      <c r="AC11" s="19">
        <v>100</v>
      </c>
      <c r="AD11" s="19">
        <v>65</v>
      </c>
      <c r="AE11" s="19">
        <v>82</v>
      </c>
      <c r="AF11" s="19">
        <v>83</v>
      </c>
      <c r="AG11" s="19">
        <v>96</v>
      </c>
      <c r="AH11" s="19">
        <v>81</v>
      </c>
      <c r="AI11" s="6">
        <f>H$1*((-2*10^-6)*H11^3+0.00032*H11^2-0.0021*H11)+I$1*((-2*10^-6)*I11^3+0.00032*I11^2-0.0021*I11)+J$1*((-2*10^-6)*J11^3+0.00032*J11^2-0.0021*J11)+K$1*((-2*10^-6)*K11^3+0.00032*K11^2-0.0021*K11)+L$1*((-2*10^-6)*L11^3+0.00032*L11^2-0.0021*L11)</f>
        <v>4.638036800000001</v>
      </c>
      <c r="AJ11" s="6">
        <f>(M$1*M11+N$1*N11+O$1*O11)/100</f>
        <v>0.66200000000000003</v>
      </c>
      <c r="AK11" s="6">
        <f>IF(AA11&lt;50,W$1*((-2*10^-6)*W11^3+0.00032*W11^2-0.0021*W11)+X$1*((-2*10^-6)*X11^3+0.00032*X11^2-0.0021*X11)+Y$1*((-2*10^-6)*Y11^3+0.00032*Y11^2-0.0021*Y11)+Z$1*((-2*10^-6)*Z11^3+0.00032*Z11^2-0.0021*Z11),X$2*((-2*10^-6)*X11^3+0.00032*X11^2-0.0021*AA11)+Y$2*((-2*10^-6)*Y11^3+0.00032*Y11^2-0.0021*Y11)+Z$2*((-2*10^-6)*Z11^3+0.00032*Z11^2-0.0021*Z11)+ AA$2*((-2*10^-6)*AA11^3+0.00032*AA11^2-0.0021*AA11))</f>
        <v>2.3795160000000002</v>
      </c>
      <c r="AL11" s="6">
        <f>(AB$1*AB11+AC$1*AC11)/100</f>
        <v>0.92</v>
      </c>
      <c r="AM11" s="6">
        <f>AD$1*((-2*10^-6)*AD11^3+0.00032*AD11^2-0.0021*AD11)+AE$1*((-2*10^-6)*AE11^3+0.00032*AE11^2-0.0021*AE11)+AF$1*((-2*10^-6)*AF11^3+0.00032*AF11^2-0.0021*AF11)+AG$1*((-2*10^-6)*AG11^3+0.00032*AG11^2-0.0021*AG11)</f>
        <v>0.94038980000000016</v>
      </c>
    </row>
    <row r="12" spans="1:39" ht="15" thickBot="1" x14ac:dyDescent="0.35">
      <c r="A12" s="6">
        <f>(AI12*H$3+AJ12*M$3+AK12*W$3+AL12*AB$3+AM12*AD$3)*100/(AI$5*H$3+AJ$5*M$3+AK$5*W$3+AL$5*AB$3+AM$5*AD$3)</f>
        <v>66.583922826703258</v>
      </c>
      <c r="B12" s="20">
        <v>8</v>
      </c>
      <c r="C12" s="13" t="s">
        <v>36</v>
      </c>
      <c r="D12" s="21" t="s">
        <v>8</v>
      </c>
      <c r="E12" s="21" t="s">
        <v>19</v>
      </c>
      <c r="F12" s="21" t="s">
        <v>19</v>
      </c>
      <c r="G12" s="21">
        <v>18</v>
      </c>
      <c r="H12" s="21">
        <v>68</v>
      </c>
      <c r="I12" s="21">
        <v>35</v>
      </c>
      <c r="J12" s="21">
        <v>55</v>
      </c>
      <c r="K12" s="21">
        <v>83</v>
      </c>
      <c r="L12" s="21">
        <v>76</v>
      </c>
      <c r="M12" s="21">
        <v>71</v>
      </c>
      <c r="N12" s="21">
        <v>69</v>
      </c>
      <c r="O12" s="21">
        <v>41</v>
      </c>
      <c r="P12" s="21">
        <v>78</v>
      </c>
      <c r="Q12" s="20">
        <v>8</v>
      </c>
      <c r="R12" s="13" t="s">
        <v>36</v>
      </c>
      <c r="S12" s="21" t="s">
        <v>8</v>
      </c>
      <c r="T12" s="21" t="s">
        <v>19</v>
      </c>
      <c r="U12" s="21" t="s">
        <v>19</v>
      </c>
      <c r="V12" s="21">
        <v>18</v>
      </c>
      <c r="W12" s="21">
        <v>80</v>
      </c>
      <c r="X12" s="21">
        <v>87</v>
      </c>
      <c r="Y12" s="21">
        <v>53</v>
      </c>
      <c r="Z12" s="21">
        <v>68</v>
      </c>
      <c r="AA12" s="21">
        <v>20</v>
      </c>
      <c r="AB12" s="21">
        <v>96</v>
      </c>
      <c r="AC12" s="21">
        <v>72</v>
      </c>
      <c r="AD12" s="21">
        <v>65</v>
      </c>
      <c r="AE12" s="21">
        <v>59</v>
      </c>
      <c r="AF12" s="21">
        <v>100</v>
      </c>
      <c r="AG12" s="21">
        <v>32</v>
      </c>
      <c r="AH12" s="21">
        <v>78</v>
      </c>
      <c r="AI12" s="6">
        <f>H$1*((-2*10^-6)*H12^3+0.00032*H12^2-0.0021*H12)+I$1*((-2*10^-6)*I12^3+0.00032*I12^2-0.0021*I12)+J$1*((-2*10^-6)*J12^3+0.00032*J12^2-0.0021*J12)+K$1*((-2*10^-6)*K12^3+0.00032*K12^2-0.0021*K12)+L$1*((-2*10^-6)*L12^3+0.00032*L12^2-0.0021*L12)</f>
        <v>3.9783404000000013</v>
      </c>
      <c r="AJ12" s="6">
        <f>(M$1*M12+N$1*N12+O$1*O12)/100</f>
        <v>0.8889999999999999</v>
      </c>
      <c r="AK12" s="6">
        <f>IF(AA12&lt;50,W$1*((-2*10^-6)*W12^3+0.00032*W12^2-0.0021*W12)+X$1*((-2*10^-6)*X12^3+0.00032*X12^2-0.0021*X12)+Y$1*((-2*10^-6)*Y12^3+0.00032*Y12^2-0.0021*Y12)+Z$1*((-2*10^-6)*Z12^3+0.00032*Z12^2-0.0021*Z12),X$2*((-2*10^-6)*X12^3+0.00032*X12^2-0.0021*AA12)+Y$2*((-2*10^-6)*Y12^3+0.00032*Y12^2-0.0021*Y12)+Z$2*((-2*10^-6)*Z12^3+0.00032*Z12^2-0.0021*Z12)+ AA$2*((-2*10^-6)*AA12^3+0.00032*AA12^2-0.0021*AA12))</f>
        <v>2.9762160000000009</v>
      </c>
      <c r="AL12" s="6">
        <f>(AB$1*AB12+AC$1*AC12)/100</f>
        <v>0.91200000000000014</v>
      </c>
      <c r="AM12" s="6">
        <f>AD$1*((-2*10^-6)*AD12^3+0.00032*AD12^2-0.0021*AD12)+AE$1*((-2*10^-6)*AE12^3+0.00032*AE12^2-0.0021*AE12)+AF$1*((-2*10^-6)*AF12^3+0.00032*AF12^2-0.0021*AF12)+AG$1*((-2*10^-6)*AG12^3+0.00032*AG12^2-0.0021*AG12)</f>
        <v>0.84267060000000027</v>
      </c>
    </row>
    <row r="13" spans="1:39" ht="15" thickBot="1" x14ac:dyDescent="0.35">
      <c r="A13" s="6">
        <f>(AI13*H$3+AJ13*M$3+AK13*W$3+AL13*AB$3+AM13*AD$3)*100/(AI$5*H$3+AJ$5*M$3+AK$5*W$3+AL$5*AB$3+AM$5*AD$3)</f>
        <v>65.503265540601006</v>
      </c>
      <c r="B13" s="18">
        <v>13</v>
      </c>
      <c r="C13" s="12" t="s">
        <v>41</v>
      </c>
      <c r="D13" s="19" t="s">
        <v>6</v>
      </c>
      <c r="E13" s="19" t="s">
        <v>19</v>
      </c>
      <c r="F13" s="19" t="s">
        <v>19</v>
      </c>
      <c r="G13" s="19">
        <v>18</v>
      </c>
      <c r="H13" s="19">
        <v>67</v>
      </c>
      <c r="I13" s="19">
        <v>62</v>
      </c>
      <c r="J13" s="19">
        <v>59</v>
      </c>
      <c r="K13" s="19">
        <v>55</v>
      </c>
      <c r="L13" s="19">
        <v>73</v>
      </c>
      <c r="M13" s="19">
        <v>51</v>
      </c>
      <c r="N13" s="19">
        <v>54</v>
      </c>
      <c r="O13" s="19">
        <v>53</v>
      </c>
      <c r="P13" s="19">
        <v>74</v>
      </c>
      <c r="Q13" s="18">
        <v>13</v>
      </c>
      <c r="R13" s="12" t="s">
        <v>41</v>
      </c>
      <c r="S13" s="19" t="s">
        <v>6</v>
      </c>
      <c r="T13" s="19" t="s">
        <v>19</v>
      </c>
      <c r="U13" s="19" t="s">
        <v>19</v>
      </c>
      <c r="V13" s="19">
        <v>18</v>
      </c>
      <c r="W13" s="19">
        <v>65</v>
      </c>
      <c r="X13" s="19">
        <v>57</v>
      </c>
      <c r="Y13" s="19">
        <v>55</v>
      </c>
      <c r="Z13" s="19">
        <v>65</v>
      </c>
      <c r="AA13" s="19">
        <v>20</v>
      </c>
      <c r="AB13" s="19">
        <v>89</v>
      </c>
      <c r="AC13" s="19">
        <v>45</v>
      </c>
      <c r="AD13" s="19">
        <v>69</v>
      </c>
      <c r="AE13" s="19">
        <v>72</v>
      </c>
      <c r="AF13" s="19">
        <v>0</v>
      </c>
      <c r="AG13" s="19">
        <v>88</v>
      </c>
      <c r="AH13" s="19">
        <v>74</v>
      </c>
      <c r="AI13" s="6">
        <f>H$1*((-2*10^-6)*H13^3+0.00032*H13^2-0.0021*H13)+I$1*((-2*10^-6)*I13^3+0.00032*I13^2-0.0021*I13)+J$1*((-2*10^-6)*J13^3+0.00032*J13^2-0.0021*J13)+K$1*((-2*10^-6)*K13^3+0.00032*K13^2-0.0021*K13)+L$1*((-2*10^-6)*L13^3+0.00032*L13^2-0.0021*L13)</f>
        <v>4.4067404000000012</v>
      </c>
      <c r="AJ13" s="6">
        <f>(M$1*M13+N$1*N13+O$1*O13)/100</f>
        <v>0.67099999999999993</v>
      </c>
      <c r="AK13" s="6">
        <f>IF(AA13&lt;50,W$1*((-2*10^-6)*W13^3+0.00032*W13^2-0.0021*W13)+X$1*((-2*10^-6)*X13^3+0.00032*X13^2-0.0021*X13)+Y$1*((-2*10^-6)*Y13^3+0.00032*Y13^2-0.0021*Y13)+Z$1*((-2*10^-6)*Z13^3+0.00032*Z13^2-0.0021*Z13),X$2*((-2*10^-6)*X13^3+0.00032*X13^2-0.0021*AA13)+Y$2*((-2*10^-6)*Y13^3+0.00032*Y13^2-0.0021*Y13)+Z$2*((-2*10^-6)*Z13^3+0.00032*Z13^2-0.0021*Z13)+ AA$2*((-2*10^-6)*AA13^3+0.00032*AA13^2-0.0021*AA13))</f>
        <v>2.4018440000000005</v>
      </c>
      <c r="AL13" s="6">
        <f>(AB$1*AB13+AC$1*AC13)/100</f>
        <v>0.80200000000000005</v>
      </c>
      <c r="AM13" s="6">
        <f>AD$1*((-2*10^-6)*AD13^3+0.00032*AD13^2-0.0021*AD13)+AE$1*((-2*10^-6)*AE13^3+0.00032*AE13^2-0.0021*AE13)+AF$1*((-2*10^-6)*AF13^3+0.00032*AF13^2-0.0021*AF13)+AG$1*((-2*10^-6)*AG13^3+0.00032*AG13^2-0.0021*AG13)</f>
        <v>0.89075400000000027</v>
      </c>
    </row>
    <row r="14" spans="1:39" ht="15" thickBot="1" x14ac:dyDescent="0.35">
      <c r="A14" s="6">
        <f>(AI14*H$3+AJ14*M$3+AK14*W$3+AL14*AB$3+AM14*AD$3)*100/(AI$5*H$3+AJ$5*M$3+AK$5*W$3+AL$5*AB$3+AM$5*AD$3)</f>
        <v>64.294691127756721</v>
      </c>
      <c r="B14" s="20">
        <v>18</v>
      </c>
      <c r="C14" s="13" t="s">
        <v>46</v>
      </c>
      <c r="D14" s="21" t="s">
        <v>3</v>
      </c>
      <c r="E14" s="21" t="s">
        <v>19</v>
      </c>
      <c r="F14" s="21" t="s">
        <v>19</v>
      </c>
      <c r="G14" s="21">
        <v>18</v>
      </c>
      <c r="H14" s="21">
        <v>37</v>
      </c>
      <c r="I14" s="21">
        <v>67</v>
      </c>
      <c r="J14" s="21">
        <v>43</v>
      </c>
      <c r="K14" s="21">
        <v>33</v>
      </c>
      <c r="L14" s="21">
        <v>65</v>
      </c>
      <c r="M14" s="21">
        <v>52</v>
      </c>
      <c r="N14" s="21">
        <v>74</v>
      </c>
      <c r="O14" s="21">
        <v>42</v>
      </c>
      <c r="P14" s="21">
        <v>72</v>
      </c>
      <c r="Q14" s="20">
        <v>18</v>
      </c>
      <c r="R14" s="13" t="s">
        <v>46</v>
      </c>
      <c r="S14" s="21" t="s">
        <v>3</v>
      </c>
      <c r="T14" s="21" t="s">
        <v>19</v>
      </c>
      <c r="U14" s="21" t="s">
        <v>19</v>
      </c>
      <c r="V14" s="21">
        <v>18</v>
      </c>
      <c r="W14" s="21">
        <v>78</v>
      </c>
      <c r="X14" s="21">
        <v>77</v>
      </c>
      <c r="Y14" s="21">
        <v>79</v>
      </c>
      <c r="Z14" s="21">
        <v>85</v>
      </c>
      <c r="AA14" s="21">
        <v>19</v>
      </c>
      <c r="AB14" s="21">
        <v>100</v>
      </c>
      <c r="AC14" s="21">
        <v>90</v>
      </c>
      <c r="AD14" s="21">
        <v>51</v>
      </c>
      <c r="AE14" s="21">
        <v>42</v>
      </c>
      <c r="AF14" s="21">
        <v>2</v>
      </c>
      <c r="AG14" s="21">
        <v>28</v>
      </c>
      <c r="AH14" s="21">
        <v>72</v>
      </c>
      <c r="AI14" s="6">
        <f>H$1*((-2*10^-6)*H14^3+0.00032*H14^2-0.0021*H14)+I$1*((-2*10^-6)*I14^3+0.00032*I14^2-0.0021*I14)+J$1*((-2*10^-6)*J14^3+0.00032*J14^2-0.0021*J14)+K$1*((-2*10^-6)*K14^3+0.00032*K14^2-0.0021*K14)+L$1*((-2*10^-6)*L14^3+0.00032*L14^2-0.0021*L14)</f>
        <v>3.4845964000000009</v>
      </c>
      <c r="AJ14" s="6">
        <f>(M$1*M14+N$1*N14+O$1*O14)/100</f>
        <v>0.71</v>
      </c>
      <c r="AK14" s="6">
        <f>IF(AA14&lt;50,W$1*((-2*10^-6)*W14^3+0.00032*W14^2-0.0021*W14)+X$1*((-2*10^-6)*X14^3+0.00032*X14^2-0.0021*X14)+Y$1*((-2*10^-6)*Y14^3+0.00032*Y14^2-0.0021*Y14)+Z$1*((-2*10^-6)*Z14^3+0.00032*Z14^2-0.0021*Z14),X$2*((-2*10^-6)*X14^3+0.00032*X14^2-0.0021*AA14)+Y$2*((-2*10^-6)*Y14^3+0.00032*Y14^2-0.0021*Y14)+Z$2*((-2*10^-6)*Z14^3+0.00032*Z14^2-0.0021*Z14)+ AA$2*((-2*10^-6)*AA14^3+0.00032*AA14^2-0.0021*AA14))</f>
        <v>3.4068820000000013</v>
      </c>
      <c r="AL14" s="6">
        <f>(AB$1*AB14+AC$1*AC14)/100</f>
        <v>0.98</v>
      </c>
      <c r="AM14" s="6">
        <f>AD$1*((-2*10^-6)*AD14^3+0.00032*AD14^2-0.0021*AD14)+AE$1*((-2*10^-6)*AE14^3+0.00032*AE14^2-0.0021*AE14)+AF$1*((-2*10^-6)*AF14^3+0.00032*AF14^2-0.0021*AF14)+AG$1*((-2*10^-6)*AG14^3+0.00032*AG14^2-0.0021*AG14)</f>
        <v>0.50725240000000005</v>
      </c>
    </row>
    <row r="15" spans="1:39" ht="15" thickBot="1" x14ac:dyDescent="0.35">
      <c r="A15" s="6">
        <f>(AI15*H$3+AJ15*M$3+AK15*W$3+AL15*AB$3+AM15*AD$3)*100/(AI$5*H$3+AJ$5*M$3+AK$5*W$3+AL$5*AB$3+AM$5*AD$3)</f>
        <v>63.859374197976649</v>
      </c>
      <c r="B15" s="18">
        <v>15</v>
      </c>
      <c r="C15" s="12" t="s">
        <v>43</v>
      </c>
      <c r="D15" s="19" t="s">
        <v>7</v>
      </c>
      <c r="E15" s="19" t="s">
        <v>19</v>
      </c>
      <c r="F15" s="19" t="s">
        <v>19</v>
      </c>
      <c r="G15" s="19">
        <v>20</v>
      </c>
      <c r="H15" s="19">
        <v>85</v>
      </c>
      <c r="I15" s="19">
        <v>3</v>
      </c>
      <c r="J15" s="19">
        <v>43</v>
      </c>
      <c r="K15" s="19">
        <v>53</v>
      </c>
      <c r="L15" s="19">
        <v>74</v>
      </c>
      <c r="M15" s="19">
        <v>100</v>
      </c>
      <c r="N15" s="19">
        <v>82</v>
      </c>
      <c r="O15" s="19">
        <v>53</v>
      </c>
      <c r="P15" s="19">
        <v>82</v>
      </c>
      <c r="Q15" s="18">
        <v>15</v>
      </c>
      <c r="R15" s="12" t="s">
        <v>43</v>
      </c>
      <c r="S15" s="19" t="s">
        <v>7</v>
      </c>
      <c r="T15" s="19" t="s">
        <v>19</v>
      </c>
      <c r="U15" s="19" t="s">
        <v>19</v>
      </c>
      <c r="V15" s="19">
        <v>20</v>
      </c>
      <c r="W15" s="19">
        <v>100</v>
      </c>
      <c r="X15" s="19">
        <v>84</v>
      </c>
      <c r="Y15" s="19">
        <v>65</v>
      </c>
      <c r="Z15" s="19">
        <v>73</v>
      </c>
      <c r="AA15" s="19">
        <v>44</v>
      </c>
      <c r="AB15" s="19">
        <v>98</v>
      </c>
      <c r="AC15" s="19">
        <v>97</v>
      </c>
      <c r="AD15" s="19">
        <v>94</v>
      </c>
      <c r="AE15" s="19">
        <v>79</v>
      </c>
      <c r="AF15" s="19">
        <v>58</v>
      </c>
      <c r="AG15" s="19">
        <v>51</v>
      </c>
      <c r="AH15" s="19">
        <v>82</v>
      </c>
      <c r="AI15" s="6">
        <f>H$1*((-2*10^-6)*H15^3+0.00032*H15^2-0.0021*H15)+I$1*((-2*10^-6)*I15^3+0.00032*I15^2-0.0021*I15)+J$1*((-2*10^-6)*J15^3+0.00032*J15^2-0.0021*J15)+K$1*((-2*10^-6)*K15^3+0.00032*K15^2-0.0021*K15)+L$1*((-2*10^-6)*L15^3+0.00032*L15^2-0.0021*L15)</f>
        <v>3.225820800000001</v>
      </c>
      <c r="AJ15" s="6">
        <f>(M$1*M15+N$1*N15+O$1*O15)/100</f>
        <v>1.2170000000000001</v>
      </c>
      <c r="AK15" s="6">
        <f>IF(AA15&lt;50,W$1*((-2*10^-6)*W15^3+0.00032*W15^2-0.0021*W15)+X$1*((-2*10^-6)*X15^3+0.00032*X15^2-0.0021*X15)+Y$1*((-2*10^-6)*Y15^3+0.00032*Y15^2-0.0021*Y15)+Z$1*((-2*10^-6)*Z15^3+0.00032*Z15^2-0.0021*Z15),X$2*((-2*10^-6)*X15^3+0.00032*X15^2-0.0021*AA15)+Y$2*((-2*10^-6)*Y15^3+0.00032*Y15^2-0.0021*Y15)+Z$2*((-2*10^-6)*Z15^3+0.00032*Z15^2-0.0021*Z15)+ AA$2*((-2*10^-6)*AA15^3+0.00032*AA15^2-0.0021*AA15))</f>
        <v>3.3263080000000009</v>
      </c>
      <c r="AL15" s="6">
        <f>(AB$1*AB15+AC$1*AC15)/100</f>
        <v>0.97800000000000009</v>
      </c>
      <c r="AM15" s="6">
        <f>AD$1*((-2*10^-6)*AD15^3+0.00032*AD15^2-0.0021*AD15)+AE$1*((-2*10^-6)*AE15^3+0.00032*AE15^2-0.0021*AE15)+AF$1*((-2*10^-6)*AF15^3+0.00032*AF15^2-0.0021*AF15)+AG$1*((-2*10^-6)*AG15^3+0.00032*AG15^2-0.0021*AG15)</f>
        <v>1.1559036000000003</v>
      </c>
    </row>
    <row r="16" spans="1:39" ht="15" thickBot="1" x14ac:dyDescent="0.35">
      <c r="A16" s="6">
        <f>(AI16*H$3+AJ16*M$3+AK16*W$3+AL16*AB$3+AM16*AD$3)*100/(AI$5*H$3+AJ$5*M$3+AK$5*W$3+AL$5*AB$3+AM$5*AD$3)</f>
        <v>63.652450386463315</v>
      </c>
      <c r="B16" s="20">
        <v>2</v>
      </c>
      <c r="C16" s="13" t="s">
        <v>30</v>
      </c>
      <c r="D16" s="21" t="s">
        <v>7</v>
      </c>
      <c r="E16" s="21" t="s">
        <v>19</v>
      </c>
      <c r="F16" s="21" t="s">
        <v>19</v>
      </c>
      <c r="G16" s="21">
        <v>18</v>
      </c>
      <c r="H16" s="21">
        <v>89</v>
      </c>
      <c r="I16" s="21">
        <v>67</v>
      </c>
      <c r="J16" s="21">
        <v>67</v>
      </c>
      <c r="K16" s="21">
        <v>75</v>
      </c>
      <c r="L16" s="21">
        <v>82</v>
      </c>
      <c r="M16" s="21">
        <v>39</v>
      </c>
      <c r="N16" s="21">
        <v>31</v>
      </c>
      <c r="O16" s="21">
        <v>57</v>
      </c>
      <c r="P16" s="21">
        <v>80</v>
      </c>
      <c r="Q16" s="20">
        <v>2</v>
      </c>
      <c r="R16" s="13" t="s">
        <v>30</v>
      </c>
      <c r="S16" s="21" t="s">
        <v>7</v>
      </c>
      <c r="T16" s="21" t="s">
        <v>19</v>
      </c>
      <c r="U16" s="21" t="s">
        <v>19</v>
      </c>
      <c r="V16" s="21">
        <v>18</v>
      </c>
      <c r="W16" s="21">
        <v>23</v>
      </c>
      <c r="X16" s="21">
        <v>34</v>
      </c>
      <c r="Y16" s="21">
        <v>78</v>
      </c>
      <c r="Z16" s="21">
        <v>84</v>
      </c>
      <c r="AA16" s="21">
        <v>51</v>
      </c>
      <c r="AB16" s="21">
        <v>100</v>
      </c>
      <c r="AC16" s="21">
        <v>55</v>
      </c>
      <c r="AD16" s="21">
        <v>23</v>
      </c>
      <c r="AE16" s="21">
        <v>73</v>
      </c>
      <c r="AF16" s="21">
        <v>74</v>
      </c>
      <c r="AG16" s="21">
        <v>85</v>
      </c>
      <c r="AH16" s="21">
        <v>80</v>
      </c>
      <c r="AI16" s="6">
        <f>H$1*((-2*10^-6)*H16^3+0.00032*H16^2-0.0021*H16)+I$1*((-2*10^-6)*I16^3+0.00032*I16^2-0.0021*I16)+J$1*((-2*10^-6)*J16^3+0.00032*J16^2-0.0021*J16)+K$1*((-2*10^-6)*K16^3+0.00032*K16^2-0.0021*K16)+L$1*((-2*10^-6)*L16^3+0.00032*L16^2-0.0021*L16)</f>
        <v>5.3107792000000016</v>
      </c>
      <c r="AJ16" s="6">
        <f>(M$1*M16+N$1*N16+O$1*O16)/100</f>
        <v>0.50900000000000001</v>
      </c>
      <c r="AK16" s="6">
        <f>IF(AA16&lt;50,W$1*((-2*10^-6)*W16^3+0.00032*W16^2-0.0021*W16)+X$1*((-2*10^-6)*X16^3+0.00032*X16^2-0.0021*X16)+Y$1*((-2*10^-6)*Y16^3+0.00032*Y16^2-0.0021*Y16)+Z$1*((-2*10^-6)*Z16^3+0.00032*Z16^2-0.0021*Z16),X$2*((-2*10^-6)*X16^3+0.00032*X16^2-0.0021*AA16)+Y$2*((-2*10^-6)*Y16^3+0.00032*Y16^2-0.0021*Y16)+Z$2*((-2*10^-6)*Z16^3+0.00032*Z16^2-0.0021*Z16)+ AA$2*((-2*10^-6)*AA16^3+0.00032*AA16^2-0.0021*AA16))</f>
        <v>1.1825820000000002</v>
      </c>
      <c r="AL16" s="6">
        <f>(AB$1*AB16+AC$1*AC16)/100</f>
        <v>0.91</v>
      </c>
      <c r="AM16" s="6">
        <f>AD$1*((-2*10^-6)*AD16^3+0.00032*AD16^2-0.0021*AD16)+AE$1*((-2*10^-6)*AE16^3+0.00032*AE16^2-0.0021*AE16)+AF$1*((-2*10^-6)*AF16^3+0.00032*AF16^2-0.0021*AF16)+AG$1*((-2*10^-6)*AG16^3+0.00032*AG16^2-0.0021*AG16)</f>
        <v>0.3432128000000001</v>
      </c>
    </row>
    <row r="17" spans="1:39" ht="15" thickBot="1" x14ac:dyDescent="0.35">
      <c r="A17" s="6">
        <f>(AI17*H$3+AJ17*M$3+AK17*W$3+AL17*AB$3+AM17*AD$3)*100/(AI$5*H$3+AJ$5*M$3+AK$5*W$3+AL$5*AB$3+AM$5*AD$3)</f>
        <v>63.012815661464082</v>
      </c>
      <c r="B17" s="18">
        <v>47</v>
      </c>
      <c r="C17" s="12" t="s">
        <v>75</v>
      </c>
      <c r="D17" s="19" t="s">
        <v>5</v>
      </c>
      <c r="E17" s="19" t="s">
        <v>19</v>
      </c>
      <c r="F17" s="19" t="s">
        <v>19</v>
      </c>
      <c r="G17" s="19">
        <v>18</v>
      </c>
      <c r="H17" s="19">
        <v>19</v>
      </c>
      <c r="I17" s="19">
        <v>96</v>
      </c>
      <c r="J17" s="19">
        <v>33</v>
      </c>
      <c r="K17" s="19">
        <v>66</v>
      </c>
      <c r="L17" s="19">
        <v>60</v>
      </c>
      <c r="M17" s="19">
        <v>46</v>
      </c>
      <c r="N17" s="19">
        <v>12</v>
      </c>
      <c r="O17" s="19">
        <v>38</v>
      </c>
      <c r="P17" s="19">
        <v>62</v>
      </c>
      <c r="Q17" s="18">
        <v>47</v>
      </c>
      <c r="R17" s="12" t="s">
        <v>75</v>
      </c>
      <c r="S17" s="19" t="s">
        <v>5</v>
      </c>
      <c r="T17" s="19" t="s">
        <v>19</v>
      </c>
      <c r="U17" s="19" t="s">
        <v>19</v>
      </c>
      <c r="V17" s="19">
        <v>18</v>
      </c>
      <c r="W17" s="19">
        <v>61</v>
      </c>
      <c r="X17" s="19">
        <v>67</v>
      </c>
      <c r="Y17" s="19">
        <v>71</v>
      </c>
      <c r="Z17" s="19">
        <v>73</v>
      </c>
      <c r="AA17" s="19">
        <v>9</v>
      </c>
      <c r="AB17" s="19">
        <v>76</v>
      </c>
      <c r="AC17" s="19">
        <v>63</v>
      </c>
      <c r="AD17" s="19">
        <v>31</v>
      </c>
      <c r="AE17" s="19">
        <v>66</v>
      </c>
      <c r="AF17" s="19">
        <v>64</v>
      </c>
      <c r="AG17" s="19">
        <v>44</v>
      </c>
      <c r="AH17" s="19">
        <v>62</v>
      </c>
      <c r="AI17" s="6">
        <f>H$1*((-2*10^-6)*H17^3+0.00032*H17^2-0.0021*H17)+I$1*((-2*10^-6)*I17^3+0.00032*I17^2-0.0021*I17)+J$1*((-2*10^-6)*J17^3+0.00032*J17^2-0.0021*J17)+K$1*((-2*10^-6)*K17^3+0.00032*K17^2-0.0021*K17)+L$1*((-2*10^-6)*L17^3+0.00032*L17^2-0.0021*L17)</f>
        <v>3.9934440000000011</v>
      </c>
      <c r="AJ17" s="6">
        <f>(M$1*M17+N$1*N17+O$1*O17)/100</f>
        <v>0.52199999999999991</v>
      </c>
      <c r="AK17" s="6">
        <f>IF(AA17&lt;50,W$1*((-2*10^-6)*W17^3+0.00032*W17^2-0.0021*W17)+X$1*((-2*10^-6)*X17^3+0.00032*X17^2-0.0021*X17)+Y$1*((-2*10^-6)*Y17^3+0.00032*Y17^2-0.0021*Y17)+Z$1*((-2*10^-6)*Z17^3+0.00032*Z17^2-0.0021*Z17),X$2*((-2*10^-6)*X17^3+0.00032*X17^2-0.0021*AA17)+Y$2*((-2*10^-6)*Y17^3+0.00032*Y17^2-0.0021*Y17)+Z$2*((-2*10^-6)*Z17^3+0.00032*Z17^2-0.0021*Z17)+ AA$2*((-2*10^-6)*AA17^3+0.00032*AA17^2-0.0021*AA17))</f>
        <v>2.8250560000000005</v>
      </c>
      <c r="AL17" s="6">
        <f>(AB$1*AB17+AC$1*AC17)/100</f>
        <v>0.7340000000000001</v>
      </c>
      <c r="AM17" s="6">
        <f>AD$1*((-2*10^-6)*AD17^3+0.00032*AD17^2-0.0021*AD17)+AE$1*((-2*10^-6)*AE17^3+0.00032*AE17^2-0.0021*AE17)+AF$1*((-2*10^-6)*AF17^3+0.00032*AF17^2-0.0021*AF17)+AG$1*((-2*10^-6)*AG17^3+0.00032*AG17^2-0.0021*AG17)</f>
        <v>0.3517492000000001</v>
      </c>
    </row>
    <row r="18" spans="1:39" ht="15" thickBot="1" x14ac:dyDescent="0.35">
      <c r="A18" s="6">
        <f>(AI18*H$3+AJ18*M$3+AK18*W$3+AL18*AB$3+AM18*AD$3)*100/(AI$5*H$3+AJ$5*M$3+AK$5*W$3+AL$5*AB$3+AM$5*AD$3)</f>
        <v>61.679461338744808</v>
      </c>
      <c r="B18" s="18">
        <v>21</v>
      </c>
      <c r="C18" s="12" t="s">
        <v>49</v>
      </c>
      <c r="D18" s="19" t="s">
        <v>3</v>
      </c>
      <c r="E18" s="19" t="s">
        <v>19</v>
      </c>
      <c r="F18" s="19" t="s">
        <v>19</v>
      </c>
      <c r="G18" s="19">
        <v>18</v>
      </c>
      <c r="H18" s="19">
        <v>40</v>
      </c>
      <c r="I18" s="19">
        <v>87</v>
      </c>
      <c r="J18" s="19">
        <v>44</v>
      </c>
      <c r="K18" s="19">
        <v>49</v>
      </c>
      <c r="L18" s="19">
        <v>45</v>
      </c>
      <c r="M18" s="19">
        <v>36</v>
      </c>
      <c r="N18" s="19">
        <v>21</v>
      </c>
      <c r="O18" s="19">
        <v>69</v>
      </c>
      <c r="P18" s="19">
        <v>70</v>
      </c>
      <c r="Q18" s="18">
        <v>21</v>
      </c>
      <c r="R18" s="12" t="s">
        <v>49</v>
      </c>
      <c r="S18" s="19" t="s">
        <v>3</v>
      </c>
      <c r="T18" s="19" t="s">
        <v>19</v>
      </c>
      <c r="U18" s="19" t="s">
        <v>19</v>
      </c>
      <c r="V18" s="19">
        <v>18</v>
      </c>
      <c r="W18" s="19">
        <v>67</v>
      </c>
      <c r="X18" s="19">
        <v>74</v>
      </c>
      <c r="Y18" s="19">
        <v>77</v>
      </c>
      <c r="Z18" s="19">
        <v>77</v>
      </c>
      <c r="AA18" s="19">
        <v>8</v>
      </c>
      <c r="AB18" s="19">
        <v>96</v>
      </c>
      <c r="AC18" s="19">
        <v>100</v>
      </c>
      <c r="AD18" s="19">
        <v>33</v>
      </c>
      <c r="AE18" s="19">
        <v>53</v>
      </c>
      <c r="AF18" s="19">
        <v>58</v>
      </c>
      <c r="AG18" s="19">
        <v>72</v>
      </c>
      <c r="AH18" s="19">
        <v>70</v>
      </c>
      <c r="AI18" s="6">
        <f>H$1*((-2*10^-6)*H18^3+0.00032*H18^2-0.0021*H18)+I$1*((-2*10^-6)*I18^3+0.00032*I18^2-0.0021*I18)+J$1*((-2*10^-6)*J18^3+0.00032*J18^2-0.0021*J18)+K$1*((-2*10^-6)*K18^3+0.00032*K18^2-0.0021*K18)+L$1*((-2*10^-6)*L18^3+0.00032*L18^2-0.0021*L18)</f>
        <v>3.5196468000000007</v>
      </c>
      <c r="AJ18" s="6">
        <f>(M$1*M18+N$1*N18+O$1*O18)/100</f>
        <v>0.47100000000000003</v>
      </c>
      <c r="AK18" s="6">
        <f>IF(AA18&lt;50,W$1*((-2*10^-6)*W18^3+0.00032*W18^2-0.0021*W18)+X$1*((-2*10^-6)*X18^3+0.00032*X18^2-0.0021*X18)+Y$1*((-2*10^-6)*Y18^3+0.00032*Y18^2-0.0021*Y18)+Z$1*((-2*10^-6)*Z18^3+0.00032*Z18^2-0.0021*Z18),X$2*((-2*10^-6)*X18^3+0.00032*X18^2-0.0021*AA18)+Y$2*((-2*10^-6)*Y18^3+0.00032*Y18^2-0.0021*Y18)+Z$2*((-2*10^-6)*Z18^3+0.00032*Z18^2-0.0021*Z18)+ AA$2*((-2*10^-6)*AA18^3+0.00032*AA18^2-0.0021*AA18))</f>
        <v>3.1257540000000006</v>
      </c>
      <c r="AL18" s="6">
        <f>(AB$1*AB18+AC$1*AC18)/100</f>
        <v>0.96800000000000008</v>
      </c>
      <c r="AM18" s="6">
        <f>AD$1*((-2*10^-6)*AD18^3+0.00032*AD18^2-0.0021*AD18)+AE$1*((-2*10^-6)*AE18^3+0.00032*AE18^2-0.0021*AE18)+AF$1*((-2*10^-6)*AF18^3+0.00032*AF18^2-0.0021*AF18)+AG$1*((-2*10^-6)*AG18^3+0.00032*AG18^2-0.0021*AG18)</f>
        <v>0.3888526000000001</v>
      </c>
    </row>
    <row r="19" spans="1:39" ht="15" thickBot="1" x14ac:dyDescent="0.35">
      <c r="A19" s="6">
        <f>(AI19*H$3+AJ19*M$3+AK19*W$3+AL19*AB$3+AM19*AD$3)*100/(AI$5*H$3+AJ$5*M$3+AK$5*W$3+AL$5*AB$3+AM$5*AD$3)</f>
        <v>60.362514697543929</v>
      </c>
      <c r="B19" s="18">
        <v>27</v>
      </c>
      <c r="C19" s="12" t="s">
        <v>55</v>
      </c>
      <c r="D19" s="19" t="s">
        <v>9</v>
      </c>
      <c r="E19" s="19" t="s">
        <v>19</v>
      </c>
      <c r="F19" s="19" t="s">
        <v>19</v>
      </c>
      <c r="G19" s="19">
        <v>18</v>
      </c>
      <c r="H19" s="19">
        <v>68</v>
      </c>
      <c r="I19" s="19">
        <v>69</v>
      </c>
      <c r="J19" s="19">
        <v>63</v>
      </c>
      <c r="K19" s="19">
        <v>64</v>
      </c>
      <c r="L19" s="19">
        <v>84</v>
      </c>
      <c r="M19" s="19">
        <v>29</v>
      </c>
      <c r="N19" s="19">
        <v>42</v>
      </c>
      <c r="O19" s="19">
        <v>28</v>
      </c>
      <c r="P19" s="19">
        <v>68</v>
      </c>
      <c r="Q19" s="18">
        <v>27</v>
      </c>
      <c r="R19" s="12" t="s">
        <v>55</v>
      </c>
      <c r="S19" s="19" t="s">
        <v>9</v>
      </c>
      <c r="T19" s="19" t="s">
        <v>19</v>
      </c>
      <c r="U19" s="19" t="s">
        <v>19</v>
      </c>
      <c r="V19" s="19">
        <v>18</v>
      </c>
      <c r="W19" s="19">
        <v>40</v>
      </c>
      <c r="X19" s="19">
        <v>45</v>
      </c>
      <c r="Y19" s="19">
        <v>38</v>
      </c>
      <c r="Z19" s="19">
        <v>35</v>
      </c>
      <c r="AA19" s="19">
        <v>14</v>
      </c>
      <c r="AB19" s="19">
        <v>85</v>
      </c>
      <c r="AC19" s="19">
        <v>95</v>
      </c>
      <c r="AD19" s="19">
        <v>25</v>
      </c>
      <c r="AE19" s="19">
        <v>53</v>
      </c>
      <c r="AF19" s="19">
        <v>43</v>
      </c>
      <c r="AG19" s="19">
        <v>54</v>
      </c>
      <c r="AH19" s="19">
        <v>68</v>
      </c>
      <c r="AI19" s="6">
        <f>H$1*((-2*10^-6)*H19^3+0.00032*H19^2-0.0021*H19)+I$1*((-2*10^-6)*I19^3+0.00032*I19^2-0.0021*I19)+J$1*((-2*10^-6)*J19^3+0.00032*J19^2-0.0021*J19)+K$1*((-2*10^-6)*K19^3+0.00032*K19^2-0.0021*K19)+L$1*((-2*10^-6)*L19^3+0.00032*L19^2-0.0021*L19)</f>
        <v>5.0269036000000016</v>
      </c>
      <c r="AJ19" s="6">
        <f>(M$1*M19+N$1*N19+O$1*O19)/100</f>
        <v>0.40199999999999997</v>
      </c>
      <c r="AK19" s="6">
        <f>IF(AA19&lt;50,W$1*((-2*10^-6)*W19^3+0.00032*W19^2-0.0021*W19)+X$1*((-2*10^-6)*X19^3+0.00032*X19^2-0.0021*X19)+Y$1*((-2*10^-6)*Y19^3+0.00032*Y19^2-0.0021*Y19)+Z$1*((-2*10^-6)*Z19^3+0.00032*Z19^2-0.0021*Z19),X$2*((-2*10^-6)*X19^3+0.00032*X19^2-0.0021*AA19)+Y$2*((-2*10^-6)*Y19^3+0.00032*Y19^2-0.0021*Y19)+Z$2*((-2*10^-6)*Z19^3+0.00032*Z19^2-0.0021*Z19)+ AA$2*((-2*10^-6)*AA19^3+0.00032*AA19^2-0.0021*AA19))</f>
        <v>1.176536</v>
      </c>
      <c r="AL19" s="6">
        <f>(AB$1*AB19+AC$1*AC19)/100</f>
        <v>0.87</v>
      </c>
      <c r="AM19" s="6">
        <f>AD$1*((-2*10^-6)*AD19^3+0.00032*AD19^2-0.0021*AD19)+AE$1*((-2*10^-6)*AE19^3+0.00032*AE19^2-0.0021*AE19)+AF$1*((-2*10^-6)*AF19^3+0.00032*AF19^2-0.0021*AF19)+AG$1*((-2*10^-6)*AG19^3+0.00032*AG19^2-0.0021*AG19)</f>
        <v>0.24994840000000007</v>
      </c>
    </row>
    <row r="20" spans="1:39" ht="15" thickBot="1" x14ac:dyDescent="0.35">
      <c r="A20" s="6">
        <f>(AI20*H$3+AJ20*M$3+AK20*W$3+AL20*AB$3+AM20*AD$3)*100/(AI$5*H$3+AJ$5*M$3+AK$5*W$3+AL$5*AB$3+AM$5*AD$3)</f>
        <v>59.785335283058259</v>
      </c>
      <c r="B20" s="20">
        <v>12</v>
      </c>
      <c r="C20" s="13" t="s">
        <v>40</v>
      </c>
      <c r="D20" s="21" t="s">
        <v>9</v>
      </c>
      <c r="E20" s="21" t="s">
        <v>19</v>
      </c>
      <c r="F20" s="21" t="s">
        <v>19</v>
      </c>
      <c r="G20" s="21">
        <v>18</v>
      </c>
      <c r="H20" s="21">
        <v>78</v>
      </c>
      <c r="I20" s="21">
        <v>61</v>
      </c>
      <c r="J20" s="21">
        <v>94</v>
      </c>
      <c r="K20" s="21">
        <v>66</v>
      </c>
      <c r="L20" s="21">
        <v>75</v>
      </c>
      <c r="M20" s="21">
        <v>41</v>
      </c>
      <c r="N20" s="21">
        <v>14</v>
      </c>
      <c r="O20" s="21">
        <v>59</v>
      </c>
      <c r="P20" s="21">
        <v>74</v>
      </c>
      <c r="Q20" s="20">
        <v>12</v>
      </c>
      <c r="R20" s="13" t="s">
        <v>40</v>
      </c>
      <c r="S20" s="21" t="s">
        <v>9</v>
      </c>
      <c r="T20" s="21" t="s">
        <v>19</v>
      </c>
      <c r="U20" s="21" t="s">
        <v>19</v>
      </c>
      <c r="V20" s="21">
        <v>18</v>
      </c>
      <c r="W20" s="21">
        <v>44</v>
      </c>
      <c r="X20" s="21">
        <v>39</v>
      </c>
      <c r="Y20" s="21">
        <v>32</v>
      </c>
      <c r="Z20" s="21">
        <v>37</v>
      </c>
      <c r="AA20" s="21">
        <v>37</v>
      </c>
      <c r="AB20" s="21">
        <v>95</v>
      </c>
      <c r="AC20" s="21">
        <v>70</v>
      </c>
      <c r="AD20" s="21">
        <v>38</v>
      </c>
      <c r="AE20" s="21">
        <v>58</v>
      </c>
      <c r="AF20" s="21">
        <v>76</v>
      </c>
      <c r="AG20" s="21">
        <v>83</v>
      </c>
      <c r="AH20" s="21">
        <v>74</v>
      </c>
      <c r="AI20" s="6">
        <f>H$1*((-2*10^-6)*H20^3+0.00032*H20^2-0.0021*H20)+I$1*((-2*10^-6)*I20^3+0.00032*I20^2-0.0021*I20)+J$1*((-2*10^-6)*J20^3+0.00032*J20^2-0.0021*J20)+K$1*((-2*10^-6)*K20^3+0.00032*K20^2-0.0021*K20)+L$1*((-2*10^-6)*L20^3+0.00032*L20^2-0.0021*L20)</f>
        <v>4.9341756000000005</v>
      </c>
      <c r="AJ20" s="6">
        <f>(M$1*M20+N$1*N20+O$1*O20)/100</f>
        <v>0.49699999999999994</v>
      </c>
      <c r="AK20" s="6">
        <f>IF(AA20&lt;50,W$1*((-2*10^-6)*W20^3+0.00032*W20^2-0.0021*W20)+X$1*((-2*10^-6)*X20^3+0.00032*X20^2-0.0021*X20)+Y$1*((-2*10^-6)*Y20^3+0.00032*Y20^2-0.0021*Y20)+Z$1*((-2*10^-6)*Z20^3+0.00032*Z20^2-0.0021*Z20),X$2*((-2*10^-6)*X20^3+0.00032*X20^2-0.0021*AA20)+Y$2*((-2*10^-6)*Y20^3+0.00032*Y20^2-0.0021*Y20)+Z$2*((-2*10^-6)*Z20^3+0.00032*Z20^2-0.0021*Z20)+ AA$2*((-2*10^-6)*AA20^3+0.00032*AA20^2-0.0021*AA20))</f>
        <v>1.0969520000000001</v>
      </c>
      <c r="AL20" s="6">
        <f>(AB$1*AB20+AC$1*AC20)/100</f>
        <v>0.9</v>
      </c>
      <c r="AM20" s="6">
        <f>AD$1*((-2*10^-6)*AD20^3+0.00032*AD20^2-0.0021*AD20)+AE$1*((-2*10^-6)*AE20^3+0.00032*AE20^2-0.0021*AE20)+AF$1*((-2*10^-6)*AF20^3+0.00032*AF20^2-0.0021*AF20)+AG$1*((-2*10^-6)*AG20^3+0.00032*AG20^2-0.0021*AG20)</f>
        <v>0.49871900000000019</v>
      </c>
    </row>
    <row r="21" spans="1:39" ht="15" thickBot="1" x14ac:dyDescent="0.35">
      <c r="A21" s="6">
        <f>(AI21*H$3+AJ21*M$3+AK21*W$3+AL21*AB$3+AM21*AD$3)*100/(AI$5*H$3+AJ$5*M$3+AK$5*W$3+AL$5*AB$3+AM$5*AD$3)</f>
        <v>57.673585156226679</v>
      </c>
      <c r="B21" s="20">
        <v>34</v>
      </c>
      <c r="C21" s="13" t="s">
        <v>62</v>
      </c>
      <c r="D21" s="21" t="s">
        <v>3</v>
      </c>
      <c r="E21" s="21" t="s">
        <v>19</v>
      </c>
      <c r="F21" s="21" t="s">
        <v>19</v>
      </c>
      <c r="G21" s="21">
        <v>18</v>
      </c>
      <c r="H21" s="21">
        <v>53</v>
      </c>
      <c r="I21" s="21">
        <v>52</v>
      </c>
      <c r="J21" s="21">
        <v>36</v>
      </c>
      <c r="K21" s="21">
        <v>22</v>
      </c>
      <c r="L21" s="21">
        <v>54</v>
      </c>
      <c r="M21" s="21">
        <v>64</v>
      </c>
      <c r="N21" s="21">
        <v>32</v>
      </c>
      <c r="O21" s="21">
        <v>49</v>
      </c>
      <c r="P21" s="21">
        <v>66</v>
      </c>
      <c r="Q21" s="20">
        <v>34</v>
      </c>
      <c r="R21" s="13" t="s">
        <v>62</v>
      </c>
      <c r="S21" s="21" t="s">
        <v>3</v>
      </c>
      <c r="T21" s="21" t="s">
        <v>19</v>
      </c>
      <c r="U21" s="21" t="s">
        <v>19</v>
      </c>
      <c r="V21" s="21">
        <v>18</v>
      </c>
      <c r="W21" s="21">
        <v>76</v>
      </c>
      <c r="X21" s="21">
        <v>72</v>
      </c>
      <c r="Y21" s="21">
        <v>78</v>
      </c>
      <c r="Z21" s="21">
        <v>84</v>
      </c>
      <c r="AA21" s="21">
        <v>4</v>
      </c>
      <c r="AB21" s="21">
        <v>84</v>
      </c>
      <c r="AC21" s="21">
        <v>69</v>
      </c>
      <c r="AD21" s="21">
        <v>87</v>
      </c>
      <c r="AE21" s="21">
        <v>89</v>
      </c>
      <c r="AF21" s="21">
        <v>70</v>
      </c>
      <c r="AG21" s="21">
        <v>45</v>
      </c>
      <c r="AH21" s="21">
        <v>66</v>
      </c>
      <c r="AI21" s="6">
        <f>H$1*((-2*10^-6)*H21^3+0.00032*H21^2-0.0021*H21)+I$1*((-2*10^-6)*I21^3+0.00032*I21^2-0.0021*I21)+J$1*((-2*10^-6)*J21^3+0.00032*J21^2-0.0021*J21)+K$1*((-2*10^-6)*K21^3+0.00032*K21^2-0.0021*K21)+L$1*((-2*10^-6)*L21^3+0.00032*L21^2-0.0021*L21)</f>
        <v>2.7674884000000008</v>
      </c>
      <c r="AJ21" s="6">
        <f>(M$1*M21+N$1*N21+O$1*O21)/100</f>
        <v>0.75300000000000011</v>
      </c>
      <c r="AK21" s="6">
        <f>IF(AA21&lt;50,W$1*((-2*10^-6)*W21^3+0.00032*W21^2-0.0021*W21)+X$1*((-2*10^-6)*X21^3+0.00032*X21^2-0.0021*X21)+Y$1*((-2*10^-6)*Y21^3+0.00032*Y21^2-0.0021*Y21)+Z$1*((-2*10^-6)*Z21^3+0.00032*Z21^2-0.0021*Z21),X$2*((-2*10^-6)*X21^3+0.00032*X21^2-0.0021*AA21)+Y$2*((-2*10^-6)*Y21^3+0.00032*Y21^2-0.0021*Y21)+Z$2*((-2*10^-6)*Z21^3+0.00032*Z21^2-0.0021*Z21)+ AA$2*((-2*10^-6)*AA21^3+0.00032*AA21^2-0.0021*AA21))</f>
        <v>3.3020400000000012</v>
      </c>
      <c r="AL21" s="6">
        <f>(AB$1*AB21+AC$1*AC21)/100</f>
        <v>0.81</v>
      </c>
      <c r="AM21" s="6">
        <f>AD$1*((-2*10^-6)*AD21^3+0.00032*AD21^2-0.0021*AD21)+AE$1*((-2*10^-6)*AE21^3+0.00032*AE21^2-0.0021*AE21)+AF$1*((-2*10^-6)*AF21^3+0.00032*AF21^2-0.0021*AF21)+AG$1*((-2*10^-6)*AG21^3+0.00032*AG21^2-0.0021*AG21)</f>
        <v>1.1267872000000003</v>
      </c>
    </row>
    <row r="22" spans="1:39" ht="15" thickBot="1" x14ac:dyDescent="0.35">
      <c r="A22" s="6">
        <f>(AI22*H$3+AJ22*M$3+AK22*W$3+AL22*AB$3+AM22*AD$3)*100/(AI$5*H$3+AJ$5*M$3+AK$5*W$3+AL$5*AB$3+AM$5*AD$3)</f>
        <v>57.610538661255177</v>
      </c>
      <c r="B22" s="20">
        <v>28</v>
      </c>
      <c r="C22" s="13" t="s">
        <v>56</v>
      </c>
      <c r="D22" s="21" t="s">
        <v>8</v>
      </c>
      <c r="E22" s="21" t="s">
        <v>21</v>
      </c>
      <c r="F22" s="21" t="s">
        <v>19</v>
      </c>
      <c r="G22" s="21">
        <v>18</v>
      </c>
      <c r="H22" s="21">
        <v>44</v>
      </c>
      <c r="I22" s="21">
        <v>63</v>
      </c>
      <c r="J22" s="21">
        <v>49</v>
      </c>
      <c r="K22" s="21">
        <v>62</v>
      </c>
      <c r="L22" s="21">
        <v>45</v>
      </c>
      <c r="M22" s="21">
        <v>52</v>
      </c>
      <c r="N22" s="21">
        <v>53</v>
      </c>
      <c r="O22" s="21">
        <v>38</v>
      </c>
      <c r="P22" s="21">
        <v>68</v>
      </c>
      <c r="Q22" s="20">
        <v>28</v>
      </c>
      <c r="R22" s="13" t="s">
        <v>56</v>
      </c>
      <c r="S22" s="21" t="s">
        <v>8</v>
      </c>
      <c r="T22" s="21" t="s">
        <v>21</v>
      </c>
      <c r="U22" s="21" t="s">
        <v>19</v>
      </c>
      <c r="V22" s="21">
        <v>18</v>
      </c>
      <c r="W22" s="21">
        <v>64</v>
      </c>
      <c r="X22" s="21">
        <v>69</v>
      </c>
      <c r="Y22" s="21">
        <v>66</v>
      </c>
      <c r="Z22" s="21">
        <v>76</v>
      </c>
      <c r="AA22" s="21">
        <v>11</v>
      </c>
      <c r="AB22" s="21">
        <v>83</v>
      </c>
      <c r="AC22" s="21">
        <v>86</v>
      </c>
      <c r="AD22" s="21">
        <v>61</v>
      </c>
      <c r="AE22" s="21">
        <v>29</v>
      </c>
      <c r="AF22" s="21">
        <v>65</v>
      </c>
      <c r="AG22" s="21">
        <v>80</v>
      </c>
      <c r="AH22" s="21">
        <v>68</v>
      </c>
      <c r="AI22" s="6">
        <f>H$1*((-2*10^-6)*H22^3+0.00032*H22^2-0.0021*H22)+I$1*((-2*10^-6)*I22^3+0.00032*I22^2-0.0021*I22)+J$1*((-2*10^-6)*J22^3+0.00032*J22^2-0.0021*J22)+K$1*((-2*10^-6)*K22^3+0.00032*K22^2-0.0021*K22)+L$1*((-2*10^-6)*L22^3+0.00032*L22^2-0.0021*L22)</f>
        <v>3.2055264000000006</v>
      </c>
      <c r="AJ22" s="6">
        <f>(M$1*M22+N$1*N22+O$1*O22)/100</f>
        <v>0.66400000000000003</v>
      </c>
      <c r="AK22" s="6">
        <f>IF(AA22&lt;50,W$1*((-2*10^-6)*W22^3+0.00032*W22^2-0.0021*W22)+X$1*((-2*10^-6)*X22^3+0.00032*X22^2-0.0021*X22)+Y$1*((-2*10^-6)*Y22^3+0.00032*Y22^2-0.0021*Y22)+Z$1*((-2*10^-6)*Z22^3+0.00032*Z22^2-0.0021*Z22),X$2*((-2*10^-6)*X22^3+0.00032*X22^2-0.0021*AA22)+Y$2*((-2*10^-6)*Y22^3+0.00032*Y22^2-0.0021*Y22)+Z$2*((-2*10^-6)*Z22^3+0.00032*Z22^2-0.0021*Z22)+ AA$2*((-2*10^-6)*AA22^3+0.00032*AA22^2-0.0021*AA22))</f>
        <v>2.8647300000000007</v>
      </c>
      <c r="AL22" s="6">
        <f>(AB$1*AB22+AC$1*AC22)/100</f>
        <v>0.83600000000000008</v>
      </c>
      <c r="AM22" s="6">
        <f>AD$1*((-2*10^-6)*AD22^3+0.00032*AD22^2-0.0021*AD22)+AE$1*((-2*10^-6)*AE22^3+0.00032*AE22^2-0.0021*AE22)+AF$1*((-2*10^-6)*AF22^3+0.00032*AF22^2-0.0021*AF22)+AG$1*((-2*10^-6)*AG22^3+0.00032*AG22^2-0.0021*AG22)</f>
        <v>0.77682720000000005</v>
      </c>
    </row>
    <row r="23" spans="1:39" ht="15" thickBot="1" x14ac:dyDescent="0.35">
      <c r="A23" s="6">
        <f>(AI23*H$3+AJ23*M$3+AK23*W$3+AL23*AB$3+AM23*AD$3)*100/(AI$5*H$3+AJ$5*M$3+AK$5*W$3+AL$5*AB$3+AM$5*AD$3)</f>
        <v>56.941244591005386</v>
      </c>
      <c r="B23" s="18">
        <v>43</v>
      </c>
      <c r="C23" s="12" t="s">
        <v>71</v>
      </c>
      <c r="D23" s="19" t="s">
        <v>8</v>
      </c>
      <c r="E23" s="19" t="s">
        <v>19</v>
      </c>
      <c r="F23" s="19" t="s">
        <v>19</v>
      </c>
      <c r="G23" s="19">
        <v>18</v>
      </c>
      <c r="H23" s="19">
        <v>24</v>
      </c>
      <c r="I23" s="19">
        <v>100</v>
      </c>
      <c r="J23" s="19">
        <v>42</v>
      </c>
      <c r="K23" s="19">
        <v>48</v>
      </c>
      <c r="L23" s="19">
        <v>38</v>
      </c>
      <c r="M23" s="19">
        <v>26</v>
      </c>
      <c r="N23" s="19">
        <v>10</v>
      </c>
      <c r="O23" s="19">
        <v>31</v>
      </c>
      <c r="P23" s="19">
        <v>63</v>
      </c>
      <c r="Q23" s="18">
        <v>43</v>
      </c>
      <c r="R23" s="12" t="s">
        <v>71</v>
      </c>
      <c r="S23" s="19" t="s">
        <v>8</v>
      </c>
      <c r="T23" s="19" t="s">
        <v>19</v>
      </c>
      <c r="U23" s="19" t="s">
        <v>19</v>
      </c>
      <c r="V23" s="19">
        <v>18</v>
      </c>
      <c r="W23" s="19">
        <v>64</v>
      </c>
      <c r="X23" s="19">
        <v>67</v>
      </c>
      <c r="Y23" s="19">
        <v>70</v>
      </c>
      <c r="Z23" s="19">
        <v>72</v>
      </c>
      <c r="AA23" s="19">
        <v>20</v>
      </c>
      <c r="AB23" s="19">
        <v>73</v>
      </c>
      <c r="AC23" s="19">
        <v>86</v>
      </c>
      <c r="AD23" s="19">
        <v>77</v>
      </c>
      <c r="AE23" s="19">
        <v>64</v>
      </c>
      <c r="AF23" s="19">
        <v>61</v>
      </c>
      <c r="AG23" s="19">
        <v>54</v>
      </c>
      <c r="AH23" s="19">
        <v>63</v>
      </c>
      <c r="AI23" s="6">
        <f>H$1*((-2*10^-6)*H23^3+0.00032*H23^2-0.0021*H23)+I$1*((-2*10^-6)*I23^3+0.00032*I23^2-0.0021*I23)+J$1*((-2*10^-6)*J23^3+0.00032*J23^2-0.0021*J23)+K$1*((-2*10^-6)*K23^3+0.00032*K23^2-0.0021*K23)+L$1*((-2*10^-6)*L23^3+0.00032*L23^2-0.0021*L23)</f>
        <v>3.2149504000000011</v>
      </c>
      <c r="AJ23" s="6">
        <f>(M$1*M23+N$1*N23+O$1*O23)/100</f>
        <v>0.311</v>
      </c>
      <c r="AK23" s="6">
        <f>IF(AA23&lt;50,W$1*((-2*10^-6)*W23^3+0.00032*W23^2-0.0021*W23)+X$1*((-2*10^-6)*X23^3+0.00032*X23^2-0.0021*X23)+Y$1*((-2*10^-6)*Y23^3+0.00032*Y23^2-0.0021*Y23)+Z$1*((-2*10^-6)*Z23^3+0.00032*Z23^2-0.0021*Z23),X$2*((-2*10^-6)*X23^3+0.00032*X23^2-0.0021*AA23)+Y$2*((-2*10^-6)*Y23^3+0.00032*Y23^2-0.0021*Y23)+Z$2*((-2*10^-6)*Z23^3+0.00032*Z23^2-0.0021*Z23)+ AA$2*((-2*10^-6)*AA23^3+0.00032*AA23^2-0.0021*AA23))</f>
        <v>2.8424700000000005</v>
      </c>
      <c r="AL23" s="6">
        <f>(AB$1*AB23+AC$1*AC23)/100</f>
        <v>0.75600000000000012</v>
      </c>
      <c r="AM23" s="6">
        <f>AD$1*((-2*10^-6)*AD23^3+0.00032*AD23^2-0.0021*AD23)+AE$1*((-2*10^-6)*AE23^3+0.00032*AE23^2-0.0021*AE23)+AF$1*((-2*10^-6)*AF23^3+0.00032*AF23^2-0.0021*AF23)+AG$1*((-2*10^-6)*AG23^3+0.00032*AG23^2-0.0021*AG23)</f>
        <v>0.99906220000000023</v>
      </c>
    </row>
    <row r="24" spans="1:39" ht="15" thickBot="1" x14ac:dyDescent="0.35">
      <c r="A24" s="6">
        <f>(AI24*H$3+AJ24*M$3+AK24*W$3+AL24*AB$3+AM24*AD$3)*100/(AI$5*H$3+AJ$5*M$3+AK$5*W$3+AL$5*AB$3+AM$5*AD$3)</f>
        <v>56.898373123638414</v>
      </c>
      <c r="B24" s="20">
        <v>30</v>
      </c>
      <c r="C24" s="13" t="s">
        <v>58</v>
      </c>
      <c r="D24" s="21" t="s">
        <v>8</v>
      </c>
      <c r="E24" s="21" t="s">
        <v>19</v>
      </c>
      <c r="F24" s="21" t="s">
        <v>19</v>
      </c>
      <c r="G24" s="21">
        <v>18</v>
      </c>
      <c r="H24" s="21">
        <v>31</v>
      </c>
      <c r="I24" s="21">
        <v>55</v>
      </c>
      <c r="J24" s="21">
        <v>74</v>
      </c>
      <c r="K24" s="21">
        <v>72</v>
      </c>
      <c r="L24" s="21">
        <v>51</v>
      </c>
      <c r="M24" s="21">
        <v>53</v>
      </c>
      <c r="N24" s="21">
        <v>46</v>
      </c>
      <c r="O24" s="21">
        <v>45</v>
      </c>
      <c r="P24" s="21">
        <v>67</v>
      </c>
      <c r="Q24" s="20">
        <v>30</v>
      </c>
      <c r="R24" s="13" t="s">
        <v>58</v>
      </c>
      <c r="S24" s="21" t="s">
        <v>8</v>
      </c>
      <c r="T24" s="21" t="s">
        <v>19</v>
      </c>
      <c r="U24" s="21" t="s">
        <v>19</v>
      </c>
      <c r="V24" s="21">
        <v>18</v>
      </c>
      <c r="W24" s="21">
        <v>64</v>
      </c>
      <c r="X24" s="21">
        <v>66</v>
      </c>
      <c r="Y24" s="21">
        <v>66</v>
      </c>
      <c r="Z24" s="21">
        <v>64</v>
      </c>
      <c r="AA24" s="21">
        <v>5</v>
      </c>
      <c r="AB24" s="21">
        <v>84</v>
      </c>
      <c r="AC24" s="21">
        <v>98</v>
      </c>
      <c r="AD24" s="21">
        <v>45</v>
      </c>
      <c r="AE24" s="21">
        <v>75</v>
      </c>
      <c r="AF24" s="21">
        <v>65</v>
      </c>
      <c r="AG24" s="21">
        <v>91</v>
      </c>
      <c r="AH24" s="21">
        <v>67</v>
      </c>
      <c r="AI24" s="6">
        <f>H$1*((-2*10^-6)*H24^3+0.00032*H24^2-0.0021*H24)+I$1*((-2*10^-6)*I24^3+0.00032*I24^2-0.0021*I24)+J$1*((-2*10^-6)*J24^3+0.00032*J24^2-0.0021*J24)+K$1*((-2*10^-6)*K24^3+0.00032*K24^2-0.0021*K24)+L$1*((-2*10^-6)*L24^3+0.00032*L24^2-0.0021*L24)</f>
        <v>3.3149880000000005</v>
      </c>
      <c r="AJ24" s="6">
        <f>(M$1*M24+N$1*N24+O$1*O24)/100</f>
        <v>0.66700000000000004</v>
      </c>
      <c r="AK24" s="6">
        <f>IF(AA24&lt;50,W$1*((-2*10^-6)*W24^3+0.00032*W24^2-0.0021*W24)+X$1*((-2*10^-6)*X24^3+0.00032*X24^2-0.0021*X24)+Y$1*((-2*10^-6)*Y24^3+0.00032*Y24^2-0.0021*Y24)+Z$1*((-2*10^-6)*Z24^3+0.00032*Z24^2-0.0021*Z24),X$2*((-2*10^-6)*X24^3+0.00032*X24^2-0.0021*AA24)+Y$2*((-2*10^-6)*Y24^3+0.00032*Y24^2-0.0021*Y24)+Z$2*((-2*10^-6)*Z24^3+0.00032*Z24^2-0.0021*Z24)+ AA$2*((-2*10^-6)*AA24^3+0.00032*AA24^2-0.0021*AA24))</f>
        <v>2.6647200000000004</v>
      </c>
      <c r="AL24" s="6">
        <f>(AB$1*AB24+AC$1*AC24)/100</f>
        <v>0.8680000000000001</v>
      </c>
      <c r="AM24" s="6">
        <f>AD$1*((-2*10^-6)*AD24^3+0.00032*AD24^2-0.0021*AD24)+AE$1*((-2*10^-6)*AE24^3+0.00032*AE24^2-0.0021*AE24)+AF$1*((-2*10^-6)*AF24^3+0.00032*AF24^2-0.0021*AF24)+AG$1*((-2*10^-6)*AG24^3+0.00032*AG24^2-0.0021*AG24)</f>
        <v>0.61291780000000007</v>
      </c>
    </row>
    <row r="25" spans="1:39" ht="15" thickBot="1" x14ac:dyDescent="0.35">
      <c r="A25" s="6">
        <f>(AI25*H$3+AJ25*M$3+AK25*W$3+AL25*AB$3+AM25*AD$3)*100/(AI$5*H$3+AJ$5*M$3+AK$5*W$3+AL$5*AB$3+AM$5*AD$3)</f>
        <v>56.833674982840414</v>
      </c>
      <c r="B25" s="20">
        <v>36</v>
      </c>
      <c r="C25" s="13" t="s">
        <v>64</v>
      </c>
      <c r="D25" s="21" t="s">
        <v>8</v>
      </c>
      <c r="E25" s="21" t="s">
        <v>20</v>
      </c>
      <c r="F25" s="21" t="s">
        <v>19</v>
      </c>
      <c r="G25" s="21">
        <v>18</v>
      </c>
      <c r="H25" s="21">
        <v>54</v>
      </c>
      <c r="I25" s="21">
        <v>64</v>
      </c>
      <c r="J25" s="21">
        <v>56</v>
      </c>
      <c r="K25" s="21">
        <v>59</v>
      </c>
      <c r="L25" s="21">
        <v>41</v>
      </c>
      <c r="M25" s="21">
        <v>72</v>
      </c>
      <c r="N25" s="21">
        <v>38</v>
      </c>
      <c r="O25" s="21">
        <v>48</v>
      </c>
      <c r="P25" s="21">
        <v>65</v>
      </c>
      <c r="Q25" s="20">
        <v>36</v>
      </c>
      <c r="R25" s="13" t="s">
        <v>64</v>
      </c>
      <c r="S25" s="21" t="s">
        <v>8</v>
      </c>
      <c r="T25" s="21" t="s">
        <v>20</v>
      </c>
      <c r="U25" s="21" t="s">
        <v>19</v>
      </c>
      <c r="V25" s="21">
        <v>18</v>
      </c>
      <c r="W25" s="21">
        <v>72</v>
      </c>
      <c r="X25" s="21">
        <v>61</v>
      </c>
      <c r="Y25" s="21">
        <v>67</v>
      </c>
      <c r="Z25" s="21">
        <v>65</v>
      </c>
      <c r="AA25" s="21">
        <v>15</v>
      </c>
      <c r="AB25" s="21">
        <v>84</v>
      </c>
      <c r="AC25" s="21">
        <v>47</v>
      </c>
      <c r="AD25" s="21">
        <v>36</v>
      </c>
      <c r="AE25" s="21">
        <v>94</v>
      </c>
      <c r="AF25" s="21">
        <v>79</v>
      </c>
      <c r="AG25" s="21">
        <v>61</v>
      </c>
      <c r="AH25" s="21">
        <v>65</v>
      </c>
      <c r="AI25" s="6">
        <f>H$1*((-2*10^-6)*H25^3+0.00032*H25^2-0.0021*H25)+I$1*((-2*10^-6)*I25^3+0.00032*I25^2-0.0021*I25)+J$1*((-2*10^-6)*J25^3+0.00032*J25^2-0.0021*J25)+K$1*((-2*10^-6)*K25^3+0.00032*K25^2-0.0021*K25)+L$1*((-2*10^-6)*L25^3+0.00032*L25^2-0.0021*L25)</f>
        <v>3.2838300000000005</v>
      </c>
      <c r="AJ25" s="6">
        <f>(M$1*M25+N$1*N25+O$1*O25)/100</f>
        <v>0.84399999999999986</v>
      </c>
      <c r="AK25" s="6">
        <f>IF(AA25&lt;50,W$1*((-2*10^-6)*W25^3+0.00032*W25^2-0.0021*W25)+X$1*((-2*10^-6)*X25^3+0.00032*X25^2-0.0021*X25)+Y$1*((-2*10^-6)*Y25^3+0.00032*Y25^2-0.0021*Y25)+Z$1*((-2*10^-6)*Z25^3+0.00032*Z25^2-0.0021*Z25),X$2*((-2*10^-6)*X25^3+0.00032*X25^2-0.0021*AA25)+Y$2*((-2*10^-6)*Y25^3+0.00032*Y25^2-0.0021*Y25)+Z$2*((-2*10^-6)*Z25^3+0.00032*Z25^2-0.0021*Z25)+ AA$2*((-2*10^-6)*AA25^3+0.00032*AA25^2-0.0021*AA25))</f>
        <v>2.7303460000000004</v>
      </c>
      <c r="AL25" s="6">
        <f>(AB$1*AB25+AC$1*AC25)/100</f>
        <v>0.76600000000000013</v>
      </c>
      <c r="AM25" s="6">
        <f>AD$1*((-2*10^-6)*AD25^3+0.00032*AD25^2-0.0021*AD25)+AE$1*((-2*10^-6)*AE25^3+0.00032*AE25^2-0.0021*AE25)+AF$1*((-2*10^-6)*AF25^3+0.00032*AF25^2-0.0021*AF25)+AG$1*((-2*10^-6)*AG25^3+0.00032*AG25^2-0.0021*AG25)</f>
        <v>0.48808320000000011</v>
      </c>
    </row>
    <row r="26" spans="1:39" ht="15" thickBot="1" x14ac:dyDescent="0.35">
      <c r="A26" s="6">
        <f>(AI26*H$3+AJ26*M$3+AK26*W$3+AL26*AB$3+AM26*AD$3)*100/(AI$5*H$3+AJ$5*M$3+AK$5*W$3+AL$5*AB$3+AM$5*AD$3)</f>
        <v>54.867016473186297</v>
      </c>
      <c r="B26" s="20">
        <v>72</v>
      </c>
      <c r="C26" s="13" t="s">
        <v>100</v>
      </c>
      <c r="D26" s="21" t="s">
        <v>5</v>
      </c>
      <c r="E26" s="21" t="s">
        <v>19</v>
      </c>
      <c r="F26" s="21" t="s">
        <v>19</v>
      </c>
      <c r="G26" s="21">
        <v>18</v>
      </c>
      <c r="H26" s="21">
        <v>6</v>
      </c>
      <c r="I26" s="21">
        <v>87</v>
      </c>
      <c r="J26" s="21">
        <v>56</v>
      </c>
      <c r="K26" s="21">
        <v>29</v>
      </c>
      <c r="L26" s="21">
        <v>45</v>
      </c>
      <c r="M26" s="21">
        <v>45</v>
      </c>
      <c r="N26" s="21">
        <v>15</v>
      </c>
      <c r="O26" s="21">
        <v>19</v>
      </c>
      <c r="P26" s="21">
        <v>57</v>
      </c>
      <c r="Q26" s="20">
        <v>72</v>
      </c>
      <c r="R26" s="13" t="s">
        <v>100</v>
      </c>
      <c r="S26" s="21" t="s">
        <v>5</v>
      </c>
      <c r="T26" s="21" t="s">
        <v>19</v>
      </c>
      <c r="U26" s="21" t="s">
        <v>19</v>
      </c>
      <c r="V26" s="21">
        <v>18</v>
      </c>
      <c r="W26" s="21">
        <v>62</v>
      </c>
      <c r="X26" s="21">
        <v>72</v>
      </c>
      <c r="Y26" s="21">
        <v>68</v>
      </c>
      <c r="Z26" s="21">
        <v>70</v>
      </c>
      <c r="AA26" s="21">
        <v>14</v>
      </c>
      <c r="AB26" s="21">
        <v>79</v>
      </c>
      <c r="AC26" s="21">
        <v>68</v>
      </c>
      <c r="AD26" s="21">
        <v>27</v>
      </c>
      <c r="AE26" s="21">
        <v>80</v>
      </c>
      <c r="AF26" s="21">
        <v>70</v>
      </c>
      <c r="AG26" s="21">
        <v>62</v>
      </c>
      <c r="AH26" s="21">
        <v>57</v>
      </c>
      <c r="AI26" s="6">
        <f>H$1*((-2*10^-6)*H26^3+0.00032*H26^2-0.0021*H26)+I$1*((-2*10^-6)*I26^3+0.00032*I26^2-0.0021*I26)+J$1*((-2*10^-6)*J26^3+0.00032*J26^2-0.0021*J26)+K$1*((-2*10^-6)*K26^3+0.00032*K26^2-0.0021*K26)+L$1*((-2*10^-6)*L26^3+0.00032*L26^2-0.0021*L26)</f>
        <v>3.1083524000000007</v>
      </c>
      <c r="AJ26" s="6">
        <f>(M$1*M26+N$1*N26+O$1*O26)/100</f>
        <v>0.499</v>
      </c>
      <c r="AK26" s="6">
        <f>IF(AA26&lt;50,W$1*((-2*10^-6)*W26^3+0.00032*W26^2-0.0021*W26)+X$1*((-2*10^-6)*X26^3+0.00032*X26^2-0.0021*X26)+Y$1*((-2*10^-6)*Y26^3+0.00032*Y26^2-0.0021*Y26)+Z$1*((-2*10^-6)*Z26^3+0.00032*Z26^2-0.0021*Z26),X$2*((-2*10^-6)*X26^3+0.00032*X26^2-0.0021*AA26)+Y$2*((-2*10^-6)*Y26^3+0.00032*Y26^2-0.0021*Y26)+Z$2*((-2*10^-6)*Z26^3+0.00032*Z26^2-0.0021*Z26)+ AA$2*((-2*10^-6)*AA26^3+0.00032*AA26^2-0.0021*AA26))</f>
        <v>2.8274240000000006</v>
      </c>
      <c r="AL26" s="6">
        <f>(AB$1*AB26+AC$1*AC26)/100</f>
        <v>0.76800000000000013</v>
      </c>
      <c r="AM26" s="6">
        <f>AD$1*((-2*10^-6)*AD26^3+0.00032*AD26^2-0.0021*AD26)+AE$1*((-2*10^-6)*AE26^3+0.00032*AE26^2-0.0021*AE26)+AF$1*((-2*10^-6)*AF26^3+0.00032*AF26^2-0.0021*AF26)+AG$1*((-2*10^-6)*AG26^3+0.00032*AG26^2-0.0021*AG26)</f>
        <v>0.35863640000000008</v>
      </c>
    </row>
    <row r="27" spans="1:39" ht="15" thickBot="1" x14ac:dyDescent="0.35">
      <c r="A27" s="6">
        <f>(AI27*H$3+AJ27*M$3+AK27*W$3+AL27*AB$3+AM27*AD$3)*100/(AI$5*H$3+AJ$5*M$3+AK$5*W$3+AL$5*AB$3+AM$5*AD$3)</f>
        <v>54.489312125100696</v>
      </c>
      <c r="B27" s="18">
        <v>49</v>
      </c>
      <c r="C27" s="12" t="s">
        <v>77</v>
      </c>
      <c r="D27" s="19" t="s">
        <v>10</v>
      </c>
      <c r="E27" s="19" t="s">
        <v>21</v>
      </c>
      <c r="F27" s="19" t="s">
        <v>20</v>
      </c>
      <c r="G27" s="19">
        <v>18</v>
      </c>
      <c r="H27" s="19">
        <v>56</v>
      </c>
      <c r="I27" s="19">
        <v>53</v>
      </c>
      <c r="J27" s="19">
        <v>83</v>
      </c>
      <c r="K27" s="19">
        <v>46</v>
      </c>
      <c r="L27" s="19">
        <v>45</v>
      </c>
      <c r="M27" s="19">
        <v>73</v>
      </c>
      <c r="N27" s="19">
        <v>34</v>
      </c>
      <c r="O27" s="19">
        <v>50</v>
      </c>
      <c r="P27" s="19">
        <v>62</v>
      </c>
      <c r="Q27" s="18">
        <v>49</v>
      </c>
      <c r="R27" s="12" t="s">
        <v>77</v>
      </c>
      <c r="S27" s="19" t="s">
        <v>10</v>
      </c>
      <c r="T27" s="19" t="s">
        <v>21</v>
      </c>
      <c r="U27" s="19" t="s">
        <v>20</v>
      </c>
      <c r="V27" s="19">
        <v>18</v>
      </c>
      <c r="W27" s="19">
        <v>66</v>
      </c>
      <c r="X27" s="19">
        <v>57</v>
      </c>
      <c r="Y27" s="19">
        <v>74</v>
      </c>
      <c r="Z27" s="19">
        <v>59</v>
      </c>
      <c r="AA27" s="19">
        <v>4</v>
      </c>
      <c r="AB27" s="19">
        <v>75</v>
      </c>
      <c r="AC27" s="19">
        <v>74</v>
      </c>
      <c r="AD27" s="19">
        <v>36</v>
      </c>
      <c r="AE27" s="19">
        <v>63</v>
      </c>
      <c r="AF27" s="19">
        <v>50</v>
      </c>
      <c r="AG27" s="19">
        <v>39</v>
      </c>
      <c r="AH27" s="19">
        <v>62</v>
      </c>
      <c r="AI27" s="6">
        <f>H$1*((-2*10^-6)*H27^3+0.00032*H27^2-0.0021*H27)+I$1*((-2*10^-6)*I27^3+0.00032*I27^2-0.0021*I27)+J$1*((-2*10^-6)*J27^3+0.00032*J27^2-0.0021*J27)+K$1*((-2*10^-6)*K27^3+0.00032*K27^2-0.0021*K27)+L$1*((-2*10^-6)*L27^3+0.00032*L27^2-0.0021*L27)</f>
        <v>3.1717320000000009</v>
      </c>
      <c r="AJ27" s="6">
        <f>(M$1*M27+N$1*N27+O$1*O27)/100</f>
        <v>0.84799999999999998</v>
      </c>
      <c r="AK27" s="6">
        <f>IF(AA27&lt;50,W$1*((-2*10^-6)*W27^3+0.00032*W27^2-0.0021*W27)+X$1*((-2*10^-6)*X27^3+0.00032*X27^2-0.0021*X27)+Y$1*((-2*10^-6)*Y27^3+0.00032*Y27^2-0.0021*Y27)+Z$1*((-2*10^-6)*Z27^3+0.00032*Z27^2-0.0021*Z27),X$2*((-2*10^-6)*X27^3+0.00032*X27^2-0.0021*AA27)+Y$2*((-2*10^-6)*Y27^3+0.00032*Y27^2-0.0021*Y27)+Z$2*((-2*10^-6)*Z27^3+0.00032*Z27^2-0.0021*Z27)+ AA$2*((-2*10^-6)*AA27^3+0.00032*AA27^2-0.0021*AA27))</f>
        <v>2.5956560000000004</v>
      </c>
      <c r="AL27" s="6">
        <f>(AB$1*AB27+AC$1*AC27)/100</f>
        <v>0.748</v>
      </c>
      <c r="AM27" s="6">
        <f>AD$1*((-2*10^-6)*AD27^3+0.00032*AD27^2-0.0021*AD27)+AE$1*((-2*10^-6)*AE27^3+0.00032*AE27^2-0.0021*AE27)+AF$1*((-2*10^-6)*AF27^3+0.00032*AF27^2-0.0021*AF27)+AG$1*((-2*10^-6)*AG27^3+0.00032*AG27^2-0.0021*AG27)</f>
        <v>0.38269480000000006</v>
      </c>
    </row>
    <row r="28" spans="1:39" ht="15" thickBot="1" x14ac:dyDescent="0.35">
      <c r="A28" s="6">
        <f>(AI28*H$3+AJ28*M$3+AK28*W$3+AL28*AB$3+AM28*AD$3)*100/(AI$5*H$3+AJ$5*M$3+AK$5*W$3+AL$5*AB$3+AM$5*AD$3)</f>
        <v>54.308466531379615</v>
      </c>
      <c r="B28" s="20">
        <v>32</v>
      </c>
      <c r="C28" s="13" t="s">
        <v>60</v>
      </c>
      <c r="D28" s="21" t="s">
        <v>8</v>
      </c>
      <c r="E28" s="21" t="s">
        <v>21</v>
      </c>
      <c r="F28" s="21" t="s">
        <v>19</v>
      </c>
      <c r="G28" s="21">
        <v>18</v>
      </c>
      <c r="H28" s="21">
        <v>6</v>
      </c>
      <c r="I28" s="21">
        <v>7</v>
      </c>
      <c r="J28" s="21">
        <v>39</v>
      </c>
      <c r="K28" s="21">
        <v>87</v>
      </c>
      <c r="L28" s="21">
        <v>68</v>
      </c>
      <c r="M28" s="21">
        <v>86</v>
      </c>
      <c r="N28" s="21">
        <v>100</v>
      </c>
      <c r="O28" s="21">
        <v>67</v>
      </c>
      <c r="P28" s="21">
        <v>67</v>
      </c>
      <c r="Q28" s="20">
        <v>32</v>
      </c>
      <c r="R28" s="13" t="s">
        <v>60</v>
      </c>
      <c r="S28" s="21" t="s">
        <v>8</v>
      </c>
      <c r="T28" s="21" t="s">
        <v>21</v>
      </c>
      <c r="U28" s="21" t="s">
        <v>19</v>
      </c>
      <c r="V28" s="21">
        <v>18</v>
      </c>
      <c r="W28" s="21">
        <v>90</v>
      </c>
      <c r="X28" s="21">
        <v>86</v>
      </c>
      <c r="Y28" s="21">
        <v>64</v>
      </c>
      <c r="Z28" s="21">
        <v>59</v>
      </c>
      <c r="AA28" s="21">
        <v>30</v>
      </c>
      <c r="AB28" s="21">
        <v>86</v>
      </c>
      <c r="AC28" s="21">
        <v>79</v>
      </c>
      <c r="AD28" s="21">
        <v>91</v>
      </c>
      <c r="AE28" s="21">
        <v>92</v>
      </c>
      <c r="AF28" s="21">
        <v>28</v>
      </c>
      <c r="AG28" s="21">
        <v>82</v>
      </c>
      <c r="AH28" s="21">
        <v>67</v>
      </c>
      <c r="AI28" s="6">
        <f>H$1*((-2*10^-6)*H28^3+0.00032*H28^2-0.0021*H28)+I$1*((-2*10^-6)*I28^3+0.00032*I28^2-0.0021*I28)+J$1*((-2*10^-6)*J28^3+0.00032*J28^2-0.0021*J28)+K$1*((-2*10^-6)*K28^3+0.00032*K28^2-0.0021*K28)+L$1*((-2*10^-6)*L28^3+0.00032*L28^2-0.0021*L28)</f>
        <v>2.4663196000000012</v>
      </c>
      <c r="AJ28" s="6">
        <f>(M$1*M28+N$1*N28+O$1*O28)/100</f>
        <v>1.127</v>
      </c>
      <c r="AK28" s="6">
        <f>IF(AA28&lt;50,W$1*((-2*10^-6)*W28^3+0.00032*W28^2-0.0021*W28)+X$1*((-2*10^-6)*X28^3+0.00032*X28^2-0.0021*X28)+Y$1*((-2*10^-6)*Y28^3+0.00032*Y28^2-0.0021*Y28)+Z$1*((-2*10^-6)*Z28^3+0.00032*Z28^2-0.0021*Z28),X$2*((-2*10^-6)*X28^3+0.00032*X28^2-0.0021*AA28)+Y$2*((-2*10^-6)*Y28^3+0.00032*Y28^2-0.0021*Y28)+Z$2*((-2*10^-6)*Z28^3+0.00032*Z28^2-0.0021*Z28)+ AA$2*((-2*10^-6)*AA28^3+0.00032*AA28^2-0.0021*AA28))</f>
        <v>3.0903020000000008</v>
      </c>
      <c r="AL28" s="6">
        <f>(AB$1*AB28+AC$1*AC28)/100</f>
        <v>0.84599999999999997</v>
      </c>
      <c r="AM28" s="6">
        <f>AD$1*((-2*10^-6)*AD28^3+0.00032*AD28^2-0.0021*AD28)+AE$1*((-2*10^-6)*AE28^3+0.00032*AE28^2-0.0021*AE28)+AF$1*((-2*10^-6)*AF28^3+0.00032*AF28^2-0.0021*AF28)+AG$1*((-2*10^-6)*AG28^3+0.00032*AG28^2-0.0021*AG28)</f>
        <v>1.1499604000000003</v>
      </c>
    </row>
    <row r="29" spans="1:39" ht="15" thickBot="1" x14ac:dyDescent="0.35">
      <c r="A29" s="6">
        <f>(AI29*H$3+AJ29*M$3+AK29*W$3+AL29*AB$3+AM29*AD$3)*100/(AI$5*H$3+AJ$5*M$3+AK$5*W$3+AL$5*AB$3+AM$5*AD$3)</f>
        <v>54.070408994598452</v>
      </c>
      <c r="B29" s="20">
        <v>182</v>
      </c>
      <c r="C29" s="13" t="s">
        <v>210</v>
      </c>
      <c r="D29" s="21" t="s">
        <v>4</v>
      </c>
      <c r="E29" s="21" t="s">
        <v>21</v>
      </c>
      <c r="F29" s="21" t="s">
        <v>19</v>
      </c>
      <c r="G29" s="21">
        <v>18</v>
      </c>
      <c r="H29" s="21">
        <v>0</v>
      </c>
      <c r="I29" s="21">
        <v>100</v>
      </c>
      <c r="J29" s="21">
        <v>51</v>
      </c>
      <c r="K29" s="21">
        <v>44</v>
      </c>
      <c r="L29" s="21">
        <v>99</v>
      </c>
      <c r="M29" s="21">
        <v>31</v>
      </c>
      <c r="N29" s="21">
        <v>42</v>
      </c>
      <c r="O29" s="21">
        <v>28</v>
      </c>
      <c r="P29" s="21">
        <v>62</v>
      </c>
      <c r="Q29" s="20">
        <v>182</v>
      </c>
      <c r="R29" s="13" t="s">
        <v>210</v>
      </c>
      <c r="S29" s="21" t="s">
        <v>4</v>
      </c>
      <c r="T29" s="21" t="s">
        <v>21</v>
      </c>
      <c r="U29" s="21" t="s">
        <v>19</v>
      </c>
      <c r="V29" s="21">
        <v>18</v>
      </c>
      <c r="W29" s="21">
        <v>36</v>
      </c>
      <c r="X29" s="21">
        <v>26</v>
      </c>
      <c r="Y29" s="21">
        <v>19</v>
      </c>
      <c r="Z29" s="21">
        <v>34</v>
      </c>
      <c r="AA29" s="21">
        <v>30</v>
      </c>
      <c r="AB29" s="21">
        <v>100</v>
      </c>
      <c r="AC29" s="21">
        <v>99</v>
      </c>
      <c r="AD29" s="21">
        <v>1</v>
      </c>
      <c r="AE29" s="21">
        <v>92</v>
      </c>
      <c r="AF29" s="21">
        <v>100</v>
      </c>
      <c r="AG29" s="21">
        <v>57</v>
      </c>
      <c r="AH29" s="21">
        <v>62</v>
      </c>
      <c r="AI29" s="6">
        <f>H$1*((-2*10^-6)*H29^3+0.00032*H29^2-0.0021*H29)+I$1*((-2*10^-6)*I29^3+0.00032*I29^2-0.0021*I29)+J$1*((-2*10^-6)*J29^3+0.00032*J29^2-0.0021*J29)+K$1*((-2*10^-6)*K29^3+0.00032*K29^2-0.0021*K29)+L$1*((-2*10^-6)*L29^3+0.00032*L29^2-0.0021*L29)</f>
        <v>4.7145608000000019</v>
      </c>
      <c r="AJ29" s="6">
        <f>(M$1*M29+N$1*N29+O$1*O29)/100</f>
        <v>0.42199999999999993</v>
      </c>
      <c r="AK29" s="6">
        <f>IF(AA29&lt;50,W$1*((-2*10^-6)*W29^3+0.00032*W29^2-0.0021*W29)+X$1*((-2*10^-6)*X29^3+0.00032*X29^2-0.0021*X29)+Y$1*((-2*10^-6)*Y29^3+0.00032*Y29^2-0.0021*Y29)+Z$1*((-2*10^-6)*Z29^3+0.00032*Z29^2-0.0021*Z29),X$2*((-2*10^-6)*X29^3+0.00032*X29^2-0.0021*AA29)+Y$2*((-2*10^-6)*Y29^3+0.00032*Y29^2-0.0021*Y29)+Z$2*((-2*10^-6)*Z29^3+0.00032*Z29^2-0.0021*Z29)+ AA$2*((-2*10^-6)*AA29^3+0.00032*AA29^2-0.0021*AA29))</f>
        <v>0.65419000000000005</v>
      </c>
      <c r="AL29" s="6">
        <f>(AB$1*AB29+AC$1*AC29)/100</f>
        <v>0.998</v>
      </c>
      <c r="AM29" s="6">
        <f>AD$1*((-2*10^-6)*AD29^3+0.00032*AD29^2-0.0021*AD29)+AE$1*((-2*10^-6)*AE29^3+0.00032*AE29^2-0.0021*AE29)+AF$1*((-2*10^-6)*AF29^3+0.00032*AF29^2-0.0021*AF29)+AG$1*((-2*10^-6)*AG29^3+0.00032*AG29^2-0.0021*AG29)</f>
        <v>0.2479678000000001</v>
      </c>
    </row>
    <row r="30" spans="1:39" ht="15" thickBot="1" x14ac:dyDescent="0.35">
      <c r="A30" s="6">
        <f>(AI30*H$3+AJ30*M$3+AK30*W$3+AL30*AB$3+AM30*AD$3)*100/(AI$5*H$3+AJ$5*M$3+AK$5*W$3+AL$5*AB$3+AM$5*AD$3)</f>
        <v>52.273470709361654</v>
      </c>
      <c r="B30" s="20">
        <v>68</v>
      </c>
      <c r="C30" s="13" t="s">
        <v>96</v>
      </c>
      <c r="D30" s="21" t="s">
        <v>7</v>
      </c>
      <c r="E30" s="21" t="s">
        <v>19</v>
      </c>
      <c r="F30" s="21" t="s">
        <v>19</v>
      </c>
      <c r="G30" s="21">
        <v>20</v>
      </c>
      <c r="H30" s="21">
        <v>62</v>
      </c>
      <c r="I30" s="21">
        <v>34</v>
      </c>
      <c r="J30" s="21">
        <v>28</v>
      </c>
      <c r="K30" s="21">
        <v>0</v>
      </c>
      <c r="L30" s="21">
        <v>39</v>
      </c>
      <c r="M30" s="21">
        <v>96</v>
      </c>
      <c r="N30" s="21">
        <v>58</v>
      </c>
      <c r="O30" s="21">
        <v>89</v>
      </c>
      <c r="P30" s="21">
        <v>66</v>
      </c>
      <c r="Q30" s="20">
        <v>68</v>
      </c>
      <c r="R30" s="13" t="s">
        <v>96</v>
      </c>
      <c r="S30" s="21" t="s">
        <v>7</v>
      </c>
      <c r="T30" s="21" t="s">
        <v>19</v>
      </c>
      <c r="U30" s="21" t="s">
        <v>19</v>
      </c>
      <c r="V30" s="21">
        <v>20</v>
      </c>
      <c r="W30" s="21">
        <v>100</v>
      </c>
      <c r="X30" s="21">
        <v>80</v>
      </c>
      <c r="Y30" s="21">
        <v>95</v>
      </c>
      <c r="Z30" s="21">
        <v>100</v>
      </c>
      <c r="AA30" s="21">
        <v>40</v>
      </c>
      <c r="AB30" s="21">
        <v>83</v>
      </c>
      <c r="AC30" s="21">
        <v>100</v>
      </c>
      <c r="AD30" s="21">
        <v>57</v>
      </c>
      <c r="AE30" s="21">
        <v>45</v>
      </c>
      <c r="AF30" s="21">
        <v>23</v>
      </c>
      <c r="AG30" s="21">
        <v>41</v>
      </c>
      <c r="AH30" s="21">
        <v>66</v>
      </c>
      <c r="AI30" s="6">
        <f>H$1*((-2*10^-6)*H30^3+0.00032*H30^2-0.0021*H30)+I$1*((-2*10^-6)*I30^3+0.00032*I30^2-0.0021*I30)+J$1*((-2*10^-6)*J30^3+0.00032*J30^2-0.0021*J30)+K$1*((-2*10^-6)*K30^3+0.00032*K30^2-0.0021*K30)+L$1*((-2*10^-6)*L30^3+0.00032*L30^2-0.0021*L30)</f>
        <v>1.7815540000000003</v>
      </c>
      <c r="AJ30" s="6">
        <f>(M$1*M30+N$1*N30+O$1*O30)/100</f>
        <v>1.165</v>
      </c>
      <c r="AK30" s="6">
        <f>IF(AA30&lt;50,W$1*((-2*10^-6)*W30^3+0.00032*W30^2-0.0021*W30)+X$1*((-2*10^-6)*X30^3+0.00032*X30^2-0.0021*X30)+Y$1*((-2*10^-6)*Y30^3+0.00032*Y30^2-0.0021*Y30)+Z$1*((-2*10^-6)*Z30^3+0.00032*Z30^2-0.0021*Z30),X$2*((-2*10^-6)*X30^3+0.00032*X30^2-0.0021*AA30)+Y$2*((-2*10^-6)*Y30^3+0.00032*Y30^2-0.0021*Y30)+Z$2*((-2*10^-6)*Z30^3+0.00032*Z30^2-0.0021*Z30)+ AA$2*((-2*10^-6)*AA30^3+0.00032*AA30^2-0.0021*AA30))</f>
        <v>3.8097500000000011</v>
      </c>
      <c r="AL30" s="6">
        <f>(AB$1*AB30+AC$1*AC30)/100</f>
        <v>0.8640000000000001</v>
      </c>
      <c r="AM30" s="6">
        <f>AD$1*((-2*10^-6)*AD30^3+0.00032*AD30^2-0.0021*AD30)+AE$1*((-2*10^-6)*AE30^3+0.00032*AE30^2-0.0021*AE30)+AF$1*((-2*10^-6)*AF30^3+0.00032*AF30^2-0.0021*AF30)+AG$1*((-2*10^-6)*AG30^3+0.00032*AG30^2-0.0021*AG30)</f>
        <v>0.62778140000000016</v>
      </c>
    </row>
    <row r="31" spans="1:39" ht="15" thickBot="1" x14ac:dyDescent="0.35">
      <c r="A31" s="6">
        <f>(AI31*H$3+AJ31*M$3+AK31*W$3+AL31*AB$3+AM31*AD$3)*100/(AI$5*H$3+AJ$5*M$3+AK$5*W$3+AL$5*AB$3+AM$5*AD$3)</f>
        <v>51.973672744635756</v>
      </c>
      <c r="B31" s="20">
        <v>42</v>
      </c>
      <c r="C31" s="13" t="s">
        <v>70</v>
      </c>
      <c r="D31" s="21" t="s">
        <v>7</v>
      </c>
      <c r="E31" s="21" t="s">
        <v>19</v>
      </c>
      <c r="F31" s="21" t="s">
        <v>19</v>
      </c>
      <c r="G31" s="21">
        <v>18</v>
      </c>
      <c r="H31" s="21">
        <v>44</v>
      </c>
      <c r="I31" s="21">
        <v>60</v>
      </c>
      <c r="J31" s="21">
        <v>74</v>
      </c>
      <c r="K31" s="21">
        <v>16</v>
      </c>
      <c r="L31" s="21">
        <v>88</v>
      </c>
      <c r="M31" s="21">
        <v>42</v>
      </c>
      <c r="N31" s="21">
        <v>50</v>
      </c>
      <c r="O31" s="21">
        <v>20</v>
      </c>
      <c r="P31" s="21">
        <v>61</v>
      </c>
      <c r="Q31" s="20">
        <v>42</v>
      </c>
      <c r="R31" s="13" t="s">
        <v>70</v>
      </c>
      <c r="S31" s="21" t="s">
        <v>7</v>
      </c>
      <c r="T31" s="21" t="s">
        <v>19</v>
      </c>
      <c r="U31" s="21" t="s">
        <v>19</v>
      </c>
      <c r="V31" s="21">
        <v>18</v>
      </c>
      <c r="W31" s="21">
        <v>9</v>
      </c>
      <c r="X31" s="21">
        <v>15</v>
      </c>
      <c r="Y31" s="21">
        <v>69</v>
      </c>
      <c r="Z31" s="21">
        <v>84</v>
      </c>
      <c r="AA31" s="21">
        <v>61</v>
      </c>
      <c r="AB31" s="21">
        <v>79</v>
      </c>
      <c r="AC31" s="21">
        <v>99</v>
      </c>
      <c r="AD31" s="21">
        <v>4</v>
      </c>
      <c r="AE31" s="21">
        <v>70</v>
      </c>
      <c r="AF31" s="21">
        <v>27</v>
      </c>
      <c r="AG31" s="21">
        <v>63</v>
      </c>
      <c r="AH31" s="21">
        <v>61</v>
      </c>
      <c r="AI31" s="6">
        <f>H$1*((-2*10^-6)*H31^3+0.00032*H31^2-0.0021*H31)+I$1*((-2*10^-6)*I31^3+0.00032*I31^2-0.0021*I31)+J$1*((-2*10^-6)*J31^3+0.00032*J31^2-0.0021*J31)+K$1*((-2*10^-6)*K31^3+0.00032*K31^2-0.0021*K31)+L$1*((-2*10^-6)*L31^3+0.00032*L31^2-0.0021*L31)</f>
        <v>4.0954768000000019</v>
      </c>
      <c r="AJ31" s="6">
        <f>(M$1*M31+N$1*N31+O$1*O31)/100</f>
        <v>0.54</v>
      </c>
      <c r="AK31" s="6">
        <f>IF(AA31&lt;50,W$1*((-2*10^-6)*W31^3+0.00032*W31^2-0.0021*W31)+X$1*((-2*10^-6)*X31^3+0.00032*X31^2-0.0021*X31)+Y$1*((-2*10^-6)*Y31^3+0.00032*Y31^2-0.0021*Y31)+Z$1*((-2*10^-6)*Z31^3+0.00032*Z31^2-0.0021*Z31),X$2*((-2*10^-6)*X31^3+0.00032*X31^2-0.0021*AA31)+Y$2*((-2*10^-6)*Y31^3+0.00032*Y31^2-0.0021*Y31)+Z$2*((-2*10^-6)*Z31^3+0.00032*Z31^2-0.0021*Z31)+ AA$2*((-2*10^-6)*AA31^3+0.00032*AA31^2-0.0021*AA31))</f>
        <v>1.2257226000000001</v>
      </c>
      <c r="AL31" s="6">
        <f>(AB$1*AB31+AC$1*AC31)/100</f>
        <v>0.83</v>
      </c>
      <c r="AM31" s="6">
        <f>AD$1*((-2*10^-6)*AD31^3+0.00032*AD31^2-0.0021*AD31)+AE$1*((-2*10^-6)*AE31^3+0.00032*AE31^2-0.0021*AE31)+AF$1*((-2*10^-6)*AF31^3+0.00032*AF31^2-0.0021*AF31)+AG$1*((-2*10^-6)*AG31^3+0.00032*AG31^2-0.0021*AG31)</f>
        <v>0.14758200000000005</v>
      </c>
    </row>
    <row r="32" spans="1:39" ht="15" thickBot="1" x14ac:dyDescent="0.35">
      <c r="A32" s="6">
        <f>(AI32*H$3+AJ32*M$3+AK32*W$3+AL32*AB$3+AM32*AD$3)*100/(AI$5*H$3+AJ$5*M$3+AK$5*W$3+AL$5*AB$3+AM$5*AD$3)</f>
        <v>50.661999313617223</v>
      </c>
      <c r="B32" s="20">
        <v>44</v>
      </c>
      <c r="C32" s="13" t="s">
        <v>72</v>
      </c>
      <c r="D32" s="21" t="s">
        <v>8</v>
      </c>
      <c r="E32" s="21" t="s">
        <v>19</v>
      </c>
      <c r="F32" s="21" t="s">
        <v>19</v>
      </c>
      <c r="G32" s="21">
        <v>18</v>
      </c>
      <c r="H32" s="21">
        <v>59</v>
      </c>
      <c r="I32" s="21">
        <v>46</v>
      </c>
      <c r="J32" s="21">
        <v>21</v>
      </c>
      <c r="K32" s="21">
        <v>32</v>
      </c>
      <c r="L32" s="21">
        <v>56</v>
      </c>
      <c r="M32" s="21">
        <v>73</v>
      </c>
      <c r="N32" s="21">
        <v>29</v>
      </c>
      <c r="O32" s="21">
        <v>76</v>
      </c>
      <c r="P32" s="21">
        <v>63</v>
      </c>
      <c r="Q32" s="20">
        <v>44</v>
      </c>
      <c r="R32" s="13" t="s">
        <v>72</v>
      </c>
      <c r="S32" s="21" t="s">
        <v>8</v>
      </c>
      <c r="T32" s="21" t="s">
        <v>19</v>
      </c>
      <c r="U32" s="21" t="s">
        <v>19</v>
      </c>
      <c r="V32" s="21">
        <v>18</v>
      </c>
      <c r="W32" s="21">
        <v>71</v>
      </c>
      <c r="X32" s="21">
        <v>66</v>
      </c>
      <c r="Y32" s="21">
        <v>46</v>
      </c>
      <c r="Z32" s="21">
        <v>63</v>
      </c>
      <c r="AA32" s="21">
        <v>17</v>
      </c>
      <c r="AB32" s="21">
        <v>77</v>
      </c>
      <c r="AC32" s="21">
        <v>88</v>
      </c>
      <c r="AD32" s="21">
        <v>69</v>
      </c>
      <c r="AE32" s="21">
        <v>74</v>
      </c>
      <c r="AF32" s="21">
        <v>14</v>
      </c>
      <c r="AG32" s="21">
        <v>97</v>
      </c>
      <c r="AH32" s="21">
        <v>63</v>
      </c>
      <c r="AI32" s="6">
        <f>H$1*((-2*10^-6)*H32^3+0.00032*H32^2-0.0021*H32)+I$1*((-2*10^-6)*I32^3+0.00032*I32^2-0.0021*I32)+J$1*((-2*10^-6)*J32^3+0.00032*J32^2-0.0021*J32)+K$1*((-2*10^-6)*K32^3+0.00032*K32^2-0.0021*K32)+L$1*((-2*10^-6)*L32^3+0.00032*L32^2-0.0021*L32)</f>
        <v>2.7303256000000014</v>
      </c>
      <c r="AJ32" s="6">
        <f>(M$1*M32+N$1*N32+O$1*O32)/100</f>
        <v>0.86399999999999988</v>
      </c>
      <c r="AK32" s="6">
        <f>IF(AA32&lt;50,W$1*((-2*10^-6)*W32^3+0.00032*W32^2-0.0021*W32)+X$1*((-2*10^-6)*X32^3+0.00032*X32^2-0.0021*X32)+Y$1*((-2*10^-6)*Y32^3+0.00032*Y32^2-0.0021*Y32)+Z$1*((-2*10^-6)*Z32^3+0.00032*Z32^2-0.0021*Z32),X$2*((-2*10^-6)*X32^3+0.00032*X32^2-0.0021*AA32)+Y$2*((-2*10^-6)*Y32^3+0.00032*Y32^2-0.0021*Y32)+Z$2*((-2*10^-6)*Z32^3+0.00032*Z32^2-0.0021*Z32)+ AA$2*((-2*10^-6)*AA32^3+0.00032*AA32^2-0.0021*AA32))</f>
        <v>2.4520600000000004</v>
      </c>
      <c r="AL32" s="6">
        <f>(AB$1*AB32+AC$1*AC32)/100</f>
        <v>0.79200000000000004</v>
      </c>
      <c r="AM32" s="6">
        <f>AD$1*((-2*10^-6)*AD32^3+0.00032*AD32^2-0.0021*AD32)+AE$1*((-2*10^-6)*AE32^3+0.00032*AE32^2-0.0021*AE32)+AF$1*((-2*10^-6)*AF32^3+0.00032*AF32^2-0.0021*AF32)+AG$1*((-2*10^-6)*AG32^3+0.00032*AG32^2-0.0021*AG32)</f>
        <v>0.90121580000000023</v>
      </c>
    </row>
    <row r="33" spans="1:39" ht="15" thickBot="1" x14ac:dyDescent="0.35">
      <c r="A33" s="6">
        <f>(AI33*H$3+AJ33*M$3+AK33*W$3+AL33*AB$3+AM33*AD$3)*100/(AI$5*H$3+AJ$5*M$3+AK$5*W$3+AL$5*AB$3+AM$5*AD$3)</f>
        <v>50.029231997373827</v>
      </c>
      <c r="B33" s="20">
        <v>26</v>
      </c>
      <c r="C33" s="13" t="s">
        <v>54</v>
      </c>
      <c r="D33" s="21" t="s">
        <v>6</v>
      </c>
      <c r="E33" s="21" t="s">
        <v>21</v>
      </c>
      <c r="F33" s="21" t="s">
        <v>20</v>
      </c>
      <c r="G33" s="21">
        <v>18</v>
      </c>
      <c r="H33" s="21">
        <v>48</v>
      </c>
      <c r="I33" s="21">
        <v>43</v>
      </c>
      <c r="J33" s="21">
        <v>66</v>
      </c>
      <c r="K33" s="21">
        <v>56</v>
      </c>
      <c r="L33" s="21">
        <v>44</v>
      </c>
      <c r="M33" s="21">
        <v>69</v>
      </c>
      <c r="N33" s="21">
        <v>73</v>
      </c>
      <c r="O33" s="21">
        <v>43</v>
      </c>
      <c r="P33" s="21">
        <v>69</v>
      </c>
      <c r="Q33" s="20">
        <v>26</v>
      </c>
      <c r="R33" s="13" t="s">
        <v>54</v>
      </c>
      <c r="S33" s="21" t="s">
        <v>6</v>
      </c>
      <c r="T33" s="21" t="s">
        <v>21</v>
      </c>
      <c r="U33" s="21" t="s">
        <v>20</v>
      </c>
      <c r="V33" s="21">
        <v>18</v>
      </c>
      <c r="W33" s="21">
        <v>56</v>
      </c>
      <c r="X33" s="21">
        <v>66</v>
      </c>
      <c r="Y33" s="21">
        <v>52</v>
      </c>
      <c r="Z33" s="21">
        <v>60</v>
      </c>
      <c r="AA33" s="21">
        <v>2</v>
      </c>
      <c r="AB33" s="21">
        <v>93</v>
      </c>
      <c r="AC33" s="21">
        <v>71</v>
      </c>
      <c r="AD33" s="21">
        <v>83</v>
      </c>
      <c r="AE33" s="21">
        <v>41</v>
      </c>
      <c r="AF33" s="21">
        <v>40</v>
      </c>
      <c r="AG33" s="21">
        <v>100</v>
      </c>
      <c r="AH33" s="21">
        <v>69</v>
      </c>
      <c r="AI33" s="6">
        <f>H$1*((-2*10^-6)*H33^3+0.00032*H33^2-0.0021*H33)+I$1*((-2*10^-6)*I33^3+0.00032*I33^2-0.0021*I33)+J$1*((-2*10^-6)*J33^3+0.00032*J33^2-0.0021*J33)+K$1*((-2*10^-6)*K33^3+0.00032*K33^2-0.0021*K33)+L$1*((-2*10^-6)*L33^3+0.00032*L33^2-0.0021*L33)</f>
        <v>2.720829600000001</v>
      </c>
      <c r="AJ33" s="6">
        <f>(M$1*M33+N$1*N33+O$1*O33)/100</f>
        <v>0.87899999999999989</v>
      </c>
      <c r="AK33" s="6">
        <f>IF(AA33&lt;50,W$1*((-2*10^-6)*W33^3+0.00032*W33^2-0.0021*W33)+X$1*((-2*10^-6)*X33^3+0.00032*X33^2-0.0021*X33)+Y$1*((-2*10^-6)*Y33^3+0.00032*Y33^2-0.0021*Y33)+Z$1*((-2*10^-6)*Z33^3+0.00032*Z33^2-0.0021*Z33),X$2*((-2*10^-6)*X33^3+0.00032*X33^2-0.0021*AA33)+Y$2*((-2*10^-6)*Y33^3+0.00032*Y33^2-0.0021*Y33)+Z$2*((-2*10^-6)*Z33^3+0.00032*Z33^2-0.0021*Z33)+ AA$2*((-2*10^-6)*AA33^3+0.00032*AA33^2-0.0021*AA33))</f>
        <v>2.2838800000000008</v>
      </c>
      <c r="AL33" s="6">
        <f>(AB$1*AB33+AC$1*AC33)/100</f>
        <v>0.88600000000000012</v>
      </c>
      <c r="AM33" s="6">
        <f>AD$1*((-2*10^-6)*AD33^3+0.00032*AD33^2-0.0021*AD33)+AE$1*((-2*10^-6)*AE33^3+0.00032*AE33^2-0.0021*AE33)+AF$1*((-2*10^-6)*AF33^3+0.00032*AF33^2-0.0021*AF33)+AG$1*((-2*10^-6)*AG33^3+0.00032*AG33^2-0.0021*AG33)</f>
        <v>1.0470038000000004</v>
      </c>
    </row>
    <row r="34" spans="1:39" ht="15" thickBot="1" x14ac:dyDescent="0.35">
      <c r="A34" s="6">
        <f>(AI34*H$3+AJ34*M$3+AK34*W$3+AL34*AB$3+AM34*AD$3)*100/(AI$5*H$3+AJ$5*M$3+AK$5*W$3+AL$5*AB$3+AM$5*AD$3)</f>
        <v>49.585065952430682</v>
      </c>
      <c r="B34" s="20">
        <v>56</v>
      </c>
      <c r="C34" s="13" t="s">
        <v>84</v>
      </c>
      <c r="D34" s="21" t="s">
        <v>6</v>
      </c>
      <c r="E34" s="21" t="s">
        <v>19</v>
      </c>
      <c r="F34" s="21" t="s">
        <v>19</v>
      </c>
      <c r="G34" s="21">
        <v>18</v>
      </c>
      <c r="H34" s="21">
        <v>54</v>
      </c>
      <c r="I34" s="21">
        <v>9</v>
      </c>
      <c r="J34" s="21">
        <v>59</v>
      </c>
      <c r="K34" s="21">
        <v>58</v>
      </c>
      <c r="L34" s="21">
        <v>73</v>
      </c>
      <c r="M34" s="21">
        <v>45</v>
      </c>
      <c r="N34" s="21">
        <v>92</v>
      </c>
      <c r="O34" s="21">
        <v>36</v>
      </c>
      <c r="P34" s="21">
        <v>61</v>
      </c>
      <c r="Q34" s="20">
        <v>56</v>
      </c>
      <c r="R34" s="13" t="s">
        <v>84</v>
      </c>
      <c r="S34" s="21" t="s">
        <v>6</v>
      </c>
      <c r="T34" s="21" t="s">
        <v>19</v>
      </c>
      <c r="U34" s="21" t="s">
        <v>19</v>
      </c>
      <c r="V34" s="21">
        <v>18</v>
      </c>
      <c r="W34" s="21">
        <v>66</v>
      </c>
      <c r="X34" s="21">
        <v>57</v>
      </c>
      <c r="Y34" s="21">
        <v>43</v>
      </c>
      <c r="Z34" s="21">
        <v>54</v>
      </c>
      <c r="AA34" s="21">
        <v>0</v>
      </c>
      <c r="AB34" s="21">
        <v>89</v>
      </c>
      <c r="AC34" s="21">
        <v>89</v>
      </c>
      <c r="AD34" s="21">
        <v>45</v>
      </c>
      <c r="AE34" s="21">
        <v>77</v>
      </c>
      <c r="AF34" s="21">
        <v>31</v>
      </c>
      <c r="AG34" s="21">
        <v>41</v>
      </c>
      <c r="AH34" s="21">
        <v>61</v>
      </c>
      <c r="AI34" s="6">
        <f>H$1*((-2*10^-6)*H34^3+0.00032*H34^2-0.0021*H34)+I$1*((-2*10^-6)*I34^3+0.00032*I34^2-0.0021*I34)+J$1*((-2*10^-6)*J34^3+0.00032*J34^2-0.0021*J34)+K$1*((-2*10^-6)*K34^3+0.00032*K34^2-0.0021*K34)+L$1*((-2*10^-6)*L34^3+0.00032*L34^2-0.0021*L34)</f>
        <v>3.017719200000001</v>
      </c>
      <c r="AJ34" s="6">
        <f>(M$1*M34+N$1*N34+O$1*O34)/100</f>
        <v>0.67</v>
      </c>
      <c r="AK34" s="6">
        <f>IF(AA34&lt;50,W$1*((-2*10^-6)*W34^3+0.00032*W34^2-0.0021*W34)+X$1*((-2*10^-6)*X34^3+0.00032*X34^2-0.0021*X34)+Y$1*((-2*10^-6)*Y34^3+0.00032*Y34^2-0.0021*Y34)+Z$1*((-2*10^-6)*Z34^3+0.00032*Z34^2-0.0021*Z34),X$2*((-2*10^-6)*X34^3+0.00032*X34^2-0.0021*AA34)+Y$2*((-2*10^-6)*Y34^3+0.00032*Y34^2-0.0021*Y34)+Z$2*((-2*10^-6)*Z34^3+0.00032*Z34^2-0.0021*Z34)+ AA$2*((-2*10^-6)*AA34^3+0.00032*AA34^2-0.0021*AA34))</f>
        <v>2.0770800000000005</v>
      </c>
      <c r="AL34" s="6">
        <f>(AB$1*AB34+AC$1*AC34)/100</f>
        <v>0.89</v>
      </c>
      <c r="AM34" s="6">
        <f>AD$1*((-2*10^-6)*AD34^3+0.00032*AD34^2-0.0021*AD34)+AE$1*((-2*10^-6)*AE34^3+0.00032*AE34^2-0.0021*AE34)+AF$1*((-2*10^-6)*AF34^3+0.00032*AF34^2-0.0021*AF34)+AG$1*((-2*10^-6)*AG34^3+0.00032*AG34^2-0.0021*AG34)</f>
        <v>0.50318300000000005</v>
      </c>
    </row>
    <row r="35" spans="1:39" ht="15" thickBot="1" x14ac:dyDescent="0.35">
      <c r="A35" s="6">
        <f>(AI35*H$3+AJ35*M$3+AK35*W$3+AL35*AB$3+AM35*AD$3)*100/(AI$5*H$3+AJ$5*M$3+AK$5*W$3+AL$5*AB$3+AM$5*AD$3)</f>
        <v>49.23671849353903</v>
      </c>
      <c r="B35" s="18">
        <v>55</v>
      </c>
      <c r="C35" s="12" t="s">
        <v>83</v>
      </c>
      <c r="D35" s="19" t="s">
        <v>9</v>
      </c>
      <c r="E35" s="19" t="s">
        <v>20</v>
      </c>
      <c r="F35" s="19" t="s">
        <v>20</v>
      </c>
      <c r="G35" s="19">
        <v>18</v>
      </c>
      <c r="H35" s="19">
        <v>67</v>
      </c>
      <c r="I35" s="19">
        <v>68</v>
      </c>
      <c r="J35" s="19">
        <v>45</v>
      </c>
      <c r="K35" s="19">
        <v>59</v>
      </c>
      <c r="L35" s="19">
        <v>51</v>
      </c>
      <c r="M35" s="19">
        <v>45</v>
      </c>
      <c r="N35" s="19">
        <v>2</v>
      </c>
      <c r="O35" s="19">
        <v>34</v>
      </c>
      <c r="P35" s="19">
        <v>61</v>
      </c>
      <c r="Q35" s="18">
        <v>55</v>
      </c>
      <c r="R35" s="12" t="s">
        <v>83</v>
      </c>
      <c r="S35" s="19" t="s">
        <v>9</v>
      </c>
      <c r="T35" s="19" t="s">
        <v>20</v>
      </c>
      <c r="U35" s="19" t="s">
        <v>20</v>
      </c>
      <c r="V35" s="19">
        <v>18</v>
      </c>
      <c r="W35" s="19">
        <v>37</v>
      </c>
      <c r="X35" s="19">
        <v>50</v>
      </c>
      <c r="Y35" s="19">
        <v>32</v>
      </c>
      <c r="Z35" s="19">
        <v>36</v>
      </c>
      <c r="AA35" s="19">
        <v>0</v>
      </c>
      <c r="AB35" s="19">
        <v>85</v>
      </c>
      <c r="AC35" s="19">
        <v>80</v>
      </c>
      <c r="AD35" s="19">
        <v>30</v>
      </c>
      <c r="AE35" s="19">
        <v>67</v>
      </c>
      <c r="AF35" s="19">
        <v>89</v>
      </c>
      <c r="AG35" s="19">
        <v>87</v>
      </c>
      <c r="AH35" s="19">
        <v>61</v>
      </c>
      <c r="AI35" s="6">
        <f>H$1*((-2*10^-6)*H35^3+0.00032*H35^2-0.0021*H35)+I$1*((-2*10^-6)*I35^3+0.00032*I35^2-0.0021*I35)+J$1*((-2*10^-6)*J35^3+0.00032*J35^2-0.0021*J35)+K$1*((-2*10^-6)*K35^3+0.00032*K35^2-0.0021*K35)+L$1*((-2*10^-6)*L35^3+0.00032*L35^2-0.0021*L35)</f>
        <v>3.8082652000000001</v>
      </c>
      <c r="AJ35" s="6">
        <f>(M$1*M35+N$1*N35+O$1*O35)/100</f>
        <v>0.48799999999999999</v>
      </c>
      <c r="AK35" s="6">
        <f>IF(AA35&lt;50,W$1*((-2*10^-6)*W35^3+0.00032*W35^2-0.0021*W35)+X$1*((-2*10^-6)*X35^3+0.00032*X35^2-0.0021*X35)+Y$1*((-2*10^-6)*Y35^3+0.00032*Y35^2-0.0021*Y35)+Z$1*((-2*10^-6)*Z35^3+0.00032*Z35^2-0.0021*Z35),X$2*((-2*10^-6)*X35^3+0.00032*X35^2-0.0021*AA35)+Y$2*((-2*10^-6)*Y35^3+0.00032*Y35^2-0.0021*Y35)+Z$2*((-2*10^-6)*Z35^3+0.00032*Z35^2-0.0021*Z35)+ AA$2*((-2*10^-6)*AA35^3+0.00032*AA35^2-0.0021*AA35))</f>
        <v>1.1448260000000001</v>
      </c>
      <c r="AL35" s="6">
        <f>(AB$1*AB35+AC$1*AC35)/100</f>
        <v>0.84</v>
      </c>
      <c r="AM35" s="6">
        <f>AD$1*((-2*10^-6)*AD35^3+0.00032*AD35^2-0.0021*AD35)+AE$1*((-2*10^-6)*AE35^3+0.00032*AE35^2-0.0021*AE35)+AF$1*((-2*10^-6)*AF35^3+0.00032*AF35^2-0.0021*AF35)+AG$1*((-2*10^-6)*AG35^3+0.00032*AG35^2-0.0021*AG35)</f>
        <v>0.42645100000000014</v>
      </c>
    </row>
    <row r="36" spans="1:39" ht="15" thickBot="1" x14ac:dyDescent="0.35">
      <c r="A36" s="6">
        <f>(AI36*H$3+AJ36*M$3+AK36*W$3+AL36*AB$3+AM36*AD$3)*100/(AI$5*H$3+AJ$5*M$3+AK$5*W$3+AL$5*AB$3+AM$5*AD$3)</f>
        <v>49.108510997045563</v>
      </c>
      <c r="B36" s="18">
        <v>31</v>
      </c>
      <c r="C36" s="12" t="s">
        <v>59</v>
      </c>
      <c r="D36" s="19" t="s">
        <v>3</v>
      </c>
      <c r="E36" s="19" t="s">
        <v>19</v>
      </c>
      <c r="F36" s="19" t="s">
        <v>19</v>
      </c>
      <c r="G36" s="19">
        <v>18</v>
      </c>
      <c r="H36" s="19">
        <v>41</v>
      </c>
      <c r="I36" s="19">
        <v>34</v>
      </c>
      <c r="J36" s="19">
        <v>18</v>
      </c>
      <c r="K36" s="19">
        <v>54</v>
      </c>
      <c r="L36" s="19">
        <v>23</v>
      </c>
      <c r="M36" s="19">
        <v>78</v>
      </c>
      <c r="N36" s="19">
        <v>77</v>
      </c>
      <c r="O36" s="19">
        <v>28</v>
      </c>
      <c r="P36" s="19">
        <v>67</v>
      </c>
      <c r="Q36" s="18">
        <v>31</v>
      </c>
      <c r="R36" s="12" t="s">
        <v>59</v>
      </c>
      <c r="S36" s="19" t="s">
        <v>3</v>
      </c>
      <c r="T36" s="19" t="s">
        <v>19</v>
      </c>
      <c r="U36" s="19" t="s">
        <v>19</v>
      </c>
      <c r="V36" s="19">
        <v>18</v>
      </c>
      <c r="W36" s="19">
        <v>93</v>
      </c>
      <c r="X36" s="19">
        <v>93</v>
      </c>
      <c r="Y36" s="19">
        <v>90</v>
      </c>
      <c r="Z36" s="19">
        <v>96</v>
      </c>
      <c r="AA36" s="19">
        <v>39</v>
      </c>
      <c r="AB36" s="19">
        <v>93</v>
      </c>
      <c r="AC36" s="19">
        <v>60</v>
      </c>
      <c r="AD36" s="19">
        <v>64</v>
      </c>
      <c r="AE36" s="19">
        <v>61</v>
      </c>
      <c r="AF36" s="19">
        <v>59</v>
      </c>
      <c r="AG36" s="19">
        <v>83</v>
      </c>
      <c r="AH36" s="19">
        <v>67</v>
      </c>
      <c r="AI36" s="6">
        <f>H$1*((-2*10^-6)*H36^3+0.00032*H36^2-0.0021*H36)+I$1*((-2*10^-6)*I36^3+0.00032*I36^2-0.0021*I36)+J$1*((-2*10^-6)*J36^3+0.00032*J36^2-0.0021*J36)+K$1*((-2*10^-6)*K36^3+0.00032*K36^2-0.0021*K36)+L$1*((-2*10^-6)*L36^3+0.00032*L36^2-0.0021*L36)</f>
        <v>1.4027864000000003</v>
      </c>
      <c r="AJ36" s="6">
        <f>(M$1*M36+N$1*N36+O$1*O36)/100</f>
        <v>0.96200000000000008</v>
      </c>
      <c r="AK36" s="6">
        <f>IF(AA36&lt;50,W$1*((-2*10^-6)*W36^3+0.00032*W36^2-0.0021*W36)+X$1*((-2*10^-6)*X36^3+0.00032*X36^2-0.0021*X36)+Y$1*((-2*10^-6)*Y36^3+0.00032*Y36^2-0.0021*Y36)+Z$1*((-2*10^-6)*Z36^3+0.00032*Z36^2-0.0021*Z36),X$2*((-2*10^-6)*X36^3+0.00032*X36^2-0.0021*AA36)+Y$2*((-2*10^-6)*Y36^3+0.00032*Y36^2-0.0021*Y36)+Z$2*((-2*10^-6)*Z36^3+0.00032*Z36^2-0.0021*Z36)+ AA$2*((-2*10^-6)*AA36^3+0.00032*AA36^2-0.0021*AA36))</f>
        <v>3.8503800000000012</v>
      </c>
      <c r="AL36" s="6">
        <f>(AB$1*AB36+AC$1*AC36)/100</f>
        <v>0.8640000000000001</v>
      </c>
      <c r="AM36" s="6">
        <f>AD$1*((-2*10^-6)*AD36^3+0.00032*AD36^2-0.0021*AD36)+AE$1*((-2*10^-6)*AE36^3+0.00032*AE36^2-0.0021*AE36)+AF$1*((-2*10^-6)*AF36^3+0.00032*AF36^2-0.0021*AF36)+AG$1*((-2*10^-6)*AG36^3+0.00032*AG36^2-0.0021*AG36)</f>
        <v>0.85948460000000027</v>
      </c>
    </row>
    <row r="37" spans="1:39" ht="15" thickBot="1" x14ac:dyDescent="0.35">
      <c r="A37" s="6">
        <f>(AI37*H$3+AJ37*M$3+AK37*W$3+AL37*AB$3+AM37*AD$3)*100/(AI$5*H$3+AJ$5*M$3+AK$5*W$3+AL$5*AB$3+AM$5*AD$3)</f>
        <v>49.02679623384762</v>
      </c>
      <c r="B37" s="20">
        <v>190</v>
      </c>
      <c r="C37" s="13" t="s">
        <v>218</v>
      </c>
      <c r="D37" s="21" t="s">
        <v>4</v>
      </c>
      <c r="E37" s="21" t="s">
        <v>20</v>
      </c>
      <c r="F37" s="21" t="s">
        <v>20</v>
      </c>
      <c r="G37" s="21">
        <v>18</v>
      </c>
      <c r="H37" s="21">
        <v>58</v>
      </c>
      <c r="I37" s="21">
        <v>77</v>
      </c>
      <c r="J37" s="21">
        <v>52</v>
      </c>
      <c r="K37" s="21">
        <v>49</v>
      </c>
      <c r="L37" s="21">
        <v>58</v>
      </c>
      <c r="M37" s="21">
        <v>17</v>
      </c>
      <c r="N37" s="21">
        <v>55</v>
      </c>
      <c r="O37" s="21">
        <v>61</v>
      </c>
      <c r="P37" s="21">
        <v>58</v>
      </c>
      <c r="Q37" s="20">
        <v>190</v>
      </c>
      <c r="R37" s="13" t="s">
        <v>218</v>
      </c>
      <c r="S37" s="21" t="s">
        <v>4</v>
      </c>
      <c r="T37" s="21" t="s">
        <v>20</v>
      </c>
      <c r="U37" s="21" t="s">
        <v>20</v>
      </c>
      <c r="V37" s="21">
        <v>18</v>
      </c>
      <c r="W37" s="21">
        <v>42</v>
      </c>
      <c r="X37" s="21">
        <v>29</v>
      </c>
      <c r="Y37" s="21">
        <v>23</v>
      </c>
      <c r="Z37" s="21">
        <v>40</v>
      </c>
      <c r="AA37" s="21">
        <v>9</v>
      </c>
      <c r="AB37" s="21">
        <v>80</v>
      </c>
      <c r="AC37" s="21">
        <v>66</v>
      </c>
      <c r="AD37" s="21">
        <v>28</v>
      </c>
      <c r="AE37" s="21">
        <v>76</v>
      </c>
      <c r="AF37" s="21">
        <v>7</v>
      </c>
      <c r="AG37" s="21">
        <v>100</v>
      </c>
      <c r="AH37" s="21">
        <v>58</v>
      </c>
      <c r="AI37" s="6">
        <f>H$1*((-2*10^-6)*H37^3+0.00032*H37^2-0.0021*H37)+I$1*((-2*10^-6)*I37^3+0.00032*I37^2-0.0021*I37)+J$1*((-2*10^-6)*J37^3+0.00032*J37^2-0.0021*J37)+K$1*((-2*10^-6)*K37^3+0.00032*K37^2-0.0021*K37)+L$1*((-2*10^-6)*L37^3+0.00032*L37^2-0.0021*L37)</f>
        <v>4.0803032000000012</v>
      </c>
      <c r="AJ37" s="6">
        <f>(M$1*M37+N$1*N37+O$1*O37)/100</f>
        <v>0.34100000000000003</v>
      </c>
      <c r="AK37" s="6">
        <f>IF(AA37&lt;50,W$1*((-2*10^-6)*W37^3+0.00032*W37^2-0.0021*W37)+X$1*((-2*10^-6)*X37^3+0.00032*X37^2-0.0021*X37)+Y$1*((-2*10^-6)*Y37^3+0.00032*Y37^2-0.0021*Y37)+Z$1*((-2*10^-6)*Z37^3+0.00032*Z37^2-0.0021*Z37),X$2*((-2*10^-6)*X37^3+0.00032*X37^2-0.0021*AA37)+Y$2*((-2*10^-6)*Y37^3+0.00032*Y37^2-0.0021*Y37)+Z$2*((-2*10^-6)*Z37^3+0.00032*Z37^2-0.0021*Z37)+ AA$2*((-2*10^-6)*AA37^3+0.00032*AA37^2-0.0021*AA37))</f>
        <v>0.8841920000000002</v>
      </c>
      <c r="AL37" s="6">
        <f>(AB$1*AB37+AC$1*AC37)/100</f>
        <v>0.77200000000000002</v>
      </c>
      <c r="AM37" s="6">
        <f>AD$1*((-2*10^-6)*AD37^3+0.00032*AD37^2-0.0021*AD37)+AE$1*((-2*10^-6)*AE37^3+0.00032*AE37^2-0.0021*AE37)+AF$1*((-2*10^-6)*AF37^3+0.00032*AF37^2-0.0021*AF37)+AG$1*((-2*10^-6)*AG37^3+0.00032*AG37^2-0.0021*AG37)</f>
        <v>0.32828220000000014</v>
      </c>
    </row>
    <row r="38" spans="1:39" ht="15" thickBot="1" x14ac:dyDescent="0.35">
      <c r="A38" s="6">
        <f>(AI38*H$3+AJ38*M$3+AK38*W$3+AL38*AB$3+AM38*AD$3)*100/(AI$5*H$3+AJ$5*M$3+AK$5*W$3+AL$5*AB$3+AM$5*AD$3)</f>
        <v>48.919184696648657</v>
      </c>
      <c r="B38" s="18">
        <v>183</v>
      </c>
      <c r="C38" s="12" t="s">
        <v>211</v>
      </c>
      <c r="D38" s="19" t="s">
        <v>4</v>
      </c>
      <c r="E38" s="19" t="s">
        <v>19</v>
      </c>
      <c r="F38" s="19" t="s">
        <v>19</v>
      </c>
      <c r="G38" s="19">
        <v>18</v>
      </c>
      <c r="H38" s="19">
        <v>57</v>
      </c>
      <c r="I38" s="19">
        <v>65</v>
      </c>
      <c r="J38" s="19">
        <v>41</v>
      </c>
      <c r="K38" s="19">
        <v>50</v>
      </c>
      <c r="L38" s="19">
        <v>59</v>
      </c>
      <c r="M38" s="19">
        <v>62</v>
      </c>
      <c r="N38" s="19">
        <v>24</v>
      </c>
      <c r="O38" s="19">
        <v>15</v>
      </c>
      <c r="P38" s="19">
        <v>60</v>
      </c>
      <c r="Q38" s="18">
        <v>183</v>
      </c>
      <c r="R38" s="12" t="s">
        <v>211</v>
      </c>
      <c r="S38" s="19" t="s">
        <v>4</v>
      </c>
      <c r="T38" s="19" t="s">
        <v>19</v>
      </c>
      <c r="U38" s="19" t="s">
        <v>19</v>
      </c>
      <c r="V38" s="19">
        <v>18</v>
      </c>
      <c r="W38" s="19">
        <v>5</v>
      </c>
      <c r="X38" s="19">
        <v>13</v>
      </c>
      <c r="Y38" s="19">
        <v>57</v>
      </c>
      <c r="Z38" s="19">
        <v>63</v>
      </c>
      <c r="AA38" s="19">
        <v>49</v>
      </c>
      <c r="AB38" s="19">
        <v>77</v>
      </c>
      <c r="AC38" s="19">
        <v>94</v>
      </c>
      <c r="AD38" s="19">
        <v>31</v>
      </c>
      <c r="AE38" s="19">
        <v>77</v>
      </c>
      <c r="AF38" s="19">
        <v>38</v>
      </c>
      <c r="AG38" s="19">
        <v>96</v>
      </c>
      <c r="AH38" s="19">
        <v>60</v>
      </c>
      <c r="AI38" s="6">
        <f>H$1*((-2*10^-6)*H38^3+0.00032*H38^2-0.0021*H38)+I$1*((-2*10^-6)*I38^3+0.00032*I38^2-0.0021*I38)+J$1*((-2*10^-6)*J38^3+0.00032*J38^2-0.0021*J38)+K$1*((-2*10^-6)*K38^3+0.00032*K38^2-0.0021*K38)+L$1*((-2*10^-6)*L38^3+0.00032*L38^2-0.0021*L38)</f>
        <v>3.7008572000000006</v>
      </c>
      <c r="AJ38" s="6">
        <f>(M$1*M38+N$1*N38+O$1*O38)/100</f>
        <v>0.68299999999999994</v>
      </c>
      <c r="AK38" s="6">
        <f>IF(AA38&lt;50,W$1*((-2*10^-6)*W38^3+0.00032*W38^2-0.0021*W38)+X$1*((-2*10^-6)*X38^3+0.00032*X38^2-0.0021*X38)+Y$1*((-2*10^-6)*Y38^3+0.00032*Y38^2-0.0021*Y38)+Z$1*((-2*10^-6)*Z38^3+0.00032*Z38^2-0.0021*Z38),X$2*((-2*10^-6)*X38^3+0.00032*X38^2-0.0021*AA38)+Y$2*((-2*10^-6)*Y38^3+0.00032*Y38^2-0.0021*Y38)+Z$2*((-2*10^-6)*Z38^3+0.00032*Z38^2-0.0021*Z38)+ AA$2*((-2*10^-6)*AA38^3+0.00032*AA38^2-0.0021*AA38))</f>
        <v>1.2069160000000003</v>
      </c>
      <c r="AL38" s="6">
        <f>(AB$1*AB38+AC$1*AC38)/100</f>
        <v>0.80400000000000005</v>
      </c>
      <c r="AM38" s="6">
        <f>AD$1*((-2*10^-6)*AD38^3+0.00032*AD38^2-0.0021*AD38)+AE$1*((-2*10^-6)*AE38^3+0.00032*AE38^2-0.0021*AE38)+AF$1*((-2*10^-6)*AF38^3+0.00032*AF38^2-0.0021*AF38)+AG$1*((-2*10^-6)*AG38^3+0.00032*AG38^2-0.0021*AG38)</f>
        <v>0.39014780000000004</v>
      </c>
    </row>
    <row r="39" spans="1:39" ht="15" thickBot="1" x14ac:dyDescent="0.35">
      <c r="A39" s="6">
        <f>(AI39*H$3+AJ39*M$3+AK39*W$3+AL39*AB$3+AM39*AD$3)*100/(AI$5*H$3+AJ$5*M$3+AK$5*W$3+AL$5*AB$3+AM$5*AD$3)</f>
        <v>48.456150884836902</v>
      </c>
      <c r="B39" s="20">
        <v>40</v>
      </c>
      <c r="C39" s="13" t="s">
        <v>68</v>
      </c>
      <c r="D39" s="21" t="s">
        <v>8</v>
      </c>
      <c r="E39" s="21" t="s">
        <v>19</v>
      </c>
      <c r="F39" s="21" t="s">
        <v>19</v>
      </c>
      <c r="G39" s="21">
        <v>18</v>
      </c>
      <c r="H39" s="21">
        <v>85</v>
      </c>
      <c r="I39" s="21">
        <v>19</v>
      </c>
      <c r="J39" s="21">
        <v>45</v>
      </c>
      <c r="K39" s="21">
        <v>50</v>
      </c>
      <c r="L39" s="21">
        <v>36</v>
      </c>
      <c r="M39" s="21">
        <v>97</v>
      </c>
      <c r="N39" s="21">
        <v>89</v>
      </c>
      <c r="O39" s="21">
        <v>37</v>
      </c>
      <c r="P39" s="21">
        <v>64</v>
      </c>
      <c r="Q39" s="20">
        <v>40</v>
      </c>
      <c r="R39" s="13" t="s">
        <v>68</v>
      </c>
      <c r="S39" s="21" t="s">
        <v>8</v>
      </c>
      <c r="T39" s="21" t="s">
        <v>19</v>
      </c>
      <c r="U39" s="21" t="s">
        <v>19</v>
      </c>
      <c r="V39" s="21">
        <v>18</v>
      </c>
      <c r="W39" s="21">
        <v>94</v>
      </c>
      <c r="X39" s="21">
        <v>70</v>
      </c>
      <c r="Y39" s="21">
        <v>47</v>
      </c>
      <c r="Z39" s="21">
        <v>65</v>
      </c>
      <c r="AA39" s="21">
        <v>6</v>
      </c>
      <c r="AB39" s="21">
        <v>69</v>
      </c>
      <c r="AC39" s="21">
        <v>85</v>
      </c>
      <c r="AD39" s="21">
        <v>90</v>
      </c>
      <c r="AE39" s="21">
        <v>62</v>
      </c>
      <c r="AF39" s="21">
        <v>27</v>
      </c>
      <c r="AG39" s="21">
        <v>55</v>
      </c>
      <c r="AH39" s="21">
        <v>64</v>
      </c>
      <c r="AI39" s="6">
        <f>H$1*((-2*10^-6)*H39^3+0.00032*H39^2-0.0021*H39)+I$1*((-2*10^-6)*I39^3+0.00032*I39^2-0.0021*I39)+J$1*((-2*10^-6)*J39^3+0.00032*J39^2-0.0021*J39)+K$1*((-2*10^-6)*K39^3+0.00032*K39^2-0.0021*K39)+L$1*((-2*10^-6)*L39^3+0.00032*L39^2-0.0021*L39)</f>
        <v>2.1485816000000009</v>
      </c>
      <c r="AJ39" s="6">
        <f>(M$1*M39+N$1*N39+O$1*O39)/100</f>
        <v>1.1850000000000001</v>
      </c>
      <c r="AK39" s="6">
        <f>IF(AA39&lt;50,W$1*((-2*10^-6)*W39^3+0.00032*W39^2-0.0021*W39)+X$1*((-2*10^-6)*X39^3+0.00032*X39^2-0.0021*X39)+Y$1*((-2*10^-6)*Y39^3+0.00032*Y39^2-0.0021*Y39)+Z$1*((-2*10^-6)*Z39^3+0.00032*Z39^2-0.0021*Z39),X$2*((-2*10^-6)*X39^3+0.00032*X39^2-0.0021*AA39)+Y$2*((-2*10^-6)*Y39^3+0.00032*Y39^2-0.0021*Y39)+Z$2*((-2*10^-6)*Z39^3+0.00032*Z39^2-0.0021*Z39)+ AA$2*((-2*10^-6)*AA39^3+0.00032*AA39^2-0.0021*AA39))</f>
        <v>2.7707360000000008</v>
      </c>
      <c r="AL39" s="6">
        <f>(AB$1*AB39+AC$1*AC39)/100</f>
        <v>0.72199999999999998</v>
      </c>
      <c r="AM39" s="6">
        <f>AD$1*((-2*10^-6)*AD39^3+0.00032*AD39^2-0.0021*AD39)+AE$1*((-2*10^-6)*AE39^3+0.00032*AE39^2-0.0021*AE39)+AF$1*((-2*10^-6)*AF39^3+0.00032*AF39^2-0.0021*AF39)+AG$1*((-2*10^-6)*AG39^3+0.00032*AG39^2-0.0021*AG39)</f>
        <v>1.0730188000000003</v>
      </c>
    </row>
    <row r="40" spans="1:39" ht="15" thickBot="1" x14ac:dyDescent="0.35">
      <c r="A40" s="6">
        <f>(AI40*H$3+AJ40*M$3+AK40*W$3+AL40*AB$3+AM40*AD$3)*100/(AI$5*H$3+AJ$5*M$3+AK$5*W$3+AL$5*AB$3+AM$5*AD$3)</f>
        <v>48.252199707541244</v>
      </c>
      <c r="B40" s="18">
        <v>85</v>
      </c>
      <c r="C40" s="12" t="s">
        <v>113</v>
      </c>
      <c r="D40" s="19" t="s">
        <v>8</v>
      </c>
      <c r="E40" s="19" t="s">
        <v>19</v>
      </c>
      <c r="F40" s="19" t="s">
        <v>19</v>
      </c>
      <c r="G40" s="19">
        <v>18</v>
      </c>
      <c r="H40" s="19">
        <v>39</v>
      </c>
      <c r="I40" s="19">
        <v>60</v>
      </c>
      <c r="J40" s="19">
        <v>6</v>
      </c>
      <c r="K40" s="19">
        <v>0</v>
      </c>
      <c r="L40" s="19">
        <v>40</v>
      </c>
      <c r="M40" s="19">
        <v>46</v>
      </c>
      <c r="N40" s="19">
        <v>62</v>
      </c>
      <c r="O40" s="19">
        <v>59</v>
      </c>
      <c r="P40" s="19">
        <v>54</v>
      </c>
      <c r="Q40" s="18">
        <v>85</v>
      </c>
      <c r="R40" s="12" t="s">
        <v>113</v>
      </c>
      <c r="S40" s="19" t="s">
        <v>8</v>
      </c>
      <c r="T40" s="19" t="s">
        <v>19</v>
      </c>
      <c r="U40" s="19" t="s">
        <v>19</v>
      </c>
      <c r="V40" s="19">
        <v>18</v>
      </c>
      <c r="W40" s="19">
        <v>70</v>
      </c>
      <c r="X40" s="19">
        <v>63</v>
      </c>
      <c r="Y40" s="19">
        <v>79</v>
      </c>
      <c r="Z40" s="19">
        <v>80</v>
      </c>
      <c r="AA40" s="19">
        <v>10</v>
      </c>
      <c r="AB40" s="19">
        <v>98</v>
      </c>
      <c r="AC40" s="19">
        <v>92</v>
      </c>
      <c r="AD40" s="19">
        <v>8</v>
      </c>
      <c r="AE40" s="19">
        <v>67</v>
      </c>
      <c r="AF40" s="19">
        <v>38</v>
      </c>
      <c r="AG40" s="19">
        <v>66</v>
      </c>
      <c r="AH40" s="19">
        <v>54</v>
      </c>
      <c r="AI40" s="6">
        <f>H$1*((-2*10^-6)*H40^3+0.00032*H40^2-0.0021*H40)+I$1*((-2*10^-6)*I40^3+0.00032*I40^2-0.0021*I40)+J$1*((-2*10^-6)*J40^3+0.00032*J40^2-0.0021*J40)+K$1*((-2*10^-6)*K40^3+0.00032*K40^2-0.0021*K40)+L$1*((-2*10^-6)*L40^3+0.00032*L40^2-0.0021*L40)</f>
        <v>2.1332748000000006</v>
      </c>
      <c r="AJ40" s="6">
        <f>(M$1*M40+N$1*N40+O$1*O40)/100</f>
        <v>0.64300000000000002</v>
      </c>
      <c r="AK40" s="6">
        <f>IF(AA40&lt;50,W$1*((-2*10^-6)*W40^3+0.00032*W40^2-0.0021*W40)+X$1*((-2*10^-6)*X40^3+0.00032*X40^2-0.0021*X40)+Y$1*((-2*10^-6)*Y40^3+0.00032*Y40^2-0.0021*Y40)+Z$1*((-2*10^-6)*Z40^3+0.00032*Z40^2-0.0021*Z40),X$2*((-2*10^-6)*X40^3+0.00032*X40^2-0.0021*AA40)+Y$2*((-2*10^-6)*Y40^3+0.00032*Y40^2-0.0021*Y40)+Z$2*((-2*10^-6)*Z40^3+0.00032*Z40^2-0.0021*Z40)+ AA$2*((-2*10^-6)*AA40^3+0.00032*AA40^2-0.0021*AA40))</f>
        <v>3.0738280000000007</v>
      </c>
      <c r="AL40" s="6">
        <f>(AB$1*AB40+AC$1*AC40)/100</f>
        <v>0.96800000000000008</v>
      </c>
      <c r="AM40" s="6">
        <f>AD$1*((-2*10^-6)*AD40^3+0.00032*AD40^2-0.0021*AD40)+AE$1*((-2*10^-6)*AE40^3+0.00032*AE40^2-0.0021*AE40)+AF$1*((-2*10^-6)*AF40^3+0.00032*AF40^2-0.0021*AF40)+AG$1*((-2*10^-6)*AG40^3+0.00032*AG40^2-0.0021*AG40)</f>
        <v>0.16736780000000001</v>
      </c>
    </row>
    <row r="41" spans="1:39" ht="15" thickBot="1" x14ac:dyDescent="0.35">
      <c r="A41" s="6">
        <f>(AI41*H$3+AJ41*M$3+AK41*W$3+AL41*AB$3+AM41*AD$3)*100/(AI$5*H$3+AJ$5*M$3+AK$5*W$3+AL$5*AB$3+AM$5*AD$3)</f>
        <v>48.212002447103757</v>
      </c>
      <c r="B41" s="20">
        <v>60</v>
      </c>
      <c r="C41" s="13" t="s">
        <v>88</v>
      </c>
      <c r="D41" s="21" t="s">
        <v>6</v>
      </c>
      <c r="E41" s="21" t="s">
        <v>21</v>
      </c>
      <c r="F41" s="21" t="s">
        <v>19</v>
      </c>
      <c r="G41" s="21">
        <v>18</v>
      </c>
      <c r="H41" s="21">
        <v>46</v>
      </c>
      <c r="I41" s="21">
        <v>88</v>
      </c>
      <c r="J41" s="21">
        <v>42</v>
      </c>
      <c r="K41" s="21">
        <v>27</v>
      </c>
      <c r="L41" s="21">
        <v>41</v>
      </c>
      <c r="M41" s="21">
        <v>58</v>
      </c>
      <c r="N41" s="21">
        <v>25</v>
      </c>
      <c r="O41" s="21">
        <v>47</v>
      </c>
      <c r="P41" s="21">
        <v>60</v>
      </c>
      <c r="Q41" s="20">
        <v>60</v>
      </c>
      <c r="R41" s="13" t="s">
        <v>88</v>
      </c>
      <c r="S41" s="21" t="s">
        <v>6</v>
      </c>
      <c r="T41" s="21" t="s">
        <v>21</v>
      </c>
      <c r="U41" s="21" t="s">
        <v>19</v>
      </c>
      <c r="V41" s="21">
        <v>18</v>
      </c>
      <c r="W41" s="21">
        <v>53</v>
      </c>
      <c r="X41" s="21">
        <v>48</v>
      </c>
      <c r="Y41" s="21">
        <v>41</v>
      </c>
      <c r="Z41" s="21">
        <v>49</v>
      </c>
      <c r="AA41" s="21">
        <v>26</v>
      </c>
      <c r="AB41" s="21">
        <v>86</v>
      </c>
      <c r="AC41" s="21">
        <v>98</v>
      </c>
      <c r="AD41" s="21">
        <v>36</v>
      </c>
      <c r="AE41" s="21">
        <v>46</v>
      </c>
      <c r="AF41" s="21">
        <v>81</v>
      </c>
      <c r="AG41" s="21">
        <v>18</v>
      </c>
      <c r="AH41" s="21">
        <v>60</v>
      </c>
      <c r="AI41" s="6">
        <f>H$1*((-2*10^-6)*H41^3+0.00032*H41^2-0.0021*H41)+I$1*((-2*10^-6)*I41^3+0.00032*I41^2-0.0021*I41)+J$1*((-2*10^-6)*J41^3+0.00032*J41^2-0.0021*J41)+K$1*((-2*10^-6)*K41^3+0.00032*K41^2-0.0021*K41)+L$1*((-2*10^-6)*L41^3+0.00032*L41^2-0.0021*L41)</f>
        <v>3.2439052000000008</v>
      </c>
      <c r="AJ41" s="6">
        <f>(M$1*M41+N$1*N41+O$1*O41)/100</f>
        <v>0.67700000000000005</v>
      </c>
      <c r="AK41" s="6">
        <f>IF(AA41&lt;50,W$1*((-2*10^-6)*W41^3+0.00032*W41^2-0.0021*W41)+X$1*((-2*10^-6)*X41^3+0.00032*X41^2-0.0021*X41)+Y$1*((-2*10^-6)*Y41^3+0.00032*Y41^2-0.0021*Y41)+Z$1*((-2*10^-6)*Z41^3+0.00032*Z41^2-0.0021*Z41),X$2*((-2*10^-6)*X41^3+0.00032*X41^2-0.0021*AA41)+Y$2*((-2*10^-6)*Y41^3+0.00032*Y41^2-0.0021*Y41)+Z$2*((-2*10^-6)*Z41^3+0.00032*Z41^2-0.0021*Z41)+ AA$2*((-2*10^-6)*AA41^3+0.00032*AA41^2-0.0021*AA41))</f>
        <v>1.6492220000000004</v>
      </c>
      <c r="AL41" s="6">
        <f>(AB$1*AB41+AC$1*AC41)/100</f>
        <v>0.88400000000000001</v>
      </c>
      <c r="AM41" s="6">
        <f>AD$1*((-2*10^-6)*AD41^3+0.00032*AD41^2-0.0021*AD41)+AE$1*((-2*10^-6)*AE41^3+0.00032*AE41^2-0.0021*AE41)+AF$1*((-2*10^-6)*AF41^3+0.00032*AF41^2-0.0021*AF41)+AG$1*((-2*10^-6)*AG41^3+0.00032*AG41^2-0.0021*AG41)</f>
        <v>0.37646820000000009</v>
      </c>
    </row>
    <row r="42" spans="1:39" ht="15" thickBot="1" x14ac:dyDescent="0.35">
      <c r="A42" s="6">
        <f>(AI42*H$3+AJ42*M$3+AK42*W$3+AL42*AB$3+AM42*AD$3)*100/(AI$5*H$3+AJ$5*M$3+AK$5*W$3+AL$5*AB$3+AM$5*AD$3)</f>
        <v>46.634080097884137</v>
      </c>
      <c r="B42" s="20">
        <v>184</v>
      </c>
      <c r="C42" s="13" t="s">
        <v>212</v>
      </c>
      <c r="D42" s="21" t="s">
        <v>4</v>
      </c>
      <c r="E42" s="21" t="s">
        <v>19</v>
      </c>
      <c r="F42" s="21" t="s">
        <v>19</v>
      </c>
      <c r="G42" s="21">
        <v>22</v>
      </c>
      <c r="H42" s="21">
        <v>71</v>
      </c>
      <c r="I42" s="21">
        <v>18</v>
      </c>
      <c r="J42" s="21">
        <v>84</v>
      </c>
      <c r="K42" s="21">
        <v>31</v>
      </c>
      <c r="L42" s="21">
        <v>49</v>
      </c>
      <c r="M42" s="21">
        <v>64</v>
      </c>
      <c r="N42" s="21">
        <v>59</v>
      </c>
      <c r="O42" s="21">
        <v>16</v>
      </c>
      <c r="P42" s="21">
        <v>59</v>
      </c>
      <c r="Q42" s="20">
        <v>184</v>
      </c>
      <c r="R42" s="13" t="s">
        <v>212</v>
      </c>
      <c r="S42" s="21" t="s">
        <v>4</v>
      </c>
      <c r="T42" s="21" t="s">
        <v>19</v>
      </c>
      <c r="U42" s="21" t="s">
        <v>19</v>
      </c>
      <c r="V42" s="21">
        <v>22</v>
      </c>
      <c r="W42" s="21">
        <v>0</v>
      </c>
      <c r="X42" s="21">
        <v>56</v>
      </c>
      <c r="Y42" s="21">
        <v>94</v>
      </c>
      <c r="Z42" s="21">
        <v>93</v>
      </c>
      <c r="AA42" s="21">
        <v>41</v>
      </c>
      <c r="AB42" s="21">
        <v>91</v>
      </c>
      <c r="AC42" s="21">
        <v>35</v>
      </c>
      <c r="AD42" s="21">
        <v>7</v>
      </c>
      <c r="AE42" s="21">
        <v>100</v>
      </c>
      <c r="AF42" s="21">
        <v>7</v>
      </c>
      <c r="AG42" s="21">
        <v>51</v>
      </c>
      <c r="AH42" s="21">
        <v>59</v>
      </c>
      <c r="AI42" s="6">
        <f>H$1*((-2*10^-6)*H42^3+0.00032*H42^2-0.0021*H42)+I$1*((-2*10^-6)*I42^3+0.00032*I42^2-0.0021*I42)+J$1*((-2*10^-6)*J42^3+0.00032*J42^2-0.0021*J42)+K$1*((-2*10^-6)*K42^3+0.00032*K42^2-0.0021*K42)+L$1*((-2*10^-6)*L42^3+0.00032*L42^2-0.0021*L42)</f>
        <v>2.4868360000000012</v>
      </c>
      <c r="AJ42" s="6">
        <f>(M$1*M42+N$1*N42+O$1*O42)/100</f>
        <v>0.77399999999999991</v>
      </c>
      <c r="AK42" s="6">
        <f>IF(AA42&lt;50,W$1*((-2*10^-6)*W42^3+0.00032*W42^2-0.0021*W42)+X$1*((-2*10^-6)*X42^3+0.00032*X42^2-0.0021*X42)+Y$1*((-2*10^-6)*Y42^3+0.00032*Y42^2-0.0021*Y42)+Z$1*((-2*10^-6)*Z42^3+0.00032*Z42^2-0.0021*Z42),X$2*((-2*10^-6)*X42^3+0.00032*X42^2-0.0021*AA42)+Y$2*((-2*10^-6)*Y42^3+0.00032*Y42^2-0.0021*Y42)+Z$2*((-2*10^-6)*Z42^3+0.00032*Z42^2-0.0021*Z42)+ AA$2*((-2*10^-6)*AA42^3+0.00032*AA42^2-0.0021*AA42))</f>
        <v>2.4673060000000007</v>
      </c>
      <c r="AL42" s="6">
        <f>(AB$1*AB42+AC$1*AC42)/100</f>
        <v>0.79799999999999993</v>
      </c>
      <c r="AM42" s="6">
        <f>AD$1*((-2*10^-6)*AD42^3+0.00032*AD42^2-0.0021*AD42)+AE$1*((-2*10^-6)*AE42^3+0.00032*AE42^2-0.0021*AE42)+AF$1*((-2*10^-6)*AF42^3+0.00032*AF42^2-0.0021*AF42)+AG$1*((-2*10^-6)*AG42^3+0.00032*AG42^2-0.0021*AG42)</f>
        <v>0.14531520000000003</v>
      </c>
    </row>
    <row r="43" spans="1:39" ht="15" thickBot="1" x14ac:dyDescent="0.35">
      <c r="A43" s="6">
        <f>(AI43*H$3+AJ43*M$3+AK43*W$3+AL43*AB$3+AM43*AD$3)*100/(AI$5*H$3+AJ$5*M$3+AK$5*W$3+AL$5*AB$3+AM$5*AD$3)</f>
        <v>45.81955250828134</v>
      </c>
      <c r="B43" s="18">
        <v>91</v>
      </c>
      <c r="C43" s="12" t="s">
        <v>119</v>
      </c>
      <c r="D43" s="19" t="s">
        <v>9</v>
      </c>
      <c r="E43" s="19" t="s">
        <v>20</v>
      </c>
      <c r="F43" s="19" t="s">
        <v>20</v>
      </c>
      <c r="G43" s="19">
        <v>18</v>
      </c>
      <c r="H43" s="19">
        <v>21</v>
      </c>
      <c r="I43" s="19">
        <v>88</v>
      </c>
      <c r="J43" s="19">
        <v>18</v>
      </c>
      <c r="K43" s="19">
        <v>41</v>
      </c>
      <c r="L43" s="19">
        <v>50</v>
      </c>
      <c r="M43" s="19">
        <v>18</v>
      </c>
      <c r="N43" s="19">
        <v>23</v>
      </c>
      <c r="O43" s="19">
        <v>38</v>
      </c>
      <c r="P43" s="19">
        <v>53</v>
      </c>
      <c r="Q43" s="18">
        <v>91</v>
      </c>
      <c r="R43" s="12" t="s">
        <v>119</v>
      </c>
      <c r="S43" s="19" t="s">
        <v>9</v>
      </c>
      <c r="T43" s="19" t="s">
        <v>20</v>
      </c>
      <c r="U43" s="19" t="s">
        <v>20</v>
      </c>
      <c r="V43" s="19">
        <v>18</v>
      </c>
      <c r="W43" s="19">
        <v>47</v>
      </c>
      <c r="X43" s="19">
        <v>42</v>
      </c>
      <c r="Y43" s="19">
        <v>40</v>
      </c>
      <c r="Z43" s="19">
        <v>56</v>
      </c>
      <c r="AA43" s="19">
        <v>29</v>
      </c>
      <c r="AB43" s="19">
        <v>86</v>
      </c>
      <c r="AC43" s="19">
        <v>99</v>
      </c>
      <c r="AD43" s="19">
        <v>3</v>
      </c>
      <c r="AE43" s="19">
        <v>42</v>
      </c>
      <c r="AF43" s="19">
        <v>75</v>
      </c>
      <c r="AG43" s="19">
        <v>67</v>
      </c>
      <c r="AH43" s="19">
        <v>53</v>
      </c>
      <c r="AI43" s="6">
        <f>H$1*((-2*10^-6)*H43^3+0.00032*H43^2-0.0021*H43)+I$1*((-2*10^-6)*I43^3+0.00032*I43^2-0.0021*I43)+J$1*((-2*10^-6)*J43^3+0.00032*J43^2-0.0021*J43)+K$1*((-2*10^-6)*K43^3+0.00032*K43^2-0.0021*K43)+L$1*((-2*10^-6)*L43^3+0.00032*L43^2-0.0021*L43)</f>
        <v>3.2018820000000008</v>
      </c>
      <c r="AJ43" s="6">
        <f>(M$1*M43+N$1*N43+O$1*O43)/100</f>
        <v>0.26400000000000001</v>
      </c>
      <c r="AK43" s="6">
        <f>IF(AA43&lt;50,W$1*((-2*10^-6)*W43^3+0.00032*W43^2-0.0021*W43)+X$1*((-2*10^-6)*X43^3+0.00032*X43^2-0.0021*X43)+Y$1*((-2*10^-6)*Y43^3+0.00032*Y43^2-0.0021*Y43)+Z$1*((-2*10^-6)*Z43^3+0.00032*Z43^2-0.0021*Z43),X$2*((-2*10^-6)*X43^3+0.00032*X43^2-0.0021*AA43)+Y$2*((-2*10^-6)*Y43^3+0.00032*Y43^2-0.0021*Y43)+Z$2*((-2*10^-6)*Z43^3+0.00032*Z43^2-0.0021*Z43)+ AA$2*((-2*10^-6)*AA43^3+0.00032*AA43^2-0.0021*AA43))</f>
        <v>1.5633260000000004</v>
      </c>
      <c r="AL43" s="6">
        <f>(AB$1*AB43+AC$1*AC43)/100</f>
        <v>0.8859999999999999</v>
      </c>
      <c r="AM43" s="6">
        <f>AD$1*((-2*10^-6)*AD43^3+0.00032*AD43^2-0.0021*AD43)+AE$1*((-2*10^-6)*AE43^3+0.00032*AE43^2-0.0021*AE43)+AF$1*((-2*10^-6)*AF43^3+0.00032*AF43^2-0.0021*AF43)+AG$1*((-2*10^-6)*AG43^3+0.00032*AG43^2-0.0021*AG43)</f>
        <v>0.17863680000000004</v>
      </c>
    </row>
    <row r="44" spans="1:39" ht="15" thickBot="1" x14ac:dyDescent="0.35">
      <c r="A44" s="6">
        <f>(AI44*H$3+AJ44*M$3+AK44*W$3+AL44*AB$3+AM44*AD$3)*100/(AI$5*H$3+AJ$5*M$3+AK$5*W$3+AL$5*AB$3+AM$5*AD$3)</f>
        <v>45.449370318421906</v>
      </c>
      <c r="B44" s="18">
        <v>69</v>
      </c>
      <c r="C44" s="12" t="s">
        <v>97</v>
      </c>
      <c r="D44" s="19" t="s">
        <v>10</v>
      </c>
      <c r="E44" s="19" t="s">
        <v>19</v>
      </c>
      <c r="F44" s="19" t="s">
        <v>19</v>
      </c>
      <c r="G44" s="19">
        <v>18</v>
      </c>
      <c r="H44" s="19">
        <v>27</v>
      </c>
      <c r="I44" s="19">
        <v>45</v>
      </c>
      <c r="J44" s="19">
        <v>33</v>
      </c>
      <c r="K44" s="19">
        <v>65</v>
      </c>
      <c r="L44" s="19">
        <v>43</v>
      </c>
      <c r="M44" s="19">
        <v>75</v>
      </c>
      <c r="N44" s="19">
        <v>92</v>
      </c>
      <c r="O44" s="19">
        <v>21</v>
      </c>
      <c r="P44" s="19">
        <v>58</v>
      </c>
      <c r="Q44" s="18">
        <v>69</v>
      </c>
      <c r="R44" s="12" t="s">
        <v>97</v>
      </c>
      <c r="S44" s="19" t="s">
        <v>10</v>
      </c>
      <c r="T44" s="19" t="s">
        <v>19</v>
      </c>
      <c r="U44" s="19" t="s">
        <v>19</v>
      </c>
      <c r="V44" s="19">
        <v>18</v>
      </c>
      <c r="W44" s="19">
        <v>59</v>
      </c>
      <c r="X44" s="19">
        <v>56</v>
      </c>
      <c r="Y44" s="19">
        <v>68</v>
      </c>
      <c r="Z44" s="19">
        <v>55</v>
      </c>
      <c r="AA44" s="19">
        <v>16</v>
      </c>
      <c r="AB44" s="19">
        <v>77</v>
      </c>
      <c r="AC44" s="19">
        <v>53</v>
      </c>
      <c r="AD44" s="19">
        <v>64</v>
      </c>
      <c r="AE44" s="19">
        <v>34</v>
      </c>
      <c r="AF44" s="19">
        <v>40</v>
      </c>
      <c r="AG44" s="19">
        <v>91</v>
      </c>
      <c r="AH44" s="19">
        <v>58</v>
      </c>
      <c r="AI44" s="6">
        <f>H$1*((-2*10^-6)*H44^3+0.00032*H44^2-0.0021*H44)+I$1*((-2*10^-6)*I44^3+0.00032*I44^2-0.0021*I44)+J$1*((-2*10^-6)*J44^3+0.00032*J44^2-0.0021*J44)+K$1*((-2*10^-6)*K44^3+0.00032*K44^2-0.0021*K44)+L$1*((-2*10^-6)*L44^3+0.00032*L44^2-0.0021*L44)</f>
        <v>2.2903028000000005</v>
      </c>
      <c r="AJ44" s="6">
        <f>(M$1*M44+N$1*N44+O$1*O44)/100</f>
        <v>0.95499999999999996</v>
      </c>
      <c r="AK44" s="6">
        <f>IF(AA44&lt;50,W$1*((-2*10^-6)*W44^3+0.00032*W44^2-0.0021*W44)+X$1*((-2*10^-6)*X44^3+0.00032*X44^2-0.0021*X44)+Y$1*((-2*10^-6)*Y44^3+0.00032*Y44^2-0.0021*Y44)+Z$1*((-2*10^-6)*Z44^3+0.00032*Z44^2-0.0021*Z44),X$2*((-2*10^-6)*X44^3+0.00032*X44^2-0.0021*AA44)+Y$2*((-2*10^-6)*Y44^3+0.00032*Y44^2-0.0021*Y44)+Z$2*((-2*10^-6)*Z44^3+0.00032*Z44^2-0.0021*Z44)+ AA$2*((-2*10^-6)*AA44^3+0.00032*AA44^2-0.0021*AA44))</f>
        <v>2.3417160000000008</v>
      </c>
      <c r="AL44" s="6">
        <f>(AB$1*AB44+AC$1*AC44)/100</f>
        <v>0.72199999999999998</v>
      </c>
      <c r="AM44" s="6">
        <f>AD$1*((-2*10^-6)*AD44^3+0.00032*AD44^2-0.0021*AD44)+AE$1*((-2*10^-6)*AE44^3+0.00032*AE44^2-0.0021*AE44)+AF$1*((-2*10^-6)*AF44^3+0.00032*AF44^2-0.0021*AF44)+AG$1*((-2*10^-6)*AG44^3+0.00032*AG44^2-0.0021*AG44)</f>
        <v>0.79919100000000021</v>
      </c>
    </row>
    <row r="45" spans="1:39" ht="15" thickBot="1" x14ac:dyDescent="0.35">
      <c r="A45" s="6">
        <f>(AI45*H$3+AJ45*M$3+AK45*W$3+AL45*AB$3+AM45*AD$3)*100/(AI$5*H$3+AJ$5*M$3+AK$5*W$3+AL$5*AB$3+AM$5*AD$3)</f>
        <v>45.220889611746081</v>
      </c>
      <c r="B45" s="18">
        <v>161</v>
      </c>
      <c r="C45" s="12" t="s">
        <v>189</v>
      </c>
      <c r="D45" s="19" t="s">
        <v>8</v>
      </c>
      <c r="E45" s="19" t="s">
        <v>21</v>
      </c>
      <c r="F45" s="19" t="s">
        <v>19</v>
      </c>
      <c r="G45" s="19">
        <v>21</v>
      </c>
      <c r="H45" s="19">
        <v>31</v>
      </c>
      <c r="I45" s="19">
        <v>3</v>
      </c>
      <c r="J45" s="19">
        <v>35</v>
      </c>
      <c r="K45" s="19">
        <v>54</v>
      </c>
      <c r="L45" s="19">
        <v>55</v>
      </c>
      <c r="M45" s="19">
        <v>78</v>
      </c>
      <c r="N45" s="19">
        <v>12</v>
      </c>
      <c r="O45" s="19">
        <v>39</v>
      </c>
      <c r="P45" s="19">
        <v>53</v>
      </c>
      <c r="Q45" s="18">
        <v>161</v>
      </c>
      <c r="R45" s="12" t="s">
        <v>189</v>
      </c>
      <c r="S45" s="19" t="s">
        <v>8</v>
      </c>
      <c r="T45" s="19" t="s">
        <v>21</v>
      </c>
      <c r="U45" s="19" t="s">
        <v>19</v>
      </c>
      <c r="V45" s="19">
        <v>21</v>
      </c>
      <c r="W45" s="19">
        <v>98</v>
      </c>
      <c r="X45" s="19">
        <v>65</v>
      </c>
      <c r="Y45" s="19">
        <v>62</v>
      </c>
      <c r="Z45" s="19">
        <v>62</v>
      </c>
      <c r="AA45" s="19">
        <v>29</v>
      </c>
      <c r="AB45" s="19">
        <v>70</v>
      </c>
      <c r="AC45" s="19">
        <v>71</v>
      </c>
      <c r="AD45" s="19">
        <v>60</v>
      </c>
      <c r="AE45" s="19">
        <v>48</v>
      </c>
      <c r="AF45" s="19">
        <v>62</v>
      </c>
      <c r="AG45" s="19">
        <v>69</v>
      </c>
      <c r="AH45" s="19">
        <v>53</v>
      </c>
      <c r="AI45" s="6">
        <f>H$1*((-2*10^-6)*H45^3+0.00032*H45^2-0.0021*H45)+I$1*((-2*10^-6)*I45^3+0.00032*I45^2-0.0021*I45)+J$1*((-2*10^-6)*J45^3+0.00032*J45^2-0.0021*J45)+K$1*((-2*10^-6)*K45^3+0.00032*K45^2-0.0021*K45)+L$1*((-2*10^-6)*L45^3+0.00032*L45^2-0.0021*L45)</f>
        <v>1.8628236000000007</v>
      </c>
      <c r="AJ45" s="6">
        <f>(M$1*M45+N$1*N45+O$1*O45)/100</f>
        <v>0.84300000000000008</v>
      </c>
      <c r="AK45" s="6">
        <f>IF(AA45&lt;50,W$1*((-2*10^-6)*W45^3+0.00032*W45^2-0.0021*W45)+X$1*((-2*10^-6)*X45^3+0.00032*X45^2-0.0021*X45)+Y$1*((-2*10^-6)*Y45^3+0.00032*Y45^2-0.0021*Y45)+Z$1*((-2*10^-6)*Z45^3+0.00032*Z45^2-0.0021*Z45),X$2*((-2*10^-6)*X45^3+0.00032*X45^2-0.0021*AA45)+Y$2*((-2*10^-6)*Y45^3+0.00032*Y45^2-0.0021*Y45)+Z$2*((-2*10^-6)*Z45^3+0.00032*Z45^2-0.0021*Z45)+ AA$2*((-2*10^-6)*AA45^3+0.00032*AA45^2-0.0021*AA45))</f>
        <v>2.8977940000000006</v>
      </c>
      <c r="AL45" s="6">
        <f>(AB$1*AB45+AC$1*AC45)/100</f>
        <v>0.70200000000000007</v>
      </c>
      <c r="AM45" s="6">
        <f>AD$1*((-2*10^-6)*AD45^3+0.00032*AD45^2-0.0021*AD45)+AE$1*((-2*10^-6)*AE45^3+0.00032*AE45^2-0.0021*AE45)+AF$1*((-2*10^-6)*AF45^3+0.00032*AF45^2-0.0021*AF45)+AG$1*((-2*10^-6)*AG45^3+0.00032*AG45^2-0.0021*AG45)</f>
        <v>0.77001220000000026</v>
      </c>
    </row>
    <row r="46" spans="1:39" ht="15" thickBot="1" x14ac:dyDescent="0.35">
      <c r="A46" s="6">
        <f>(AI46*H$3+AJ46*M$3+AK46*W$3+AL46*AB$3+AM46*AD$3)*100/(AI$5*H$3+AJ$5*M$3+AK$5*W$3+AL$5*AB$3+AM$5*AD$3)</f>
        <v>44.783743770330346</v>
      </c>
      <c r="B46" s="20">
        <v>66</v>
      </c>
      <c r="C46" s="13" t="s">
        <v>94</v>
      </c>
      <c r="D46" s="21" t="s">
        <v>7</v>
      </c>
      <c r="E46" s="21" t="s">
        <v>19</v>
      </c>
      <c r="F46" s="21" t="s">
        <v>19</v>
      </c>
      <c r="G46" s="21">
        <v>18</v>
      </c>
      <c r="H46" s="21">
        <v>44</v>
      </c>
      <c r="I46" s="21">
        <v>71</v>
      </c>
      <c r="J46" s="21">
        <v>26</v>
      </c>
      <c r="K46" s="21">
        <v>63</v>
      </c>
      <c r="L46" s="21">
        <v>47</v>
      </c>
      <c r="M46" s="21">
        <v>66</v>
      </c>
      <c r="N46" s="21">
        <v>52</v>
      </c>
      <c r="O46" s="21">
        <v>56</v>
      </c>
      <c r="P46" s="21">
        <v>58</v>
      </c>
      <c r="Q46" s="20">
        <v>66</v>
      </c>
      <c r="R46" s="13" t="s">
        <v>94</v>
      </c>
      <c r="S46" s="21" t="s">
        <v>7</v>
      </c>
      <c r="T46" s="21" t="s">
        <v>19</v>
      </c>
      <c r="U46" s="21" t="s">
        <v>19</v>
      </c>
      <c r="V46" s="21">
        <v>18</v>
      </c>
      <c r="W46" s="21">
        <v>10</v>
      </c>
      <c r="X46" s="21">
        <v>26</v>
      </c>
      <c r="Y46" s="21">
        <v>66</v>
      </c>
      <c r="Z46" s="21">
        <v>65</v>
      </c>
      <c r="AA46" s="21">
        <v>60</v>
      </c>
      <c r="AB46" s="21">
        <v>75</v>
      </c>
      <c r="AC46" s="21">
        <v>62</v>
      </c>
      <c r="AD46" s="21">
        <v>28</v>
      </c>
      <c r="AE46" s="21">
        <v>71</v>
      </c>
      <c r="AF46" s="21">
        <v>26</v>
      </c>
      <c r="AG46" s="21">
        <v>90</v>
      </c>
      <c r="AH46" s="21">
        <v>58</v>
      </c>
      <c r="AI46" s="6">
        <f>H$1*((-2*10^-6)*H46^3+0.00032*H46^2-0.0021*H46)+I$1*((-2*10^-6)*I46^3+0.00032*I46^2-0.0021*I46)+J$1*((-2*10^-6)*J46^3+0.00032*J46^2-0.0021*J46)+K$1*((-2*10^-6)*K46^3+0.00032*K46^2-0.0021*K46)+L$1*((-2*10^-6)*L46^3+0.00032*L46^2-0.0021*L46)</f>
        <v>3.3204124000000008</v>
      </c>
      <c r="AJ46" s="6">
        <f>(M$1*M46+N$1*N46+O$1*O46)/100</f>
        <v>0.82</v>
      </c>
      <c r="AK46" s="6">
        <f>IF(AA46&lt;50,W$1*((-2*10^-6)*W46^3+0.00032*W46^2-0.0021*W46)+X$1*((-2*10^-6)*X46^3+0.00032*X46^2-0.0021*X46)+Y$1*((-2*10^-6)*Y46^3+0.00032*Y46^2-0.0021*Y46)+Z$1*((-2*10^-6)*Z46^3+0.00032*Z46^2-0.0021*Z46),X$2*((-2*10^-6)*X46^3+0.00032*X46^2-0.0021*AA46)+Y$2*((-2*10^-6)*Y46^3+0.00032*Y46^2-0.0021*Y46)+Z$2*((-2*10^-6)*Z46^3+0.00032*Z46^2-0.0021*Z46)+ AA$2*((-2*10^-6)*AA46^3+0.00032*AA46^2-0.0021*AA46))</f>
        <v>1.1450726000000002</v>
      </c>
      <c r="AL46" s="6">
        <f>(AB$1*AB46+AC$1*AC46)/100</f>
        <v>0.72400000000000009</v>
      </c>
      <c r="AM46" s="6">
        <f>AD$1*((-2*10^-6)*AD46^3+0.00032*AD46^2-0.0021*AD46)+AE$1*((-2*10^-6)*AE46^3+0.00032*AE46^2-0.0021*AE46)+AF$1*((-2*10^-6)*AF46^3+0.00032*AF46^2-0.0021*AF46)+AG$1*((-2*10^-6)*AG46^3+0.00032*AG46^2-0.0021*AG46)</f>
        <v>0.33015260000000007</v>
      </c>
    </row>
    <row r="47" spans="1:39" ht="15" thickBot="1" x14ac:dyDescent="0.35">
      <c r="A47" s="6">
        <f>(AI47*H$3+AJ47*M$3+AK47*W$3+AL47*AB$3+AM47*AD$3)*100/(AI$5*H$3+AJ$5*M$3+AK$5*W$3+AL$5*AB$3+AM$5*AD$3)</f>
        <v>44.17548688412068</v>
      </c>
      <c r="B47" s="18">
        <v>39</v>
      </c>
      <c r="C47" s="12" t="s">
        <v>67</v>
      </c>
      <c r="D47" s="19" t="s">
        <v>7</v>
      </c>
      <c r="E47" s="19" t="s">
        <v>19</v>
      </c>
      <c r="F47" s="19" t="s">
        <v>19</v>
      </c>
      <c r="G47" s="19">
        <v>18</v>
      </c>
      <c r="H47" s="19">
        <v>35</v>
      </c>
      <c r="I47" s="19">
        <v>68</v>
      </c>
      <c r="J47" s="19">
        <v>35</v>
      </c>
      <c r="K47" s="19">
        <v>52</v>
      </c>
      <c r="L47" s="19">
        <v>43</v>
      </c>
      <c r="M47" s="19">
        <v>52</v>
      </c>
      <c r="N47" s="19">
        <v>91</v>
      </c>
      <c r="O47" s="19">
        <v>61</v>
      </c>
      <c r="P47" s="19">
        <v>57</v>
      </c>
      <c r="Q47" s="18">
        <v>39</v>
      </c>
      <c r="R47" s="12" t="s">
        <v>67</v>
      </c>
      <c r="S47" s="19" t="s">
        <v>7</v>
      </c>
      <c r="T47" s="19" t="s">
        <v>19</v>
      </c>
      <c r="U47" s="19" t="s">
        <v>19</v>
      </c>
      <c r="V47" s="19">
        <v>18</v>
      </c>
      <c r="W47" s="19">
        <v>20</v>
      </c>
      <c r="X47" s="19">
        <v>44</v>
      </c>
      <c r="Y47" s="19">
        <v>74</v>
      </c>
      <c r="Z47" s="19">
        <v>73</v>
      </c>
      <c r="AA47" s="19">
        <v>89</v>
      </c>
      <c r="AB47" s="19">
        <v>68</v>
      </c>
      <c r="AC47" s="19">
        <v>63</v>
      </c>
      <c r="AD47" s="19">
        <v>28</v>
      </c>
      <c r="AE47" s="19">
        <v>55</v>
      </c>
      <c r="AF47" s="19">
        <v>23</v>
      </c>
      <c r="AG47" s="19">
        <v>83</v>
      </c>
      <c r="AH47" s="19">
        <v>57</v>
      </c>
      <c r="AI47" s="6">
        <f>H$1*((-2*10^-6)*H47^3+0.00032*H47^2-0.0021*H47)+I$1*((-2*10^-6)*I47^3+0.00032*I47^2-0.0021*I47)+J$1*((-2*10^-6)*J47^3+0.00032*J47^2-0.0021*J47)+K$1*((-2*10^-6)*K47^3+0.00032*K47^2-0.0021*K47)+L$1*((-2*10^-6)*L47^3+0.00032*L47^2-0.0021*L47)</f>
        <v>2.921528400000001</v>
      </c>
      <c r="AJ47" s="6">
        <f>(M$1*M47+N$1*N47+O$1*O47)/100</f>
        <v>0.76300000000000001</v>
      </c>
      <c r="AK47" s="6">
        <f>IF(AA47&lt;50,W$1*((-2*10^-6)*W47^3+0.00032*W47^2-0.0021*W47)+X$1*((-2*10^-6)*X47^3+0.00032*X47^2-0.0021*X47)+Y$1*((-2*10^-6)*Y47^3+0.00032*Y47^2-0.0021*Y47)+Z$1*((-2*10^-6)*Z47^3+0.00032*Z47^2-0.0021*Z47),X$2*((-2*10^-6)*X47^3+0.00032*X47^2-0.0021*AA47)+Y$2*((-2*10^-6)*Y47^3+0.00032*Y47^2-0.0021*Y47)+Z$2*((-2*10^-6)*Z47^3+0.00032*Z47^2-0.0021*Z47)+ AA$2*((-2*10^-6)*AA47^3+0.00032*AA47^2-0.0021*AA47))</f>
        <v>1.6157522000000004</v>
      </c>
      <c r="AL47" s="6">
        <f>(AB$1*AB47+AC$1*AC47)/100</f>
        <v>0.67</v>
      </c>
      <c r="AM47" s="6">
        <f>AD$1*((-2*10^-6)*AD47^3+0.00032*AD47^2-0.0021*AD47)+AE$1*((-2*10^-6)*AE47^3+0.00032*AE47^2-0.0021*AE47)+AF$1*((-2*10^-6)*AF47^3+0.00032*AF47^2-0.0021*AF47)+AG$1*((-2*10^-6)*AG47^3+0.00032*AG47^2-0.0021*AG47)</f>
        <v>0.29847620000000008</v>
      </c>
    </row>
    <row r="48" spans="1:39" ht="15" thickBot="1" x14ac:dyDescent="0.35">
      <c r="A48" s="6">
        <f>(AI48*H$3+AJ48*M$3+AK48*W$3+AL48*AB$3+AM48*AD$3)*100/(AI$5*H$3+AJ$5*M$3+AK$5*W$3+AL$5*AB$3+AM$5*AD$3)</f>
        <v>43.932194037422768</v>
      </c>
      <c r="B48" s="18">
        <v>57</v>
      </c>
      <c r="C48" s="12" t="s">
        <v>85</v>
      </c>
      <c r="D48" s="19" t="s">
        <v>6</v>
      </c>
      <c r="E48" s="19" t="s">
        <v>19</v>
      </c>
      <c r="F48" s="19" t="s">
        <v>19</v>
      </c>
      <c r="G48" s="19">
        <v>18</v>
      </c>
      <c r="H48" s="19">
        <v>59</v>
      </c>
      <c r="I48" s="19">
        <v>44</v>
      </c>
      <c r="J48" s="19">
        <v>30</v>
      </c>
      <c r="K48" s="19">
        <v>33</v>
      </c>
      <c r="L48" s="19">
        <v>46</v>
      </c>
      <c r="M48" s="19">
        <v>63</v>
      </c>
      <c r="N48" s="19">
        <v>64</v>
      </c>
      <c r="O48" s="19">
        <v>25</v>
      </c>
      <c r="P48" s="19">
        <v>61</v>
      </c>
      <c r="Q48" s="18">
        <v>57</v>
      </c>
      <c r="R48" s="12" t="s">
        <v>85</v>
      </c>
      <c r="S48" s="19" t="s">
        <v>6</v>
      </c>
      <c r="T48" s="19" t="s">
        <v>19</v>
      </c>
      <c r="U48" s="19" t="s">
        <v>19</v>
      </c>
      <c r="V48" s="19">
        <v>18</v>
      </c>
      <c r="W48" s="19">
        <v>53</v>
      </c>
      <c r="X48" s="19">
        <v>62</v>
      </c>
      <c r="Y48" s="19">
        <v>43</v>
      </c>
      <c r="Z48" s="19">
        <v>57</v>
      </c>
      <c r="AA48" s="19">
        <v>13</v>
      </c>
      <c r="AB48" s="19">
        <v>85</v>
      </c>
      <c r="AC48" s="19">
        <v>100</v>
      </c>
      <c r="AD48" s="19">
        <v>50</v>
      </c>
      <c r="AE48" s="19">
        <v>57</v>
      </c>
      <c r="AF48" s="19">
        <v>58</v>
      </c>
      <c r="AG48" s="19">
        <v>94</v>
      </c>
      <c r="AH48" s="19">
        <v>61</v>
      </c>
      <c r="AI48" s="6">
        <f>H$1*((-2*10^-6)*H48^3+0.00032*H48^2-0.0021*H48)+I$1*((-2*10^-6)*I48^3+0.00032*I48^2-0.0021*I48)+J$1*((-2*10^-6)*J48^3+0.00032*J48^2-0.0021*J48)+K$1*((-2*10^-6)*K48^3+0.00032*K48^2-0.0021*K48)+L$1*((-2*10^-6)*L48^3+0.00032*L48^2-0.0021*L48)</f>
        <v>2.4100764000000008</v>
      </c>
      <c r="AJ48" s="6">
        <f>(M$1*M48+N$1*N48+O$1*O48)/100</f>
        <v>0.78299999999999992</v>
      </c>
      <c r="AK48" s="6">
        <f>IF(AA48&lt;50,W$1*((-2*10^-6)*W48^3+0.00032*W48^2-0.0021*W48)+X$1*((-2*10^-6)*X48^3+0.00032*X48^2-0.0021*X48)+Y$1*((-2*10^-6)*Y48^3+0.00032*Y48^2-0.0021*Y48)+Z$1*((-2*10^-6)*Z48^3+0.00032*Z48^2-0.0021*Z48),X$2*((-2*10^-6)*X48^3+0.00032*X48^2-0.0021*AA48)+Y$2*((-2*10^-6)*Y48^3+0.00032*Y48^2-0.0021*Y48)+Z$2*((-2*10^-6)*Z48^3+0.00032*Z48^2-0.0021*Z48)+ AA$2*((-2*10^-6)*AA48^3+0.00032*AA48^2-0.0021*AA48))</f>
        <v>2.0050100000000004</v>
      </c>
      <c r="AL48" s="6">
        <f>(AB$1*AB48+AC$1*AC48)/100</f>
        <v>0.88</v>
      </c>
      <c r="AM48" s="6">
        <f>AD$1*((-2*10^-6)*AD48^3+0.00032*AD48^2-0.0021*AD48)+AE$1*((-2*10^-6)*AE48^3+0.00032*AE48^2-0.0021*AE48)+AF$1*((-2*10^-6)*AF48^3+0.00032*AF48^2-0.0021*AF48)+AG$1*((-2*10^-6)*AG48^3+0.00032*AG48^2-0.0021*AG48)</f>
        <v>0.65330020000000011</v>
      </c>
    </row>
    <row r="49" spans="1:39" ht="15" thickBot="1" x14ac:dyDescent="0.35">
      <c r="A49" s="6">
        <f>(AI49*H$3+AJ49*M$3+AK49*W$3+AL49*AB$3+AM49*AD$3)*100/(AI$5*H$3+AJ$5*M$3+AK$5*W$3+AL$5*AB$3+AM$5*AD$3)</f>
        <v>43.543242710913475</v>
      </c>
      <c r="B49" s="18">
        <v>73</v>
      </c>
      <c r="C49" s="12" t="s">
        <v>101</v>
      </c>
      <c r="D49" s="19" t="s">
        <v>6</v>
      </c>
      <c r="E49" s="19" t="s">
        <v>20</v>
      </c>
      <c r="F49" s="19" t="s">
        <v>20</v>
      </c>
      <c r="G49" s="19">
        <v>18</v>
      </c>
      <c r="H49" s="19">
        <v>37</v>
      </c>
      <c r="I49" s="19">
        <v>10</v>
      </c>
      <c r="J49" s="19">
        <v>29</v>
      </c>
      <c r="K49" s="19">
        <v>50</v>
      </c>
      <c r="L49" s="19">
        <v>60</v>
      </c>
      <c r="M49" s="19">
        <v>71</v>
      </c>
      <c r="N49" s="19">
        <v>77</v>
      </c>
      <c r="O49" s="19">
        <v>52</v>
      </c>
      <c r="P49" s="19">
        <v>57</v>
      </c>
      <c r="Q49" s="18">
        <v>73</v>
      </c>
      <c r="R49" s="12" t="s">
        <v>101</v>
      </c>
      <c r="S49" s="19" t="s">
        <v>6</v>
      </c>
      <c r="T49" s="19" t="s">
        <v>20</v>
      </c>
      <c r="U49" s="19" t="s">
        <v>20</v>
      </c>
      <c r="V49" s="19">
        <v>18</v>
      </c>
      <c r="W49" s="19">
        <v>66</v>
      </c>
      <c r="X49" s="19">
        <v>62</v>
      </c>
      <c r="Y49" s="19">
        <v>51</v>
      </c>
      <c r="Z49" s="19">
        <v>59</v>
      </c>
      <c r="AA49" s="19">
        <v>11</v>
      </c>
      <c r="AB49" s="19">
        <v>81</v>
      </c>
      <c r="AC49" s="19">
        <v>95</v>
      </c>
      <c r="AD49" s="19">
        <v>70</v>
      </c>
      <c r="AE49" s="19">
        <v>45</v>
      </c>
      <c r="AF49" s="19">
        <v>38</v>
      </c>
      <c r="AG49" s="19">
        <v>55</v>
      </c>
      <c r="AH49" s="19">
        <v>57</v>
      </c>
      <c r="AI49" s="6">
        <f>H$1*((-2*10^-6)*H49^3+0.00032*H49^2-0.0021*H49)+I$1*((-2*10^-6)*I49^3+0.00032*I49^2-0.0021*I49)+J$1*((-2*10^-6)*J49^3+0.00032*J49^2-0.0021*J49)+K$1*((-2*10^-6)*K49^3+0.00032*K49^2-0.0021*K49)+L$1*((-2*10^-6)*L49^3+0.00032*L49^2-0.0021*L49)</f>
        <v>2.0355392000000005</v>
      </c>
      <c r="AJ49" s="6">
        <f>(M$1*M49+N$1*N49+O$1*O49)/100</f>
        <v>0.91600000000000004</v>
      </c>
      <c r="AK49" s="6">
        <f>IF(AA49&lt;50,W$1*((-2*10^-6)*W49^3+0.00032*W49^2-0.0021*W49)+X$1*((-2*10^-6)*X49^3+0.00032*X49^2-0.0021*X49)+Y$1*((-2*10^-6)*Y49^3+0.00032*Y49^2-0.0021*Y49)+Z$1*((-2*10^-6)*Z49^3+0.00032*Z49^2-0.0021*Z49),X$2*((-2*10^-6)*X49^3+0.00032*X49^2-0.0021*AA49)+Y$2*((-2*10^-6)*Y49^3+0.00032*Y49^2-0.0021*Y49)+Z$2*((-2*10^-6)*Z49^3+0.00032*Z49^2-0.0021*Z49)+ AA$2*((-2*10^-6)*AA49^3+0.00032*AA49^2-0.0021*AA49))</f>
        <v>2.3427320000000003</v>
      </c>
      <c r="AL49" s="6">
        <f>(AB$1*AB49+AC$1*AC49)/100</f>
        <v>0.83799999999999997</v>
      </c>
      <c r="AM49" s="6">
        <f>AD$1*((-2*10^-6)*AD49^3+0.00032*AD49^2-0.0021*AD49)+AE$1*((-2*10^-6)*AE49^3+0.00032*AE49^2-0.0021*AE49)+AF$1*((-2*10^-6)*AF49^3+0.00032*AF49^2-0.0021*AF49)+AG$1*((-2*10^-6)*AG49^3+0.00032*AG49^2-0.0021*AG49)</f>
        <v>0.85135360000000004</v>
      </c>
    </row>
    <row r="50" spans="1:39" ht="15" thickBot="1" x14ac:dyDescent="0.35">
      <c r="A50" s="6">
        <f>(AI50*H$3+AJ50*M$3+AK50*W$3+AL50*AB$3+AM50*AD$3)*100/(AI$5*H$3+AJ$5*M$3+AK$5*W$3+AL$5*AB$3+AM$5*AD$3)</f>
        <v>43.524546688949222</v>
      </c>
      <c r="B50" s="18">
        <v>59</v>
      </c>
      <c r="C50" s="12" t="s">
        <v>87</v>
      </c>
      <c r="D50" s="19" t="s">
        <v>8</v>
      </c>
      <c r="E50" s="19" t="s">
        <v>20</v>
      </c>
      <c r="F50" s="19" t="s">
        <v>19</v>
      </c>
      <c r="G50" s="19">
        <v>18</v>
      </c>
      <c r="H50" s="19">
        <v>46</v>
      </c>
      <c r="I50" s="19">
        <v>37</v>
      </c>
      <c r="J50" s="19">
        <v>20</v>
      </c>
      <c r="K50" s="19">
        <v>29</v>
      </c>
      <c r="L50" s="19">
        <v>35</v>
      </c>
      <c r="M50" s="19">
        <v>79</v>
      </c>
      <c r="N50" s="19">
        <v>63</v>
      </c>
      <c r="O50" s="19">
        <v>18</v>
      </c>
      <c r="P50" s="19">
        <v>60</v>
      </c>
      <c r="Q50" s="18">
        <v>59</v>
      </c>
      <c r="R50" s="12" t="s">
        <v>87</v>
      </c>
      <c r="S50" s="19" t="s">
        <v>8</v>
      </c>
      <c r="T50" s="19" t="s">
        <v>20</v>
      </c>
      <c r="U50" s="19" t="s">
        <v>19</v>
      </c>
      <c r="V50" s="19">
        <v>18</v>
      </c>
      <c r="W50" s="19">
        <v>66</v>
      </c>
      <c r="X50" s="19">
        <v>66</v>
      </c>
      <c r="Y50" s="19">
        <v>75</v>
      </c>
      <c r="Z50" s="19">
        <v>65</v>
      </c>
      <c r="AA50" s="19">
        <v>17</v>
      </c>
      <c r="AB50" s="19">
        <v>95</v>
      </c>
      <c r="AC50" s="19">
        <v>40</v>
      </c>
      <c r="AD50" s="19">
        <v>84</v>
      </c>
      <c r="AE50" s="19">
        <v>50</v>
      </c>
      <c r="AF50" s="19">
        <v>84</v>
      </c>
      <c r="AG50" s="19">
        <v>58</v>
      </c>
      <c r="AH50" s="19">
        <v>60</v>
      </c>
      <c r="AI50" s="6">
        <f>H$1*((-2*10^-6)*H50^3+0.00032*H50^2-0.0021*H50)+I$1*((-2*10^-6)*I50^3+0.00032*I50^2-0.0021*I50)+J$1*((-2*10^-6)*J50^3+0.00032*J50^2-0.0021*J50)+K$1*((-2*10^-6)*K50^3+0.00032*K50^2-0.0021*K50)+L$1*((-2*10^-6)*L50^3+0.00032*L50^2-0.0021*L50)</f>
        <v>1.5855996000000003</v>
      </c>
      <c r="AJ50" s="6">
        <f>(M$1*M50+N$1*N50+O$1*O50)/100</f>
        <v>0.93399999999999994</v>
      </c>
      <c r="AK50" s="6">
        <f>IF(AA50&lt;50,W$1*((-2*10^-6)*W50^3+0.00032*W50^2-0.0021*W50)+X$1*((-2*10^-6)*X50^3+0.00032*X50^2-0.0021*X50)+Y$1*((-2*10^-6)*Y50^3+0.00032*Y50^2-0.0021*Y50)+Z$1*((-2*10^-6)*Z50^3+0.00032*Z50^2-0.0021*Z50),X$2*((-2*10^-6)*X50^3+0.00032*X50^2-0.0021*AA50)+Y$2*((-2*10^-6)*Y50^3+0.00032*Y50^2-0.0021*Y50)+Z$2*((-2*10^-6)*Z50^3+0.00032*Z50^2-0.0021*Z50)+ AA$2*((-2*10^-6)*AA50^3+0.00032*AA50^2-0.0021*AA50))</f>
        <v>2.8256560000000004</v>
      </c>
      <c r="AL50" s="6">
        <f>(AB$1*AB50+AC$1*AC50)/100</f>
        <v>0.84</v>
      </c>
      <c r="AM50" s="6">
        <f>AD$1*((-2*10^-6)*AD50^3+0.00032*AD50^2-0.0021*AD50)+AE$1*((-2*10^-6)*AE50^3+0.00032*AE50^2-0.0021*AE50)+AF$1*((-2*10^-6)*AF50^3+0.00032*AF50^2-0.0021*AF50)+AG$1*((-2*10^-6)*AG50^3+0.00032*AG50^2-0.0021*AG50)</f>
        <v>1.0866688000000004</v>
      </c>
    </row>
    <row r="51" spans="1:39" ht="15" thickBot="1" x14ac:dyDescent="0.35">
      <c r="A51" s="6">
        <f>(AI51*H$3+AJ51*M$3+AK51*W$3+AL51*AB$3+AM51*AD$3)*100/(AI$5*H$3+AJ$5*M$3+AK$5*W$3+AL$5*AB$3+AM$5*AD$3)</f>
        <v>42.469059655614906</v>
      </c>
      <c r="B51" s="20">
        <v>58</v>
      </c>
      <c r="C51" s="13" t="s">
        <v>86</v>
      </c>
      <c r="D51" s="21" t="s">
        <v>6</v>
      </c>
      <c r="E51" s="21" t="s">
        <v>20</v>
      </c>
      <c r="F51" s="21" t="s">
        <v>20</v>
      </c>
      <c r="G51" s="21">
        <v>18</v>
      </c>
      <c r="H51" s="21">
        <v>63</v>
      </c>
      <c r="I51" s="21">
        <v>46</v>
      </c>
      <c r="J51" s="21">
        <v>40</v>
      </c>
      <c r="K51" s="21">
        <v>30</v>
      </c>
      <c r="L51" s="21">
        <v>40</v>
      </c>
      <c r="M51" s="21">
        <v>79</v>
      </c>
      <c r="N51" s="21">
        <v>89</v>
      </c>
      <c r="O51" s="21">
        <v>51</v>
      </c>
      <c r="P51" s="21">
        <v>61</v>
      </c>
      <c r="Q51" s="20">
        <v>58</v>
      </c>
      <c r="R51" s="13" t="s">
        <v>86</v>
      </c>
      <c r="S51" s="21" t="s">
        <v>6</v>
      </c>
      <c r="T51" s="21" t="s">
        <v>20</v>
      </c>
      <c r="U51" s="21" t="s">
        <v>20</v>
      </c>
      <c r="V51" s="21">
        <v>18</v>
      </c>
      <c r="W51" s="21">
        <v>50</v>
      </c>
      <c r="X51" s="21">
        <v>54</v>
      </c>
      <c r="Y51" s="21">
        <v>45</v>
      </c>
      <c r="Z51" s="21">
        <v>44</v>
      </c>
      <c r="AA51" s="21">
        <v>16</v>
      </c>
      <c r="AB51" s="21">
        <v>75</v>
      </c>
      <c r="AC51" s="21">
        <v>100</v>
      </c>
      <c r="AD51" s="21">
        <v>89</v>
      </c>
      <c r="AE51" s="21">
        <v>42</v>
      </c>
      <c r="AF51" s="21">
        <v>49</v>
      </c>
      <c r="AG51" s="21">
        <v>70</v>
      </c>
      <c r="AH51" s="21">
        <v>61</v>
      </c>
      <c r="AI51" s="6">
        <f>H$1*((-2*10^-6)*H51^3+0.00032*H51^2-0.0021*H51)+I$1*((-2*10^-6)*I51^3+0.00032*I51^2-0.0021*I51)+J$1*((-2*10^-6)*J51^3+0.00032*J51^2-0.0021*J51)+K$1*((-2*10^-6)*K51^3+0.00032*K51^2-0.0021*K51)+L$1*((-2*10^-6)*L51^3+0.00032*L51^2-0.0021*L51)</f>
        <v>2.3861820000000007</v>
      </c>
      <c r="AJ51" s="6">
        <f>(M$1*M51+N$1*N51+O$1*O51)/100</f>
        <v>1.0189999999999999</v>
      </c>
      <c r="AK51" s="6">
        <f>IF(AA51&lt;50,W$1*((-2*10^-6)*W51^3+0.00032*W51^2-0.0021*W51)+X$1*((-2*10^-6)*X51^3+0.00032*X51^2-0.0021*X51)+Y$1*((-2*10^-6)*Y51^3+0.00032*Y51^2-0.0021*Y51)+Z$1*((-2*10^-6)*Z51^3+0.00032*Z51^2-0.0021*Z51),X$2*((-2*10^-6)*X51^3+0.00032*X51^2-0.0021*AA51)+Y$2*((-2*10^-6)*Y51^3+0.00032*Y51^2-0.0021*Y51)+Z$2*((-2*10^-6)*Z51^3+0.00032*Z51^2-0.0021*Z51)+ AA$2*((-2*10^-6)*AA51^3+0.00032*AA51^2-0.0021*AA51))</f>
        <v>1.6777940000000005</v>
      </c>
      <c r="AL51" s="6">
        <f>(AB$1*AB51+AC$1*AC51)/100</f>
        <v>0.8</v>
      </c>
      <c r="AM51" s="6">
        <f>AD$1*((-2*10^-6)*AD51^3+0.00032*AD51^2-0.0021*AD51)+AE$1*((-2*10^-6)*AE51^3+0.00032*AE51^2-0.0021*AE51)+AF$1*((-2*10^-6)*AF51^3+0.00032*AF51^2-0.0021*AF51)+AG$1*((-2*10^-6)*AG51^3+0.00032*AG51^2-0.0021*AG51)</f>
        <v>1.0872046000000002</v>
      </c>
    </row>
    <row r="52" spans="1:39" ht="15" thickBot="1" x14ac:dyDescent="0.35">
      <c r="A52" s="6">
        <f>(AI52*H$3+AJ52*M$3+AK52*W$3+AL52*AB$3+AM52*AD$3)*100/(AI$5*H$3+AJ$5*M$3+AK$5*W$3+AL$5*AB$3+AM$5*AD$3)</f>
        <v>42.396658509654117</v>
      </c>
      <c r="B52" s="20">
        <v>176</v>
      </c>
      <c r="C52" s="13" t="s">
        <v>204</v>
      </c>
      <c r="D52" s="21" t="s">
        <v>8</v>
      </c>
      <c r="E52" s="21" t="s">
        <v>19</v>
      </c>
      <c r="F52" s="21" t="s">
        <v>19</v>
      </c>
      <c r="G52" s="21">
        <v>21</v>
      </c>
      <c r="H52" s="21">
        <v>36</v>
      </c>
      <c r="I52" s="21">
        <v>12</v>
      </c>
      <c r="J52" s="21">
        <v>60</v>
      </c>
      <c r="K52" s="21">
        <v>16</v>
      </c>
      <c r="L52" s="21">
        <v>40</v>
      </c>
      <c r="M52" s="21">
        <v>42</v>
      </c>
      <c r="N52" s="21">
        <v>52</v>
      </c>
      <c r="O52" s="21">
        <v>62</v>
      </c>
      <c r="P52" s="21">
        <v>44</v>
      </c>
      <c r="Q52" s="20">
        <v>176</v>
      </c>
      <c r="R52" s="13" t="s">
        <v>204</v>
      </c>
      <c r="S52" s="21" t="s">
        <v>8</v>
      </c>
      <c r="T52" s="21" t="s">
        <v>19</v>
      </c>
      <c r="U52" s="21" t="s">
        <v>19</v>
      </c>
      <c r="V52" s="21">
        <v>21</v>
      </c>
      <c r="W52" s="21">
        <v>100</v>
      </c>
      <c r="X52" s="21">
        <v>70</v>
      </c>
      <c r="Y52" s="21">
        <v>98</v>
      </c>
      <c r="Z52" s="21">
        <v>66</v>
      </c>
      <c r="AA52" s="21">
        <v>0</v>
      </c>
      <c r="AB52" s="21">
        <v>54</v>
      </c>
      <c r="AC52" s="21">
        <v>69</v>
      </c>
      <c r="AD52" s="21">
        <v>47</v>
      </c>
      <c r="AE52" s="21">
        <v>57</v>
      </c>
      <c r="AF52" s="21">
        <v>64</v>
      </c>
      <c r="AG52" s="21">
        <v>51</v>
      </c>
      <c r="AH52" s="21">
        <v>44</v>
      </c>
      <c r="AI52" s="6">
        <f>H$1*((-2*10^-6)*H52^3+0.00032*H52^2-0.0021*H52)+I$1*((-2*10^-6)*I52^3+0.00032*I52^2-0.0021*I52)+J$1*((-2*10^-6)*J52^3+0.00032*J52^2-0.0021*J52)+K$1*((-2*10^-6)*K52^3+0.00032*K52^2-0.0021*K52)+L$1*((-2*10^-6)*L52^3+0.00032*L52^2-0.0021*L52)</f>
        <v>1.3291584000000003</v>
      </c>
      <c r="AJ52" s="6">
        <f>(M$1*M52+N$1*N52+O$1*O52)/100</f>
        <v>0.58599999999999997</v>
      </c>
      <c r="AK52" s="6">
        <f>IF(AA52&lt;50,W$1*((-2*10^-6)*W52^3+0.00032*W52^2-0.0021*W52)+X$1*((-2*10^-6)*X52^3+0.00032*X52^2-0.0021*X52)+Y$1*((-2*10^-6)*Y52^3+0.00032*Y52^2-0.0021*Y52)+Z$1*((-2*10^-6)*Z52^3+0.00032*Z52^2-0.0021*Z52),X$2*((-2*10^-6)*X52^3+0.00032*X52^2-0.0021*AA52)+Y$2*((-2*10^-6)*Y52^3+0.00032*Y52^2-0.0021*Y52)+Z$2*((-2*10^-6)*Z52^3+0.00032*Z52^2-0.0021*Z52)+ AA$2*((-2*10^-6)*AA52^3+0.00032*AA52^2-0.0021*AA52))</f>
        <v>3.3904240000000012</v>
      </c>
      <c r="AL52" s="6">
        <f>(AB$1*AB52+AC$1*AC52)/100</f>
        <v>0.56999999999999995</v>
      </c>
      <c r="AM52" s="6">
        <f>AD$1*((-2*10^-6)*AD52^3+0.00032*AD52^2-0.0021*AD52)+AE$1*((-2*10^-6)*AE52^3+0.00032*AE52^2-0.0021*AE52)+AF$1*((-2*10^-6)*AF52^3+0.00032*AF52^2-0.0021*AF52)+AG$1*((-2*10^-6)*AG52^3+0.00032*AG52^2-0.0021*AG52)</f>
        <v>0.56668840000000009</v>
      </c>
    </row>
    <row r="53" spans="1:39" ht="15" thickBot="1" x14ac:dyDescent="0.35">
      <c r="A53" s="6">
        <f>(AI53*H$3+AJ53*M$3+AK53*W$3+AL53*AB$3+AM53*AD$3)*100/(AI$5*H$3+AJ$5*M$3+AK$5*W$3+AL$5*AB$3+AM$5*AD$3)</f>
        <v>41.880277089737071</v>
      </c>
      <c r="B53" s="20">
        <v>120</v>
      </c>
      <c r="C53" s="13" t="s">
        <v>148</v>
      </c>
      <c r="D53" s="21" t="s">
        <v>9</v>
      </c>
      <c r="E53" s="21" t="s">
        <v>21</v>
      </c>
      <c r="F53" s="21" t="s">
        <v>20</v>
      </c>
      <c r="G53" s="21">
        <v>18</v>
      </c>
      <c r="H53" s="21">
        <v>32</v>
      </c>
      <c r="I53" s="21">
        <v>74</v>
      </c>
      <c r="J53" s="21">
        <v>6</v>
      </c>
      <c r="K53" s="21">
        <v>34</v>
      </c>
      <c r="L53" s="21">
        <v>38</v>
      </c>
      <c r="M53" s="21">
        <v>44</v>
      </c>
      <c r="N53" s="21">
        <v>9</v>
      </c>
      <c r="O53" s="21">
        <v>42</v>
      </c>
      <c r="P53" s="21">
        <v>47</v>
      </c>
      <c r="Q53" s="20">
        <v>120</v>
      </c>
      <c r="R53" s="13" t="s">
        <v>148</v>
      </c>
      <c r="S53" s="21" t="s">
        <v>9</v>
      </c>
      <c r="T53" s="21" t="s">
        <v>21</v>
      </c>
      <c r="U53" s="21" t="s">
        <v>20</v>
      </c>
      <c r="V53" s="21">
        <v>18</v>
      </c>
      <c r="W53" s="21">
        <v>51</v>
      </c>
      <c r="X53" s="21">
        <v>35</v>
      </c>
      <c r="Y53" s="21">
        <v>55</v>
      </c>
      <c r="Z53" s="21">
        <v>62</v>
      </c>
      <c r="AA53" s="21">
        <v>7</v>
      </c>
      <c r="AB53" s="21">
        <v>83</v>
      </c>
      <c r="AC53" s="21">
        <v>60</v>
      </c>
      <c r="AD53" s="21">
        <v>1</v>
      </c>
      <c r="AE53" s="21">
        <v>49</v>
      </c>
      <c r="AF53" s="21">
        <v>65</v>
      </c>
      <c r="AG53" s="21">
        <v>79</v>
      </c>
      <c r="AH53" s="21">
        <v>47</v>
      </c>
      <c r="AI53" s="6">
        <f>H$1*((-2*10^-6)*H53^3+0.00032*H53^2-0.0021*H53)+I$1*((-2*10^-6)*I53^3+0.00032*I53^2-0.0021*I53)+J$1*((-2*10^-6)*J53^3+0.00032*J53^2-0.0021*J53)+K$1*((-2*10^-6)*K53^3+0.00032*K53^2-0.0021*K53)+L$1*((-2*10^-6)*L53^3+0.00032*L53^2-0.0021*L53)</f>
        <v>2.5424896000000006</v>
      </c>
      <c r="AJ53" s="6">
        <f>(M$1*M53+N$1*N53+O$1*O53)/100</f>
        <v>0.5</v>
      </c>
      <c r="AK53" s="6">
        <f>IF(AA53&lt;50,W$1*((-2*10^-6)*W53^3+0.00032*W53^2-0.0021*W53)+X$1*((-2*10^-6)*X53^3+0.00032*X53^2-0.0021*X53)+Y$1*((-2*10^-6)*Y53^3+0.00032*Y53^2-0.0021*Y53)+Z$1*((-2*10^-6)*Z53^3+0.00032*Z53^2-0.0021*Z53),X$2*((-2*10^-6)*X53^3+0.00032*X53^2-0.0021*AA53)+Y$2*((-2*10^-6)*Y53^3+0.00032*Y53^2-0.0021*Y53)+Z$2*((-2*10^-6)*Z53^3+0.00032*Z53^2-0.0021*Z53)+ AA$2*((-2*10^-6)*AA53^3+0.00032*AA53^2-0.0021*AA53))</f>
        <v>1.8356420000000004</v>
      </c>
      <c r="AL53" s="6">
        <f>(AB$1*AB53+AC$1*AC53)/100</f>
        <v>0.78400000000000003</v>
      </c>
      <c r="AM53" s="6">
        <f>AD$1*((-2*10^-6)*AD53^3+0.00032*AD53^2-0.0021*AD53)+AE$1*((-2*10^-6)*AE53^3+0.00032*AE53^2-0.0021*AE53)+AF$1*((-2*10^-6)*AF53^3+0.00032*AF53^2-0.0021*AF53)+AG$1*((-2*10^-6)*AG53^3+0.00032*AG53^2-0.0021*AG53)</f>
        <v>0.19236940000000008</v>
      </c>
    </row>
    <row r="54" spans="1:39" ht="15" thickBot="1" x14ac:dyDescent="0.35">
      <c r="A54" s="6">
        <f>(AI54*H$3+AJ54*M$3+AK54*W$3+AL54*AB$3+AM54*AD$3)*100/(AI$5*H$3+AJ$5*M$3+AK$5*W$3+AL$5*AB$3+AM$5*AD$3)</f>
        <v>41.747568563669446</v>
      </c>
      <c r="B54" s="18">
        <v>81</v>
      </c>
      <c r="C54" s="12" t="s">
        <v>109</v>
      </c>
      <c r="D54" s="19" t="s">
        <v>3</v>
      </c>
      <c r="E54" s="19" t="s">
        <v>21</v>
      </c>
      <c r="F54" s="19" t="s">
        <v>19</v>
      </c>
      <c r="G54" s="19">
        <v>18</v>
      </c>
      <c r="H54" s="19">
        <v>39</v>
      </c>
      <c r="I54" s="19">
        <v>12</v>
      </c>
      <c r="J54" s="19">
        <v>34</v>
      </c>
      <c r="K54" s="19">
        <v>35</v>
      </c>
      <c r="L54" s="19">
        <v>40</v>
      </c>
      <c r="M54" s="19">
        <v>34</v>
      </c>
      <c r="N54" s="19">
        <v>30</v>
      </c>
      <c r="O54" s="19">
        <v>39</v>
      </c>
      <c r="P54" s="19">
        <v>55</v>
      </c>
      <c r="Q54" s="18">
        <v>81</v>
      </c>
      <c r="R54" s="12" t="s">
        <v>109</v>
      </c>
      <c r="S54" s="19" t="s">
        <v>3</v>
      </c>
      <c r="T54" s="19" t="s">
        <v>21</v>
      </c>
      <c r="U54" s="19" t="s">
        <v>19</v>
      </c>
      <c r="V54" s="19">
        <v>18</v>
      </c>
      <c r="W54" s="19">
        <v>68</v>
      </c>
      <c r="X54" s="19">
        <v>74</v>
      </c>
      <c r="Y54" s="19">
        <v>77</v>
      </c>
      <c r="Z54" s="19">
        <v>81</v>
      </c>
      <c r="AA54" s="19">
        <v>5</v>
      </c>
      <c r="AB54" s="19">
        <v>90</v>
      </c>
      <c r="AC54" s="19">
        <v>92</v>
      </c>
      <c r="AD54" s="19">
        <v>53</v>
      </c>
      <c r="AE54" s="19">
        <v>72</v>
      </c>
      <c r="AF54" s="19">
        <v>53</v>
      </c>
      <c r="AG54" s="19">
        <v>65</v>
      </c>
      <c r="AH54" s="19">
        <v>55</v>
      </c>
      <c r="AI54" s="6">
        <f>H$1*((-2*10^-6)*H54^3+0.00032*H54^2-0.0021*H54)+I$1*((-2*10^-6)*I54^3+0.00032*I54^2-0.0021*I54)+J$1*((-2*10^-6)*J54^3+0.00032*J54^2-0.0021*J54)+K$1*((-2*10^-6)*K54^3+0.00032*K54^2-0.0021*K54)+L$1*((-2*10^-6)*L54^3+0.00032*L54^2-0.0021*L54)</f>
        <v>1.2991772000000004</v>
      </c>
      <c r="AJ54" s="6">
        <f>(M$1*M54+N$1*N54+O$1*O54)/100</f>
        <v>0.439</v>
      </c>
      <c r="AK54" s="6">
        <f>IF(AA54&lt;50,W$1*((-2*10^-6)*W54^3+0.00032*W54^2-0.0021*W54)+X$1*((-2*10^-6)*X54^3+0.00032*X54^2-0.0021*X54)+Y$1*((-2*10^-6)*Y54^3+0.00032*Y54^2-0.0021*Y54)+Z$1*((-2*10^-6)*Z54^3+0.00032*Z54^2-0.0021*Z54),X$2*((-2*10^-6)*X54^3+0.00032*X54^2-0.0021*AA54)+Y$2*((-2*10^-6)*Y54^3+0.00032*Y54^2-0.0021*Y54)+Z$2*((-2*10^-6)*Z54^3+0.00032*Z54^2-0.0021*Z54)+ AA$2*((-2*10^-6)*AA54^3+0.00032*AA54^2-0.0021*AA54))</f>
        <v>3.1835400000000007</v>
      </c>
      <c r="AL54" s="6">
        <f>(AB$1*AB54+AC$1*AC54)/100</f>
        <v>0.90400000000000003</v>
      </c>
      <c r="AM54" s="6">
        <f>AD$1*((-2*10^-6)*AD54^3+0.00032*AD54^2-0.0021*AD54)+AE$1*((-2*10^-6)*AE54^3+0.00032*AE54^2-0.0021*AE54)+AF$1*((-2*10^-6)*AF54^3+0.00032*AF54^2-0.0021*AF54)+AG$1*((-2*10^-6)*AG54^3+0.00032*AG54^2-0.0021*AG54)</f>
        <v>0.68155200000000027</v>
      </c>
    </row>
    <row r="55" spans="1:39" ht="15" thickBot="1" x14ac:dyDescent="0.35">
      <c r="A55" s="6">
        <f>(AI55*H$3+AJ55*M$3+AK55*W$3+AL55*AB$3+AM55*AD$3)*100/(AI$5*H$3+AJ$5*M$3+AK$5*W$3+AL$5*AB$3+AM$5*AD$3)</f>
        <v>41.116026589871367</v>
      </c>
      <c r="B55" s="20">
        <v>84</v>
      </c>
      <c r="C55" s="13" t="s">
        <v>112</v>
      </c>
      <c r="D55" s="21" t="s">
        <v>8</v>
      </c>
      <c r="E55" s="21" t="s">
        <v>19</v>
      </c>
      <c r="F55" s="21" t="s">
        <v>19</v>
      </c>
      <c r="G55" s="21">
        <v>18</v>
      </c>
      <c r="H55" s="21">
        <v>38</v>
      </c>
      <c r="I55" s="21">
        <v>19</v>
      </c>
      <c r="J55" s="21">
        <v>56</v>
      </c>
      <c r="K55" s="21">
        <v>10</v>
      </c>
      <c r="L55" s="21">
        <v>34</v>
      </c>
      <c r="M55" s="21">
        <v>69</v>
      </c>
      <c r="N55" s="21">
        <v>92</v>
      </c>
      <c r="O55" s="21">
        <v>8</v>
      </c>
      <c r="P55" s="21">
        <v>54</v>
      </c>
      <c r="Q55" s="20">
        <v>84</v>
      </c>
      <c r="R55" s="13" t="s">
        <v>112</v>
      </c>
      <c r="S55" s="21" t="s">
        <v>8</v>
      </c>
      <c r="T55" s="21" t="s">
        <v>19</v>
      </c>
      <c r="U55" s="21" t="s">
        <v>19</v>
      </c>
      <c r="V55" s="21">
        <v>18</v>
      </c>
      <c r="W55" s="21">
        <v>77</v>
      </c>
      <c r="X55" s="21">
        <v>84</v>
      </c>
      <c r="Y55" s="21">
        <v>64</v>
      </c>
      <c r="Z55" s="21">
        <v>73</v>
      </c>
      <c r="AA55" s="21">
        <v>2</v>
      </c>
      <c r="AB55" s="21">
        <v>77</v>
      </c>
      <c r="AC55" s="21">
        <v>72</v>
      </c>
      <c r="AD55" s="21">
        <v>58</v>
      </c>
      <c r="AE55" s="21">
        <v>58</v>
      </c>
      <c r="AF55" s="21">
        <v>0</v>
      </c>
      <c r="AG55" s="21">
        <v>79</v>
      </c>
      <c r="AH55" s="21">
        <v>54</v>
      </c>
      <c r="AI55" s="6">
        <f>H$1*((-2*10^-6)*H55^3+0.00032*H55^2-0.0021*H55)+I$1*((-2*10^-6)*I55^3+0.00032*I55^2-0.0021*I55)+J$1*((-2*10^-6)*J55^3+0.00032*J55^2-0.0021*J55)+K$1*((-2*10^-6)*K55^3+0.00032*K55^2-0.0021*K55)+L$1*((-2*10^-6)*L55^3+0.00032*L55^2-0.0021*L55)</f>
        <v>1.2081592000000003</v>
      </c>
      <c r="AJ55" s="6">
        <f>(M$1*M55+N$1*N55+O$1*O55)/100</f>
        <v>0.88200000000000001</v>
      </c>
      <c r="AK55" s="6">
        <f>IF(AA55&lt;50,W$1*((-2*10^-6)*W55^3+0.00032*W55^2-0.0021*W55)+X$1*((-2*10^-6)*X55^3+0.00032*X55^2-0.0021*X55)+Y$1*((-2*10^-6)*Y55^3+0.00032*Y55^2-0.0021*Y55)+Z$1*((-2*10^-6)*Z55^3+0.00032*Z55^2-0.0021*Z55),X$2*((-2*10^-6)*X55^3+0.00032*X55^2-0.0021*AA55)+Y$2*((-2*10^-6)*Y55^3+0.00032*Y55^2-0.0021*Y55)+Z$2*((-2*10^-6)*Z55^3+0.00032*Z55^2-0.0021*Z55)+ AA$2*((-2*10^-6)*AA55^3+0.00032*AA55^2-0.0021*AA55))</f>
        <v>3.1446040000000006</v>
      </c>
      <c r="AL55" s="6">
        <f>(AB$1*AB55+AC$1*AC55)/100</f>
        <v>0.76</v>
      </c>
      <c r="AM55" s="6">
        <f>AD$1*((-2*10^-6)*AD55^3+0.00032*AD55^2-0.0021*AD55)+AE$1*((-2*10^-6)*AE55^3+0.00032*AE55^2-0.0021*AE55)+AF$1*((-2*10^-6)*AF55^3+0.00032*AF55^2-0.0021*AF55)+AG$1*((-2*10^-6)*AG55^3+0.00032*AG55^2-0.0021*AG55)</f>
        <v>0.70541580000000015</v>
      </c>
    </row>
    <row r="56" spans="1:39" ht="15" thickBot="1" x14ac:dyDescent="0.35">
      <c r="A56" s="6">
        <f>(AI56*H$3+AJ56*M$3+AK56*W$3+AL56*AB$3+AM56*AD$3)*100/(AI$5*H$3+AJ$5*M$3+AK$5*W$3+AL$5*AB$3+AM$5*AD$3)</f>
        <v>40.485485391984234</v>
      </c>
      <c r="B56" s="18">
        <v>67</v>
      </c>
      <c r="C56" s="12" t="s">
        <v>95</v>
      </c>
      <c r="D56" s="19" t="s">
        <v>9</v>
      </c>
      <c r="E56" s="19" t="s">
        <v>20</v>
      </c>
      <c r="F56" s="19" t="s">
        <v>19</v>
      </c>
      <c r="G56" s="19">
        <v>18</v>
      </c>
      <c r="H56" s="19">
        <v>51</v>
      </c>
      <c r="I56" s="19">
        <v>43</v>
      </c>
      <c r="J56" s="19">
        <v>49</v>
      </c>
      <c r="K56" s="19">
        <v>42</v>
      </c>
      <c r="L56" s="19">
        <v>35</v>
      </c>
      <c r="M56" s="19">
        <v>65</v>
      </c>
      <c r="N56" s="19">
        <v>61</v>
      </c>
      <c r="O56" s="19">
        <v>54</v>
      </c>
      <c r="P56" s="19">
        <v>58</v>
      </c>
      <c r="Q56" s="18">
        <v>67</v>
      </c>
      <c r="R56" s="12" t="s">
        <v>95</v>
      </c>
      <c r="S56" s="19" t="s">
        <v>9</v>
      </c>
      <c r="T56" s="19" t="s">
        <v>20</v>
      </c>
      <c r="U56" s="19" t="s">
        <v>19</v>
      </c>
      <c r="V56" s="19">
        <v>18</v>
      </c>
      <c r="W56" s="19">
        <v>65</v>
      </c>
      <c r="X56" s="19">
        <v>52</v>
      </c>
      <c r="Y56" s="19">
        <v>36</v>
      </c>
      <c r="Z56" s="19">
        <v>49</v>
      </c>
      <c r="AA56" s="19">
        <v>5</v>
      </c>
      <c r="AB56" s="19">
        <v>84</v>
      </c>
      <c r="AC56" s="19">
        <v>77</v>
      </c>
      <c r="AD56" s="19">
        <v>60</v>
      </c>
      <c r="AE56" s="19">
        <v>72</v>
      </c>
      <c r="AF56" s="19">
        <v>20</v>
      </c>
      <c r="AG56" s="19">
        <v>75</v>
      </c>
      <c r="AH56" s="19">
        <v>58</v>
      </c>
      <c r="AI56" s="6">
        <f>H$1*((-2*10^-6)*H56^3+0.00032*H56^2-0.0021*H56)+I$1*((-2*10^-6)*I56^3+0.00032*I56^2-0.0021*I56)+J$1*((-2*10^-6)*J56^3+0.00032*J56^2-0.0021*J56)+K$1*((-2*10^-6)*K56^3+0.00032*K56^2-0.0021*K56)+L$1*((-2*10^-6)*L56^3+0.00032*L56^2-0.0021*L56)</f>
        <v>2.177256400000001</v>
      </c>
      <c r="AJ56" s="6">
        <f>(M$1*M56+N$1*N56+O$1*O56)/100</f>
        <v>0.82600000000000007</v>
      </c>
      <c r="AK56" s="6">
        <f>IF(AA56&lt;50,W$1*((-2*10^-6)*W56^3+0.00032*W56^2-0.0021*W56)+X$1*((-2*10^-6)*X56^3+0.00032*X56^2-0.0021*X56)+Y$1*((-2*10^-6)*Y56^3+0.00032*Y56^2-0.0021*Y56)+Z$1*((-2*10^-6)*Z56^3+0.00032*Z56^2-0.0021*Z56),X$2*((-2*10^-6)*X56^3+0.00032*X56^2-0.0021*AA56)+Y$2*((-2*10^-6)*Y56^3+0.00032*Y56^2-0.0021*Y56)+Z$2*((-2*10^-6)*Z56^3+0.00032*Z56^2-0.0021*Z56)+ AA$2*((-2*10^-6)*AA56^3+0.00032*AA56^2-0.0021*AA56))</f>
        <v>1.8170440000000005</v>
      </c>
      <c r="AL56" s="6">
        <f>(AB$1*AB56+AC$1*AC56)/100</f>
        <v>0.82600000000000007</v>
      </c>
      <c r="AM56" s="6">
        <f>AD$1*((-2*10^-6)*AD56^3+0.00032*AD56^2-0.0021*AD56)+AE$1*((-2*10^-6)*AE56^3+0.00032*AE56^2-0.0021*AE56)+AF$1*((-2*10^-6)*AF56^3+0.00032*AF56^2-0.0021*AF56)+AG$1*((-2*10^-6)*AG56^3+0.00032*AG56^2-0.0021*AG56)</f>
        <v>0.75699340000000026</v>
      </c>
    </row>
    <row r="57" spans="1:39" ht="15" thickBot="1" x14ac:dyDescent="0.35">
      <c r="A57" s="6">
        <f>(AI57*H$3+AJ57*M$3+AK57*W$3+AL57*AB$3+AM57*AD$3)*100/(AI$5*H$3+AJ$5*M$3+AK$5*W$3+AL$5*AB$3+AM$5*AD$3)</f>
        <v>40.131846817272958</v>
      </c>
      <c r="B57" s="18">
        <v>71</v>
      </c>
      <c r="C57" s="12" t="s">
        <v>99</v>
      </c>
      <c r="D57" s="19" t="s">
        <v>6</v>
      </c>
      <c r="E57" s="19" t="s">
        <v>19</v>
      </c>
      <c r="F57" s="19" t="s">
        <v>19</v>
      </c>
      <c r="G57" s="19">
        <v>18</v>
      </c>
      <c r="H57" s="19">
        <v>42</v>
      </c>
      <c r="I57" s="19">
        <v>33</v>
      </c>
      <c r="J57" s="19">
        <v>26</v>
      </c>
      <c r="K57" s="19">
        <v>28</v>
      </c>
      <c r="L57" s="19">
        <v>53</v>
      </c>
      <c r="M57" s="19">
        <v>73</v>
      </c>
      <c r="N57" s="19">
        <v>61</v>
      </c>
      <c r="O57" s="19">
        <v>21</v>
      </c>
      <c r="P57" s="19">
        <v>57</v>
      </c>
      <c r="Q57" s="18">
        <v>71</v>
      </c>
      <c r="R57" s="12" t="s">
        <v>99</v>
      </c>
      <c r="S57" s="19" t="s">
        <v>6</v>
      </c>
      <c r="T57" s="19" t="s">
        <v>19</v>
      </c>
      <c r="U57" s="19" t="s">
        <v>19</v>
      </c>
      <c r="V57" s="19">
        <v>18</v>
      </c>
      <c r="W57" s="19">
        <v>61</v>
      </c>
      <c r="X57" s="19">
        <v>57</v>
      </c>
      <c r="Y57" s="19">
        <v>42</v>
      </c>
      <c r="Z57" s="19">
        <v>50</v>
      </c>
      <c r="AA57" s="19">
        <v>3</v>
      </c>
      <c r="AB57" s="19">
        <v>93</v>
      </c>
      <c r="AC57" s="19">
        <v>86</v>
      </c>
      <c r="AD57" s="19">
        <v>57</v>
      </c>
      <c r="AE57" s="19">
        <v>59</v>
      </c>
      <c r="AF57" s="19">
        <v>25</v>
      </c>
      <c r="AG57" s="19">
        <v>74</v>
      </c>
      <c r="AH57" s="19">
        <v>57</v>
      </c>
      <c r="AI57" s="6">
        <f>H$1*((-2*10^-6)*H57^3+0.00032*H57^2-0.0021*H57)+I$1*((-2*10^-6)*I57^3+0.00032*I57^2-0.0021*I57)+J$1*((-2*10^-6)*J57^3+0.00032*J57^2-0.0021*J57)+K$1*((-2*10^-6)*K57^3+0.00032*K57^2-0.0021*K57)+L$1*((-2*10^-6)*L57^3+0.00032*L57^2-0.0021*L57)</f>
        <v>2.0148148000000008</v>
      </c>
      <c r="AJ57" s="6">
        <f>(M$1*M57+N$1*N57+O$1*O57)/100</f>
        <v>0.873</v>
      </c>
      <c r="AK57" s="6">
        <f>IF(AA57&lt;50,W$1*((-2*10^-6)*W57^3+0.00032*W57^2-0.0021*W57)+X$1*((-2*10^-6)*X57^3+0.00032*X57^2-0.0021*X57)+Y$1*((-2*10^-6)*Y57^3+0.00032*Y57^2-0.0021*Y57)+Z$1*((-2*10^-6)*Z57^3+0.00032*Z57^2-0.0021*Z57),X$2*((-2*10^-6)*X57^3+0.00032*X57^2-0.0021*AA57)+Y$2*((-2*10^-6)*Y57^3+0.00032*Y57^2-0.0021*Y57)+Z$2*((-2*10^-6)*Z57^3+0.00032*Z57^2-0.0021*Z57)+ AA$2*((-2*10^-6)*AA57^3+0.00032*AA57^2-0.0021*AA57))</f>
        <v>1.9313560000000003</v>
      </c>
      <c r="AL57" s="6">
        <f>(AB$1*AB57+AC$1*AC57)/100</f>
        <v>0.91600000000000004</v>
      </c>
      <c r="AM57" s="6">
        <f>AD$1*((-2*10^-6)*AD57^3+0.00032*AD57^2-0.0021*AD57)+AE$1*((-2*10^-6)*AE57^3+0.00032*AE57^2-0.0021*AE57)+AF$1*((-2*10^-6)*AF57^3+0.00032*AF57^2-0.0021*AF57)+AG$1*((-2*10^-6)*AG57^3+0.00032*AG57^2-0.0021*AG57)</f>
        <v>0.6977924000000002</v>
      </c>
    </row>
    <row r="58" spans="1:39" ht="15" thickBot="1" x14ac:dyDescent="0.35">
      <c r="A58" s="6">
        <f>(AI58*H$3+AJ58*M$3+AK58*W$3+AL58*AB$3+AM58*AD$3)*100/(AI$5*H$3+AJ$5*M$3+AK$5*W$3+AL$5*AB$3+AM$5*AD$3)</f>
        <v>40.115499418066783</v>
      </c>
      <c r="B58" s="20">
        <v>90</v>
      </c>
      <c r="C58" s="13" t="s">
        <v>118</v>
      </c>
      <c r="D58" s="21" t="s">
        <v>5</v>
      </c>
      <c r="E58" s="21" t="s">
        <v>19</v>
      </c>
      <c r="F58" s="21" t="s">
        <v>19</v>
      </c>
      <c r="G58" s="21">
        <v>18</v>
      </c>
      <c r="H58" s="21">
        <v>60</v>
      </c>
      <c r="I58" s="21">
        <v>37</v>
      </c>
      <c r="J58" s="21">
        <v>24</v>
      </c>
      <c r="K58" s="21">
        <v>29</v>
      </c>
      <c r="L58" s="21">
        <v>18</v>
      </c>
      <c r="M58" s="21">
        <v>82</v>
      </c>
      <c r="N58" s="21">
        <v>38</v>
      </c>
      <c r="O58" s="21">
        <v>30</v>
      </c>
      <c r="P58" s="21">
        <v>53</v>
      </c>
      <c r="Q58" s="20">
        <v>90</v>
      </c>
      <c r="R58" s="13" t="s">
        <v>118</v>
      </c>
      <c r="S58" s="21" t="s">
        <v>5</v>
      </c>
      <c r="T58" s="21" t="s">
        <v>19</v>
      </c>
      <c r="U58" s="21" t="s">
        <v>19</v>
      </c>
      <c r="V58" s="21">
        <v>18</v>
      </c>
      <c r="W58" s="21">
        <v>63</v>
      </c>
      <c r="X58" s="21">
        <v>59</v>
      </c>
      <c r="Y58" s="21">
        <v>69</v>
      </c>
      <c r="Z58" s="21">
        <v>79</v>
      </c>
      <c r="AA58" s="21">
        <v>12</v>
      </c>
      <c r="AB58" s="21">
        <v>87</v>
      </c>
      <c r="AC58" s="21">
        <v>33</v>
      </c>
      <c r="AD58" s="21">
        <v>42</v>
      </c>
      <c r="AE58" s="21">
        <v>56</v>
      </c>
      <c r="AF58" s="21">
        <v>62</v>
      </c>
      <c r="AG58" s="21">
        <v>72</v>
      </c>
      <c r="AH58" s="21">
        <v>53</v>
      </c>
      <c r="AI58" s="6">
        <f>H$1*((-2*10^-6)*H58^3+0.00032*H58^2-0.0021*H58)+I$1*((-2*10^-6)*I58^3+0.00032*I58^2-0.0021*I58)+J$1*((-2*10^-6)*J58^3+0.00032*J58^2-0.0021*J58)+K$1*((-2*10^-6)*K58^3+0.00032*K58^2-0.0021*K58)+L$1*((-2*10^-6)*L58^3+0.00032*L58^2-0.0021*L58)</f>
        <v>1.4227400000000003</v>
      </c>
      <c r="AJ58" s="6">
        <f>(M$1*M58+N$1*N58+O$1*O58)/100</f>
        <v>0.92599999999999993</v>
      </c>
      <c r="AK58" s="6">
        <f>IF(AA58&lt;50,W$1*((-2*10^-6)*W58^3+0.00032*W58^2-0.0021*W58)+X$1*((-2*10^-6)*X58^3+0.00032*X58^2-0.0021*X58)+Y$1*((-2*10^-6)*Y58^3+0.00032*Y58^2-0.0021*Y58)+Z$1*((-2*10^-6)*Z58^3+0.00032*Z58^2-0.0021*Z58),X$2*((-2*10^-6)*X58^3+0.00032*X58^2-0.0021*AA58)+Y$2*((-2*10^-6)*Y58^3+0.00032*Y58^2-0.0021*Y58)+Z$2*((-2*10^-6)*Z58^3+0.00032*Z58^2-0.0021*Z58)+ AA$2*((-2*10^-6)*AA58^3+0.00032*AA58^2-0.0021*AA58))</f>
        <v>2.7836920000000012</v>
      </c>
      <c r="AL58" s="6">
        <f>(AB$1*AB58+AC$1*AC58)/100</f>
        <v>0.76200000000000001</v>
      </c>
      <c r="AM58" s="6">
        <f>AD$1*((-2*10^-6)*AD58^3+0.00032*AD58^2-0.0021*AD58)+AE$1*((-2*10^-6)*AE58^3+0.00032*AE58^2-0.0021*AE58)+AF$1*((-2*10^-6)*AF58^3+0.00032*AF58^2-0.0021*AF58)+AG$1*((-2*10^-6)*AG58^3+0.00032*AG58^2-0.0021*AG58)</f>
        <v>0.52001360000000019</v>
      </c>
    </row>
    <row r="59" spans="1:39" ht="15" thickBot="1" x14ac:dyDescent="0.35">
      <c r="A59" s="6">
        <f>(AI59*H$3+AJ59*M$3+AK59*W$3+AL59*AB$3+AM59*AD$3)*100/(AI$5*H$3+AJ$5*M$3+AK$5*W$3+AL$5*AB$3+AM$5*AD$3)</f>
        <v>38.419132173445938</v>
      </c>
      <c r="B59" s="20">
        <v>78</v>
      </c>
      <c r="C59" s="13" t="s">
        <v>106</v>
      </c>
      <c r="D59" s="21" t="s">
        <v>6</v>
      </c>
      <c r="E59" s="21" t="s">
        <v>19</v>
      </c>
      <c r="F59" s="21" t="s">
        <v>19</v>
      </c>
      <c r="G59" s="21">
        <v>18</v>
      </c>
      <c r="H59" s="21">
        <v>28</v>
      </c>
      <c r="I59" s="21">
        <v>25</v>
      </c>
      <c r="J59" s="21">
        <v>37</v>
      </c>
      <c r="K59" s="21">
        <v>31</v>
      </c>
      <c r="L59" s="21">
        <v>40</v>
      </c>
      <c r="M59" s="21">
        <v>83</v>
      </c>
      <c r="N59" s="21">
        <v>91</v>
      </c>
      <c r="O59" s="21">
        <v>42</v>
      </c>
      <c r="P59" s="21">
        <v>56</v>
      </c>
      <c r="Q59" s="20">
        <v>78</v>
      </c>
      <c r="R59" s="13" t="s">
        <v>106</v>
      </c>
      <c r="S59" s="21" t="s">
        <v>6</v>
      </c>
      <c r="T59" s="21" t="s">
        <v>19</v>
      </c>
      <c r="U59" s="21" t="s">
        <v>19</v>
      </c>
      <c r="V59" s="21">
        <v>18</v>
      </c>
      <c r="W59" s="21">
        <v>74</v>
      </c>
      <c r="X59" s="21">
        <v>77</v>
      </c>
      <c r="Y59" s="21">
        <v>46</v>
      </c>
      <c r="Z59" s="21">
        <v>50</v>
      </c>
      <c r="AA59" s="21">
        <v>14</v>
      </c>
      <c r="AB59" s="21">
        <v>82</v>
      </c>
      <c r="AC59" s="21">
        <v>71</v>
      </c>
      <c r="AD59" s="21">
        <v>86</v>
      </c>
      <c r="AE59" s="21">
        <v>45</v>
      </c>
      <c r="AF59" s="21">
        <v>54</v>
      </c>
      <c r="AG59" s="21">
        <v>56</v>
      </c>
      <c r="AH59" s="21">
        <v>56</v>
      </c>
      <c r="AI59" s="6">
        <f>H$1*((-2*10^-6)*H59^3+0.00032*H59^2-0.0021*H59)+I$1*((-2*10^-6)*I59^3+0.00032*I59^2-0.0021*I59)+J$1*((-2*10^-6)*J59^3+0.00032*J59^2-0.0021*J59)+K$1*((-2*10^-6)*K59^3+0.00032*K59^2-0.0021*K59)+L$1*((-2*10^-6)*L59^3+0.00032*L59^2-0.0021*L59)</f>
        <v>1.3423908000000004</v>
      </c>
      <c r="AJ59" s="6">
        <f>(M$1*M59+N$1*N59+O$1*O59)/100</f>
        <v>1.054</v>
      </c>
      <c r="AK59" s="6">
        <f>IF(AA59&lt;50,W$1*((-2*10^-6)*W59^3+0.00032*W59^2-0.0021*W59)+X$1*((-2*10^-6)*X59^3+0.00032*X59^2-0.0021*X59)+Y$1*((-2*10^-6)*Y59^3+0.00032*Y59^2-0.0021*Y59)+Z$1*((-2*10^-6)*Z59^3+0.00032*Z59^2-0.0021*Z59),X$2*((-2*10^-6)*X59^3+0.00032*X59^2-0.0021*AA59)+Y$2*((-2*10^-6)*Y59^3+0.00032*Y59^2-0.0021*Y59)+Z$2*((-2*10^-6)*Z59^3+0.00032*Z59^2-0.0021*Z59)+ AA$2*((-2*10^-6)*AA59^3+0.00032*AA59^2-0.0021*AA59))</f>
        <v>2.4398340000000003</v>
      </c>
      <c r="AL59" s="6">
        <f>(AB$1*AB59+AC$1*AC59)/100</f>
        <v>0.79800000000000015</v>
      </c>
      <c r="AM59" s="6">
        <f>AD$1*((-2*10^-6)*AD59^3+0.00032*AD59^2-0.0021*AD59)+AE$1*((-2*10^-6)*AE59^3+0.00032*AE59^2-0.0021*AE59)+AF$1*((-2*10^-6)*AF59^3+0.00032*AF59^2-0.0021*AF59)+AG$1*((-2*10^-6)*AG59^3+0.00032*AG59^2-0.0021*AG59)</f>
        <v>1.0550810000000006</v>
      </c>
    </row>
    <row r="60" spans="1:39" ht="15" thickBot="1" x14ac:dyDescent="0.35">
      <c r="A60" s="6">
        <f>(AI60*H$3+AJ60*M$3+AK60*W$3+AL60*AB$3+AM60*AD$3)*100/(AI$5*H$3+AJ$5*M$3+AK$5*W$3+AL$5*AB$3+AM$5*AD$3)</f>
        <v>38.25248440717418</v>
      </c>
      <c r="B60" s="18">
        <v>105</v>
      </c>
      <c r="C60" s="12" t="s">
        <v>133</v>
      </c>
      <c r="D60" s="19" t="s">
        <v>6</v>
      </c>
      <c r="E60" s="19" t="s">
        <v>19</v>
      </c>
      <c r="F60" s="19" t="s">
        <v>19</v>
      </c>
      <c r="G60" s="19">
        <v>18</v>
      </c>
      <c r="H60" s="19">
        <v>23</v>
      </c>
      <c r="I60" s="19">
        <v>8</v>
      </c>
      <c r="J60" s="19">
        <v>6</v>
      </c>
      <c r="K60" s="19">
        <v>30</v>
      </c>
      <c r="L60" s="19">
        <v>61</v>
      </c>
      <c r="M60" s="19">
        <v>65</v>
      </c>
      <c r="N60" s="19">
        <v>77</v>
      </c>
      <c r="O60" s="19">
        <v>37</v>
      </c>
      <c r="P60" s="19">
        <v>50</v>
      </c>
      <c r="Q60" s="18">
        <v>105</v>
      </c>
      <c r="R60" s="12" t="s">
        <v>133</v>
      </c>
      <c r="S60" s="19" t="s">
        <v>6</v>
      </c>
      <c r="T60" s="19" t="s">
        <v>19</v>
      </c>
      <c r="U60" s="19" t="s">
        <v>19</v>
      </c>
      <c r="V60" s="19">
        <v>18</v>
      </c>
      <c r="W60" s="19">
        <v>70</v>
      </c>
      <c r="X60" s="19">
        <v>65</v>
      </c>
      <c r="Y60" s="19">
        <v>46</v>
      </c>
      <c r="Z60" s="19">
        <v>48</v>
      </c>
      <c r="AA60" s="19">
        <v>5</v>
      </c>
      <c r="AB60" s="19">
        <v>76</v>
      </c>
      <c r="AC60" s="19">
        <v>88</v>
      </c>
      <c r="AD60" s="19">
        <v>88</v>
      </c>
      <c r="AE60" s="19">
        <v>24</v>
      </c>
      <c r="AF60" s="19">
        <v>1</v>
      </c>
      <c r="AG60" s="19">
        <v>85</v>
      </c>
      <c r="AH60" s="19">
        <v>50</v>
      </c>
      <c r="AI60" s="6">
        <f>H$1*((-2*10^-6)*H60^3+0.00032*H60^2-0.0021*H60)+I$1*((-2*10^-6)*I60^3+0.00032*I60^2-0.0021*I60)+J$1*((-2*10^-6)*J60^3+0.00032*J60^2-0.0021*J60)+K$1*((-2*10^-6)*K60^3+0.00032*K60^2-0.0021*K60)+L$1*((-2*10^-6)*L60^3+0.00032*L60^2-0.0021*L60)</f>
        <v>1.5768984000000004</v>
      </c>
      <c r="AJ60" s="6">
        <f>(M$1*M60+N$1*N60+O$1*O60)/100</f>
        <v>0.84100000000000008</v>
      </c>
      <c r="AK60" s="6">
        <f>IF(AA60&lt;50,W$1*((-2*10^-6)*W60^3+0.00032*W60^2-0.0021*W60)+X$1*((-2*10^-6)*X60^3+0.00032*X60^2-0.0021*X60)+Y$1*((-2*10^-6)*Y60^3+0.00032*Y60^2-0.0021*Y60)+Z$1*((-2*10^-6)*Z60^3+0.00032*Z60^2-0.0021*Z60),X$2*((-2*10^-6)*X60^3+0.00032*X60^2-0.0021*AA60)+Y$2*((-2*10^-6)*Y60^3+0.00032*Y60^2-0.0021*Y60)+Z$2*((-2*10^-6)*Z60^3+0.00032*Z60^2-0.0021*Z60)+ AA$2*((-2*10^-6)*AA60^3+0.00032*AA60^2-0.0021*AA60))</f>
        <v>2.2023940000000004</v>
      </c>
      <c r="AL60" s="6">
        <f>(AB$1*AB60+AC$1*AC60)/100</f>
        <v>0.78400000000000003</v>
      </c>
      <c r="AM60" s="6">
        <f>AD$1*((-2*10^-6)*AD60^3+0.00032*AD60^2-0.0021*AD60)+AE$1*((-2*10^-6)*AE60^3+0.00032*AE60^2-0.0021*AE60)+AF$1*((-2*10^-6)*AF60^3+0.00032*AF60^2-0.0021*AF60)+AG$1*((-2*10^-6)*AG60^3+0.00032*AG60^2-0.0021*AG60)</f>
        <v>1.0313100000000004</v>
      </c>
    </row>
    <row r="61" spans="1:39" ht="15" thickBot="1" x14ac:dyDescent="0.35">
      <c r="A61" s="6">
        <f>(AI61*H$3+AJ61*M$3+AK61*W$3+AL61*AB$3+AM61*AD$3)*100/(AI$5*H$3+AJ$5*M$3+AK$5*W$3+AL$5*AB$3+AM$5*AD$3)</f>
        <v>37.464895998090057</v>
      </c>
      <c r="B61" s="20">
        <v>196</v>
      </c>
      <c r="C61" s="13" t="s">
        <v>224</v>
      </c>
      <c r="D61" s="21" t="s">
        <v>4</v>
      </c>
      <c r="E61" s="21" t="s">
        <v>19</v>
      </c>
      <c r="F61" s="21" t="s">
        <v>19</v>
      </c>
      <c r="G61" s="21">
        <v>21</v>
      </c>
      <c r="H61" s="21">
        <v>39</v>
      </c>
      <c r="I61" s="21">
        <v>27</v>
      </c>
      <c r="J61" s="21">
        <v>44</v>
      </c>
      <c r="K61" s="21">
        <v>35</v>
      </c>
      <c r="L61" s="21">
        <v>31</v>
      </c>
      <c r="M61" s="21">
        <v>36</v>
      </c>
      <c r="N61" s="21">
        <v>0</v>
      </c>
      <c r="O61" s="21">
        <v>51</v>
      </c>
      <c r="P61" s="21">
        <v>50</v>
      </c>
      <c r="Q61" s="20">
        <v>196</v>
      </c>
      <c r="R61" s="13" t="s">
        <v>224</v>
      </c>
      <c r="S61" s="21" t="s">
        <v>4</v>
      </c>
      <c r="T61" s="21" t="s">
        <v>19</v>
      </c>
      <c r="U61" s="21" t="s">
        <v>19</v>
      </c>
      <c r="V61" s="21">
        <v>21</v>
      </c>
      <c r="W61" s="21">
        <v>24</v>
      </c>
      <c r="X61" s="21">
        <v>78</v>
      </c>
      <c r="Y61" s="21">
        <v>79</v>
      </c>
      <c r="Z61" s="21">
        <v>84</v>
      </c>
      <c r="AA61" s="21">
        <v>0</v>
      </c>
      <c r="AB61" s="21">
        <v>95</v>
      </c>
      <c r="AC61" s="21">
        <v>66</v>
      </c>
      <c r="AD61" s="21">
        <v>15</v>
      </c>
      <c r="AE61" s="21">
        <v>86</v>
      </c>
      <c r="AF61" s="21">
        <v>38</v>
      </c>
      <c r="AG61" s="21">
        <v>68</v>
      </c>
      <c r="AH61" s="21">
        <v>50</v>
      </c>
      <c r="AI61" s="6">
        <f>H$1*((-2*10^-6)*H61^3+0.00032*H61^2-0.0021*H61)+I$1*((-2*10^-6)*I61^3+0.00032*I61^2-0.0021*I61)+J$1*((-2*10^-6)*J61^3+0.00032*J61^2-0.0021*J61)+K$1*((-2*10^-6)*K61^3+0.00032*K61^2-0.0021*K61)+L$1*((-2*10^-6)*L61^3+0.00032*L61^2-0.0021*L61)</f>
        <v>1.3631048000000003</v>
      </c>
      <c r="AJ61" s="6">
        <f>(M$1*M61+N$1*N61+O$1*O61)/100</f>
        <v>0.41100000000000003</v>
      </c>
      <c r="AK61" s="6">
        <f>IF(AA61&lt;50,W$1*((-2*10^-6)*W61^3+0.00032*W61^2-0.0021*W61)+X$1*((-2*10^-6)*X61^3+0.00032*X61^2-0.0021*X61)+Y$1*((-2*10^-6)*Y61^3+0.00032*Y61^2-0.0021*Y61)+Z$1*((-2*10^-6)*Z61^3+0.00032*Z61^2-0.0021*Z61),X$2*((-2*10^-6)*X61^3+0.00032*X61^2-0.0021*AA61)+Y$2*((-2*10^-6)*Y61^3+0.00032*Y61^2-0.0021*Y61)+Z$2*((-2*10^-6)*Z61^3+0.00032*Z61^2-0.0021*Z61)+ AA$2*((-2*10^-6)*AA61^3+0.00032*AA61^2-0.0021*AA61))</f>
        <v>2.6815020000000009</v>
      </c>
      <c r="AL61" s="6">
        <f>(AB$1*AB61+AC$1*AC61)/100</f>
        <v>0.89200000000000002</v>
      </c>
      <c r="AM61" s="6">
        <f>AD$1*((-2*10^-6)*AD61^3+0.00032*AD61^2-0.0021*AD61)+AE$1*((-2*10^-6)*AE61^3+0.00032*AE61^2-0.0021*AE61)+AF$1*((-2*10^-6)*AF61^3+0.00032*AF61^2-0.0021*AF61)+AG$1*((-2*10^-6)*AG61^3+0.00032*AG61^2-0.0021*AG61)</f>
        <v>0.2232060000000001</v>
      </c>
    </row>
    <row r="62" spans="1:39" ht="15" thickBot="1" x14ac:dyDescent="0.35">
      <c r="A62" s="6">
        <f>(AI62*H$3+AJ62*M$3+AK62*W$3+AL62*AB$3+AM62*AD$3)*100/(AI$5*H$3+AJ$5*M$3+AK$5*W$3+AL$5*AB$3+AM$5*AD$3)</f>
        <v>36.621701333969973</v>
      </c>
      <c r="B62" s="18">
        <v>167</v>
      </c>
      <c r="C62" s="12" t="s">
        <v>195</v>
      </c>
      <c r="D62" s="19" t="s">
        <v>9</v>
      </c>
      <c r="E62" s="19" t="s">
        <v>19</v>
      </c>
      <c r="F62" s="19" t="s">
        <v>19</v>
      </c>
      <c r="G62" s="19">
        <v>21</v>
      </c>
      <c r="H62" s="19">
        <v>21</v>
      </c>
      <c r="I62" s="19">
        <v>27</v>
      </c>
      <c r="J62" s="19">
        <v>25</v>
      </c>
      <c r="K62" s="19">
        <v>7</v>
      </c>
      <c r="L62" s="19">
        <v>62</v>
      </c>
      <c r="M62" s="19">
        <v>43</v>
      </c>
      <c r="N62" s="19">
        <v>21</v>
      </c>
      <c r="O62" s="19">
        <v>21</v>
      </c>
      <c r="P62" s="19">
        <v>51</v>
      </c>
      <c r="Q62" s="18">
        <v>167</v>
      </c>
      <c r="R62" s="12" t="s">
        <v>195</v>
      </c>
      <c r="S62" s="19" t="s">
        <v>9</v>
      </c>
      <c r="T62" s="19" t="s">
        <v>19</v>
      </c>
      <c r="U62" s="19" t="s">
        <v>19</v>
      </c>
      <c r="V62" s="19">
        <v>21</v>
      </c>
      <c r="W62" s="19">
        <v>39</v>
      </c>
      <c r="X62" s="19">
        <v>68</v>
      </c>
      <c r="Y62" s="19">
        <v>65</v>
      </c>
      <c r="Z62" s="19">
        <v>32</v>
      </c>
      <c r="AA62" s="19">
        <v>27</v>
      </c>
      <c r="AB62" s="19">
        <v>98</v>
      </c>
      <c r="AC62" s="19">
        <v>100</v>
      </c>
      <c r="AD62" s="19">
        <v>48</v>
      </c>
      <c r="AE62" s="19">
        <v>69</v>
      </c>
      <c r="AF62" s="19">
        <v>55</v>
      </c>
      <c r="AG62" s="19">
        <v>40</v>
      </c>
      <c r="AH62" s="19">
        <v>51</v>
      </c>
      <c r="AI62" s="6">
        <f>H$1*((-2*10^-6)*H62^3+0.00032*H62^2-0.0021*H62)+I$1*((-2*10^-6)*I62^3+0.00032*I62^2-0.0021*I62)+J$1*((-2*10^-6)*J62^3+0.00032*J62^2-0.0021*J62)+K$1*((-2*10^-6)*K62^3+0.00032*K62^2-0.0021*K62)+L$1*((-2*10^-6)*L62^3+0.00032*L62^2-0.0021*L62)</f>
        <v>1.7940040000000006</v>
      </c>
      <c r="AJ62" s="6">
        <f>(M$1*M62+N$1*N62+O$1*O62)/100</f>
        <v>0.49300000000000005</v>
      </c>
      <c r="AK62" s="6">
        <f>IF(AA62&lt;50,W$1*((-2*10^-6)*W62^3+0.00032*W62^2-0.0021*W62)+X$1*((-2*10^-6)*X62^3+0.00032*X62^2-0.0021*X62)+Y$1*((-2*10^-6)*Y62^3+0.00032*Y62^2-0.0021*Y62)+Z$1*((-2*10^-6)*Z62^3+0.00032*Z62^2-0.0021*Z62),X$2*((-2*10^-6)*X62^3+0.00032*X62^2-0.0021*AA62)+Y$2*((-2*10^-6)*Y62^3+0.00032*Y62^2-0.0021*Y62)+Z$2*((-2*10^-6)*Z62^3+0.00032*Z62^2-0.0021*Z62)+ AA$2*((-2*10^-6)*AA62^3+0.00032*AA62^2-0.0021*AA62))</f>
        <v>1.8553920000000004</v>
      </c>
      <c r="AL62" s="6">
        <f>(AB$1*AB62+AC$1*AC62)/100</f>
        <v>0.9840000000000001</v>
      </c>
      <c r="AM62" s="6">
        <f>AD$1*((-2*10^-6)*AD62^3+0.00032*AD62^2-0.0021*AD62)+AE$1*((-2*10^-6)*AE62^3+0.00032*AE62^2-0.0021*AE62)+AF$1*((-2*10^-6)*AF62^3+0.00032*AF62^2-0.0021*AF62)+AG$1*((-2*10^-6)*AG62^3+0.00032*AG62^2-0.0021*AG62)</f>
        <v>0.56943120000000014</v>
      </c>
    </row>
    <row r="63" spans="1:39" ht="15" thickBot="1" x14ac:dyDescent="0.35">
      <c r="A63" s="6">
        <f>(AI63*H$3+AJ63*M$3+AK63*W$3+AL63*AB$3+AM63*AD$3)*100/(AI$5*H$3+AJ$5*M$3+AK$5*W$3+AL$5*AB$3+AM$5*AD$3)</f>
        <v>36.546765943477865</v>
      </c>
      <c r="B63" s="20">
        <v>108</v>
      </c>
      <c r="C63" s="13" t="s">
        <v>136</v>
      </c>
      <c r="D63" s="21" t="s">
        <v>6</v>
      </c>
      <c r="E63" s="21" t="s">
        <v>20</v>
      </c>
      <c r="F63" s="21" t="s">
        <v>20</v>
      </c>
      <c r="G63" s="21">
        <v>18</v>
      </c>
      <c r="H63" s="21">
        <v>25</v>
      </c>
      <c r="I63" s="21">
        <v>24</v>
      </c>
      <c r="J63" s="21">
        <v>23</v>
      </c>
      <c r="K63" s="21">
        <v>15</v>
      </c>
      <c r="L63" s="21">
        <v>46</v>
      </c>
      <c r="M63" s="21">
        <v>72</v>
      </c>
      <c r="N63" s="21">
        <v>89</v>
      </c>
      <c r="O63" s="21">
        <v>53</v>
      </c>
      <c r="P63" s="21">
        <v>49</v>
      </c>
      <c r="Q63" s="20">
        <v>108</v>
      </c>
      <c r="R63" s="13" t="s">
        <v>136</v>
      </c>
      <c r="S63" s="21" t="s">
        <v>6</v>
      </c>
      <c r="T63" s="21" t="s">
        <v>20</v>
      </c>
      <c r="U63" s="21" t="s">
        <v>20</v>
      </c>
      <c r="V63" s="21">
        <v>18</v>
      </c>
      <c r="W63" s="21">
        <v>77</v>
      </c>
      <c r="X63" s="21">
        <v>69</v>
      </c>
      <c r="Y63" s="21">
        <v>43</v>
      </c>
      <c r="Z63" s="21">
        <v>55</v>
      </c>
      <c r="AA63" s="21">
        <v>6</v>
      </c>
      <c r="AB63" s="21">
        <v>80</v>
      </c>
      <c r="AC63" s="21">
        <v>58</v>
      </c>
      <c r="AD63" s="21">
        <v>65</v>
      </c>
      <c r="AE63" s="21">
        <v>43</v>
      </c>
      <c r="AF63" s="21">
        <v>89</v>
      </c>
      <c r="AG63" s="21">
        <v>48</v>
      </c>
      <c r="AH63" s="21">
        <v>49</v>
      </c>
      <c r="AI63" s="6">
        <f>H$1*((-2*10^-6)*H63^3+0.00032*H63^2-0.0021*H63)+I$1*((-2*10^-6)*I63^3+0.00032*I63^2-0.0021*I63)+J$1*((-2*10^-6)*J63^3+0.00032*J63^2-0.0021*J63)+K$1*((-2*10^-6)*K63^3+0.00032*K63^2-0.0021*K63)+L$1*((-2*10^-6)*L63^3+0.00032*L63^2-0.0021*L63)</f>
        <v>1.2626472000000004</v>
      </c>
      <c r="AJ63" s="6">
        <f>(M$1*M63+N$1*N63+O$1*O63)/100</f>
        <v>0.95099999999999996</v>
      </c>
      <c r="AK63" s="6">
        <f>IF(AA63&lt;50,W$1*((-2*10^-6)*W63^3+0.00032*W63^2-0.0021*W63)+X$1*((-2*10^-6)*X63^3+0.00032*X63^2-0.0021*X63)+Y$1*((-2*10^-6)*Y63^3+0.00032*Y63^2-0.0021*Y63)+Z$1*((-2*10^-6)*Z63^3+0.00032*Z63^2-0.0021*Z63),X$2*((-2*10^-6)*X63^3+0.00032*X63^2-0.0021*AA63)+Y$2*((-2*10^-6)*Y63^3+0.00032*Y63^2-0.0021*Y63)+Z$2*((-2*10^-6)*Z63^3+0.00032*Z63^2-0.0021*Z63)+ AA$2*((-2*10^-6)*AA63^3+0.00032*AA63^2-0.0021*AA63))</f>
        <v>2.4062320000000006</v>
      </c>
      <c r="AL63" s="6">
        <f>(AB$1*AB63+AC$1*AC63)/100</f>
        <v>0.75599999999999989</v>
      </c>
      <c r="AM63" s="6">
        <f>AD$1*((-2*10^-6)*AD63^3+0.00032*AD63^2-0.0021*AD63)+AE$1*((-2*10^-6)*AE63^3+0.00032*AE63^2-0.0021*AE63)+AF$1*((-2*10^-6)*AF63^3+0.00032*AF63^2-0.0021*AF63)+AG$1*((-2*10^-6)*AG63^3+0.00032*AG63^2-0.0021*AG63)</f>
        <v>0.83580440000000022</v>
      </c>
    </row>
    <row r="64" spans="1:39" ht="15" thickBot="1" x14ac:dyDescent="0.35">
      <c r="A64" s="6">
        <f>(AI64*H$3+AJ64*M$3+AK64*W$3+AL64*AB$3+AM64*AD$3)*100/(AI$5*H$3+AJ$5*M$3+AK$5*W$3+AL$5*AB$3+AM$5*AD$3)</f>
        <v>36.390019397773727</v>
      </c>
      <c r="B64" s="18">
        <v>191</v>
      </c>
      <c r="C64" s="12" t="s">
        <v>219</v>
      </c>
      <c r="D64" s="19" t="s">
        <v>4</v>
      </c>
      <c r="E64" s="19" t="s">
        <v>20</v>
      </c>
      <c r="F64" s="19" t="s">
        <v>20</v>
      </c>
      <c r="G64" s="19">
        <v>18</v>
      </c>
      <c r="H64" s="19">
        <v>51</v>
      </c>
      <c r="I64" s="19">
        <v>55</v>
      </c>
      <c r="J64" s="19">
        <v>48</v>
      </c>
      <c r="K64" s="19">
        <v>51</v>
      </c>
      <c r="L64" s="19">
        <v>40</v>
      </c>
      <c r="M64" s="19">
        <v>42</v>
      </c>
      <c r="N64" s="19">
        <v>36</v>
      </c>
      <c r="O64" s="19">
        <v>39</v>
      </c>
      <c r="P64" s="19">
        <v>55</v>
      </c>
      <c r="Q64" s="18">
        <v>191</v>
      </c>
      <c r="R64" s="12" t="s">
        <v>219</v>
      </c>
      <c r="S64" s="19" t="s">
        <v>4</v>
      </c>
      <c r="T64" s="19" t="s">
        <v>20</v>
      </c>
      <c r="U64" s="19" t="s">
        <v>20</v>
      </c>
      <c r="V64" s="19">
        <v>18</v>
      </c>
      <c r="W64" s="19">
        <v>38</v>
      </c>
      <c r="X64" s="19">
        <v>33</v>
      </c>
      <c r="Y64" s="19">
        <v>23</v>
      </c>
      <c r="Z64" s="19">
        <v>25</v>
      </c>
      <c r="AA64" s="19">
        <v>20</v>
      </c>
      <c r="AB64" s="19">
        <v>100</v>
      </c>
      <c r="AC64" s="19">
        <v>74</v>
      </c>
      <c r="AD64" s="19">
        <v>24</v>
      </c>
      <c r="AE64" s="19">
        <v>67</v>
      </c>
      <c r="AF64" s="19">
        <v>25</v>
      </c>
      <c r="AG64" s="19">
        <v>77</v>
      </c>
      <c r="AH64" s="19">
        <v>55</v>
      </c>
      <c r="AI64" s="6">
        <f>H$1*((-2*10^-6)*H64^3+0.00032*H64^2-0.0021*H64)+I$1*((-2*10^-6)*I64^3+0.00032*I64^2-0.0021*I64)+J$1*((-2*10^-6)*J64^3+0.00032*J64^2-0.0021*J64)+K$1*((-2*10^-6)*K64^3+0.00032*K64^2-0.0021*K64)+L$1*((-2*10^-6)*L64^3+0.00032*L64^2-0.0021*L64)</f>
        <v>2.7765300000000006</v>
      </c>
      <c r="AJ64" s="6">
        <f>(M$1*M64+N$1*N64+O$1*O64)/100</f>
        <v>0.53100000000000003</v>
      </c>
      <c r="AK64" s="6">
        <f>IF(AA64&lt;50,W$1*((-2*10^-6)*W64^3+0.00032*W64^2-0.0021*W64)+X$1*((-2*10^-6)*X64^3+0.00032*X64^2-0.0021*X64)+Y$1*((-2*10^-6)*Y64^3+0.00032*Y64^2-0.0021*Y64)+Z$1*((-2*10^-6)*Z64^3+0.00032*Z64^2-0.0021*Z64),X$2*((-2*10^-6)*X64^3+0.00032*X64^2-0.0021*AA64)+Y$2*((-2*10^-6)*Y64^3+0.00032*Y64^2-0.0021*Y64)+Z$2*((-2*10^-6)*Z64^3+0.00032*Z64^2-0.0021*Z64)+ AA$2*((-2*10^-6)*AA64^3+0.00032*AA64^2-0.0021*AA64))</f>
        <v>0.69273800000000008</v>
      </c>
      <c r="AL64" s="6">
        <f>(AB$1*AB64+AC$1*AC64)/100</f>
        <v>0.94799999999999995</v>
      </c>
      <c r="AM64" s="6">
        <f>AD$1*((-2*10^-6)*AD64^3+0.00032*AD64^2-0.0021*AD64)+AE$1*((-2*10^-6)*AE64^3+0.00032*AE64^2-0.0021*AE64)+AF$1*((-2*10^-6)*AF64^3+0.00032*AF64^2-0.0021*AF64)+AG$1*((-2*10^-6)*AG64^3+0.00032*AG64^2-0.0021*AG64)</f>
        <v>0.26957380000000003</v>
      </c>
    </row>
    <row r="65" spans="1:39" ht="15" thickBot="1" x14ac:dyDescent="0.35">
      <c r="A65" s="6">
        <f>(AI65*H$3+AJ65*M$3+AK65*W$3+AL65*AB$3+AM65*AD$3)*100/(AI$5*H$3+AJ$5*M$3+AK$5*W$3+AL$5*AB$3+AM$5*AD$3)</f>
        <v>36.163722432779245</v>
      </c>
      <c r="B65" s="20">
        <v>188</v>
      </c>
      <c r="C65" s="13" t="s">
        <v>216</v>
      </c>
      <c r="D65" s="21" t="s">
        <v>4</v>
      </c>
      <c r="E65" s="21" t="s">
        <v>21</v>
      </c>
      <c r="F65" s="21" t="s">
        <v>19</v>
      </c>
      <c r="G65" s="21">
        <v>18</v>
      </c>
      <c r="H65" s="21">
        <v>56</v>
      </c>
      <c r="I65" s="21">
        <v>32</v>
      </c>
      <c r="J65" s="21">
        <v>29</v>
      </c>
      <c r="K65" s="21">
        <v>39</v>
      </c>
      <c r="L65" s="21">
        <v>54</v>
      </c>
      <c r="M65" s="21">
        <v>40</v>
      </c>
      <c r="N65" s="21">
        <v>37</v>
      </c>
      <c r="O65" s="21">
        <v>56</v>
      </c>
      <c r="P65" s="21">
        <v>53</v>
      </c>
      <c r="Q65" s="20">
        <v>188</v>
      </c>
      <c r="R65" s="13" t="s">
        <v>216</v>
      </c>
      <c r="S65" s="21" t="s">
        <v>4</v>
      </c>
      <c r="T65" s="21" t="s">
        <v>21</v>
      </c>
      <c r="U65" s="21" t="s">
        <v>19</v>
      </c>
      <c r="V65" s="21">
        <v>18</v>
      </c>
      <c r="W65" s="21">
        <v>0</v>
      </c>
      <c r="X65" s="21">
        <v>24</v>
      </c>
      <c r="Y65" s="21">
        <v>58</v>
      </c>
      <c r="Z65" s="21">
        <v>67</v>
      </c>
      <c r="AA65" s="21">
        <v>71</v>
      </c>
      <c r="AB65" s="21">
        <v>79</v>
      </c>
      <c r="AC65" s="21">
        <v>100</v>
      </c>
      <c r="AD65" s="21">
        <v>25</v>
      </c>
      <c r="AE65" s="21">
        <v>57</v>
      </c>
      <c r="AF65" s="21">
        <v>27</v>
      </c>
      <c r="AG65" s="21">
        <v>84</v>
      </c>
      <c r="AH65" s="21">
        <v>53</v>
      </c>
      <c r="AI65" s="6">
        <f>H$1*((-2*10^-6)*H65^3+0.00032*H65^2-0.0021*H65)+I$1*((-2*10^-6)*I65^3+0.00032*I65^2-0.0021*I65)+J$1*((-2*10^-6)*J65^3+0.00032*J65^2-0.0021*J65)+K$1*((-2*10^-6)*K65^3+0.00032*K65^2-0.0021*K65)+L$1*((-2*10^-6)*L65^3+0.00032*L65^2-0.0021*L65)</f>
        <v>2.3597292000000007</v>
      </c>
      <c r="AJ65" s="6">
        <f>(M$1*M65+N$1*N65+O$1*O65)/100</f>
        <v>0.53</v>
      </c>
      <c r="AK65" s="6">
        <f>IF(AA65&lt;50,W$1*((-2*10^-6)*W65^3+0.00032*W65^2-0.0021*W65)+X$1*((-2*10^-6)*X65^3+0.00032*X65^2-0.0021*X65)+Y$1*((-2*10^-6)*Y65^3+0.00032*Y65^2-0.0021*Y65)+Z$1*((-2*10^-6)*Z65^3+0.00032*Z65^2-0.0021*Z65),X$2*((-2*10^-6)*X65^3+0.00032*X65^2-0.0021*AA65)+Y$2*((-2*10^-6)*Y65^3+0.00032*Y65^2-0.0021*Y65)+Z$2*((-2*10^-6)*Z65^3+0.00032*Z65^2-0.0021*Z65)+ AA$2*((-2*10^-6)*AA65^3+0.00032*AA65^2-0.0021*AA65))</f>
        <v>1.2402166000000003</v>
      </c>
      <c r="AL65" s="6">
        <f>(AB$1*AB65+AC$1*AC65)/100</f>
        <v>0.83200000000000007</v>
      </c>
      <c r="AM65" s="6">
        <f>AD$1*((-2*10^-6)*AD65^3+0.00032*AD65^2-0.0021*AD65)+AE$1*((-2*10^-6)*AE65^3+0.00032*AE65^2-0.0021*AE65)+AF$1*((-2*10^-6)*AF65^3+0.00032*AF65^2-0.0021*AF65)+AG$1*((-2*10^-6)*AG65^3+0.00032*AG65^2-0.0021*AG65)</f>
        <v>0.27454200000000006</v>
      </c>
    </row>
    <row r="66" spans="1:39" ht="15" thickBot="1" x14ac:dyDescent="0.35">
      <c r="A66" s="6">
        <f>(AI66*H$3+AJ66*M$3+AK66*W$3+AL66*AB$3+AM66*AD$3)*100/(AI$5*H$3+AJ$5*M$3+AK$5*W$3+AL$5*AB$3+AM$5*AD$3)</f>
        <v>35.580217105852149</v>
      </c>
      <c r="B66" s="20">
        <v>80</v>
      </c>
      <c r="C66" s="13" t="s">
        <v>108</v>
      </c>
      <c r="D66" s="21" t="s">
        <v>7</v>
      </c>
      <c r="E66" s="21" t="s">
        <v>21</v>
      </c>
      <c r="F66" s="21" t="s">
        <v>19</v>
      </c>
      <c r="G66" s="21">
        <v>18</v>
      </c>
      <c r="H66" s="21">
        <v>30</v>
      </c>
      <c r="I66" s="21">
        <v>62</v>
      </c>
      <c r="J66" s="21">
        <v>46</v>
      </c>
      <c r="K66" s="21">
        <v>31</v>
      </c>
      <c r="L66" s="21">
        <v>28</v>
      </c>
      <c r="M66" s="21">
        <v>10</v>
      </c>
      <c r="N66" s="21">
        <v>81</v>
      </c>
      <c r="O66" s="21">
        <v>89</v>
      </c>
      <c r="P66" s="21">
        <v>50</v>
      </c>
      <c r="Q66" s="20">
        <v>80</v>
      </c>
      <c r="R66" s="13" t="s">
        <v>108</v>
      </c>
      <c r="S66" s="21" t="s">
        <v>7</v>
      </c>
      <c r="T66" s="21" t="s">
        <v>21</v>
      </c>
      <c r="U66" s="21" t="s">
        <v>19</v>
      </c>
      <c r="V66" s="21">
        <v>18</v>
      </c>
      <c r="W66" s="21">
        <v>9</v>
      </c>
      <c r="X66" s="21">
        <v>29</v>
      </c>
      <c r="Y66" s="21">
        <v>73</v>
      </c>
      <c r="Z66" s="21">
        <v>76</v>
      </c>
      <c r="AA66" s="21">
        <v>88</v>
      </c>
      <c r="AB66" s="21">
        <v>79</v>
      </c>
      <c r="AC66" s="21">
        <v>71</v>
      </c>
      <c r="AD66" s="21">
        <v>0</v>
      </c>
      <c r="AE66" s="21">
        <v>66</v>
      </c>
      <c r="AF66" s="21">
        <v>43</v>
      </c>
      <c r="AG66" s="21">
        <v>84</v>
      </c>
      <c r="AH66" s="21">
        <v>50</v>
      </c>
      <c r="AI66" s="6">
        <f>H$1*((-2*10^-6)*H66^3+0.00032*H66^2-0.0021*H66)+I$1*((-2*10^-6)*I66^3+0.00032*I66^2-0.0021*I66)+J$1*((-2*10^-6)*J66^3+0.00032*J66^2-0.0021*J66)+K$1*((-2*10^-6)*K66^3+0.00032*K66^2-0.0021*K66)+L$1*((-2*10^-6)*L66^3+0.00032*L66^2-0.0021*L66)</f>
        <v>2.1212144000000004</v>
      </c>
      <c r="AJ66" s="6">
        <f>(M$1*M66+N$1*N66+O$1*O66)/100</f>
        <v>0.35100000000000003</v>
      </c>
      <c r="AK66" s="6">
        <f>IF(AA66&lt;50,W$1*((-2*10^-6)*W66^3+0.00032*W66^2-0.0021*W66)+X$1*((-2*10^-6)*X66^3+0.00032*X66^2-0.0021*X66)+Y$1*((-2*10^-6)*Y66^3+0.00032*Y66^2-0.0021*Y66)+Z$1*((-2*10^-6)*Z66^3+0.00032*Z66^2-0.0021*Z66),X$2*((-2*10^-6)*X66^3+0.00032*X66^2-0.0021*AA66)+Y$2*((-2*10^-6)*Y66^3+0.00032*Y66^2-0.0021*Y66)+Z$2*((-2*10^-6)*Z66^3+0.00032*Z66^2-0.0021*Z66)+ AA$2*((-2*10^-6)*AA66^3+0.00032*AA66^2-0.0021*AA66))</f>
        <v>1.5676478000000005</v>
      </c>
      <c r="AL66" s="6">
        <f>(AB$1*AB66+AC$1*AC66)/100</f>
        <v>0.77400000000000002</v>
      </c>
      <c r="AM66" s="6">
        <f>AD$1*((-2*10^-6)*AD66^3+0.00032*AD66^2-0.0021*AD66)+AE$1*((-2*10^-6)*AE66^3+0.00032*AE66^2-0.0021*AE66)+AF$1*((-2*10^-6)*AF66^3+0.00032*AF66^2-0.0021*AF66)+AG$1*((-2*10^-6)*AG66^3+0.00032*AG66^2-0.0021*AG66)</f>
        <v>0.19188060000000007</v>
      </c>
    </row>
    <row r="67" spans="1:39" ht="15" thickBot="1" x14ac:dyDescent="0.35">
      <c r="A67" s="6">
        <f>(AI67*H$3+AJ67*M$3+AK67*W$3+AL67*AB$3+AM67*AD$3)*100/(AI$5*H$3+AJ$5*M$3+AK$5*W$3+AL$5*AB$3+AM$5*AD$3)</f>
        <v>35.324870930197847</v>
      </c>
      <c r="B67" s="20">
        <v>128</v>
      </c>
      <c r="C67" s="13" t="s">
        <v>156</v>
      </c>
      <c r="D67" s="21" t="s">
        <v>10</v>
      </c>
      <c r="E67" s="21" t="s">
        <v>19</v>
      </c>
      <c r="F67" s="21" t="s">
        <v>19</v>
      </c>
      <c r="G67" s="21">
        <v>18</v>
      </c>
      <c r="H67" s="21">
        <v>14</v>
      </c>
      <c r="I67" s="21">
        <v>57</v>
      </c>
      <c r="J67" s="21">
        <v>37</v>
      </c>
      <c r="K67" s="21">
        <v>19</v>
      </c>
      <c r="L67" s="21">
        <v>24</v>
      </c>
      <c r="M67" s="21">
        <v>35</v>
      </c>
      <c r="N67" s="21">
        <v>14</v>
      </c>
      <c r="O67" s="21">
        <v>63</v>
      </c>
      <c r="P67" s="21">
        <v>45</v>
      </c>
      <c r="Q67" s="20">
        <v>128</v>
      </c>
      <c r="R67" s="13" t="s">
        <v>156</v>
      </c>
      <c r="S67" s="21" t="s">
        <v>10</v>
      </c>
      <c r="T67" s="21" t="s">
        <v>19</v>
      </c>
      <c r="U67" s="21" t="s">
        <v>19</v>
      </c>
      <c r="V67" s="21">
        <v>18</v>
      </c>
      <c r="W67" s="21">
        <v>55</v>
      </c>
      <c r="X67" s="21">
        <v>49</v>
      </c>
      <c r="Y67" s="21">
        <v>61</v>
      </c>
      <c r="Z67" s="21">
        <v>59</v>
      </c>
      <c r="AA67" s="21">
        <v>8</v>
      </c>
      <c r="AB67" s="21">
        <v>91</v>
      </c>
      <c r="AC67" s="21">
        <v>69</v>
      </c>
      <c r="AD67" s="21">
        <v>20</v>
      </c>
      <c r="AE67" s="21">
        <v>73</v>
      </c>
      <c r="AF67" s="21">
        <v>44</v>
      </c>
      <c r="AG67" s="21">
        <v>64</v>
      </c>
      <c r="AH67" s="21">
        <v>45</v>
      </c>
      <c r="AI67" s="6">
        <f>H$1*((-2*10^-6)*H67^3+0.00032*H67^2-0.0021*H67)+I$1*((-2*10^-6)*I67^3+0.00032*I67^2-0.0021*I67)+J$1*((-2*10^-6)*J67^3+0.00032*J67^2-0.0021*J67)+K$1*((-2*10^-6)*K67^3+0.00032*K67^2-0.0021*K67)+L$1*((-2*10^-6)*L67^3+0.00032*L67^2-0.0021*L67)</f>
        <v>1.5657844000000003</v>
      </c>
      <c r="AJ67" s="6">
        <f>(M$1*M67+N$1*N67+O$1*O67)/100</f>
        <v>0.44099999999999995</v>
      </c>
      <c r="AK67" s="6">
        <f>IF(AA67&lt;50,W$1*((-2*10^-6)*W67^3+0.00032*W67^2-0.0021*W67)+X$1*((-2*10^-6)*X67^3+0.00032*X67^2-0.0021*X67)+Y$1*((-2*10^-6)*Y67^3+0.00032*Y67^2-0.0021*Y67)+Z$1*((-2*10^-6)*Z67^3+0.00032*Z67^2-0.0021*Z67),X$2*((-2*10^-6)*X67^3+0.00032*X67^2-0.0021*AA67)+Y$2*((-2*10^-6)*Y67^3+0.00032*Y67^2-0.0021*Y67)+Z$2*((-2*10^-6)*Z67^3+0.00032*Z67^2-0.0021*Z67)+ AA$2*((-2*10^-6)*AA67^3+0.00032*AA67^2-0.0021*AA67))</f>
        <v>2.1377920000000001</v>
      </c>
      <c r="AL67" s="6">
        <f>(AB$1*AB67+AC$1*AC67)/100</f>
        <v>0.86599999999999999</v>
      </c>
      <c r="AM67" s="6">
        <f>AD$1*((-2*10^-6)*AD67^3+0.00032*AD67^2-0.0021*AD67)+AE$1*((-2*10^-6)*AE67^3+0.00032*AE67^2-0.0021*AE67)+AF$1*((-2*10^-6)*AF67^3+0.00032*AF67^2-0.0021*AF67)+AG$1*((-2*10^-6)*AG67^3+0.00032*AG67^2-0.0021*AG67)</f>
        <v>0.24827300000000008</v>
      </c>
    </row>
    <row r="68" spans="1:39" ht="15" thickBot="1" x14ac:dyDescent="0.35">
      <c r="A68" s="6">
        <f>(AI68*H$3+AJ68*M$3+AK68*W$3+AL68*AB$3+AM68*AD$3)*100/(AI$5*H$3+AJ$5*M$3+AK$5*W$3+AL$5*AB$3+AM$5*AD$3)</f>
        <v>34.524010116685055</v>
      </c>
      <c r="B68" s="20">
        <v>86</v>
      </c>
      <c r="C68" s="13" t="s">
        <v>114</v>
      </c>
      <c r="D68" s="21" t="s">
        <v>6</v>
      </c>
      <c r="E68" s="21" t="s">
        <v>19</v>
      </c>
      <c r="F68" s="21" t="s">
        <v>19</v>
      </c>
      <c r="G68" s="21">
        <v>18</v>
      </c>
      <c r="H68" s="21">
        <v>50</v>
      </c>
      <c r="I68" s="21">
        <v>0</v>
      </c>
      <c r="J68" s="21">
        <v>13</v>
      </c>
      <c r="K68" s="21">
        <v>39</v>
      </c>
      <c r="L68" s="21">
        <v>27</v>
      </c>
      <c r="M68" s="21">
        <v>69</v>
      </c>
      <c r="N68" s="21">
        <v>83</v>
      </c>
      <c r="O68" s="21">
        <v>30</v>
      </c>
      <c r="P68" s="21">
        <v>54</v>
      </c>
      <c r="Q68" s="20">
        <v>86</v>
      </c>
      <c r="R68" s="13" t="s">
        <v>114</v>
      </c>
      <c r="S68" s="21" t="s">
        <v>6</v>
      </c>
      <c r="T68" s="21" t="s">
        <v>19</v>
      </c>
      <c r="U68" s="21" t="s">
        <v>19</v>
      </c>
      <c r="V68" s="21">
        <v>18</v>
      </c>
      <c r="W68" s="21">
        <v>81</v>
      </c>
      <c r="X68" s="21">
        <v>67</v>
      </c>
      <c r="Y68" s="21">
        <v>45</v>
      </c>
      <c r="Z68" s="21">
        <v>48</v>
      </c>
      <c r="AA68" s="21">
        <v>34</v>
      </c>
      <c r="AB68" s="21">
        <v>85</v>
      </c>
      <c r="AC68" s="21">
        <v>96</v>
      </c>
      <c r="AD68" s="21">
        <v>89</v>
      </c>
      <c r="AE68" s="21">
        <v>76</v>
      </c>
      <c r="AF68" s="21">
        <v>62</v>
      </c>
      <c r="AG68" s="21">
        <v>59</v>
      </c>
      <c r="AH68" s="21">
        <v>54</v>
      </c>
      <c r="AI68" s="6">
        <f>H$1*((-2*10^-6)*H68^3+0.00032*H68^2-0.0021*H68)+I$1*((-2*10^-6)*I68^3+0.00032*I68^2-0.0021*I68)+J$1*((-2*10^-6)*J68^3+0.00032*J68^2-0.0021*J68)+K$1*((-2*10^-6)*K68^3+0.00032*K68^2-0.0021*K68)+L$1*((-2*10^-6)*L68^3+0.00032*L68^2-0.0021*L68)</f>
        <v>0.98924800000000024</v>
      </c>
      <c r="AJ68" s="6">
        <f>(M$1*M68+N$1*N68+O$1*O68)/100</f>
        <v>0.8859999999999999</v>
      </c>
      <c r="AK68" s="6">
        <f>IF(AA68&lt;50,W$1*((-2*10^-6)*W68^3+0.00032*W68^2-0.0021*W68)+X$1*((-2*10^-6)*X68^3+0.00032*X68^2-0.0021*X68)+Y$1*((-2*10^-6)*Y68^3+0.00032*Y68^2-0.0021*Y68)+Z$1*((-2*10^-6)*Z68^3+0.00032*Z68^2-0.0021*Z68),X$2*((-2*10^-6)*X68^3+0.00032*X68^2-0.0021*AA68)+Y$2*((-2*10^-6)*Y68^3+0.00032*Y68^2-0.0021*Y68)+Z$2*((-2*10^-6)*Z68^3+0.00032*Z68^2-0.0021*Z68)+ AA$2*((-2*10^-6)*AA68^3+0.00032*AA68^2-0.0021*AA68))</f>
        <v>2.3473380000000001</v>
      </c>
      <c r="AL68" s="6">
        <f>(AB$1*AB68+AC$1*AC68)/100</f>
        <v>0.872</v>
      </c>
      <c r="AM68" s="6">
        <f>AD$1*((-2*10^-6)*AD68^3+0.00032*AD68^2-0.0021*AD68)+AE$1*((-2*10^-6)*AE68^3+0.00032*AE68^2-0.0021*AE68)+AF$1*((-2*10^-6)*AF68^3+0.00032*AF68^2-0.0021*AF68)+AG$1*((-2*10^-6)*AG68^3+0.00032*AG68^2-0.0021*AG68)</f>
        <v>1.1392074000000003</v>
      </c>
    </row>
    <row r="69" spans="1:39" ht="15" thickBot="1" x14ac:dyDescent="0.35">
      <c r="A69" s="6">
        <f>(AI69*H$3+AJ69*M$3+AK69*W$3+AL69*AB$3+AM69*AD$3)*100/(AI$5*H$3+AJ$5*M$3+AK$5*W$3+AL$5*AB$3+AM$5*AD$3)</f>
        <v>34.49691306813093</v>
      </c>
      <c r="B69" s="18">
        <v>185</v>
      </c>
      <c r="C69" s="12" t="s">
        <v>213</v>
      </c>
      <c r="D69" s="19" t="s">
        <v>4</v>
      </c>
      <c r="E69" s="19" t="s">
        <v>19</v>
      </c>
      <c r="F69" s="19" t="s">
        <v>19</v>
      </c>
      <c r="G69" s="19">
        <v>18</v>
      </c>
      <c r="H69" s="19">
        <v>33</v>
      </c>
      <c r="I69" s="19">
        <v>45</v>
      </c>
      <c r="J69" s="19">
        <v>33</v>
      </c>
      <c r="K69" s="19">
        <v>37</v>
      </c>
      <c r="L69" s="19">
        <v>55</v>
      </c>
      <c r="M69" s="19">
        <v>37</v>
      </c>
      <c r="N69" s="19">
        <v>31</v>
      </c>
      <c r="O69" s="19">
        <v>49</v>
      </c>
      <c r="P69" s="19">
        <v>46</v>
      </c>
      <c r="Q69" s="18">
        <v>185</v>
      </c>
      <c r="R69" s="12" t="s">
        <v>213</v>
      </c>
      <c r="S69" s="19" t="s">
        <v>4</v>
      </c>
      <c r="T69" s="19" t="s">
        <v>19</v>
      </c>
      <c r="U69" s="19" t="s">
        <v>19</v>
      </c>
      <c r="V69" s="19">
        <v>18</v>
      </c>
      <c r="W69" s="19">
        <v>4</v>
      </c>
      <c r="X69" s="19">
        <v>26</v>
      </c>
      <c r="Y69" s="19">
        <v>59</v>
      </c>
      <c r="Z69" s="19">
        <v>78</v>
      </c>
      <c r="AA69" s="19">
        <v>50</v>
      </c>
      <c r="AB69" s="19">
        <v>61</v>
      </c>
      <c r="AC69" s="19">
        <v>93</v>
      </c>
      <c r="AD69" s="19">
        <v>31</v>
      </c>
      <c r="AE69" s="19">
        <v>63</v>
      </c>
      <c r="AF69" s="19">
        <v>59</v>
      </c>
      <c r="AG69" s="19">
        <v>65</v>
      </c>
      <c r="AH69" s="19">
        <v>46</v>
      </c>
      <c r="AI69" s="6">
        <f>H$1*((-2*10^-6)*H69^3+0.00032*H69^2-0.0021*H69)+I$1*((-2*10^-6)*I69^3+0.00032*I69^2-0.0021*I69)+J$1*((-2*10^-6)*J69^3+0.00032*J69^2-0.0021*J69)+K$1*((-2*10^-6)*K69^3+0.00032*K69^2-0.0021*K69)+L$1*((-2*10^-6)*L69^3+0.00032*L69^2-0.0021*L69)</f>
        <v>2.4248988000000002</v>
      </c>
      <c r="AJ69" s="6">
        <f>(M$1*M69+N$1*N69+O$1*O69)/100</f>
        <v>0.48100000000000004</v>
      </c>
      <c r="AK69" s="6">
        <f>IF(AA69&lt;50,W$1*((-2*10^-6)*W69^3+0.00032*W69^2-0.0021*W69)+X$1*((-2*10^-6)*X69^3+0.00032*X69^2-0.0021*X69)+Y$1*((-2*10^-6)*Y69^3+0.00032*Y69^2-0.0021*Y69)+Z$1*((-2*10^-6)*Z69^3+0.00032*Z69^2-0.0021*Z69),X$2*((-2*10^-6)*X69^3+0.00032*X69^2-0.0021*AA69)+Y$2*((-2*10^-6)*Y69^3+0.00032*Y69^2-0.0021*Y69)+Z$2*((-2*10^-6)*Z69^3+0.00032*Z69^2-0.0021*Z69)+ AA$2*((-2*10^-6)*AA69^3+0.00032*AA69^2-0.0021*AA69))</f>
        <v>1.0000574000000002</v>
      </c>
      <c r="AL69" s="6">
        <f>(AB$1*AB69+AC$1*AC69)/100</f>
        <v>0.67400000000000004</v>
      </c>
      <c r="AM69" s="6">
        <f>AD$1*((-2*10^-6)*AD69^3+0.00032*AD69^2-0.0021*AD69)+AE$1*((-2*10^-6)*AE69^3+0.00032*AE69^2-0.0021*AE69)+AF$1*((-2*10^-6)*AF69^3+0.00032*AF69^2-0.0021*AF69)+AG$1*((-2*10^-6)*AG69^3+0.00032*AG69^2-0.0021*AG69)</f>
        <v>0.37115780000000009</v>
      </c>
    </row>
    <row r="70" spans="1:39" ht="15" thickBot="1" x14ac:dyDescent="0.35">
      <c r="A70" s="6">
        <f>(AI70*H$3+AJ70*M$3+AK70*W$3+AL70*AB$3+AM70*AD$3)*100/(AI$5*H$3+AJ$5*M$3+AK$5*W$3+AL$5*AB$3+AM$5*AD$3)</f>
        <v>34.368702438150933</v>
      </c>
      <c r="B70" s="20">
        <v>94</v>
      </c>
      <c r="C70" s="13" t="s">
        <v>122</v>
      </c>
      <c r="D70" s="21" t="s">
        <v>6</v>
      </c>
      <c r="E70" s="21" t="s">
        <v>20</v>
      </c>
      <c r="F70" s="21" t="s">
        <v>20</v>
      </c>
      <c r="G70" s="21">
        <v>18</v>
      </c>
      <c r="H70" s="21">
        <v>33</v>
      </c>
      <c r="I70" s="21">
        <v>1</v>
      </c>
      <c r="J70" s="21">
        <v>0</v>
      </c>
      <c r="K70" s="21">
        <v>47</v>
      </c>
      <c r="L70" s="21">
        <v>30</v>
      </c>
      <c r="M70" s="21">
        <v>68</v>
      </c>
      <c r="N70" s="21">
        <v>89</v>
      </c>
      <c r="O70" s="21">
        <v>46</v>
      </c>
      <c r="P70" s="21">
        <v>52</v>
      </c>
      <c r="Q70" s="20">
        <v>94</v>
      </c>
      <c r="R70" s="13" t="s">
        <v>122</v>
      </c>
      <c r="S70" s="21" t="s">
        <v>6</v>
      </c>
      <c r="T70" s="21" t="s">
        <v>20</v>
      </c>
      <c r="U70" s="21" t="s">
        <v>20</v>
      </c>
      <c r="V70" s="21">
        <v>18</v>
      </c>
      <c r="W70" s="21">
        <v>72</v>
      </c>
      <c r="X70" s="21">
        <v>74</v>
      </c>
      <c r="Y70" s="21">
        <v>51</v>
      </c>
      <c r="Z70" s="21">
        <v>50</v>
      </c>
      <c r="AA70" s="21">
        <v>13</v>
      </c>
      <c r="AB70" s="21">
        <v>94</v>
      </c>
      <c r="AC70" s="21">
        <v>89</v>
      </c>
      <c r="AD70" s="21">
        <v>81</v>
      </c>
      <c r="AE70" s="21">
        <v>83</v>
      </c>
      <c r="AF70" s="21">
        <v>0</v>
      </c>
      <c r="AG70" s="21">
        <v>32</v>
      </c>
      <c r="AH70" s="21">
        <v>52</v>
      </c>
      <c r="AI70" s="6">
        <f>H$1*((-2*10^-6)*H70^3+0.00032*H70^2-0.0021*H70)+I$1*((-2*10^-6)*I70^3+0.00032*I70^2-0.0021*I70)+J$1*((-2*10^-6)*J70^3+0.00032*J70^2-0.0021*J70)+K$1*((-2*10^-6)*K70^3+0.00032*K70^2-0.0021*K70)+L$1*((-2*10^-6)*L70^3+0.00032*L70^2-0.0021*L70)</f>
        <v>0.90036920000000031</v>
      </c>
      <c r="AJ70" s="6">
        <f>(M$1*M70+N$1*N70+O$1*O70)/100</f>
        <v>0.90399999999999991</v>
      </c>
      <c r="AK70" s="6">
        <f>IF(AA70&lt;50,W$1*((-2*10^-6)*W70^3+0.00032*W70^2-0.0021*W70)+X$1*((-2*10^-6)*X70^3+0.00032*X70^2-0.0021*X70)+Y$1*((-2*10^-6)*Y70^3+0.00032*Y70^2-0.0021*Y70)+Z$1*((-2*10^-6)*Z70^3+0.00032*Z70^2-0.0021*Z70),X$2*((-2*10^-6)*X70^3+0.00032*X70^2-0.0021*AA70)+Y$2*((-2*10^-6)*Y70^3+0.00032*Y70^2-0.0021*Y70)+Z$2*((-2*10^-6)*Z70^3+0.00032*Z70^2-0.0021*Z70)+ AA$2*((-2*10^-6)*AA70^3+0.00032*AA70^2-0.0021*AA70))</f>
        <v>2.4525740000000003</v>
      </c>
      <c r="AL70" s="6">
        <f>(AB$1*AB70+AC$1*AC70)/100</f>
        <v>0.93</v>
      </c>
      <c r="AM70" s="6">
        <f>AD$1*((-2*10^-6)*AD70^3+0.00032*AD70^2-0.0021*AD70)+AE$1*((-2*10^-6)*AE70^3+0.00032*AE70^2-0.0021*AE70)+AF$1*((-2*10^-6)*AF70^3+0.00032*AF70^2-0.0021*AF70)+AG$1*((-2*10^-6)*AG70^3+0.00032*AG70^2-0.0021*AG70)</f>
        <v>0.97469300000000014</v>
      </c>
    </row>
    <row r="71" spans="1:39" ht="15" thickBot="1" x14ac:dyDescent="0.35">
      <c r="A71" s="6">
        <f>(AI71*H$3+AJ71*M$3+AK71*W$3+AL71*AB$3+AM71*AD$3)*100/(AI$5*H$3+AJ$5*M$3+AK$5*W$3+AL$5*AB$3+AM$5*AD$3)</f>
        <v>34.103655435853049</v>
      </c>
      <c r="B71" s="18">
        <v>187</v>
      </c>
      <c r="C71" s="12" t="s">
        <v>215</v>
      </c>
      <c r="D71" s="19" t="s">
        <v>4</v>
      </c>
      <c r="E71" s="19" t="s">
        <v>19</v>
      </c>
      <c r="F71" s="19" t="s">
        <v>19</v>
      </c>
      <c r="G71" s="19">
        <v>18</v>
      </c>
      <c r="H71" s="19">
        <v>47</v>
      </c>
      <c r="I71" s="19">
        <v>35</v>
      </c>
      <c r="J71" s="19">
        <v>50</v>
      </c>
      <c r="K71" s="19">
        <v>17</v>
      </c>
      <c r="L71" s="19">
        <v>58</v>
      </c>
      <c r="M71" s="19">
        <v>51</v>
      </c>
      <c r="N71" s="19">
        <v>0</v>
      </c>
      <c r="O71" s="19">
        <v>6</v>
      </c>
      <c r="P71" s="19">
        <v>51</v>
      </c>
      <c r="Q71" s="18">
        <v>187</v>
      </c>
      <c r="R71" s="12" t="s">
        <v>215</v>
      </c>
      <c r="S71" s="19" t="s">
        <v>4</v>
      </c>
      <c r="T71" s="19" t="s">
        <v>19</v>
      </c>
      <c r="U71" s="19" t="s">
        <v>19</v>
      </c>
      <c r="V71" s="19">
        <v>18</v>
      </c>
      <c r="W71" s="19">
        <v>10</v>
      </c>
      <c r="X71" s="19">
        <v>16</v>
      </c>
      <c r="Y71" s="19">
        <v>49</v>
      </c>
      <c r="Z71" s="19">
        <v>54</v>
      </c>
      <c r="AA71" s="19">
        <v>52</v>
      </c>
      <c r="AB71" s="19">
        <v>79</v>
      </c>
      <c r="AC71" s="19">
        <v>89</v>
      </c>
      <c r="AD71" s="19">
        <v>42</v>
      </c>
      <c r="AE71" s="19">
        <v>83</v>
      </c>
      <c r="AF71" s="19">
        <v>61</v>
      </c>
      <c r="AG71" s="19">
        <v>61</v>
      </c>
      <c r="AH71" s="19">
        <v>51</v>
      </c>
      <c r="AI71" s="6">
        <f>H$1*((-2*10^-6)*H71^3+0.00032*H71^2-0.0021*H71)+I$1*((-2*10^-6)*I71^3+0.00032*I71^2-0.0021*I71)+J$1*((-2*10^-6)*J71^3+0.00032*J71^2-0.0021*J71)+K$1*((-2*10^-6)*K71^3+0.00032*K71^2-0.0021*K71)+L$1*((-2*10^-6)*L71^3+0.00032*L71^2-0.0021*L71)</f>
        <v>2.4124004000000006</v>
      </c>
      <c r="AJ71" s="6">
        <f>(M$1*M71+N$1*N71+O$1*O71)/100</f>
        <v>0.51600000000000001</v>
      </c>
      <c r="AK71" s="6">
        <f>IF(AA71&lt;50,W$1*((-2*10^-6)*W71^3+0.00032*W71^2-0.0021*W71)+X$1*((-2*10^-6)*X71^3+0.00032*X71^2-0.0021*X71)+Y$1*((-2*10^-6)*Y71^3+0.00032*Y71^2-0.0021*Y71)+Z$1*((-2*10^-6)*Z71^3+0.00032*Z71^2-0.0021*Z71),X$2*((-2*10^-6)*X71^3+0.00032*X71^2-0.0021*AA71)+Y$2*((-2*10^-6)*Y71^3+0.00032*Y71^2-0.0021*Y71)+Z$2*((-2*10^-6)*Z71^3+0.00032*Z71^2-0.0021*Z71)+ AA$2*((-2*10^-6)*AA71^3+0.00032*AA71^2-0.0021*AA71))</f>
        <v>0.83426820000000024</v>
      </c>
      <c r="AL71" s="6">
        <f>(AB$1*AB71+AC$1*AC71)/100</f>
        <v>0.81</v>
      </c>
      <c r="AM71" s="6">
        <f>AD$1*((-2*10^-6)*AD71^3+0.00032*AD71^2-0.0021*AD71)+AE$1*((-2*10^-6)*AE71^3+0.00032*AE71^2-0.0021*AE71)+AF$1*((-2*10^-6)*AF71^3+0.00032*AF71^2-0.0021*AF71)+AG$1*((-2*10^-6)*AG71^3+0.00032*AG71^2-0.0021*AG71)</f>
        <v>0.5384962000000002</v>
      </c>
    </row>
    <row r="72" spans="1:39" ht="15" thickBot="1" x14ac:dyDescent="0.35">
      <c r="A72" s="6">
        <f>(AI72*H$3+AJ72*M$3+AK72*W$3+AL72*AB$3+AM72*AD$3)*100/(AI$5*H$3+AJ$5*M$3+AK$5*W$3+AL$5*AB$3+AM$5*AD$3)</f>
        <v>34.001690292160312</v>
      </c>
      <c r="B72" s="20">
        <v>98</v>
      </c>
      <c r="C72" s="13" t="s">
        <v>126</v>
      </c>
      <c r="D72" s="21" t="s">
        <v>7</v>
      </c>
      <c r="E72" s="21" t="s">
        <v>20</v>
      </c>
      <c r="F72" s="21" t="s">
        <v>19</v>
      </c>
      <c r="G72" s="21">
        <v>19</v>
      </c>
      <c r="H72" s="21">
        <v>45</v>
      </c>
      <c r="I72" s="21">
        <v>15</v>
      </c>
      <c r="J72" s="21">
        <v>34</v>
      </c>
      <c r="K72" s="21">
        <v>22</v>
      </c>
      <c r="L72" s="21">
        <v>60</v>
      </c>
      <c r="M72" s="21">
        <v>78</v>
      </c>
      <c r="N72" s="21">
        <v>21</v>
      </c>
      <c r="O72" s="21">
        <v>73</v>
      </c>
      <c r="P72" s="21">
        <v>58</v>
      </c>
      <c r="Q72" s="20">
        <v>98</v>
      </c>
      <c r="R72" s="13" t="s">
        <v>126</v>
      </c>
      <c r="S72" s="21" t="s">
        <v>7</v>
      </c>
      <c r="T72" s="21" t="s">
        <v>20</v>
      </c>
      <c r="U72" s="21" t="s">
        <v>19</v>
      </c>
      <c r="V72" s="21">
        <v>19</v>
      </c>
      <c r="W72" s="21">
        <v>72</v>
      </c>
      <c r="X72" s="21">
        <v>60</v>
      </c>
      <c r="Y72" s="21">
        <v>73</v>
      </c>
      <c r="Z72" s="21">
        <v>71</v>
      </c>
      <c r="AA72" s="21">
        <v>52</v>
      </c>
      <c r="AB72" s="21">
        <v>76</v>
      </c>
      <c r="AC72" s="21">
        <v>100</v>
      </c>
      <c r="AD72" s="21">
        <v>65</v>
      </c>
      <c r="AE72" s="21">
        <v>56</v>
      </c>
      <c r="AF72" s="21">
        <v>72</v>
      </c>
      <c r="AG72" s="21">
        <v>25</v>
      </c>
      <c r="AH72" s="21">
        <v>58</v>
      </c>
      <c r="AI72" s="6">
        <f>H$1*((-2*10^-6)*H72^3+0.00032*H72^2-0.0021*H72)+I$1*((-2*10^-6)*I72^3+0.00032*I72^2-0.0021*I72)+J$1*((-2*10^-6)*J72^3+0.00032*J72^2-0.0021*J72)+K$1*((-2*10^-6)*K72^3+0.00032*K72^2-0.0021*K72)+L$1*((-2*10^-6)*L72^3+0.00032*L72^2-0.0021*L72)</f>
        <v>1.9474044000000008</v>
      </c>
      <c r="AJ72" s="6">
        <f>(M$1*M72+N$1*N72+O$1*O72)/100</f>
        <v>0.89500000000000002</v>
      </c>
      <c r="AK72" s="6">
        <f>IF(AA72&lt;50,W$1*((-2*10^-6)*W72^3+0.00032*W72^2-0.0021*W72)+X$1*((-2*10^-6)*X72^3+0.00032*X72^2-0.0021*X72)+Y$1*((-2*10^-6)*Y72^3+0.00032*Y72^2-0.0021*Y72)+Z$1*((-2*10^-6)*Z72^3+0.00032*Z72^2-0.0021*Z72),X$2*((-2*10^-6)*X72^3+0.00032*X72^2-0.0021*AA72)+Y$2*((-2*10^-6)*Y72^3+0.00032*Y72^2-0.0021*Y72)+Z$2*((-2*10^-6)*Z72^3+0.00032*Z72^2-0.0021*Z72)+ AA$2*((-2*10^-6)*AA72^3+0.00032*AA72^2-0.0021*AA72))</f>
        <v>1.2084564000000002</v>
      </c>
      <c r="AL72" s="6">
        <f>(AB$1*AB72+AC$1*AC72)/100</f>
        <v>0.80800000000000016</v>
      </c>
      <c r="AM72" s="6">
        <f>AD$1*((-2*10^-6)*AD72^3+0.00032*AD72^2-0.0021*AD72)+AE$1*((-2*10^-6)*AE72^3+0.00032*AE72^2-0.0021*AE72)+AF$1*((-2*10^-6)*AF72^3+0.00032*AF72^2-0.0021*AF72)+AG$1*((-2*10^-6)*AG72^3+0.00032*AG72^2-0.0021*AG72)</f>
        <v>0.80746220000000013</v>
      </c>
    </row>
    <row r="73" spans="1:39" ht="15" thickBot="1" x14ac:dyDescent="0.35">
      <c r="A73" s="6">
        <f>(AI73*H$3+AJ73*M$3+AK73*W$3+AL73*AB$3+AM73*AD$3)*100/(AI$5*H$3+AJ$5*M$3+AK$5*W$3+AL$5*AB$3+AM$5*AD$3)</f>
        <v>33.906723865230234</v>
      </c>
      <c r="B73" s="18">
        <v>97</v>
      </c>
      <c r="C73" s="12" t="s">
        <v>125</v>
      </c>
      <c r="D73" s="19" t="s">
        <v>8</v>
      </c>
      <c r="E73" s="19" t="s">
        <v>19</v>
      </c>
      <c r="F73" s="19" t="s">
        <v>19</v>
      </c>
      <c r="G73" s="19">
        <v>18</v>
      </c>
      <c r="H73" s="19">
        <v>51</v>
      </c>
      <c r="I73" s="19">
        <v>5</v>
      </c>
      <c r="J73" s="19">
        <v>0</v>
      </c>
      <c r="K73" s="19">
        <v>28</v>
      </c>
      <c r="L73" s="19">
        <v>27</v>
      </c>
      <c r="M73" s="19">
        <v>71</v>
      </c>
      <c r="N73" s="19">
        <v>72</v>
      </c>
      <c r="O73" s="19">
        <v>42</v>
      </c>
      <c r="P73" s="19">
        <v>51</v>
      </c>
      <c r="Q73" s="18">
        <v>97</v>
      </c>
      <c r="R73" s="12" t="s">
        <v>125</v>
      </c>
      <c r="S73" s="19" t="s">
        <v>8</v>
      </c>
      <c r="T73" s="19" t="s">
        <v>19</v>
      </c>
      <c r="U73" s="19" t="s">
        <v>19</v>
      </c>
      <c r="V73" s="19">
        <v>18</v>
      </c>
      <c r="W73" s="19">
        <v>76</v>
      </c>
      <c r="X73" s="19">
        <v>68</v>
      </c>
      <c r="Y73" s="19">
        <v>48</v>
      </c>
      <c r="Z73" s="19">
        <v>55</v>
      </c>
      <c r="AA73" s="19">
        <v>5</v>
      </c>
      <c r="AB73" s="19">
        <v>85</v>
      </c>
      <c r="AC73" s="19">
        <v>94</v>
      </c>
      <c r="AD73" s="19">
        <v>76</v>
      </c>
      <c r="AE73" s="19">
        <v>75</v>
      </c>
      <c r="AF73" s="19">
        <v>36</v>
      </c>
      <c r="AG73" s="19">
        <v>65</v>
      </c>
      <c r="AH73" s="19">
        <v>51</v>
      </c>
      <c r="AI73" s="6">
        <f>H$1*((-2*10^-6)*H73^3+0.00032*H73^2-0.0021*H73)+I$1*((-2*10^-6)*I73^3+0.00032*I73^2-0.0021*I73)+J$1*((-2*10^-6)*J73^3+0.00032*J73^2-0.0021*J73)+K$1*((-2*10^-6)*K73^3+0.00032*K73^2-0.0021*K73)+L$1*((-2*10^-6)*L73^3+0.00032*L73^2-0.0021*L73)</f>
        <v>0.87482960000000021</v>
      </c>
      <c r="AJ73" s="6">
        <f>(M$1*M73+N$1*N73+O$1*O73)/100</f>
        <v>0.89600000000000013</v>
      </c>
      <c r="AK73" s="6">
        <f>IF(AA73&lt;50,W$1*((-2*10^-6)*W73^3+0.00032*W73^2-0.0021*W73)+X$1*((-2*10^-6)*X73^3+0.00032*X73^2-0.0021*X73)+Y$1*((-2*10^-6)*Y73^3+0.00032*Y73^2-0.0021*Y73)+Z$1*((-2*10^-6)*Z73^3+0.00032*Z73^2-0.0021*Z73),X$2*((-2*10^-6)*X73^3+0.00032*X73^2-0.0021*AA73)+Y$2*((-2*10^-6)*Y73^3+0.00032*Y73^2-0.0021*Y73)+Z$2*((-2*10^-6)*Z73^3+0.00032*Z73^2-0.0021*Z73)+ AA$2*((-2*10^-6)*AA73^3+0.00032*AA73^2-0.0021*AA73))</f>
        <v>2.4538300000000008</v>
      </c>
      <c r="AL73" s="6">
        <f>(AB$1*AB73+AC$1*AC73)/100</f>
        <v>0.86799999999999999</v>
      </c>
      <c r="AM73" s="6">
        <f>AD$1*((-2*10^-6)*AD73^3+0.00032*AD73^2-0.0021*AD73)+AE$1*((-2*10^-6)*AE73^3+0.00032*AE73^2-0.0021*AE73)+AF$1*((-2*10^-6)*AF73^3+0.00032*AF73^2-0.0021*AF73)+AG$1*((-2*10^-6)*AG73^3+0.00032*AG73^2-0.0021*AG73)</f>
        <v>0.9818488000000003</v>
      </c>
    </row>
    <row r="74" spans="1:39" ht="15" thickBot="1" x14ac:dyDescent="0.35">
      <c r="A74" s="6">
        <f>(AI74*H$3+AJ74*M$3+AK74*W$3+AL74*AB$3+AM74*AD$3)*100/(AI$5*H$3+AJ$5*M$3+AK$5*W$3+AL$5*AB$3+AM$5*AD$3)</f>
        <v>33.838489808708097</v>
      </c>
      <c r="B74" s="20">
        <v>170</v>
      </c>
      <c r="C74" s="13" t="s">
        <v>198</v>
      </c>
      <c r="D74" s="21" t="s">
        <v>10</v>
      </c>
      <c r="E74" s="21" t="s">
        <v>20</v>
      </c>
      <c r="F74" s="21" t="s">
        <v>19</v>
      </c>
      <c r="G74" s="21">
        <v>21</v>
      </c>
      <c r="H74" s="21">
        <v>7</v>
      </c>
      <c r="I74" s="21">
        <v>26</v>
      </c>
      <c r="J74" s="21">
        <v>17</v>
      </c>
      <c r="K74" s="21">
        <v>11</v>
      </c>
      <c r="L74" s="21">
        <v>26</v>
      </c>
      <c r="M74" s="21">
        <v>60</v>
      </c>
      <c r="N74" s="21">
        <v>51</v>
      </c>
      <c r="O74" s="21">
        <v>26</v>
      </c>
      <c r="P74" s="21">
        <v>49</v>
      </c>
      <c r="Q74" s="20">
        <v>170</v>
      </c>
      <c r="R74" s="13" t="s">
        <v>198</v>
      </c>
      <c r="S74" s="21" t="s">
        <v>10</v>
      </c>
      <c r="T74" s="21" t="s">
        <v>20</v>
      </c>
      <c r="U74" s="21" t="s">
        <v>19</v>
      </c>
      <c r="V74" s="21">
        <v>21</v>
      </c>
      <c r="W74" s="21">
        <v>62</v>
      </c>
      <c r="X74" s="21">
        <v>96</v>
      </c>
      <c r="Y74" s="21">
        <v>89</v>
      </c>
      <c r="Z74" s="21">
        <v>52</v>
      </c>
      <c r="AA74" s="21">
        <v>31</v>
      </c>
      <c r="AB74" s="21">
        <v>100</v>
      </c>
      <c r="AC74" s="21">
        <v>100</v>
      </c>
      <c r="AD74" s="21">
        <v>25</v>
      </c>
      <c r="AE74" s="21">
        <v>82</v>
      </c>
      <c r="AF74" s="21">
        <v>45</v>
      </c>
      <c r="AG74" s="21">
        <v>60</v>
      </c>
      <c r="AH74" s="21">
        <v>49</v>
      </c>
      <c r="AI74" s="6">
        <f>H$1*((-2*10^-6)*H74^3+0.00032*H74^2-0.0021*H74)+I$1*((-2*10^-6)*I74^3+0.00032*I74^2-0.0021*I74)+J$1*((-2*10^-6)*J74^3+0.00032*J74^2-0.0021*J74)+K$1*((-2*10^-6)*K74^3+0.00032*K74^2-0.0021*K74)+L$1*((-2*10^-6)*L74^3+0.00032*L74^2-0.0021*L74)</f>
        <v>0.5704184000000001</v>
      </c>
      <c r="AJ74" s="6">
        <f>(M$1*M74+N$1*N74+O$1*O74)/100</f>
        <v>0.72799999999999998</v>
      </c>
      <c r="AK74" s="6">
        <f>IF(AA74&lt;50,W$1*((-2*10^-6)*W74^3+0.00032*W74^2-0.0021*W74)+X$1*((-2*10^-6)*X74^3+0.00032*X74^2-0.0021*X74)+Y$1*((-2*10^-6)*Y74^3+0.00032*Y74^2-0.0021*Y74)+Z$1*((-2*10^-6)*Z74^3+0.00032*Z74^2-0.0021*Z74),X$2*((-2*10^-6)*X74^3+0.00032*X74^2-0.0021*AA74)+Y$2*((-2*10^-6)*Y74^3+0.00032*Y74^2-0.0021*Y74)+Z$2*((-2*10^-6)*Z74^3+0.00032*Z74^2-0.0021*Z74)+ AA$2*((-2*10^-6)*AA74^3+0.00032*AA74^2-0.0021*AA74))</f>
        <v>3.0140180000000005</v>
      </c>
      <c r="AL74" s="6">
        <f>(AB$1*AB74+AC$1*AC74)/100</f>
        <v>1</v>
      </c>
      <c r="AM74" s="6">
        <f>AD$1*((-2*10^-6)*AD74^3+0.00032*AD74^2-0.0021*AD74)+AE$1*((-2*10^-6)*AE74^3+0.00032*AE74^2-0.0021*AE74)+AF$1*((-2*10^-6)*AF74^3+0.00032*AF74^2-0.0021*AF74)+AG$1*((-2*10^-6)*AG74^3+0.00032*AG74^2-0.0021*AG74)</f>
        <v>0.30044940000000009</v>
      </c>
    </row>
    <row r="75" spans="1:39" ht="15" thickBot="1" x14ac:dyDescent="0.35">
      <c r="A75" s="6">
        <f>(AI75*H$3+AJ75*M$3+AK75*W$3+AL75*AB$3+AM75*AD$3)*100/(AI$5*H$3+AJ$5*M$3+AK$5*W$3+AL$5*AB$3+AM$5*AD$3)</f>
        <v>33.737730311259654</v>
      </c>
      <c r="B75" s="20">
        <v>130</v>
      </c>
      <c r="C75" s="13" t="s">
        <v>158</v>
      </c>
      <c r="D75" s="21" t="s">
        <v>6</v>
      </c>
      <c r="E75" s="21" t="s">
        <v>19</v>
      </c>
      <c r="F75" s="21" t="s">
        <v>19</v>
      </c>
      <c r="G75" s="21">
        <v>18</v>
      </c>
      <c r="H75" s="21">
        <v>11</v>
      </c>
      <c r="I75" s="21">
        <v>53</v>
      </c>
      <c r="J75" s="21">
        <v>30</v>
      </c>
      <c r="K75" s="21">
        <v>28</v>
      </c>
      <c r="L75" s="21">
        <v>27</v>
      </c>
      <c r="M75" s="21">
        <v>29</v>
      </c>
      <c r="N75" s="21">
        <v>15</v>
      </c>
      <c r="O75" s="21">
        <v>55</v>
      </c>
      <c r="P75" s="21">
        <v>45</v>
      </c>
      <c r="Q75" s="20">
        <v>130</v>
      </c>
      <c r="R75" s="13" t="s">
        <v>158</v>
      </c>
      <c r="S75" s="21" t="s">
        <v>6</v>
      </c>
      <c r="T75" s="21" t="s">
        <v>19</v>
      </c>
      <c r="U75" s="21" t="s">
        <v>19</v>
      </c>
      <c r="V75" s="21">
        <v>18</v>
      </c>
      <c r="W75" s="21">
        <v>47</v>
      </c>
      <c r="X75" s="21">
        <v>50</v>
      </c>
      <c r="Y75" s="21">
        <v>55</v>
      </c>
      <c r="Z75" s="21">
        <v>61</v>
      </c>
      <c r="AA75" s="21">
        <v>8</v>
      </c>
      <c r="AB75" s="21">
        <v>86</v>
      </c>
      <c r="AC75" s="21">
        <v>94</v>
      </c>
      <c r="AD75" s="21">
        <v>32</v>
      </c>
      <c r="AE75" s="21">
        <v>34</v>
      </c>
      <c r="AF75" s="21">
        <v>84</v>
      </c>
      <c r="AG75" s="21">
        <v>45</v>
      </c>
      <c r="AH75" s="21">
        <v>45</v>
      </c>
      <c r="AI75" s="6">
        <f>H$1*((-2*10^-6)*H75^3+0.00032*H75^2-0.0021*H75)+I$1*((-2*10^-6)*I75^3+0.00032*I75^2-0.0021*I75)+J$1*((-2*10^-6)*J75^3+0.00032*J75^2-0.0021*J75)+K$1*((-2*10^-6)*K75^3+0.00032*K75^2-0.0021*K75)+L$1*((-2*10^-6)*L75^3+0.00032*L75^2-0.0021*L75)</f>
        <v>1.5156216000000005</v>
      </c>
      <c r="AJ75" s="6">
        <f>(M$1*M75+N$1*N75+O$1*O75)/100</f>
        <v>0.375</v>
      </c>
      <c r="AK75" s="6">
        <f>IF(AA75&lt;50,W$1*((-2*10^-6)*W75^3+0.00032*W75^2-0.0021*W75)+X$1*((-2*10^-6)*X75^3+0.00032*X75^2-0.0021*X75)+Y$1*((-2*10^-6)*Y75^3+0.00032*Y75^2-0.0021*Y75)+Z$1*((-2*10^-6)*Z75^3+0.00032*Z75^2-0.0021*Z75),X$2*((-2*10^-6)*X75^3+0.00032*X75^2-0.0021*AA75)+Y$2*((-2*10^-6)*Y75^3+0.00032*Y75^2-0.0021*Y75)+Z$2*((-2*10^-6)*Z75^3+0.00032*Z75^2-0.0021*Z75)+ AA$2*((-2*10^-6)*AA75^3+0.00032*AA75^2-0.0021*AA75))</f>
        <v>1.9739420000000005</v>
      </c>
      <c r="AL75" s="6">
        <f>(AB$1*AB75+AC$1*AC75)/100</f>
        <v>0.87599999999999989</v>
      </c>
      <c r="AM75" s="6">
        <f>AD$1*((-2*10^-6)*AD75^3+0.00032*AD75^2-0.0021*AD75)+AE$1*((-2*10^-6)*AE75^3+0.00032*AE75^2-0.0021*AE75)+AF$1*((-2*10^-6)*AF75^3+0.00032*AF75^2-0.0021*AF75)+AG$1*((-2*10^-6)*AG75^3+0.00032*AG75^2-0.0021*AG75)</f>
        <v>0.34367140000000013</v>
      </c>
    </row>
    <row r="76" spans="1:39" ht="15" thickBot="1" x14ac:dyDescent="0.35">
      <c r="A76" s="6">
        <f>(AI76*H$3+AJ76*M$3+AK76*W$3+AL76*AB$3+AM76*AD$3)*100/(AI$5*H$3+AJ$5*M$3+AK$5*W$3+AL$5*AB$3+AM$5*AD$3)</f>
        <v>33.611411561073133</v>
      </c>
      <c r="B76" s="18">
        <v>197</v>
      </c>
      <c r="C76" s="12" t="s">
        <v>225</v>
      </c>
      <c r="D76" s="19" t="s">
        <v>4</v>
      </c>
      <c r="E76" s="19" t="s">
        <v>19</v>
      </c>
      <c r="F76" s="19" t="s">
        <v>19</v>
      </c>
      <c r="G76" s="19">
        <v>19</v>
      </c>
      <c r="H76" s="19">
        <v>26</v>
      </c>
      <c r="I76" s="19">
        <v>21</v>
      </c>
      <c r="J76" s="19">
        <v>43</v>
      </c>
      <c r="K76" s="19">
        <v>49</v>
      </c>
      <c r="L76" s="19">
        <v>39</v>
      </c>
      <c r="M76" s="19">
        <v>71</v>
      </c>
      <c r="N76" s="19">
        <v>67</v>
      </c>
      <c r="O76" s="19">
        <v>35</v>
      </c>
      <c r="P76" s="19">
        <v>46</v>
      </c>
      <c r="Q76" s="18">
        <v>197</v>
      </c>
      <c r="R76" s="12" t="s">
        <v>225</v>
      </c>
      <c r="S76" s="19" t="s">
        <v>4</v>
      </c>
      <c r="T76" s="19" t="s">
        <v>19</v>
      </c>
      <c r="U76" s="19" t="s">
        <v>19</v>
      </c>
      <c r="V76" s="19">
        <v>19</v>
      </c>
      <c r="W76" s="19">
        <v>78</v>
      </c>
      <c r="X76" s="19">
        <v>68</v>
      </c>
      <c r="Y76" s="19">
        <v>24</v>
      </c>
      <c r="Z76" s="19">
        <v>34</v>
      </c>
      <c r="AA76" s="19">
        <v>20</v>
      </c>
      <c r="AB76" s="19">
        <v>70</v>
      </c>
      <c r="AC76" s="19">
        <v>21</v>
      </c>
      <c r="AD76" s="19">
        <v>71</v>
      </c>
      <c r="AE76" s="19">
        <v>54</v>
      </c>
      <c r="AF76" s="19">
        <v>23</v>
      </c>
      <c r="AG76" s="19">
        <v>17</v>
      </c>
      <c r="AH76" s="19">
        <v>46</v>
      </c>
      <c r="AI76" s="6">
        <f>H$1*((-2*10^-6)*H76^3+0.00032*H76^2-0.0021*H76)+I$1*((-2*10^-6)*I76^3+0.00032*I76^2-0.0021*I76)+J$1*((-2*10^-6)*J76^3+0.00032*J76^2-0.0021*J76)+K$1*((-2*10^-6)*K76^3+0.00032*K76^2-0.0021*K76)+L$1*((-2*10^-6)*L76^3+0.00032*L76^2-0.0021*L76)</f>
        <v>1.4626816000000002</v>
      </c>
      <c r="AJ76" s="6">
        <f>(M$1*M76+N$1*N76+O$1*O76)/100</f>
        <v>0.879</v>
      </c>
      <c r="AK76" s="6">
        <f>IF(AA76&lt;50,W$1*((-2*10^-6)*W76^3+0.00032*W76^2-0.0021*W76)+X$1*((-2*10^-6)*X76^3+0.00032*X76^2-0.0021*X76)+Y$1*((-2*10^-6)*Y76^3+0.00032*Y76^2-0.0021*Y76)+Z$1*((-2*10^-6)*Z76^3+0.00032*Z76^2-0.0021*Z76),X$2*((-2*10^-6)*X76^3+0.00032*X76^2-0.0021*AA76)+Y$2*((-2*10^-6)*Y76^3+0.00032*Y76^2-0.0021*Y76)+Z$2*((-2*10^-6)*Z76^3+0.00032*Z76^2-0.0021*Z76)+ AA$2*((-2*10^-6)*AA76^3+0.00032*AA76^2-0.0021*AA76))</f>
        <v>1.8681760000000005</v>
      </c>
      <c r="AL76" s="6">
        <f>(AB$1*AB76+AC$1*AC76)/100</f>
        <v>0.60199999999999998</v>
      </c>
      <c r="AM76" s="6">
        <f>AD$1*((-2*10^-6)*AD76^3+0.00032*AD76^2-0.0021*AD76)+AE$1*((-2*10^-6)*AE76^3+0.00032*AE76^2-0.0021*AE76)+AF$1*((-2*10^-6)*AF76^3+0.00032*AF76^2-0.0021*AF76)+AG$1*((-2*10^-6)*AG76^3+0.00032*AG76^2-0.0021*AG76)</f>
        <v>0.81303720000000024</v>
      </c>
    </row>
    <row r="77" spans="1:39" ht="15" thickBot="1" x14ac:dyDescent="0.35">
      <c r="A77" s="6">
        <f>(AI77*H$3+AJ77*M$3+AK77*W$3+AL77*AB$3+AM77*AD$3)*100/(AI$5*H$3+AJ$5*M$3+AK$5*W$3+AL$5*AB$3+AM$5*AD$3)</f>
        <v>33.484845713091993</v>
      </c>
      <c r="B77" s="18">
        <v>201</v>
      </c>
      <c r="C77" s="12" t="s">
        <v>229</v>
      </c>
      <c r="D77" s="19" t="s">
        <v>4</v>
      </c>
      <c r="E77" s="19" t="s">
        <v>20</v>
      </c>
      <c r="F77" s="19" t="s">
        <v>20</v>
      </c>
      <c r="G77" s="19">
        <v>18</v>
      </c>
      <c r="H77" s="19">
        <v>8</v>
      </c>
      <c r="I77" s="19">
        <v>46</v>
      </c>
      <c r="J77" s="19">
        <v>19</v>
      </c>
      <c r="K77" s="19">
        <v>27</v>
      </c>
      <c r="L77" s="19">
        <v>47</v>
      </c>
      <c r="M77" s="19">
        <v>62</v>
      </c>
      <c r="N77" s="19">
        <v>12</v>
      </c>
      <c r="O77" s="19">
        <v>0</v>
      </c>
      <c r="P77" s="19">
        <v>42</v>
      </c>
      <c r="Q77" s="18">
        <v>201</v>
      </c>
      <c r="R77" s="12" t="s">
        <v>229</v>
      </c>
      <c r="S77" s="19" t="s">
        <v>4</v>
      </c>
      <c r="T77" s="19" t="s">
        <v>20</v>
      </c>
      <c r="U77" s="19" t="s">
        <v>20</v>
      </c>
      <c r="V77" s="19">
        <v>18</v>
      </c>
      <c r="W77" s="19">
        <v>51</v>
      </c>
      <c r="X77" s="19">
        <v>27</v>
      </c>
      <c r="Y77" s="19">
        <v>51</v>
      </c>
      <c r="Z77" s="19">
        <v>54</v>
      </c>
      <c r="AA77" s="19">
        <v>2</v>
      </c>
      <c r="AB77" s="19">
        <v>79</v>
      </c>
      <c r="AC77" s="19">
        <v>97</v>
      </c>
      <c r="AD77" s="19">
        <v>9</v>
      </c>
      <c r="AE77" s="19">
        <v>62</v>
      </c>
      <c r="AF77" s="19">
        <v>85</v>
      </c>
      <c r="AG77" s="19">
        <v>64</v>
      </c>
      <c r="AH77" s="19">
        <v>42</v>
      </c>
      <c r="AI77" s="6">
        <f>H$1*((-2*10^-6)*H77^3+0.00032*H77^2-0.0021*H77)+I$1*((-2*10^-6)*I77^3+0.00032*I77^2-0.0021*I77)+J$1*((-2*10^-6)*J77^3+0.00032*J77^2-0.0021*J77)+K$1*((-2*10^-6)*K77^3+0.00032*K77^2-0.0021*K77)+L$1*((-2*10^-6)*L77^3+0.00032*L77^2-0.0021*L77)</f>
        <v>1.8024392000000002</v>
      </c>
      <c r="AJ77" s="6">
        <f>(M$1*M77+N$1*N77+O$1*O77)/100</f>
        <v>0.64400000000000002</v>
      </c>
      <c r="AK77" s="6">
        <f>IF(AA77&lt;50,W$1*((-2*10^-6)*W77^3+0.00032*W77^2-0.0021*W77)+X$1*((-2*10^-6)*X77^3+0.00032*X77^2-0.0021*X77)+Y$1*((-2*10^-6)*Y77^3+0.00032*Y77^2-0.0021*Y77)+Z$1*((-2*10^-6)*Z77^3+0.00032*Z77^2-0.0021*Z77),X$2*((-2*10^-6)*X77^3+0.00032*X77^2-0.0021*AA77)+Y$2*((-2*10^-6)*Y77^3+0.00032*Y77^2-0.0021*Y77)+Z$2*((-2*10^-6)*Z77^3+0.00032*Z77^2-0.0021*Z77)+ AA$2*((-2*10^-6)*AA77^3+0.00032*AA77^2-0.0021*AA77))</f>
        <v>1.5618420000000004</v>
      </c>
      <c r="AL77" s="6">
        <f>(AB$1*AB77+AC$1*AC77)/100</f>
        <v>0.82600000000000007</v>
      </c>
      <c r="AM77" s="6">
        <f>AD$1*((-2*10^-6)*AD77^3+0.00032*AD77^2-0.0021*AD77)+AE$1*((-2*10^-6)*AE77^3+0.00032*AE77^2-0.0021*AE77)+AF$1*((-2*10^-6)*AF77^3+0.00032*AF77^2-0.0021*AF77)+AG$1*((-2*10^-6)*AG77^3+0.00032*AG77^2-0.0021*AG77)</f>
        <v>0.22361260000000008</v>
      </c>
    </row>
    <row r="78" spans="1:39" ht="15" thickBot="1" x14ac:dyDescent="0.35">
      <c r="A78" s="6">
        <f>(AI78*H$3+AJ78*M$3+AK78*W$3+AL78*AB$3+AM78*AD$3)*100/(AI$5*H$3+AJ$5*M$3+AK$5*W$3+AL$5*AB$3+AM$5*AD$3)</f>
        <v>33.220867528126767</v>
      </c>
      <c r="B78" s="20">
        <v>200</v>
      </c>
      <c r="C78" s="13" t="s">
        <v>228</v>
      </c>
      <c r="D78" s="21" t="s">
        <v>4</v>
      </c>
      <c r="E78" s="21" t="s">
        <v>20</v>
      </c>
      <c r="F78" s="21" t="s">
        <v>20</v>
      </c>
      <c r="G78" s="21">
        <v>22</v>
      </c>
      <c r="H78" s="21">
        <v>31</v>
      </c>
      <c r="I78" s="21">
        <v>6</v>
      </c>
      <c r="J78" s="21">
        <v>0</v>
      </c>
      <c r="K78" s="21">
        <v>22</v>
      </c>
      <c r="L78" s="21">
        <v>63</v>
      </c>
      <c r="M78" s="21">
        <v>56</v>
      </c>
      <c r="N78" s="21">
        <v>63</v>
      </c>
      <c r="O78" s="21">
        <v>29</v>
      </c>
      <c r="P78" s="21">
        <v>42</v>
      </c>
      <c r="Q78" s="20">
        <v>200</v>
      </c>
      <c r="R78" s="13" t="s">
        <v>228</v>
      </c>
      <c r="S78" s="21" t="s">
        <v>4</v>
      </c>
      <c r="T78" s="21" t="s">
        <v>20</v>
      </c>
      <c r="U78" s="21" t="s">
        <v>20</v>
      </c>
      <c r="V78" s="21">
        <v>22</v>
      </c>
      <c r="W78" s="21">
        <v>62</v>
      </c>
      <c r="X78" s="21">
        <v>21</v>
      </c>
      <c r="Y78" s="21">
        <v>43</v>
      </c>
      <c r="Z78" s="21">
        <v>60</v>
      </c>
      <c r="AA78" s="21">
        <v>3</v>
      </c>
      <c r="AB78" s="21">
        <v>75</v>
      </c>
      <c r="AC78" s="21">
        <v>100</v>
      </c>
      <c r="AD78" s="21">
        <v>41</v>
      </c>
      <c r="AE78" s="21">
        <v>50</v>
      </c>
      <c r="AF78" s="21">
        <v>38</v>
      </c>
      <c r="AG78" s="21">
        <v>62</v>
      </c>
      <c r="AH78" s="21">
        <v>42</v>
      </c>
      <c r="AI78" s="6">
        <f>H$1*((-2*10^-6)*H78^3+0.00032*H78^2-0.0021*H78)+I$1*((-2*10^-6)*I78^3+0.00032*I78^2-0.0021*I78)+J$1*((-2*10^-6)*J78^3+0.00032*J78^2-0.0021*J78)+K$1*((-2*10^-6)*K78^3+0.00032*K78^2-0.0021*K78)+L$1*((-2*10^-6)*L78^3+0.00032*L78^2-0.0021*L78)</f>
        <v>1.6526304000000005</v>
      </c>
      <c r="AJ78" s="6">
        <f>(M$1*M78+N$1*N78+O$1*O78)/100</f>
        <v>0.71499999999999997</v>
      </c>
      <c r="AK78" s="6">
        <f>IF(AA78&lt;50,W$1*((-2*10^-6)*W78^3+0.00032*W78^2-0.0021*W78)+X$1*((-2*10^-6)*X78^3+0.00032*X78^2-0.0021*X78)+Y$1*((-2*10^-6)*Y78^3+0.00032*Y78^2-0.0021*Y78)+Z$1*((-2*10^-6)*Z78^3+0.00032*Z78^2-0.0021*Z78),X$2*((-2*10^-6)*X78^3+0.00032*X78^2-0.0021*AA78)+Y$2*((-2*10^-6)*Y78^3+0.00032*Y78^2-0.0021*Y78)+Z$2*((-2*10^-6)*Z78^3+0.00032*Z78^2-0.0021*Z78)+ AA$2*((-2*10^-6)*AA78^3+0.00032*AA78^2-0.0021*AA78))</f>
        <v>1.6380880000000007</v>
      </c>
      <c r="AL78" s="6">
        <f>(AB$1*AB78+AC$1*AC78)/100</f>
        <v>0.8</v>
      </c>
      <c r="AM78" s="6">
        <f>AD$1*((-2*10^-6)*AD78^3+0.00032*AD78^2-0.0021*AD78)+AE$1*((-2*10^-6)*AE78^3+0.00032*AE78^2-0.0021*AE78)+AF$1*((-2*10^-6)*AF78^3+0.00032*AF78^2-0.0021*AF78)+AG$1*((-2*10^-6)*AG78^3+0.00032*AG78^2-0.0021*AG78)</f>
        <v>0.44805400000000006</v>
      </c>
    </row>
    <row r="79" spans="1:39" ht="15" thickBot="1" x14ac:dyDescent="0.35">
      <c r="A79" s="6">
        <f>(AI79*H$3+AJ79*M$3+AK79*W$3+AL79*AB$3+AM79*AD$3)*100/(AI$5*H$3+AJ$5*M$3+AK$5*W$3+AL$5*AB$3+AM$5*AD$3)</f>
        <v>32.925160852308316</v>
      </c>
      <c r="B79" s="18">
        <v>103</v>
      </c>
      <c r="C79" s="12" t="s">
        <v>131</v>
      </c>
      <c r="D79" s="19" t="s">
        <v>9</v>
      </c>
      <c r="E79" s="19" t="s">
        <v>19</v>
      </c>
      <c r="F79" s="19" t="s">
        <v>19</v>
      </c>
      <c r="G79" s="19">
        <v>18</v>
      </c>
      <c r="H79" s="19">
        <v>51</v>
      </c>
      <c r="I79" s="19">
        <v>0</v>
      </c>
      <c r="J79" s="19">
        <v>44</v>
      </c>
      <c r="K79" s="19">
        <v>30</v>
      </c>
      <c r="L79" s="19">
        <v>34</v>
      </c>
      <c r="M79" s="19">
        <v>72</v>
      </c>
      <c r="N79" s="19">
        <v>77</v>
      </c>
      <c r="O79" s="19">
        <v>28</v>
      </c>
      <c r="P79" s="19">
        <v>50</v>
      </c>
      <c r="Q79" s="18">
        <v>103</v>
      </c>
      <c r="R79" s="12" t="s">
        <v>131</v>
      </c>
      <c r="S79" s="19" t="s">
        <v>9</v>
      </c>
      <c r="T79" s="19" t="s">
        <v>19</v>
      </c>
      <c r="U79" s="19" t="s">
        <v>19</v>
      </c>
      <c r="V79" s="19">
        <v>18</v>
      </c>
      <c r="W79" s="19">
        <v>68</v>
      </c>
      <c r="X79" s="19">
        <v>47</v>
      </c>
      <c r="Y79" s="19">
        <v>37</v>
      </c>
      <c r="Z79" s="19">
        <v>53</v>
      </c>
      <c r="AA79" s="19">
        <v>9</v>
      </c>
      <c r="AB79" s="19">
        <v>82</v>
      </c>
      <c r="AC79" s="19">
        <v>73</v>
      </c>
      <c r="AD79" s="19">
        <v>72</v>
      </c>
      <c r="AE79" s="19">
        <v>57</v>
      </c>
      <c r="AF79" s="19">
        <v>48</v>
      </c>
      <c r="AG79" s="19">
        <v>39</v>
      </c>
      <c r="AH79" s="19">
        <v>50</v>
      </c>
      <c r="AI79" s="6">
        <f>H$1*((-2*10^-6)*H79^3+0.00032*H79^2-0.0021*H79)+I$1*((-2*10^-6)*I79^3+0.00032*I79^2-0.0021*I79)+J$1*((-2*10^-6)*J79^3+0.00032*J79^2-0.0021*J79)+K$1*((-2*10^-6)*K79^3+0.00032*K79^2-0.0021*K79)+L$1*((-2*10^-6)*L79^3+0.00032*L79^2-0.0021*L79)</f>
        <v>1.2945756000000004</v>
      </c>
      <c r="AJ79" s="6">
        <f>(M$1*M79+N$1*N79+O$1*O79)/100</f>
        <v>0.90200000000000002</v>
      </c>
      <c r="AK79" s="6">
        <f>IF(AA79&lt;50,W$1*((-2*10^-6)*W79^3+0.00032*W79^2-0.0021*W79)+X$1*((-2*10^-6)*X79^3+0.00032*X79^2-0.0021*X79)+Y$1*((-2*10^-6)*Y79^3+0.00032*Y79^2-0.0021*Y79)+Z$1*((-2*10^-6)*Z79^3+0.00032*Z79^2-0.0021*Z79),X$2*((-2*10^-6)*X79^3+0.00032*X79^2-0.0021*AA79)+Y$2*((-2*10^-6)*Y79^3+0.00032*Y79^2-0.0021*Y79)+Z$2*((-2*10^-6)*Z79^3+0.00032*Z79^2-0.0021*Z79)+ AA$2*((-2*10^-6)*AA79^3+0.00032*AA79^2-0.0021*AA79))</f>
        <v>1.8574500000000003</v>
      </c>
      <c r="AL79" s="6">
        <f>(AB$1*AB79+AC$1*AC79)/100</f>
        <v>0.80200000000000016</v>
      </c>
      <c r="AM79" s="6">
        <f>AD$1*((-2*10^-6)*AD79^3+0.00032*AD79^2-0.0021*AD79)+AE$1*((-2*10^-6)*AE79^3+0.00032*AE79^2-0.0021*AE79)+AF$1*((-2*10^-6)*AF79^3+0.00032*AF79^2-0.0021*AF79)+AG$1*((-2*10^-6)*AG79^3+0.00032*AG79^2-0.0021*AG79)</f>
        <v>0.88629120000000028</v>
      </c>
    </row>
    <row r="80" spans="1:39" ht="15" thickBot="1" x14ac:dyDescent="0.35">
      <c r="A80" s="6">
        <f>(AI80*H$3+AJ80*M$3+AK80*W$3+AL80*AB$3+AM80*AD$3)*100/(AI$5*H$3+AJ$5*M$3+AK$5*W$3+AL$5*AB$3+AM$5*AD$3)</f>
        <v>32.81943985198005</v>
      </c>
      <c r="B80" s="18">
        <v>189</v>
      </c>
      <c r="C80" s="12" t="s">
        <v>217</v>
      </c>
      <c r="D80" s="19" t="s">
        <v>4</v>
      </c>
      <c r="E80" s="19" t="s">
        <v>19</v>
      </c>
      <c r="F80" s="19" t="s">
        <v>19</v>
      </c>
      <c r="G80" s="19">
        <v>18</v>
      </c>
      <c r="H80" s="19">
        <v>45</v>
      </c>
      <c r="I80" s="19">
        <v>29</v>
      </c>
      <c r="J80" s="19">
        <v>33</v>
      </c>
      <c r="K80" s="19">
        <v>37</v>
      </c>
      <c r="L80" s="19">
        <v>45</v>
      </c>
      <c r="M80" s="19">
        <v>64</v>
      </c>
      <c r="N80" s="19">
        <v>14</v>
      </c>
      <c r="O80" s="19">
        <v>55</v>
      </c>
      <c r="P80" s="19">
        <v>53</v>
      </c>
      <c r="Q80" s="18">
        <v>189</v>
      </c>
      <c r="R80" s="12" t="s">
        <v>217</v>
      </c>
      <c r="S80" s="19" t="s">
        <v>4</v>
      </c>
      <c r="T80" s="19" t="s">
        <v>19</v>
      </c>
      <c r="U80" s="19" t="s">
        <v>19</v>
      </c>
      <c r="V80" s="19">
        <v>18</v>
      </c>
      <c r="W80" s="19">
        <v>3</v>
      </c>
      <c r="X80" s="19">
        <v>29</v>
      </c>
      <c r="Y80" s="19">
        <v>62</v>
      </c>
      <c r="Z80" s="19">
        <v>58</v>
      </c>
      <c r="AA80" s="19">
        <v>80</v>
      </c>
      <c r="AB80" s="19">
        <v>95</v>
      </c>
      <c r="AC80" s="19">
        <v>74</v>
      </c>
      <c r="AD80" s="19">
        <v>21</v>
      </c>
      <c r="AE80" s="19">
        <v>73</v>
      </c>
      <c r="AF80" s="19">
        <v>39</v>
      </c>
      <c r="AG80" s="19">
        <v>85</v>
      </c>
      <c r="AH80" s="19">
        <v>53</v>
      </c>
      <c r="AI80" s="6">
        <f>H$1*((-2*10^-6)*H80^3+0.00032*H80^2-0.0021*H80)+I$1*((-2*10^-6)*I80^3+0.00032*I80^2-0.0021*I80)+J$1*((-2*10^-6)*J80^3+0.00032*J80^2-0.0021*J80)+K$1*((-2*10^-6)*K80^3+0.00032*K80^2-0.0021*K80)+L$1*((-2*10^-6)*L80^3+0.00032*L80^2-0.0021*L80)</f>
        <v>1.8385267999999999</v>
      </c>
      <c r="AJ80" s="6">
        <f>(M$1*M80+N$1*N80+O$1*O80)/100</f>
        <v>0.72299999999999998</v>
      </c>
      <c r="AK80" s="6">
        <f>IF(AA80&lt;50,W$1*((-2*10^-6)*W80^3+0.00032*W80^2-0.0021*W80)+X$1*((-2*10^-6)*X80^3+0.00032*X80^2-0.0021*X80)+Y$1*((-2*10^-6)*Y80^3+0.00032*Y80^2-0.0021*Y80)+Z$1*((-2*10^-6)*Z80^3+0.00032*Z80^2-0.0021*Z80),X$2*((-2*10^-6)*X80^3+0.00032*X80^2-0.0021*AA80)+Y$2*((-2*10^-6)*Y80^3+0.00032*Y80^2-0.0021*Y80)+Z$2*((-2*10^-6)*Z80^3+0.00032*Z80^2-0.0021*Z80)+ AA$2*((-2*10^-6)*AA80^3+0.00032*AA80^2-0.0021*AA80))</f>
        <v>1.3474172000000002</v>
      </c>
      <c r="AL80" s="6">
        <f>(AB$1*AB80+AC$1*AC80)/100</f>
        <v>0.90799999999999992</v>
      </c>
      <c r="AM80" s="6">
        <f>AD$1*((-2*10^-6)*AD80^3+0.00032*AD80^2-0.0021*AD80)+AE$1*((-2*10^-6)*AE80^3+0.00032*AE80^2-0.0021*AE80)+AF$1*((-2*10^-6)*AF80^3+0.00032*AF80^2-0.0021*AF80)+AG$1*((-2*10^-6)*AG80^3+0.00032*AG80^2-0.0021*AG80)</f>
        <v>0.27503580000000011</v>
      </c>
    </row>
    <row r="81" spans="1:39" ht="15" thickBot="1" x14ac:dyDescent="0.35">
      <c r="A81" s="6">
        <f>(AI81*H$3+AJ81*M$3+AK81*W$3+AL81*AB$3+AM81*AD$3)*100/(AI$5*H$3+AJ$5*M$3+AK$5*W$3+AL$5*AB$3+AM$5*AD$3)</f>
        <v>32.628401921871735</v>
      </c>
      <c r="B81" s="18">
        <v>145</v>
      </c>
      <c r="C81" s="12" t="s">
        <v>173</v>
      </c>
      <c r="D81" s="19" t="s">
        <v>16</v>
      </c>
      <c r="E81" s="19" t="s">
        <v>20</v>
      </c>
      <c r="F81" s="19" t="s">
        <v>20</v>
      </c>
      <c r="G81" s="19">
        <v>21</v>
      </c>
      <c r="H81" s="19">
        <v>46</v>
      </c>
      <c r="I81" s="19">
        <v>0</v>
      </c>
      <c r="J81" s="19">
        <v>41</v>
      </c>
      <c r="K81" s="19">
        <v>43</v>
      </c>
      <c r="L81" s="19">
        <v>19</v>
      </c>
      <c r="M81" s="19">
        <v>13</v>
      </c>
      <c r="N81" s="19">
        <v>49</v>
      </c>
      <c r="O81" s="19">
        <v>79</v>
      </c>
      <c r="P81" s="19">
        <v>58</v>
      </c>
      <c r="Q81" s="18">
        <v>145</v>
      </c>
      <c r="R81" s="12" t="s">
        <v>173</v>
      </c>
      <c r="S81" s="19" t="s">
        <v>16</v>
      </c>
      <c r="T81" s="19" t="s">
        <v>20</v>
      </c>
      <c r="U81" s="19" t="s">
        <v>20</v>
      </c>
      <c r="V81" s="19">
        <v>21</v>
      </c>
      <c r="W81" s="19">
        <v>0</v>
      </c>
      <c r="X81" s="19">
        <v>65</v>
      </c>
      <c r="Y81" s="19">
        <v>100</v>
      </c>
      <c r="Z81" s="19">
        <v>100</v>
      </c>
      <c r="AA81" s="19">
        <v>0</v>
      </c>
      <c r="AB81" s="19">
        <v>64</v>
      </c>
      <c r="AC81" s="19">
        <v>59</v>
      </c>
      <c r="AD81" s="19">
        <v>25</v>
      </c>
      <c r="AE81" s="19">
        <v>89</v>
      </c>
      <c r="AF81" s="19">
        <v>33</v>
      </c>
      <c r="AG81" s="19">
        <v>66</v>
      </c>
      <c r="AH81" s="19">
        <v>58</v>
      </c>
      <c r="AI81" s="6">
        <f>H$1*((-2*10^-6)*H81^3+0.00032*H81^2-0.0021*H81)+I$1*((-2*10^-6)*I81^3+0.00032*I81^2-0.0021*I81)+J$1*((-2*10^-6)*J81^3+0.00032*J81^2-0.0021*J81)+K$1*((-2*10^-6)*K81^3+0.00032*K81^2-0.0021*K81)+L$1*((-2*10^-6)*L81^3+0.00032*L81^2-0.0021*L81)</f>
        <v>0.9843120000000003</v>
      </c>
      <c r="AJ81" s="6">
        <f>(M$1*M81+N$1*N81+O$1*O81)/100</f>
        <v>0.30700000000000005</v>
      </c>
      <c r="AK81" s="6">
        <f>IF(AA81&lt;50,W$1*((-2*10^-6)*W81^3+0.00032*W81^2-0.0021*W81)+X$1*((-2*10^-6)*X81^3+0.00032*X81^2-0.0021*X81)+Y$1*((-2*10^-6)*Y81^3+0.00032*Y81^2-0.0021*Y81)+Z$1*((-2*10^-6)*Z81^3+0.00032*Z81^2-0.0021*Z81),X$2*((-2*10^-6)*X81^3+0.00032*X81^2-0.0021*AA81)+Y$2*((-2*10^-6)*Y81^3+0.00032*Y81^2-0.0021*Y81)+Z$2*((-2*10^-6)*Z81^3+0.00032*Z81^2-0.0021*Z81)+ AA$2*((-2*10^-6)*AA81^3+0.00032*AA81^2-0.0021*AA81))</f>
        <v>2.6462500000000007</v>
      </c>
      <c r="AL81" s="6">
        <f>(AB$1*AB81+AC$1*AC81)/100</f>
        <v>0.63</v>
      </c>
      <c r="AM81" s="6">
        <f>AD$1*((-2*10^-6)*AD81^3+0.00032*AD81^2-0.0021*AD81)+AE$1*((-2*10^-6)*AE81^3+0.00032*AE81^2-0.0021*AE81)+AF$1*((-2*10^-6)*AF81^3+0.00032*AF81^2-0.0021*AF81)+AG$1*((-2*10^-6)*AG81^3+0.00032*AG81^2-0.0021*AG81)</f>
        <v>0.29880160000000006</v>
      </c>
    </row>
    <row r="82" spans="1:39" ht="15" thickBot="1" x14ac:dyDescent="0.35">
      <c r="A82" s="6">
        <f>(AI82*H$3+AJ82*M$3+AK82*W$3+AL82*AB$3+AM82*AD$3)*100/(AI$5*H$3+AJ$5*M$3+AK$5*W$3+AL$5*AB$3+AM$5*AD$3)</f>
        <v>32.41240786057476</v>
      </c>
      <c r="B82" s="20">
        <v>124</v>
      </c>
      <c r="C82" s="13" t="s">
        <v>152</v>
      </c>
      <c r="D82" s="21" t="s">
        <v>8</v>
      </c>
      <c r="E82" s="21" t="s">
        <v>20</v>
      </c>
      <c r="F82" s="21" t="s">
        <v>19</v>
      </c>
      <c r="G82" s="21">
        <v>18</v>
      </c>
      <c r="H82" s="21">
        <v>29</v>
      </c>
      <c r="I82" s="21">
        <v>9</v>
      </c>
      <c r="J82" s="21">
        <v>21</v>
      </c>
      <c r="K82" s="21">
        <v>15</v>
      </c>
      <c r="L82" s="21">
        <v>37</v>
      </c>
      <c r="M82" s="21">
        <v>62</v>
      </c>
      <c r="N82" s="21">
        <v>86</v>
      </c>
      <c r="O82" s="21">
        <v>73</v>
      </c>
      <c r="P82" s="21">
        <v>46</v>
      </c>
      <c r="Q82" s="20">
        <v>124</v>
      </c>
      <c r="R82" s="13" t="s">
        <v>152</v>
      </c>
      <c r="S82" s="21" t="s">
        <v>8</v>
      </c>
      <c r="T82" s="21" t="s">
        <v>20</v>
      </c>
      <c r="U82" s="21" t="s">
        <v>19</v>
      </c>
      <c r="V82" s="21">
        <v>18</v>
      </c>
      <c r="W82" s="21">
        <v>73</v>
      </c>
      <c r="X82" s="21">
        <v>65</v>
      </c>
      <c r="Y82" s="21">
        <v>53</v>
      </c>
      <c r="Z82" s="21">
        <v>59</v>
      </c>
      <c r="AA82" s="21">
        <v>21</v>
      </c>
      <c r="AB82" s="21">
        <v>86</v>
      </c>
      <c r="AC82" s="21">
        <v>40</v>
      </c>
      <c r="AD82" s="21">
        <v>47</v>
      </c>
      <c r="AE82" s="21">
        <v>75</v>
      </c>
      <c r="AF82" s="21">
        <v>21</v>
      </c>
      <c r="AG82" s="21">
        <v>84</v>
      </c>
      <c r="AH82" s="21">
        <v>46</v>
      </c>
      <c r="AI82" s="6">
        <f>H$1*((-2*10^-6)*H82^3+0.00032*H82^2-0.0021*H82)+I$1*((-2*10^-6)*I82^3+0.00032*I82^2-0.0021*I82)+J$1*((-2*10^-6)*J82^3+0.00032*J82^2-0.0021*J82)+K$1*((-2*10^-6)*K82^3+0.00032*K82^2-0.0021*K82)+L$1*((-2*10^-6)*L82^3+0.00032*L82^2-0.0021*L82)</f>
        <v>0.81462760000000012</v>
      </c>
      <c r="AJ82" s="6">
        <f>(M$1*M82+N$1*N82+O$1*O82)/100</f>
        <v>0.86499999999999999</v>
      </c>
      <c r="AK82" s="6">
        <f>IF(AA82&lt;50,W$1*((-2*10^-6)*W82^3+0.00032*W82^2-0.0021*W82)+X$1*((-2*10^-6)*X82^3+0.00032*X82^2-0.0021*X82)+Y$1*((-2*10^-6)*Y82^3+0.00032*Y82^2-0.0021*Y82)+Z$1*((-2*10^-6)*Z82^3+0.00032*Z82^2-0.0021*Z82),X$2*((-2*10^-6)*X82^3+0.00032*X82^2-0.0021*AA82)+Y$2*((-2*10^-6)*Y82^3+0.00032*Y82^2-0.0021*Y82)+Z$2*((-2*10^-6)*Z82^3+0.00032*Z82^2-0.0021*Z82)+ AA$2*((-2*10^-6)*AA82^3+0.00032*AA82^2-0.0021*AA82))</f>
        <v>2.5092840000000005</v>
      </c>
      <c r="AL82" s="6">
        <f>(AB$1*AB82+AC$1*AC82)/100</f>
        <v>0.76800000000000002</v>
      </c>
      <c r="AM82" s="6">
        <f>AD$1*((-2*10^-6)*AD82^3+0.00032*AD82^2-0.0021*AD82)+AE$1*((-2*10^-6)*AE82^3+0.00032*AE82^2-0.0021*AE82)+AF$1*((-2*10^-6)*AF82^3+0.00032*AF82^2-0.0021*AF82)+AG$1*((-2*10^-6)*AG82^3+0.00032*AG82^2-0.0021*AG82)</f>
        <v>0.57787000000000011</v>
      </c>
    </row>
    <row r="83" spans="1:39" ht="15" thickBot="1" x14ac:dyDescent="0.35">
      <c r="A83" s="6">
        <f>(AI83*H$3+AJ83*M$3+AK83*W$3+AL83*AB$3+AM83*AD$3)*100/(AI$5*H$3+AJ$5*M$3+AK$5*W$3+AL$5*AB$3+AM$5*AD$3)</f>
        <v>32.362329971052553</v>
      </c>
      <c r="B83" s="18">
        <v>175</v>
      </c>
      <c r="C83" s="12" t="s">
        <v>203</v>
      </c>
      <c r="D83" s="19" t="s">
        <v>10</v>
      </c>
      <c r="E83" s="19" t="s">
        <v>20</v>
      </c>
      <c r="F83" s="19" t="s">
        <v>19</v>
      </c>
      <c r="G83" s="19">
        <v>22</v>
      </c>
      <c r="H83" s="19">
        <v>14</v>
      </c>
      <c r="I83" s="19">
        <v>0</v>
      </c>
      <c r="J83" s="19">
        <v>39</v>
      </c>
      <c r="K83" s="19">
        <v>0</v>
      </c>
      <c r="L83" s="19">
        <v>23</v>
      </c>
      <c r="M83" s="19">
        <v>64</v>
      </c>
      <c r="N83" s="19">
        <v>69</v>
      </c>
      <c r="O83" s="19">
        <v>24</v>
      </c>
      <c r="P83" s="19">
        <v>44</v>
      </c>
      <c r="Q83" s="18">
        <v>175</v>
      </c>
      <c r="R83" s="12" t="s">
        <v>203</v>
      </c>
      <c r="S83" s="19" t="s">
        <v>10</v>
      </c>
      <c r="T83" s="19" t="s">
        <v>20</v>
      </c>
      <c r="U83" s="19" t="s">
        <v>19</v>
      </c>
      <c r="V83" s="19">
        <v>22</v>
      </c>
      <c r="W83" s="19">
        <v>97</v>
      </c>
      <c r="X83" s="19">
        <v>54</v>
      </c>
      <c r="Y83" s="19">
        <v>78</v>
      </c>
      <c r="Z83" s="19">
        <v>60</v>
      </c>
      <c r="AA83" s="19">
        <v>0</v>
      </c>
      <c r="AB83" s="19">
        <v>100</v>
      </c>
      <c r="AC83" s="19">
        <v>53</v>
      </c>
      <c r="AD83" s="19">
        <v>61</v>
      </c>
      <c r="AE83" s="19">
        <v>49</v>
      </c>
      <c r="AF83" s="19">
        <v>27</v>
      </c>
      <c r="AG83" s="19">
        <v>53</v>
      </c>
      <c r="AH83" s="19">
        <v>44</v>
      </c>
      <c r="AI83" s="6">
        <f>H$1*((-2*10^-6)*H83^3+0.00032*H83^2-0.0021*H83)+I$1*((-2*10^-6)*I83^3+0.00032*I83^2-0.0021*I83)+J$1*((-2*10^-6)*J83^3+0.00032*J83^2-0.0021*J83)+K$1*((-2*10^-6)*K83^3+0.00032*K83^2-0.0021*K83)+L$1*((-2*10^-6)*L83^3+0.00032*L83^2-0.0021*L83)</f>
        <v>0.41216240000000015</v>
      </c>
      <c r="AJ83" s="6">
        <f>(M$1*M83+N$1*N83+O$1*O83)/100</f>
        <v>0.80200000000000005</v>
      </c>
      <c r="AK83" s="6">
        <f>IF(AA83&lt;50,W$1*((-2*10^-6)*W83^3+0.00032*W83^2-0.0021*W83)+X$1*((-2*10^-6)*X83^3+0.00032*X83^2-0.0021*X83)+Y$1*((-2*10^-6)*Y83^3+0.00032*Y83^2-0.0021*Y83)+Z$1*((-2*10^-6)*Z83^3+0.00032*Z83^2-0.0021*Z83),X$2*((-2*10^-6)*X83^3+0.00032*X83^2-0.0021*AA83)+Y$2*((-2*10^-6)*Y83^3+0.00032*Y83^2-0.0021*Y83)+Z$2*((-2*10^-6)*Z83^3+0.00032*Z83^2-0.0021*Z83)+ AA$2*((-2*10^-6)*AA83^3+0.00032*AA83^2-0.0021*AA83))</f>
        <v>2.9146020000000012</v>
      </c>
      <c r="AL83" s="6">
        <f>(AB$1*AB83+AC$1*AC83)/100</f>
        <v>0.90599999999999992</v>
      </c>
      <c r="AM83" s="6">
        <f>AD$1*((-2*10^-6)*AD83^3+0.00032*AD83^2-0.0021*AD83)+AE$1*((-2*10^-6)*AE83^3+0.00032*AE83^2-0.0021*AE83)+AF$1*((-2*10^-6)*AF83^3+0.00032*AF83^2-0.0021*AF83)+AG$1*((-2*10^-6)*AG83^3+0.00032*AG83^2-0.0021*AG83)</f>
        <v>0.71437420000000007</v>
      </c>
    </row>
    <row r="84" spans="1:39" ht="15" thickBot="1" x14ac:dyDescent="0.35">
      <c r="A84" s="6">
        <f>(AI84*H$3+AJ84*M$3+AK84*W$3+AL84*AB$3+AM84*AD$3)*100/(AI$5*H$3+AJ$5*M$3+AK$5*W$3+AL$5*AB$3+AM$5*AD$3)</f>
        <v>32.103083649168873</v>
      </c>
      <c r="B84" s="18">
        <v>129</v>
      </c>
      <c r="C84" s="12" t="s">
        <v>157</v>
      </c>
      <c r="D84" s="19" t="s">
        <v>10</v>
      </c>
      <c r="E84" s="19" t="s">
        <v>19</v>
      </c>
      <c r="F84" s="19" t="s">
        <v>19</v>
      </c>
      <c r="G84" s="19">
        <v>18</v>
      </c>
      <c r="H84" s="19">
        <v>30</v>
      </c>
      <c r="I84" s="19">
        <v>9</v>
      </c>
      <c r="J84" s="19">
        <v>18</v>
      </c>
      <c r="K84" s="19">
        <v>13</v>
      </c>
      <c r="L84" s="19">
        <v>36</v>
      </c>
      <c r="M84" s="19">
        <v>65</v>
      </c>
      <c r="N84" s="19">
        <v>54</v>
      </c>
      <c r="O84" s="19">
        <v>45</v>
      </c>
      <c r="P84" s="19">
        <v>45</v>
      </c>
      <c r="Q84" s="18">
        <v>129</v>
      </c>
      <c r="R84" s="12" t="s">
        <v>157</v>
      </c>
      <c r="S84" s="19" t="s">
        <v>10</v>
      </c>
      <c r="T84" s="19" t="s">
        <v>19</v>
      </c>
      <c r="U84" s="19" t="s">
        <v>19</v>
      </c>
      <c r="V84" s="19">
        <v>18</v>
      </c>
      <c r="W84" s="19">
        <v>61</v>
      </c>
      <c r="X84" s="19">
        <v>53</v>
      </c>
      <c r="Y84" s="19">
        <v>64</v>
      </c>
      <c r="Z84" s="19">
        <v>71</v>
      </c>
      <c r="AA84" s="19">
        <v>4</v>
      </c>
      <c r="AB84" s="19">
        <v>84</v>
      </c>
      <c r="AC84" s="19">
        <v>89</v>
      </c>
      <c r="AD84" s="19">
        <v>49</v>
      </c>
      <c r="AE84" s="19">
        <v>85</v>
      </c>
      <c r="AF84" s="19">
        <v>44</v>
      </c>
      <c r="AG84" s="19">
        <v>29</v>
      </c>
      <c r="AH84" s="19">
        <v>45</v>
      </c>
      <c r="AI84" s="6">
        <f>H$1*((-2*10^-6)*H84^3+0.00032*H84^2-0.0021*H84)+I$1*((-2*10^-6)*I84^3+0.00032*I84^2-0.0021*I84)+J$1*((-2*10^-6)*J84^3+0.00032*J84^2-0.0021*J84)+K$1*((-2*10^-6)*K84^3+0.00032*K84^2-0.0021*K84)+L$1*((-2*10^-6)*L84^3+0.00032*L84^2-0.0021*L84)</f>
        <v>0.77334000000000014</v>
      </c>
      <c r="AJ84" s="6">
        <f>(M$1*M84+N$1*N84+O$1*O84)/100</f>
        <v>0.80299999999999994</v>
      </c>
      <c r="AK84" s="6">
        <f>IF(AA84&lt;50,W$1*((-2*10^-6)*W84^3+0.00032*W84^2-0.0021*W84)+X$1*((-2*10^-6)*X84^3+0.00032*X84^2-0.0021*X84)+Y$1*((-2*10^-6)*Y84^3+0.00032*Y84^2-0.0021*Y84)+Z$1*((-2*10^-6)*Z84^3+0.00032*Z84^2-0.0021*Z84),X$2*((-2*10^-6)*X84^3+0.00032*X84^2-0.0021*AA84)+Y$2*((-2*10^-6)*Y84^3+0.00032*Y84^2-0.0021*Y84)+Z$2*((-2*10^-6)*Z84^3+0.00032*Z84^2-0.0021*Z84)+ AA$2*((-2*10^-6)*AA84^3+0.00032*AA84^2-0.0021*AA84))</f>
        <v>2.4987140000000005</v>
      </c>
      <c r="AL84" s="6">
        <f>(AB$1*AB84+AC$1*AC84)/100</f>
        <v>0.85</v>
      </c>
      <c r="AM84" s="6">
        <f>AD$1*((-2*10^-6)*AD84^3+0.00032*AD84^2-0.0021*AD84)+AE$1*((-2*10^-6)*AE84^3+0.00032*AE84^2-0.0021*AE84)+AF$1*((-2*10^-6)*AF84^3+0.00032*AF84^2-0.0021*AF84)+AG$1*((-2*10^-6)*AG84^3+0.00032*AG84^2-0.0021*AG84)</f>
        <v>0.57226640000000017</v>
      </c>
    </row>
    <row r="85" spans="1:39" ht="15" thickBot="1" x14ac:dyDescent="0.35">
      <c r="A85" s="6">
        <f>(AI85*H$3+AJ85*M$3+AK85*W$3+AL85*AB$3+AM85*AD$3)*100/(AI$5*H$3+AJ$5*M$3+AK$5*W$3+AL$5*AB$3+AM$5*AD$3)</f>
        <v>31.749693664388662</v>
      </c>
      <c r="B85" s="20">
        <v>104</v>
      </c>
      <c r="C85" s="13" t="s">
        <v>132</v>
      </c>
      <c r="D85" s="21" t="s">
        <v>8</v>
      </c>
      <c r="E85" s="21" t="s">
        <v>19</v>
      </c>
      <c r="F85" s="21" t="s">
        <v>19</v>
      </c>
      <c r="G85" s="21">
        <v>18</v>
      </c>
      <c r="H85" s="21">
        <v>30</v>
      </c>
      <c r="I85" s="21">
        <v>10</v>
      </c>
      <c r="J85" s="21">
        <v>16</v>
      </c>
      <c r="K85" s="21">
        <v>44</v>
      </c>
      <c r="L85" s="21">
        <v>24</v>
      </c>
      <c r="M85" s="21">
        <v>79</v>
      </c>
      <c r="N85" s="21">
        <v>82</v>
      </c>
      <c r="O85" s="21">
        <v>60</v>
      </c>
      <c r="P85" s="21">
        <v>50</v>
      </c>
      <c r="Q85" s="20">
        <v>104</v>
      </c>
      <c r="R85" s="13" t="s">
        <v>132</v>
      </c>
      <c r="S85" s="21" t="s">
        <v>8</v>
      </c>
      <c r="T85" s="21" t="s">
        <v>19</v>
      </c>
      <c r="U85" s="21" t="s">
        <v>19</v>
      </c>
      <c r="V85" s="21">
        <v>18</v>
      </c>
      <c r="W85" s="21">
        <v>68</v>
      </c>
      <c r="X85" s="21">
        <v>64</v>
      </c>
      <c r="Y85" s="21">
        <v>49</v>
      </c>
      <c r="Z85" s="21">
        <v>56</v>
      </c>
      <c r="AA85" s="21">
        <v>16</v>
      </c>
      <c r="AB85" s="21">
        <v>83</v>
      </c>
      <c r="AC85" s="21">
        <v>61</v>
      </c>
      <c r="AD85" s="21">
        <v>87</v>
      </c>
      <c r="AE85" s="21">
        <v>56</v>
      </c>
      <c r="AF85" s="21">
        <v>26</v>
      </c>
      <c r="AG85" s="21">
        <v>69</v>
      </c>
      <c r="AH85" s="21">
        <v>50</v>
      </c>
      <c r="AI85" s="6">
        <f>H$1*((-2*10^-6)*H85^3+0.00032*H85^2-0.0021*H85)+I$1*((-2*10^-6)*I85^3+0.00032*I85^2-0.0021*I85)+J$1*((-2*10^-6)*J85^3+0.00032*J85^2-0.0021*J85)+K$1*((-2*10^-6)*K85^3+0.00032*K85^2-0.0021*K85)+L$1*((-2*10^-6)*L85^3+0.00032*L85^2-0.0021*L85)</f>
        <v>0.73227680000000017</v>
      </c>
      <c r="AJ85" s="6">
        <f>(M$1*M85+N$1*N85+O$1*O85)/100</f>
        <v>1.014</v>
      </c>
      <c r="AK85" s="6">
        <f>IF(AA85&lt;50,W$1*((-2*10^-6)*W85^3+0.00032*W85^2-0.0021*W85)+X$1*((-2*10^-6)*X85^3+0.00032*X85^2-0.0021*X85)+Y$1*((-2*10^-6)*Y85^3+0.00032*Y85^2-0.0021*Y85)+Z$1*((-2*10^-6)*Z85^3+0.00032*Z85^2-0.0021*Z85),X$2*((-2*10^-6)*X85^3+0.00032*X85^2-0.0021*AA85)+Y$2*((-2*10^-6)*Y85^3+0.00032*Y85^2-0.0021*Y85)+Z$2*((-2*10^-6)*Z85^3+0.00032*Z85^2-0.0021*Z85)+ AA$2*((-2*10^-6)*AA85^3+0.00032*AA85^2-0.0021*AA85))</f>
        <v>2.3248580000000008</v>
      </c>
      <c r="AL85" s="6">
        <f>(AB$1*AB85+AC$1*AC85)/100</f>
        <v>0.78600000000000003</v>
      </c>
      <c r="AM85" s="6">
        <f>AD$1*((-2*10^-6)*AD85^3+0.00032*AD85^2-0.0021*AD85)+AE$1*((-2*10^-6)*AE85^3+0.00032*AE85^2-0.0021*AE85)+AF$1*((-2*10^-6)*AF85^3+0.00032*AF85^2-0.0021*AF85)+AG$1*((-2*10^-6)*AG85^3+0.00032*AG85^2-0.0021*AG85)</f>
        <v>1.0606598000000005</v>
      </c>
    </row>
    <row r="86" spans="1:39" ht="15" thickBot="1" x14ac:dyDescent="0.35">
      <c r="A86" s="6">
        <f>(AI86*H$3+AJ86*M$3+AK86*W$3+AL86*AB$3+AM86*AD$3)*100/(AI$5*H$3+AJ$5*M$3+AK$5*W$3+AL$5*AB$3+AM$5*AD$3)</f>
        <v>31.312862365334681</v>
      </c>
      <c r="B86" s="20">
        <v>140</v>
      </c>
      <c r="C86" s="13" t="s">
        <v>168</v>
      </c>
      <c r="D86" s="21" t="s">
        <v>10</v>
      </c>
      <c r="E86" s="21" t="s">
        <v>19</v>
      </c>
      <c r="F86" s="21" t="s">
        <v>19</v>
      </c>
      <c r="G86" s="21">
        <v>18</v>
      </c>
      <c r="H86" s="21">
        <v>21</v>
      </c>
      <c r="I86" s="21">
        <v>22</v>
      </c>
      <c r="J86" s="21">
        <v>38</v>
      </c>
      <c r="K86" s="21">
        <v>19</v>
      </c>
      <c r="L86" s="21">
        <v>34</v>
      </c>
      <c r="M86" s="21">
        <v>49</v>
      </c>
      <c r="N86" s="21">
        <v>61</v>
      </c>
      <c r="O86" s="21">
        <v>68</v>
      </c>
      <c r="P86" s="21">
        <v>44</v>
      </c>
      <c r="Q86" s="20">
        <v>140</v>
      </c>
      <c r="R86" s="13" t="s">
        <v>168</v>
      </c>
      <c r="S86" s="21" t="s">
        <v>10</v>
      </c>
      <c r="T86" s="21" t="s">
        <v>19</v>
      </c>
      <c r="U86" s="21" t="s">
        <v>19</v>
      </c>
      <c r="V86" s="21">
        <v>18</v>
      </c>
      <c r="W86" s="21">
        <v>62</v>
      </c>
      <c r="X86" s="21">
        <v>49</v>
      </c>
      <c r="Y86" s="21">
        <v>66</v>
      </c>
      <c r="Z86" s="21">
        <v>54</v>
      </c>
      <c r="AA86" s="21">
        <v>8</v>
      </c>
      <c r="AB86" s="21">
        <v>79</v>
      </c>
      <c r="AC86" s="21">
        <v>73</v>
      </c>
      <c r="AD86" s="21">
        <v>47</v>
      </c>
      <c r="AE86" s="21">
        <v>79</v>
      </c>
      <c r="AF86" s="21">
        <v>66</v>
      </c>
      <c r="AG86" s="21">
        <v>47</v>
      </c>
      <c r="AH86" s="21">
        <v>44</v>
      </c>
      <c r="AI86" s="6">
        <f>H$1*((-2*10^-6)*H86^3+0.00032*H86^2-0.0021*H86)+I$1*((-2*10^-6)*I86^3+0.00032*I86^2-0.0021*I86)+J$1*((-2*10^-6)*J86^3+0.00032*J86^2-0.0021*J86)+K$1*((-2*10^-6)*K86^3+0.00032*K86^2-0.0021*K86)+L$1*((-2*10^-6)*L86^3+0.00032*L86^2-0.0021*L86)</f>
        <v>0.95011560000000017</v>
      </c>
      <c r="AJ86" s="6">
        <f>(M$1*M86+N$1*N86+O$1*O86)/100</f>
        <v>0.68</v>
      </c>
      <c r="AK86" s="6">
        <f>IF(AA86&lt;50,W$1*((-2*10^-6)*W86^3+0.00032*W86^2-0.0021*W86)+X$1*((-2*10^-6)*X86^3+0.00032*X86^2-0.0021*X86)+Y$1*((-2*10^-6)*Y86^3+0.00032*Y86^2-0.0021*Y86)+Z$1*((-2*10^-6)*Z86^3+0.00032*Z86^2-0.0021*Z86),X$2*((-2*10^-6)*X86^3+0.00032*X86^2-0.0021*AA86)+Y$2*((-2*10^-6)*Y86^3+0.00032*Y86^2-0.0021*Y86)+Z$2*((-2*10^-6)*Z86^3+0.00032*Z86^2-0.0021*Z86)+ AA$2*((-2*10^-6)*AA86^3+0.00032*AA86^2-0.0021*AA86))</f>
        <v>2.2384660000000007</v>
      </c>
      <c r="AL86" s="6">
        <f>(AB$1*AB86+AC$1*AC86)/100</f>
        <v>0.77800000000000014</v>
      </c>
      <c r="AM86" s="6">
        <f>AD$1*((-2*10^-6)*AD86^3+0.00032*AD86^2-0.0021*AD86)+AE$1*((-2*10^-6)*AE86^3+0.00032*AE86^2-0.0021*AE86)+AF$1*((-2*10^-6)*AF86^3+0.00032*AF86^2-0.0021*AF86)+AG$1*((-2*10^-6)*AG86^3+0.00032*AG86^2-0.0021*AG86)</f>
        <v>0.59313440000000017</v>
      </c>
    </row>
    <row r="87" spans="1:39" ht="15" thickBot="1" x14ac:dyDescent="0.35">
      <c r="A87" s="6">
        <f>(AI87*H$3+AJ87*M$3+AK87*W$3+AL87*AB$3+AM87*AD$3)*100/(AI$5*H$3+AJ$5*M$3+AK$5*W$3+AL$5*AB$3+AM$5*AD$3)</f>
        <v>30.931057178668411</v>
      </c>
      <c r="B87" s="20">
        <v>180</v>
      </c>
      <c r="C87" s="13" t="s">
        <v>208</v>
      </c>
      <c r="D87" s="21" t="s">
        <v>9</v>
      </c>
      <c r="E87" s="21" t="s">
        <v>19</v>
      </c>
      <c r="F87" s="21" t="s">
        <v>19</v>
      </c>
      <c r="G87" s="21">
        <v>21</v>
      </c>
      <c r="H87" s="21">
        <v>0</v>
      </c>
      <c r="I87" s="21">
        <v>49</v>
      </c>
      <c r="J87" s="21">
        <v>6</v>
      </c>
      <c r="K87" s="21">
        <v>1</v>
      </c>
      <c r="L87" s="21">
        <v>19</v>
      </c>
      <c r="M87" s="21">
        <v>28</v>
      </c>
      <c r="N87" s="21">
        <v>8</v>
      </c>
      <c r="O87" s="21">
        <v>34</v>
      </c>
      <c r="P87" s="21">
        <v>39</v>
      </c>
      <c r="Q87" s="20">
        <v>180</v>
      </c>
      <c r="R87" s="13" t="s">
        <v>208</v>
      </c>
      <c r="S87" s="21" t="s">
        <v>9</v>
      </c>
      <c r="T87" s="21" t="s">
        <v>19</v>
      </c>
      <c r="U87" s="21" t="s">
        <v>19</v>
      </c>
      <c r="V87" s="21">
        <v>21</v>
      </c>
      <c r="W87" s="21">
        <v>45</v>
      </c>
      <c r="X87" s="21">
        <v>80</v>
      </c>
      <c r="Y87" s="21">
        <v>78</v>
      </c>
      <c r="Z87" s="21">
        <v>35</v>
      </c>
      <c r="AA87" s="21">
        <v>41</v>
      </c>
      <c r="AB87" s="21">
        <v>88</v>
      </c>
      <c r="AC87" s="21">
        <v>94</v>
      </c>
      <c r="AD87" s="21">
        <v>11</v>
      </c>
      <c r="AE87" s="21">
        <v>79</v>
      </c>
      <c r="AF87" s="21">
        <v>68</v>
      </c>
      <c r="AG87" s="21">
        <v>51</v>
      </c>
      <c r="AH87" s="21">
        <v>39</v>
      </c>
      <c r="AI87" s="6">
        <f>H$1*((-2*10^-6)*H87^3+0.00032*H87^2-0.0021*H87)+I$1*((-2*10^-6)*I87^3+0.00032*I87^2-0.0021*I87)+J$1*((-2*10^-6)*J87^3+0.00032*J87^2-0.0021*J87)+K$1*((-2*10^-6)*K87^3+0.00032*K87^2-0.0021*K87)+L$1*((-2*10^-6)*L87^3+0.00032*L87^2-0.0021*L87)</f>
        <v>0.9940956000000003</v>
      </c>
      <c r="AJ87" s="6">
        <f>(M$1*M87+N$1*N87+O$1*O87)/100</f>
        <v>0.33</v>
      </c>
      <c r="AK87" s="6">
        <f>IF(AA87&lt;50,W$1*((-2*10^-6)*W87^3+0.00032*W87^2-0.0021*W87)+X$1*((-2*10^-6)*X87^3+0.00032*X87^2-0.0021*X87)+Y$1*((-2*10^-6)*Y87^3+0.00032*Y87^2-0.0021*Y87)+Z$1*((-2*10^-6)*Z87^3+0.00032*Z87^2-0.0021*Z87),X$2*((-2*10^-6)*X87^3+0.00032*X87^2-0.0021*AA87)+Y$2*((-2*10^-6)*Y87^3+0.00032*Y87^2-0.0021*Y87)+Z$2*((-2*10^-6)*Z87^3+0.00032*Z87^2-0.0021*Z87)+ AA$2*((-2*10^-6)*AA87^3+0.00032*AA87^2-0.0021*AA87))</f>
        <v>2.2939760000000007</v>
      </c>
      <c r="AL87" s="6">
        <f>(AB$1*AB87+AC$1*AC87)/100</f>
        <v>0.89200000000000002</v>
      </c>
      <c r="AM87" s="6">
        <f>AD$1*((-2*10^-6)*AD87^3+0.00032*AD87^2-0.0021*AD87)+AE$1*((-2*10^-6)*AE87^3+0.00032*AE87^2-0.0021*AE87)+AF$1*((-2*10^-6)*AF87^3+0.00032*AF87^2-0.0021*AF87)+AG$1*((-2*10^-6)*AG87^3+0.00032*AG87^2-0.0021*AG87)</f>
        <v>0.21426560000000008</v>
      </c>
    </row>
    <row r="88" spans="1:39" ht="15" thickBot="1" x14ac:dyDescent="0.35">
      <c r="A88" s="6">
        <f>(AI88*H$3+AJ88*M$3+AK88*W$3+AL88*AB$3+AM88*AD$3)*100/(AI$5*H$3+AJ$5*M$3+AK$5*W$3+AL$5*AB$3+AM$5*AD$3)</f>
        <v>30.686061804291377</v>
      </c>
      <c r="B88" s="18">
        <v>139</v>
      </c>
      <c r="C88" s="12" t="s">
        <v>167</v>
      </c>
      <c r="D88" s="19" t="s">
        <v>8</v>
      </c>
      <c r="E88" s="19" t="s">
        <v>19</v>
      </c>
      <c r="F88" s="19" t="s">
        <v>19</v>
      </c>
      <c r="G88" s="19">
        <v>18</v>
      </c>
      <c r="H88" s="19">
        <v>28</v>
      </c>
      <c r="I88" s="19">
        <v>8</v>
      </c>
      <c r="J88" s="19">
        <v>14</v>
      </c>
      <c r="K88" s="19">
        <v>19</v>
      </c>
      <c r="L88" s="19">
        <v>27</v>
      </c>
      <c r="M88" s="19">
        <v>40</v>
      </c>
      <c r="N88" s="19">
        <v>76</v>
      </c>
      <c r="O88" s="19">
        <v>49</v>
      </c>
      <c r="P88" s="19">
        <v>44</v>
      </c>
      <c r="Q88" s="18">
        <v>139</v>
      </c>
      <c r="R88" s="12" t="s">
        <v>167</v>
      </c>
      <c r="S88" s="19" t="s">
        <v>8</v>
      </c>
      <c r="T88" s="19" t="s">
        <v>19</v>
      </c>
      <c r="U88" s="19" t="s">
        <v>19</v>
      </c>
      <c r="V88" s="19">
        <v>18</v>
      </c>
      <c r="W88" s="19">
        <v>77</v>
      </c>
      <c r="X88" s="19">
        <v>64</v>
      </c>
      <c r="Y88" s="19">
        <v>53</v>
      </c>
      <c r="Z88" s="19">
        <v>69</v>
      </c>
      <c r="AA88" s="19">
        <v>28</v>
      </c>
      <c r="AB88" s="19">
        <v>76</v>
      </c>
      <c r="AC88" s="19">
        <v>82</v>
      </c>
      <c r="AD88" s="19">
        <v>58</v>
      </c>
      <c r="AE88" s="19">
        <v>58</v>
      </c>
      <c r="AF88" s="19">
        <v>36</v>
      </c>
      <c r="AG88" s="19">
        <v>54</v>
      </c>
      <c r="AH88" s="19">
        <v>44</v>
      </c>
      <c r="AI88" s="6">
        <f>H$1*((-2*10^-6)*H88^3+0.00032*H88^2-0.0021*H88)+I$1*((-2*10^-6)*I88^3+0.00032*I88^2-0.0021*I88)+J$1*((-2*10^-6)*J88^3+0.00032*J88^2-0.0021*J88)+K$1*((-2*10^-6)*K88^3+0.00032*K88^2-0.0021*K88)+L$1*((-2*10^-6)*L88^3+0.00032*L88^2-0.0021*L88)</f>
        <v>0.52157960000000014</v>
      </c>
      <c r="AJ88" s="6">
        <f>(M$1*M88+N$1*N88+O$1*O88)/100</f>
        <v>0.60099999999999998</v>
      </c>
      <c r="AK88" s="6">
        <f>IF(AA88&lt;50,W$1*((-2*10^-6)*W88^3+0.00032*W88^2-0.0021*W88)+X$1*((-2*10^-6)*X88^3+0.00032*X88^2-0.0021*X88)+Y$1*((-2*10^-6)*Y88^3+0.00032*Y88^2-0.0021*Y88)+Z$1*((-2*10^-6)*Z88^3+0.00032*Z88^2-0.0021*Z88),X$2*((-2*10^-6)*X88^3+0.00032*X88^2-0.0021*AA88)+Y$2*((-2*10^-6)*Y88^3+0.00032*Y88^2-0.0021*Y88)+Z$2*((-2*10^-6)*Z88^3+0.00032*Z88^2-0.0021*Z88)+ AA$2*((-2*10^-6)*AA88^3+0.00032*AA88^2-0.0021*AA88))</f>
        <v>2.6859740000000007</v>
      </c>
      <c r="AL88" s="6">
        <f>(AB$1*AB88+AC$1*AC88)/100</f>
        <v>0.77200000000000002</v>
      </c>
      <c r="AM88" s="6">
        <f>AD$1*((-2*10^-6)*AD88^3+0.00032*AD88^2-0.0021*AD88)+AE$1*((-2*10^-6)*AE88^3+0.00032*AE88^2-0.0021*AE88)+AF$1*((-2*10^-6)*AF88^3+0.00032*AF88^2-0.0021*AF88)+AG$1*((-2*10^-6)*AG88^3+0.00032*AG88^2-0.0021*AG88)</f>
        <v>0.69596160000000018</v>
      </c>
    </row>
    <row r="89" spans="1:39" ht="15" thickBot="1" x14ac:dyDescent="0.35">
      <c r="A89" s="6">
        <f>(AI89*H$3+AJ89*M$3+AK89*W$3+AL89*AB$3+AM89*AD$3)*100/(AI$5*H$3+AJ$5*M$3+AK$5*W$3+AL$5*AB$3+AM$5*AD$3)</f>
        <v>30.684697842370696</v>
      </c>
      <c r="B89" s="20">
        <v>186</v>
      </c>
      <c r="C89" s="13" t="s">
        <v>214</v>
      </c>
      <c r="D89" s="21" t="s">
        <v>4</v>
      </c>
      <c r="E89" s="21" t="s">
        <v>19</v>
      </c>
      <c r="F89" s="21" t="s">
        <v>19</v>
      </c>
      <c r="G89" s="21">
        <v>18</v>
      </c>
      <c r="H89" s="21">
        <v>41</v>
      </c>
      <c r="I89" s="21">
        <v>38</v>
      </c>
      <c r="J89" s="21">
        <v>30</v>
      </c>
      <c r="K89" s="21">
        <v>11</v>
      </c>
      <c r="L89" s="21">
        <v>41</v>
      </c>
      <c r="M89" s="21">
        <v>47</v>
      </c>
      <c r="N89" s="21">
        <v>1</v>
      </c>
      <c r="O89" s="21">
        <v>36</v>
      </c>
      <c r="P89" s="21">
        <v>47</v>
      </c>
      <c r="Q89" s="20">
        <v>186</v>
      </c>
      <c r="R89" s="13" t="s">
        <v>214</v>
      </c>
      <c r="S89" s="21" t="s">
        <v>4</v>
      </c>
      <c r="T89" s="21" t="s">
        <v>19</v>
      </c>
      <c r="U89" s="21" t="s">
        <v>19</v>
      </c>
      <c r="V89" s="21">
        <v>18</v>
      </c>
      <c r="W89" s="21">
        <v>2</v>
      </c>
      <c r="X89" s="21">
        <v>19</v>
      </c>
      <c r="Y89" s="21">
        <v>60</v>
      </c>
      <c r="Z89" s="21">
        <v>62</v>
      </c>
      <c r="AA89" s="21">
        <v>44</v>
      </c>
      <c r="AB89" s="21">
        <v>81</v>
      </c>
      <c r="AC89" s="21">
        <v>84</v>
      </c>
      <c r="AD89" s="21">
        <v>55</v>
      </c>
      <c r="AE89" s="21">
        <v>48</v>
      </c>
      <c r="AF89" s="21">
        <v>37</v>
      </c>
      <c r="AG89" s="21">
        <v>69</v>
      </c>
      <c r="AH89" s="21">
        <v>47</v>
      </c>
      <c r="AI89" s="6">
        <f>H$1*((-2*10^-6)*H89^3+0.00032*H89^2-0.0021*H89)+I$1*((-2*10^-6)*I89^3+0.00032*I89^2-0.0021*I89)+J$1*((-2*10^-6)*J89^3+0.00032*J89^2-0.0021*J89)+K$1*((-2*10^-6)*K89^3+0.00032*K89^2-0.0021*K89)+L$1*((-2*10^-6)*L89^3+0.00032*L89^2-0.0021*L89)</f>
        <v>1.6627680000000002</v>
      </c>
      <c r="AJ89" s="6">
        <f>(M$1*M89+N$1*N89+O$1*O89)/100</f>
        <v>0.50800000000000001</v>
      </c>
      <c r="AK89" s="6">
        <f>IF(AA89&lt;50,W$1*((-2*10^-6)*W89^3+0.00032*W89^2-0.0021*W89)+X$1*((-2*10^-6)*X89^3+0.00032*X89^2-0.0021*X89)+Y$1*((-2*10^-6)*Y89^3+0.00032*Y89^2-0.0021*Y89)+Z$1*((-2*10^-6)*Z89^3+0.00032*Z89^2-0.0021*Z89),X$2*((-2*10^-6)*X89^3+0.00032*X89^2-0.0021*AA89)+Y$2*((-2*10^-6)*Y89^3+0.00032*Y89^2-0.0021*Y89)+Z$2*((-2*10^-6)*Z89^3+0.00032*Z89^2-0.0021*Z89)+ AA$2*((-2*10^-6)*AA89^3+0.00032*AA89^2-0.0021*AA89))</f>
        <v>1.2761900000000002</v>
      </c>
      <c r="AL89" s="6">
        <f>(AB$1*AB89+AC$1*AC89)/100</f>
        <v>0.81599999999999995</v>
      </c>
      <c r="AM89" s="6">
        <f>AD$1*((-2*10^-6)*AD89^3+0.00032*AD89^2-0.0021*AD89)+AE$1*((-2*10^-6)*AE89^3+0.00032*AE89^2-0.0021*AE89)+AF$1*((-2*10^-6)*AF89^3+0.00032*AF89^2-0.0021*AF89)+AG$1*((-2*10^-6)*AG89^3+0.00032*AG89^2-0.0021*AG89)</f>
        <v>0.65934720000000024</v>
      </c>
    </row>
    <row r="90" spans="1:39" ht="15" thickBot="1" x14ac:dyDescent="0.35">
      <c r="A90" s="6">
        <f>(AI90*H$3+AJ90*M$3+AK90*W$3+AL90*AB$3+AM90*AD$3)*100/(AI$5*H$3+AJ$5*M$3+AK$5*W$3+AL$5*AB$3+AM$5*AD$3)</f>
        <v>29.976402906681777</v>
      </c>
      <c r="B90" s="18">
        <v>109</v>
      </c>
      <c r="C90" s="12" t="s">
        <v>137</v>
      </c>
      <c r="D90" s="19" t="s">
        <v>6</v>
      </c>
      <c r="E90" s="19" t="s">
        <v>19</v>
      </c>
      <c r="F90" s="19" t="s">
        <v>19</v>
      </c>
      <c r="G90" s="19">
        <v>18</v>
      </c>
      <c r="H90" s="19">
        <v>28</v>
      </c>
      <c r="I90" s="19">
        <v>20</v>
      </c>
      <c r="J90" s="19">
        <v>20</v>
      </c>
      <c r="K90" s="19">
        <v>14</v>
      </c>
      <c r="L90" s="19">
        <v>26</v>
      </c>
      <c r="M90" s="19">
        <v>75</v>
      </c>
      <c r="N90" s="19">
        <v>81</v>
      </c>
      <c r="O90" s="19">
        <v>27</v>
      </c>
      <c r="P90" s="19">
        <v>49</v>
      </c>
      <c r="Q90" s="18">
        <v>109</v>
      </c>
      <c r="R90" s="12" t="s">
        <v>137</v>
      </c>
      <c r="S90" s="19" t="s">
        <v>6</v>
      </c>
      <c r="T90" s="19" t="s">
        <v>19</v>
      </c>
      <c r="U90" s="19" t="s">
        <v>19</v>
      </c>
      <c r="V90" s="19">
        <v>18</v>
      </c>
      <c r="W90" s="19">
        <v>74</v>
      </c>
      <c r="X90" s="19">
        <v>60</v>
      </c>
      <c r="Y90" s="19">
        <v>42</v>
      </c>
      <c r="Z90" s="19">
        <v>55</v>
      </c>
      <c r="AA90" s="19">
        <v>20</v>
      </c>
      <c r="AB90" s="19">
        <v>81</v>
      </c>
      <c r="AC90" s="19">
        <v>92</v>
      </c>
      <c r="AD90" s="19">
        <v>75</v>
      </c>
      <c r="AE90" s="19">
        <v>58</v>
      </c>
      <c r="AF90" s="19">
        <v>64</v>
      </c>
      <c r="AG90" s="19">
        <v>85</v>
      </c>
      <c r="AH90" s="19">
        <v>49</v>
      </c>
      <c r="AI90" s="6">
        <f>H$1*((-2*10^-6)*H90^3+0.00032*H90^2-0.0021*H90)+I$1*((-2*10^-6)*I90^3+0.00032*I90^2-0.0021*I90)+J$1*((-2*10^-6)*J90^3+0.00032*J90^2-0.0021*J90)+K$1*((-2*10^-6)*K90^3+0.00032*K90^2-0.0021*K90)+L$1*((-2*10^-6)*L90^3+0.00032*L90^2-0.0021*L90)</f>
        <v>0.63089120000000021</v>
      </c>
      <c r="AJ90" s="6">
        <f>(M$1*M90+N$1*N90+O$1*O90)/100</f>
        <v>0.93900000000000006</v>
      </c>
      <c r="AK90" s="6">
        <f>IF(AA90&lt;50,W$1*((-2*10^-6)*W90^3+0.00032*W90^2-0.0021*W90)+X$1*((-2*10^-6)*X90^3+0.00032*X90^2-0.0021*X90)+Y$1*((-2*10^-6)*Y90^3+0.00032*Y90^2-0.0021*Y90)+Z$1*((-2*10^-6)*Z90^3+0.00032*Z90^2-0.0021*Z90),X$2*((-2*10^-6)*X90^3+0.00032*X90^2-0.0021*AA90)+Y$2*((-2*10^-6)*Y90^3+0.00032*Y90^2-0.0021*Y90)+Z$2*((-2*10^-6)*Z90^3+0.00032*Z90^2-0.0021*Z90)+ AA$2*((-2*10^-6)*AA90^3+0.00032*AA90^2-0.0021*AA90))</f>
        <v>2.2283260000000009</v>
      </c>
      <c r="AL90" s="6">
        <f>(AB$1*AB90+AC$1*AC90)/100</f>
        <v>0.83200000000000007</v>
      </c>
      <c r="AM90" s="6">
        <f>AD$1*((-2*10^-6)*AD90^3+0.00032*AD90^2-0.0021*AD90)+AE$1*((-2*10^-6)*AE90^3+0.00032*AE90^2-0.0021*AE90)+AF$1*((-2*10^-6)*AF90^3+0.00032*AF90^2-0.0021*AF90)+AG$1*((-2*10^-6)*AG90^3+0.00032*AG90^2-0.0021*AG90)</f>
        <v>1.0109238</v>
      </c>
    </row>
    <row r="91" spans="1:39" ht="15" thickBot="1" x14ac:dyDescent="0.35">
      <c r="A91" s="6">
        <f>(AI91*H$3+AJ91*M$3+AK91*W$3+AL91*AB$3+AM91*AD$3)*100/(AI$5*H$3+AJ$5*M$3+AK$5*W$3+AL$5*AB$3+AM$5*AD$3)</f>
        <v>29.68968978483392</v>
      </c>
      <c r="B91" s="20">
        <v>198</v>
      </c>
      <c r="C91" s="13" t="s">
        <v>226</v>
      </c>
      <c r="D91" s="21" t="s">
        <v>4</v>
      </c>
      <c r="E91" s="21" t="s">
        <v>19</v>
      </c>
      <c r="F91" s="21" t="s">
        <v>19</v>
      </c>
      <c r="G91" s="21">
        <v>21</v>
      </c>
      <c r="H91" s="21">
        <v>20</v>
      </c>
      <c r="I91" s="21">
        <v>4</v>
      </c>
      <c r="J91" s="21">
        <v>18</v>
      </c>
      <c r="K91" s="21">
        <v>49</v>
      </c>
      <c r="L91" s="21">
        <v>46</v>
      </c>
      <c r="M91" s="21">
        <v>94</v>
      </c>
      <c r="N91" s="21">
        <v>33</v>
      </c>
      <c r="O91" s="21">
        <v>47</v>
      </c>
      <c r="P91" s="21">
        <v>45</v>
      </c>
      <c r="Q91" s="20">
        <v>198</v>
      </c>
      <c r="R91" s="13" t="s">
        <v>226</v>
      </c>
      <c r="S91" s="21" t="s">
        <v>4</v>
      </c>
      <c r="T91" s="21" t="s">
        <v>19</v>
      </c>
      <c r="U91" s="21" t="s">
        <v>19</v>
      </c>
      <c r="V91" s="21">
        <v>21</v>
      </c>
      <c r="W91" s="21">
        <v>73</v>
      </c>
      <c r="X91" s="21">
        <v>39</v>
      </c>
      <c r="Y91" s="21">
        <v>29</v>
      </c>
      <c r="Z91" s="21">
        <v>32</v>
      </c>
      <c r="AA91" s="21">
        <v>2</v>
      </c>
      <c r="AB91" s="21">
        <v>83</v>
      </c>
      <c r="AC91" s="21">
        <v>46</v>
      </c>
      <c r="AD91" s="21">
        <v>73</v>
      </c>
      <c r="AE91" s="21">
        <v>52</v>
      </c>
      <c r="AF91" s="21">
        <v>0</v>
      </c>
      <c r="AG91" s="21">
        <v>51</v>
      </c>
      <c r="AH91" s="21">
        <v>45</v>
      </c>
      <c r="AI91" s="6">
        <f>H$1*((-2*10^-6)*H91^3+0.00032*H91^2-0.0021*H91)+I$1*((-2*10^-6)*I91^3+0.00032*I91^2-0.0021*I91)+J$1*((-2*10^-6)*J91^3+0.00032*J91^2-0.0021*J91)+K$1*((-2*10^-6)*K91^3+0.00032*K91^2-0.0021*K91)+L$1*((-2*10^-6)*L91^3+0.00032*L91^2-0.0021*L91)</f>
        <v>1.2886768000000004</v>
      </c>
      <c r="AJ91" s="6">
        <f>(M$1*M91+N$1*N91+O$1*O91)/100</f>
        <v>1.0529999999999999</v>
      </c>
      <c r="AK91" s="6">
        <f>IF(AA91&lt;50,W$1*((-2*10^-6)*W91^3+0.00032*W91^2-0.0021*W91)+X$1*((-2*10^-6)*X91^3+0.00032*X91^2-0.0021*X91)+Y$1*((-2*10^-6)*Y91^3+0.00032*Y91^2-0.0021*Y91)+Z$1*((-2*10^-6)*Z91^3+0.00032*Z91^2-0.0021*Z91),X$2*((-2*10^-6)*X91^3+0.00032*X91^2-0.0021*AA91)+Y$2*((-2*10^-6)*Y91^3+0.00032*Y91^2-0.0021*Y91)+Z$2*((-2*10^-6)*Z91^3+0.00032*Z91^2-0.0021*Z91)+ AA$2*((-2*10^-6)*AA91^3+0.00032*AA91^2-0.0021*AA91))</f>
        <v>1.4145140000000003</v>
      </c>
      <c r="AL91" s="6">
        <f>(AB$1*AB91+AC$1*AC91)/100</f>
        <v>0.75600000000000012</v>
      </c>
      <c r="AM91" s="6">
        <f>AD$1*((-2*10^-6)*AD91^3+0.00032*AD91^2-0.0021*AD91)+AE$1*((-2*10^-6)*AE91^3+0.00032*AE91^2-0.0021*AE91)+AF$1*((-2*10^-6)*AF91^3+0.00032*AF91^2-0.0021*AF91)+AG$1*((-2*10^-6)*AG91^3+0.00032*AG91^2-0.0021*AG91)</f>
        <v>0.8674242000000002</v>
      </c>
    </row>
    <row r="92" spans="1:39" ht="15" thickBot="1" x14ac:dyDescent="0.35">
      <c r="A92" s="6">
        <f>(AI92*H$3+AJ92*M$3+AK92*W$3+AL92*AB$3+AM92*AD$3)*100/(AI$5*H$3+AJ$5*M$3+AK$5*W$3+AL$5*AB$3+AM$5*AD$3)</f>
        <v>29.072248052761939</v>
      </c>
      <c r="B92" s="20">
        <v>150</v>
      </c>
      <c r="C92" s="13" t="s">
        <v>178</v>
      </c>
      <c r="D92" s="21" t="s">
        <v>6</v>
      </c>
      <c r="E92" s="21" t="s">
        <v>19</v>
      </c>
      <c r="F92" s="21" t="s">
        <v>19</v>
      </c>
      <c r="G92" s="21">
        <v>18</v>
      </c>
      <c r="H92" s="21">
        <v>8</v>
      </c>
      <c r="I92" s="21">
        <v>43</v>
      </c>
      <c r="J92" s="21">
        <v>35</v>
      </c>
      <c r="K92" s="21">
        <v>14</v>
      </c>
      <c r="L92" s="21">
        <v>24</v>
      </c>
      <c r="M92" s="21">
        <v>22</v>
      </c>
      <c r="N92" s="21">
        <v>5</v>
      </c>
      <c r="O92" s="21">
        <v>34</v>
      </c>
      <c r="P92" s="21">
        <v>42</v>
      </c>
      <c r="Q92" s="20">
        <v>150</v>
      </c>
      <c r="R92" s="13" t="s">
        <v>178</v>
      </c>
      <c r="S92" s="21" t="s">
        <v>6</v>
      </c>
      <c r="T92" s="21" t="s">
        <v>19</v>
      </c>
      <c r="U92" s="21" t="s">
        <v>19</v>
      </c>
      <c r="V92" s="21">
        <v>18</v>
      </c>
      <c r="W92" s="21">
        <v>51</v>
      </c>
      <c r="X92" s="21">
        <v>51</v>
      </c>
      <c r="Y92" s="21">
        <v>54</v>
      </c>
      <c r="Z92" s="21">
        <v>52</v>
      </c>
      <c r="AA92" s="21">
        <v>11</v>
      </c>
      <c r="AB92" s="21">
        <v>92</v>
      </c>
      <c r="AC92" s="21">
        <v>79</v>
      </c>
      <c r="AD92" s="21">
        <v>34</v>
      </c>
      <c r="AE92" s="21">
        <v>64</v>
      </c>
      <c r="AF92" s="21">
        <v>52</v>
      </c>
      <c r="AG92" s="21">
        <v>59</v>
      </c>
      <c r="AH92" s="21">
        <v>42</v>
      </c>
      <c r="AI92" s="6">
        <f>H$1*((-2*10^-6)*H92^3+0.00032*H92^2-0.0021*H92)+I$1*((-2*10^-6)*I92^3+0.00032*I92^2-0.0021*I92)+J$1*((-2*10^-6)*J92^3+0.00032*J92^2-0.0021*J92)+K$1*((-2*10^-6)*K92^3+0.00032*K92^2-0.0021*K92)+L$1*((-2*10^-6)*L92^3+0.00032*L92^2-0.0021*L92)</f>
        <v>1.0831020000000002</v>
      </c>
      <c r="AJ92" s="6">
        <f>(M$1*M92+N$1*N92+O$1*O92)/100</f>
        <v>0.26400000000000001</v>
      </c>
      <c r="AK92" s="6">
        <f>IF(AA92&lt;50,W$1*((-2*10^-6)*W92^3+0.00032*W92^2-0.0021*W92)+X$1*((-2*10^-6)*X92^3+0.00032*X92^2-0.0021*X92)+Y$1*((-2*10^-6)*Y92^3+0.00032*Y92^2-0.0021*Y92)+Z$1*((-2*10^-6)*Z92^3+0.00032*Z92^2-0.0021*Z92),X$2*((-2*10^-6)*X92^3+0.00032*X92^2-0.0021*AA92)+Y$2*((-2*10^-6)*Y92^3+0.00032*Y92^2-0.0021*Y92)+Z$2*((-2*10^-6)*Z92^3+0.00032*Z92^2-0.0021*Z92)+ AA$2*((-2*10^-6)*AA92^3+0.00032*AA92^2-0.0021*AA92))</f>
        <v>1.8994920000000004</v>
      </c>
      <c r="AL92" s="6">
        <f>(AB$1*AB92+AC$1*AC92)/100</f>
        <v>0.89400000000000002</v>
      </c>
      <c r="AM92" s="6">
        <f>AD$1*((-2*10^-6)*AD92^3+0.00032*AD92^2-0.0021*AD92)+AE$1*((-2*10^-6)*AE92^3+0.00032*AE92^2-0.0021*AE92)+AF$1*((-2*10^-6)*AF92^3+0.00032*AF92^2-0.0021*AF92)+AG$1*((-2*10^-6)*AG92^3+0.00032*AG92^2-0.0021*AG92)</f>
        <v>0.39052780000000009</v>
      </c>
    </row>
    <row r="93" spans="1:39" ht="15" thickBot="1" x14ac:dyDescent="0.35">
      <c r="A93" s="6">
        <f>(AI93*H$3+AJ93*M$3+AK93*W$3+AL93*AB$3+AM93*AD$3)*100/(AI$5*H$3+AJ$5*M$3+AK$5*W$3+AL$5*AB$3+AM$5*AD$3)</f>
        <v>28.973263750037297</v>
      </c>
      <c r="B93" s="20">
        <v>192</v>
      </c>
      <c r="C93" s="13" t="s">
        <v>220</v>
      </c>
      <c r="D93" s="21" t="s">
        <v>4</v>
      </c>
      <c r="E93" s="21" t="s">
        <v>19</v>
      </c>
      <c r="F93" s="21" t="s">
        <v>19</v>
      </c>
      <c r="G93" s="21">
        <v>18</v>
      </c>
      <c r="H93" s="21">
        <v>34</v>
      </c>
      <c r="I93" s="21">
        <v>39</v>
      </c>
      <c r="J93" s="21">
        <v>35</v>
      </c>
      <c r="K93" s="21">
        <v>25</v>
      </c>
      <c r="L93" s="21">
        <v>46</v>
      </c>
      <c r="M93" s="21">
        <v>55</v>
      </c>
      <c r="N93" s="21">
        <v>61</v>
      </c>
      <c r="O93" s="21">
        <v>78</v>
      </c>
      <c r="P93" s="21">
        <v>50</v>
      </c>
      <c r="Q93" s="20">
        <v>192</v>
      </c>
      <c r="R93" s="13" t="s">
        <v>220</v>
      </c>
      <c r="S93" s="21" t="s">
        <v>4</v>
      </c>
      <c r="T93" s="21" t="s">
        <v>19</v>
      </c>
      <c r="U93" s="21" t="s">
        <v>19</v>
      </c>
      <c r="V93" s="21">
        <v>18</v>
      </c>
      <c r="W93" s="21">
        <v>36</v>
      </c>
      <c r="X93" s="21">
        <v>21</v>
      </c>
      <c r="Y93" s="21">
        <v>26</v>
      </c>
      <c r="Z93" s="21">
        <v>28</v>
      </c>
      <c r="AA93" s="21">
        <v>4</v>
      </c>
      <c r="AB93" s="21">
        <v>88</v>
      </c>
      <c r="AC93" s="21">
        <v>62</v>
      </c>
      <c r="AD93" s="21">
        <v>76</v>
      </c>
      <c r="AE93" s="21">
        <v>68</v>
      </c>
      <c r="AF93" s="21">
        <v>40</v>
      </c>
      <c r="AG93" s="21">
        <v>100</v>
      </c>
      <c r="AH93" s="21">
        <v>50</v>
      </c>
      <c r="AI93" s="6">
        <f>H$1*((-2*10^-6)*H93^3+0.00032*H93^2-0.0021*H93)+I$1*((-2*10^-6)*I93^3+0.00032*I93^2-0.0021*I93)+J$1*((-2*10^-6)*J93^3+0.00032*J93^2-0.0021*J93)+K$1*((-2*10^-6)*K93^3+0.00032*K93^2-0.0021*K93)+L$1*((-2*10^-6)*L93^3+0.00032*L93^2-0.0021*L93)</f>
        <v>1.8737916000000001</v>
      </c>
      <c r="AJ93" s="6">
        <f>(M$1*M93+N$1*N93+O$1*O93)/100</f>
        <v>0.75</v>
      </c>
      <c r="AK93" s="6">
        <f>IF(AA93&lt;50,W$1*((-2*10^-6)*W93^3+0.00032*W93^2-0.0021*W93)+X$1*((-2*10^-6)*X93^3+0.00032*X93^2-0.0021*X93)+Y$1*((-2*10^-6)*Y93^3+0.00032*Y93^2-0.0021*Y93)+Z$1*((-2*10^-6)*Z93^3+0.00032*Z93^2-0.0021*Z93),X$2*((-2*10^-6)*X93^3+0.00032*X93^2-0.0021*AA93)+Y$2*((-2*10^-6)*Y93^3+0.00032*Y93^2-0.0021*Y93)+Z$2*((-2*10^-6)*Z93^3+0.00032*Z93^2-0.0021*Z93)+ AA$2*((-2*10^-6)*AA93^3+0.00032*AA93^2-0.0021*AA93))</f>
        <v>0.59905000000000008</v>
      </c>
      <c r="AL93" s="6">
        <f>(AB$1*AB93+AC$1*AC93)/100</f>
        <v>0.82800000000000007</v>
      </c>
      <c r="AM93" s="6">
        <f>AD$1*((-2*10^-6)*AD93^3+0.00032*AD93^2-0.0021*AD93)+AE$1*((-2*10^-6)*AE93^3+0.00032*AE93^2-0.0021*AE93)+AF$1*((-2*10^-6)*AF93^3+0.00032*AF93^2-0.0021*AF93)+AG$1*((-2*10^-6)*AG93^3+0.00032*AG93^2-0.0021*AG93)</f>
        <v>1.0105696000000004</v>
      </c>
    </row>
    <row r="94" spans="1:39" ht="15" thickBot="1" x14ac:dyDescent="0.35">
      <c r="A94" s="6">
        <f>(AI94*H$3+AJ94*M$3+AK94*W$3+AL94*AB$3+AM94*AD$3)*100/(AI$5*H$3+AJ$5*M$3+AK$5*W$3+AL$5*AB$3+AM$5*AD$3)</f>
        <v>28.288871049568762</v>
      </c>
      <c r="B94" s="20">
        <v>142</v>
      </c>
      <c r="C94" s="13" t="s">
        <v>170</v>
      </c>
      <c r="D94" s="21" t="s">
        <v>9</v>
      </c>
      <c r="E94" s="21" t="s">
        <v>20</v>
      </c>
      <c r="F94" s="21" t="s">
        <v>20</v>
      </c>
      <c r="G94" s="21">
        <v>18</v>
      </c>
      <c r="H94" s="21">
        <v>0</v>
      </c>
      <c r="I94" s="21">
        <v>5</v>
      </c>
      <c r="J94" s="21">
        <v>12</v>
      </c>
      <c r="K94" s="21">
        <v>21</v>
      </c>
      <c r="L94" s="21">
        <v>42</v>
      </c>
      <c r="M94" s="21">
        <v>61</v>
      </c>
      <c r="N94" s="21">
        <v>82</v>
      </c>
      <c r="O94" s="21">
        <v>34</v>
      </c>
      <c r="P94" s="21">
        <v>44</v>
      </c>
      <c r="Q94" s="20">
        <v>142</v>
      </c>
      <c r="R94" s="13" t="s">
        <v>170</v>
      </c>
      <c r="S94" s="21" t="s">
        <v>9</v>
      </c>
      <c r="T94" s="21" t="s">
        <v>20</v>
      </c>
      <c r="U94" s="21" t="s">
        <v>20</v>
      </c>
      <c r="V94" s="21">
        <v>18</v>
      </c>
      <c r="W94" s="21">
        <v>68</v>
      </c>
      <c r="X94" s="21">
        <v>49</v>
      </c>
      <c r="Y94" s="21">
        <v>37</v>
      </c>
      <c r="Z94" s="21">
        <v>46</v>
      </c>
      <c r="AA94" s="21">
        <v>14</v>
      </c>
      <c r="AB94" s="21">
        <v>92</v>
      </c>
      <c r="AC94" s="21">
        <v>89</v>
      </c>
      <c r="AD94" s="21">
        <v>81</v>
      </c>
      <c r="AE94" s="21">
        <v>85</v>
      </c>
      <c r="AF94" s="21">
        <v>56</v>
      </c>
      <c r="AG94" s="21">
        <v>63</v>
      </c>
      <c r="AH94" s="21">
        <v>44</v>
      </c>
      <c r="AI94" s="6">
        <f>H$1*((-2*10^-6)*H94^3+0.00032*H94^2-0.0021*H94)+I$1*((-2*10^-6)*I94^3+0.00032*I94^2-0.0021*I94)+J$1*((-2*10^-6)*J94^3+0.00032*J94^2-0.0021*J94)+K$1*((-2*10^-6)*K94^3+0.00032*K94^2-0.0021*K94)+L$1*((-2*10^-6)*L94^3+0.00032*L94^2-0.0021*L94)</f>
        <v>0.78958160000000033</v>
      </c>
      <c r="AJ94" s="6">
        <f>(M$1*M94+N$1*N94+O$1*O94)/100</f>
        <v>0.80800000000000016</v>
      </c>
      <c r="AK94" s="6">
        <f>IF(AA94&lt;50,W$1*((-2*10^-6)*W94^3+0.00032*W94^2-0.0021*W94)+X$1*((-2*10^-6)*X94^3+0.00032*X94^2-0.0021*X94)+Y$1*((-2*10^-6)*Y94^3+0.00032*Y94^2-0.0021*Y94)+Z$1*((-2*10^-6)*Z94^3+0.00032*Z94^2-0.0021*Z94),X$2*((-2*10^-6)*X94^3+0.00032*X94^2-0.0021*AA94)+Y$2*((-2*10^-6)*Y94^3+0.00032*Y94^2-0.0021*Y94)+Z$2*((-2*10^-6)*Z94^3+0.00032*Z94^2-0.0021*Z94)+ AA$2*((-2*10^-6)*AA94^3+0.00032*AA94^2-0.0021*AA94))</f>
        <v>1.7830600000000003</v>
      </c>
      <c r="AL94" s="6">
        <f>(AB$1*AB94+AC$1*AC94)/100</f>
        <v>0.91400000000000003</v>
      </c>
      <c r="AM94" s="6">
        <f>AD$1*((-2*10^-6)*AD94^3+0.00032*AD94^2-0.0021*AD94)+AE$1*((-2*10^-6)*AE94^3+0.00032*AE94^2-0.0021*AE94)+AF$1*((-2*10^-6)*AF94^3+0.00032*AF94^2-0.0021*AF94)+AG$1*((-2*10^-6)*AG94^3+0.00032*AG94^2-0.0021*AG94)</f>
        <v>1.0743004000000003</v>
      </c>
    </row>
    <row r="95" spans="1:39" ht="15" thickBot="1" x14ac:dyDescent="0.35">
      <c r="A95" s="6">
        <f>(AI95*H$3+AJ95*M$3+AK95*W$3+AL95*AB$3+AM95*AD$3)*100/(AI$5*H$3+AJ$5*M$3+AK$5*W$3+AL$5*AB$3+AM$5*AD$3)</f>
        <v>27.064454027276248</v>
      </c>
      <c r="B95" s="20">
        <v>144</v>
      </c>
      <c r="C95" s="13" t="s">
        <v>172</v>
      </c>
      <c r="D95" s="21" t="s">
        <v>16</v>
      </c>
      <c r="E95" s="21" t="s">
        <v>19</v>
      </c>
      <c r="F95" s="21" t="s">
        <v>19</v>
      </c>
      <c r="G95" s="21">
        <v>22</v>
      </c>
      <c r="H95" s="21">
        <v>5</v>
      </c>
      <c r="I95" s="21">
        <v>0</v>
      </c>
      <c r="J95" s="21">
        <v>52</v>
      </c>
      <c r="K95" s="21">
        <v>0</v>
      </c>
      <c r="L95" s="21">
        <v>23</v>
      </c>
      <c r="M95" s="21">
        <v>32</v>
      </c>
      <c r="N95" s="21">
        <v>50</v>
      </c>
      <c r="O95" s="21">
        <v>60</v>
      </c>
      <c r="P95" s="21">
        <v>59</v>
      </c>
      <c r="Q95" s="20">
        <v>144</v>
      </c>
      <c r="R95" s="13" t="s">
        <v>172</v>
      </c>
      <c r="S95" s="21" t="s">
        <v>16</v>
      </c>
      <c r="T95" s="21" t="s">
        <v>19</v>
      </c>
      <c r="U95" s="21" t="s">
        <v>19</v>
      </c>
      <c r="V95" s="21">
        <v>22</v>
      </c>
      <c r="W95" s="21">
        <v>56</v>
      </c>
      <c r="X95" s="21">
        <v>49</v>
      </c>
      <c r="Y95" s="21">
        <v>89</v>
      </c>
      <c r="Z95" s="21">
        <v>55</v>
      </c>
      <c r="AA95" s="21">
        <v>0</v>
      </c>
      <c r="AB95" s="21">
        <v>37</v>
      </c>
      <c r="AC95" s="21">
        <v>35</v>
      </c>
      <c r="AD95" s="21">
        <v>66</v>
      </c>
      <c r="AE95" s="21">
        <v>56</v>
      </c>
      <c r="AF95" s="21">
        <v>42</v>
      </c>
      <c r="AG95" s="21">
        <v>100</v>
      </c>
      <c r="AH95" s="21">
        <v>59</v>
      </c>
      <c r="AI95" s="6">
        <f>H$1*((-2*10^-6)*H95^3+0.00032*H95^2-0.0021*H95)+I$1*((-2*10^-6)*I95^3+0.00032*I95^2-0.0021*I95)+J$1*((-2*10^-6)*J95^3+0.00032*J95^2-0.0021*J95)+K$1*((-2*10^-6)*K95^3+0.00032*K95^2-0.0021*K95)+L$1*((-2*10^-6)*L95^3+0.00032*L95^2-0.0021*L95)</f>
        <v>0.49478960000000016</v>
      </c>
      <c r="AJ95" s="6">
        <f>(M$1*M95+N$1*N95+O$1*O95)/100</f>
        <v>0.48</v>
      </c>
      <c r="AK95" s="6">
        <f>IF(AA95&lt;50,W$1*((-2*10^-6)*W95^3+0.00032*W95^2-0.0021*W95)+X$1*((-2*10^-6)*X95^3+0.00032*X95^2-0.0021*X95)+Y$1*((-2*10^-6)*Y95^3+0.00032*Y95^2-0.0021*Y95)+Z$1*((-2*10^-6)*Z95^3+0.00032*Z95^2-0.0021*Z95),X$2*((-2*10^-6)*X95^3+0.00032*X95^2-0.0021*AA95)+Y$2*((-2*10^-6)*Y95^3+0.00032*Y95^2-0.0021*Y95)+Z$2*((-2*10^-6)*Z95^3+0.00032*Z95^2-0.0021*Z95)+ AA$2*((-2*10^-6)*AA95^3+0.00032*AA95^2-0.0021*AA95))</f>
        <v>2.4224420000000007</v>
      </c>
      <c r="AL95" s="6">
        <f>(AB$1*AB95+AC$1*AC95)/100</f>
        <v>0.36599999999999999</v>
      </c>
      <c r="AM95" s="6">
        <f>AD$1*((-2*10^-6)*AD95^3+0.00032*AD95^2-0.0021*AD95)+AE$1*((-2*10^-6)*AE95^3+0.00032*AE95^2-0.0021*AE95)+AF$1*((-2*10^-6)*AF95^3+0.00032*AF95^2-0.0021*AF95)+AG$1*((-2*10^-6)*AG95^3+0.00032*AG95^2-0.0021*AG95)</f>
        <v>0.86560720000000013</v>
      </c>
    </row>
    <row r="96" spans="1:39" ht="15" thickBot="1" x14ac:dyDescent="0.35">
      <c r="A96" s="6">
        <f>(AI96*H$3+AJ96*M$3+AK96*W$3+AL96*AB$3+AM96*AD$3)*100/(AI$5*H$3+AJ$5*M$3+AK$5*W$3+AL$5*AB$3+AM$5*AD$3)</f>
        <v>25.859922558118708</v>
      </c>
      <c r="B96" s="18">
        <v>147</v>
      </c>
      <c r="C96" s="12" t="s">
        <v>175</v>
      </c>
      <c r="D96" s="19" t="s">
        <v>9</v>
      </c>
      <c r="E96" s="19" t="s">
        <v>19</v>
      </c>
      <c r="F96" s="19" t="s">
        <v>19</v>
      </c>
      <c r="G96" s="19">
        <v>18</v>
      </c>
      <c r="H96" s="19">
        <v>3</v>
      </c>
      <c r="I96" s="19">
        <v>16</v>
      </c>
      <c r="J96" s="19">
        <v>19</v>
      </c>
      <c r="K96" s="19">
        <v>10</v>
      </c>
      <c r="L96" s="19">
        <v>23</v>
      </c>
      <c r="M96" s="19">
        <v>63</v>
      </c>
      <c r="N96" s="19">
        <v>76</v>
      </c>
      <c r="O96" s="19">
        <v>56</v>
      </c>
      <c r="P96" s="19">
        <v>43</v>
      </c>
      <c r="Q96" s="18">
        <v>147</v>
      </c>
      <c r="R96" s="12" t="s">
        <v>175</v>
      </c>
      <c r="S96" s="19" t="s">
        <v>9</v>
      </c>
      <c r="T96" s="19" t="s">
        <v>19</v>
      </c>
      <c r="U96" s="19" t="s">
        <v>19</v>
      </c>
      <c r="V96" s="19">
        <v>18</v>
      </c>
      <c r="W96" s="19">
        <v>80</v>
      </c>
      <c r="X96" s="19">
        <v>59</v>
      </c>
      <c r="Y96" s="19">
        <v>38</v>
      </c>
      <c r="Z96" s="19">
        <v>43</v>
      </c>
      <c r="AA96" s="19">
        <v>1</v>
      </c>
      <c r="AB96" s="19">
        <v>95</v>
      </c>
      <c r="AC96" s="19">
        <v>74</v>
      </c>
      <c r="AD96" s="19">
        <v>80</v>
      </c>
      <c r="AE96" s="19">
        <v>40</v>
      </c>
      <c r="AF96" s="19">
        <v>46</v>
      </c>
      <c r="AG96" s="19">
        <v>56</v>
      </c>
      <c r="AH96" s="19">
        <v>43</v>
      </c>
      <c r="AI96" s="6">
        <f>H$1*((-2*10^-6)*H96^3+0.00032*H96^2-0.0021*H96)+I$1*((-2*10^-6)*I96^3+0.00032*I96^2-0.0021*I96)+J$1*((-2*10^-6)*J96^3+0.00032*J96^2-0.0021*J96)+K$1*((-2*10^-6)*K96^3+0.00032*K96^2-0.0021*K96)+L$1*((-2*10^-6)*L96^3+0.00032*L96^2-0.0021*L96)</f>
        <v>0.33374440000000005</v>
      </c>
      <c r="AJ96" s="6">
        <f>(M$1*M96+N$1*N96+O$1*O96)/100</f>
        <v>0.83799999999999997</v>
      </c>
      <c r="AK96" s="6">
        <f>IF(AA96&lt;50,W$1*((-2*10^-6)*W96^3+0.00032*W96^2-0.0021*W96)+X$1*((-2*10^-6)*X96^3+0.00032*X96^2-0.0021*X96)+Y$1*((-2*10^-6)*Y96^3+0.00032*Y96^2-0.0021*Y96)+Z$1*((-2*10^-6)*Z96^3+0.00032*Z96^2-0.0021*Z96),X$2*((-2*10^-6)*X96^3+0.00032*X96^2-0.0021*AA96)+Y$2*((-2*10^-6)*Y96^3+0.00032*Y96^2-0.0021*Y96)+Z$2*((-2*10^-6)*Z96^3+0.00032*Z96^2-0.0021*Z96)+ AA$2*((-2*10^-6)*AA96^3+0.00032*AA96^2-0.0021*AA96))</f>
        <v>2.0501640000000005</v>
      </c>
      <c r="AL96" s="6">
        <f>(AB$1*AB96+AC$1*AC96)/100</f>
        <v>0.90799999999999992</v>
      </c>
      <c r="AM96" s="6">
        <f>AD$1*((-2*10^-6)*AD96^3+0.00032*AD96^2-0.0021*AD96)+AE$1*((-2*10^-6)*AE96^3+0.00032*AE96^2-0.0021*AE96)+AF$1*((-2*10^-6)*AF96^3+0.00032*AF96^2-0.0021*AF96)+AG$1*((-2*10^-6)*AG96^3+0.00032*AG96^2-0.0021*AG96)</f>
        <v>0.97805360000000008</v>
      </c>
    </row>
    <row r="97" spans="1:39" ht="15" thickBot="1" x14ac:dyDescent="0.35">
      <c r="A97" s="6">
        <f>(AI97*H$3+AJ97*M$3+AK97*W$3+AL97*AB$3+AM97*AD$3)*100/(AI$5*H$3+AJ$5*M$3+AK$5*W$3+AL$5*AB$3+AM$5*AD$3)</f>
        <v>25.787922349219603</v>
      </c>
      <c r="B97" s="20">
        <v>138</v>
      </c>
      <c r="C97" s="13" t="s">
        <v>166</v>
      </c>
      <c r="D97" s="21" t="s">
        <v>7</v>
      </c>
      <c r="E97" s="21" t="s">
        <v>19</v>
      </c>
      <c r="F97" s="21" t="s">
        <v>19</v>
      </c>
      <c r="G97" s="21">
        <v>18</v>
      </c>
      <c r="H97" s="21">
        <v>36</v>
      </c>
      <c r="I97" s="21">
        <v>11</v>
      </c>
      <c r="J97" s="21">
        <v>53</v>
      </c>
      <c r="K97" s="21">
        <v>38</v>
      </c>
      <c r="L97" s="21">
        <v>39</v>
      </c>
      <c r="M97" s="21">
        <v>63</v>
      </c>
      <c r="N97" s="21">
        <v>31</v>
      </c>
      <c r="O97" s="21">
        <v>40</v>
      </c>
      <c r="P97" s="21">
        <v>45</v>
      </c>
      <c r="Q97" s="20">
        <v>138</v>
      </c>
      <c r="R97" s="13" t="s">
        <v>166</v>
      </c>
      <c r="S97" s="21" t="s">
        <v>7</v>
      </c>
      <c r="T97" s="21" t="s">
        <v>19</v>
      </c>
      <c r="U97" s="21" t="s">
        <v>19</v>
      </c>
      <c r="V97" s="21">
        <v>18</v>
      </c>
      <c r="W97" s="21">
        <v>11</v>
      </c>
      <c r="X97" s="21">
        <v>18</v>
      </c>
      <c r="Y97" s="21">
        <v>60</v>
      </c>
      <c r="Z97" s="21">
        <v>73</v>
      </c>
      <c r="AA97" s="21">
        <v>52</v>
      </c>
      <c r="AB97" s="21">
        <v>90</v>
      </c>
      <c r="AC97" s="21">
        <v>72</v>
      </c>
      <c r="AD97" s="21">
        <v>2</v>
      </c>
      <c r="AE97" s="21">
        <v>65</v>
      </c>
      <c r="AF97" s="21">
        <v>25</v>
      </c>
      <c r="AG97" s="21">
        <v>54</v>
      </c>
      <c r="AH97" s="21">
        <v>45</v>
      </c>
      <c r="AI97" s="6">
        <f>H$1*((-2*10^-6)*H97^3+0.00032*H97^2-0.0021*H97)+I$1*((-2*10^-6)*I97^3+0.00032*I97^2-0.0021*I97)+J$1*((-2*10^-6)*J97^3+0.00032*J97^2-0.0021*J97)+K$1*((-2*10^-6)*K97^3+0.00032*K97^2-0.0021*K97)+L$1*((-2*10^-6)*L97^3+0.00032*L97^2-0.0021*L97)</f>
        <v>1.4132488000000003</v>
      </c>
      <c r="AJ97" s="6">
        <f>(M$1*M97+N$1*N97+O$1*O97)/100</f>
        <v>0.73199999999999998</v>
      </c>
      <c r="AK97" s="6">
        <f>IF(AA97&lt;50,W$1*((-2*10^-6)*W97^3+0.00032*W97^2-0.0021*W97)+X$1*((-2*10^-6)*X97^3+0.00032*X97^2-0.0021*X97)+Y$1*((-2*10^-6)*Y97^3+0.00032*Y97^2-0.0021*Y97)+Z$1*((-2*10^-6)*Z97^3+0.00032*Z97^2-0.0021*Z97),X$2*((-2*10^-6)*X97^3+0.00032*X97^2-0.0021*AA97)+Y$2*((-2*10^-6)*Y97^3+0.00032*Y97^2-0.0021*Y97)+Z$2*((-2*10^-6)*Z97^3+0.00032*Z97^2-0.0021*Z97)+ AA$2*((-2*10^-6)*AA97^3+0.00032*AA97^2-0.0021*AA97))</f>
        <v>1.0006110000000001</v>
      </c>
      <c r="AL97" s="6">
        <f>(AB$1*AB97+AC$1*AC97)/100</f>
        <v>0.8640000000000001</v>
      </c>
      <c r="AM97" s="6">
        <f>AD$1*((-2*10^-6)*AD97^3+0.00032*AD97^2-0.0021*AD97)+AE$1*((-2*10^-6)*AE97^3+0.00032*AE97^2-0.0021*AE97)+AF$1*((-2*10^-6)*AF97^3+0.00032*AF97^2-0.0021*AF97)+AG$1*((-2*10^-6)*AG97^3+0.00032*AG97^2-0.0021*AG97)</f>
        <v>0.12579320000000005</v>
      </c>
    </row>
    <row r="98" spans="1:39" ht="15" thickBot="1" x14ac:dyDescent="0.35">
      <c r="A98" s="6">
        <f>(AI98*H$3+AJ98*M$3+AK98*W$3+AL98*AB$3+AM98*AD$3)*100/(AI$5*H$3+AJ$5*M$3+AK$5*W$3+AL$5*AB$3+AM$5*AD$3)</f>
        <v>25.651122981885457</v>
      </c>
      <c r="B98" s="18">
        <v>195</v>
      </c>
      <c r="C98" s="12" t="s">
        <v>223</v>
      </c>
      <c r="D98" s="19" t="s">
        <v>4</v>
      </c>
      <c r="E98" s="19" t="s">
        <v>19</v>
      </c>
      <c r="F98" s="19" t="s">
        <v>19</v>
      </c>
      <c r="G98" s="19">
        <v>18</v>
      </c>
      <c r="H98" s="19">
        <v>0</v>
      </c>
      <c r="I98" s="19">
        <v>43</v>
      </c>
      <c r="J98" s="19">
        <v>34</v>
      </c>
      <c r="K98" s="19">
        <v>17</v>
      </c>
      <c r="L98" s="19">
        <v>54</v>
      </c>
      <c r="M98" s="19">
        <v>20</v>
      </c>
      <c r="N98" s="19">
        <v>0</v>
      </c>
      <c r="O98" s="19">
        <v>13</v>
      </c>
      <c r="P98" s="19">
        <v>35</v>
      </c>
      <c r="Q98" s="18">
        <v>195</v>
      </c>
      <c r="R98" s="12" t="s">
        <v>223</v>
      </c>
      <c r="S98" s="19" t="s">
        <v>4</v>
      </c>
      <c r="T98" s="19" t="s">
        <v>19</v>
      </c>
      <c r="U98" s="19" t="s">
        <v>19</v>
      </c>
      <c r="V98" s="19">
        <v>18</v>
      </c>
      <c r="W98" s="19">
        <v>31</v>
      </c>
      <c r="X98" s="19">
        <v>20</v>
      </c>
      <c r="Y98" s="19">
        <v>20</v>
      </c>
      <c r="Z98" s="19">
        <v>26</v>
      </c>
      <c r="AA98" s="19">
        <v>12</v>
      </c>
      <c r="AB98" s="19">
        <v>75</v>
      </c>
      <c r="AC98" s="19">
        <v>78</v>
      </c>
      <c r="AD98" s="19">
        <v>24</v>
      </c>
      <c r="AE98" s="19">
        <v>53</v>
      </c>
      <c r="AF98" s="19">
        <v>65</v>
      </c>
      <c r="AG98" s="19">
        <v>76</v>
      </c>
      <c r="AH98" s="19">
        <v>35</v>
      </c>
      <c r="AI98" s="6">
        <f>H$1*((-2*10^-6)*H98^3+0.00032*H98^2-0.0021*H98)+I$1*((-2*10^-6)*I98^3+0.00032*I98^2-0.0021*I98)+J$1*((-2*10^-6)*J98^3+0.00032*J98^2-0.0021*J98)+K$1*((-2*10^-6)*K98^3+0.00032*K98^2-0.0021*K98)+L$1*((-2*10^-6)*L98^3+0.00032*L98^2-0.0021*L98)</f>
        <v>1.9647848000000008</v>
      </c>
      <c r="AJ98" s="6">
        <f>(M$1*M98+N$1*N98+O$1*O98)/100</f>
        <v>0.21299999999999999</v>
      </c>
      <c r="AK98" s="6">
        <f>IF(AA98&lt;50,W$1*((-2*10^-6)*W98^3+0.00032*W98^2-0.0021*W98)+X$1*((-2*10^-6)*X98^3+0.00032*X98^2-0.0021*X98)+Y$1*((-2*10^-6)*Y98^3+0.00032*Y98^2-0.0021*Y98)+Z$1*((-2*10^-6)*Z98^3+0.00032*Z98^2-0.0021*Z98),X$2*((-2*10^-6)*X98^3+0.00032*X98^2-0.0021*AA98)+Y$2*((-2*10^-6)*Y98^3+0.00032*Y98^2-0.0021*Y98)+Z$2*((-2*10^-6)*Z98^3+0.00032*Z98^2-0.0021*Z98)+ AA$2*((-2*10^-6)*AA98^3+0.00032*AA98^2-0.0021*AA98))</f>
        <v>0.44940600000000003</v>
      </c>
      <c r="AL98" s="6">
        <f>(AB$1*AB98+AC$1*AC98)/100</f>
        <v>0.75599999999999989</v>
      </c>
      <c r="AM98" s="6">
        <f>AD$1*((-2*10^-6)*AD98^3+0.00032*AD98^2-0.0021*AD98)+AE$1*((-2*10^-6)*AE98^3+0.00032*AE98^2-0.0021*AE98)+AF$1*((-2*10^-6)*AF98^3+0.00032*AF98^2-0.0021*AF98)+AG$1*((-2*10^-6)*AG98^3+0.00032*AG98^2-0.0021*AG98)</f>
        <v>0.30295640000000007</v>
      </c>
    </row>
    <row r="99" spans="1:39" ht="15" thickBot="1" x14ac:dyDescent="0.35">
      <c r="A99" s="6">
        <f>(AI99*H$3+AJ99*M$3+AK99*W$3+AL99*AB$3+AM99*AD$3)*100/(AI$5*H$3+AJ$5*M$3+AK$5*W$3+AL$5*AB$3+AM$5*AD$3)</f>
        <v>25.563287027365771</v>
      </c>
      <c r="B99" s="20">
        <v>148</v>
      </c>
      <c r="C99" s="13" t="s">
        <v>176</v>
      </c>
      <c r="D99" s="21" t="s">
        <v>9</v>
      </c>
      <c r="E99" s="21" t="s">
        <v>19</v>
      </c>
      <c r="F99" s="21" t="s">
        <v>19</v>
      </c>
      <c r="G99" s="21">
        <v>18</v>
      </c>
      <c r="H99" s="21">
        <v>23</v>
      </c>
      <c r="I99" s="21">
        <v>12</v>
      </c>
      <c r="J99" s="21">
        <v>30</v>
      </c>
      <c r="K99" s="21">
        <v>10</v>
      </c>
      <c r="L99" s="21">
        <v>32</v>
      </c>
      <c r="M99" s="21">
        <v>47</v>
      </c>
      <c r="N99" s="21">
        <v>67</v>
      </c>
      <c r="O99" s="21">
        <v>69</v>
      </c>
      <c r="P99" s="21">
        <v>43</v>
      </c>
      <c r="Q99" s="20">
        <v>148</v>
      </c>
      <c r="R99" s="13" t="s">
        <v>176</v>
      </c>
      <c r="S99" s="21" t="s">
        <v>9</v>
      </c>
      <c r="T99" s="21" t="s">
        <v>19</v>
      </c>
      <c r="U99" s="21" t="s">
        <v>19</v>
      </c>
      <c r="V99" s="21">
        <v>18</v>
      </c>
      <c r="W99" s="21">
        <v>67</v>
      </c>
      <c r="X99" s="21">
        <v>42</v>
      </c>
      <c r="Y99" s="21">
        <v>40</v>
      </c>
      <c r="Z99" s="21">
        <v>43</v>
      </c>
      <c r="AA99" s="21">
        <v>4</v>
      </c>
      <c r="AB99" s="21">
        <v>92</v>
      </c>
      <c r="AC99" s="21">
        <v>69</v>
      </c>
      <c r="AD99" s="21">
        <v>73</v>
      </c>
      <c r="AE99" s="21">
        <v>38</v>
      </c>
      <c r="AF99" s="21">
        <v>84</v>
      </c>
      <c r="AG99" s="21">
        <v>60</v>
      </c>
      <c r="AH99" s="21">
        <v>43</v>
      </c>
      <c r="AI99" s="6">
        <f>H$1*((-2*10^-6)*H99^3+0.00032*H99^2-0.0021*H99)+I$1*((-2*10^-6)*I99^3+0.00032*I99^2-0.0021*I99)+J$1*((-2*10^-6)*J99^3+0.00032*J99^2-0.0021*J99)+K$1*((-2*10^-6)*K99^3+0.00032*K99^2-0.0021*K99)+L$1*((-2*10^-6)*L99^3+0.00032*L99^2-0.0021*L99)</f>
        <v>0.67017080000000018</v>
      </c>
      <c r="AJ99" s="6">
        <f>(M$1*M99+N$1*N99+O$1*O99)/100</f>
        <v>0.67299999999999993</v>
      </c>
      <c r="AK99" s="6">
        <f>IF(AA99&lt;50,W$1*((-2*10^-6)*W99^3+0.00032*W99^2-0.0021*W99)+X$1*((-2*10^-6)*X99^3+0.00032*X99^2-0.0021*X99)+Y$1*((-2*10^-6)*Y99^3+0.00032*Y99^2-0.0021*Y99)+Z$1*((-2*10^-6)*Z99^3+0.00032*Z99^2-0.0021*Z99),X$2*((-2*10^-6)*X99^3+0.00032*X99^2-0.0021*AA99)+Y$2*((-2*10^-6)*Y99^3+0.00032*Y99^2-0.0021*Y99)+Z$2*((-2*10^-6)*Z99^3+0.00032*Z99^2-0.0021*Z99)+ AA$2*((-2*10^-6)*AA99^3+0.00032*AA99^2-0.0021*AA99))</f>
        <v>1.6647240000000005</v>
      </c>
      <c r="AL99" s="6">
        <f>(AB$1*AB99+AC$1*AC99)/100</f>
        <v>0.87400000000000011</v>
      </c>
      <c r="AM99" s="6">
        <f>AD$1*((-2*10^-6)*AD99^3+0.00032*AD99^2-0.0021*AD99)+AE$1*((-2*10^-6)*AE99^3+0.00032*AE99^2-0.0021*AE99)+AF$1*((-2*10^-6)*AF99^3+0.00032*AF99^2-0.0021*AF99)+AG$1*((-2*10^-6)*AG99^3+0.00032*AG99^2-0.0021*AG99)</f>
        <v>0.95021080000000013</v>
      </c>
    </row>
    <row r="100" spans="1:39" ht="15" thickBot="1" x14ac:dyDescent="0.35">
      <c r="A100" s="6">
        <f>(AI100*H$3+AJ100*M$3+AK100*W$3+AL100*AB$3+AM100*AD$3)*100/(AI$5*H$3+AJ$5*M$3+AK$5*W$3+AL$5*AB$3+AM$5*AD$3)</f>
        <v>25.387204930018793</v>
      </c>
      <c r="B100" s="18">
        <v>141</v>
      </c>
      <c r="C100" s="12" t="s">
        <v>169</v>
      </c>
      <c r="D100" s="19" t="s">
        <v>9</v>
      </c>
      <c r="E100" s="19" t="s">
        <v>20</v>
      </c>
      <c r="F100" s="19" t="s">
        <v>20</v>
      </c>
      <c r="G100" s="19">
        <v>18</v>
      </c>
      <c r="H100" s="19">
        <v>42</v>
      </c>
      <c r="I100" s="19">
        <v>11</v>
      </c>
      <c r="J100" s="19">
        <v>20</v>
      </c>
      <c r="K100" s="19">
        <v>13</v>
      </c>
      <c r="L100" s="19">
        <v>35</v>
      </c>
      <c r="M100" s="19">
        <v>72</v>
      </c>
      <c r="N100" s="19">
        <v>72</v>
      </c>
      <c r="O100" s="19">
        <v>41</v>
      </c>
      <c r="P100" s="19">
        <v>44</v>
      </c>
      <c r="Q100" s="18">
        <v>141</v>
      </c>
      <c r="R100" s="12" t="s">
        <v>169</v>
      </c>
      <c r="S100" s="19" t="s">
        <v>9</v>
      </c>
      <c r="T100" s="19" t="s">
        <v>20</v>
      </c>
      <c r="U100" s="19" t="s">
        <v>20</v>
      </c>
      <c r="V100" s="19">
        <v>18</v>
      </c>
      <c r="W100" s="19">
        <v>56</v>
      </c>
      <c r="X100" s="19">
        <v>44</v>
      </c>
      <c r="Y100" s="19">
        <v>36</v>
      </c>
      <c r="Z100" s="19">
        <v>32</v>
      </c>
      <c r="AA100" s="19">
        <v>10</v>
      </c>
      <c r="AB100" s="19">
        <v>91</v>
      </c>
      <c r="AC100" s="19">
        <v>52</v>
      </c>
      <c r="AD100" s="19">
        <v>65</v>
      </c>
      <c r="AE100" s="19">
        <v>62</v>
      </c>
      <c r="AF100" s="19">
        <v>8</v>
      </c>
      <c r="AG100" s="19">
        <v>35</v>
      </c>
      <c r="AH100" s="19">
        <v>44</v>
      </c>
      <c r="AI100" s="6">
        <f>H$1*((-2*10^-6)*H100^3+0.00032*H100^2-0.0021*H100)+I$1*((-2*10^-6)*I100^3+0.00032*I100^2-0.0021*I100)+J$1*((-2*10^-6)*J100^3+0.00032*J100^2-0.0021*J100)+K$1*((-2*10^-6)*K100^3+0.00032*K100^2-0.0021*K100)+L$1*((-2*10^-6)*L100^3+0.00032*L100^2-0.0021*L100)</f>
        <v>0.92597880000000021</v>
      </c>
      <c r="AJ100" s="6">
        <f>(M$1*M100+N$1*N100+O$1*O100)/100</f>
        <v>0.90500000000000003</v>
      </c>
      <c r="AK100" s="6">
        <f>IF(AA100&lt;50,W$1*((-2*10^-6)*W100^3+0.00032*W100^2-0.0021*W100)+X$1*((-2*10^-6)*X100^3+0.00032*X100^2-0.0021*X100)+Y$1*((-2*10^-6)*Y100^3+0.00032*Y100^2-0.0021*Y100)+Z$1*((-2*10^-6)*Z100^3+0.00032*Z100^2-0.0021*Z100),X$2*((-2*10^-6)*X100^3+0.00032*X100^2-0.0021*AA100)+Y$2*((-2*10^-6)*Y100^3+0.00032*Y100^2-0.0021*Y100)+Z$2*((-2*10^-6)*Z100^3+0.00032*Z100^2-0.0021*Z100)+ AA$2*((-2*10^-6)*AA100^3+0.00032*AA100^2-0.0021*AA100))</f>
        <v>1.3321920000000003</v>
      </c>
      <c r="AL100" s="6">
        <f>(AB$1*AB100+AC$1*AC100)/100</f>
        <v>0.83200000000000007</v>
      </c>
      <c r="AM100" s="6">
        <f>AD$1*((-2*10^-6)*AD100^3+0.00032*AD100^2-0.0021*AD100)+AE$1*((-2*10^-6)*AE100^3+0.00032*AE100^2-0.0021*AE100)+AF$1*((-2*10^-6)*AF100^3+0.00032*AF100^2-0.0021*AF100)+AG$1*((-2*10^-6)*AG100^3+0.00032*AG100^2-0.0021*AG100)</f>
        <v>0.75211300000000014</v>
      </c>
    </row>
    <row r="101" spans="1:39" ht="15" thickBot="1" x14ac:dyDescent="0.35">
      <c r="A101" s="6">
        <f>(AI101*H$3+AJ101*M$3+AK101*W$3+AL101*AB$3+AM101*AD$3)*100/(AI$5*H$3+AJ$5*M$3+AK$5*W$3+AL$5*AB$3+AM$5*AD$3)</f>
        <v>25.320263660509113</v>
      </c>
      <c r="B101" s="18">
        <v>171</v>
      </c>
      <c r="C101" s="12" t="s">
        <v>199</v>
      </c>
      <c r="D101" s="19" t="s">
        <v>16</v>
      </c>
      <c r="E101" s="19" t="s">
        <v>21</v>
      </c>
      <c r="F101" s="19" t="s">
        <v>20</v>
      </c>
      <c r="G101" s="19">
        <v>21</v>
      </c>
      <c r="H101" s="19">
        <v>42</v>
      </c>
      <c r="I101" s="19">
        <v>0</v>
      </c>
      <c r="J101" s="19">
        <v>1</v>
      </c>
      <c r="K101" s="19">
        <v>25</v>
      </c>
      <c r="L101" s="19">
        <v>32</v>
      </c>
      <c r="M101" s="19">
        <v>0</v>
      </c>
      <c r="N101" s="19">
        <v>57</v>
      </c>
      <c r="O101" s="19">
        <v>46</v>
      </c>
      <c r="P101" s="19">
        <v>47</v>
      </c>
      <c r="Q101" s="18">
        <v>171</v>
      </c>
      <c r="R101" s="12" t="s">
        <v>199</v>
      </c>
      <c r="S101" s="19" t="s">
        <v>16</v>
      </c>
      <c r="T101" s="19" t="s">
        <v>21</v>
      </c>
      <c r="U101" s="19" t="s">
        <v>20</v>
      </c>
      <c r="V101" s="19">
        <v>21</v>
      </c>
      <c r="W101" s="19">
        <v>60</v>
      </c>
      <c r="X101" s="19">
        <v>1</v>
      </c>
      <c r="Y101" s="19">
        <v>75</v>
      </c>
      <c r="Z101" s="19">
        <v>46</v>
      </c>
      <c r="AA101" s="19">
        <v>44</v>
      </c>
      <c r="AB101" s="19">
        <v>66</v>
      </c>
      <c r="AC101" s="19">
        <v>100</v>
      </c>
      <c r="AD101" s="19">
        <v>34</v>
      </c>
      <c r="AE101" s="19">
        <v>74</v>
      </c>
      <c r="AF101" s="19">
        <v>84</v>
      </c>
      <c r="AG101" s="19">
        <v>86</v>
      </c>
      <c r="AH101" s="19">
        <v>47</v>
      </c>
      <c r="AI101" s="6">
        <f>H$1*((-2*10^-6)*H101^3+0.00032*H101^2-0.0021*H101)+I$1*((-2*10^-6)*I101^3+0.00032*I101^2-0.0021*I101)+J$1*((-2*10^-6)*J101^3+0.00032*J101^2-0.0021*J101)+K$1*((-2*10^-6)*K101^3+0.00032*K101^2-0.0021*K101)+L$1*((-2*10^-6)*L101^3+0.00032*L101^2-0.0021*L101)</f>
        <v>0.84891160000000032</v>
      </c>
      <c r="AJ101" s="6">
        <f>(M$1*M101+N$1*N101+O$1*O101)/100</f>
        <v>0.16</v>
      </c>
      <c r="AK101" s="6">
        <f>IF(AA101&lt;50,W$1*((-2*10^-6)*W101^3+0.00032*W101^2-0.0021*W101)+X$1*((-2*10^-6)*X101^3+0.00032*X101^2-0.0021*X101)+Y$1*((-2*10^-6)*Y101^3+0.00032*Y101^2-0.0021*Y101)+Z$1*((-2*10^-6)*Z101^3+0.00032*Z101^2-0.0021*Z101),X$2*((-2*10^-6)*X101^3+0.00032*X101^2-0.0021*AA101)+Y$2*((-2*10^-6)*Y101^3+0.00032*Y101^2-0.0021*Y101)+Z$2*((-2*10^-6)*Z101^3+0.00032*Z101^2-0.0021*Z101)+ AA$2*((-2*10^-6)*AA101^3+0.00032*AA101^2-0.0021*AA101))</f>
        <v>1.7768160000000006</v>
      </c>
      <c r="AL101" s="6">
        <f>(AB$1*AB101+AC$1*AC101)/100</f>
        <v>0.72800000000000009</v>
      </c>
      <c r="AM101" s="6">
        <f>AD$1*((-2*10^-6)*AD101^3+0.00032*AD101^2-0.0021*AD101)+AE$1*((-2*10^-6)*AE101^3+0.00032*AE101^2-0.0021*AE101)+AF$1*((-2*10^-6)*AF101^3+0.00032*AF101^2-0.0021*AF101)+AG$1*((-2*10^-6)*AG101^3+0.00032*AG101^2-0.0021*AG101)</f>
        <v>0.47957120000000014</v>
      </c>
    </row>
    <row r="102" spans="1:39" ht="15" thickBot="1" x14ac:dyDescent="0.35">
      <c r="A102" s="6">
        <f>(AI102*H$3+AJ102*M$3+AK102*W$3+AL102*AB$3+AM102*AD$3)*100/(AI$5*H$3+AJ$5*M$3+AK$5*W$3+AL$5*AB$3+AM$5*AD$3)</f>
        <v>24.093379838252403</v>
      </c>
      <c r="B102" s="18">
        <v>169</v>
      </c>
      <c r="C102" s="12" t="s">
        <v>197</v>
      </c>
      <c r="D102" s="19" t="s">
        <v>16</v>
      </c>
      <c r="E102" s="19" t="s">
        <v>19</v>
      </c>
      <c r="F102" s="19" t="s">
        <v>19</v>
      </c>
      <c r="G102" s="19">
        <v>22</v>
      </c>
      <c r="H102" s="19">
        <v>39</v>
      </c>
      <c r="I102" s="19">
        <v>0</v>
      </c>
      <c r="J102" s="19">
        <v>0</v>
      </c>
      <c r="K102" s="19">
        <v>23</v>
      </c>
      <c r="L102" s="19">
        <v>25</v>
      </c>
      <c r="M102" s="19">
        <v>0</v>
      </c>
      <c r="N102" s="19">
        <v>50</v>
      </c>
      <c r="O102" s="19">
        <v>35</v>
      </c>
      <c r="P102" s="19">
        <v>49</v>
      </c>
      <c r="Q102" s="18">
        <v>169</v>
      </c>
      <c r="R102" s="12" t="s">
        <v>197</v>
      </c>
      <c r="S102" s="19" t="s">
        <v>16</v>
      </c>
      <c r="T102" s="19" t="s">
        <v>19</v>
      </c>
      <c r="U102" s="19" t="s">
        <v>19</v>
      </c>
      <c r="V102" s="19">
        <v>22</v>
      </c>
      <c r="W102" s="19">
        <v>67</v>
      </c>
      <c r="X102" s="19">
        <v>25</v>
      </c>
      <c r="Y102" s="19">
        <v>65</v>
      </c>
      <c r="Z102" s="19">
        <v>42</v>
      </c>
      <c r="AA102" s="19">
        <v>33</v>
      </c>
      <c r="AB102" s="19">
        <v>92</v>
      </c>
      <c r="AC102" s="19">
        <v>100</v>
      </c>
      <c r="AD102" s="19">
        <v>32</v>
      </c>
      <c r="AE102" s="19">
        <v>97</v>
      </c>
      <c r="AF102" s="19">
        <v>76</v>
      </c>
      <c r="AG102" s="19">
        <v>100</v>
      </c>
      <c r="AH102" s="19">
        <v>49</v>
      </c>
      <c r="AI102" s="6">
        <f>H$1*((-2*10^-6)*H102^3+0.00032*H102^2-0.0021*H102)+I$1*((-2*10^-6)*I102^3+0.00032*I102^2-0.0021*I102)+J$1*((-2*10^-6)*J102^3+0.00032*J102^2-0.0021*J102)+K$1*((-2*10^-6)*K102^3+0.00032*K102^2-0.0021*K102)+L$1*((-2*10^-6)*L102^3+0.00032*L102^2-0.0021*L102)</f>
        <v>0.61924880000000015</v>
      </c>
      <c r="AJ102" s="6">
        <f>(M$1*M102+N$1*N102+O$1*O102)/100</f>
        <v>0.13500000000000001</v>
      </c>
      <c r="AK102" s="6">
        <f>IF(AA102&lt;50,W$1*((-2*10^-6)*W102^3+0.00032*W102^2-0.0021*W102)+X$1*((-2*10^-6)*X102^3+0.00032*X102^2-0.0021*X102)+Y$1*((-2*10^-6)*Y102^3+0.00032*Y102^2-0.0021*Y102)+Z$1*((-2*10^-6)*Z102^3+0.00032*Z102^2-0.0021*Z102),X$2*((-2*10^-6)*X102^3+0.00032*X102^2-0.0021*AA102)+Y$2*((-2*10^-6)*Y102^3+0.00032*Y102^2-0.0021*Y102)+Z$2*((-2*10^-6)*Z102^3+0.00032*Z102^2-0.0021*Z102)+ AA$2*((-2*10^-6)*AA102^3+0.00032*AA102^2-0.0021*AA102))</f>
        <v>1.8048580000000003</v>
      </c>
      <c r="AL102" s="6">
        <f>(AB$1*AB102+AC$1*AC102)/100</f>
        <v>0.93600000000000005</v>
      </c>
      <c r="AM102" s="6">
        <f>AD$1*((-2*10^-6)*AD102^3+0.00032*AD102^2-0.0021*AD102)+AE$1*((-2*10^-6)*AE102^3+0.00032*AE102^2-0.0021*AE102)+AF$1*((-2*10^-6)*AF102^3+0.00032*AF102^2-0.0021*AF102)+AG$1*((-2*10^-6)*AG102^3+0.00032*AG102^2-0.0021*AG102)</f>
        <v>0.47320420000000013</v>
      </c>
    </row>
    <row r="103" spans="1:39" ht="15" thickBot="1" x14ac:dyDescent="0.35">
      <c r="A103" s="6">
        <f>(AI103*H$3+AJ103*M$3+AK103*W$3+AL103*AB$3+AM103*AD$3)*100/(AI$5*H$3+AJ$5*M$3+AK$5*W$3+AL$5*AB$3+AM$5*AD$3)</f>
        <v>24.020866483631252</v>
      </c>
      <c r="B103" s="18">
        <v>143</v>
      </c>
      <c r="C103" s="12" t="s">
        <v>171</v>
      </c>
      <c r="D103" s="19" t="s">
        <v>9</v>
      </c>
      <c r="E103" s="19" t="s">
        <v>19</v>
      </c>
      <c r="F103" s="19" t="s">
        <v>19</v>
      </c>
      <c r="G103" s="19">
        <v>18</v>
      </c>
      <c r="H103" s="19">
        <v>34</v>
      </c>
      <c r="I103" s="19">
        <v>1</v>
      </c>
      <c r="J103" s="19">
        <v>30</v>
      </c>
      <c r="K103" s="19">
        <v>14</v>
      </c>
      <c r="L103" s="19">
        <v>33</v>
      </c>
      <c r="M103" s="19">
        <v>75</v>
      </c>
      <c r="N103" s="19">
        <v>76</v>
      </c>
      <c r="O103" s="19">
        <v>65</v>
      </c>
      <c r="P103" s="19">
        <v>44</v>
      </c>
      <c r="Q103" s="18">
        <v>143</v>
      </c>
      <c r="R103" s="12" t="s">
        <v>171</v>
      </c>
      <c r="S103" s="19" t="s">
        <v>9</v>
      </c>
      <c r="T103" s="19" t="s">
        <v>19</v>
      </c>
      <c r="U103" s="19" t="s">
        <v>19</v>
      </c>
      <c r="V103" s="19">
        <v>18</v>
      </c>
      <c r="W103" s="19">
        <v>43</v>
      </c>
      <c r="X103" s="19">
        <v>36</v>
      </c>
      <c r="Y103" s="19">
        <v>50</v>
      </c>
      <c r="Z103" s="19">
        <v>32</v>
      </c>
      <c r="AA103" s="19">
        <v>8</v>
      </c>
      <c r="AB103" s="19">
        <v>88</v>
      </c>
      <c r="AC103" s="19">
        <v>67</v>
      </c>
      <c r="AD103" s="19">
        <v>76</v>
      </c>
      <c r="AE103" s="19">
        <v>61</v>
      </c>
      <c r="AF103" s="19">
        <v>29</v>
      </c>
      <c r="AG103" s="19">
        <v>64</v>
      </c>
      <c r="AH103" s="19">
        <v>44</v>
      </c>
      <c r="AI103" s="6">
        <f>H$1*((-2*10^-6)*H103^3+0.00032*H103^2-0.0021*H103)+I$1*((-2*10^-6)*I103^3+0.00032*I103^2-0.0021*I103)+J$1*((-2*10^-6)*J103^3+0.00032*J103^2-0.0021*J103)+K$1*((-2*10^-6)*K103^3+0.00032*K103^2-0.0021*K103)+L$1*((-2*10^-6)*L103^3+0.00032*L103^2-0.0021*L103)</f>
        <v>0.79728680000000007</v>
      </c>
      <c r="AJ103" s="6">
        <f>(M$1*M103+N$1*N103+O$1*O103)/100</f>
        <v>0.96700000000000008</v>
      </c>
      <c r="AK103" s="6">
        <f>IF(AA103&lt;50,W$1*((-2*10^-6)*W103^3+0.00032*W103^2-0.0021*W103)+X$1*((-2*10^-6)*X103^3+0.00032*X103^2-0.0021*X103)+Y$1*((-2*10^-6)*Y103^3+0.00032*Y103^2-0.0021*Y103)+Z$1*((-2*10^-6)*Z103^3+0.00032*Z103^2-0.0021*Z103),X$2*((-2*10^-6)*X103^3+0.00032*X103^2-0.0021*AA103)+Y$2*((-2*10^-6)*Y103^3+0.00032*Y103^2-0.0021*Y103)+Z$2*((-2*10^-6)*Z103^3+0.00032*Z103^2-0.0021*Z103)+ AA$2*((-2*10^-6)*AA103^3+0.00032*AA103^2-0.0021*AA103))</f>
        <v>1.2281180000000003</v>
      </c>
      <c r="AL103" s="6">
        <f>(AB$1*AB103+AC$1*AC103)/100</f>
        <v>0.83800000000000008</v>
      </c>
      <c r="AM103" s="6">
        <f>AD$1*((-2*10^-6)*AD103^3+0.00032*AD103^2-0.0021*AD103)+AE$1*((-2*10^-6)*AE103^3+0.00032*AE103^2-0.0021*AE103)+AF$1*((-2*10^-6)*AF103^3+0.00032*AF103^2-0.0021*AF103)+AG$1*((-2*10^-6)*AG103^3+0.00032*AG103^2-0.0021*AG103)</f>
        <v>0.95278120000000022</v>
      </c>
    </row>
    <row r="104" spans="1:39" ht="15" thickBot="1" x14ac:dyDescent="0.35">
      <c r="A104" s="6">
        <f>(AI104*H$3+AJ104*M$3+AK104*W$3+AL104*AB$3+AM104*AD$3)*100/(AI$5*H$3+AJ$5*M$3+AK$5*W$3+AL$5*AB$3+AM$5*AD$3)</f>
        <v>23.760556417678828</v>
      </c>
      <c r="B104" s="20">
        <v>114</v>
      </c>
      <c r="C104" s="13" t="s">
        <v>142</v>
      </c>
      <c r="D104" s="21" t="s">
        <v>7</v>
      </c>
      <c r="E104" s="21" t="s">
        <v>19</v>
      </c>
      <c r="F104" s="21" t="s">
        <v>19</v>
      </c>
      <c r="G104" s="21">
        <v>18</v>
      </c>
      <c r="H104" s="21">
        <v>7</v>
      </c>
      <c r="I104" s="21">
        <v>21</v>
      </c>
      <c r="J104" s="21">
        <v>37</v>
      </c>
      <c r="K104" s="21">
        <v>44</v>
      </c>
      <c r="L104" s="21">
        <v>21</v>
      </c>
      <c r="M104" s="21">
        <v>41</v>
      </c>
      <c r="N104" s="21">
        <v>59</v>
      </c>
      <c r="O104" s="21">
        <v>39</v>
      </c>
      <c r="P104" s="21">
        <v>43</v>
      </c>
      <c r="Q104" s="20">
        <v>114</v>
      </c>
      <c r="R104" s="13" t="s">
        <v>142</v>
      </c>
      <c r="S104" s="21" t="s">
        <v>7</v>
      </c>
      <c r="T104" s="21" t="s">
        <v>19</v>
      </c>
      <c r="U104" s="21" t="s">
        <v>19</v>
      </c>
      <c r="V104" s="21">
        <v>18</v>
      </c>
      <c r="W104" s="21">
        <v>14</v>
      </c>
      <c r="X104" s="21">
        <v>36</v>
      </c>
      <c r="Y104" s="21">
        <v>74</v>
      </c>
      <c r="Z104" s="21">
        <v>83</v>
      </c>
      <c r="AA104" s="21">
        <v>84</v>
      </c>
      <c r="AB104" s="21">
        <v>72</v>
      </c>
      <c r="AC104" s="21">
        <v>93</v>
      </c>
      <c r="AD104" s="21">
        <v>30</v>
      </c>
      <c r="AE104" s="21">
        <v>69</v>
      </c>
      <c r="AF104" s="21">
        <v>14</v>
      </c>
      <c r="AG104" s="21">
        <v>47</v>
      </c>
      <c r="AH104" s="21">
        <v>43</v>
      </c>
      <c r="AI104" s="6">
        <f>H$1*((-2*10^-6)*H104^3+0.00032*H104^2-0.0021*H104)+I$1*((-2*10^-6)*I104^3+0.00032*I104^2-0.0021*I104)+J$1*((-2*10^-6)*J104^3+0.00032*J104^2-0.0021*J104)+K$1*((-2*10^-6)*K104^3+0.00032*K104^2-0.0021*K104)+L$1*((-2*10^-6)*L104^3+0.00032*L104^2-0.0021*L104)</f>
        <v>0.77083160000000028</v>
      </c>
      <c r="AJ104" s="6">
        <f>(M$1*M104+N$1*N104+O$1*O104)/100</f>
        <v>0.56699999999999995</v>
      </c>
      <c r="AK104" s="6">
        <f>IF(AA104&lt;50,W$1*((-2*10^-6)*W104^3+0.00032*W104^2-0.0021*W104)+X$1*((-2*10^-6)*X104^3+0.00032*X104^2-0.0021*X104)+Y$1*((-2*10^-6)*Y104^3+0.00032*Y104^2-0.0021*Y104)+Z$1*((-2*10^-6)*Z104^3+0.00032*Z104^2-0.0021*Z104),X$2*((-2*10^-6)*X104^3+0.00032*X104^2-0.0021*AA104)+Y$2*((-2*10^-6)*Y104^3+0.00032*Y104^2-0.0021*Y104)+Z$2*((-2*10^-6)*Z104^3+0.00032*Z104^2-0.0021*Z104)+ AA$2*((-2*10^-6)*AA104^3+0.00032*AA104^2-0.0021*AA104))</f>
        <v>1.5843314000000004</v>
      </c>
      <c r="AL104" s="6">
        <f>(AB$1*AB104+AC$1*AC104)/100</f>
        <v>0.76200000000000001</v>
      </c>
      <c r="AM104" s="6">
        <f>AD$1*((-2*10^-6)*AD104^3+0.00032*AD104^2-0.0021*AD104)+AE$1*((-2*10^-6)*AE104^3+0.00032*AE104^2-0.0021*AE104)+AF$1*((-2*10^-6)*AF104^3+0.00032*AF104^2-0.0021*AF104)+AG$1*((-2*10^-6)*AG104^3+0.00032*AG104^2-0.0021*AG104)</f>
        <v>0.28599680000000005</v>
      </c>
    </row>
    <row r="105" spans="1:39" ht="15" thickBot="1" x14ac:dyDescent="0.35">
      <c r="A105" s="6">
        <f>(AI105*H$3+AJ105*M$3+AK105*W$3+AL105*AB$3+AM105*AD$3)*100/(AI$5*H$3+AJ$5*M$3+AK$5*W$3+AL$5*AB$3+AM$5*AD$3)</f>
        <v>23.696345310215165</v>
      </c>
      <c r="B105" s="20">
        <v>156</v>
      </c>
      <c r="C105" s="13" t="s">
        <v>184</v>
      </c>
      <c r="D105" s="21" t="s">
        <v>9</v>
      </c>
      <c r="E105" s="21" t="s">
        <v>21</v>
      </c>
      <c r="F105" s="21" t="s">
        <v>19</v>
      </c>
      <c r="G105" s="21">
        <v>18</v>
      </c>
      <c r="H105" s="21">
        <v>30</v>
      </c>
      <c r="I105" s="21">
        <v>21</v>
      </c>
      <c r="J105" s="21">
        <v>30</v>
      </c>
      <c r="K105" s="21">
        <v>17</v>
      </c>
      <c r="L105" s="21">
        <v>17</v>
      </c>
      <c r="M105" s="21">
        <v>46</v>
      </c>
      <c r="N105" s="21">
        <v>45</v>
      </c>
      <c r="O105" s="21">
        <v>62</v>
      </c>
      <c r="P105" s="21">
        <v>40</v>
      </c>
      <c r="Q105" s="20">
        <v>156</v>
      </c>
      <c r="R105" s="13" t="s">
        <v>184</v>
      </c>
      <c r="S105" s="21" t="s">
        <v>9</v>
      </c>
      <c r="T105" s="21" t="s">
        <v>21</v>
      </c>
      <c r="U105" s="21" t="s">
        <v>19</v>
      </c>
      <c r="V105" s="21">
        <v>18</v>
      </c>
      <c r="W105" s="21">
        <v>55</v>
      </c>
      <c r="X105" s="21">
        <v>41</v>
      </c>
      <c r="Y105" s="21">
        <v>50</v>
      </c>
      <c r="Z105" s="21">
        <v>53</v>
      </c>
      <c r="AA105" s="21">
        <v>13</v>
      </c>
      <c r="AB105" s="21">
        <v>81</v>
      </c>
      <c r="AC105" s="21">
        <v>88</v>
      </c>
      <c r="AD105" s="21">
        <v>29</v>
      </c>
      <c r="AE105" s="21">
        <v>63</v>
      </c>
      <c r="AF105" s="21">
        <v>49</v>
      </c>
      <c r="AG105" s="21">
        <v>60</v>
      </c>
      <c r="AH105" s="21">
        <v>40</v>
      </c>
      <c r="AI105" s="6">
        <f>H$1*((-2*10^-6)*H105^3+0.00032*H105^2-0.0021*H105)+I$1*((-2*10^-6)*I105^3+0.00032*I105^2-0.0021*I105)+J$1*((-2*10^-6)*J105^3+0.00032*J105^2-0.0021*J105)+K$1*((-2*10^-6)*K105^3+0.00032*K105^2-0.0021*K105)+L$1*((-2*10^-6)*L105^3+0.00032*L105^2-0.0021*L105)</f>
        <v>0.57145800000000013</v>
      </c>
      <c r="AJ105" s="6">
        <f>(M$1*M105+N$1*N105+O$1*O105)/100</f>
        <v>0.61199999999999999</v>
      </c>
      <c r="AK105" s="6">
        <f>IF(AA105&lt;50,W$1*((-2*10^-6)*W105^3+0.00032*W105^2-0.0021*W105)+X$1*((-2*10^-6)*X105^3+0.00032*X105^2-0.0021*X105)+Y$1*((-2*10^-6)*Y105^3+0.00032*Y105^2-0.0021*Y105)+Z$1*((-2*10^-6)*Z105^3+0.00032*Z105^2-0.0021*Z105),X$2*((-2*10^-6)*X105^3+0.00032*X105^2-0.0021*AA105)+Y$2*((-2*10^-6)*Y105^3+0.00032*Y105^2-0.0021*Y105)+Z$2*((-2*10^-6)*Z105^3+0.00032*Z105^2-0.0021*Z105)+ AA$2*((-2*10^-6)*AA105^3+0.00032*AA105^2-0.0021*AA105))</f>
        <v>1.7685540000000004</v>
      </c>
      <c r="AL105" s="6">
        <f>(AB$1*AB105+AC$1*AC105)/100</f>
        <v>0.82400000000000007</v>
      </c>
      <c r="AM105" s="6">
        <f>AD$1*((-2*10^-6)*AD105^3+0.00032*AD105^2-0.0021*AD105)+AE$1*((-2*10^-6)*AE105^3+0.00032*AE105^2-0.0021*AE105)+AF$1*((-2*10^-6)*AF105^3+0.00032*AF105^2-0.0021*AF105)+AG$1*((-2*10^-6)*AG105^3+0.00032*AG105^2-0.0021*AG105)</f>
        <v>0.32562280000000005</v>
      </c>
    </row>
    <row r="106" spans="1:39" ht="15" thickBot="1" x14ac:dyDescent="0.35">
      <c r="A106" s="6">
        <f>(AI106*H$3+AJ106*M$3+AK106*W$3+AL106*AB$3+AM106*AD$3)*100/(AI$5*H$3+AJ$5*M$3+AK$5*W$3+AL$5*AB$3+AM$5*AD$3)</f>
        <v>23.655091766391113</v>
      </c>
      <c r="B106" s="18">
        <v>7</v>
      </c>
      <c r="C106" s="12" t="s">
        <v>35</v>
      </c>
      <c r="D106" s="19" t="s">
        <v>16</v>
      </c>
      <c r="E106" s="19" t="s">
        <v>19</v>
      </c>
      <c r="F106" s="19" t="s">
        <v>19</v>
      </c>
      <c r="G106" s="19">
        <v>18</v>
      </c>
      <c r="H106" s="19">
        <v>18</v>
      </c>
      <c r="I106" s="19">
        <v>2</v>
      </c>
      <c r="J106" s="19">
        <v>24</v>
      </c>
      <c r="K106" s="19">
        <v>24</v>
      </c>
      <c r="L106" s="19">
        <v>23</v>
      </c>
      <c r="M106" s="19">
        <v>25</v>
      </c>
      <c r="N106" s="19">
        <v>72</v>
      </c>
      <c r="O106" s="19">
        <v>72</v>
      </c>
      <c r="P106" s="19">
        <v>78</v>
      </c>
      <c r="Q106" s="18">
        <v>7</v>
      </c>
      <c r="R106" s="12" t="s">
        <v>35</v>
      </c>
      <c r="S106" s="19" t="s">
        <v>16</v>
      </c>
      <c r="T106" s="19" t="s">
        <v>19</v>
      </c>
      <c r="U106" s="19" t="s">
        <v>19</v>
      </c>
      <c r="V106" s="19">
        <v>18</v>
      </c>
      <c r="W106" s="19">
        <v>44</v>
      </c>
      <c r="X106" s="19">
        <v>26</v>
      </c>
      <c r="Y106" s="19">
        <v>95</v>
      </c>
      <c r="Z106" s="19">
        <v>61</v>
      </c>
      <c r="AA106" s="19">
        <v>16</v>
      </c>
      <c r="AB106" s="19">
        <v>67</v>
      </c>
      <c r="AC106" s="19">
        <v>89</v>
      </c>
      <c r="AD106" s="19">
        <v>20</v>
      </c>
      <c r="AE106" s="19">
        <v>91</v>
      </c>
      <c r="AF106" s="19">
        <v>70</v>
      </c>
      <c r="AG106" s="19">
        <v>76</v>
      </c>
      <c r="AH106" s="19">
        <v>78</v>
      </c>
      <c r="AI106" s="6">
        <f>H$1*((-2*10^-6)*H106^3+0.00032*H106^2-0.0021*H106)+I$1*((-2*10^-6)*I106^3+0.00032*I106^2-0.0021*I106)+J$1*((-2*10^-6)*J106^3+0.00032*J106^2-0.0021*J106)+K$1*((-2*10^-6)*K106^3+0.00032*K106^2-0.0021*K106)+L$1*((-2*10^-6)*L106^3+0.00032*L106^2-0.0021*L106)</f>
        <v>0.40974600000000011</v>
      </c>
      <c r="AJ106" s="6">
        <f>(M$1*M106+N$1*N106+O$1*O106)/100</f>
        <v>0.46600000000000003</v>
      </c>
      <c r="AK106" s="6">
        <f>IF(AA106&lt;50,W$1*((-2*10^-6)*W106^3+0.00032*W106^2-0.0021*W106)+X$1*((-2*10^-6)*X106^3+0.00032*X106^2-0.0021*X106)+Y$1*((-2*10^-6)*Y106^3+0.00032*Y106^2-0.0021*Y106)+Z$1*((-2*10^-6)*Z106^3+0.00032*Z106^2-0.0021*Z106),X$2*((-2*10^-6)*X106^3+0.00032*X106^2-0.0021*AA106)+Y$2*((-2*10^-6)*Y106^3+0.00032*Y106^2-0.0021*Y106)+Z$2*((-2*10^-6)*Z106^3+0.00032*Z106^2-0.0021*Z106)+ AA$2*((-2*10^-6)*AA106^3+0.00032*AA106^2-0.0021*AA106))</f>
        <v>2.0657280000000005</v>
      </c>
      <c r="AL106" s="6">
        <f>(AB$1*AB106+AC$1*AC106)/100</f>
        <v>0.71400000000000008</v>
      </c>
      <c r="AM106" s="6">
        <f>AD$1*((-2*10^-6)*AD106^3+0.00032*AD106^2-0.0021*AD106)+AE$1*((-2*10^-6)*AE106^3+0.00032*AE106^2-0.0021*AE106)+AF$1*((-2*10^-6)*AF106^3+0.00032*AF106^2-0.0021*AF106)+AG$1*((-2*10^-6)*AG106^3+0.00032*AG106^2-0.0021*AG106)</f>
        <v>0.31974460000000005</v>
      </c>
    </row>
    <row r="107" spans="1:39" ht="15" thickBot="1" x14ac:dyDescent="0.35">
      <c r="A107" s="6">
        <f>(AI107*H$3+AJ107*M$3+AK107*W$3+AL107*AB$3+AM107*AD$3)*100/(AI$5*H$3+AJ$5*M$3+AK$5*W$3+AL$5*AB$3+AM$5*AD$3)</f>
        <v>23.140520755617889</v>
      </c>
      <c r="B107" s="18">
        <v>155</v>
      </c>
      <c r="C107" s="12" t="s">
        <v>183</v>
      </c>
      <c r="D107" s="19" t="s">
        <v>6</v>
      </c>
      <c r="E107" s="19" t="s">
        <v>19</v>
      </c>
      <c r="F107" s="19" t="s">
        <v>19</v>
      </c>
      <c r="G107" s="19">
        <v>18</v>
      </c>
      <c r="H107" s="19">
        <v>23</v>
      </c>
      <c r="I107" s="19">
        <v>7</v>
      </c>
      <c r="J107" s="19">
        <v>17</v>
      </c>
      <c r="K107" s="19">
        <v>3</v>
      </c>
      <c r="L107" s="19">
        <v>11</v>
      </c>
      <c r="M107" s="19">
        <v>50</v>
      </c>
      <c r="N107" s="19">
        <v>81</v>
      </c>
      <c r="O107" s="19">
        <v>47</v>
      </c>
      <c r="P107" s="19">
        <v>40</v>
      </c>
      <c r="Q107" s="18">
        <v>155</v>
      </c>
      <c r="R107" s="12" t="s">
        <v>183</v>
      </c>
      <c r="S107" s="19" t="s">
        <v>6</v>
      </c>
      <c r="T107" s="19" t="s">
        <v>19</v>
      </c>
      <c r="U107" s="19" t="s">
        <v>19</v>
      </c>
      <c r="V107" s="19">
        <v>18</v>
      </c>
      <c r="W107" s="19">
        <v>70</v>
      </c>
      <c r="X107" s="19">
        <v>49</v>
      </c>
      <c r="Y107" s="19">
        <v>50</v>
      </c>
      <c r="Z107" s="19">
        <v>52</v>
      </c>
      <c r="AA107" s="19">
        <v>5</v>
      </c>
      <c r="AB107" s="19">
        <v>87</v>
      </c>
      <c r="AC107" s="19">
        <v>92</v>
      </c>
      <c r="AD107" s="19">
        <v>47</v>
      </c>
      <c r="AE107" s="19">
        <v>77</v>
      </c>
      <c r="AF107" s="19">
        <v>12</v>
      </c>
      <c r="AG107" s="19">
        <v>100</v>
      </c>
      <c r="AH107" s="19">
        <v>40</v>
      </c>
      <c r="AI107" s="6">
        <f>H$1*((-2*10^-6)*H107^3+0.00032*H107^2-0.0021*H107)+I$1*((-2*10^-6)*I107^3+0.00032*I107^2-0.0021*I107)+J$1*((-2*10^-6)*J107^3+0.00032*J107^2-0.0021*J107)+K$1*((-2*10^-6)*K107^3+0.00032*K107^2-0.0021*K107)+L$1*((-2*10^-6)*L107^3+0.00032*L107^2-0.0021*L107)</f>
        <v>0.15113480000000004</v>
      </c>
      <c r="AJ107" s="6">
        <f>(M$1*M107+N$1*N107+O$1*O107)/100</f>
        <v>0.70900000000000007</v>
      </c>
      <c r="AK107" s="6">
        <f>IF(AA107&lt;50,W$1*((-2*10^-6)*W107^3+0.00032*W107^2-0.0021*W107)+X$1*((-2*10^-6)*X107^3+0.00032*X107^2-0.0021*X107)+Y$1*((-2*10^-6)*Y107^3+0.00032*Y107^2-0.0021*Y107)+Z$1*((-2*10^-6)*Z107^3+0.00032*Z107^2-0.0021*Z107),X$2*((-2*10^-6)*X107^3+0.00032*X107^2-0.0021*AA107)+Y$2*((-2*10^-6)*Y107^3+0.00032*Y107^2-0.0021*Y107)+Z$2*((-2*10^-6)*Z107^3+0.00032*Z107^2-0.0021*Z107)+ AA$2*((-2*10^-6)*AA107^3+0.00032*AA107^2-0.0021*AA107))</f>
        <v>2.0849860000000007</v>
      </c>
      <c r="AL107" s="6">
        <f>(AB$1*AB107+AC$1*AC107)/100</f>
        <v>0.88000000000000012</v>
      </c>
      <c r="AM107" s="6">
        <f>AD$1*((-2*10^-6)*AD107^3+0.00032*AD107^2-0.0021*AD107)+AE$1*((-2*10^-6)*AE107^3+0.00032*AE107^2-0.0021*AE107)+AF$1*((-2*10^-6)*AF107^3+0.00032*AF107^2-0.0021*AF107)+AG$1*((-2*10^-6)*AG107^3+0.00032*AG107^2-0.0021*AG107)</f>
        <v>0.58352780000000015</v>
      </c>
    </row>
    <row r="108" spans="1:39" ht="15" thickBot="1" x14ac:dyDescent="0.35">
      <c r="A108" s="6">
        <f>(AI108*H$3+AJ108*M$3+AK108*W$3+AL108*AB$3+AM108*AD$3)*100/(AI$5*H$3+AJ$5*M$3+AK$5*W$3+AL$5*AB$3+AM$5*AD$3)</f>
        <v>22.727945029693508</v>
      </c>
      <c r="B108" s="20">
        <v>102</v>
      </c>
      <c r="C108" s="13" t="s">
        <v>130</v>
      </c>
      <c r="D108" s="21" t="s">
        <v>16</v>
      </c>
      <c r="E108" s="21" t="s">
        <v>20</v>
      </c>
      <c r="F108" s="21" t="s">
        <v>20</v>
      </c>
      <c r="G108" s="21">
        <v>18</v>
      </c>
      <c r="H108" s="21">
        <v>15</v>
      </c>
      <c r="I108" s="21">
        <v>1</v>
      </c>
      <c r="J108" s="21">
        <v>15</v>
      </c>
      <c r="K108" s="21">
        <v>37</v>
      </c>
      <c r="L108" s="21">
        <v>15</v>
      </c>
      <c r="M108" s="21">
        <v>24</v>
      </c>
      <c r="N108" s="21">
        <v>84</v>
      </c>
      <c r="O108" s="21">
        <v>52</v>
      </c>
      <c r="P108" s="21">
        <v>50</v>
      </c>
      <c r="Q108" s="20">
        <v>102</v>
      </c>
      <c r="R108" s="13" t="s">
        <v>130</v>
      </c>
      <c r="S108" s="21" t="s">
        <v>16</v>
      </c>
      <c r="T108" s="21" t="s">
        <v>20</v>
      </c>
      <c r="U108" s="21" t="s">
        <v>20</v>
      </c>
      <c r="V108" s="21">
        <v>18</v>
      </c>
      <c r="W108" s="21">
        <v>40</v>
      </c>
      <c r="X108" s="21">
        <v>33</v>
      </c>
      <c r="Y108" s="21">
        <v>57</v>
      </c>
      <c r="Z108" s="21">
        <v>94</v>
      </c>
      <c r="AA108" s="21">
        <v>35</v>
      </c>
      <c r="AB108" s="21">
        <v>63</v>
      </c>
      <c r="AC108" s="21">
        <v>96</v>
      </c>
      <c r="AD108" s="21">
        <v>32</v>
      </c>
      <c r="AE108" s="21">
        <v>45</v>
      </c>
      <c r="AF108" s="21">
        <v>81</v>
      </c>
      <c r="AG108" s="21">
        <v>75</v>
      </c>
      <c r="AH108" s="21">
        <v>50</v>
      </c>
      <c r="AI108" s="6">
        <f>H$1*((-2*10^-6)*H108^3+0.00032*H108^2-0.0021*H108)+I$1*((-2*10^-6)*I108^3+0.00032*I108^2-0.0021*I108)+J$1*((-2*10^-6)*J108^3+0.00032*J108^2-0.0021*J108)+K$1*((-2*10^-6)*K108^3+0.00032*K108^2-0.0021*K108)+L$1*((-2*10^-6)*L108^3+0.00032*L108^2-0.0021*L108)</f>
        <v>0.33194520000000005</v>
      </c>
      <c r="AJ108" s="6">
        <f>(M$1*M108+N$1*N108+O$1*O108)/100</f>
        <v>0.46</v>
      </c>
      <c r="AK108" s="6">
        <f>IF(AA108&lt;50,W$1*((-2*10^-6)*W108^3+0.00032*W108^2-0.0021*W108)+X$1*((-2*10^-6)*X108^3+0.00032*X108^2-0.0021*X108)+Y$1*((-2*10^-6)*Y108^3+0.00032*Y108^2-0.0021*Y108)+Z$1*((-2*10^-6)*Z108^3+0.00032*Z108^2-0.0021*Z108),X$2*((-2*10^-6)*X108^3+0.00032*X108^2-0.0021*AA108)+Y$2*((-2*10^-6)*Y108^3+0.00032*Y108^2-0.0021*Y108)+Z$2*((-2*10^-6)*Z108^3+0.00032*Z108^2-0.0021*Z108)+ AA$2*((-2*10^-6)*AA108^3+0.00032*AA108^2-0.0021*AA108))</f>
        <v>2.0258520000000004</v>
      </c>
      <c r="AL108" s="6">
        <f>(AB$1*AB108+AC$1*AC108)/100</f>
        <v>0.69600000000000006</v>
      </c>
      <c r="AM108" s="6">
        <f>AD$1*((-2*10^-6)*AD108^3+0.00032*AD108^2-0.0021*AD108)+AE$1*((-2*10^-6)*AE108^3+0.00032*AE108^2-0.0021*AE108)+AF$1*((-2*10^-6)*AF108^3+0.00032*AF108^2-0.0021*AF108)+AG$1*((-2*10^-6)*AG108^3+0.00032*AG108^2-0.0021*AG108)</f>
        <v>0.39859780000000011</v>
      </c>
    </row>
    <row r="109" spans="1:39" ht="15" thickBot="1" x14ac:dyDescent="0.35">
      <c r="A109" s="6">
        <f>(AI109*H$3+AJ109*M$3+AK109*W$3+AL109*AB$3+AM109*AD$3)*100/(AI$5*H$3+AJ$5*M$3+AK$5*W$3+AL$5*AB$3+AM$5*AD$3)</f>
        <v>22.283925363335221</v>
      </c>
      <c r="B109" s="18">
        <v>83</v>
      </c>
      <c r="C109" s="12" t="s">
        <v>111</v>
      </c>
      <c r="D109" s="19" t="s">
        <v>16</v>
      </c>
      <c r="E109" s="19" t="s">
        <v>19</v>
      </c>
      <c r="F109" s="19" t="s">
        <v>19</v>
      </c>
      <c r="G109" s="19">
        <v>18</v>
      </c>
      <c r="H109" s="19">
        <v>19</v>
      </c>
      <c r="I109" s="19">
        <v>9</v>
      </c>
      <c r="J109" s="19">
        <v>20</v>
      </c>
      <c r="K109" s="19">
        <v>14</v>
      </c>
      <c r="L109" s="19">
        <v>11</v>
      </c>
      <c r="M109" s="19">
        <v>16</v>
      </c>
      <c r="N109" s="19">
        <v>74</v>
      </c>
      <c r="O109" s="19">
        <v>64</v>
      </c>
      <c r="P109" s="19">
        <v>54</v>
      </c>
      <c r="Q109" s="18">
        <v>83</v>
      </c>
      <c r="R109" s="12" t="s">
        <v>111</v>
      </c>
      <c r="S109" s="19" t="s">
        <v>16</v>
      </c>
      <c r="T109" s="19" t="s">
        <v>19</v>
      </c>
      <c r="U109" s="19" t="s">
        <v>19</v>
      </c>
      <c r="V109" s="19">
        <v>18</v>
      </c>
      <c r="W109" s="19">
        <v>46</v>
      </c>
      <c r="X109" s="19">
        <v>23</v>
      </c>
      <c r="Y109" s="19">
        <v>71</v>
      </c>
      <c r="Z109" s="19">
        <v>85</v>
      </c>
      <c r="AA109" s="19">
        <v>10</v>
      </c>
      <c r="AB109" s="19">
        <v>87</v>
      </c>
      <c r="AC109" s="19">
        <v>71</v>
      </c>
      <c r="AD109" s="19">
        <v>33</v>
      </c>
      <c r="AE109" s="19">
        <v>54</v>
      </c>
      <c r="AF109" s="19">
        <v>41</v>
      </c>
      <c r="AG109" s="19">
        <v>82</v>
      </c>
      <c r="AH109" s="19">
        <v>54</v>
      </c>
      <c r="AI109" s="6">
        <f>H$1*((-2*10^-6)*H109^3+0.00032*H109^2-0.0021*H109)+I$1*((-2*10^-6)*I109^3+0.00032*I109^2-0.0021*I109)+J$1*((-2*10^-6)*J109^3+0.00032*J109^2-0.0021*J109)+K$1*((-2*10^-6)*K109^3+0.00032*K109^2-0.0021*K109)+L$1*((-2*10^-6)*L109^3+0.00032*L109^2-0.0021*L109)</f>
        <v>0.16579920000000004</v>
      </c>
      <c r="AJ109" s="6">
        <f>(M$1*M109+N$1*N109+O$1*O109)/100</f>
        <v>0.37200000000000005</v>
      </c>
      <c r="AK109" s="6">
        <f>IF(AA109&lt;50,W$1*((-2*10^-6)*W109^3+0.00032*W109^2-0.0021*W109)+X$1*((-2*10^-6)*X109^3+0.00032*X109^2-0.0021*X109)+Y$1*((-2*10^-6)*Y109^3+0.00032*Y109^2-0.0021*Y109)+Z$1*((-2*10^-6)*Z109^3+0.00032*Z109^2-0.0021*Z109),X$2*((-2*10^-6)*X109^3+0.00032*X109^2-0.0021*AA109)+Y$2*((-2*10^-6)*Y109^3+0.00032*Y109^2-0.0021*Y109)+Z$2*((-2*10^-6)*Z109^3+0.00032*Z109^2-0.0021*Z109)+ AA$2*((-2*10^-6)*AA109^3+0.00032*AA109^2-0.0021*AA109))</f>
        <v>2.1359420000000009</v>
      </c>
      <c r="AL109" s="6">
        <f>(AB$1*AB109+AC$1*AC109)/100</f>
        <v>0.83800000000000008</v>
      </c>
      <c r="AM109" s="6">
        <f>AD$1*((-2*10^-6)*AD109^3+0.00032*AD109^2-0.0021*AD109)+AE$1*((-2*10^-6)*AE109^3+0.00032*AE109^2-0.0021*AE109)+AF$1*((-2*10^-6)*AF109^3+0.00032*AF109^2-0.0021*AF109)+AG$1*((-2*10^-6)*AG109^3+0.00032*AG109^2-0.0021*AG109)</f>
        <v>0.37685740000000012</v>
      </c>
    </row>
    <row r="110" spans="1:39" ht="15" thickBot="1" x14ac:dyDescent="0.35">
      <c r="A110" s="6">
        <f>(AI110*H$3+AJ110*M$3+AK110*W$3+AL110*AB$3+AM110*AD$3)*100/(AI$5*H$3+AJ$5*M$3+AK$5*W$3+AL$5*AB$3+AM$5*AD$3)</f>
        <v>21.920072667044671</v>
      </c>
      <c r="B110" s="20">
        <v>24</v>
      </c>
      <c r="C110" s="13" t="s">
        <v>52</v>
      </c>
      <c r="D110" s="21" t="s">
        <v>16</v>
      </c>
      <c r="E110" s="21" t="s">
        <v>20</v>
      </c>
      <c r="F110" s="21" t="s">
        <v>20</v>
      </c>
      <c r="G110" s="21">
        <v>18</v>
      </c>
      <c r="H110" s="21">
        <v>26</v>
      </c>
      <c r="I110" s="21">
        <v>8</v>
      </c>
      <c r="J110" s="21">
        <v>1</v>
      </c>
      <c r="K110" s="21">
        <v>37</v>
      </c>
      <c r="L110" s="21">
        <v>33</v>
      </c>
      <c r="M110" s="21">
        <v>18</v>
      </c>
      <c r="N110" s="21">
        <v>68</v>
      </c>
      <c r="O110" s="21">
        <v>68</v>
      </c>
      <c r="P110" s="21">
        <v>69</v>
      </c>
      <c r="Q110" s="20">
        <v>24</v>
      </c>
      <c r="R110" s="13" t="s">
        <v>52</v>
      </c>
      <c r="S110" s="21" t="s">
        <v>16</v>
      </c>
      <c r="T110" s="21" t="s">
        <v>20</v>
      </c>
      <c r="U110" s="21" t="s">
        <v>20</v>
      </c>
      <c r="V110" s="21">
        <v>18</v>
      </c>
      <c r="W110" s="21">
        <v>46</v>
      </c>
      <c r="X110" s="21">
        <v>21</v>
      </c>
      <c r="Y110" s="21">
        <v>85</v>
      </c>
      <c r="Z110" s="21">
        <v>23</v>
      </c>
      <c r="AA110" s="21">
        <v>5</v>
      </c>
      <c r="AB110" s="21">
        <v>48</v>
      </c>
      <c r="AC110" s="21">
        <v>74</v>
      </c>
      <c r="AD110" s="21">
        <v>25</v>
      </c>
      <c r="AE110" s="21">
        <v>77</v>
      </c>
      <c r="AF110" s="21">
        <v>43</v>
      </c>
      <c r="AG110" s="21">
        <v>89</v>
      </c>
      <c r="AH110" s="21">
        <v>69</v>
      </c>
      <c r="AI110" s="6">
        <f>H$1*((-2*10^-6)*H110^3+0.00032*H110^2-0.0021*H110)+I$1*((-2*10^-6)*I110^3+0.00032*I110^2-0.0021*I110)+J$1*((-2*10^-6)*J110^3+0.00032*J110^2-0.0021*J110)+K$1*((-2*10^-6)*K110^3+0.00032*K110^2-0.0021*K110)+L$1*((-2*10^-6)*L110^3+0.00032*L110^2-0.0021*L110)</f>
        <v>0.79414320000000016</v>
      </c>
      <c r="AJ110" s="6">
        <f>(M$1*M110+N$1*N110+O$1*O110)/100</f>
        <v>0.38400000000000006</v>
      </c>
      <c r="AK110" s="6">
        <f>IF(AA110&lt;50,W$1*((-2*10^-6)*W110^3+0.00032*W110^2-0.0021*W110)+X$1*((-2*10^-6)*X110^3+0.00032*X110^2-0.0021*X110)+Y$1*((-2*10^-6)*Y110^3+0.00032*Y110^2-0.0021*Y110)+Z$1*((-2*10^-6)*Z110^3+0.00032*Z110^2-0.0021*Z110),X$2*((-2*10^-6)*X110^3+0.00032*X110^2-0.0021*AA110)+Y$2*((-2*10^-6)*Y110^3+0.00032*Y110^2-0.0021*Y110)+Z$2*((-2*10^-6)*Z110^3+0.00032*Z110^2-0.0021*Z110)+ AA$2*((-2*10^-6)*AA110^3+0.00032*AA110^2-0.0021*AA110))</f>
        <v>1.4662420000000005</v>
      </c>
      <c r="AL110" s="6">
        <f>(AB$1*AB110+AC$1*AC110)/100</f>
        <v>0.53200000000000003</v>
      </c>
      <c r="AM110" s="6">
        <f>AD$1*((-2*10^-6)*AD110^3+0.00032*AD110^2-0.0021*AD110)+AE$1*((-2*10^-6)*AE110^3+0.00032*AE110^2-0.0021*AE110)+AF$1*((-2*10^-6)*AF110^3+0.00032*AF110^2-0.0021*AF110)+AG$1*((-2*10^-6)*AG110^3+0.00032*AG110^2-0.0021*AG110)</f>
        <v>0.3265262000000001</v>
      </c>
    </row>
    <row r="111" spans="1:39" ht="15" thickBot="1" x14ac:dyDescent="0.35">
      <c r="A111" s="6">
        <f>(AI111*H$3+AJ111*M$3+AK111*W$3+AL111*AB$3+AM111*AD$3)*100/(AI$5*H$3+AJ$5*M$3+AK$5*W$3+AL$5*AB$3+AM$5*AD$3)</f>
        <v>21.837197469336591</v>
      </c>
      <c r="B111" s="20">
        <v>194</v>
      </c>
      <c r="C111" s="13" t="s">
        <v>222</v>
      </c>
      <c r="D111" s="21" t="s">
        <v>4</v>
      </c>
      <c r="E111" s="21" t="s">
        <v>20</v>
      </c>
      <c r="F111" s="21" t="s">
        <v>19</v>
      </c>
      <c r="G111" s="21">
        <v>18</v>
      </c>
      <c r="H111" s="21">
        <v>37</v>
      </c>
      <c r="I111" s="21">
        <v>31</v>
      </c>
      <c r="J111" s="21">
        <v>28</v>
      </c>
      <c r="K111" s="21">
        <v>22</v>
      </c>
      <c r="L111" s="21">
        <v>29</v>
      </c>
      <c r="M111" s="21">
        <v>36</v>
      </c>
      <c r="N111" s="21">
        <v>51</v>
      </c>
      <c r="O111" s="21">
        <v>32</v>
      </c>
      <c r="P111" s="21">
        <v>43</v>
      </c>
      <c r="Q111" s="20">
        <v>194</v>
      </c>
      <c r="R111" s="13" t="s">
        <v>222</v>
      </c>
      <c r="S111" s="21" t="s">
        <v>4</v>
      </c>
      <c r="T111" s="21" t="s">
        <v>20</v>
      </c>
      <c r="U111" s="21" t="s">
        <v>19</v>
      </c>
      <c r="V111" s="21">
        <v>18</v>
      </c>
      <c r="W111" s="21">
        <v>21</v>
      </c>
      <c r="X111" s="21">
        <v>10</v>
      </c>
      <c r="Y111" s="21">
        <v>56</v>
      </c>
      <c r="Z111" s="21">
        <v>55</v>
      </c>
      <c r="AA111" s="21">
        <v>52</v>
      </c>
      <c r="AB111" s="21">
        <v>84</v>
      </c>
      <c r="AC111" s="21">
        <v>79</v>
      </c>
      <c r="AD111" s="21">
        <v>22</v>
      </c>
      <c r="AE111" s="21">
        <v>59</v>
      </c>
      <c r="AF111" s="21">
        <v>14</v>
      </c>
      <c r="AG111" s="21">
        <v>63</v>
      </c>
      <c r="AH111" s="21">
        <v>43</v>
      </c>
      <c r="AI111" s="6">
        <f>H$1*((-2*10^-6)*H111^3+0.00032*H111^2-0.0021*H111)+I$1*((-2*10^-6)*I111^3+0.00032*I111^2-0.0021*I111)+J$1*((-2*10^-6)*J111^3+0.00032*J111^2-0.0021*J111)+K$1*((-2*10^-6)*K111^3+0.00032*K111^2-0.0021*K111)+L$1*((-2*10^-6)*L111^3+0.00032*L111^2-0.0021*L111)</f>
        <v>1.1343352000000002</v>
      </c>
      <c r="AJ111" s="6">
        <f>(M$1*M111+N$1*N111+O$1*O111)/100</f>
        <v>0.49400000000000005</v>
      </c>
      <c r="AK111" s="6">
        <f>IF(AA111&lt;50,W$1*((-2*10^-6)*W111^3+0.00032*W111^2-0.0021*W111)+X$1*((-2*10^-6)*X111^3+0.00032*X111^2-0.0021*X111)+Y$1*((-2*10^-6)*Y111^3+0.00032*Y111^2-0.0021*Y111)+Z$1*((-2*10^-6)*Z111^3+0.00032*Z111^2-0.0021*Z111),X$2*((-2*10^-6)*X111^3+0.00032*X111^2-0.0021*AA111)+Y$2*((-2*10^-6)*Y111^3+0.00032*Y111^2-0.0021*Y111)+Z$2*((-2*10^-6)*Z111^3+0.00032*Z111^2-0.0021*Z111)+ AA$2*((-2*10^-6)*AA111^3+0.00032*AA111^2-0.0021*AA111))</f>
        <v>0.88229300000000022</v>
      </c>
      <c r="AL111" s="6">
        <f>(AB$1*AB111+AC$1*AC111)/100</f>
        <v>0.83</v>
      </c>
      <c r="AM111" s="6">
        <f>AD$1*((-2*10^-6)*AD111^3+0.00032*AD111^2-0.0021*AD111)+AE$1*((-2*10^-6)*AE111^3+0.00032*AE111^2-0.0021*AE111)+AF$1*((-2*10^-6)*AF111^3+0.00032*AF111^2-0.0021*AF111)+AG$1*((-2*10^-6)*AG111^3+0.00032*AG111^2-0.0021*AG111)</f>
        <v>0.21186200000000005</v>
      </c>
    </row>
    <row r="112" spans="1:39" ht="15" thickBot="1" x14ac:dyDescent="0.35">
      <c r="A112" s="6">
        <f>(AI112*H$3+AJ112*M$3+AK112*W$3+AL112*AB$3+AM112*AD$3)*100/(AI$5*H$3+AJ$5*M$3+AK$5*W$3+AL$5*AB$3+AM$5*AD$3)</f>
        <v>21.653593810618037</v>
      </c>
      <c r="B112" s="18">
        <v>9</v>
      </c>
      <c r="C112" s="12" t="s">
        <v>37</v>
      </c>
      <c r="D112" s="19" t="s">
        <v>16</v>
      </c>
      <c r="E112" s="19" t="s">
        <v>19</v>
      </c>
      <c r="F112" s="19" t="s">
        <v>19</v>
      </c>
      <c r="G112" s="19">
        <v>18</v>
      </c>
      <c r="H112" s="19">
        <v>27</v>
      </c>
      <c r="I112" s="19">
        <v>15</v>
      </c>
      <c r="J112" s="19">
        <v>34</v>
      </c>
      <c r="K112" s="19">
        <v>18</v>
      </c>
      <c r="L112" s="19">
        <v>13</v>
      </c>
      <c r="M112" s="19">
        <v>20</v>
      </c>
      <c r="N112" s="19">
        <v>72</v>
      </c>
      <c r="O112" s="19">
        <v>61</v>
      </c>
      <c r="P112" s="19">
        <v>77</v>
      </c>
      <c r="Q112" s="18">
        <v>9</v>
      </c>
      <c r="R112" s="12" t="s">
        <v>37</v>
      </c>
      <c r="S112" s="19" t="s">
        <v>16</v>
      </c>
      <c r="T112" s="19" t="s">
        <v>19</v>
      </c>
      <c r="U112" s="19" t="s">
        <v>19</v>
      </c>
      <c r="V112" s="19">
        <v>18</v>
      </c>
      <c r="W112" s="19">
        <v>51</v>
      </c>
      <c r="X112" s="19">
        <v>53</v>
      </c>
      <c r="Y112" s="19">
        <v>20</v>
      </c>
      <c r="Z112" s="19">
        <v>84</v>
      </c>
      <c r="AA112" s="19">
        <v>23</v>
      </c>
      <c r="AB112" s="19">
        <v>29</v>
      </c>
      <c r="AC112" s="19">
        <v>92</v>
      </c>
      <c r="AD112" s="19">
        <v>37</v>
      </c>
      <c r="AE112" s="19">
        <v>54</v>
      </c>
      <c r="AF112" s="19">
        <v>31</v>
      </c>
      <c r="AG112" s="19">
        <v>70</v>
      </c>
      <c r="AH112" s="19">
        <v>77</v>
      </c>
      <c r="AI112" s="6">
        <f>H$1*((-2*10^-6)*H112^3+0.00032*H112^2-0.0021*H112)+I$1*((-2*10^-6)*I112^3+0.00032*I112^2-0.0021*I112)+J$1*((-2*10^-6)*J112^3+0.00032*J112^2-0.0021*J112)+K$1*((-2*10^-6)*K112^3+0.00032*K112^2-0.0021*K112)+L$1*((-2*10^-6)*L112^3+0.00032*L112^2-0.0021*L112)</f>
        <v>0.42928320000000009</v>
      </c>
      <c r="AJ112" s="6">
        <f>(M$1*M112+N$1*N112+O$1*O112)/100</f>
        <v>0.40500000000000003</v>
      </c>
      <c r="AK112" s="6">
        <f>IF(AA112&lt;50,W$1*((-2*10^-6)*W112^3+0.00032*W112^2-0.0021*W112)+X$1*((-2*10^-6)*X112^3+0.00032*X112^2-0.0021*X112)+Y$1*((-2*10^-6)*Y112^3+0.00032*Y112^2-0.0021*Y112)+Z$1*((-2*10^-6)*Z112^3+0.00032*Z112^2-0.0021*Z112),X$2*((-2*10^-6)*X112^3+0.00032*X112^2-0.0021*AA112)+Y$2*((-2*10^-6)*Y112^3+0.00032*Y112^2-0.0021*Y112)+Z$2*((-2*10^-6)*Z112^3+0.00032*Z112^2-0.0021*Z112)+ AA$2*((-2*10^-6)*AA112^3+0.00032*AA112^2-0.0021*AA112))</f>
        <v>1.9158560000000007</v>
      </c>
      <c r="AL112" s="6">
        <f>(AB$1*AB112+AC$1*AC112)/100</f>
        <v>0.41600000000000009</v>
      </c>
      <c r="AM112" s="6">
        <f>AD$1*((-2*10^-6)*AD112^3+0.00032*AD112^2-0.0021*AD112)+AE$1*((-2*10^-6)*AE112^3+0.00032*AE112^2-0.0021*AE112)+AF$1*((-2*10^-6)*AF112^3+0.00032*AF112^2-0.0021*AF112)+AG$1*((-2*10^-6)*AG112^3+0.00032*AG112^2-0.0021*AG112)</f>
        <v>0.40133700000000005</v>
      </c>
    </row>
    <row r="113" spans="1:39" ht="15" thickBot="1" x14ac:dyDescent="0.35">
      <c r="A113" s="6">
        <f>(AI113*H$3+AJ113*M$3+AK113*W$3+AL113*AB$3+AM113*AD$3)*100/(AI$5*H$3+AJ$5*M$3+AK$5*W$3+AL$5*AB$3+AM$5*AD$3)</f>
        <v>21.263497567817595</v>
      </c>
      <c r="B113" s="18">
        <v>75</v>
      </c>
      <c r="C113" s="12" t="s">
        <v>103</v>
      </c>
      <c r="D113" s="19" t="s">
        <v>16</v>
      </c>
      <c r="E113" s="19" t="s">
        <v>20</v>
      </c>
      <c r="F113" s="19" t="s">
        <v>20</v>
      </c>
      <c r="G113" s="19">
        <v>18</v>
      </c>
      <c r="H113" s="19">
        <v>26</v>
      </c>
      <c r="I113" s="19">
        <v>9</v>
      </c>
      <c r="J113" s="19">
        <v>6</v>
      </c>
      <c r="K113" s="19">
        <v>31</v>
      </c>
      <c r="L113" s="19">
        <v>13</v>
      </c>
      <c r="M113" s="19">
        <v>12</v>
      </c>
      <c r="N113" s="19">
        <v>55</v>
      </c>
      <c r="O113" s="19">
        <v>75</v>
      </c>
      <c r="P113" s="19">
        <v>56</v>
      </c>
      <c r="Q113" s="18">
        <v>75</v>
      </c>
      <c r="R113" s="12" t="s">
        <v>103</v>
      </c>
      <c r="S113" s="19" t="s">
        <v>16</v>
      </c>
      <c r="T113" s="19" t="s">
        <v>20</v>
      </c>
      <c r="U113" s="19" t="s">
        <v>20</v>
      </c>
      <c r="V113" s="19">
        <v>18</v>
      </c>
      <c r="W113" s="19">
        <v>2</v>
      </c>
      <c r="X113" s="19">
        <v>45</v>
      </c>
      <c r="Y113" s="19">
        <v>85</v>
      </c>
      <c r="Z113" s="19">
        <v>59</v>
      </c>
      <c r="AA113" s="19">
        <v>36</v>
      </c>
      <c r="AB113" s="19">
        <v>82</v>
      </c>
      <c r="AC113" s="19">
        <v>82</v>
      </c>
      <c r="AD113" s="19">
        <v>22</v>
      </c>
      <c r="AE113" s="19">
        <v>26</v>
      </c>
      <c r="AF113" s="19">
        <v>77</v>
      </c>
      <c r="AG113" s="19">
        <v>80</v>
      </c>
      <c r="AH113" s="19">
        <v>56</v>
      </c>
      <c r="AI113" s="6">
        <f>H$1*((-2*10^-6)*H113^3+0.00032*H113^2-0.0021*H113)+I$1*((-2*10^-6)*I113^3+0.00032*I113^2-0.0021*I113)+J$1*((-2*10^-6)*J113^3+0.00032*J113^2-0.0021*J113)+K$1*((-2*10^-6)*K113^3+0.00032*K113^2-0.0021*K113)+L$1*((-2*10^-6)*L113^3+0.00032*L113^2-0.0021*L113)</f>
        <v>0.33230440000000006</v>
      </c>
      <c r="AJ113" s="6">
        <f>(M$1*M113+N$1*N113+O$1*O113)/100</f>
        <v>0.30499999999999999</v>
      </c>
      <c r="AK113" s="6">
        <f>IF(AA113&lt;50,W$1*((-2*10^-6)*W113^3+0.00032*W113^2-0.0021*W113)+X$1*((-2*10^-6)*X113^3+0.00032*X113^2-0.0021*X113)+Y$1*((-2*10^-6)*Y113^3+0.00032*Y113^2-0.0021*Y113)+Z$1*((-2*10^-6)*Z113^3+0.00032*Z113^2-0.0021*Z113),X$2*((-2*10^-6)*X113^3+0.00032*X113^2-0.0021*AA113)+Y$2*((-2*10^-6)*Y113^3+0.00032*Y113^2-0.0021*Y113)+Z$2*((-2*10^-6)*Z113^3+0.00032*Z113^2-0.0021*Z113)+ AA$2*((-2*10^-6)*AA113^3+0.00032*AA113^2-0.0021*AA113))</f>
        <v>1.8528260000000003</v>
      </c>
      <c r="AL113" s="6">
        <f>(AB$1*AB113+AC$1*AC113)/100</f>
        <v>0.82000000000000017</v>
      </c>
      <c r="AM113" s="6">
        <f>AD$1*((-2*10^-6)*AD113^3+0.00032*AD113^2-0.0021*AD113)+AE$1*((-2*10^-6)*AE113^3+0.00032*AE113^2-0.0021*AE113)+AF$1*((-2*10^-6)*AF113^3+0.00032*AF113^2-0.0021*AF113)+AG$1*((-2*10^-6)*AG113^3+0.00032*AG113^2-0.0021*AG113)</f>
        <v>0.26789220000000002</v>
      </c>
    </row>
    <row r="114" spans="1:39" ht="15" thickBot="1" x14ac:dyDescent="0.35">
      <c r="A114" s="6">
        <f>(AI114*H$3+AJ114*M$3+AK114*W$3+AL114*AB$3+AM114*AD$3)*100/(AI$5*H$3+AJ$5*M$3+AK$5*W$3+AL$5*AB$3+AM$5*AD$3)</f>
        <v>20.955300367065558</v>
      </c>
      <c r="B114" s="18">
        <v>33</v>
      </c>
      <c r="C114" s="12" t="s">
        <v>61</v>
      </c>
      <c r="D114" s="19" t="s">
        <v>16</v>
      </c>
      <c r="E114" s="19" t="s">
        <v>20</v>
      </c>
      <c r="F114" s="19" t="s">
        <v>20</v>
      </c>
      <c r="G114" s="19">
        <v>18</v>
      </c>
      <c r="H114" s="19">
        <v>37</v>
      </c>
      <c r="I114" s="19">
        <v>6</v>
      </c>
      <c r="J114" s="19">
        <v>11</v>
      </c>
      <c r="K114" s="19">
        <v>44</v>
      </c>
      <c r="L114" s="19">
        <v>28</v>
      </c>
      <c r="M114" s="19">
        <v>20</v>
      </c>
      <c r="N114" s="19">
        <v>71</v>
      </c>
      <c r="O114" s="19">
        <v>53</v>
      </c>
      <c r="P114" s="19">
        <v>66</v>
      </c>
      <c r="Q114" s="18">
        <v>33</v>
      </c>
      <c r="R114" s="12" t="s">
        <v>61</v>
      </c>
      <c r="S114" s="19" t="s">
        <v>16</v>
      </c>
      <c r="T114" s="19" t="s">
        <v>20</v>
      </c>
      <c r="U114" s="19" t="s">
        <v>20</v>
      </c>
      <c r="V114" s="19">
        <v>18</v>
      </c>
      <c r="W114" s="19">
        <v>2</v>
      </c>
      <c r="X114" s="19">
        <v>38</v>
      </c>
      <c r="Y114" s="19">
        <v>39</v>
      </c>
      <c r="Z114" s="19">
        <v>70</v>
      </c>
      <c r="AA114" s="19">
        <v>29</v>
      </c>
      <c r="AB114" s="19">
        <v>37</v>
      </c>
      <c r="AC114" s="19">
        <v>68</v>
      </c>
      <c r="AD114" s="19">
        <v>25</v>
      </c>
      <c r="AE114" s="19">
        <v>85</v>
      </c>
      <c r="AF114" s="19">
        <v>14</v>
      </c>
      <c r="AG114" s="19">
        <v>83</v>
      </c>
      <c r="AH114" s="19">
        <v>66</v>
      </c>
      <c r="AI114" s="6">
        <f>H$1*((-2*10^-6)*H114^3+0.00032*H114^2-0.0021*H114)+I$1*((-2*10^-6)*I114^3+0.00032*I114^2-0.0021*I114)+J$1*((-2*10^-6)*J114^3+0.00032*J114^2-0.0021*J114)+K$1*((-2*10^-6)*K114^3+0.00032*K114^2-0.0021*K114)+L$1*((-2*10^-6)*L114^3+0.00032*L114^2-0.0021*L114)</f>
        <v>0.87521360000000026</v>
      </c>
      <c r="AJ114" s="6">
        <f>(M$1*M114+N$1*N114+O$1*O114)/100</f>
        <v>0.39500000000000002</v>
      </c>
      <c r="AK114" s="6">
        <f>IF(AA114&lt;50,W$1*((-2*10^-6)*W114^3+0.00032*W114^2-0.0021*W114)+X$1*((-2*10^-6)*X114^3+0.00032*X114^2-0.0021*X114)+Y$1*((-2*10^-6)*Y114^3+0.00032*Y114^2-0.0021*Y114)+Z$1*((-2*10^-6)*Z114^3+0.00032*Z114^2-0.0021*Z114),X$2*((-2*10^-6)*X114^3+0.00032*X114^2-0.0021*AA114)+Y$2*((-2*10^-6)*Y114^3+0.00032*Y114^2-0.0021*Y114)+Z$2*((-2*10^-6)*Z114^3+0.00032*Z114^2-0.0021*Z114)+ AA$2*((-2*10^-6)*AA114^3+0.00032*AA114^2-0.0021*AA114))</f>
        <v>1.2907820000000001</v>
      </c>
      <c r="AL114" s="6">
        <f>(AB$1*AB114+AC$1*AC114)/100</f>
        <v>0.43200000000000005</v>
      </c>
      <c r="AM114" s="6">
        <f>AD$1*((-2*10^-6)*AD114^3+0.00032*AD114^2-0.0021*AD114)+AE$1*((-2*10^-6)*AE114^3+0.00032*AE114^2-0.0021*AE114)+AF$1*((-2*10^-6)*AF114^3+0.00032*AF114^2-0.0021*AF114)+AG$1*((-2*10^-6)*AG114^3+0.00032*AG114^2-0.0021*AG114)</f>
        <v>0.29821880000000012</v>
      </c>
    </row>
    <row r="115" spans="1:39" ht="15" thickBot="1" x14ac:dyDescent="0.35">
      <c r="A115" s="6">
        <f>(AI115*H$3+AJ115*M$3+AK115*W$3+AL115*AB$3+AM115*AD$3)*100/(AI$5*H$3+AJ$5*M$3+AK$5*W$3+AL$5*AB$3+AM$5*AD$3)</f>
        <v>20.71254021307708</v>
      </c>
      <c r="B115" s="18">
        <v>29</v>
      </c>
      <c r="C115" s="12" t="s">
        <v>57</v>
      </c>
      <c r="D115" s="19" t="s">
        <v>16</v>
      </c>
      <c r="E115" s="19" t="s">
        <v>21</v>
      </c>
      <c r="F115" s="19" t="s">
        <v>20</v>
      </c>
      <c r="G115" s="19">
        <v>18</v>
      </c>
      <c r="H115" s="19">
        <v>11</v>
      </c>
      <c r="I115" s="19">
        <v>0</v>
      </c>
      <c r="J115" s="19">
        <v>28</v>
      </c>
      <c r="K115" s="19">
        <v>34</v>
      </c>
      <c r="L115" s="19">
        <v>19</v>
      </c>
      <c r="M115" s="19">
        <v>14</v>
      </c>
      <c r="N115" s="19">
        <v>64</v>
      </c>
      <c r="O115" s="19">
        <v>71</v>
      </c>
      <c r="P115" s="19">
        <v>67</v>
      </c>
      <c r="Q115" s="18">
        <v>29</v>
      </c>
      <c r="R115" s="12" t="s">
        <v>57</v>
      </c>
      <c r="S115" s="19" t="s">
        <v>16</v>
      </c>
      <c r="T115" s="19" t="s">
        <v>21</v>
      </c>
      <c r="U115" s="19" t="s">
        <v>20</v>
      </c>
      <c r="V115" s="19">
        <v>18</v>
      </c>
      <c r="W115" s="19">
        <v>29</v>
      </c>
      <c r="X115" s="19">
        <v>43</v>
      </c>
      <c r="Y115" s="19">
        <v>42</v>
      </c>
      <c r="Z115" s="19">
        <v>95</v>
      </c>
      <c r="AA115" s="19">
        <v>26</v>
      </c>
      <c r="AB115" s="19">
        <v>31</v>
      </c>
      <c r="AC115" s="19">
        <v>100</v>
      </c>
      <c r="AD115" s="19">
        <v>39</v>
      </c>
      <c r="AE115" s="19">
        <v>30</v>
      </c>
      <c r="AF115" s="19">
        <v>43</v>
      </c>
      <c r="AG115" s="19">
        <v>89</v>
      </c>
      <c r="AH115" s="19">
        <v>67</v>
      </c>
      <c r="AI115" s="6">
        <f>H$1*((-2*10^-6)*H115^3+0.00032*H115^2-0.0021*H115)+I$1*((-2*10^-6)*I115^3+0.00032*I115^2-0.0021*I115)+J$1*((-2*10^-6)*J115^3+0.00032*J115^2-0.0021*J115)+K$1*((-2*10^-6)*K115^3+0.00032*K115^2-0.0021*K115)+L$1*((-2*10^-6)*L115^3+0.00032*L115^2-0.0021*L115)</f>
        <v>0.41397760000000017</v>
      </c>
      <c r="AJ115" s="6">
        <f>(M$1*M115+N$1*N115+O$1*O115)/100</f>
        <v>0.33899999999999997</v>
      </c>
      <c r="AK115" s="6">
        <f>IF(AA115&lt;50,W$1*((-2*10^-6)*W115^3+0.00032*W115^2-0.0021*W115)+X$1*((-2*10^-6)*X115^3+0.00032*X115^2-0.0021*X115)+Y$1*((-2*10^-6)*Y115^3+0.00032*Y115^2-0.0021*Y115)+Z$1*((-2*10^-6)*Z115^3+0.00032*Z115^2-0.0021*Z115),X$2*((-2*10^-6)*X115^3+0.00032*X115^2-0.0021*AA115)+Y$2*((-2*10^-6)*Y115^3+0.00032*Y115^2-0.0021*Y115)+Z$2*((-2*10^-6)*Z115^3+0.00032*Z115^2-0.0021*Z115)+ AA$2*((-2*10^-6)*AA115^3+0.00032*AA115^2-0.0021*AA115))</f>
        <v>1.8036620000000005</v>
      </c>
      <c r="AL115" s="6">
        <f>(AB$1*AB115+AC$1*AC115)/100</f>
        <v>0.44799999999999995</v>
      </c>
      <c r="AM115" s="6">
        <f>AD$1*((-2*10^-6)*AD115^3+0.00032*AD115^2-0.0021*AD115)+AE$1*((-2*10^-6)*AE115^3+0.00032*AE115^2-0.0021*AE115)+AF$1*((-2*10^-6)*AF115^3+0.00032*AF115^2-0.0021*AF115)+AG$1*((-2*10^-6)*AG115^3+0.00032*AG115^2-0.0021*AG115)</f>
        <v>0.4313068000000001</v>
      </c>
    </row>
    <row r="116" spans="1:39" ht="15" thickBot="1" x14ac:dyDescent="0.35">
      <c r="A116" s="6">
        <f>(AI116*H$3+AJ116*M$3+AK116*W$3+AL116*AB$3+AM116*AD$3)*100/(AI$5*H$3+AJ$5*M$3+AK$5*W$3+AL$5*AB$3+AM$5*AD$3)</f>
        <v>20.541906055089676</v>
      </c>
      <c r="B116" s="20">
        <v>54</v>
      </c>
      <c r="C116" s="13" t="s">
        <v>82</v>
      </c>
      <c r="D116" s="21" t="s">
        <v>16</v>
      </c>
      <c r="E116" s="21" t="s">
        <v>20</v>
      </c>
      <c r="F116" s="21" t="s">
        <v>20</v>
      </c>
      <c r="G116" s="21">
        <v>18</v>
      </c>
      <c r="H116" s="21">
        <v>27</v>
      </c>
      <c r="I116" s="21">
        <v>8</v>
      </c>
      <c r="J116" s="21">
        <v>21</v>
      </c>
      <c r="K116" s="21">
        <v>32</v>
      </c>
      <c r="L116" s="21">
        <v>22</v>
      </c>
      <c r="M116" s="21">
        <v>15</v>
      </c>
      <c r="N116" s="21">
        <v>70</v>
      </c>
      <c r="O116" s="21">
        <v>76</v>
      </c>
      <c r="P116" s="21">
        <v>61</v>
      </c>
      <c r="Q116" s="20">
        <v>54</v>
      </c>
      <c r="R116" s="13" t="s">
        <v>82</v>
      </c>
      <c r="S116" s="21" t="s">
        <v>16</v>
      </c>
      <c r="T116" s="21" t="s">
        <v>20</v>
      </c>
      <c r="U116" s="21" t="s">
        <v>20</v>
      </c>
      <c r="V116" s="21">
        <v>18</v>
      </c>
      <c r="W116" s="21">
        <v>43</v>
      </c>
      <c r="X116" s="21">
        <v>29</v>
      </c>
      <c r="Y116" s="21">
        <v>84</v>
      </c>
      <c r="Z116" s="21">
        <v>39</v>
      </c>
      <c r="AA116" s="21">
        <v>30</v>
      </c>
      <c r="AB116" s="21">
        <v>30</v>
      </c>
      <c r="AC116" s="21">
        <v>91</v>
      </c>
      <c r="AD116" s="21">
        <v>18</v>
      </c>
      <c r="AE116" s="21">
        <v>92</v>
      </c>
      <c r="AF116" s="21">
        <v>50</v>
      </c>
      <c r="AG116" s="21">
        <v>60</v>
      </c>
      <c r="AH116" s="21">
        <v>61</v>
      </c>
      <c r="AI116" s="6">
        <f>H$1*((-2*10^-6)*H116^3+0.00032*H116^2-0.0021*H116)+I$1*((-2*10^-6)*I116^3+0.00032*I116^2-0.0021*I116)+J$1*((-2*10^-6)*J116^3+0.00032*J116^2-0.0021*J116)+K$1*((-2*10^-6)*K116^3+0.00032*K116^2-0.0021*K116)+L$1*((-2*10^-6)*L116^3+0.00032*L116^2-0.0021*L116)</f>
        <v>0.5378248000000001</v>
      </c>
      <c r="AJ116" s="6">
        <f>(M$1*M116+N$1*N116+O$1*O116)/100</f>
        <v>0.36599999999999999</v>
      </c>
      <c r="AK116" s="6">
        <f>IF(AA116&lt;50,W$1*((-2*10^-6)*W116^3+0.00032*W116^2-0.0021*W116)+X$1*((-2*10^-6)*X116^3+0.00032*X116^2-0.0021*X116)+Y$1*((-2*10^-6)*Y116^3+0.00032*Y116^2-0.0021*Y116)+Z$1*((-2*10^-6)*Z116^3+0.00032*Z116^2-0.0021*Z116),X$2*((-2*10^-6)*X116^3+0.00032*X116^2-0.0021*AA116)+Y$2*((-2*10^-6)*Y116^3+0.00032*Y116^2-0.0021*Y116)+Z$2*((-2*10^-6)*Z116^3+0.00032*Z116^2-0.0021*Z116)+ AA$2*((-2*10^-6)*AA116^3+0.00032*AA116^2-0.0021*AA116))</f>
        <v>1.6841020000000007</v>
      </c>
      <c r="AL116" s="6">
        <f>(AB$1*AB116+AC$1*AC116)/100</f>
        <v>0.42200000000000004</v>
      </c>
      <c r="AM116" s="6">
        <f>AD$1*((-2*10^-6)*AD116^3+0.00032*AD116^2-0.0021*AD116)+AE$1*((-2*10^-6)*AE116^3+0.00032*AE116^2-0.0021*AE116)+AF$1*((-2*10^-6)*AF116^3+0.00032*AF116^2-0.0021*AF116)+AG$1*((-2*10^-6)*AG116^3+0.00032*AG116^2-0.0021*AG116)</f>
        <v>0.25390640000000009</v>
      </c>
    </row>
    <row r="117" spans="1:39" ht="15" thickBot="1" x14ac:dyDescent="0.35">
      <c r="A117" s="6">
        <f>(AI117*H$3+AJ117*M$3+AK117*W$3+AL117*AB$3+AM117*AD$3)*100/(AI$5*H$3+AJ$5*M$3+AK$5*W$3+AL$5*AB$3+AM$5*AD$3)</f>
        <v>20.438523381778019</v>
      </c>
      <c r="B117" s="18">
        <v>199</v>
      </c>
      <c r="C117" s="12" t="s">
        <v>227</v>
      </c>
      <c r="D117" s="19" t="s">
        <v>4</v>
      </c>
      <c r="E117" s="19" t="s">
        <v>20</v>
      </c>
      <c r="F117" s="19" t="s">
        <v>20</v>
      </c>
      <c r="G117" s="19">
        <v>18</v>
      </c>
      <c r="H117" s="19">
        <v>21</v>
      </c>
      <c r="I117" s="19">
        <v>5</v>
      </c>
      <c r="J117" s="19">
        <v>19</v>
      </c>
      <c r="K117" s="19">
        <v>23</v>
      </c>
      <c r="L117" s="19">
        <v>35</v>
      </c>
      <c r="M117" s="19">
        <v>68</v>
      </c>
      <c r="N117" s="19">
        <v>44</v>
      </c>
      <c r="O117" s="19">
        <v>20</v>
      </c>
      <c r="P117" s="19">
        <v>38</v>
      </c>
      <c r="Q117" s="18">
        <v>199</v>
      </c>
      <c r="R117" s="12" t="s">
        <v>227</v>
      </c>
      <c r="S117" s="19" t="s">
        <v>4</v>
      </c>
      <c r="T117" s="19" t="s">
        <v>20</v>
      </c>
      <c r="U117" s="19" t="s">
        <v>20</v>
      </c>
      <c r="V117" s="19">
        <v>18</v>
      </c>
      <c r="W117" s="19">
        <v>38</v>
      </c>
      <c r="X117" s="19">
        <v>26</v>
      </c>
      <c r="Y117" s="19">
        <v>34</v>
      </c>
      <c r="Z117" s="19">
        <v>45</v>
      </c>
      <c r="AA117" s="19">
        <v>8</v>
      </c>
      <c r="AB117" s="19">
        <v>81</v>
      </c>
      <c r="AC117" s="19">
        <v>94</v>
      </c>
      <c r="AD117" s="19">
        <v>58</v>
      </c>
      <c r="AE117" s="19">
        <v>69</v>
      </c>
      <c r="AF117" s="19">
        <v>78</v>
      </c>
      <c r="AG117" s="19">
        <v>28</v>
      </c>
      <c r="AH117" s="19">
        <v>38</v>
      </c>
      <c r="AI117" s="6">
        <f>H$1*((-2*10^-6)*H117^3+0.00032*H117^2-0.0021*H117)+I$1*((-2*10^-6)*I117^3+0.00032*I117^2-0.0021*I117)+J$1*((-2*10^-6)*J117^3+0.00032*J117^2-0.0021*J117)+K$1*((-2*10^-6)*K117^3+0.00032*K117^2-0.0021*K117)+L$1*((-2*10^-6)*L117^3+0.00032*L117^2-0.0021*L117)</f>
        <v>0.69950600000000018</v>
      </c>
      <c r="AJ117" s="6">
        <f>(M$1*M117+N$1*N117+O$1*O117)/100</f>
        <v>0.78799999999999992</v>
      </c>
      <c r="AK117" s="6">
        <f>IF(AA117&lt;50,W$1*((-2*10^-6)*W117^3+0.00032*W117^2-0.0021*W117)+X$1*((-2*10^-6)*X117^3+0.00032*X117^2-0.0021*X117)+Y$1*((-2*10^-6)*Y117^3+0.00032*Y117^2-0.0021*Y117)+Z$1*((-2*10^-6)*Z117^3+0.00032*Z117^2-0.0021*Z117),X$2*((-2*10^-6)*X117^3+0.00032*X117^2-0.0021*AA117)+Y$2*((-2*10^-6)*Y117^3+0.00032*Y117^2-0.0021*Y117)+Z$2*((-2*10^-6)*Z117^3+0.00032*Z117^2-0.0021*Z117)+ AA$2*((-2*10^-6)*AA117^3+0.00032*AA117^2-0.0021*AA117))</f>
        <v>0.99026600000000009</v>
      </c>
      <c r="AL117" s="6">
        <f>(AB$1*AB117+AC$1*AC117)/100</f>
        <v>0.83599999999999997</v>
      </c>
      <c r="AM117" s="6">
        <f>AD$1*((-2*10^-6)*AD117^3+0.00032*AD117^2-0.0021*AD117)+AE$1*((-2*10^-6)*AE117^3+0.00032*AE117^2-0.0021*AE117)+AF$1*((-2*10^-6)*AF117^3+0.00032*AF117^2-0.0021*AF117)+AG$1*((-2*10^-6)*AG117^3+0.00032*AG117^2-0.0021*AG117)</f>
        <v>0.73483140000000025</v>
      </c>
    </row>
    <row r="118" spans="1:39" ht="15" thickBot="1" x14ac:dyDescent="0.35">
      <c r="A118" s="6">
        <f>(AI118*H$3+AJ118*M$3+AK118*W$3+AL118*AB$3+AM118*AD$3)*100/(AI$5*H$3+AJ$5*M$3+AK$5*W$3+AL$5*AB$3+AM$5*AD$3)</f>
        <v>20.370367960846337</v>
      </c>
      <c r="B118" s="20">
        <v>46</v>
      </c>
      <c r="C118" s="13" t="s">
        <v>74</v>
      </c>
      <c r="D118" s="21" t="s">
        <v>16</v>
      </c>
      <c r="E118" s="21" t="s">
        <v>19</v>
      </c>
      <c r="F118" s="21" t="s">
        <v>19</v>
      </c>
      <c r="G118" s="21">
        <v>18</v>
      </c>
      <c r="H118" s="21">
        <v>20</v>
      </c>
      <c r="I118" s="21">
        <v>6</v>
      </c>
      <c r="J118" s="21">
        <v>10</v>
      </c>
      <c r="K118" s="21">
        <v>25</v>
      </c>
      <c r="L118" s="21">
        <v>20</v>
      </c>
      <c r="M118" s="21">
        <v>16</v>
      </c>
      <c r="N118" s="21">
        <v>62</v>
      </c>
      <c r="O118" s="21">
        <v>68</v>
      </c>
      <c r="P118" s="21">
        <v>62</v>
      </c>
      <c r="Q118" s="20">
        <v>46</v>
      </c>
      <c r="R118" s="13" t="s">
        <v>74</v>
      </c>
      <c r="S118" s="21" t="s">
        <v>16</v>
      </c>
      <c r="T118" s="21" t="s">
        <v>19</v>
      </c>
      <c r="U118" s="21" t="s">
        <v>19</v>
      </c>
      <c r="V118" s="21">
        <v>18</v>
      </c>
      <c r="W118" s="21">
        <v>2</v>
      </c>
      <c r="X118" s="21">
        <v>37</v>
      </c>
      <c r="Y118" s="21">
        <v>71</v>
      </c>
      <c r="Z118" s="21">
        <v>68</v>
      </c>
      <c r="AA118" s="21">
        <v>47</v>
      </c>
      <c r="AB118" s="21">
        <v>71</v>
      </c>
      <c r="AC118" s="21">
        <v>90</v>
      </c>
      <c r="AD118" s="21">
        <v>42</v>
      </c>
      <c r="AE118" s="21">
        <v>23</v>
      </c>
      <c r="AF118" s="21">
        <v>44</v>
      </c>
      <c r="AG118" s="21">
        <v>85</v>
      </c>
      <c r="AH118" s="21">
        <v>62</v>
      </c>
      <c r="AI118" s="6">
        <f>H$1*((-2*10^-6)*H118^3+0.00032*H118^2-0.0021*H118)+I$1*((-2*10^-6)*I118^3+0.00032*I118^2-0.0021*I118)+J$1*((-2*10^-6)*J118^3+0.00032*J118^2-0.0021*J118)+K$1*((-2*10^-6)*K118^3+0.00032*K118^2-0.0021*K118)+L$1*((-2*10^-6)*L118^3+0.00032*L118^2-0.0021*L118)</f>
        <v>0.31937600000000005</v>
      </c>
      <c r="AJ118" s="6">
        <f>(M$1*M118+N$1*N118+O$1*O118)/100</f>
        <v>0.35200000000000004</v>
      </c>
      <c r="AK118" s="6">
        <f>IF(AA118&lt;50,W$1*((-2*10^-6)*W118^3+0.00032*W118^2-0.0021*W118)+X$1*((-2*10^-6)*X118^3+0.00032*X118^2-0.0021*X118)+Y$1*((-2*10^-6)*Y118^3+0.00032*Y118^2-0.0021*Y118)+Z$1*((-2*10^-6)*Z118^3+0.00032*Z118^2-0.0021*Z118),X$2*((-2*10^-6)*X118^3+0.00032*X118^2-0.0021*AA118)+Y$2*((-2*10^-6)*Y118^3+0.00032*Y118^2-0.0021*Y118)+Z$2*((-2*10^-6)*Z118^3+0.00032*Z118^2-0.0021*Z118)+ AA$2*((-2*10^-6)*AA118^3+0.00032*AA118^2-0.0021*AA118))</f>
        <v>1.7123520000000003</v>
      </c>
      <c r="AL118" s="6">
        <f>(AB$1*AB118+AC$1*AC118)/100</f>
        <v>0.74800000000000011</v>
      </c>
      <c r="AM118" s="6">
        <f>AD$1*((-2*10^-6)*AD118^3+0.00032*AD118^2-0.0021*AD118)+AE$1*((-2*10^-6)*AE118^3+0.00032*AE118^2-0.0021*AE118)+AF$1*((-2*10^-6)*AF118^3+0.00032*AF118^2-0.0021*AF118)+AG$1*((-2*10^-6)*AG118^3+0.00032*AG118^2-0.0021*AG118)</f>
        <v>0.46396880000000018</v>
      </c>
    </row>
    <row r="119" spans="1:39" ht="15" thickBot="1" x14ac:dyDescent="0.35">
      <c r="A119" s="6">
        <f>(AI119*H$3+AJ119*M$3+AK119*W$3+AL119*AB$3+AM119*AD$3)*100/(AI$5*H$3+AJ$5*M$3+AK$5*W$3+AL$5*AB$3+AM$5*AD$3)</f>
        <v>20.227004983735707</v>
      </c>
      <c r="B119" s="18">
        <v>25</v>
      </c>
      <c r="C119" s="12" t="s">
        <v>53</v>
      </c>
      <c r="D119" s="19" t="s">
        <v>16</v>
      </c>
      <c r="E119" s="19" t="s">
        <v>21</v>
      </c>
      <c r="F119" s="19" t="s">
        <v>19</v>
      </c>
      <c r="G119" s="19">
        <v>18</v>
      </c>
      <c r="H119" s="19">
        <v>15</v>
      </c>
      <c r="I119" s="19">
        <v>9</v>
      </c>
      <c r="J119" s="19">
        <v>29</v>
      </c>
      <c r="K119" s="19">
        <v>28</v>
      </c>
      <c r="L119" s="19">
        <v>28</v>
      </c>
      <c r="M119" s="19">
        <v>25</v>
      </c>
      <c r="N119" s="19">
        <v>78</v>
      </c>
      <c r="O119" s="19">
        <v>82</v>
      </c>
      <c r="P119" s="19">
        <v>69</v>
      </c>
      <c r="Q119" s="18">
        <v>25</v>
      </c>
      <c r="R119" s="12" t="s">
        <v>53</v>
      </c>
      <c r="S119" s="19" t="s">
        <v>16</v>
      </c>
      <c r="T119" s="19" t="s">
        <v>21</v>
      </c>
      <c r="U119" s="19" t="s">
        <v>19</v>
      </c>
      <c r="V119" s="19">
        <v>18</v>
      </c>
      <c r="W119" s="19">
        <v>51</v>
      </c>
      <c r="X119" s="19">
        <v>43</v>
      </c>
      <c r="Y119" s="19">
        <v>57</v>
      </c>
      <c r="Z119" s="19">
        <v>29</v>
      </c>
      <c r="AA119" s="19">
        <v>28</v>
      </c>
      <c r="AB119" s="19">
        <v>32</v>
      </c>
      <c r="AC119" s="19">
        <v>94</v>
      </c>
      <c r="AD119" s="19">
        <v>27</v>
      </c>
      <c r="AE119" s="19">
        <v>92</v>
      </c>
      <c r="AF119" s="19">
        <v>34</v>
      </c>
      <c r="AG119" s="19">
        <v>74</v>
      </c>
      <c r="AH119" s="19">
        <v>69</v>
      </c>
      <c r="AI119" s="6">
        <f>H$1*((-2*10^-6)*H119^3+0.00032*H119^2-0.0021*H119)+I$1*((-2*10^-6)*I119^3+0.00032*I119^2-0.0021*I119)+J$1*((-2*10^-6)*J119^3+0.00032*J119^2-0.0021*J119)+K$1*((-2*10^-6)*K119^3+0.00032*K119^2-0.0021*K119)+L$1*((-2*10^-6)*L119^3+0.00032*L119^2-0.0021*L119)</f>
        <v>0.58506720000000023</v>
      </c>
      <c r="AJ119" s="6">
        <f>(M$1*M119+N$1*N119+O$1*O119)/100</f>
        <v>0.48800000000000004</v>
      </c>
      <c r="AK119" s="6">
        <f>IF(AA119&lt;50,W$1*((-2*10^-6)*W119^3+0.00032*W119^2-0.0021*W119)+X$1*((-2*10^-6)*X119^3+0.00032*X119^2-0.0021*X119)+Y$1*((-2*10^-6)*Y119^3+0.00032*Y119^2-0.0021*Y119)+Z$1*((-2*10^-6)*Z119^3+0.00032*Z119^2-0.0021*Z119),X$2*((-2*10^-6)*X119^3+0.00032*X119^2-0.0021*AA119)+Y$2*((-2*10^-6)*Y119^3+0.00032*Y119^2-0.0021*Y119)+Z$2*((-2*10^-6)*Z119^3+0.00032*Z119^2-0.0021*Z119)+ AA$2*((-2*10^-6)*AA119^3+0.00032*AA119^2-0.0021*AA119))</f>
        <v>1.5113200000000004</v>
      </c>
      <c r="AL119" s="6">
        <f>(AB$1*AB119+AC$1*AC119)/100</f>
        <v>0.44400000000000006</v>
      </c>
      <c r="AM119" s="6">
        <f>AD$1*((-2*10^-6)*AD119^3+0.00032*AD119^2-0.0021*AD119)+AE$1*((-2*10^-6)*AE119^3+0.00032*AE119^2-0.0021*AE119)+AF$1*((-2*10^-6)*AF119^3+0.00032*AF119^2-0.0021*AF119)+AG$1*((-2*10^-6)*AG119^3+0.00032*AG119^2-0.0021*AG119)</f>
        <v>0.33364280000000007</v>
      </c>
    </row>
    <row r="120" spans="1:39" ht="15" thickBot="1" x14ac:dyDescent="0.35">
      <c r="A120" s="6">
        <f>(AI120*H$3+AJ120*M$3+AK120*W$3+AL120*AB$3+AM120*AD$3)*100/(AI$5*H$3+AJ$5*M$3+AK$5*W$3+AL$5*AB$3+AM$5*AD$3)</f>
        <v>19.98019173953266</v>
      </c>
      <c r="B120" s="20">
        <v>160</v>
      </c>
      <c r="C120" s="13" t="s">
        <v>188</v>
      </c>
      <c r="D120" s="21" t="s">
        <v>7</v>
      </c>
      <c r="E120" s="21" t="s">
        <v>20</v>
      </c>
      <c r="F120" s="21" t="s">
        <v>19</v>
      </c>
      <c r="G120" s="21">
        <v>18</v>
      </c>
      <c r="H120" s="21">
        <v>31</v>
      </c>
      <c r="I120" s="21">
        <v>10</v>
      </c>
      <c r="J120" s="21">
        <v>18</v>
      </c>
      <c r="K120" s="21">
        <v>20</v>
      </c>
      <c r="L120" s="21">
        <v>26</v>
      </c>
      <c r="M120" s="21">
        <v>35</v>
      </c>
      <c r="N120" s="21">
        <v>71</v>
      </c>
      <c r="O120" s="21">
        <v>36</v>
      </c>
      <c r="P120" s="21">
        <v>37</v>
      </c>
      <c r="Q120" s="20">
        <v>160</v>
      </c>
      <c r="R120" s="13" t="s">
        <v>188</v>
      </c>
      <c r="S120" s="21" t="s">
        <v>7</v>
      </c>
      <c r="T120" s="21" t="s">
        <v>20</v>
      </c>
      <c r="U120" s="21" t="s">
        <v>19</v>
      </c>
      <c r="V120" s="21">
        <v>18</v>
      </c>
      <c r="W120" s="21">
        <v>17</v>
      </c>
      <c r="X120" s="21">
        <v>30</v>
      </c>
      <c r="Y120" s="21">
        <v>66</v>
      </c>
      <c r="Z120" s="21">
        <v>61</v>
      </c>
      <c r="AA120" s="21">
        <v>80</v>
      </c>
      <c r="AB120" s="21">
        <v>77</v>
      </c>
      <c r="AC120" s="21">
        <v>65</v>
      </c>
      <c r="AD120" s="21">
        <v>16</v>
      </c>
      <c r="AE120" s="21">
        <v>62</v>
      </c>
      <c r="AF120" s="21">
        <v>22</v>
      </c>
      <c r="AG120" s="21">
        <v>46</v>
      </c>
      <c r="AH120" s="21">
        <v>37</v>
      </c>
      <c r="AI120" s="6">
        <f>H$1*((-2*10^-6)*H120^3+0.00032*H120^2-0.0021*H120)+I$1*((-2*10^-6)*I120^3+0.00032*I120^2-0.0021*I120)+J$1*((-2*10^-6)*J120^3+0.00032*J120^2-0.0021*J120)+K$1*((-2*10^-6)*K120^3+0.00032*K120^2-0.0021*K120)+L$1*((-2*10^-6)*L120^3+0.00032*L120^2-0.0021*L120)</f>
        <v>0.56781720000000013</v>
      </c>
      <c r="AJ120" s="6">
        <f>(M$1*M120+N$1*N120+O$1*O120)/100</f>
        <v>0.52800000000000002</v>
      </c>
      <c r="AK120" s="6">
        <f>IF(AA120&lt;50,W$1*((-2*10^-6)*W120^3+0.00032*W120^2-0.0021*W120)+X$1*((-2*10^-6)*X120^3+0.00032*X120^2-0.0021*X120)+Y$1*((-2*10^-6)*Y120^3+0.00032*Y120^2-0.0021*Y120)+Z$1*((-2*10^-6)*Z120^3+0.00032*Z120^2-0.0021*Z120),X$2*((-2*10^-6)*X120^3+0.00032*X120^2-0.0021*AA120)+Y$2*((-2*10^-6)*Y120^3+0.00032*Y120^2-0.0021*Y120)+Z$2*((-2*10^-6)*Z120^3+0.00032*Z120^2-0.0021*Z120)+ AA$2*((-2*10^-6)*AA120^3+0.00032*AA120^2-0.0021*AA120))</f>
        <v>1.3919614</v>
      </c>
      <c r="AL120" s="6">
        <f>(AB$1*AB120+AC$1*AC120)/100</f>
        <v>0.746</v>
      </c>
      <c r="AM120" s="6">
        <f>AD$1*((-2*10^-6)*AD120^3+0.00032*AD120^2-0.0021*AD120)+AE$1*((-2*10^-6)*AE120^3+0.00032*AE120^2-0.0021*AE120)+AF$1*((-2*10^-6)*AF120^3+0.00032*AF120^2-0.0021*AF120)+AG$1*((-2*10^-6)*AG120^3+0.00032*AG120^2-0.0021*AG120)</f>
        <v>0.14977360000000003</v>
      </c>
    </row>
    <row r="121" spans="1:39" ht="15" thickBot="1" x14ac:dyDescent="0.35">
      <c r="A121" s="6">
        <f>(AI121*H$3+AJ121*M$3+AK121*W$3+AL121*AB$3+AM121*AD$3)*100/(AI$5*H$3+AJ$5*M$3+AK$5*W$3+AL$5*AB$3+AM$5*AD$3)</f>
        <v>19.893617237160157</v>
      </c>
      <c r="B121" s="20">
        <v>62</v>
      </c>
      <c r="C121" s="13" t="s">
        <v>90</v>
      </c>
      <c r="D121" s="21" t="s">
        <v>16</v>
      </c>
      <c r="E121" s="21" t="s">
        <v>19</v>
      </c>
      <c r="F121" s="21" t="s">
        <v>19</v>
      </c>
      <c r="G121" s="21">
        <v>18</v>
      </c>
      <c r="H121" s="21">
        <v>31</v>
      </c>
      <c r="I121" s="21">
        <v>7</v>
      </c>
      <c r="J121" s="21">
        <v>31</v>
      </c>
      <c r="K121" s="21">
        <v>24</v>
      </c>
      <c r="L121" s="21">
        <v>23</v>
      </c>
      <c r="M121" s="21">
        <v>19</v>
      </c>
      <c r="N121" s="21">
        <v>60</v>
      </c>
      <c r="O121" s="21">
        <v>56</v>
      </c>
      <c r="P121" s="21">
        <v>59</v>
      </c>
      <c r="Q121" s="20">
        <v>62</v>
      </c>
      <c r="R121" s="13" t="s">
        <v>90</v>
      </c>
      <c r="S121" s="21" t="s">
        <v>16</v>
      </c>
      <c r="T121" s="21" t="s">
        <v>19</v>
      </c>
      <c r="U121" s="21" t="s">
        <v>19</v>
      </c>
      <c r="V121" s="21">
        <v>18</v>
      </c>
      <c r="W121" s="21">
        <v>48</v>
      </c>
      <c r="X121" s="21">
        <v>17</v>
      </c>
      <c r="Y121" s="21">
        <v>45</v>
      </c>
      <c r="Z121" s="21">
        <v>70</v>
      </c>
      <c r="AA121" s="21">
        <v>9</v>
      </c>
      <c r="AB121" s="21">
        <v>20</v>
      </c>
      <c r="AC121" s="21">
        <v>89</v>
      </c>
      <c r="AD121" s="21">
        <v>20</v>
      </c>
      <c r="AE121" s="21">
        <v>71</v>
      </c>
      <c r="AF121" s="21">
        <v>46</v>
      </c>
      <c r="AG121" s="21">
        <v>80</v>
      </c>
      <c r="AH121" s="21">
        <v>59</v>
      </c>
      <c r="AI121" s="6">
        <f>H$1*((-2*10^-6)*H121^3+0.00032*H121^2-0.0021*H121)+I$1*((-2*10^-6)*I121^3+0.00032*I121^2-0.0021*I121)+J$1*((-2*10^-6)*J121^3+0.00032*J121^2-0.0021*J121)+K$1*((-2*10^-6)*K121^3+0.00032*K121^2-0.0021*K121)+L$1*((-2*10^-6)*L121^3+0.00032*L121^2-0.0021*L121)</f>
        <v>0.59076760000000017</v>
      </c>
      <c r="AJ121" s="6">
        <f>(M$1*M121+N$1*N121+O$1*O121)/100</f>
        <v>0.36599999999999999</v>
      </c>
      <c r="AK121" s="6">
        <f>IF(AA121&lt;50,W$1*((-2*10^-6)*W121^3+0.00032*W121^2-0.0021*W121)+X$1*((-2*10^-6)*X121^3+0.00032*X121^2-0.0021*X121)+Y$1*((-2*10^-6)*Y121^3+0.00032*Y121^2-0.0021*Y121)+Z$1*((-2*10^-6)*Z121^3+0.00032*Z121^2-0.0021*Z121),X$2*((-2*10^-6)*X121^3+0.00032*X121^2-0.0021*AA121)+Y$2*((-2*10^-6)*Y121^3+0.00032*Y121^2-0.0021*Y121)+Z$2*((-2*10^-6)*Z121^3+0.00032*Z121^2-0.0021*Z121)+ AA$2*((-2*10^-6)*AA121^3+0.00032*AA121^2-0.0021*AA121))</f>
        <v>1.5685000000000002</v>
      </c>
      <c r="AL121" s="6">
        <f>(AB$1*AB121+AC$1*AC121)/100</f>
        <v>0.33799999999999997</v>
      </c>
      <c r="AM121" s="6">
        <f>AD$1*((-2*10^-6)*AD121^3+0.00032*AD121^2-0.0021*AD121)+AE$1*((-2*10^-6)*AE121^3+0.00032*AE121^2-0.0021*AE121)+AF$1*((-2*10^-6)*AF121^3+0.00032*AF121^2-0.0021*AF121)+AG$1*((-2*10^-6)*AG121^3+0.00032*AG121^2-0.0021*AG121)</f>
        <v>0.26900460000000004</v>
      </c>
    </row>
    <row r="122" spans="1:39" ht="15" thickBot="1" x14ac:dyDescent="0.35">
      <c r="A122" s="6">
        <f>(AI122*H$3+AJ122*M$3+AK122*W$3+AL122*AB$3+AM122*AD$3)*100/(AI$5*H$3+AJ$5*M$3+AK$5*W$3+AL$5*AB$3+AM$5*AD$3)</f>
        <v>19.826884419111277</v>
      </c>
      <c r="B122" s="18">
        <v>157</v>
      </c>
      <c r="C122" s="12" t="s">
        <v>185</v>
      </c>
      <c r="D122" s="19" t="s">
        <v>16</v>
      </c>
      <c r="E122" s="19" t="s">
        <v>21</v>
      </c>
      <c r="F122" s="19" t="s">
        <v>19</v>
      </c>
      <c r="G122" s="19">
        <v>19</v>
      </c>
      <c r="H122" s="19">
        <v>29</v>
      </c>
      <c r="I122" s="19">
        <v>0</v>
      </c>
      <c r="J122" s="19">
        <v>41</v>
      </c>
      <c r="K122" s="19">
        <v>0</v>
      </c>
      <c r="L122" s="19">
        <v>42</v>
      </c>
      <c r="M122" s="19">
        <v>39</v>
      </c>
      <c r="N122" s="19">
        <v>58</v>
      </c>
      <c r="O122" s="19">
        <v>93</v>
      </c>
      <c r="P122" s="19">
        <v>53</v>
      </c>
      <c r="Q122" s="18">
        <v>157</v>
      </c>
      <c r="R122" s="12" t="s">
        <v>185</v>
      </c>
      <c r="S122" s="19" t="s">
        <v>16</v>
      </c>
      <c r="T122" s="19" t="s">
        <v>21</v>
      </c>
      <c r="U122" s="19" t="s">
        <v>19</v>
      </c>
      <c r="V122" s="19">
        <v>19</v>
      </c>
      <c r="W122" s="19">
        <v>60</v>
      </c>
      <c r="X122" s="19">
        <v>30</v>
      </c>
      <c r="Y122" s="19">
        <v>54</v>
      </c>
      <c r="Z122" s="19">
        <v>48</v>
      </c>
      <c r="AA122" s="19">
        <v>55</v>
      </c>
      <c r="AB122" s="19">
        <v>21</v>
      </c>
      <c r="AC122" s="19">
        <v>100</v>
      </c>
      <c r="AD122" s="19">
        <v>8</v>
      </c>
      <c r="AE122" s="19">
        <v>49</v>
      </c>
      <c r="AF122" s="19">
        <v>65</v>
      </c>
      <c r="AG122" s="19">
        <v>22</v>
      </c>
      <c r="AH122" s="19">
        <v>53</v>
      </c>
      <c r="AI122" s="6">
        <f>H$1*((-2*10^-6)*H122^3+0.00032*H122^2-0.0021*H122)+I$1*((-2*10^-6)*I122^3+0.00032*I122^2-0.0021*I122)+J$1*((-2*10^-6)*J122^3+0.00032*J122^2-0.0021*J122)+K$1*((-2*10^-6)*K122^3+0.00032*K122^2-0.0021*K122)+L$1*((-2*10^-6)*L122^3+0.00032*L122^2-0.0021*L122)</f>
        <v>1.0696576000000002</v>
      </c>
      <c r="AJ122" s="6">
        <f>(M$1*M122+N$1*N122+O$1*O122)/100</f>
        <v>0.59900000000000009</v>
      </c>
      <c r="AK122" s="6">
        <f>IF(AA122&lt;50,W$1*((-2*10^-6)*W122^3+0.00032*W122^2-0.0021*W122)+X$1*((-2*10^-6)*X122^3+0.00032*X122^2-0.0021*X122)+Y$1*((-2*10^-6)*Y122^3+0.00032*Y122^2-0.0021*Y122)+Z$1*((-2*10^-6)*Z122^3+0.00032*Z122^2-0.0021*Z122),X$2*((-2*10^-6)*X122^3+0.00032*X122^2-0.0021*AA122)+Y$2*((-2*10^-6)*Y122^3+0.00032*Y122^2-0.0021*Y122)+Z$2*((-2*10^-6)*Z122^3+0.00032*Z122^2-0.0021*Z122)+ AA$2*((-2*10^-6)*AA122^3+0.00032*AA122^2-0.0021*AA122))</f>
        <v>0.92043480000000022</v>
      </c>
      <c r="AL122" s="6">
        <f>(AB$1*AB122+AC$1*AC122)/100</f>
        <v>0.36799999999999999</v>
      </c>
      <c r="AM122" s="6">
        <f>AD$1*((-2*10^-6)*AD122^3+0.00032*AD122^2-0.0021*AD122)+AE$1*((-2*10^-6)*AE122^3+0.00032*AE122^2-0.0021*AE122)+AF$1*((-2*10^-6)*AF122^3+0.00032*AF122^2-0.0021*AF122)+AG$1*((-2*10^-6)*AG122^3+0.00032*AG122^2-0.0021*AG122)</f>
        <v>0.12103160000000004</v>
      </c>
    </row>
    <row r="123" spans="1:39" ht="15" thickBot="1" x14ac:dyDescent="0.35">
      <c r="A123" s="6">
        <f>(AI123*H$3+AJ123*M$3+AK123*W$3+AL123*AB$3+AM123*AD$3)*100/(AI$5*H$3+AJ$5*M$3+AK$5*W$3+AL$5*AB$3+AM$5*AD$3)</f>
        <v>19.557985168163768</v>
      </c>
      <c r="B123" s="20">
        <v>92</v>
      </c>
      <c r="C123" s="13" t="s">
        <v>120</v>
      </c>
      <c r="D123" s="21" t="s">
        <v>16</v>
      </c>
      <c r="E123" s="21" t="s">
        <v>19</v>
      </c>
      <c r="F123" s="21" t="s">
        <v>19</v>
      </c>
      <c r="G123" s="21">
        <v>18</v>
      </c>
      <c r="H123" s="21">
        <v>26</v>
      </c>
      <c r="I123" s="21">
        <v>13</v>
      </c>
      <c r="J123" s="21">
        <v>16</v>
      </c>
      <c r="K123" s="21">
        <v>10</v>
      </c>
      <c r="L123" s="21">
        <v>7</v>
      </c>
      <c r="M123" s="21">
        <v>0</v>
      </c>
      <c r="N123" s="21">
        <v>52</v>
      </c>
      <c r="O123" s="21">
        <v>65</v>
      </c>
      <c r="P123" s="21">
        <v>52</v>
      </c>
      <c r="Q123" s="20">
        <v>92</v>
      </c>
      <c r="R123" s="13" t="s">
        <v>120</v>
      </c>
      <c r="S123" s="21" t="s">
        <v>16</v>
      </c>
      <c r="T123" s="21" t="s">
        <v>19</v>
      </c>
      <c r="U123" s="21" t="s">
        <v>19</v>
      </c>
      <c r="V123" s="21">
        <v>18</v>
      </c>
      <c r="W123" s="21">
        <v>45</v>
      </c>
      <c r="X123" s="21">
        <v>57</v>
      </c>
      <c r="Y123" s="21">
        <v>14</v>
      </c>
      <c r="Z123" s="21">
        <v>74</v>
      </c>
      <c r="AA123" s="21">
        <v>7</v>
      </c>
      <c r="AB123" s="21">
        <v>94</v>
      </c>
      <c r="AC123" s="21">
        <v>100</v>
      </c>
      <c r="AD123" s="21">
        <v>31</v>
      </c>
      <c r="AE123" s="21">
        <v>66</v>
      </c>
      <c r="AF123" s="21">
        <v>51</v>
      </c>
      <c r="AG123" s="21">
        <v>57</v>
      </c>
      <c r="AH123" s="21">
        <v>52</v>
      </c>
      <c r="AI123" s="6">
        <f>H$1*((-2*10^-6)*H123^3+0.00032*H123^2-0.0021*H123)+I$1*((-2*10^-6)*I123^3+0.00032*I123^2-0.0021*I123)+J$1*((-2*10^-6)*J123^3+0.00032*J123^2-0.0021*J123)+K$1*((-2*10^-6)*K123^3+0.00032*K123^2-0.0021*K123)+L$1*((-2*10^-6)*L123^3+0.00032*L123^2-0.0021*L123)</f>
        <v>0.20326360000000004</v>
      </c>
      <c r="AJ123" s="6">
        <f>(M$1*M123+N$1*N123+O$1*O123)/100</f>
        <v>0.16899999999999998</v>
      </c>
      <c r="AK123" s="6">
        <f>IF(AA123&lt;50,W$1*((-2*10^-6)*W123^3+0.00032*W123^2-0.0021*W123)+X$1*((-2*10^-6)*X123^3+0.00032*X123^2-0.0021*X123)+Y$1*((-2*10^-6)*Y123^3+0.00032*Y123^2-0.0021*Y123)+Z$1*((-2*10^-6)*Z123^3+0.00032*Z123^2-0.0021*Z123),X$2*((-2*10^-6)*X123^3+0.00032*X123^2-0.0021*AA123)+Y$2*((-2*10^-6)*Y123^3+0.00032*Y123^2-0.0021*Y123)+Z$2*((-2*10^-6)*Z123^3+0.00032*Z123^2-0.0021*Z123)+ AA$2*((-2*10^-6)*AA123^3+0.00032*AA123^2-0.0021*AA123))</f>
        <v>1.7351480000000001</v>
      </c>
      <c r="AL123" s="6">
        <f>(AB$1*AB123+AC$1*AC123)/100</f>
        <v>0.95200000000000007</v>
      </c>
      <c r="AM123" s="6">
        <f>AD$1*((-2*10^-6)*AD123^3+0.00032*AD123^2-0.0021*AD123)+AE$1*((-2*10^-6)*AE123^3+0.00032*AE123^2-0.0021*AE123)+AF$1*((-2*10^-6)*AF123^3+0.00032*AF123^2-0.0021*AF123)+AG$1*((-2*10^-6)*AG123^3+0.00032*AG123^2-0.0021*AG123)</f>
        <v>0.35182200000000008</v>
      </c>
    </row>
    <row r="124" spans="1:39" ht="15" thickBot="1" x14ac:dyDescent="0.35">
      <c r="A124" s="6">
        <f>(AI124*H$3+AJ124*M$3+AK124*W$3+AL124*AB$3+AM124*AD$3)*100/(AI$5*H$3+AJ$5*M$3+AK$5*W$3+AL$5*AB$3+AM$5*AD$3)</f>
        <v>19.402617953385654</v>
      </c>
      <c r="B124" s="18">
        <v>11</v>
      </c>
      <c r="C124" s="12" t="s">
        <v>39</v>
      </c>
      <c r="D124" s="19" t="s">
        <v>16</v>
      </c>
      <c r="E124" s="19" t="s">
        <v>19</v>
      </c>
      <c r="F124" s="19" t="s">
        <v>19</v>
      </c>
      <c r="G124" s="19">
        <v>18</v>
      </c>
      <c r="H124" s="19">
        <v>21</v>
      </c>
      <c r="I124" s="19">
        <v>10</v>
      </c>
      <c r="J124" s="19">
        <v>27</v>
      </c>
      <c r="K124" s="19">
        <v>27</v>
      </c>
      <c r="L124" s="19">
        <v>21</v>
      </c>
      <c r="M124" s="19">
        <v>29</v>
      </c>
      <c r="N124" s="19">
        <v>49</v>
      </c>
      <c r="O124" s="19">
        <v>69</v>
      </c>
      <c r="P124" s="19">
        <v>76</v>
      </c>
      <c r="Q124" s="18">
        <v>11</v>
      </c>
      <c r="R124" s="12" t="s">
        <v>39</v>
      </c>
      <c r="S124" s="19" t="s">
        <v>16</v>
      </c>
      <c r="T124" s="19" t="s">
        <v>19</v>
      </c>
      <c r="U124" s="19" t="s">
        <v>19</v>
      </c>
      <c r="V124" s="19">
        <v>18</v>
      </c>
      <c r="W124" s="19">
        <v>13</v>
      </c>
      <c r="X124" s="19">
        <v>46</v>
      </c>
      <c r="Y124" s="19">
        <v>91</v>
      </c>
      <c r="Z124" s="19">
        <v>24</v>
      </c>
      <c r="AA124" s="19">
        <v>2</v>
      </c>
      <c r="AB124" s="19">
        <v>35</v>
      </c>
      <c r="AC124" s="19">
        <v>100</v>
      </c>
      <c r="AD124" s="19">
        <v>46</v>
      </c>
      <c r="AE124" s="19">
        <v>72</v>
      </c>
      <c r="AF124" s="19">
        <v>48</v>
      </c>
      <c r="AG124" s="19">
        <v>100</v>
      </c>
      <c r="AH124" s="19">
        <v>76</v>
      </c>
      <c r="AI124" s="6">
        <f>H$1*((-2*10^-6)*H124^3+0.00032*H124^2-0.0021*H124)+I$1*((-2*10^-6)*I124^3+0.00032*I124^2-0.0021*I124)+J$1*((-2*10^-6)*J124^3+0.00032*J124^2-0.0021*J124)+K$1*((-2*10^-6)*K124^3+0.00032*K124^2-0.0021*K124)+L$1*((-2*10^-6)*L124^3+0.00032*L124^2-0.0021*L124)</f>
        <v>0.46129320000000013</v>
      </c>
      <c r="AJ124" s="6">
        <f>(M$1*M124+N$1*N124+O$1*O124)/100</f>
        <v>0.45699999999999996</v>
      </c>
      <c r="AK124" s="6">
        <f>IF(AA124&lt;50,W$1*((-2*10^-6)*W124^3+0.00032*W124^2-0.0021*W124)+X$1*((-2*10^-6)*X124^3+0.00032*X124^2-0.0021*X124)+Y$1*((-2*10^-6)*Y124^3+0.00032*Y124^2-0.0021*Y124)+Z$1*((-2*10^-6)*Z124^3+0.00032*Z124^2-0.0021*Z124),X$2*((-2*10^-6)*X124^3+0.00032*X124^2-0.0021*AA124)+Y$2*((-2*10^-6)*Y124^3+0.00032*Y124^2-0.0021*Y124)+Z$2*((-2*10^-6)*Z124^3+0.00032*Z124^2-0.0021*Z124)+ AA$2*((-2*10^-6)*AA124^3+0.00032*AA124^2-0.0021*AA124))</f>
        <v>1.4661840000000004</v>
      </c>
      <c r="AL124" s="6">
        <f>(AB$1*AB124+AC$1*AC124)/100</f>
        <v>0.48</v>
      </c>
      <c r="AM124" s="6">
        <f>AD$1*((-2*10^-6)*AD124^3+0.00032*AD124^2-0.0021*AD124)+AE$1*((-2*10^-6)*AE124^3+0.00032*AE124^2-0.0021*AE124)+AF$1*((-2*10^-6)*AF124^3+0.00032*AF124^2-0.0021*AF124)+AG$1*((-2*10^-6)*AG124^3+0.00032*AG124^2-0.0021*AG124)</f>
        <v>0.60249600000000014</v>
      </c>
    </row>
    <row r="125" spans="1:39" ht="15" thickBot="1" x14ac:dyDescent="0.35">
      <c r="A125" s="6">
        <f>(AI125*H$3+AJ125*M$3+AK125*W$3+AL125*AB$3+AM125*AD$3)*100/(AI$5*H$3+AJ$5*M$3+AK$5*W$3+AL$5*AB$3+AM$5*AD$3)</f>
        <v>19.371807275657286</v>
      </c>
      <c r="B125" s="18">
        <v>193</v>
      </c>
      <c r="C125" s="12" t="s">
        <v>221</v>
      </c>
      <c r="D125" s="19" t="s">
        <v>4</v>
      </c>
      <c r="E125" s="19" t="s">
        <v>19</v>
      </c>
      <c r="F125" s="19" t="s">
        <v>19</v>
      </c>
      <c r="G125" s="19">
        <v>18</v>
      </c>
      <c r="H125" s="19">
        <v>22</v>
      </c>
      <c r="I125" s="19">
        <v>10</v>
      </c>
      <c r="J125" s="19">
        <v>30</v>
      </c>
      <c r="K125" s="19">
        <v>14</v>
      </c>
      <c r="L125" s="19">
        <v>27</v>
      </c>
      <c r="M125" s="19">
        <v>25</v>
      </c>
      <c r="N125" s="19">
        <v>68</v>
      </c>
      <c r="O125" s="19">
        <v>39</v>
      </c>
      <c r="P125" s="19">
        <v>38</v>
      </c>
      <c r="Q125" s="18">
        <v>193</v>
      </c>
      <c r="R125" s="12" t="s">
        <v>221</v>
      </c>
      <c r="S125" s="19" t="s">
        <v>4</v>
      </c>
      <c r="T125" s="19" t="s">
        <v>19</v>
      </c>
      <c r="U125" s="19" t="s">
        <v>19</v>
      </c>
      <c r="V125" s="19">
        <v>18</v>
      </c>
      <c r="W125" s="19">
        <v>10</v>
      </c>
      <c r="X125" s="19">
        <v>27</v>
      </c>
      <c r="Y125" s="19">
        <v>55</v>
      </c>
      <c r="Z125" s="19">
        <v>62</v>
      </c>
      <c r="AA125" s="19">
        <v>77</v>
      </c>
      <c r="AB125" s="19">
        <v>73</v>
      </c>
      <c r="AC125" s="19">
        <v>54</v>
      </c>
      <c r="AD125" s="19">
        <v>50</v>
      </c>
      <c r="AE125" s="19">
        <v>60</v>
      </c>
      <c r="AF125" s="19">
        <v>17</v>
      </c>
      <c r="AG125" s="19">
        <v>96</v>
      </c>
      <c r="AH125" s="19">
        <v>38</v>
      </c>
      <c r="AI125" s="6">
        <f>H$1*((-2*10^-6)*H125^3+0.00032*H125^2-0.0021*H125)+I$1*((-2*10^-6)*I125^3+0.00032*I125^2-0.0021*I125)+J$1*((-2*10^-6)*J125^3+0.00032*J125^2-0.0021*J125)+K$1*((-2*10^-6)*K125^3+0.00032*K125^2-0.0021*K125)+L$1*((-2*10^-6)*L125^3+0.00032*L125^2-0.0021*L125)</f>
        <v>0.53212040000000016</v>
      </c>
      <c r="AJ125" s="6">
        <f>(M$1*M125+N$1*N125+O$1*O125)/100</f>
        <v>0.42499999999999999</v>
      </c>
      <c r="AK125" s="6">
        <f>IF(AA125&lt;50,W$1*((-2*10^-6)*W125^3+0.00032*W125^2-0.0021*W125)+X$1*((-2*10^-6)*X125^3+0.00032*X125^2-0.0021*X125)+Y$1*((-2*10^-6)*Y125^3+0.00032*Y125^2-0.0021*Y125)+Z$1*((-2*10^-6)*Z125^3+0.00032*Z125^2-0.0021*Z125),X$2*((-2*10^-6)*X125^3+0.00032*X125^2-0.0021*AA125)+Y$2*((-2*10^-6)*Y125^3+0.00032*Y125^2-0.0021*Y125)+Z$2*((-2*10^-6)*Z125^3+0.00032*Z125^2-0.0021*Z125)+ AA$2*((-2*10^-6)*AA125^3+0.00032*AA125^2-0.0021*AA125))</f>
        <v>1.2757990000000003</v>
      </c>
      <c r="AL125" s="6">
        <f>(AB$1*AB125+AC$1*AC125)/100</f>
        <v>0.69200000000000006</v>
      </c>
      <c r="AM125" s="6">
        <f>AD$1*((-2*10^-6)*AD125^3+0.00032*AD125^2-0.0021*AD125)+AE$1*((-2*10^-6)*AE125^3+0.00032*AE125^2-0.0021*AE125)+AF$1*((-2*10^-6)*AF125^3+0.00032*AF125^2-0.0021*AF125)+AG$1*((-2*10^-6)*AG125^3+0.00032*AG125^2-0.0021*AG125)</f>
        <v>0.60690020000000011</v>
      </c>
    </row>
    <row r="126" spans="1:39" ht="15" thickBot="1" x14ac:dyDescent="0.35">
      <c r="A126" s="6">
        <f>(AI126*H$3+AJ126*M$3+AK126*W$3+AL126*AB$3+AM126*AD$3)*100/(AI$5*H$3+AJ$5*M$3+AK$5*W$3+AL$5*AB$3+AM$5*AD$3)</f>
        <v>19.262521859798856</v>
      </c>
      <c r="B126" s="18">
        <v>61</v>
      </c>
      <c r="C126" s="12" t="s">
        <v>89</v>
      </c>
      <c r="D126" s="19" t="s">
        <v>16</v>
      </c>
      <c r="E126" s="19" t="s">
        <v>20</v>
      </c>
      <c r="F126" s="19" t="s">
        <v>20</v>
      </c>
      <c r="G126" s="19">
        <v>18</v>
      </c>
      <c r="H126" s="19">
        <v>25</v>
      </c>
      <c r="I126" s="19">
        <v>12</v>
      </c>
      <c r="J126" s="19">
        <v>10</v>
      </c>
      <c r="K126" s="19">
        <v>22</v>
      </c>
      <c r="L126" s="19">
        <v>24</v>
      </c>
      <c r="M126" s="19">
        <v>24</v>
      </c>
      <c r="N126" s="19">
        <v>39</v>
      </c>
      <c r="O126" s="19">
        <v>77</v>
      </c>
      <c r="P126" s="19">
        <v>59</v>
      </c>
      <c r="Q126" s="18">
        <v>61</v>
      </c>
      <c r="R126" s="12" t="s">
        <v>89</v>
      </c>
      <c r="S126" s="19" t="s">
        <v>16</v>
      </c>
      <c r="T126" s="19" t="s">
        <v>20</v>
      </c>
      <c r="U126" s="19" t="s">
        <v>20</v>
      </c>
      <c r="V126" s="19">
        <v>18</v>
      </c>
      <c r="W126" s="19">
        <v>60</v>
      </c>
      <c r="X126" s="19">
        <v>23</v>
      </c>
      <c r="Y126" s="19">
        <v>58</v>
      </c>
      <c r="Z126" s="19">
        <v>33</v>
      </c>
      <c r="AA126" s="19">
        <v>40</v>
      </c>
      <c r="AB126" s="19">
        <v>50</v>
      </c>
      <c r="AC126" s="19">
        <v>97</v>
      </c>
      <c r="AD126" s="19">
        <v>34</v>
      </c>
      <c r="AE126" s="19">
        <v>98</v>
      </c>
      <c r="AF126" s="19">
        <v>28</v>
      </c>
      <c r="AG126" s="19">
        <v>92</v>
      </c>
      <c r="AH126" s="19">
        <v>59</v>
      </c>
      <c r="AI126" s="6">
        <f>H$1*((-2*10^-6)*H126^3+0.00032*H126^2-0.0021*H126)+I$1*((-2*10^-6)*I126^3+0.00032*I126^2-0.0021*I126)+J$1*((-2*10^-6)*J126^3+0.00032*J126^2-0.0021*J126)+K$1*((-2*10^-6)*K126^3+0.00032*K126^2-0.0021*K126)+L$1*((-2*10^-6)*L126^3+0.00032*L126^2-0.0021*L126)</f>
        <v>0.46020360000000005</v>
      </c>
      <c r="AJ126" s="6">
        <f>(M$1*M126+N$1*N126+O$1*O126)/100</f>
        <v>0.39500000000000002</v>
      </c>
      <c r="AK126" s="6">
        <f>IF(AA126&lt;50,W$1*((-2*10^-6)*W126^3+0.00032*W126^2-0.0021*W126)+X$1*((-2*10^-6)*X126^3+0.00032*X126^2-0.0021*X126)+Y$1*((-2*10^-6)*Y126^3+0.00032*Y126^2-0.0021*Y126)+Z$1*((-2*10^-6)*Z126^3+0.00032*Z126^2-0.0021*Z126),X$2*((-2*10^-6)*X126^3+0.00032*X126^2-0.0021*AA126)+Y$2*((-2*10^-6)*Y126^3+0.00032*Y126^2-0.0021*Y126)+Z$2*((-2*10^-6)*Z126^3+0.00032*Z126^2-0.0021*Z126)+ AA$2*((-2*10^-6)*AA126^3+0.00032*AA126^2-0.0021*AA126))</f>
        <v>1.4624080000000004</v>
      </c>
      <c r="AL126" s="6">
        <f>(AB$1*AB126+AC$1*AC126)/100</f>
        <v>0.59400000000000008</v>
      </c>
      <c r="AM126" s="6">
        <f>AD$1*((-2*10^-6)*AD126^3+0.00032*AD126^2-0.0021*AD126)+AE$1*((-2*10^-6)*AE126^3+0.00032*AE126^2-0.0021*AE126)+AF$1*((-2*10^-6)*AF126^3+0.00032*AF126^2-0.0021*AF126)+AG$1*((-2*10^-6)*AG126^3+0.00032*AG126^2-0.0021*AG126)</f>
        <v>0.42902960000000012</v>
      </c>
    </row>
    <row r="127" spans="1:39" ht="15" thickBot="1" x14ac:dyDescent="0.35">
      <c r="A127" s="6">
        <f>(AI127*H$3+AJ127*M$3+AK127*W$3+AL127*AB$3+AM127*AD$3)*100/(AI$5*H$3+AJ$5*M$3+AK$5*W$3+AL$5*AB$3+AM$5*AD$3)</f>
        <v>19.261994837207908</v>
      </c>
      <c r="B127" s="18">
        <v>179</v>
      </c>
      <c r="C127" s="12" t="s">
        <v>207</v>
      </c>
      <c r="D127" s="19" t="s">
        <v>16</v>
      </c>
      <c r="E127" s="19" t="s">
        <v>19</v>
      </c>
      <c r="F127" s="19" t="s">
        <v>19</v>
      </c>
      <c r="G127" s="19">
        <v>20</v>
      </c>
      <c r="H127" s="19">
        <v>14</v>
      </c>
      <c r="I127" s="19">
        <v>0</v>
      </c>
      <c r="J127" s="19">
        <v>4</v>
      </c>
      <c r="K127" s="19">
        <v>13</v>
      </c>
      <c r="L127" s="19">
        <v>48</v>
      </c>
      <c r="M127" s="19">
        <v>26</v>
      </c>
      <c r="N127" s="19">
        <v>36</v>
      </c>
      <c r="O127" s="19">
        <v>66</v>
      </c>
      <c r="P127" s="19">
        <v>39</v>
      </c>
      <c r="Q127" s="18">
        <v>179</v>
      </c>
      <c r="R127" s="12" t="s">
        <v>207</v>
      </c>
      <c r="S127" s="19" t="s">
        <v>16</v>
      </c>
      <c r="T127" s="19" t="s">
        <v>19</v>
      </c>
      <c r="U127" s="19" t="s">
        <v>19</v>
      </c>
      <c r="V127" s="19">
        <v>20</v>
      </c>
      <c r="W127" s="19">
        <v>50</v>
      </c>
      <c r="X127" s="19">
        <v>0</v>
      </c>
      <c r="Y127" s="19">
        <v>33</v>
      </c>
      <c r="Z127" s="19">
        <v>45</v>
      </c>
      <c r="AA127" s="19">
        <v>20</v>
      </c>
      <c r="AB127" s="19">
        <v>29</v>
      </c>
      <c r="AC127" s="19">
        <v>84</v>
      </c>
      <c r="AD127" s="19">
        <v>1</v>
      </c>
      <c r="AE127" s="19">
        <v>48</v>
      </c>
      <c r="AF127" s="19">
        <v>20</v>
      </c>
      <c r="AG127" s="19">
        <v>89</v>
      </c>
      <c r="AH127" s="19">
        <v>39</v>
      </c>
      <c r="AI127" s="6">
        <f>H$1*((-2*10^-6)*H127^3+0.00032*H127^2-0.0021*H127)+I$1*((-2*10^-6)*I127^3+0.00032*I127^2-0.0021*I127)+J$1*((-2*10^-6)*J127^3+0.00032*J127^2-0.0021*J127)+K$1*((-2*10^-6)*K127^3+0.00032*K127^2-0.0021*K127)+L$1*((-2*10^-6)*L127^3+0.00032*L127^2-0.0021*L127)</f>
        <v>0.95734720000000029</v>
      </c>
      <c r="AJ127" s="6">
        <f>(M$1*M127+N$1*N127+O$1*O127)/100</f>
        <v>0.39800000000000002</v>
      </c>
      <c r="AK127" s="6">
        <f>IF(AA127&lt;50,W$1*((-2*10^-6)*W127^3+0.00032*W127^2-0.0021*W127)+X$1*((-2*10^-6)*X127^3+0.00032*X127^2-0.0021*X127)+Y$1*((-2*10^-6)*Y127^3+0.00032*Y127^2-0.0021*Y127)+Z$1*((-2*10^-6)*Z127^3+0.00032*Z127^2-0.0021*Z127),X$2*((-2*10^-6)*X127^3+0.00032*X127^2-0.0021*AA127)+Y$2*((-2*10^-6)*Y127^3+0.00032*Y127^2-0.0021*Y127)+Z$2*((-2*10^-6)*Z127^3+0.00032*Z127^2-0.0021*Z127)+ AA$2*((-2*10^-6)*AA127^3+0.00032*AA127^2-0.0021*AA127))</f>
        <v>1.0235560000000001</v>
      </c>
      <c r="AL127" s="6">
        <f>(AB$1*AB127+AC$1*AC127)/100</f>
        <v>0.4</v>
      </c>
      <c r="AM127" s="6">
        <f>AD$1*((-2*10^-6)*AD127^3+0.00032*AD127^2-0.0021*AD127)+AE$1*((-2*10^-6)*AE127^3+0.00032*AE127^2-0.0021*AE127)+AF$1*((-2*10^-6)*AF127^3+0.00032*AF127^2-0.0021*AF127)+AG$1*((-2*10^-6)*AG127^3+0.00032*AG127^2-0.0021*AG127)</f>
        <v>0.14053580000000004</v>
      </c>
    </row>
    <row r="128" spans="1:39" ht="15" thickBot="1" x14ac:dyDescent="0.35">
      <c r="A128" s="6">
        <f>(AI128*H$3+AJ128*M$3+AK128*W$3+AL128*AB$3+AM128*AD$3)*100/(AI$5*H$3+AJ$5*M$3+AK$5*W$3+AL$5*AB$3+AM$5*AD$3)</f>
        <v>19.130191291891727</v>
      </c>
      <c r="B128" s="20">
        <v>52</v>
      </c>
      <c r="C128" s="13" t="s">
        <v>80</v>
      </c>
      <c r="D128" s="21" t="s">
        <v>16</v>
      </c>
      <c r="E128" s="21" t="s">
        <v>20</v>
      </c>
      <c r="F128" s="21" t="s">
        <v>20</v>
      </c>
      <c r="G128" s="21">
        <v>18</v>
      </c>
      <c r="H128" s="21">
        <v>16</v>
      </c>
      <c r="I128" s="21">
        <v>7</v>
      </c>
      <c r="J128" s="21">
        <v>11</v>
      </c>
      <c r="K128" s="21">
        <v>24</v>
      </c>
      <c r="L128" s="21">
        <v>25</v>
      </c>
      <c r="M128" s="21">
        <v>23</v>
      </c>
      <c r="N128" s="21">
        <v>91</v>
      </c>
      <c r="O128" s="21">
        <v>74</v>
      </c>
      <c r="P128" s="21">
        <v>61</v>
      </c>
      <c r="Q128" s="20">
        <v>52</v>
      </c>
      <c r="R128" s="13" t="s">
        <v>80</v>
      </c>
      <c r="S128" s="21" t="s">
        <v>16</v>
      </c>
      <c r="T128" s="21" t="s">
        <v>20</v>
      </c>
      <c r="U128" s="21" t="s">
        <v>20</v>
      </c>
      <c r="V128" s="21">
        <v>18</v>
      </c>
      <c r="W128" s="21">
        <v>53</v>
      </c>
      <c r="X128" s="21">
        <v>24</v>
      </c>
      <c r="Y128" s="21">
        <v>65</v>
      </c>
      <c r="Z128" s="21">
        <v>34</v>
      </c>
      <c r="AA128" s="21">
        <v>11</v>
      </c>
      <c r="AB128" s="21">
        <v>51</v>
      </c>
      <c r="AC128" s="21">
        <v>91</v>
      </c>
      <c r="AD128" s="21">
        <v>41</v>
      </c>
      <c r="AE128" s="21">
        <v>70</v>
      </c>
      <c r="AF128" s="21">
        <v>49</v>
      </c>
      <c r="AG128" s="21">
        <v>79</v>
      </c>
      <c r="AH128" s="21">
        <v>61</v>
      </c>
      <c r="AI128" s="6">
        <f>H$1*((-2*10^-6)*H128^3+0.00032*H128^2-0.0021*H128)+I$1*((-2*10^-6)*I128^3+0.00032*I128^2-0.0021*I128)+J$1*((-2*10^-6)*J128^3+0.00032*J128^2-0.0021*J128)+K$1*((-2*10^-6)*K128^3+0.00032*K128^2-0.0021*K128)+L$1*((-2*10^-6)*L128^3+0.00032*L128^2-0.0021*L128)</f>
        <v>0.38925840000000012</v>
      </c>
      <c r="AJ128" s="6">
        <f>(M$1*M128+N$1*N128+O$1*O128)/100</f>
        <v>0.48599999999999999</v>
      </c>
      <c r="AK128" s="6">
        <f>IF(AA128&lt;50,W$1*((-2*10^-6)*W128^3+0.00032*W128^2-0.0021*W128)+X$1*((-2*10^-6)*X128^3+0.00032*X128^2-0.0021*X128)+Y$1*((-2*10^-6)*Y128^3+0.00032*Y128^2-0.0021*Y128)+Z$1*((-2*10^-6)*Z128^3+0.00032*Z128^2-0.0021*Z128),X$2*((-2*10^-6)*X128^3+0.00032*X128^2-0.0021*AA128)+Y$2*((-2*10^-6)*Y128^3+0.00032*Y128^2-0.0021*Y128)+Z$2*((-2*10^-6)*Z128^3+0.00032*Z128^2-0.0021*Z128)+ AA$2*((-2*10^-6)*AA128^3+0.00032*AA128^2-0.0021*AA128))</f>
        <v>1.4822600000000004</v>
      </c>
      <c r="AL128" s="6">
        <f>(AB$1*AB128+AC$1*AC128)/100</f>
        <v>0.59</v>
      </c>
      <c r="AM128" s="6">
        <f>AD$1*((-2*10^-6)*AD128^3+0.00032*AD128^2-0.0021*AD128)+AE$1*((-2*10^-6)*AE128^3+0.00032*AE128^2-0.0021*AE128)+AF$1*((-2*10^-6)*AF128^3+0.00032*AF128^2-0.0021*AF128)+AG$1*((-2*10^-6)*AG128^3+0.00032*AG128^2-0.0021*AG128)</f>
        <v>0.51500440000000003</v>
      </c>
    </row>
    <row r="129" spans="1:39" ht="15" thickBot="1" x14ac:dyDescent="0.35">
      <c r="A129" s="6">
        <f>(AI129*H$3+AJ129*M$3+AK129*W$3+AL129*AB$3+AM129*AD$3)*100/(AI$5*H$3+AJ$5*M$3+AK$5*W$3+AL$5*AB$3+AM$5*AD$3)</f>
        <v>19.011471246530778</v>
      </c>
      <c r="B129" s="18">
        <v>125</v>
      </c>
      <c r="C129" s="12" t="s">
        <v>153</v>
      </c>
      <c r="D129" s="19" t="s">
        <v>16</v>
      </c>
      <c r="E129" s="19" t="s">
        <v>20</v>
      </c>
      <c r="F129" s="19" t="s">
        <v>20</v>
      </c>
      <c r="G129" s="19">
        <v>18</v>
      </c>
      <c r="H129" s="19">
        <v>24</v>
      </c>
      <c r="I129" s="19">
        <v>12</v>
      </c>
      <c r="J129" s="19">
        <v>16</v>
      </c>
      <c r="K129" s="19">
        <v>34</v>
      </c>
      <c r="L129" s="19">
        <v>30</v>
      </c>
      <c r="M129" s="19">
        <v>16</v>
      </c>
      <c r="N129" s="19">
        <v>42</v>
      </c>
      <c r="O129" s="19">
        <v>61</v>
      </c>
      <c r="P129" s="19">
        <v>45</v>
      </c>
      <c r="Q129" s="18">
        <v>125</v>
      </c>
      <c r="R129" s="12" t="s">
        <v>153</v>
      </c>
      <c r="S129" s="19" t="s">
        <v>16</v>
      </c>
      <c r="T129" s="19" t="s">
        <v>20</v>
      </c>
      <c r="U129" s="19" t="s">
        <v>20</v>
      </c>
      <c r="V129" s="19">
        <v>18</v>
      </c>
      <c r="W129" s="19">
        <v>29</v>
      </c>
      <c r="X129" s="19">
        <v>23</v>
      </c>
      <c r="Y129" s="19">
        <v>60</v>
      </c>
      <c r="Z129" s="19">
        <v>58</v>
      </c>
      <c r="AA129" s="19">
        <v>13</v>
      </c>
      <c r="AB129" s="19">
        <v>0</v>
      </c>
      <c r="AC129" s="19">
        <v>72</v>
      </c>
      <c r="AD129" s="19">
        <v>21</v>
      </c>
      <c r="AE129" s="19">
        <v>52</v>
      </c>
      <c r="AF129" s="19">
        <v>36</v>
      </c>
      <c r="AG129" s="19">
        <v>90</v>
      </c>
      <c r="AH129" s="19">
        <v>45</v>
      </c>
      <c r="AI129" s="6">
        <f>H$1*((-2*10^-6)*H129^3+0.00032*H129^2-0.0021*H129)+I$1*((-2*10^-6)*I129^3+0.00032*I129^2-0.0021*I129)+J$1*((-2*10^-6)*J129^3+0.00032*J129^2-0.0021*J129)+K$1*((-2*10^-6)*K129^3+0.00032*K129^2-0.0021*K129)+L$1*((-2*10^-6)*L129^3+0.00032*L129^2-0.0021*L129)</f>
        <v>0.71732640000000014</v>
      </c>
      <c r="AJ129" s="6">
        <f>(M$1*M129+N$1*N129+O$1*O129)/100</f>
        <v>0.30499999999999999</v>
      </c>
      <c r="AK129" s="6">
        <f>IF(AA129&lt;50,W$1*((-2*10^-6)*W129^3+0.00032*W129^2-0.0021*W129)+X$1*((-2*10^-6)*X129^3+0.00032*X129^2-0.0021*X129)+Y$1*((-2*10^-6)*Y129^3+0.00032*Y129^2-0.0021*Y129)+Z$1*((-2*10^-6)*Z129^3+0.00032*Z129^2-0.0021*Z129),X$2*((-2*10^-6)*X129^3+0.00032*X129^2-0.0021*AA129)+Y$2*((-2*10^-6)*Y129^3+0.00032*Y129^2-0.0021*Y129)+Z$2*((-2*10^-6)*Z129^3+0.00032*Z129^2-0.0021*Z129)+ AA$2*((-2*10^-6)*AA129^3+0.00032*AA129^2-0.0021*AA129))</f>
        <v>1.4145440000000002</v>
      </c>
      <c r="AL129" s="6">
        <f>(AB$1*AB129+AC$1*AC129)/100</f>
        <v>0.14400000000000002</v>
      </c>
      <c r="AM129" s="6">
        <f>AD$1*((-2*10^-6)*AD129^3+0.00032*AD129^2-0.0021*AD129)+AE$1*((-2*10^-6)*AE129^3+0.00032*AE129^2-0.0021*AE129)+AF$1*((-2*10^-6)*AF129^3+0.00032*AF129^2-0.0021*AF129)+AG$1*((-2*10^-6)*AG129^3+0.00032*AG129^2-0.0021*AG129)</f>
        <v>0.24506520000000009</v>
      </c>
    </row>
    <row r="130" spans="1:39" ht="15" thickBot="1" x14ac:dyDescent="0.35">
      <c r="A130" s="6">
        <f>(AI130*H$3+AJ130*M$3+AK130*W$3+AL130*AB$3+AM130*AD$3)*100/(AI$5*H$3+AJ$5*M$3+AK$5*W$3+AL$5*AB$3+AM$5*AD$3)</f>
        <v>19.002621534513114</v>
      </c>
      <c r="B130" s="18">
        <v>17</v>
      </c>
      <c r="C130" s="12" t="s">
        <v>45</v>
      </c>
      <c r="D130" s="19" t="s">
        <v>16</v>
      </c>
      <c r="E130" s="19" t="s">
        <v>19</v>
      </c>
      <c r="F130" s="19" t="s">
        <v>19</v>
      </c>
      <c r="G130" s="19">
        <v>18</v>
      </c>
      <c r="H130" s="19">
        <v>32</v>
      </c>
      <c r="I130" s="19">
        <v>10</v>
      </c>
      <c r="J130" s="19">
        <v>20</v>
      </c>
      <c r="K130" s="19">
        <v>12</v>
      </c>
      <c r="L130" s="19">
        <v>25</v>
      </c>
      <c r="M130" s="19">
        <v>16</v>
      </c>
      <c r="N130" s="19">
        <v>71</v>
      </c>
      <c r="O130" s="19">
        <v>77</v>
      </c>
      <c r="P130" s="19">
        <v>72</v>
      </c>
      <c r="Q130" s="18">
        <v>17</v>
      </c>
      <c r="R130" s="12" t="s">
        <v>45</v>
      </c>
      <c r="S130" s="19" t="s">
        <v>16</v>
      </c>
      <c r="T130" s="19" t="s">
        <v>19</v>
      </c>
      <c r="U130" s="19" t="s">
        <v>19</v>
      </c>
      <c r="V130" s="19">
        <v>18</v>
      </c>
      <c r="W130" s="19">
        <v>25</v>
      </c>
      <c r="X130" s="19">
        <v>21</v>
      </c>
      <c r="Y130" s="19">
        <v>43</v>
      </c>
      <c r="Z130" s="19">
        <v>86</v>
      </c>
      <c r="AA130" s="19">
        <v>22</v>
      </c>
      <c r="AB130" s="19">
        <v>24</v>
      </c>
      <c r="AC130" s="19">
        <v>100</v>
      </c>
      <c r="AD130" s="19">
        <v>35</v>
      </c>
      <c r="AE130" s="19">
        <v>80</v>
      </c>
      <c r="AF130" s="19">
        <v>32</v>
      </c>
      <c r="AG130" s="19">
        <v>94</v>
      </c>
      <c r="AH130" s="19">
        <v>72</v>
      </c>
      <c r="AI130" s="6">
        <f>H$1*((-2*10^-6)*H130^3+0.00032*H130^2-0.0021*H130)+I$1*((-2*10^-6)*I130^3+0.00032*I130^2-0.0021*I130)+J$1*((-2*10^-6)*J130^3+0.00032*J130^2-0.0021*J130)+K$1*((-2*10^-6)*K130^3+0.00032*K130^2-0.0021*K130)+L$1*((-2*10^-6)*L130^3+0.00032*L130^2-0.0021*L130)</f>
        <v>0.52463320000000013</v>
      </c>
      <c r="AJ130" s="6">
        <f>(M$1*M130+N$1*N130+O$1*O130)/100</f>
        <v>0.37900000000000006</v>
      </c>
      <c r="AK130" s="6">
        <f>IF(AA130&lt;50,W$1*((-2*10^-6)*W130^3+0.00032*W130^2-0.0021*W130)+X$1*((-2*10^-6)*X130^3+0.00032*X130^2-0.0021*X130)+Y$1*((-2*10^-6)*Y130^3+0.00032*Y130^2-0.0021*Y130)+Z$1*((-2*10^-6)*Z130^3+0.00032*Z130^2-0.0021*Z130),X$2*((-2*10^-6)*X130^3+0.00032*X130^2-0.0021*AA130)+Y$2*((-2*10^-6)*Y130^3+0.00032*Y130^2-0.0021*Y130)+Z$2*((-2*10^-6)*Z130^3+0.00032*Z130^2-0.0021*Z130)+ AA$2*((-2*10^-6)*AA130^3+0.00032*AA130^2-0.0021*AA130))</f>
        <v>1.4511220000000007</v>
      </c>
      <c r="AL130" s="6">
        <f>(AB$1*AB130+AC$1*AC130)/100</f>
        <v>0.39200000000000002</v>
      </c>
      <c r="AM130" s="6">
        <f>AD$1*((-2*10^-6)*AD130^3+0.00032*AD130^2-0.0021*AD130)+AE$1*((-2*10^-6)*AE130^3+0.00032*AE130^2-0.0021*AE130)+AF$1*((-2*10^-6)*AF130^3+0.00032*AF130^2-0.0021*AF130)+AG$1*((-2*10^-6)*AG130^3+0.00032*AG130^2-0.0021*AG130)</f>
        <v>0.43473960000000006</v>
      </c>
    </row>
    <row r="131" spans="1:39" ht="15" thickBot="1" x14ac:dyDescent="0.35">
      <c r="A131" s="6">
        <f>(AI131*H$3+AJ131*M$3+AK131*W$3+AL131*AB$3+AM131*AD$3)*100/(AI$5*H$3+AJ$5*M$3+AK$5*W$3+AL$5*AB$3+AM$5*AD$3)</f>
        <v>18.822738518010084</v>
      </c>
      <c r="B131" s="20">
        <v>178</v>
      </c>
      <c r="C131" s="13" t="s">
        <v>206</v>
      </c>
      <c r="D131" s="21" t="s">
        <v>16</v>
      </c>
      <c r="E131" s="21" t="s">
        <v>20</v>
      </c>
      <c r="F131" s="21" t="s">
        <v>20</v>
      </c>
      <c r="G131" s="21">
        <v>22</v>
      </c>
      <c r="H131" s="21">
        <v>16</v>
      </c>
      <c r="I131" s="21">
        <v>0</v>
      </c>
      <c r="J131" s="21">
        <v>37</v>
      </c>
      <c r="K131" s="21">
        <v>54</v>
      </c>
      <c r="L131" s="21">
        <v>28</v>
      </c>
      <c r="M131" s="21">
        <v>10</v>
      </c>
      <c r="N131" s="21">
        <v>86</v>
      </c>
      <c r="O131" s="21">
        <v>23</v>
      </c>
      <c r="P131" s="21">
        <v>42</v>
      </c>
      <c r="Q131" s="20">
        <v>178</v>
      </c>
      <c r="R131" s="13" t="s">
        <v>206</v>
      </c>
      <c r="S131" s="21" t="s">
        <v>16</v>
      </c>
      <c r="T131" s="21" t="s">
        <v>20</v>
      </c>
      <c r="U131" s="21" t="s">
        <v>20</v>
      </c>
      <c r="V131" s="21">
        <v>22</v>
      </c>
      <c r="W131" s="21">
        <v>66</v>
      </c>
      <c r="X131" s="21">
        <v>34</v>
      </c>
      <c r="Y131" s="21">
        <v>0</v>
      </c>
      <c r="Z131" s="21">
        <v>21</v>
      </c>
      <c r="AA131" s="21">
        <v>39</v>
      </c>
      <c r="AB131" s="21">
        <v>29</v>
      </c>
      <c r="AC131" s="21">
        <v>76</v>
      </c>
      <c r="AD131" s="21">
        <v>31</v>
      </c>
      <c r="AE131" s="21">
        <v>56</v>
      </c>
      <c r="AF131" s="21">
        <v>48</v>
      </c>
      <c r="AG131" s="21">
        <v>74</v>
      </c>
      <c r="AH131" s="21">
        <v>42</v>
      </c>
      <c r="AI131" s="6">
        <f>H$1*((-2*10^-6)*H131^3+0.00032*H131^2-0.0021*H131)+I$1*((-2*10^-6)*I131^3+0.00032*I131^2-0.0021*I131)+J$1*((-2*10^-6)*J131^3+0.00032*J131^2-0.0021*J131)+K$1*((-2*10^-6)*K131^3+0.00032*K131^2-0.0021*K131)+L$1*((-2*10^-6)*L131^3+0.00032*L131^2-0.0021*L131)</f>
        <v>0.92539320000000025</v>
      </c>
      <c r="AJ131" s="6">
        <f>(M$1*M131+N$1*N131+O$1*O131)/100</f>
        <v>0.29499999999999998</v>
      </c>
      <c r="AK131" s="6">
        <f>IF(AA131&lt;50,W$1*((-2*10^-6)*W131^3+0.00032*W131^2-0.0021*W131)+X$1*((-2*10^-6)*X131^3+0.00032*X131^2-0.0021*X131)+Y$1*((-2*10^-6)*Y131^3+0.00032*Y131^2-0.0021*Y131)+Z$1*((-2*10^-6)*Z131^3+0.00032*Z131^2-0.0021*Z131),X$2*((-2*10^-6)*X131^3+0.00032*X131^2-0.0021*AA131)+Y$2*((-2*10^-6)*Y131^3+0.00032*Y131^2-0.0021*Y131)+Z$2*((-2*10^-6)*Z131^3+0.00032*Z131^2-0.0021*Z131)+ AA$2*((-2*10^-6)*AA131^3+0.00032*AA131^2-0.0021*AA131))</f>
        <v>0.97873800000000011</v>
      </c>
      <c r="AL131" s="6">
        <f>(AB$1*AB131+AC$1*AC131)/100</f>
        <v>0.38400000000000006</v>
      </c>
      <c r="AM131" s="6">
        <f>AD$1*((-2*10^-6)*AD131^3+0.00032*AD131^2-0.0021*AD131)+AE$1*((-2*10^-6)*AE131^3+0.00032*AE131^2-0.0021*AE131)+AF$1*((-2*10^-6)*AF131^3+0.00032*AF131^2-0.0021*AF131)+AG$1*((-2*10^-6)*AG131^3+0.00032*AG131^2-0.0021*AG131)</f>
        <v>0.35648360000000007</v>
      </c>
    </row>
    <row r="132" spans="1:39" ht="15" thickBot="1" x14ac:dyDescent="0.35">
      <c r="A132" s="6">
        <f>(AI132*H$3+AJ132*M$3+AK132*W$3+AL132*AB$3+AM132*AD$3)*100/(AI$5*H$3+AJ$5*M$3+AK$5*W$3+AL$5*AB$3+AM$5*AD$3)</f>
        <v>18.807586320093101</v>
      </c>
      <c r="B132" s="18">
        <v>93</v>
      </c>
      <c r="C132" s="12" t="s">
        <v>121</v>
      </c>
      <c r="D132" s="19" t="s">
        <v>16</v>
      </c>
      <c r="E132" s="19" t="s">
        <v>20</v>
      </c>
      <c r="F132" s="19" t="s">
        <v>20</v>
      </c>
      <c r="G132" s="19">
        <v>18</v>
      </c>
      <c r="H132" s="19">
        <v>25</v>
      </c>
      <c r="I132" s="19">
        <v>11</v>
      </c>
      <c r="J132" s="19">
        <v>15</v>
      </c>
      <c r="K132" s="19">
        <v>29</v>
      </c>
      <c r="L132" s="19">
        <v>38</v>
      </c>
      <c r="M132" s="19">
        <v>17</v>
      </c>
      <c r="N132" s="19">
        <v>61</v>
      </c>
      <c r="O132" s="19">
        <v>66</v>
      </c>
      <c r="P132" s="19">
        <v>52</v>
      </c>
      <c r="Q132" s="18">
        <v>93</v>
      </c>
      <c r="R132" s="12" t="s">
        <v>121</v>
      </c>
      <c r="S132" s="19" t="s">
        <v>16</v>
      </c>
      <c r="T132" s="19" t="s">
        <v>20</v>
      </c>
      <c r="U132" s="19" t="s">
        <v>20</v>
      </c>
      <c r="V132" s="19">
        <v>18</v>
      </c>
      <c r="W132" s="19">
        <v>10</v>
      </c>
      <c r="X132" s="19">
        <v>34</v>
      </c>
      <c r="Y132" s="19">
        <v>47</v>
      </c>
      <c r="Z132" s="19">
        <v>34</v>
      </c>
      <c r="AA132" s="19">
        <v>24</v>
      </c>
      <c r="AB132" s="19">
        <v>64</v>
      </c>
      <c r="AC132" s="19">
        <v>84</v>
      </c>
      <c r="AD132" s="19">
        <v>35</v>
      </c>
      <c r="AE132" s="19">
        <v>30</v>
      </c>
      <c r="AF132" s="19">
        <v>38</v>
      </c>
      <c r="AG132" s="19">
        <v>94</v>
      </c>
      <c r="AH132" s="19">
        <v>52</v>
      </c>
      <c r="AI132" s="6">
        <f>H$1*((-2*10^-6)*H132^3+0.00032*H132^2-0.0021*H132)+I$1*((-2*10^-6)*I132^3+0.00032*I132^2-0.0021*I132)+J$1*((-2*10^-6)*J132^3+0.00032*J132^2-0.0021*J132)+K$1*((-2*10^-6)*K132^3+0.00032*K132^2-0.0021*K132)+L$1*((-2*10^-6)*L132^3+0.00032*L132^2-0.0021*L132)</f>
        <v>0.88954880000000025</v>
      </c>
      <c r="AJ132" s="6">
        <f>(M$1*M132+N$1*N132+O$1*O132)/100</f>
        <v>0.35800000000000004</v>
      </c>
      <c r="AK132" s="6">
        <f>IF(AA132&lt;50,W$1*((-2*10^-6)*W132^3+0.00032*W132^2-0.0021*W132)+X$1*((-2*10^-6)*X132^3+0.00032*X132^2-0.0021*X132)+Y$1*((-2*10^-6)*Y132^3+0.00032*Y132^2-0.0021*Y132)+Z$1*((-2*10^-6)*Z132^3+0.00032*Z132^2-0.0021*Z132),X$2*((-2*10^-6)*X132^3+0.00032*X132^2-0.0021*AA132)+Y$2*((-2*10^-6)*Y132^3+0.00032*Y132^2-0.0021*Y132)+Z$2*((-2*10^-6)*Z132^3+0.00032*Z132^2-0.0021*Z132)+ AA$2*((-2*10^-6)*AA132^3+0.00032*AA132^2-0.0021*AA132))</f>
        <v>0.84935800000000006</v>
      </c>
      <c r="AL132" s="6">
        <f>(AB$1*AB132+AC$1*AC132)/100</f>
        <v>0.68</v>
      </c>
      <c r="AM132" s="6">
        <f>AD$1*((-2*10^-6)*AD132^3+0.00032*AD132^2-0.0021*AD132)+AE$1*((-2*10^-6)*AE132^3+0.00032*AE132^2-0.0021*AE132)+AF$1*((-2*10^-6)*AF132^3+0.00032*AF132^2-0.0021*AF132)+AG$1*((-2*10^-6)*AG132^3+0.00032*AG132^2-0.0021*AG132)</f>
        <v>0.37399880000000002</v>
      </c>
    </row>
    <row r="133" spans="1:39" ht="15" thickBot="1" x14ac:dyDescent="0.35">
      <c r="A133" s="6">
        <f>(AI133*H$3+AJ133*M$3+AK133*W$3+AL133*AB$3+AM133*AD$3)*100/(AI$5*H$3+AJ$5*M$3+AK$5*W$3+AL$5*AB$3+AM$5*AD$3)</f>
        <v>18.664792443821057</v>
      </c>
      <c r="B133" s="18">
        <v>95</v>
      </c>
      <c r="C133" s="12" t="s">
        <v>123</v>
      </c>
      <c r="D133" s="19" t="s">
        <v>16</v>
      </c>
      <c r="E133" s="19" t="s">
        <v>20</v>
      </c>
      <c r="F133" s="19" t="s">
        <v>20</v>
      </c>
      <c r="G133" s="19">
        <v>18</v>
      </c>
      <c r="H133" s="19">
        <v>11</v>
      </c>
      <c r="I133" s="19">
        <v>9</v>
      </c>
      <c r="J133" s="19">
        <v>17</v>
      </c>
      <c r="K133" s="19">
        <v>28</v>
      </c>
      <c r="L133" s="19">
        <v>12</v>
      </c>
      <c r="M133" s="19">
        <v>17</v>
      </c>
      <c r="N133" s="19">
        <v>60</v>
      </c>
      <c r="O133" s="19">
        <v>72</v>
      </c>
      <c r="P133" s="19">
        <v>51</v>
      </c>
      <c r="Q133" s="18">
        <v>95</v>
      </c>
      <c r="R133" s="12" t="s">
        <v>123</v>
      </c>
      <c r="S133" s="19" t="s">
        <v>16</v>
      </c>
      <c r="T133" s="19" t="s">
        <v>20</v>
      </c>
      <c r="U133" s="19" t="s">
        <v>20</v>
      </c>
      <c r="V133" s="19">
        <v>18</v>
      </c>
      <c r="W133" s="19">
        <v>19</v>
      </c>
      <c r="X133" s="19">
        <v>38</v>
      </c>
      <c r="Y133" s="19">
        <v>42</v>
      </c>
      <c r="Z133" s="19">
        <v>92</v>
      </c>
      <c r="AA133" s="19">
        <v>2</v>
      </c>
      <c r="AB133" s="19">
        <v>81</v>
      </c>
      <c r="AC133" s="19">
        <v>86</v>
      </c>
      <c r="AD133" s="19">
        <v>30</v>
      </c>
      <c r="AE133" s="19">
        <v>32</v>
      </c>
      <c r="AF133" s="19">
        <v>53</v>
      </c>
      <c r="AG133" s="19">
        <v>97</v>
      </c>
      <c r="AH133" s="19">
        <v>51</v>
      </c>
      <c r="AI133" s="6">
        <f>H$1*((-2*10^-6)*H133^3+0.00032*H133^2-0.0021*H133)+I$1*((-2*10^-6)*I133^3+0.00032*I133^2-0.0021*I133)+J$1*((-2*10^-6)*J133^3+0.00032*J133^2-0.0021*J133)+K$1*((-2*10^-6)*K133^3+0.00032*K133^2-0.0021*K133)+L$1*((-2*10^-6)*L133^3+0.00032*L133^2-0.0021*L133)</f>
        <v>0.20912800000000006</v>
      </c>
      <c r="AJ133" s="6">
        <f>(M$1*M133+N$1*N133+O$1*O133)/100</f>
        <v>0.36200000000000004</v>
      </c>
      <c r="AK133" s="6">
        <f>IF(AA133&lt;50,W$1*((-2*10^-6)*W133^3+0.00032*W133^2-0.0021*W133)+X$1*((-2*10^-6)*X133^3+0.00032*X133^2-0.0021*X133)+Y$1*((-2*10^-6)*Y133^3+0.00032*Y133^2-0.0021*Y133)+Z$1*((-2*10^-6)*Z133^3+0.00032*Z133^2-0.0021*Z133),X$2*((-2*10^-6)*X133^3+0.00032*X133^2-0.0021*AA133)+Y$2*((-2*10^-6)*Y133^3+0.00032*Y133^2-0.0021*Y133)+Z$2*((-2*10^-6)*Z133^3+0.00032*Z133^2-0.0021*Z133)+ AA$2*((-2*10^-6)*AA133^3+0.00032*AA133^2-0.0021*AA133))</f>
        <v>1.6204460000000005</v>
      </c>
      <c r="AL133" s="6">
        <f>(AB$1*AB133+AC$1*AC133)/100</f>
        <v>0.82</v>
      </c>
      <c r="AM133" s="6">
        <f>AD$1*((-2*10^-6)*AD133^3+0.00032*AD133^2-0.0021*AD133)+AE$1*((-2*10^-6)*AE133^3+0.00032*AE133^2-0.0021*AE133)+AF$1*((-2*10^-6)*AF133^3+0.00032*AF133^2-0.0021*AF133)+AG$1*((-2*10^-6)*AG133^3+0.00032*AG133^2-0.0021*AG133)</f>
        <v>0.33766040000000008</v>
      </c>
    </row>
    <row r="134" spans="1:39" ht="15" thickBot="1" x14ac:dyDescent="0.35">
      <c r="A134" s="6">
        <f>(AI134*H$3+AJ134*M$3+AK134*W$3+AL134*AB$3+AM134*AD$3)*100/(AI$5*H$3+AJ$5*M$3+AK$5*W$3+AL$5*AB$3+AM$5*AD$3)</f>
        <v>18.645210540451814</v>
      </c>
      <c r="B134" s="18">
        <v>151</v>
      </c>
      <c r="C134" s="12" t="s">
        <v>179</v>
      </c>
      <c r="D134" s="19" t="s">
        <v>16</v>
      </c>
      <c r="E134" s="19" t="s">
        <v>20</v>
      </c>
      <c r="F134" s="19" t="s">
        <v>20</v>
      </c>
      <c r="G134" s="19">
        <v>18</v>
      </c>
      <c r="H134" s="19">
        <v>15</v>
      </c>
      <c r="I134" s="19">
        <v>6</v>
      </c>
      <c r="J134" s="19">
        <v>20</v>
      </c>
      <c r="K134" s="19">
        <v>16</v>
      </c>
      <c r="L134" s="19">
        <v>20</v>
      </c>
      <c r="M134" s="19">
        <v>0</v>
      </c>
      <c r="N134" s="19">
        <v>71</v>
      </c>
      <c r="O134" s="19">
        <v>83</v>
      </c>
      <c r="P134" s="19">
        <v>41</v>
      </c>
      <c r="Q134" s="18">
        <v>151</v>
      </c>
      <c r="R134" s="12" t="s">
        <v>179</v>
      </c>
      <c r="S134" s="19" t="s">
        <v>16</v>
      </c>
      <c r="T134" s="19" t="s">
        <v>20</v>
      </c>
      <c r="U134" s="19" t="s">
        <v>20</v>
      </c>
      <c r="V134" s="19">
        <v>18</v>
      </c>
      <c r="W134" s="19">
        <v>7</v>
      </c>
      <c r="X134" s="19">
        <v>33</v>
      </c>
      <c r="Y134" s="19">
        <v>55</v>
      </c>
      <c r="Z134" s="19">
        <v>87</v>
      </c>
      <c r="AA134" s="19">
        <v>20</v>
      </c>
      <c r="AB134" s="19">
        <v>69</v>
      </c>
      <c r="AC134" s="19">
        <v>72</v>
      </c>
      <c r="AD134" s="19">
        <v>23</v>
      </c>
      <c r="AE134" s="19">
        <v>100</v>
      </c>
      <c r="AF134" s="19">
        <v>80</v>
      </c>
      <c r="AG134" s="19">
        <v>81</v>
      </c>
      <c r="AH134" s="19">
        <v>41</v>
      </c>
      <c r="AI134" s="6">
        <f>H$1*((-2*10^-6)*H134^3+0.00032*H134^2-0.0021*H134)+I$1*((-2*10^-6)*I134^3+0.00032*I134^2-0.0021*I134)+J$1*((-2*10^-6)*J134^3+0.00032*J134^2-0.0021*J134)+K$1*((-2*10^-6)*K134^3+0.00032*K134^2-0.0021*K134)+L$1*((-2*10^-6)*L134^3+0.00032*L134^2-0.0021*L134)</f>
        <v>0.25882840000000007</v>
      </c>
      <c r="AJ134" s="6">
        <f>(M$1*M134+N$1*N134+O$1*O134)/100</f>
        <v>0.22500000000000001</v>
      </c>
      <c r="AK134" s="6">
        <f>IF(AA134&lt;50,W$1*((-2*10^-6)*W134^3+0.00032*W134^2-0.0021*W134)+X$1*((-2*10^-6)*X134^3+0.00032*X134^2-0.0021*X134)+Y$1*((-2*10^-6)*Y134^3+0.00032*Y134^2-0.0021*Y134)+Z$1*((-2*10^-6)*Z134^3+0.00032*Z134^2-0.0021*Z134),X$2*((-2*10^-6)*X134^3+0.00032*X134^2-0.0021*AA134)+Y$2*((-2*10^-6)*Y134^3+0.00032*Y134^2-0.0021*Y134)+Z$2*((-2*10^-6)*Z134^3+0.00032*Z134^2-0.0021*Z134)+ AA$2*((-2*10^-6)*AA134^3+0.00032*AA134^2-0.0021*AA134))</f>
        <v>1.6497240000000004</v>
      </c>
      <c r="AL134" s="6">
        <f>(AB$1*AB134+AC$1*AC134)/100</f>
        <v>0.69600000000000006</v>
      </c>
      <c r="AM134" s="6">
        <f>AD$1*((-2*10^-6)*AD134^3+0.00032*AD134^2-0.0021*AD134)+AE$1*((-2*10^-6)*AE134^3+0.00032*AE134^2-0.0021*AE134)+AF$1*((-2*10^-6)*AF134^3+0.00032*AF134^2-0.0021*AF134)+AG$1*((-2*10^-6)*AG134^3+0.00032*AG134^2-0.0021*AG134)</f>
        <v>0.36789980000000005</v>
      </c>
    </row>
    <row r="135" spans="1:39" ht="15" thickBot="1" x14ac:dyDescent="0.35">
      <c r="A135" s="6">
        <f>(AI135*H$3+AJ135*M$3+AK135*W$3+AL135*AB$3+AM135*AD$3)*100/(AI$5*H$3+AJ$5*M$3+AK$5*W$3+AL$5*AB$3+AM$5*AD$3)</f>
        <v>18.169363753021571</v>
      </c>
      <c r="B135" s="18">
        <v>133</v>
      </c>
      <c r="C135" s="12" t="s">
        <v>161</v>
      </c>
      <c r="D135" s="19" t="s">
        <v>16</v>
      </c>
      <c r="E135" s="19" t="s">
        <v>19</v>
      </c>
      <c r="F135" s="19" t="s">
        <v>19</v>
      </c>
      <c r="G135" s="19">
        <v>18</v>
      </c>
      <c r="H135" s="19">
        <v>23</v>
      </c>
      <c r="I135" s="19">
        <v>5</v>
      </c>
      <c r="J135" s="19">
        <v>34</v>
      </c>
      <c r="K135" s="19">
        <v>12</v>
      </c>
      <c r="L135" s="19">
        <v>8</v>
      </c>
      <c r="M135" s="19">
        <v>26</v>
      </c>
      <c r="N135" s="19">
        <v>61</v>
      </c>
      <c r="O135" s="19">
        <v>53</v>
      </c>
      <c r="P135" s="19">
        <v>44</v>
      </c>
      <c r="Q135" s="18">
        <v>133</v>
      </c>
      <c r="R135" s="12" t="s">
        <v>161</v>
      </c>
      <c r="S135" s="19" t="s">
        <v>16</v>
      </c>
      <c r="T135" s="19" t="s">
        <v>19</v>
      </c>
      <c r="U135" s="19" t="s">
        <v>19</v>
      </c>
      <c r="V135" s="19">
        <v>18</v>
      </c>
      <c r="W135" s="19">
        <v>73</v>
      </c>
      <c r="X135" s="19">
        <v>35</v>
      </c>
      <c r="Y135" s="19">
        <v>61</v>
      </c>
      <c r="Z135" s="19">
        <v>5</v>
      </c>
      <c r="AA135" s="19">
        <v>11</v>
      </c>
      <c r="AB135" s="19">
        <v>45</v>
      </c>
      <c r="AC135" s="19">
        <v>91</v>
      </c>
      <c r="AD135" s="19">
        <v>35</v>
      </c>
      <c r="AE135" s="19">
        <v>34</v>
      </c>
      <c r="AF135" s="19">
        <v>68</v>
      </c>
      <c r="AG135" s="19">
        <v>65</v>
      </c>
      <c r="AH135" s="19">
        <v>44</v>
      </c>
      <c r="AI135" s="6">
        <f>H$1*((-2*10^-6)*H135^3+0.00032*H135^2-0.0021*H135)+I$1*((-2*10^-6)*I135^3+0.00032*I135^2-0.0021*I135)+J$1*((-2*10^-6)*J135^3+0.00032*J135^2-0.0021*J135)+K$1*((-2*10^-6)*K135^3+0.00032*K135^2-0.0021*K135)+L$1*((-2*10^-6)*L135^3+0.00032*L135^2-0.0021*L135)</f>
        <v>0.24287560000000005</v>
      </c>
      <c r="AJ135" s="6">
        <f>(M$1*M135+N$1*N135+O$1*O135)/100</f>
        <v>0.435</v>
      </c>
      <c r="AK135" s="6">
        <f>IF(AA135&lt;50,W$1*((-2*10^-6)*W135^3+0.00032*W135^2-0.0021*W135)+X$1*((-2*10^-6)*X135^3+0.00032*X135^2-0.0021*X135)+Y$1*((-2*10^-6)*Y135^3+0.00032*Y135^2-0.0021*Y135)+Z$1*((-2*10^-6)*Z135^3+0.00032*Z135^2-0.0021*Z135),X$2*((-2*10^-6)*X135^3+0.00032*X135^2-0.0021*AA135)+Y$2*((-2*10^-6)*Y135^3+0.00032*Y135^2-0.0021*Y135)+Z$2*((-2*10^-6)*Z135^3+0.00032*Z135^2-0.0021*Z135)+ AA$2*((-2*10^-6)*AA135^3+0.00032*AA135^2-0.0021*AA135))</f>
        <v>1.6126040000000004</v>
      </c>
      <c r="AL135" s="6">
        <f>(AB$1*AB135+AC$1*AC135)/100</f>
        <v>0.54200000000000004</v>
      </c>
      <c r="AM135" s="6">
        <f>AD$1*((-2*10^-6)*AD135^3+0.00032*AD135^2-0.0021*AD135)+AE$1*((-2*10^-6)*AE135^3+0.00032*AE135^2-0.0021*AE135)+AF$1*((-2*10^-6)*AF135^3+0.00032*AF135^2-0.0021*AF135)+AG$1*((-2*10^-6)*AG135^3+0.00032*AG135^2-0.0021*AG135)</f>
        <v>0.39216780000000007</v>
      </c>
    </row>
    <row r="136" spans="1:39" ht="15" thickBot="1" x14ac:dyDescent="0.35">
      <c r="A136" s="6">
        <f>(AI136*H$3+AJ136*M$3+AK136*W$3+AL136*AB$3+AM136*AD$3)*100/(AI$5*H$3+AJ$5*M$3+AK$5*W$3+AL$5*AB$3+AM$5*AD$3)</f>
        <v>18.045394222447694</v>
      </c>
      <c r="B136" s="20">
        <v>96</v>
      </c>
      <c r="C136" s="13" t="s">
        <v>124</v>
      </c>
      <c r="D136" s="21" t="s">
        <v>16</v>
      </c>
      <c r="E136" s="21" t="s">
        <v>20</v>
      </c>
      <c r="F136" s="21" t="s">
        <v>20</v>
      </c>
      <c r="G136" s="21">
        <v>18</v>
      </c>
      <c r="H136" s="21">
        <v>19</v>
      </c>
      <c r="I136" s="21">
        <v>4</v>
      </c>
      <c r="J136" s="21">
        <v>10</v>
      </c>
      <c r="K136" s="21">
        <v>29</v>
      </c>
      <c r="L136" s="21">
        <v>27</v>
      </c>
      <c r="M136" s="21">
        <v>22</v>
      </c>
      <c r="N136" s="21">
        <v>54</v>
      </c>
      <c r="O136" s="21">
        <v>82</v>
      </c>
      <c r="P136" s="21">
        <v>51</v>
      </c>
      <c r="Q136" s="20">
        <v>96</v>
      </c>
      <c r="R136" s="13" t="s">
        <v>124</v>
      </c>
      <c r="S136" s="21" t="s">
        <v>16</v>
      </c>
      <c r="T136" s="21" t="s">
        <v>20</v>
      </c>
      <c r="U136" s="21" t="s">
        <v>20</v>
      </c>
      <c r="V136" s="21">
        <v>18</v>
      </c>
      <c r="W136" s="21">
        <v>6</v>
      </c>
      <c r="X136" s="21">
        <v>3</v>
      </c>
      <c r="Y136" s="21">
        <v>60</v>
      </c>
      <c r="Z136" s="21">
        <v>66</v>
      </c>
      <c r="AA136" s="21">
        <v>49</v>
      </c>
      <c r="AB136" s="21">
        <v>54</v>
      </c>
      <c r="AC136" s="21">
        <v>54</v>
      </c>
      <c r="AD136" s="21">
        <v>37</v>
      </c>
      <c r="AE136" s="21">
        <v>79</v>
      </c>
      <c r="AF136" s="21">
        <v>47</v>
      </c>
      <c r="AG136" s="21">
        <v>93</v>
      </c>
      <c r="AH136" s="21">
        <v>51</v>
      </c>
      <c r="AI136" s="6">
        <f>H$1*((-2*10^-6)*H136^3+0.00032*H136^2-0.0021*H136)+I$1*((-2*10^-6)*I136^3+0.00032*I136^2-0.0021*I136)+J$1*((-2*10^-6)*J136^3+0.00032*J136^2-0.0021*J136)+K$1*((-2*10^-6)*K136^3+0.00032*K136^2-0.0021*K136)+L$1*((-2*10^-6)*L136^3+0.00032*L136^2-0.0021*L136)</f>
        <v>0.48991040000000013</v>
      </c>
      <c r="AJ136" s="6">
        <f>(M$1*M136+N$1*N136+O$1*O136)/100</f>
        <v>0.41</v>
      </c>
      <c r="AK136" s="6">
        <f>IF(AA136&lt;50,W$1*((-2*10^-6)*W136^3+0.00032*W136^2-0.0021*W136)+X$1*((-2*10^-6)*X136^3+0.00032*X136^2-0.0021*X136)+Y$1*((-2*10^-6)*Y136^3+0.00032*Y136^2-0.0021*Y136)+Z$1*((-2*10^-6)*Z136^3+0.00032*Z136^2-0.0021*Z136),X$2*((-2*10^-6)*X136^3+0.00032*X136^2-0.0021*AA136)+Y$2*((-2*10^-6)*Y136^3+0.00032*Y136^2-0.0021*Y136)+Z$2*((-2*10^-6)*Z136^3+0.00032*Z136^2-0.0021*Z136)+ AA$2*((-2*10^-6)*AA136^3+0.00032*AA136^2-0.0021*AA136))</f>
        <v>1.2693420000000002</v>
      </c>
      <c r="AL136" s="6">
        <f>(AB$1*AB136+AC$1*AC136)/100</f>
        <v>0.54</v>
      </c>
      <c r="AM136" s="6">
        <f>AD$1*((-2*10^-6)*AD136^3+0.00032*AD136^2-0.0021*AD136)+AE$1*((-2*10^-6)*AE136^3+0.00032*AE136^2-0.0021*AE136)+AF$1*((-2*10^-6)*AF136^3+0.00032*AF136^2-0.0021*AF136)+AG$1*((-2*10^-6)*AG136^3+0.00032*AG136^2-0.0021*AG136)</f>
        <v>0.48000820000000011</v>
      </c>
    </row>
    <row r="137" spans="1:39" ht="15" thickBot="1" x14ac:dyDescent="0.35">
      <c r="A137" s="6">
        <f>(AI137*H$3+AJ137*M$3+AK137*W$3+AL137*AB$3+AM137*AD$3)*100/(AI$5*H$3+AJ$5*M$3+AK$5*W$3+AL$5*AB$3+AM$5*AD$3)</f>
        <v>17.839010116685067</v>
      </c>
      <c r="B137" s="18">
        <v>63</v>
      </c>
      <c r="C137" s="12" t="s">
        <v>91</v>
      </c>
      <c r="D137" s="19" t="s">
        <v>16</v>
      </c>
      <c r="E137" s="19" t="s">
        <v>20</v>
      </c>
      <c r="F137" s="19" t="s">
        <v>20</v>
      </c>
      <c r="G137" s="19">
        <v>18</v>
      </c>
      <c r="H137" s="19">
        <v>22</v>
      </c>
      <c r="I137" s="19">
        <v>13</v>
      </c>
      <c r="J137" s="19">
        <v>22</v>
      </c>
      <c r="K137" s="19">
        <v>31</v>
      </c>
      <c r="L137" s="19">
        <v>28</v>
      </c>
      <c r="M137" s="19">
        <v>14</v>
      </c>
      <c r="N137" s="19">
        <v>72</v>
      </c>
      <c r="O137" s="19">
        <v>66</v>
      </c>
      <c r="P137" s="19">
        <v>59</v>
      </c>
      <c r="Q137" s="18">
        <v>63</v>
      </c>
      <c r="R137" s="12" t="s">
        <v>91</v>
      </c>
      <c r="S137" s="19" t="s">
        <v>16</v>
      </c>
      <c r="T137" s="19" t="s">
        <v>20</v>
      </c>
      <c r="U137" s="19" t="s">
        <v>20</v>
      </c>
      <c r="V137" s="19">
        <v>18</v>
      </c>
      <c r="W137" s="19">
        <v>15</v>
      </c>
      <c r="X137" s="19">
        <v>22</v>
      </c>
      <c r="Y137" s="19">
        <v>24</v>
      </c>
      <c r="Z137" s="19">
        <v>86</v>
      </c>
      <c r="AA137" s="19">
        <v>28</v>
      </c>
      <c r="AB137" s="19">
        <v>38</v>
      </c>
      <c r="AC137" s="19">
        <v>68</v>
      </c>
      <c r="AD137" s="19">
        <v>28</v>
      </c>
      <c r="AE137" s="19">
        <v>74</v>
      </c>
      <c r="AF137" s="19">
        <v>54</v>
      </c>
      <c r="AG137" s="19">
        <v>66</v>
      </c>
      <c r="AH137" s="19">
        <v>59</v>
      </c>
      <c r="AI137" s="6">
        <f>H$1*((-2*10^-6)*H137^3+0.00032*H137^2-0.0021*H137)+I$1*((-2*10^-6)*I137^3+0.00032*I137^2-0.0021*I137)+J$1*((-2*10^-6)*J137^3+0.00032*J137^2-0.0021*J137)+K$1*((-2*10^-6)*K137^3+0.00032*K137^2-0.0021*K137)+L$1*((-2*10^-6)*L137^3+0.00032*L137^2-0.0021*L137)</f>
        <v>0.65684400000000021</v>
      </c>
      <c r="AJ137" s="6">
        <f>(M$1*M137+N$1*N137+O$1*O137)/100</f>
        <v>0.35</v>
      </c>
      <c r="AK137" s="6">
        <f>IF(AA137&lt;50,W$1*((-2*10^-6)*W137^3+0.00032*W137^2-0.0021*W137)+X$1*((-2*10^-6)*X137^3+0.00032*X137^2-0.0021*X137)+Y$1*((-2*10^-6)*Y137^3+0.00032*Y137^2-0.0021*Y137)+Z$1*((-2*10^-6)*Z137^3+0.00032*Z137^2-0.0021*Z137),X$2*((-2*10^-6)*X137^3+0.00032*X137^2-0.0021*AA137)+Y$2*((-2*10^-6)*Y137^3+0.00032*Y137^2-0.0021*Y137)+Z$2*((-2*10^-6)*Z137^3+0.00032*Z137^2-0.0021*Z137)+ AA$2*((-2*10^-6)*AA137^3+0.00032*AA137^2-0.0021*AA137))</f>
        <v>1.1414140000000006</v>
      </c>
      <c r="AL137" s="6">
        <f>(AB$1*AB137+AC$1*AC137)/100</f>
        <v>0.44</v>
      </c>
      <c r="AM137" s="6">
        <f>AD$1*((-2*10^-6)*AD137^3+0.00032*AD137^2-0.0021*AD137)+AE$1*((-2*10^-6)*AE137^3+0.00032*AE137^2-0.0021*AE137)+AF$1*((-2*10^-6)*AF137^3+0.00032*AF137^2-0.0021*AF137)+AG$1*((-2*10^-6)*AG137^3+0.00032*AG137^2-0.0021*AG137)</f>
        <v>0.34533520000000012</v>
      </c>
    </row>
    <row r="138" spans="1:39" ht="15" thickBot="1" x14ac:dyDescent="0.35">
      <c r="A138" s="6">
        <f>(AI138*H$3+AJ138*M$3+AK138*W$3+AL138*AB$3+AM138*AD$3)*100/(AI$5*H$3+AJ$5*M$3+AK$5*W$3+AL$5*AB$3+AM$5*AD$3)</f>
        <v>17.735876630159058</v>
      </c>
      <c r="B138" s="18">
        <v>101</v>
      </c>
      <c r="C138" s="12" t="s">
        <v>129</v>
      </c>
      <c r="D138" s="19" t="s">
        <v>16</v>
      </c>
      <c r="E138" s="19" t="s">
        <v>19</v>
      </c>
      <c r="F138" s="19" t="s">
        <v>19</v>
      </c>
      <c r="G138" s="19">
        <v>18</v>
      </c>
      <c r="H138" s="19">
        <v>16</v>
      </c>
      <c r="I138" s="19">
        <v>5</v>
      </c>
      <c r="J138" s="19">
        <v>26</v>
      </c>
      <c r="K138" s="19">
        <v>13</v>
      </c>
      <c r="L138" s="19">
        <v>29</v>
      </c>
      <c r="M138" s="19">
        <v>21</v>
      </c>
      <c r="N138" s="19">
        <v>82</v>
      </c>
      <c r="O138" s="19">
        <v>51</v>
      </c>
      <c r="P138" s="19">
        <v>50</v>
      </c>
      <c r="Q138" s="18">
        <v>101</v>
      </c>
      <c r="R138" s="12" t="s">
        <v>129</v>
      </c>
      <c r="S138" s="19" t="s">
        <v>16</v>
      </c>
      <c r="T138" s="19" t="s">
        <v>19</v>
      </c>
      <c r="U138" s="19" t="s">
        <v>19</v>
      </c>
      <c r="V138" s="19">
        <v>18</v>
      </c>
      <c r="W138" s="19">
        <v>37</v>
      </c>
      <c r="X138" s="19">
        <v>44</v>
      </c>
      <c r="Y138" s="19">
        <v>64</v>
      </c>
      <c r="Z138" s="19">
        <v>8</v>
      </c>
      <c r="AA138" s="19">
        <v>6</v>
      </c>
      <c r="AB138" s="19">
        <v>19</v>
      </c>
      <c r="AC138" s="19">
        <v>90</v>
      </c>
      <c r="AD138" s="19">
        <v>59</v>
      </c>
      <c r="AE138" s="19">
        <v>22</v>
      </c>
      <c r="AF138" s="19">
        <v>41</v>
      </c>
      <c r="AG138" s="19">
        <v>90</v>
      </c>
      <c r="AH138" s="19">
        <v>50</v>
      </c>
      <c r="AI138" s="6">
        <f>H$1*((-2*10^-6)*H138^3+0.00032*H138^2-0.0021*H138)+I$1*((-2*10^-6)*I138^3+0.00032*I138^2-0.0021*I138)+J$1*((-2*10^-6)*J138^3+0.00032*J138^2-0.0021*J138)+K$1*((-2*10^-6)*K138^3+0.00032*K138^2-0.0021*K138)+L$1*((-2*10^-6)*L138^3+0.00032*L138^2-0.0021*L138)</f>
        <v>0.47925000000000012</v>
      </c>
      <c r="AJ138" s="6">
        <f>(M$1*M138+N$1*N138+O$1*O138)/100</f>
        <v>0.42500000000000004</v>
      </c>
      <c r="AK138" s="6">
        <f>IF(AA138&lt;50,W$1*((-2*10^-6)*W138^3+0.00032*W138^2-0.0021*W138)+X$1*((-2*10^-6)*X138^3+0.00032*X138^2-0.0021*X138)+Y$1*((-2*10^-6)*Y138^3+0.00032*Y138^2-0.0021*Y138)+Z$1*((-2*10^-6)*Z138^3+0.00032*Z138^2-0.0021*Z138),X$2*((-2*10^-6)*X138^3+0.00032*X138^2-0.0021*AA138)+Y$2*((-2*10^-6)*Y138^3+0.00032*Y138^2-0.0021*Y138)+Z$2*((-2*10^-6)*Z138^3+0.00032*Z138^2-0.0021*Z138)+ AA$2*((-2*10^-6)*AA138^3+0.00032*AA138^2-0.0021*AA138))</f>
        <v>1.2705140000000004</v>
      </c>
      <c r="AL138" s="6">
        <f>(AB$1*AB138+AC$1*AC138)/100</f>
        <v>0.33200000000000002</v>
      </c>
      <c r="AM138" s="6">
        <f>AD$1*((-2*10^-6)*AD138^3+0.00032*AD138^2-0.0021*AD138)+AE$1*((-2*10^-6)*AE138^3+0.00032*AE138^2-0.0021*AE138)+AF$1*((-2*10^-6)*AF138^3+0.00032*AF138^2-0.0021*AF138)+AG$1*((-2*10^-6)*AG138^3+0.00032*AG138^2-0.0021*AG138)</f>
        <v>0.71389820000000015</v>
      </c>
    </row>
    <row r="139" spans="1:39" ht="15" thickBot="1" x14ac:dyDescent="0.35">
      <c r="A139" s="6">
        <f>(AI139*H$3+AJ139*M$3+AK139*W$3+AL139*AB$3+AM139*AD$3)*100/(AI$5*H$3+AJ$5*M$3+AK$5*W$3+AL$5*AB$3+AM$5*AD$3)</f>
        <v>17.585528663941027</v>
      </c>
      <c r="B139" s="20">
        <v>22</v>
      </c>
      <c r="C139" s="13" t="s">
        <v>50</v>
      </c>
      <c r="D139" s="21" t="s">
        <v>16</v>
      </c>
      <c r="E139" s="21" t="s">
        <v>21</v>
      </c>
      <c r="F139" s="21" t="s">
        <v>20</v>
      </c>
      <c r="G139" s="21">
        <v>18</v>
      </c>
      <c r="H139" s="21">
        <v>10</v>
      </c>
      <c r="I139" s="21">
        <v>7</v>
      </c>
      <c r="J139" s="21">
        <v>11</v>
      </c>
      <c r="K139" s="21">
        <v>19</v>
      </c>
      <c r="L139" s="21">
        <v>15</v>
      </c>
      <c r="M139" s="21">
        <v>14</v>
      </c>
      <c r="N139" s="21">
        <v>71</v>
      </c>
      <c r="O139" s="21">
        <v>66</v>
      </c>
      <c r="P139" s="21">
        <v>69</v>
      </c>
      <c r="Q139" s="20">
        <v>22</v>
      </c>
      <c r="R139" s="13" t="s">
        <v>50</v>
      </c>
      <c r="S139" s="21" t="s">
        <v>16</v>
      </c>
      <c r="T139" s="21" t="s">
        <v>21</v>
      </c>
      <c r="U139" s="21" t="s">
        <v>20</v>
      </c>
      <c r="V139" s="21">
        <v>18</v>
      </c>
      <c r="W139" s="21">
        <v>41</v>
      </c>
      <c r="X139" s="21">
        <v>45</v>
      </c>
      <c r="Y139" s="21">
        <v>78</v>
      </c>
      <c r="Z139" s="21">
        <v>22</v>
      </c>
      <c r="AA139" s="21">
        <v>31</v>
      </c>
      <c r="AB139" s="21">
        <v>80</v>
      </c>
      <c r="AC139" s="21">
        <v>100</v>
      </c>
      <c r="AD139" s="21">
        <v>9</v>
      </c>
      <c r="AE139" s="21">
        <v>57</v>
      </c>
      <c r="AF139" s="21">
        <v>22</v>
      </c>
      <c r="AG139" s="21">
        <v>93</v>
      </c>
      <c r="AH139" s="21">
        <v>69</v>
      </c>
      <c r="AI139" s="6">
        <f>H$1*((-2*10^-6)*H139^3+0.00032*H139^2-0.0021*H139)+I$1*((-2*10^-6)*I139^3+0.00032*I139^2-0.0021*I139)+J$1*((-2*10^-6)*J139^3+0.00032*J139^2-0.0021*J139)+K$1*((-2*10^-6)*K139^3+0.00032*K139^2-0.0021*K139)+L$1*((-2*10^-6)*L139^3+0.00032*L139^2-0.0021*L139)</f>
        <v>0.14113440000000005</v>
      </c>
      <c r="AJ139" s="6">
        <f>(M$1*M139+N$1*N139+O$1*O139)/100</f>
        <v>0.34800000000000003</v>
      </c>
      <c r="AK139" s="6">
        <f>IF(AA139&lt;50,W$1*((-2*10^-6)*W139^3+0.00032*W139^2-0.0021*W139)+X$1*((-2*10^-6)*X139^3+0.00032*X139^2-0.0021*X139)+Y$1*((-2*10^-6)*Y139^3+0.00032*Y139^2-0.0021*Y139)+Z$1*((-2*10^-6)*Z139^3+0.00032*Z139^2-0.0021*Z139),X$2*((-2*10^-6)*X139^3+0.00032*X139^2-0.0021*AA139)+Y$2*((-2*10^-6)*Y139^3+0.00032*Y139^2-0.0021*Y139)+Z$2*((-2*10^-6)*Z139^3+0.00032*Z139^2-0.0021*Z139)+ AA$2*((-2*10^-6)*AA139^3+0.00032*AA139^2-0.0021*AA139))</f>
        <v>1.6065880000000003</v>
      </c>
      <c r="AL139" s="6">
        <f>(AB$1*AB139+AC$1*AC139)/100</f>
        <v>0.84</v>
      </c>
      <c r="AM139" s="6">
        <f>AD$1*((-2*10^-6)*AD139^3+0.00032*AD139^2-0.0021*AD139)+AE$1*((-2*10^-6)*AE139^3+0.00032*AE139^2-0.0021*AE139)+AF$1*((-2*10^-6)*AF139^3+0.00032*AF139^2-0.0021*AF139)+AG$1*((-2*10^-6)*AG139^3+0.00032*AG139^2-0.0021*AG139)</f>
        <v>0.16562640000000006</v>
      </c>
    </row>
    <row r="140" spans="1:39" ht="15" thickBot="1" x14ac:dyDescent="0.35">
      <c r="A140" s="6">
        <f>(AI140*H$3+AJ140*M$3+AK140*W$3+AL140*AB$3+AM140*AD$3)*100/(AI$5*H$3+AJ$5*M$3+AK$5*W$3+AL$5*AB$3+AM$5*AD$3)</f>
        <v>17.48939240204124</v>
      </c>
      <c r="B140" s="20">
        <v>110</v>
      </c>
      <c r="C140" s="13" t="s">
        <v>138</v>
      </c>
      <c r="D140" s="21" t="s">
        <v>16</v>
      </c>
      <c r="E140" s="21" t="s">
        <v>20</v>
      </c>
      <c r="F140" s="21" t="s">
        <v>20</v>
      </c>
      <c r="G140" s="21">
        <v>18</v>
      </c>
      <c r="H140" s="21">
        <v>25</v>
      </c>
      <c r="I140" s="21">
        <v>10</v>
      </c>
      <c r="J140" s="21">
        <v>7</v>
      </c>
      <c r="K140" s="21">
        <v>35</v>
      </c>
      <c r="L140" s="21">
        <v>33</v>
      </c>
      <c r="M140" s="21">
        <v>31</v>
      </c>
      <c r="N140" s="21">
        <v>63</v>
      </c>
      <c r="O140" s="21">
        <v>76</v>
      </c>
      <c r="P140" s="21">
        <v>48</v>
      </c>
      <c r="Q140" s="20">
        <v>110</v>
      </c>
      <c r="R140" s="13" t="s">
        <v>138</v>
      </c>
      <c r="S140" s="21" t="s">
        <v>16</v>
      </c>
      <c r="T140" s="21" t="s">
        <v>20</v>
      </c>
      <c r="U140" s="21" t="s">
        <v>20</v>
      </c>
      <c r="V140" s="21">
        <v>18</v>
      </c>
      <c r="W140" s="21">
        <v>5</v>
      </c>
      <c r="X140" s="21">
        <v>34</v>
      </c>
      <c r="Y140" s="21">
        <v>44</v>
      </c>
      <c r="Z140" s="21">
        <v>22</v>
      </c>
      <c r="AA140" s="21">
        <v>54</v>
      </c>
      <c r="AB140" s="21">
        <v>48</v>
      </c>
      <c r="AC140" s="21">
        <v>100</v>
      </c>
      <c r="AD140" s="21">
        <v>50</v>
      </c>
      <c r="AE140" s="21">
        <v>79</v>
      </c>
      <c r="AF140" s="21">
        <v>29</v>
      </c>
      <c r="AG140" s="21">
        <v>63</v>
      </c>
      <c r="AH140" s="21">
        <v>48</v>
      </c>
      <c r="AI140" s="6">
        <f>H$1*((-2*10^-6)*H140^3+0.00032*H140^2-0.0021*H140)+I$1*((-2*10^-6)*I140^3+0.00032*I140^2-0.0021*I140)+J$1*((-2*10^-6)*J140^3+0.00032*J140^2-0.0021*J140)+K$1*((-2*10^-6)*K140^3+0.00032*K140^2-0.0021*K140)+L$1*((-2*10^-6)*L140^3+0.00032*L140^2-0.0021*L140)</f>
        <v>0.77669960000000016</v>
      </c>
      <c r="AJ140" s="6">
        <f>(M$1*M140+N$1*N140+O$1*O140)/100</f>
        <v>0.51200000000000001</v>
      </c>
      <c r="AK140" s="6">
        <f>IF(AA140&lt;50,W$1*((-2*10^-6)*W140^3+0.00032*W140^2-0.0021*W140)+X$1*((-2*10^-6)*X140^3+0.00032*X140^2-0.0021*X140)+Y$1*((-2*10^-6)*Y140^3+0.00032*Y140^2-0.0021*Y140)+Z$1*((-2*10^-6)*Z140^3+0.00032*Z140^2-0.0021*Z140),X$2*((-2*10^-6)*X140^3+0.00032*X140^2-0.0021*AA140)+Y$2*((-2*10^-6)*Y140^3+0.00032*Y140^2-0.0021*Y140)+Z$2*((-2*10^-6)*Z140^3+0.00032*Z140^2-0.0021*Z140)+ AA$2*((-2*10^-6)*AA140^3+0.00032*AA140^2-0.0021*AA140))</f>
        <v>0.74496560000000023</v>
      </c>
      <c r="AL140" s="6">
        <f>(AB$1*AB140+AC$1*AC140)/100</f>
        <v>0.58400000000000007</v>
      </c>
      <c r="AM140" s="6">
        <f>AD$1*((-2*10^-6)*AD140^3+0.00032*AD140^2-0.0021*AD140)+AE$1*((-2*10^-6)*AE140^3+0.00032*AE140^2-0.0021*AE140)+AF$1*((-2*10^-6)*AF140^3+0.00032*AF140^2-0.0021*AF140)+AG$1*((-2*10^-6)*AG140^3+0.00032*AG140^2-0.0021*AG140)</f>
        <v>0.60922700000000019</v>
      </c>
    </row>
    <row r="141" spans="1:39" ht="15" thickBot="1" x14ac:dyDescent="0.35">
      <c r="A141" s="6">
        <f>(AI141*H$3+AJ141*M$3+AK141*W$3+AL141*AB$3+AM141*AD$3)*100/(AI$5*H$3+AJ$5*M$3+AK$5*W$3+AL$5*AB$3+AM$5*AD$3)</f>
        <v>17.186662687636154</v>
      </c>
      <c r="B141" s="20">
        <v>136</v>
      </c>
      <c r="C141" s="13" t="s">
        <v>164</v>
      </c>
      <c r="D141" s="21" t="s">
        <v>16</v>
      </c>
      <c r="E141" s="21" t="s">
        <v>20</v>
      </c>
      <c r="F141" s="21" t="s">
        <v>20</v>
      </c>
      <c r="G141" s="21">
        <v>18</v>
      </c>
      <c r="H141" s="21">
        <v>27</v>
      </c>
      <c r="I141" s="21">
        <v>11</v>
      </c>
      <c r="J141" s="21">
        <v>15</v>
      </c>
      <c r="K141" s="21">
        <v>31</v>
      </c>
      <c r="L141" s="21">
        <v>25</v>
      </c>
      <c r="M141" s="21">
        <v>16</v>
      </c>
      <c r="N141" s="21">
        <v>70</v>
      </c>
      <c r="O141" s="21">
        <v>65</v>
      </c>
      <c r="P141" s="21">
        <v>44</v>
      </c>
      <c r="Q141" s="20">
        <v>136</v>
      </c>
      <c r="R141" s="13" t="s">
        <v>164</v>
      </c>
      <c r="S141" s="21" t="s">
        <v>16</v>
      </c>
      <c r="T141" s="21" t="s">
        <v>20</v>
      </c>
      <c r="U141" s="21" t="s">
        <v>20</v>
      </c>
      <c r="V141" s="21">
        <v>18</v>
      </c>
      <c r="W141" s="21">
        <v>32</v>
      </c>
      <c r="X141" s="21">
        <v>28</v>
      </c>
      <c r="Y141" s="21">
        <v>62</v>
      </c>
      <c r="Z141" s="21">
        <v>24</v>
      </c>
      <c r="AA141" s="21">
        <v>42</v>
      </c>
      <c r="AB141" s="21">
        <v>32</v>
      </c>
      <c r="AC141" s="21">
        <v>77</v>
      </c>
      <c r="AD141" s="21">
        <v>51</v>
      </c>
      <c r="AE141" s="21">
        <v>41</v>
      </c>
      <c r="AF141" s="21">
        <v>47</v>
      </c>
      <c r="AG141" s="21">
        <v>79</v>
      </c>
      <c r="AH141" s="21">
        <v>44</v>
      </c>
      <c r="AI141" s="6">
        <f>H$1*((-2*10^-6)*H141^3+0.00032*H141^2-0.0021*H141)+I$1*((-2*10^-6)*I141^3+0.00032*I141^2-0.0021*I141)+J$1*((-2*10^-6)*J141^3+0.00032*J141^2-0.0021*J141)+K$1*((-2*10^-6)*K141^3+0.00032*K141^2-0.0021*K141)+L$1*((-2*10^-6)*L141^3+0.00032*L141^2-0.0021*L141)</f>
        <v>0.58540040000000015</v>
      </c>
      <c r="AJ141" s="6">
        <f>(M$1*M141+N$1*N141+O$1*O141)/100</f>
        <v>0.36499999999999999</v>
      </c>
      <c r="AK141" s="6">
        <f>IF(AA141&lt;50,W$1*((-2*10^-6)*W141^3+0.00032*W141^2-0.0021*W141)+X$1*((-2*10^-6)*X141^3+0.00032*X141^2-0.0021*X141)+Y$1*((-2*10^-6)*Y141^3+0.00032*Y141^2-0.0021*Y141)+Z$1*((-2*10^-6)*Z141^3+0.00032*Z141^2-0.0021*Z141),X$2*((-2*10^-6)*X141^3+0.00032*X141^2-0.0021*AA141)+Y$2*((-2*10^-6)*Y141^3+0.00032*Y141^2-0.0021*Y141)+Z$2*((-2*10^-6)*Z141^3+0.00032*Z141^2-0.0021*Z141)+ AA$2*((-2*10^-6)*AA141^3+0.00032*AA141^2-0.0021*AA141))</f>
        <v>1.0726160000000002</v>
      </c>
      <c r="AL141" s="6">
        <f>(AB$1*AB141+AC$1*AC141)/100</f>
        <v>0.41</v>
      </c>
      <c r="AM141" s="6">
        <f>AD$1*((-2*10^-6)*AD141^3+0.00032*AD141^2-0.0021*AD141)+AE$1*((-2*10^-6)*AE141^3+0.00032*AE141^2-0.0021*AE141)+AF$1*((-2*10^-6)*AF141^3+0.00032*AF141^2-0.0021*AF141)+AG$1*((-2*10^-6)*AG141^3+0.00032*AG141^2-0.0021*AG141)</f>
        <v>0.61588340000000019</v>
      </c>
    </row>
    <row r="142" spans="1:39" ht="15" thickBot="1" x14ac:dyDescent="0.35">
      <c r="A142" s="6">
        <f>(AI142*H$3+AJ142*M$3+AK142*W$3+AL142*AB$3+AM142*AD$3)*100/(AI$5*H$3+AJ$5*M$3+AK$5*W$3+AL$5*AB$3+AM$5*AD$3)</f>
        <v>17.016012265361539</v>
      </c>
      <c r="B142" s="20">
        <v>88</v>
      </c>
      <c r="C142" s="13" t="s">
        <v>116</v>
      </c>
      <c r="D142" s="21" t="s">
        <v>16</v>
      </c>
      <c r="E142" s="21" t="s">
        <v>19</v>
      </c>
      <c r="F142" s="21" t="s">
        <v>19</v>
      </c>
      <c r="G142" s="21">
        <v>18</v>
      </c>
      <c r="H142" s="21">
        <v>23</v>
      </c>
      <c r="I142" s="21">
        <v>10</v>
      </c>
      <c r="J142" s="21">
        <v>20</v>
      </c>
      <c r="K142" s="21">
        <v>22</v>
      </c>
      <c r="L142" s="21">
        <v>34</v>
      </c>
      <c r="M142" s="21">
        <v>23</v>
      </c>
      <c r="N142" s="21">
        <v>54</v>
      </c>
      <c r="O142" s="21">
        <v>59</v>
      </c>
      <c r="P142" s="21">
        <v>53</v>
      </c>
      <c r="Q142" s="20">
        <v>88</v>
      </c>
      <c r="R142" s="13" t="s">
        <v>116</v>
      </c>
      <c r="S142" s="21" t="s">
        <v>16</v>
      </c>
      <c r="T142" s="21" t="s">
        <v>19</v>
      </c>
      <c r="U142" s="21" t="s">
        <v>19</v>
      </c>
      <c r="V142" s="21">
        <v>18</v>
      </c>
      <c r="W142" s="21">
        <v>20</v>
      </c>
      <c r="X142" s="21">
        <v>6</v>
      </c>
      <c r="Y142" s="21">
        <v>17</v>
      </c>
      <c r="Z142" s="21">
        <v>83</v>
      </c>
      <c r="AA142" s="21">
        <v>10</v>
      </c>
      <c r="AB142" s="21">
        <v>25</v>
      </c>
      <c r="AC142" s="21">
        <v>96</v>
      </c>
      <c r="AD142" s="21">
        <v>14</v>
      </c>
      <c r="AE142" s="21">
        <v>91</v>
      </c>
      <c r="AF142" s="21">
        <v>41</v>
      </c>
      <c r="AG142" s="21">
        <v>96</v>
      </c>
      <c r="AH142" s="21">
        <v>53</v>
      </c>
      <c r="AI142" s="6">
        <f>H$1*((-2*10^-6)*H142^3+0.00032*H142^2-0.0021*H142)+I$1*((-2*10^-6)*I142^3+0.00032*I142^2-0.0021*I142)+J$1*((-2*10^-6)*J142^3+0.00032*J142^2-0.0021*J142)+K$1*((-2*10^-6)*K142^3+0.00032*K142^2-0.0021*K142)+L$1*((-2*10^-6)*L142^3+0.00032*L142^2-0.0021*L142)</f>
        <v>0.71035960000000009</v>
      </c>
      <c r="AJ142" s="6">
        <f>(M$1*M142+N$1*N142+O$1*O142)/100</f>
        <v>0.39699999999999996</v>
      </c>
      <c r="AK142" s="6">
        <f>IF(AA142&lt;50,W$1*((-2*10^-6)*W142^3+0.00032*W142^2-0.0021*W142)+X$1*((-2*10^-6)*X142^3+0.00032*X142^2-0.0021*X142)+Y$1*((-2*10^-6)*Y142^3+0.00032*Y142^2-0.0021*Y142)+Z$1*((-2*10^-6)*Z142^3+0.00032*Z142^2-0.0021*Z142),X$2*((-2*10^-6)*X142^3+0.00032*X142^2-0.0021*AA142)+Y$2*((-2*10^-6)*Y142^3+0.00032*Y142^2-0.0021*Y142)+Z$2*((-2*10^-6)*Z142^3+0.00032*Z142^2-0.0021*Z142)+ AA$2*((-2*10^-6)*AA142^3+0.00032*AA142^2-0.0021*AA142))</f>
        <v>1.0020480000000003</v>
      </c>
      <c r="AL142" s="6">
        <f>(AB$1*AB142+AC$1*AC142)/100</f>
        <v>0.39200000000000002</v>
      </c>
      <c r="AM142" s="6">
        <f>AD$1*((-2*10^-6)*AD142^3+0.00032*AD142^2-0.0021*AD142)+AE$1*((-2*10^-6)*AE142^3+0.00032*AE142^2-0.0021*AE142)+AF$1*((-2*10^-6)*AF142^3+0.00032*AF142^2-0.0021*AF142)+AG$1*((-2*10^-6)*AG142^3+0.00032*AG142^2-0.0021*AG142)</f>
        <v>0.25220240000000005</v>
      </c>
    </row>
    <row r="143" spans="1:39" ht="15" thickBot="1" x14ac:dyDescent="0.35">
      <c r="A143" s="6">
        <f>(AI143*H$3+AJ143*M$3+AK143*W$3+AL143*AB$3+AM143*AD$3)*100/(AI$5*H$3+AJ$5*M$3+AK$5*W$3+AL$5*AB$3+AM$5*AD$3)</f>
        <v>16.999865409293019</v>
      </c>
      <c r="B143" s="20">
        <v>158</v>
      </c>
      <c r="C143" s="13" t="s">
        <v>186</v>
      </c>
      <c r="D143" s="21" t="s">
        <v>16</v>
      </c>
      <c r="E143" s="21" t="s">
        <v>21</v>
      </c>
      <c r="F143" s="21" t="s">
        <v>19</v>
      </c>
      <c r="G143" s="21">
        <v>18</v>
      </c>
      <c r="H143" s="21">
        <v>9</v>
      </c>
      <c r="I143" s="21">
        <v>8</v>
      </c>
      <c r="J143" s="21">
        <v>11</v>
      </c>
      <c r="K143" s="21">
        <v>19</v>
      </c>
      <c r="L143" s="21">
        <v>15</v>
      </c>
      <c r="M143" s="21">
        <v>15</v>
      </c>
      <c r="N143" s="21">
        <v>64</v>
      </c>
      <c r="O143" s="21">
        <v>73</v>
      </c>
      <c r="P143" s="21">
        <v>39</v>
      </c>
      <c r="Q143" s="20">
        <v>158</v>
      </c>
      <c r="R143" s="13" t="s">
        <v>186</v>
      </c>
      <c r="S143" s="21" t="s">
        <v>16</v>
      </c>
      <c r="T143" s="21" t="s">
        <v>21</v>
      </c>
      <c r="U143" s="21" t="s">
        <v>19</v>
      </c>
      <c r="V143" s="21">
        <v>18</v>
      </c>
      <c r="W143" s="21">
        <v>22</v>
      </c>
      <c r="X143" s="21">
        <v>23</v>
      </c>
      <c r="Y143" s="21">
        <v>66</v>
      </c>
      <c r="Z143" s="21">
        <v>66</v>
      </c>
      <c r="AA143" s="21">
        <v>14</v>
      </c>
      <c r="AB143" s="21">
        <v>71</v>
      </c>
      <c r="AC143" s="21">
        <v>62</v>
      </c>
      <c r="AD143" s="21">
        <v>25</v>
      </c>
      <c r="AE143" s="21">
        <v>90</v>
      </c>
      <c r="AF143" s="21">
        <v>47</v>
      </c>
      <c r="AG143" s="21">
        <v>96</v>
      </c>
      <c r="AH143" s="21">
        <v>39</v>
      </c>
      <c r="AI143" s="6">
        <f>H$1*((-2*10^-6)*H143^3+0.00032*H143^2-0.0021*H143)+I$1*((-2*10^-6)*I143^3+0.00032*I143^2-0.0021*I143)+J$1*((-2*10^-6)*J143^3+0.00032*J143^2-0.0021*J143)+K$1*((-2*10^-6)*K143^3+0.00032*K143^2-0.0021*K143)+L$1*((-2*10^-6)*L143^3+0.00032*L143^2-0.0021*L143)</f>
        <v>0.14242040000000006</v>
      </c>
      <c r="AJ143" s="6">
        <f>(M$1*M143+N$1*N143+O$1*O143)/100</f>
        <v>0.35100000000000003</v>
      </c>
      <c r="AK143" s="6">
        <f>IF(AA143&lt;50,W$1*((-2*10^-6)*W143^3+0.00032*W143^2-0.0021*W143)+X$1*((-2*10^-6)*X143^3+0.00032*X143^2-0.0021*X143)+Y$1*((-2*10^-6)*Y143^3+0.00032*Y143^2-0.0021*Y143)+Z$1*((-2*10^-6)*Z143^3+0.00032*Z143^2-0.0021*Z143),X$2*((-2*10^-6)*X143^3+0.00032*X143^2-0.0021*AA143)+Y$2*((-2*10^-6)*Y143^3+0.00032*Y143^2-0.0021*Y143)+Z$2*((-2*10^-6)*Z143^3+0.00032*Z143^2-0.0021*Z143)+ AA$2*((-2*10^-6)*AA143^3+0.00032*AA143^2-0.0021*AA143))</f>
        <v>1.544686</v>
      </c>
      <c r="AL143" s="6">
        <f>(AB$1*AB143+AC$1*AC143)/100</f>
        <v>0.69200000000000006</v>
      </c>
      <c r="AM143" s="6">
        <f>AD$1*((-2*10^-6)*AD143^3+0.00032*AD143^2-0.0021*AD143)+AE$1*((-2*10^-6)*AE143^3+0.00032*AE143^2-0.0021*AE143)+AF$1*((-2*10^-6)*AF143^3+0.00032*AF143^2-0.0021*AF143)+AG$1*((-2*10^-6)*AG143^3+0.00032*AG143^2-0.0021*AG143)</f>
        <v>0.34860820000000009</v>
      </c>
    </row>
    <row r="144" spans="1:39" ht="15" thickBot="1" x14ac:dyDescent="0.35">
      <c r="A144" s="6">
        <f>(AI144*H$3+AJ144*M$3+AK144*W$3+AL144*AB$3+AM144*AD$3)*100/(AI$5*H$3+AJ$5*M$3+AK$5*W$3+AL$5*AB$3+AM$5*AD$3)</f>
        <v>16.968170939150671</v>
      </c>
      <c r="B144" s="20">
        <v>74</v>
      </c>
      <c r="C144" s="13" t="s">
        <v>102</v>
      </c>
      <c r="D144" s="21" t="s">
        <v>16</v>
      </c>
      <c r="E144" s="21" t="s">
        <v>19</v>
      </c>
      <c r="F144" s="21" t="s">
        <v>19</v>
      </c>
      <c r="G144" s="21">
        <v>18</v>
      </c>
      <c r="H144" s="21">
        <v>21</v>
      </c>
      <c r="I144" s="21">
        <v>6</v>
      </c>
      <c r="J144" s="21">
        <v>26</v>
      </c>
      <c r="K144" s="21">
        <v>25</v>
      </c>
      <c r="L144" s="21">
        <v>37</v>
      </c>
      <c r="M144" s="21">
        <v>19</v>
      </c>
      <c r="N144" s="21">
        <v>64</v>
      </c>
      <c r="O144" s="21">
        <v>75</v>
      </c>
      <c r="P144" s="21">
        <v>56</v>
      </c>
      <c r="Q144" s="20">
        <v>74</v>
      </c>
      <c r="R144" s="13" t="s">
        <v>102</v>
      </c>
      <c r="S144" s="21" t="s">
        <v>16</v>
      </c>
      <c r="T144" s="21" t="s">
        <v>19</v>
      </c>
      <c r="U144" s="21" t="s">
        <v>19</v>
      </c>
      <c r="V144" s="21">
        <v>18</v>
      </c>
      <c r="W144" s="21">
        <v>1</v>
      </c>
      <c r="X144" s="21">
        <v>7</v>
      </c>
      <c r="Y144" s="21">
        <v>60</v>
      </c>
      <c r="Z144" s="21">
        <v>37</v>
      </c>
      <c r="AA144" s="21">
        <v>0</v>
      </c>
      <c r="AB144" s="21">
        <v>30</v>
      </c>
      <c r="AC144" s="21">
        <v>94</v>
      </c>
      <c r="AD144" s="21">
        <v>12</v>
      </c>
      <c r="AE144" s="21">
        <v>70</v>
      </c>
      <c r="AF144" s="21">
        <v>69</v>
      </c>
      <c r="AG144" s="21">
        <v>75</v>
      </c>
      <c r="AH144" s="21">
        <v>56</v>
      </c>
      <c r="AI144" s="6">
        <f>H$1*((-2*10^-6)*H144^3+0.00032*H144^2-0.0021*H144)+I$1*((-2*10^-6)*I144^3+0.00032*I144^2-0.0021*I144)+J$1*((-2*10^-6)*J144^3+0.00032*J144^2-0.0021*J144)+K$1*((-2*10^-6)*K144^3+0.00032*K144^2-0.0021*K144)+L$1*((-2*10^-6)*L144^3+0.00032*L144^2-0.0021*L144)</f>
        <v>0.81437760000000015</v>
      </c>
      <c r="AJ144" s="6">
        <f>(M$1*M144+N$1*N144+O$1*O144)/100</f>
        <v>0.39299999999999996</v>
      </c>
      <c r="AK144" s="6">
        <f>IF(AA144&lt;50,W$1*((-2*10^-6)*W144^3+0.00032*W144^2-0.0021*W144)+X$1*((-2*10^-6)*X144^3+0.00032*X144^2-0.0021*X144)+Y$1*((-2*10^-6)*Y144^3+0.00032*Y144^2-0.0021*Y144)+Z$1*((-2*10^-6)*Z144^3+0.00032*Z144^2-0.0021*Z144),X$2*((-2*10^-6)*X144^3+0.00032*X144^2-0.0021*AA144)+Y$2*((-2*10^-6)*Y144^3+0.00032*Y144^2-0.0021*Y144)+Z$2*((-2*10^-6)*Z144^3+0.00032*Z144^2-0.0021*Z144)+ AA$2*((-2*10^-6)*AA144^3+0.00032*AA144^2-0.0021*AA144))</f>
        <v>0.85158600000000018</v>
      </c>
      <c r="AL144" s="6">
        <f>(AB$1*AB144+AC$1*AC144)/100</f>
        <v>0.42799999999999999</v>
      </c>
      <c r="AM144" s="6">
        <f>AD$1*((-2*10^-6)*AD144^3+0.00032*AD144^2-0.0021*AD144)+AE$1*((-2*10^-6)*AE144^3+0.00032*AE144^2-0.0021*AE144)+AF$1*((-2*10^-6)*AF144^3+0.00032*AF144^2-0.0021*AF144)+AG$1*((-2*10^-6)*AG144^3+0.00032*AG144^2-0.0021*AG144)</f>
        <v>0.24295920000000004</v>
      </c>
    </row>
    <row r="145" spans="1:39" ht="15" thickBot="1" x14ac:dyDescent="0.35">
      <c r="A145" s="6">
        <f>(AI145*H$3+AJ145*M$3+AK145*W$3+AL145*AB$3+AM145*AD$3)*100/(AI$5*H$3+AJ$5*M$3+AK$5*W$3+AL$5*AB$3+AM$5*AD$3)</f>
        <v>16.835678922080632</v>
      </c>
      <c r="B145" s="20">
        <v>126</v>
      </c>
      <c r="C145" s="13" t="s">
        <v>154</v>
      </c>
      <c r="D145" s="21" t="s">
        <v>16</v>
      </c>
      <c r="E145" s="21" t="s">
        <v>19</v>
      </c>
      <c r="F145" s="21" t="s">
        <v>19</v>
      </c>
      <c r="G145" s="21">
        <v>18</v>
      </c>
      <c r="H145" s="21">
        <v>23</v>
      </c>
      <c r="I145" s="21">
        <v>18</v>
      </c>
      <c r="J145" s="21">
        <v>21</v>
      </c>
      <c r="K145" s="21">
        <v>16</v>
      </c>
      <c r="L145" s="21">
        <v>25</v>
      </c>
      <c r="M145" s="21">
        <v>21</v>
      </c>
      <c r="N145" s="21">
        <v>73</v>
      </c>
      <c r="O145" s="21">
        <v>57</v>
      </c>
      <c r="P145" s="21">
        <v>45</v>
      </c>
      <c r="Q145" s="20">
        <v>126</v>
      </c>
      <c r="R145" s="13" t="s">
        <v>154</v>
      </c>
      <c r="S145" s="21" t="s">
        <v>16</v>
      </c>
      <c r="T145" s="21" t="s">
        <v>19</v>
      </c>
      <c r="U145" s="21" t="s">
        <v>19</v>
      </c>
      <c r="V145" s="21">
        <v>18</v>
      </c>
      <c r="W145" s="21">
        <v>13</v>
      </c>
      <c r="X145" s="21">
        <v>6</v>
      </c>
      <c r="Y145" s="21">
        <v>31</v>
      </c>
      <c r="Z145" s="21">
        <v>78</v>
      </c>
      <c r="AA145" s="21">
        <v>19</v>
      </c>
      <c r="AB145" s="21">
        <v>36</v>
      </c>
      <c r="AC145" s="21">
        <v>84</v>
      </c>
      <c r="AD145" s="21">
        <v>50</v>
      </c>
      <c r="AE145" s="21">
        <v>90</v>
      </c>
      <c r="AF145" s="21">
        <v>27</v>
      </c>
      <c r="AG145" s="21">
        <v>81</v>
      </c>
      <c r="AH145" s="21">
        <v>45</v>
      </c>
      <c r="AI145" s="6">
        <f>H$1*((-2*10^-6)*H145^3+0.00032*H145^2-0.0021*H145)+I$1*((-2*10^-6)*I145^3+0.00032*I145^2-0.0021*I145)+J$1*((-2*10^-6)*J145^3+0.00032*J145^2-0.0021*J145)+K$1*((-2*10^-6)*K145^3+0.00032*K145^2-0.0021*K145)+L$1*((-2*10^-6)*L145^3+0.00032*L145^2-0.0021*L145)</f>
        <v>0.54002920000000021</v>
      </c>
      <c r="AJ145" s="6">
        <f>(M$1*M145+N$1*N145+O$1*O145)/100</f>
        <v>0.41300000000000003</v>
      </c>
      <c r="AK145" s="6">
        <f>IF(AA145&lt;50,W$1*((-2*10^-6)*W145^3+0.00032*W145^2-0.0021*W145)+X$1*((-2*10^-6)*X145^3+0.00032*X145^2-0.0021*X145)+Y$1*((-2*10^-6)*Y145^3+0.00032*Y145^2-0.0021*Y145)+Z$1*((-2*10^-6)*Z145^3+0.00032*Z145^2-0.0021*Z145),X$2*((-2*10^-6)*X145^3+0.00032*X145^2-0.0021*AA145)+Y$2*((-2*10^-6)*Y145^3+0.00032*Y145^2-0.0021*Y145)+Z$2*((-2*10^-6)*Z145^3+0.00032*Z145^2-0.0021*Z145)+ AA$2*((-2*10^-6)*AA145^3+0.00032*AA145^2-0.0021*AA145))</f>
        <v>1.0376880000000004</v>
      </c>
      <c r="AL145" s="6">
        <f>(AB$1*AB145+AC$1*AC145)/100</f>
        <v>0.45600000000000002</v>
      </c>
      <c r="AM145" s="6">
        <f>AD$1*((-2*10^-6)*AD145^3+0.00032*AD145^2-0.0021*AD145)+AE$1*((-2*10^-6)*AE145^3+0.00032*AE145^2-0.0021*AE145)+AF$1*((-2*10^-6)*AF145^3+0.00032*AF145^2-0.0021*AF145)+AG$1*((-2*10^-6)*AG145^3+0.00032*AG145^2-0.0021*AG145)</f>
        <v>0.63987520000000009</v>
      </c>
    </row>
    <row r="146" spans="1:39" ht="15" thickBot="1" x14ac:dyDescent="0.35">
      <c r="A146" s="6">
        <f>(AI146*H$3+AJ146*M$3+AK146*W$3+AL146*AB$3+AM146*AD$3)*100/(AI$5*H$3+AJ$5*M$3+AK$5*W$3+AL$5*AB$3+AM$5*AD$3)</f>
        <v>16.818072458145569</v>
      </c>
      <c r="B146" s="18">
        <v>173</v>
      </c>
      <c r="C146" s="12" t="s">
        <v>201</v>
      </c>
      <c r="D146" s="19" t="s">
        <v>16</v>
      </c>
      <c r="E146" s="19" t="s">
        <v>20</v>
      </c>
      <c r="F146" s="19" t="s">
        <v>20</v>
      </c>
      <c r="G146" s="19">
        <v>18</v>
      </c>
      <c r="H146" s="19">
        <v>23</v>
      </c>
      <c r="I146" s="19">
        <v>6</v>
      </c>
      <c r="J146" s="19">
        <v>12</v>
      </c>
      <c r="K146" s="19">
        <v>32</v>
      </c>
      <c r="L146" s="19">
        <v>30</v>
      </c>
      <c r="M146" s="19">
        <v>10</v>
      </c>
      <c r="N146" s="19">
        <v>58</v>
      </c>
      <c r="O146" s="19">
        <v>60</v>
      </c>
      <c r="P146" s="19">
        <v>33</v>
      </c>
      <c r="Q146" s="18">
        <v>173</v>
      </c>
      <c r="R146" s="12" t="s">
        <v>201</v>
      </c>
      <c r="S146" s="19" t="s">
        <v>16</v>
      </c>
      <c r="T146" s="19" t="s">
        <v>20</v>
      </c>
      <c r="U146" s="19" t="s">
        <v>20</v>
      </c>
      <c r="V146" s="19">
        <v>18</v>
      </c>
      <c r="W146" s="19">
        <v>50</v>
      </c>
      <c r="X146" s="19">
        <v>34</v>
      </c>
      <c r="Y146" s="19">
        <v>21</v>
      </c>
      <c r="Z146" s="19">
        <v>38</v>
      </c>
      <c r="AA146" s="19">
        <v>13</v>
      </c>
      <c r="AB146" s="19">
        <v>49</v>
      </c>
      <c r="AC146" s="19">
        <v>76</v>
      </c>
      <c r="AD146" s="19">
        <v>25</v>
      </c>
      <c r="AE146" s="19">
        <v>59</v>
      </c>
      <c r="AF146" s="19">
        <v>34</v>
      </c>
      <c r="AG146" s="19">
        <v>96</v>
      </c>
      <c r="AH146" s="19">
        <v>33</v>
      </c>
      <c r="AI146" s="6">
        <f>H$1*((-2*10^-6)*H146^3+0.00032*H146^2-0.0021*H146)+I$1*((-2*10^-6)*I146^3+0.00032*I146^2-0.0021*I146)+J$1*((-2*10^-6)*J146^3+0.00032*J146^2-0.0021*J146)+K$1*((-2*10^-6)*K146^3+0.00032*K146^2-0.0021*K146)+L$1*((-2*10^-6)*L146^3+0.00032*L146^2-0.0021*L146)</f>
        <v>0.63623160000000023</v>
      </c>
      <c r="AJ146" s="6">
        <f>(M$1*M146+N$1*N146+O$1*O146)/100</f>
        <v>0.27600000000000002</v>
      </c>
      <c r="AK146" s="6">
        <f>IF(AA146&lt;50,W$1*((-2*10^-6)*W146^3+0.00032*W146^2-0.0021*W146)+X$1*((-2*10^-6)*X146^3+0.00032*X146^2-0.0021*X146)+Y$1*((-2*10^-6)*Y146^3+0.00032*Y146^2-0.0021*Y146)+Z$1*((-2*10^-6)*Z146^3+0.00032*Z146^2-0.0021*Z146),X$2*((-2*10^-6)*X146^3+0.00032*X146^2-0.0021*AA146)+Y$2*((-2*10^-6)*Y146^3+0.00032*Y146^2-0.0021*Y146)+Z$2*((-2*10^-6)*Z146^3+0.00032*Z146^2-0.0021*Z146)+ AA$2*((-2*10^-6)*AA146^3+0.00032*AA146^2-0.0021*AA146))</f>
        <v>1.0159460000000002</v>
      </c>
      <c r="AL146" s="6">
        <f>(AB$1*AB146+AC$1*AC146)/100</f>
        <v>0.54400000000000004</v>
      </c>
      <c r="AM146" s="6">
        <f>AD$1*((-2*10^-6)*AD146^3+0.00032*AD146^2-0.0021*AD146)+AE$1*((-2*10^-6)*AE146^3+0.00032*AE146^2-0.0021*AE146)+AF$1*((-2*10^-6)*AF146^3+0.00032*AF146^2-0.0021*AF146)+AG$1*((-2*10^-6)*AG146^3+0.00032*AG146^2-0.0021*AG146)</f>
        <v>0.29397220000000007</v>
      </c>
    </row>
    <row r="147" spans="1:39" ht="15" thickBot="1" x14ac:dyDescent="0.35">
      <c r="A147" s="6">
        <f>(AI147*H$3+AJ147*M$3+AK147*W$3+AL147*AB$3+AM147*AD$3)*100/(AI$5*H$3+AJ$5*M$3+AK$5*W$3+AL$5*AB$3+AM$5*AD$3)</f>
        <v>16.609993882240584</v>
      </c>
      <c r="B147" s="18">
        <v>35</v>
      </c>
      <c r="C147" s="12" t="s">
        <v>63</v>
      </c>
      <c r="D147" s="19" t="s">
        <v>16</v>
      </c>
      <c r="E147" s="19" t="s">
        <v>20</v>
      </c>
      <c r="F147" s="19" t="s">
        <v>20</v>
      </c>
      <c r="G147" s="19">
        <v>18</v>
      </c>
      <c r="H147" s="19">
        <v>20</v>
      </c>
      <c r="I147" s="19">
        <v>5</v>
      </c>
      <c r="J147" s="19">
        <v>7</v>
      </c>
      <c r="K147" s="19">
        <v>19</v>
      </c>
      <c r="L147" s="19">
        <v>8</v>
      </c>
      <c r="M147" s="19">
        <v>12</v>
      </c>
      <c r="N147" s="19">
        <v>63</v>
      </c>
      <c r="O147" s="19">
        <v>63</v>
      </c>
      <c r="P147" s="19">
        <v>65</v>
      </c>
      <c r="Q147" s="18">
        <v>35</v>
      </c>
      <c r="R147" s="12" t="s">
        <v>63</v>
      </c>
      <c r="S147" s="19" t="s">
        <v>16</v>
      </c>
      <c r="T147" s="19" t="s">
        <v>20</v>
      </c>
      <c r="U147" s="19" t="s">
        <v>20</v>
      </c>
      <c r="V147" s="19">
        <v>18</v>
      </c>
      <c r="W147" s="19">
        <v>13</v>
      </c>
      <c r="X147" s="19">
        <v>31</v>
      </c>
      <c r="Y147" s="19">
        <v>71</v>
      </c>
      <c r="Z147" s="19">
        <v>59</v>
      </c>
      <c r="AA147" s="19">
        <v>17</v>
      </c>
      <c r="AB147" s="19">
        <v>78</v>
      </c>
      <c r="AC147" s="19">
        <v>74</v>
      </c>
      <c r="AD147" s="19">
        <v>13</v>
      </c>
      <c r="AE147" s="19">
        <v>88</v>
      </c>
      <c r="AF147" s="19">
        <v>47</v>
      </c>
      <c r="AG147" s="19">
        <v>61</v>
      </c>
      <c r="AH147" s="19">
        <v>65</v>
      </c>
      <c r="AI147" s="6">
        <f>H$1*((-2*10^-6)*H147^3+0.00032*H147^2-0.0021*H147)+I$1*((-2*10^-6)*I147^3+0.00032*I147^2-0.0021*I147)+J$1*((-2*10^-6)*J147^3+0.00032*J147^2-0.0021*J147)+K$1*((-2*10^-6)*K147^3+0.00032*K147^2-0.0021*K147)+L$1*((-2*10^-6)*L147^3+0.00032*L147^2-0.0021*L147)</f>
        <v>0.12004120000000003</v>
      </c>
      <c r="AJ147" s="6">
        <f>(M$1*M147+N$1*N147+O$1*O147)/100</f>
        <v>0.309</v>
      </c>
      <c r="AK147" s="6">
        <f>IF(AA147&lt;50,W$1*((-2*10^-6)*W147^3+0.00032*W147^2-0.0021*W147)+X$1*((-2*10^-6)*X147^3+0.00032*X147^2-0.0021*X147)+Y$1*((-2*10^-6)*Y147^3+0.00032*Y147^2-0.0021*Y147)+Z$1*((-2*10^-6)*Z147^3+0.00032*Z147^2-0.0021*Z147),X$2*((-2*10^-6)*X147^3+0.00032*X147^2-0.0021*AA147)+Y$2*((-2*10^-6)*Y147^3+0.00032*Y147^2-0.0021*Y147)+Z$2*((-2*10^-6)*Z147^3+0.00032*Z147^2-0.0021*Z147)+ AA$2*((-2*10^-6)*AA147^3+0.00032*AA147^2-0.0021*AA147))</f>
        <v>1.5326840000000002</v>
      </c>
      <c r="AL147" s="6">
        <f>(AB$1*AB147+AC$1*AC147)/100</f>
        <v>0.77200000000000002</v>
      </c>
      <c r="AM147" s="6">
        <f>AD$1*((-2*10^-6)*AD147^3+0.00032*AD147^2-0.0021*AD147)+AE$1*((-2*10^-6)*AE147^3+0.00032*AE147^2-0.0021*AE147)+AF$1*((-2*10^-6)*AF147^3+0.00032*AF147^2-0.0021*AF147)+AG$1*((-2*10^-6)*AG147^3+0.00032*AG147^2-0.0021*AG147)</f>
        <v>0.21633880000000005</v>
      </c>
    </row>
    <row r="148" spans="1:39" ht="15" thickBot="1" x14ac:dyDescent="0.35">
      <c r="A148" s="6">
        <f>(AI148*H$3+AJ148*M$3+AK148*W$3+AL148*AB$3+AM148*AD$3)*100/(AI$5*H$3+AJ$5*M$3+AK$5*W$3+AL$5*AB$3+AM$5*AD$3)</f>
        <v>16.234811990808439</v>
      </c>
      <c r="B148" s="18">
        <v>159</v>
      </c>
      <c r="C148" s="12" t="s">
        <v>187</v>
      </c>
      <c r="D148" s="19" t="s">
        <v>16</v>
      </c>
      <c r="E148" s="19" t="s">
        <v>19</v>
      </c>
      <c r="F148" s="19" t="s">
        <v>19</v>
      </c>
      <c r="G148" s="19">
        <v>19</v>
      </c>
      <c r="H148" s="19">
        <v>0</v>
      </c>
      <c r="I148" s="19">
        <v>0</v>
      </c>
      <c r="J148" s="19">
        <v>0</v>
      </c>
      <c r="K148" s="19">
        <v>26</v>
      </c>
      <c r="L148" s="19">
        <v>11</v>
      </c>
      <c r="M148" s="19">
        <v>30</v>
      </c>
      <c r="N148" s="19">
        <v>31</v>
      </c>
      <c r="O148" s="19">
        <v>56</v>
      </c>
      <c r="P148" s="19">
        <v>53</v>
      </c>
      <c r="Q148" s="18">
        <v>159</v>
      </c>
      <c r="R148" s="12" t="s">
        <v>187</v>
      </c>
      <c r="S148" s="19" t="s">
        <v>16</v>
      </c>
      <c r="T148" s="19" t="s">
        <v>19</v>
      </c>
      <c r="U148" s="19" t="s">
        <v>19</v>
      </c>
      <c r="V148" s="19">
        <v>19</v>
      </c>
      <c r="W148" s="19">
        <v>52</v>
      </c>
      <c r="X148" s="19">
        <v>6</v>
      </c>
      <c r="Y148" s="19">
        <v>59</v>
      </c>
      <c r="Z148" s="19">
        <v>51</v>
      </c>
      <c r="AA148" s="19">
        <v>17</v>
      </c>
      <c r="AB148" s="19">
        <v>60</v>
      </c>
      <c r="AC148" s="19">
        <v>63</v>
      </c>
      <c r="AD148" s="19">
        <v>20</v>
      </c>
      <c r="AE148" s="19">
        <v>60</v>
      </c>
      <c r="AF148" s="19">
        <v>41</v>
      </c>
      <c r="AG148" s="19">
        <v>77</v>
      </c>
      <c r="AH148" s="19">
        <v>53</v>
      </c>
      <c r="AI148" s="6">
        <f>H$1*((-2*10^-6)*H148^3+0.00032*H148^2-0.0021*H148)+I$1*((-2*10^-6)*I148^3+0.00032*I148^2-0.0021*I148)+J$1*((-2*10^-6)*J148^3+0.00032*J148^2-0.0021*J148)+K$1*((-2*10^-6)*K148^3+0.00032*K148^2-0.0021*K148)+L$1*((-2*10^-6)*L148^3+0.00032*L148^2-0.0021*L148)</f>
        <v>0.12976200000000004</v>
      </c>
      <c r="AJ148" s="6">
        <f>(M$1*M148+N$1*N148+O$1*O148)/100</f>
        <v>0.41800000000000004</v>
      </c>
      <c r="AK148" s="6">
        <f>IF(AA148&lt;50,W$1*((-2*10^-6)*W148^3+0.00032*W148^2-0.0021*W148)+X$1*((-2*10^-6)*X148^3+0.00032*X148^2-0.0021*X148)+Y$1*((-2*10^-6)*Y148^3+0.00032*Y148^2-0.0021*Y148)+Z$1*((-2*10^-6)*Z148^3+0.00032*Z148^2-0.0021*Z148),X$2*((-2*10^-6)*X148^3+0.00032*X148^2-0.0021*AA148)+Y$2*((-2*10^-6)*Y148^3+0.00032*Y148^2-0.0021*Y148)+Z$2*((-2*10^-6)*Z148^3+0.00032*Z148^2-0.0021*Z148)+ AA$2*((-2*10^-6)*AA148^3+0.00032*AA148^2-0.0021*AA148))</f>
        <v>1.5125320000000002</v>
      </c>
      <c r="AL148" s="6">
        <f>(AB$1*AB148+AC$1*AC148)/100</f>
        <v>0.60599999999999998</v>
      </c>
      <c r="AM148" s="6">
        <f>AD$1*((-2*10^-6)*AD148^3+0.00032*AD148^2-0.0021*AD148)+AE$1*((-2*10^-6)*AE148^3+0.00032*AE148^2-0.0021*AE148)+AF$1*((-2*10^-6)*AF148^3+0.00032*AF148^2-0.0021*AF148)+AG$1*((-2*10^-6)*AG148^3+0.00032*AG148^2-0.0021*AG148)</f>
        <v>0.24304920000000005</v>
      </c>
    </row>
    <row r="149" spans="1:39" ht="15" thickBot="1" x14ac:dyDescent="0.35">
      <c r="A149" s="6">
        <f>(AI149*H$3+AJ149*M$3+AK149*W$3+AL149*AB$3+AM149*AD$3)*100/(AI$5*H$3+AJ$5*M$3+AK$5*W$3+AL$5*AB$3+AM$5*AD$3)</f>
        <v>16.164498492942194</v>
      </c>
      <c r="B149" s="20">
        <v>20</v>
      </c>
      <c r="C149" s="13" t="s">
        <v>48</v>
      </c>
      <c r="D149" s="21" t="s">
        <v>16</v>
      </c>
      <c r="E149" s="21" t="s">
        <v>19</v>
      </c>
      <c r="F149" s="21" t="s">
        <v>19</v>
      </c>
      <c r="G149" s="21">
        <v>18</v>
      </c>
      <c r="H149" s="21">
        <v>18</v>
      </c>
      <c r="I149" s="21">
        <v>0</v>
      </c>
      <c r="J149" s="21">
        <v>32</v>
      </c>
      <c r="K149" s="21">
        <v>15</v>
      </c>
      <c r="L149" s="21">
        <v>19</v>
      </c>
      <c r="M149" s="21">
        <v>24</v>
      </c>
      <c r="N149" s="21">
        <v>67</v>
      </c>
      <c r="O149" s="21">
        <v>88</v>
      </c>
      <c r="P149" s="21">
        <v>71</v>
      </c>
      <c r="Q149" s="20">
        <v>20</v>
      </c>
      <c r="R149" s="13" t="s">
        <v>48</v>
      </c>
      <c r="S149" s="21" t="s">
        <v>16</v>
      </c>
      <c r="T149" s="21" t="s">
        <v>19</v>
      </c>
      <c r="U149" s="21" t="s">
        <v>19</v>
      </c>
      <c r="V149" s="21">
        <v>18</v>
      </c>
      <c r="W149" s="21">
        <v>0</v>
      </c>
      <c r="X149" s="21">
        <v>38</v>
      </c>
      <c r="Y149" s="21">
        <v>23</v>
      </c>
      <c r="Z149" s="21">
        <v>75</v>
      </c>
      <c r="AA149" s="21">
        <v>9</v>
      </c>
      <c r="AB149" s="21">
        <v>29</v>
      </c>
      <c r="AC149" s="21">
        <v>83</v>
      </c>
      <c r="AD149" s="21">
        <v>63</v>
      </c>
      <c r="AE149" s="21">
        <v>45</v>
      </c>
      <c r="AF149" s="21">
        <v>53</v>
      </c>
      <c r="AG149" s="21">
        <v>81</v>
      </c>
      <c r="AH149" s="21">
        <v>71</v>
      </c>
      <c r="AI149" s="6">
        <f>H$1*((-2*10^-6)*H149^3+0.00032*H149^2-0.0021*H149)+I$1*((-2*10^-6)*I149^3+0.00032*I149^2-0.0021*I149)+J$1*((-2*10^-6)*J149^3+0.00032*J149^2-0.0021*J149)+K$1*((-2*10^-6)*K149^3+0.00032*K149^2-0.0021*K149)+L$1*((-2*10^-6)*L149^3+0.00032*L149^2-0.0021*L149)</f>
        <v>0.33436680000000008</v>
      </c>
      <c r="AJ149" s="6">
        <f>(M$1*M149+N$1*N149+O$1*O149)/100</f>
        <v>0.46200000000000002</v>
      </c>
      <c r="AK149" s="6">
        <f>IF(AA149&lt;50,W$1*((-2*10^-6)*W149^3+0.00032*W149^2-0.0021*W149)+X$1*((-2*10^-6)*X149^3+0.00032*X149^2-0.0021*X149)+Y$1*((-2*10^-6)*Y149^3+0.00032*Y149^2-0.0021*Y149)+Z$1*((-2*10^-6)*Z149^3+0.00032*Z149^2-0.0021*Z149),X$2*((-2*10^-6)*X149^3+0.00032*X149^2-0.0021*AA149)+Y$2*((-2*10^-6)*Y149^3+0.00032*Y149^2-0.0021*Y149)+Z$2*((-2*10^-6)*Z149^3+0.00032*Z149^2-0.0021*Z149)+ AA$2*((-2*10^-6)*AA149^3+0.00032*AA149^2-0.0021*AA149))</f>
        <v>1.1679320000000002</v>
      </c>
      <c r="AL149" s="6">
        <f>(AB$1*AB149+AC$1*AC149)/100</f>
        <v>0.39800000000000002</v>
      </c>
      <c r="AM149" s="6">
        <f>AD$1*((-2*10^-6)*AD149^3+0.00032*AD149^2-0.0021*AD149)+AE$1*((-2*10^-6)*AE149^3+0.00032*AE149^2-0.0021*AE149)+AF$1*((-2*10^-6)*AF149^3+0.00032*AF149^2-0.0021*AF149)+AG$1*((-2*10^-6)*AG149^3+0.00032*AG149^2-0.0021*AG149)</f>
        <v>0.81044740000000015</v>
      </c>
    </row>
    <row r="150" spans="1:39" ht="15" thickBot="1" x14ac:dyDescent="0.35">
      <c r="A150" s="6">
        <f>(AI150*H$3+AJ150*M$3+AK150*W$3+AL150*AB$3+AM150*AD$3)*100/(AI$5*H$3+AJ$5*M$3+AK$5*W$3+AL$5*AB$3+AM$5*AD$3)</f>
        <v>16.010437643618125</v>
      </c>
      <c r="B150" s="18">
        <v>177</v>
      </c>
      <c r="C150" s="12" t="s">
        <v>205</v>
      </c>
      <c r="D150" s="19" t="s">
        <v>16</v>
      </c>
      <c r="E150" s="19" t="s">
        <v>19</v>
      </c>
      <c r="F150" s="19" t="s">
        <v>19</v>
      </c>
      <c r="G150" s="19">
        <v>21</v>
      </c>
      <c r="H150" s="19">
        <v>9</v>
      </c>
      <c r="I150" s="19">
        <v>0</v>
      </c>
      <c r="J150" s="19">
        <v>60</v>
      </c>
      <c r="K150" s="19">
        <v>0</v>
      </c>
      <c r="L150" s="19">
        <v>11</v>
      </c>
      <c r="M150" s="19">
        <v>37</v>
      </c>
      <c r="N150" s="19">
        <v>40</v>
      </c>
      <c r="O150" s="19">
        <v>52</v>
      </c>
      <c r="P150" s="19">
        <v>42</v>
      </c>
      <c r="Q150" s="18">
        <v>177</v>
      </c>
      <c r="R150" s="12" t="s">
        <v>205</v>
      </c>
      <c r="S150" s="19" t="s">
        <v>16</v>
      </c>
      <c r="T150" s="19" t="s">
        <v>19</v>
      </c>
      <c r="U150" s="19" t="s">
        <v>19</v>
      </c>
      <c r="V150" s="19">
        <v>21</v>
      </c>
      <c r="W150" s="19">
        <v>68</v>
      </c>
      <c r="X150" s="19">
        <v>20</v>
      </c>
      <c r="Y150" s="19">
        <v>46</v>
      </c>
      <c r="Z150" s="19">
        <v>13</v>
      </c>
      <c r="AA150" s="19">
        <v>0</v>
      </c>
      <c r="AB150" s="19">
        <v>39</v>
      </c>
      <c r="AC150" s="19">
        <v>49</v>
      </c>
      <c r="AD150" s="19">
        <v>30</v>
      </c>
      <c r="AE150" s="19">
        <v>68</v>
      </c>
      <c r="AF150" s="19">
        <v>51</v>
      </c>
      <c r="AG150" s="19">
        <v>100</v>
      </c>
      <c r="AH150" s="19">
        <v>42</v>
      </c>
      <c r="AI150" s="6">
        <f>H$1*((-2*10^-6)*H150^3+0.00032*H150^2-0.0021*H150)+I$1*((-2*10^-6)*I150^3+0.00032*I150^2-0.0021*I150)+J$1*((-2*10^-6)*J150^3+0.00032*J150^2-0.0021*J150)+K$1*((-2*10^-6)*K150^3+0.00032*K150^2-0.0021*K150)+L$1*((-2*10^-6)*L150^3+0.00032*L150^2-0.0021*L150)</f>
        <v>0.39046960000000014</v>
      </c>
      <c r="AJ150" s="6">
        <f>(M$1*M150+N$1*N150+O$1*O150)/100</f>
        <v>0.502</v>
      </c>
      <c r="AK150" s="6">
        <f>IF(AA150&lt;50,W$1*((-2*10^-6)*W150^3+0.00032*W150^2-0.0021*W150)+X$1*((-2*10^-6)*X150^3+0.00032*X150^2-0.0021*X150)+Y$1*((-2*10^-6)*Y150^3+0.00032*Y150^2-0.0021*Y150)+Z$1*((-2*10^-6)*Z150^3+0.00032*Z150^2-0.0021*Z150),X$2*((-2*10^-6)*X150^3+0.00032*X150^2-0.0021*AA150)+Y$2*((-2*10^-6)*Y150^3+0.00032*Y150^2-0.0021*Y150)+Z$2*((-2*10^-6)*Z150^3+0.00032*Z150^2-0.0021*Z150)+ AA$2*((-2*10^-6)*AA150^3+0.00032*AA150^2-0.0021*AA150))</f>
        <v>1.1862500000000002</v>
      </c>
      <c r="AL150" s="6">
        <f>(AB$1*AB150+AC$1*AC150)/100</f>
        <v>0.41</v>
      </c>
      <c r="AM150" s="6">
        <f>AD$1*((-2*10^-6)*AD150^3+0.00032*AD150^2-0.0021*AD150)+AE$1*((-2*10^-6)*AE150^3+0.00032*AE150^2-0.0021*AE150)+AF$1*((-2*10^-6)*AF150^3+0.00032*AF150^2-0.0021*AF150)+AG$1*((-2*10^-6)*AG150^3+0.00032*AG150^2-0.0021*AG150)</f>
        <v>0.38679340000000012</v>
      </c>
    </row>
    <row r="151" spans="1:39" ht="15" thickBot="1" x14ac:dyDescent="0.35">
      <c r="A151" s="6">
        <f>(AI151*H$3+AJ151*M$3+AK151*W$3+AL151*AB$3+AM151*AD$3)*100/(AI$5*H$3+AJ$5*M$3+AK$5*W$3+AL$5*AB$3+AM$5*AD$3)</f>
        <v>15.394803187203436</v>
      </c>
      <c r="B151" s="18">
        <v>3</v>
      </c>
      <c r="C151" s="12" t="s">
        <v>31</v>
      </c>
      <c r="D151" s="19" t="s">
        <v>16</v>
      </c>
      <c r="E151" s="19" t="s">
        <v>19</v>
      </c>
      <c r="F151" s="19" t="s">
        <v>19</v>
      </c>
      <c r="G151" s="19">
        <v>18</v>
      </c>
      <c r="H151" s="19">
        <v>10</v>
      </c>
      <c r="I151" s="19">
        <v>4</v>
      </c>
      <c r="J151" s="19">
        <v>30</v>
      </c>
      <c r="K151" s="19">
        <v>16</v>
      </c>
      <c r="L151" s="19">
        <v>10</v>
      </c>
      <c r="M151" s="19">
        <v>22</v>
      </c>
      <c r="N151" s="19">
        <v>58</v>
      </c>
      <c r="O151" s="19">
        <v>65</v>
      </c>
      <c r="P151" s="19">
        <v>83</v>
      </c>
      <c r="Q151" s="18">
        <v>3</v>
      </c>
      <c r="R151" s="12" t="s">
        <v>31</v>
      </c>
      <c r="S151" s="19" t="s">
        <v>16</v>
      </c>
      <c r="T151" s="19" t="s">
        <v>19</v>
      </c>
      <c r="U151" s="19" t="s">
        <v>19</v>
      </c>
      <c r="V151" s="19">
        <v>18</v>
      </c>
      <c r="W151" s="19">
        <v>18</v>
      </c>
      <c r="X151" s="19">
        <v>24</v>
      </c>
      <c r="Y151" s="19">
        <v>82</v>
      </c>
      <c r="Z151" s="19">
        <v>48</v>
      </c>
      <c r="AA151" s="19">
        <v>31</v>
      </c>
      <c r="AB151" s="19">
        <v>31</v>
      </c>
      <c r="AC151" s="19">
        <v>86</v>
      </c>
      <c r="AD151" s="19">
        <v>23</v>
      </c>
      <c r="AE151" s="19">
        <v>97</v>
      </c>
      <c r="AF151" s="19">
        <v>25</v>
      </c>
      <c r="AG151" s="19">
        <v>72</v>
      </c>
      <c r="AH151" s="19">
        <v>83</v>
      </c>
      <c r="AI151" s="6">
        <f>H$1*((-2*10^-6)*H151^3+0.00032*H151^2-0.0021*H151)+I$1*((-2*10^-6)*I151^3+0.00032*I151^2-0.0021*I151)+J$1*((-2*10^-6)*J151^3+0.00032*J151^2-0.0021*J151)+K$1*((-2*10^-6)*K151^3+0.00032*K151^2-0.0021*K151)+L$1*((-2*10^-6)*L151^3+0.00032*L151^2-0.0021*L151)</f>
        <v>0.15668640000000003</v>
      </c>
      <c r="AJ151" s="6">
        <f>(M$1*M151+N$1*N151+O$1*O151)/100</f>
        <v>0.40100000000000002</v>
      </c>
      <c r="AK151" s="6">
        <f>IF(AA151&lt;50,W$1*((-2*10^-6)*W151^3+0.00032*W151^2-0.0021*W151)+X$1*((-2*10^-6)*X151^3+0.00032*X151^2-0.0021*X151)+Y$1*((-2*10^-6)*Y151^3+0.00032*Y151^2-0.0021*Y151)+Z$1*((-2*10^-6)*Z151^3+0.00032*Z151^2-0.0021*Z151),X$2*((-2*10^-6)*X151^3+0.00032*X151^2-0.0021*AA151)+Y$2*((-2*10^-6)*Y151^3+0.00032*Y151^2-0.0021*Y151)+Z$2*((-2*10^-6)*Z151^3+0.00032*Z151^2-0.0021*Z151)+ AA$2*((-2*10^-6)*AA151^3+0.00032*AA151^2-0.0021*AA151))</f>
        <v>1.4525280000000005</v>
      </c>
      <c r="AL151" s="6">
        <f>(AB$1*AB151+AC$1*AC151)/100</f>
        <v>0.42</v>
      </c>
      <c r="AM151" s="6">
        <f>AD$1*((-2*10^-6)*AD151^3+0.00032*AD151^2-0.0021*AD151)+AE$1*((-2*10^-6)*AE151^3+0.00032*AE151^2-0.0021*AE151)+AF$1*((-2*10^-6)*AF151^3+0.00032*AF151^2-0.0021*AF151)+AG$1*((-2*10^-6)*AG151^3+0.00032*AG151^2-0.0021*AG151)</f>
        <v>0.28257280000000007</v>
      </c>
    </row>
    <row r="152" spans="1:39" ht="15" thickBot="1" x14ac:dyDescent="0.35">
      <c r="A152" s="6">
        <f>(AI152*H$3+AJ152*M$3+AK152*W$3+AL152*AB$3+AM152*AD$3)*100/(AI$5*H$3+AJ$5*M$3+AK$5*W$3+AL$5*AB$3+AM$5*AD$3)</f>
        <v>15.164503416992448</v>
      </c>
      <c r="B152" s="18">
        <v>53</v>
      </c>
      <c r="C152" s="12" t="s">
        <v>81</v>
      </c>
      <c r="D152" s="19" t="s">
        <v>16</v>
      </c>
      <c r="E152" s="19" t="s">
        <v>19</v>
      </c>
      <c r="F152" s="19" t="s">
        <v>19</v>
      </c>
      <c r="G152" s="19">
        <v>18</v>
      </c>
      <c r="H152" s="19">
        <v>25</v>
      </c>
      <c r="I152" s="19">
        <v>6</v>
      </c>
      <c r="J152" s="19">
        <v>22</v>
      </c>
      <c r="K152" s="19">
        <v>7</v>
      </c>
      <c r="L152" s="19">
        <v>18</v>
      </c>
      <c r="M152" s="19">
        <v>13</v>
      </c>
      <c r="N152" s="19">
        <v>79</v>
      </c>
      <c r="O152" s="19">
        <v>69</v>
      </c>
      <c r="P152" s="19">
        <v>61</v>
      </c>
      <c r="Q152" s="18">
        <v>53</v>
      </c>
      <c r="R152" s="12" t="s">
        <v>81</v>
      </c>
      <c r="S152" s="19" t="s">
        <v>16</v>
      </c>
      <c r="T152" s="19" t="s">
        <v>19</v>
      </c>
      <c r="U152" s="19" t="s">
        <v>19</v>
      </c>
      <c r="V152" s="19">
        <v>18</v>
      </c>
      <c r="W152" s="19">
        <v>42</v>
      </c>
      <c r="X152" s="19">
        <v>16</v>
      </c>
      <c r="Y152" s="19">
        <v>24</v>
      </c>
      <c r="Z152" s="19">
        <v>76</v>
      </c>
      <c r="AA152" s="19">
        <v>19</v>
      </c>
      <c r="AB152" s="19">
        <v>28</v>
      </c>
      <c r="AC152" s="19">
        <v>96</v>
      </c>
      <c r="AD152" s="19">
        <v>21</v>
      </c>
      <c r="AE152" s="19">
        <v>57</v>
      </c>
      <c r="AF152" s="19">
        <v>41</v>
      </c>
      <c r="AG152" s="19">
        <v>82</v>
      </c>
      <c r="AH152" s="19">
        <v>61</v>
      </c>
      <c r="AI152" s="6">
        <f>H$1*((-2*10^-6)*H152^3+0.00032*H152^2-0.0021*H152)+I$1*((-2*10^-6)*I152^3+0.00032*I152^2-0.0021*I152)+J$1*((-2*10^-6)*J152^3+0.00032*J152^2-0.0021*J152)+K$1*((-2*10^-6)*K152^3+0.00032*K152^2-0.0021*K152)+L$1*((-2*10^-6)*L152^3+0.00032*L152^2-0.0021*L152)</f>
        <v>0.28516680000000005</v>
      </c>
      <c r="AJ152" s="6">
        <f>(M$1*M152+N$1*N152+O$1*O152)/100</f>
        <v>0.35700000000000004</v>
      </c>
      <c r="AK152" s="6">
        <f>IF(AA152&lt;50,W$1*((-2*10^-6)*W152^3+0.00032*W152^2-0.0021*W152)+X$1*((-2*10^-6)*X152^3+0.00032*X152^2-0.0021*X152)+Y$1*((-2*10^-6)*Y152^3+0.00032*Y152^2-0.0021*Y152)+Z$1*((-2*10^-6)*Z152^3+0.00032*Z152^2-0.0021*Z152),X$2*((-2*10^-6)*X152^3+0.00032*X152^2-0.0021*AA152)+Y$2*((-2*10^-6)*Y152^3+0.00032*Y152^2-0.0021*Y152)+Z$2*((-2*10^-6)*Z152^3+0.00032*Z152^2-0.0021*Z152)+ AA$2*((-2*10^-6)*AA152^3+0.00032*AA152^2-0.0021*AA152))</f>
        <v>1.2852720000000004</v>
      </c>
      <c r="AL152" s="6">
        <f>(AB$1*AB152+AC$1*AC152)/100</f>
        <v>0.41600000000000009</v>
      </c>
      <c r="AM152" s="6">
        <f>AD$1*((-2*10^-6)*AD152^3+0.00032*AD152^2-0.0021*AD152)+AE$1*((-2*10^-6)*AE152^3+0.00032*AE152^2-0.0021*AE152)+AF$1*((-2*10^-6)*AF152^3+0.00032*AF152^2-0.0021*AF152)+AG$1*((-2*10^-6)*AG152^3+0.00032*AG152^2-0.0021*AG152)</f>
        <v>0.25252960000000013</v>
      </c>
    </row>
    <row r="153" spans="1:39" ht="15" thickBot="1" x14ac:dyDescent="0.35">
      <c r="A153" s="6">
        <f>(AI153*H$3+AJ153*M$3+AK153*W$3+AL153*AB$3+AM153*AD$3)*100/(AI$5*H$3+AJ$5*M$3+AK$5*W$3+AL$5*AB$3+AM$5*AD$3)</f>
        <v>15.161188635888864</v>
      </c>
      <c r="B153" s="20">
        <v>76</v>
      </c>
      <c r="C153" s="13" t="s">
        <v>104</v>
      </c>
      <c r="D153" s="21" t="s">
        <v>16</v>
      </c>
      <c r="E153" s="21" t="s">
        <v>19</v>
      </c>
      <c r="F153" s="21" t="s">
        <v>19</v>
      </c>
      <c r="G153" s="21">
        <v>18</v>
      </c>
      <c r="H153" s="21">
        <v>5</v>
      </c>
      <c r="I153" s="21">
        <v>0</v>
      </c>
      <c r="J153" s="21">
        <v>35</v>
      </c>
      <c r="K153" s="21">
        <v>19</v>
      </c>
      <c r="L153" s="21">
        <v>28</v>
      </c>
      <c r="M153" s="21">
        <v>11</v>
      </c>
      <c r="N153" s="21">
        <v>72</v>
      </c>
      <c r="O153" s="21">
        <v>85</v>
      </c>
      <c r="P153" s="21">
        <v>56</v>
      </c>
      <c r="Q153" s="20">
        <v>76</v>
      </c>
      <c r="R153" s="13" t="s">
        <v>104</v>
      </c>
      <c r="S153" s="21" t="s">
        <v>16</v>
      </c>
      <c r="T153" s="21" t="s">
        <v>19</v>
      </c>
      <c r="U153" s="21" t="s">
        <v>19</v>
      </c>
      <c r="V153" s="21">
        <v>18</v>
      </c>
      <c r="W153" s="21">
        <v>27</v>
      </c>
      <c r="X153" s="21">
        <v>33</v>
      </c>
      <c r="Y153" s="21">
        <v>18</v>
      </c>
      <c r="Z153" s="21">
        <v>51</v>
      </c>
      <c r="AA153" s="21">
        <v>4</v>
      </c>
      <c r="AB153" s="21">
        <v>55</v>
      </c>
      <c r="AC153" s="21">
        <v>88</v>
      </c>
      <c r="AD153" s="21">
        <v>36</v>
      </c>
      <c r="AE153" s="21">
        <v>56</v>
      </c>
      <c r="AF153" s="21">
        <v>26</v>
      </c>
      <c r="AG153" s="21">
        <v>100</v>
      </c>
      <c r="AH153" s="21">
        <v>56</v>
      </c>
      <c r="AI153" s="6">
        <f>H$1*((-2*10^-6)*H153^3+0.00032*H153^2-0.0021*H153)+I$1*((-2*10^-6)*I153^3+0.00032*I153^2-0.0021*I153)+J$1*((-2*10^-6)*J153^3+0.00032*J153^2-0.0021*J153)+K$1*((-2*10^-6)*K153^3+0.00032*K153^2-0.0021*K153)+L$1*((-2*10^-6)*L153^3+0.00032*L153^2-0.0021*L153)</f>
        <v>0.51240880000000022</v>
      </c>
      <c r="AJ153" s="6">
        <f>(M$1*M153+N$1*N153+O$1*O153)/100</f>
        <v>0.33899999999999997</v>
      </c>
      <c r="AK153" s="6">
        <f>IF(AA153&lt;50,W$1*((-2*10^-6)*W153^3+0.00032*W153^2-0.0021*W153)+X$1*((-2*10^-6)*X153^3+0.00032*X153^2-0.0021*X153)+Y$1*((-2*10^-6)*Y153^3+0.00032*Y153^2-0.0021*Y153)+Z$1*((-2*10^-6)*Z153^3+0.00032*Z153^2-0.0021*Z153),X$2*((-2*10^-6)*X153^3+0.00032*X153^2-0.0021*AA153)+Y$2*((-2*10^-6)*Y153^3+0.00032*Y153^2-0.0021*Y153)+Z$2*((-2*10^-6)*Z153^3+0.00032*Z153^2-0.0021*Z153)+ AA$2*((-2*10^-6)*AA153^3+0.00032*AA153^2-0.0021*AA153))</f>
        <v>0.85865400000000014</v>
      </c>
      <c r="AL153" s="6">
        <f>(AB$1*AB153+AC$1*AC153)/100</f>
        <v>0.61599999999999999</v>
      </c>
      <c r="AM153" s="6">
        <f>AD$1*((-2*10^-6)*AD153^3+0.00032*AD153^2-0.0021*AD153)+AE$1*((-2*10^-6)*AE153^3+0.00032*AE153^2-0.0021*AE153)+AF$1*((-2*10^-6)*AF153^3+0.00032*AF153^2-0.0021*AF153)+AG$1*((-2*10^-6)*AG153^3+0.00032*AG153^2-0.0021*AG153)</f>
        <v>0.41093360000000012</v>
      </c>
    </row>
    <row r="154" spans="1:39" ht="15" thickBot="1" x14ac:dyDescent="0.35">
      <c r="A154" s="6">
        <f>(AI154*H$3+AJ154*M$3+AK154*W$3+AL154*AB$3+AM154*AD$3)*100/(AI$5*H$3+AJ$5*M$3+AK$5*W$3+AL$5*AB$3+AM$5*AD$3)</f>
        <v>15.039203795995103</v>
      </c>
      <c r="B154" s="20">
        <v>146</v>
      </c>
      <c r="C154" s="13" t="s">
        <v>174</v>
      </c>
      <c r="D154" s="21" t="s">
        <v>16</v>
      </c>
      <c r="E154" s="21" t="s">
        <v>19</v>
      </c>
      <c r="F154" s="21" t="s">
        <v>19</v>
      </c>
      <c r="G154" s="21">
        <v>18</v>
      </c>
      <c r="H154" s="21">
        <v>21</v>
      </c>
      <c r="I154" s="21">
        <v>9</v>
      </c>
      <c r="J154" s="21">
        <v>23</v>
      </c>
      <c r="K154" s="21">
        <v>11</v>
      </c>
      <c r="L154" s="21">
        <v>4</v>
      </c>
      <c r="M154" s="21">
        <v>2</v>
      </c>
      <c r="N154" s="21">
        <v>52</v>
      </c>
      <c r="O154" s="21">
        <v>65</v>
      </c>
      <c r="P154" s="21">
        <v>43</v>
      </c>
      <c r="Q154" s="20">
        <v>146</v>
      </c>
      <c r="R154" s="13" t="s">
        <v>174</v>
      </c>
      <c r="S154" s="21" t="s">
        <v>16</v>
      </c>
      <c r="T154" s="21" t="s">
        <v>19</v>
      </c>
      <c r="U154" s="21" t="s">
        <v>19</v>
      </c>
      <c r="V154" s="21">
        <v>18</v>
      </c>
      <c r="W154" s="21">
        <v>21</v>
      </c>
      <c r="X154" s="21">
        <v>26</v>
      </c>
      <c r="Y154" s="21">
        <v>78</v>
      </c>
      <c r="Z154" s="21">
        <v>36</v>
      </c>
      <c r="AA154" s="21">
        <v>12</v>
      </c>
      <c r="AB154" s="21">
        <v>76</v>
      </c>
      <c r="AC154" s="21">
        <v>94</v>
      </c>
      <c r="AD154" s="21">
        <v>27</v>
      </c>
      <c r="AE154" s="21">
        <v>51</v>
      </c>
      <c r="AF154" s="21">
        <v>27</v>
      </c>
      <c r="AG154" s="21">
        <v>94</v>
      </c>
      <c r="AH154" s="21">
        <v>43</v>
      </c>
      <c r="AI154" s="6">
        <f>H$1*((-2*10^-6)*H154^3+0.00032*H154^2-0.0021*H154)+I$1*((-2*10^-6)*I154^3+0.00032*I154^2-0.0021*I154)+J$1*((-2*10^-6)*J154^3+0.00032*J154^2-0.0021*J154)+K$1*((-2*10^-6)*K154^3+0.00032*K154^2-0.0021*K154)+L$1*((-2*10^-6)*L154^3+0.00032*L154^2-0.0021*L154)</f>
        <v>0.15047840000000007</v>
      </c>
      <c r="AJ154" s="6">
        <f>(M$1*M154+N$1*N154+O$1*O154)/100</f>
        <v>0.18899999999999997</v>
      </c>
      <c r="AK154" s="6">
        <f>IF(AA154&lt;50,W$1*((-2*10^-6)*W154^3+0.00032*W154^2-0.0021*W154)+X$1*((-2*10^-6)*X154^3+0.00032*X154^2-0.0021*X154)+Y$1*((-2*10^-6)*Y154^3+0.00032*Y154^2-0.0021*Y154)+Z$1*((-2*10^-6)*Z154^3+0.00032*Z154^2-0.0021*Z154),X$2*((-2*10^-6)*X154^3+0.00032*X154^2-0.0021*AA154)+Y$2*((-2*10^-6)*Y154^3+0.00032*Y154^2-0.0021*Y154)+Z$2*((-2*10^-6)*Z154^3+0.00032*Z154^2-0.0021*Z154)+ AA$2*((-2*10^-6)*AA154^3+0.00032*AA154^2-0.0021*AA154))</f>
        <v>1.2848500000000003</v>
      </c>
      <c r="AL154" s="6">
        <f>(AB$1*AB154+AC$1*AC154)/100</f>
        <v>0.79600000000000004</v>
      </c>
      <c r="AM154" s="6">
        <f>AD$1*((-2*10^-6)*AD154^3+0.00032*AD154^2-0.0021*AD154)+AE$1*((-2*10^-6)*AE154^3+0.00032*AE154^2-0.0021*AE154)+AF$1*((-2*10^-6)*AF154^3+0.00032*AF154^2-0.0021*AF154)+AG$1*((-2*10^-6)*AG154^3+0.00032*AG154^2-0.0021*AG154)</f>
        <v>0.29382240000000004</v>
      </c>
    </row>
    <row r="155" spans="1:39" ht="15" thickBot="1" x14ac:dyDescent="0.35">
      <c r="A155" s="6">
        <f>(AI155*H$3+AJ155*M$3+AK155*W$3+AL155*AB$3+AM155*AD$3)*100/(AI$5*H$3+AJ$5*M$3+AK$5*W$3+AL$5*AB$3+AM$5*AD$3)</f>
        <v>15.009654271986626</v>
      </c>
      <c r="B155" s="20">
        <v>82</v>
      </c>
      <c r="C155" s="13" t="s">
        <v>110</v>
      </c>
      <c r="D155" s="21" t="s">
        <v>16</v>
      </c>
      <c r="E155" s="21" t="s">
        <v>20</v>
      </c>
      <c r="F155" s="21" t="s">
        <v>20</v>
      </c>
      <c r="G155" s="21">
        <v>18</v>
      </c>
      <c r="H155" s="21">
        <v>15</v>
      </c>
      <c r="I155" s="21">
        <v>6</v>
      </c>
      <c r="J155" s="21">
        <v>14</v>
      </c>
      <c r="K155" s="21">
        <v>27</v>
      </c>
      <c r="L155" s="21">
        <v>24</v>
      </c>
      <c r="M155" s="21">
        <v>18</v>
      </c>
      <c r="N155" s="21">
        <v>75</v>
      </c>
      <c r="O155" s="21">
        <v>67</v>
      </c>
      <c r="P155" s="21">
        <v>54</v>
      </c>
      <c r="Q155" s="20">
        <v>82</v>
      </c>
      <c r="R155" s="13" t="s">
        <v>110</v>
      </c>
      <c r="S155" s="21" t="s">
        <v>16</v>
      </c>
      <c r="T155" s="21" t="s">
        <v>20</v>
      </c>
      <c r="U155" s="21" t="s">
        <v>20</v>
      </c>
      <c r="V155" s="21">
        <v>18</v>
      </c>
      <c r="W155" s="21">
        <v>11</v>
      </c>
      <c r="X155" s="21">
        <v>53</v>
      </c>
      <c r="Y155" s="21">
        <v>25</v>
      </c>
      <c r="Z155" s="21">
        <v>34</v>
      </c>
      <c r="AA155" s="21">
        <v>11</v>
      </c>
      <c r="AB155" s="21">
        <v>75</v>
      </c>
      <c r="AC155" s="21">
        <v>76</v>
      </c>
      <c r="AD155" s="21">
        <v>49</v>
      </c>
      <c r="AE155" s="21">
        <v>90</v>
      </c>
      <c r="AF155" s="21">
        <v>35</v>
      </c>
      <c r="AG155" s="21">
        <v>77</v>
      </c>
      <c r="AH155" s="21">
        <v>54</v>
      </c>
      <c r="AI155" s="6">
        <f>H$1*((-2*10^-6)*H155^3+0.00032*H155^2-0.0021*H155)+I$1*((-2*10^-6)*I155^3+0.00032*I155^2-0.0021*I155)+J$1*((-2*10^-6)*J155^3+0.00032*J155^2-0.0021*J155)+K$1*((-2*10^-6)*K155^3+0.00032*K155^2-0.0021*K155)+L$1*((-2*10^-6)*L155^3+0.00032*L155^2-0.0021*L155)</f>
        <v>0.39099480000000009</v>
      </c>
      <c r="AJ155" s="6">
        <f>(M$1*M155+N$1*N155+O$1*O155)/100</f>
        <v>0.39700000000000002</v>
      </c>
      <c r="AK155" s="6">
        <f>IF(AA155&lt;50,W$1*((-2*10^-6)*W155^3+0.00032*W155^2-0.0021*W155)+X$1*((-2*10^-6)*X155^3+0.00032*X155^2-0.0021*X155)+Y$1*((-2*10^-6)*Y155^3+0.00032*Y155^2-0.0021*Y155)+Z$1*((-2*10^-6)*Z155^3+0.00032*Z155^2-0.0021*Z155),X$2*((-2*10^-6)*X155^3+0.00032*X155^2-0.0021*AA155)+Y$2*((-2*10^-6)*Y155^3+0.00032*Y155^2-0.0021*Y155)+Z$2*((-2*10^-6)*Z155^3+0.00032*Z155^2-0.0021*Z155)+ AA$2*((-2*10^-6)*AA155^3+0.00032*AA155^2-0.0021*AA155))</f>
        <v>0.83894600000000008</v>
      </c>
      <c r="AL155" s="6">
        <f>(AB$1*AB155+AC$1*AC155)/100</f>
        <v>0.752</v>
      </c>
      <c r="AM155" s="6">
        <f>AD$1*((-2*10^-6)*AD155^3+0.00032*AD155^2-0.0021*AD155)+AE$1*((-2*10^-6)*AE155^3+0.00032*AE155^2-0.0021*AE155)+AF$1*((-2*10^-6)*AF155^3+0.00032*AF155^2-0.0021*AF155)+AG$1*((-2*10^-6)*AG155^3+0.00032*AG155^2-0.0021*AG155)</f>
        <v>0.63014840000000016</v>
      </c>
    </row>
    <row r="156" spans="1:39" ht="15" thickBot="1" x14ac:dyDescent="0.35">
      <c r="A156" s="6">
        <f>(AI156*H$3+AJ156*M$3+AK156*W$3+AL156*AB$3+AM156*AD$3)*100/(AI$5*H$3+AJ$5*M$3+AK$5*W$3+AL$5*AB$3+AM$5*AD$3)</f>
        <v>14.96248589931063</v>
      </c>
      <c r="B156" s="18">
        <v>121</v>
      </c>
      <c r="C156" s="12" t="s">
        <v>149</v>
      </c>
      <c r="D156" s="19" t="s">
        <v>16</v>
      </c>
      <c r="E156" s="19" t="s">
        <v>19</v>
      </c>
      <c r="F156" s="19" t="s">
        <v>19</v>
      </c>
      <c r="G156" s="19">
        <v>18</v>
      </c>
      <c r="H156" s="19">
        <v>21</v>
      </c>
      <c r="I156" s="19">
        <v>11</v>
      </c>
      <c r="J156" s="19">
        <v>15</v>
      </c>
      <c r="K156" s="19">
        <v>25</v>
      </c>
      <c r="L156" s="19">
        <v>23</v>
      </c>
      <c r="M156" s="19">
        <v>18</v>
      </c>
      <c r="N156" s="19">
        <v>60</v>
      </c>
      <c r="O156" s="19">
        <v>64</v>
      </c>
      <c r="P156" s="19">
        <v>46</v>
      </c>
      <c r="Q156" s="18">
        <v>121</v>
      </c>
      <c r="R156" s="12" t="s">
        <v>149</v>
      </c>
      <c r="S156" s="19" t="s">
        <v>16</v>
      </c>
      <c r="T156" s="19" t="s">
        <v>19</v>
      </c>
      <c r="U156" s="19" t="s">
        <v>19</v>
      </c>
      <c r="V156" s="19">
        <v>18</v>
      </c>
      <c r="W156" s="19">
        <v>45</v>
      </c>
      <c r="X156" s="19">
        <v>40</v>
      </c>
      <c r="Y156" s="19">
        <v>25</v>
      </c>
      <c r="Z156" s="19">
        <v>31</v>
      </c>
      <c r="AA156" s="19">
        <v>36</v>
      </c>
      <c r="AB156" s="19">
        <v>60</v>
      </c>
      <c r="AC156" s="19">
        <v>78</v>
      </c>
      <c r="AD156" s="19">
        <v>17</v>
      </c>
      <c r="AE156" s="19">
        <v>72</v>
      </c>
      <c r="AF156" s="19">
        <v>34</v>
      </c>
      <c r="AG156" s="19">
        <v>83</v>
      </c>
      <c r="AH156" s="19">
        <v>46</v>
      </c>
      <c r="AI156" s="6">
        <f>H$1*((-2*10^-6)*H156^3+0.00032*H156^2-0.0021*H156)+I$1*((-2*10^-6)*I156^3+0.00032*I156^2-0.0021*I156)+J$1*((-2*10^-6)*J156^3+0.00032*J156^2-0.0021*J156)+K$1*((-2*10^-6)*K156^3+0.00032*K156^2-0.0021*K156)+L$1*((-2*10^-6)*L156^3+0.00032*L156^2-0.0021*L156)</f>
        <v>0.43028520000000015</v>
      </c>
      <c r="AJ156" s="6">
        <f>(M$1*M156+N$1*N156+O$1*O156)/100</f>
        <v>0.36399999999999999</v>
      </c>
      <c r="AK156" s="6">
        <f>IF(AA156&lt;50,W$1*((-2*10^-6)*W156^3+0.00032*W156^2-0.0021*W156)+X$1*((-2*10^-6)*X156^3+0.00032*X156^2-0.0021*X156)+Y$1*((-2*10^-6)*Y156^3+0.00032*Y156^2-0.0021*Y156)+Z$1*((-2*10^-6)*Z156^3+0.00032*Z156^2-0.0021*Z156),X$2*((-2*10^-6)*X156^3+0.00032*X156^2-0.0021*AA156)+Y$2*((-2*10^-6)*Y156^3+0.00032*Y156^2-0.0021*Y156)+Z$2*((-2*10^-6)*Z156^3+0.00032*Z156^2-0.0021*Z156)+ AA$2*((-2*10^-6)*AA156^3+0.00032*AA156^2-0.0021*AA156))</f>
        <v>0.97033800000000014</v>
      </c>
      <c r="AL156" s="6">
        <f>(AB$1*AB156+AC$1*AC156)/100</f>
        <v>0.63600000000000001</v>
      </c>
      <c r="AM156" s="6">
        <f>AD$1*((-2*10^-6)*AD156^3+0.00032*AD156^2-0.0021*AD156)+AE$1*((-2*10^-6)*AE156^3+0.00032*AE156^2-0.0021*AE156)+AF$1*((-2*10^-6)*AF156^3+0.00032*AF156^2-0.0021*AF156)+AG$1*((-2*10^-6)*AG156^3+0.00032*AG156^2-0.0021*AG156)</f>
        <v>0.23372420000000008</v>
      </c>
    </row>
    <row r="157" spans="1:39" ht="15" thickBot="1" x14ac:dyDescent="0.35">
      <c r="A157" s="6">
        <f>(AI157*H$3+AJ157*M$3+AK157*W$3+AL157*AB$3+AM157*AD$3)*100/(AI$5*H$3+AJ$5*M$3+AK$5*W$3+AL$5*AB$3+AM$5*AD$3)</f>
        <v>14.925705482109279</v>
      </c>
      <c r="B157" s="20">
        <v>70</v>
      </c>
      <c r="C157" s="13" t="s">
        <v>98</v>
      </c>
      <c r="D157" s="21" t="s">
        <v>16</v>
      </c>
      <c r="E157" s="21" t="s">
        <v>19</v>
      </c>
      <c r="F157" s="21" t="s">
        <v>19</v>
      </c>
      <c r="G157" s="21">
        <v>18</v>
      </c>
      <c r="H157" s="21">
        <v>19</v>
      </c>
      <c r="I157" s="21">
        <v>0</v>
      </c>
      <c r="J157" s="21">
        <v>25</v>
      </c>
      <c r="K157" s="21">
        <v>11</v>
      </c>
      <c r="L157" s="21">
        <v>21</v>
      </c>
      <c r="M157" s="21">
        <v>22</v>
      </c>
      <c r="N157" s="21">
        <v>61</v>
      </c>
      <c r="O157" s="21">
        <v>80</v>
      </c>
      <c r="P157" s="21">
        <v>57</v>
      </c>
      <c r="Q157" s="20">
        <v>70</v>
      </c>
      <c r="R157" s="13" t="s">
        <v>98</v>
      </c>
      <c r="S157" s="21" t="s">
        <v>16</v>
      </c>
      <c r="T157" s="21" t="s">
        <v>19</v>
      </c>
      <c r="U157" s="21" t="s">
        <v>19</v>
      </c>
      <c r="V157" s="21">
        <v>18</v>
      </c>
      <c r="W157" s="21">
        <v>37</v>
      </c>
      <c r="X157" s="21">
        <v>30</v>
      </c>
      <c r="Y157" s="21">
        <v>35</v>
      </c>
      <c r="Z157" s="21">
        <v>48</v>
      </c>
      <c r="AA157" s="21">
        <v>21</v>
      </c>
      <c r="AB157" s="21">
        <v>38</v>
      </c>
      <c r="AC157" s="21">
        <v>92</v>
      </c>
      <c r="AD157" s="21">
        <v>43</v>
      </c>
      <c r="AE157" s="21">
        <v>65</v>
      </c>
      <c r="AF157" s="21">
        <v>33</v>
      </c>
      <c r="AG157" s="21">
        <v>98</v>
      </c>
      <c r="AH157" s="21">
        <v>57</v>
      </c>
      <c r="AI157" s="6">
        <f>H$1*((-2*10^-6)*H157^3+0.00032*H157^2-0.0021*H157)+I$1*((-2*10^-6)*I157^3+0.00032*I157^2-0.0021*I157)+J$1*((-2*10^-6)*J157^3+0.00032*J157^2-0.0021*J157)+K$1*((-2*10^-6)*K157^3+0.00032*K157^2-0.0021*K157)+L$1*((-2*10^-6)*L157^3+0.00032*L157^2-0.0021*L157)</f>
        <v>0.31471400000000005</v>
      </c>
      <c r="AJ157" s="6">
        <f>(M$1*M157+N$1*N157+O$1*O157)/100</f>
        <v>0.42200000000000004</v>
      </c>
      <c r="AK157" s="6">
        <f>IF(AA157&lt;50,W$1*((-2*10^-6)*W157^3+0.00032*W157^2-0.0021*W157)+X$1*((-2*10^-6)*X157^3+0.00032*X157^2-0.0021*X157)+Y$1*((-2*10^-6)*Y157^3+0.00032*Y157^2-0.0021*Y157)+Z$1*((-2*10^-6)*Z157^3+0.00032*Z157^2-0.0021*Z157),X$2*((-2*10^-6)*X157^3+0.00032*X157^2-0.0021*AA157)+Y$2*((-2*10^-6)*Y157^3+0.00032*Y157^2-0.0021*Y157)+Z$2*((-2*10^-6)*Z157^3+0.00032*Z157^2-0.0021*Z157)+ AA$2*((-2*10^-6)*AA157^3+0.00032*AA157^2-0.0021*AA157))</f>
        <v>1.0781200000000002</v>
      </c>
      <c r="AL157" s="6">
        <f>(AB$1*AB157+AC$1*AC157)/100</f>
        <v>0.48800000000000004</v>
      </c>
      <c r="AM157" s="6">
        <f>AD$1*((-2*10^-6)*AD157^3+0.00032*AD157^2-0.0021*AD157)+AE$1*((-2*10^-6)*AE157^3+0.00032*AE157^2-0.0021*AE157)+AF$1*((-2*10^-6)*AF157^3+0.00032*AF157^2-0.0021*AF157)+AG$1*((-2*10^-6)*AG157^3+0.00032*AG157^2-0.0021*AG157)</f>
        <v>0.52823120000000012</v>
      </c>
    </row>
    <row r="158" spans="1:39" ht="15" thickBot="1" x14ac:dyDescent="0.35">
      <c r="A158" s="6">
        <f>(AI158*H$3+AJ158*M$3+AK158*W$3+AL158*AB$3+AM158*AD$3)*100/(AI$5*H$3+AJ$5*M$3+AK$5*W$3+AL$5*AB$3+AM$5*AD$3)</f>
        <v>14.782664209615325</v>
      </c>
      <c r="B158" s="20">
        <v>116</v>
      </c>
      <c r="C158" s="13" t="s">
        <v>144</v>
      </c>
      <c r="D158" s="21" t="s">
        <v>16</v>
      </c>
      <c r="E158" s="21" t="s">
        <v>20</v>
      </c>
      <c r="F158" s="21" t="s">
        <v>20</v>
      </c>
      <c r="G158" s="21">
        <v>18</v>
      </c>
      <c r="H158" s="21">
        <v>13</v>
      </c>
      <c r="I158" s="21">
        <v>5</v>
      </c>
      <c r="J158" s="21">
        <v>11</v>
      </c>
      <c r="K158" s="21">
        <v>28</v>
      </c>
      <c r="L158" s="21">
        <v>18</v>
      </c>
      <c r="M158" s="21">
        <v>1</v>
      </c>
      <c r="N158" s="21">
        <v>76</v>
      </c>
      <c r="O158" s="21">
        <v>43</v>
      </c>
      <c r="P158" s="21">
        <v>47</v>
      </c>
      <c r="Q158" s="20">
        <v>116</v>
      </c>
      <c r="R158" s="13" t="s">
        <v>144</v>
      </c>
      <c r="S158" s="21" t="s">
        <v>16</v>
      </c>
      <c r="T158" s="21" t="s">
        <v>20</v>
      </c>
      <c r="U158" s="21" t="s">
        <v>20</v>
      </c>
      <c r="V158" s="21">
        <v>18</v>
      </c>
      <c r="W158" s="21">
        <v>47</v>
      </c>
      <c r="X158" s="21">
        <v>34</v>
      </c>
      <c r="Y158" s="21">
        <v>46</v>
      </c>
      <c r="Z158" s="21">
        <v>26</v>
      </c>
      <c r="AA158" s="21">
        <v>23</v>
      </c>
      <c r="AB158" s="21">
        <v>72</v>
      </c>
      <c r="AC158" s="21">
        <v>89</v>
      </c>
      <c r="AD158" s="21">
        <v>20</v>
      </c>
      <c r="AE158" s="21">
        <v>96</v>
      </c>
      <c r="AF158" s="21">
        <v>61</v>
      </c>
      <c r="AG158" s="21">
        <v>50</v>
      </c>
      <c r="AH158" s="21">
        <v>47</v>
      </c>
      <c r="AI158" s="6">
        <f>H$1*((-2*10^-6)*H158^3+0.00032*H158^2-0.0021*H158)+I$1*((-2*10^-6)*I158^3+0.00032*I158^2-0.0021*I158)+J$1*((-2*10^-6)*J158^3+0.00032*J158^2-0.0021*J158)+K$1*((-2*10^-6)*K158^3+0.00032*K158^2-0.0021*K158)+L$1*((-2*10^-6)*L158^3+0.00032*L158^2-0.0021*L158)</f>
        <v>0.26247680000000012</v>
      </c>
      <c r="AJ158" s="6">
        <f>(M$1*M158+N$1*N158+O$1*O158)/100</f>
        <v>0.20500000000000004</v>
      </c>
      <c r="AK158" s="6">
        <f>IF(AA158&lt;50,W$1*((-2*10^-6)*W158^3+0.00032*W158^2-0.0021*W158)+X$1*((-2*10^-6)*X158^3+0.00032*X158^2-0.0021*X158)+Y$1*((-2*10^-6)*Y158^3+0.00032*Y158^2-0.0021*Y158)+Z$1*((-2*10^-6)*Z158^3+0.00032*Z158^2-0.0021*Z158),X$2*((-2*10^-6)*X158^3+0.00032*X158^2-0.0021*AA158)+Y$2*((-2*10^-6)*Y158^3+0.00032*Y158^2-0.0021*Y158)+Z$2*((-2*10^-6)*Z158^3+0.00032*Z158^2-0.0021*Z158)+ AA$2*((-2*10^-6)*AA158^3+0.00032*AA158^2-0.0021*AA158))</f>
        <v>1.132862</v>
      </c>
      <c r="AL158" s="6">
        <f>(AB$1*AB158+AC$1*AC158)/100</f>
        <v>0.754</v>
      </c>
      <c r="AM158" s="6">
        <f>AD$1*((-2*10^-6)*AD158^3+0.00032*AD158^2-0.0021*AD158)+AE$1*((-2*10^-6)*AE158^3+0.00032*AE158^2-0.0021*AE158)+AF$1*((-2*10^-6)*AF158^3+0.00032*AF158^2-0.0021*AF158)+AG$1*((-2*10^-6)*AG158^3+0.00032*AG158^2-0.0021*AG158)</f>
        <v>0.27317060000000004</v>
      </c>
    </row>
    <row r="159" spans="1:39" ht="15" thickBot="1" x14ac:dyDescent="0.35">
      <c r="A159" s="6">
        <f>(AI159*H$3+AJ159*M$3+AK159*W$3+AL159*AB$3+AM159*AD$3)*100/(AI$5*H$3+AJ$5*M$3+AK$5*W$3+AL$5*AB$3+AM$5*AD$3)</f>
        <v>14.666987674952994</v>
      </c>
      <c r="B159" s="20">
        <v>16</v>
      </c>
      <c r="C159" s="13" t="s">
        <v>44</v>
      </c>
      <c r="D159" s="21" t="s">
        <v>16</v>
      </c>
      <c r="E159" s="21" t="s">
        <v>21</v>
      </c>
      <c r="F159" s="21" t="s">
        <v>20</v>
      </c>
      <c r="G159" s="21">
        <v>18</v>
      </c>
      <c r="H159" s="21">
        <v>30</v>
      </c>
      <c r="I159" s="21">
        <v>6</v>
      </c>
      <c r="J159" s="21">
        <v>23</v>
      </c>
      <c r="K159" s="21">
        <v>25</v>
      </c>
      <c r="L159" s="21">
        <v>25</v>
      </c>
      <c r="M159" s="21">
        <v>12</v>
      </c>
      <c r="N159" s="21">
        <v>77</v>
      </c>
      <c r="O159" s="21">
        <v>73</v>
      </c>
      <c r="P159" s="21">
        <v>72</v>
      </c>
      <c r="Q159" s="20">
        <v>16</v>
      </c>
      <c r="R159" s="13" t="s">
        <v>44</v>
      </c>
      <c r="S159" s="21" t="s">
        <v>16</v>
      </c>
      <c r="T159" s="21" t="s">
        <v>21</v>
      </c>
      <c r="U159" s="21" t="s">
        <v>20</v>
      </c>
      <c r="V159" s="21">
        <v>18</v>
      </c>
      <c r="W159" s="21">
        <v>0</v>
      </c>
      <c r="X159" s="21">
        <v>30</v>
      </c>
      <c r="Y159" s="21">
        <v>30</v>
      </c>
      <c r="Z159" s="21">
        <v>58</v>
      </c>
      <c r="AA159" s="21">
        <v>19</v>
      </c>
      <c r="AB159" s="21">
        <v>27</v>
      </c>
      <c r="AC159" s="21">
        <v>67</v>
      </c>
      <c r="AD159" s="21">
        <v>10</v>
      </c>
      <c r="AE159" s="21">
        <v>63</v>
      </c>
      <c r="AF159" s="21">
        <v>46</v>
      </c>
      <c r="AG159" s="21">
        <v>91</v>
      </c>
      <c r="AH159" s="21">
        <v>72</v>
      </c>
      <c r="AI159" s="6">
        <f>H$1*((-2*10^-6)*H159^3+0.00032*H159^2-0.0021*H159)+I$1*((-2*10^-6)*I159^3+0.00032*I159^2-0.0021*I159)+J$1*((-2*10^-6)*J159^3+0.00032*J159^2-0.0021*J159)+K$1*((-2*10^-6)*K159^3+0.00032*K159^2-0.0021*K159)+L$1*((-2*10^-6)*L159^3+0.00032*L159^2-0.0021*L159)</f>
        <v>0.57471360000000016</v>
      </c>
      <c r="AJ159" s="6">
        <f>(M$1*M159+N$1*N159+O$1*O159)/100</f>
        <v>0.34700000000000003</v>
      </c>
      <c r="AK159" s="6">
        <f>IF(AA159&lt;50,W$1*((-2*10^-6)*W159^3+0.00032*W159^2-0.0021*W159)+X$1*((-2*10^-6)*X159^3+0.00032*X159^2-0.0021*X159)+Y$1*((-2*10^-6)*Y159^3+0.00032*Y159^2-0.0021*Y159)+Z$1*((-2*10^-6)*Z159^3+0.00032*Z159^2-0.0021*Z159),X$2*((-2*10^-6)*X159^3+0.00032*X159^2-0.0021*AA159)+Y$2*((-2*10^-6)*Y159^3+0.00032*Y159^2-0.0021*Y159)+Z$2*((-2*10^-6)*Z159^3+0.00032*Z159^2-0.0021*Z159)+ AA$2*((-2*10^-6)*AA159^3+0.00032*AA159^2-0.0021*AA159))</f>
        <v>0.90645600000000026</v>
      </c>
      <c r="AL159" s="6">
        <f>(AB$1*AB159+AC$1*AC159)/100</f>
        <v>0.35</v>
      </c>
      <c r="AM159" s="6">
        <f>AD$1*((-2*10^-6)*AD159^3+0.00032*AD159^2-0.0021*AD159)+AE$1*((-2*10^-6)*AE159^3+0.00032*AE159^2-0.0021*AE159)+AF$1*((-2*10^-6)*AF159^3+0.00032*AF159^2-0.0021*AF159)+AG$1*((-2*10^-6)*AG159^3+0.00032*AG159^2-0.0021*AG159)</f>
        <v>0.20652120000000004</v>
      </c>
    </row>
    <row r="160" spans="1:39" ht="15" thickBot="1" x14ac:dyDescent="0.35">
      <c r="A160" s="6">
        <f>(AI160*H$3+AJ160*M$3+AK160*W$3+AL160*AB$3+AM160*AD$3)*100/(AI$5*H$3+AJ$5*M$3+AK$5*W$3+AL$5*AB$3+AM$5*AD$3)</f>
        <v>14.630638037542148</v>
      </c>
      <c r="B160" s="18">
        <v>181</v>
      </c>
      <c r="C160" s="12" t="s">
        <v>209</v>
      </c>
      <c r="D160" s="19" t="s">
        <v>16</v>
      </c>
      <c r="E160" s="19" t="s">
        <v>19</v>
      </c>
      <c r="F160" s="19" t="s">
        <v>19</v>
      </c>
      <c r="G160" s="19">
        <v>22</v>
      </c>
      <c r="H160" s="19">
        <v>15</v>
      </c>
      <c r="I160" s="19">
        <v>0</v>
      </c>
      <c r="J160" s="19">
        <v>0</v>
      </c>
      <c r="K160" s="19">
        <v>17</v>
      </c>
      <c r="L160" s="19">
        <v>36</v>
      </c>
      <c r="M160" s="19">
        <v>31</v>
      </c>
      <c r="N160" s="19">
        <v>52</v>
      </c>
      <c r="O160" s="19">
        <v>48</v>
      </c>
      <c r="P160" s="19">
        <v>34</v>
      </c>
      <c r="Q160" s="18">
        <v>181</v>
      </c>
      <c r="R160" s="12" t="s">
        <v>209</v>
      </c>
      <c r="S160" s="19" t="s">
        <v>16</v>
      </c>
      <c r="T160" s="19" t="s">
        <v>19</v>
      </c>
      <c r="U160" s="19" t="s">
        <v>19</v>
      </c>
      <c r="V160" s="19">
        <v>22</v>
      </c>
      <c r="W160" s="19">
        <v>25</v>
      </c>
      <c r="X160" s="19">
        <v>28</v>
      </c>
      <c r="Y160" s="19">
        <v>24</v>
      </c>
      <c r="Z160" s="19">
        <v>47</v>
      </c>
      <c r="AA160" s="19">
        <v>2</v>
      </c>
      <c r="AB160" s="19">
        <v>33</v>
      </c>
      <c r="AC160" s="19">
        <v>91</v>
      </c>
      <c r="AD160" s="19">
        <v>23</v>
      </c>
      <c r="AE160" s="19">
        <v>27</v>
      </c>
      <c r="AF160" s="19">
        <v>18</v>
      </c>
      <c r="AG160" s="19">
        <v>90</v>
      </c>
      <c r="AH160" s="19">
        <v>34</v>
      </c>
      <c r="AI160" s="6">
        <f>H$1*((-2*10^-6)*H160^3+0.00032*H160^2-0.0021*H160)+I$1*((-2*10^-6)*I160^3+0.00032*I160^2-0.0021*I160)+J$1*((-2*10^-6)*J160^3+0.00032*J160^2-0.0021*J160)+K$1*((-2*10^-6)*K160^3+0.00032*K160^2-0.0021*K160)+L$1*((-2*10^-6)*L160^3+0.00032*L160^2-0.0021*L160)</f>
        <v>0.61209080000000005</v>
      </c>
      <c r="AJ160" s="6">
        <f>(M$1*M160+N$1*N160+O$1*O160)/100</f>
        <v>0.46200000000000002</v>
      </c>
      <c r="AK160" s="6">
        <f>IF(AA160&lt;50,W$1*((-2*10^-6)*W160^3+0.00032*W160^2-0.0021*W160)+X$1*((-2*10^-6)*X160^3+0.00032*X160^2-0.0021*X160)+Y$1*((-2*10^-6)*Y160^3+0.00032*Y160^2-0.0021*Y160)+Z$1*((-2*10^-6)*Z160^3+0.00032*Z160^2-0.0021*Z160),X$2*((-2*10^-6)*X160^3+0.00032*X160^2-0.0021*AA160)+Y$2*((-2*10^-6)*Y160^3+0.00032*Y160^2-0.0021*Y160)+Z$2*((-2*10^-6)*Z160^3+0.00032*Z160^2-0.0021*Z160)+ AA$2*((-2*10^-6)*AA160^3+0.00032*AA160^2-0.0021*AA160))</f>
        <v>0.77123200000000014</v>
      </c>
      <c r="AL160" s="6">
        <f>(AB$1*AB160+AC$1*AC160)/100</f>
        <v>0.44600000000000001</v>
      </c>
      <c r="AM160" s="6">
        <f>AD$1*((-2*10^-6)*AD160^3+0.00032*AD160^2-0.0021*AD160)+AE$1*((-2*10^-6)*AE160^3+0.00032*AE160^2-0.0021*AE160)+AF$1*((-2*10^-6)*AF160^3+0.00032*AF160^2-0.0021*AF160)+AG$1*((-2*10^-6)*AG160^3+0.00032*AG160^2-0.0021*AG160)</f>
        <v>0.21028900000000006</v>
      </c>
    </row>
    <row r="161" spans="1:39" ht="15" thickBot="1" x14ac:dyDescent="0.35">
      <c r="A161" s="6">
        <f>(AI161*H$3+AJ161*M$3+AK161*W$3+AL161*AB$3+AM161*AD$3)*100/(AI$5*H$3+AJ$5*M$3+AK$5*W$3+AL$5*AB$3+AM$5*AD$3)</f>
        <v>14.62335447193291</v>
      </c>
      <c r="B161" s="18">
        <v>65</v>
      </c>
      <c r="C161" s="12" t="s">
        <v>93</v>
      </c>
      <c r="D161" s="19" t="s">
        <v>16</v>
      </c>
      <c r="E161" s="19" t="s">
        <v>20</v>
      </c>
      <c r="F161" s="19" t="s">
        <v>20</v>
      </c>
      <c r="G161" s="19">
        <v>18</v>
      </c>
      <c r="H161" s="19">
        <v>20</v>
      </c>
      <c r="I161" s="19">
        <v>2</v>
      </c>
      <c r="J161" s="19">
        <v>31</v>
      </c>
      <c r="K161" s="19">
        <v>27</v>
      </c>
      <c r="L161" s="19">
        <v>15</v>
      </c>
      <c r="M161" s="19">
        <v>8</v>
      </c>
      <c r="N161" s="19">
        <v>67</v>
      </c>
      <c r="O161" s="19">
        <v>61</v>
      </c>
      <c r="P161" s="19">
        <v>58</v>
      </c>
      <c r="Q161" s="18">
        <v>65</v>
      </c>
      <c r="R161" s="12" t="s">
        <v>93</v>
      </c>
      <c r="S161" s="19" t="s">
        <v>16</v>
      </c>
      <c r="T161" s="19" t="s">
        <v>20</v>
      </c>
      <c r="U161" s="19" t="s">
        <v>20</v>
      </c>
      <c r="V161" s="19">
        <v>18</v>
      </c>
      <c r="W161" s="19">
        <v>44</v>
      </c>
      <c r="X161" s="19">
        <v>10</v>
      </c>
      <c r="Y161" s="19">
        <v>11</v>
      </c>
      <c r="Z161" s="19">
        <v>69</v>
      </c>
      <c r="AA161" s="19">
        <v>14</v>
      </c>
      <c r="AB161" s="19">
        <v>35</v>
      </c>
      <c r="AC161" s="19">
        <v>95</v>
      </c>
      <c r="AD161" s="19">
        <v>25</v>
      </c>
      <c r="AE161" s="19">
        <v>100</v>
      </c>
      <c r="AF161" s="19">
        <v>15</v>
      </c>
      <c r="AG161" s="19">
        <v>96</v>
      </c>
      <c r="AH161" s="19">
        <v>58</v>
      </c>
      <c r="AI161" s="6">
        <f>H$1*((-2*10^-6)*H161^3+0.00032*H161^2-0.0021*H161)+I$1*((-2*10^-6)*I161^3+0.00032*I161^2-0.0021*I161)+J$1*((-2*10^-6)*J161^3+0.00032*J161^2-0.0021*J161)+K$1*((-2*10^-6)*K161^3+0.00032*K161^2-0.0021*K161)+L$1*((-2*10^-6)*L161^3+0.00032*L161^2-0.0021*L161)</f>
        <v>0.35785200000000006</v>
      </c>
      <c r="AJ161" s="6">
        <f>(M$1*M161+N$1*N161+O$1*O161)/100</f>
        <v>0.27500000000000002</v>
      </c>
      <c r="AK161" s="6">
        <f>IF(AA161&lt;50,W$1*((-2*10^-6)*W161^3+0.00032*W161^2-0.0021*W161)+X$1*((-2*10^-6)*X161^3+0.00032*X161^2-0.0021*X161)+Y$1*((-2*10^-6)*Y161^3+0.00032*Y161^2-0.0021*Y161)+Z$1*((-2*10^-6)*Z161^3+0.00032*Z161^2-0.0021*Z161),X$2*((-2*10^-6)*X161^3+0.00032*X161^2-0.0021*AA161)+Y$2*((-2*10^-6)*Y161^3+0.00032*Y161^2-0.0021*Y161)+Z$2*((-2*10^-6)*Z161^3+0.00032*Z161^2-0.0021*Z161)+ AA$2*((-2*10^-6)*AA161^3+0.00032*AA161^2-0.0021*AA161))</f>
        <v>1.1003120000000004</v>
      </c>
      <c r="AL161" s="6">
        <f>(AB$1*AB161+AC$1*AC161)/100</f>
        <v>0.47</v>
      </c>
      <c r="AM161" s="6">
        <f>AD$1*((-2*10^-6)*AD161^3+0.00032*AD161^2-0.0021*AD161)+AE$1*((-2*10^-6)*AE161^3+0.00032*AE161^2-0.0021*AE161)+AF$1*((-2*10^-6)*AF161^3+0.00032*AF161^2-0.0021*AF161)+AG$1*((-2*10^-6)*AG161^3+0.00032*AG161^2-0.0021*AG161)</f>
        <v>0.31642980000000009</v>
      </c>
    </row>
    <row r="162" spans="1:39" ht="15" thickBot="1" x14ac:dyDescent="0.35">
      <c r="A162" s="6">
        <f>(AI162*H$3+AJ162*M$3+AK162*W$3+AL162*AB$3+AM162*AD$3)*100/(AI$5*H$3+AJ$5*M$3+AK$5*W$3+AL$5*AB$3+AM$5*AD$3)</f>
        <v>14.621931421409171</v>
      </c>
      <c r="B162" s="20">
        <v>64</v>
      </c>
      <c r="C162" s="13" t="s">
        <v>92</v>
      </c>
      <c r="D162" s="21" t="s">
        <v>16</v>
      </c>
      <c r="E162" s="21" t="s">
        <v>20</v>
      </c>
      <c r="F162" s="21" t="s">
        <v>20</v>
      </c>
      <c r="G162" s="21">
        <v>18</v>
      </c>
      <c r="H162" s="21">
        <v>10</v>
      </c>
      <c r="I162" s="21">
        <v>5</v>
      </c>
      <c r="J162" s="21">
        <v>20</v>
      </c>
      <c r="K162" s="21">
        <v>30</v>
      </c>
      <c r="L162" s="21">
        <v>17</v>
      </c>
      <c r="M162" s="21">
        <v>16</v>
      </c>
      <c r="N162" s="21">
        <v>77</v>
      </c>
      <c r="O162" s="21">
        <v>65</v>
      </c>
      <c r="P162" s="21">
        <v>58</v>
      </c>
      <c r="Q162" s="20">
        <v>64</v>
      </c>
      <c r="R162" s="13" t="s">
        <v>92</v>
      </c>
      <c r="S162" s="21" t="s">
        <v>16</v>
      </c>
      <c r="T162" s="21" t="s">
        <v>20</v>
      </c>
      <c r="U162" s="21" t="s">
        <v>20</v>
      </c>
      <c r="V162" s="21">
        <v>18</v>
      </c>
      <c r="W162" s="21">
        <v>26</v>
      </c>
      <c r="X162" s="21">
        <v>33</v>
      </c>
      <c r="Y162" s="21">
        <v>58</v>
      </c>
      <c r="Z162" s="21">
        <v>32</v>
      </c>
      <c r="AA162" s="21">
        <v>18</v>
      </c>
      <c r="AB162" s="21">
        <v>41</v>
      </c>
      <c r="AC162" s="21">
        <v>65</v>
      </c>
      <c r="AD162" s="21">
        <v>42</v>
      </c>
      <c r="AE162" s="21">
        <v>53</v>
      </c>
      <c r="AF162" s="21">
        <v>84</v>
      </c>
      <c r="AG162" s="21">
        <v>84</v>
      </c>
      <c r="AH162" s="21">
        <v>58</v>
      </c>
      <c r="AI162" s="6">
        <f>H$1*((-2*10^-6)*H162^3+0.00032*H162^2-0.0021*H162)+I$1*((-2*10^-6)*I162^3+0.00032*I162^2-0.0021*I162)+J$1*((-2*10^-6)*J162^3+0.00032*J162^2-0.0021*J162)+K$1*((-2*10^-6)*K162^3+0.00032*K162^2-0.0021*K162)+L$1*((-2*10^-6)*L162^3+0.00032*L162^2-0.0021*L162)</f>
        <v>0.28559880000000004</v>
      </c>
      <c r="AJ162" s="6">
        <f>(M$1*M162+N$1*N162+O$1*O162)/100</f>
        <v>0.379</v>
      </c>
      <c r="AK162" s="6">
        <f>IF(AA162&lt;50,W$1*((-2*10^-6)*W162^3+0.00032*W162^2-0.0021*W162)+X$1*((-2*10^-6)*X162^3+0.00032*X162^2-0.0021*X162)+Y$1*((-2*10^-6)*Y162^3+0.00032*Y162^2-0.0021*Y162)+Z$1*((-2*10^-6)*Z162^3+0.00032*Z162^2-0.0021*Z162),X$2*((-2*10^-6)*X162^3+0.00032*X162^2-0.0021*AA162)+Y$2*((-2*10^-6)*Y162^3+0.00032*Y162^2-0.0021*Y162)+Z$2*((-2*10^-6)*Z162^3+0.00032*Z162^2-0.0021*Z162)+ AA$2*((-2*10^-6)*AA162^3+0.00032*AA162^2-0.0021*AA162))</f>
        <v>1.0932740000000003</v>
      </c>
      <c r="AL162" s="6">
        <f>(AB$1*AB162+AC$1*AC162)/100</f>
        <v>0.45800000000000002</v>
      </c>
      <c r="AM162" s="6">
        <f>AD$1*((-2*10^-6)*AD162^3+0.00032*AD162^2-0.0021*AD162)+AE$1*((-2*10^-6)*AE162^3+0.00032*AE162^2-0.0021*AE162)+AF$1*((-2*10^-6)*AF162^3+0.00032*AF162^2-0.0021*AF162)+AG$1*((-2*10^-6)*AG162^3+0.00032*AG162^2-0.0021*AG162)</f>
        <v>0.55630900000000028</v>
      </c>
    </row>
    <row r="163" spans="1:39" ht="15" thickBot="1" x14ac:dyDescent="0.35">
      <c r="A163" s="6">
        <f>(AI163*H$3+AJ163*M$3+AK163*W$3+AL163*AB$3+AM163*AD$3)*100/(AI$5*H$3+AJ$5*M$3+AK$5*W$3+AL$5*AB$3+AM$5*AD$3)</f>
        <v>14.519725297681216</v>
      </c>
      <c r="B163" s="20">
        <v>168</v>
      </c>
      <c r="C163" s="13" t="s">
        <v>196</v>
      </c>
      <c r="D163" s="21" t="s">
        <v>16</v>
      </c>
      <c r="E163" s="21" t="s">
        <v>20</v>
      </c>
      <c r="F163" s="21" t="s">
        <v>20</v>
      </c>
      <c r="G163" s="21">
        <v>22</v>
      </c>
      <c r="H163" s="21">
        <v>8</v>
      </c>
      <c r="I163" s="21">
        <v>0</v>
      </c>
      <c r="J163" s="21">
        <v>16</v>
      </c>
      <c r="K163" s="21">
        <v>3</v>
      </c>
      <c r="L163" s="21">
        <v>24</v>
      </c>
      <c r="M163" s="21">
        <v>2</v>
      </c>
      <c r="N163" s="21">
        <v>42</v>
      </c>
      <c r="O163" s="21">
        <v>43</v>
      </c>
      <c r="P163" s="21">
        <v>49</v>
      </c>
      <c r="Q163" s="20">
        <v>168</v>
      </c>
      <c r="R163" s="13" t="s">
        <v>196</v>
      </c>
      <c r="S163" s="21" t="s">
        <v>16</v>
      </c>
      <c r="T163" s="21" t="s">
        <v>20</v>
      </c>
      <c r="U163" s="21" t="s">
        <v>20</v>
      </c>
      <c r="V163" s="21">
        <v>22</v>
      </c>
      <c r="W163" s="21">
        <v>34</v>
      </c>
      <c r="X163" s="21">
        <v>68</v>
      </c>
      <c r="Y163" s="21">
        <v>35</v>
      </c>
      <c r="Z163" s="21">
        <v>2</v>
      </c>
      <c r="AA163" s="21">
        <v>33</v>
      </c>
      <c r="AB163" s="21">
        <v>41</v>
      </c>
      <c r="AC163" s="21">
        <v>100</v>
      </c>
      <c r="AD163" s="21">
        <v>39</v>
      </c>
      <c r="AE163" s="21">
        <v>89</v>
      </c>
      <c r="AF163" s="21">
        <v>55</v>
      </c>
      <c r="AG163" s="21">
        <v>91</v>
      </c>
      <c r="AH163" s="21">
        <v>49</v>
      </c>
      <c r="AI163" s="6">
        <f>H$1*((-2*10^-6)*H163^3+0.00032*H163^2-0.0021*H163)+I$1*((-2*10^-6)*I163^3+0.00032*I163^2-0.0021*I163)+J$1*((-2*10^-6)*J163^3+0.00032*J163^2-0.0021*J163)+K$1*((-2*10^-6)*K163^3+0.00032*K163^2-0.0021*K163)+L$1*((-2*10^-6)*L163^3+0.00032*L163^2-0.0021*L163)</f>
        <v>0.25775200000000004</v>
      </c>
      <c r="AJ163" s="6">
        <f>(M$1*M163+N$1*N163+O$1*O163)/100</f>
        <v>0.14699999999999999</v>
      </c>
      <c r="AK163" s="6">
        <f>IF(AA163&lt;50,W$1*((-2*10^-6)*W163^3+0.00032*W163^2-0.0021*W163)+X$1*((-2*10^-6)*X163^3+0.00032*X163^2-0.0021*X163)+Y$1*((-2*10^-6)*Y163^3+0.00032*Y163^2-0.0021*Y163)+Z$1*((-2*10^-6)*Z163^3+0.00032*Z163^2-0.0021*Z163),X$2*((-2*10^-6)*X163^3+0.00032*X163^2-0.0021*AA163)+Y$2*((-2*10^-6)*Y163^3+0.00032*Y163^2-0.0021*Y163)+Z$2*((-2*10^-6)*Z163^3+0.00032*Z163^2-0.0021*Z163)+ AA$2*((-2*10^-6)*AA163^3+0.00032*AA163^2-0.0021*AA163))</f>
        <v>1.1577420000000003</v>
      </c>
      <c r="AL163" s="6">
        <f>(AB$1*AB163+AC$1*AC163)/100</f>
        <v>0.52800000000000002</v>
      </c>
      <c r="AM163" s="6">
        <f>AD$1*((-2*10^-6)*AD163^3+0.00032*AD163^2-0.0021*AD163)+AE$1*((-2*10^-6)*AE163^3+0.00032*AE163^2-0.0021*AE163)+AF$1*((-2*10^-6)*AF163^3+0.00032*AF163^2-0.0021*AF163)+AG$1*((-2*10^-6)*AG163^3+0.00032*AG163^2-0.0021*AG163)</f>
        <v>0.52711300000000016</v>
      </c>
    </row>
    <row r="164" spans="1:39" ht="15" thickBot="1" x14ac:dyDescent="0.35">
      <c r="A164" s="6">
        <f>(AI164*H$3+AJ164*M$3+AK164*W$3+AL164*AB$3+AM164*AD$3)*100/(AI$5*H$3+AJ$5*M$3+AK$5*W$3+AL$5*AB$3+AM$5*AD$3)</f>
        <v>14.490950192485595</v>
      </c>
      <c r="B164" s="20">
        <v>38</v>
      </c>
      <c r="C164" s="13" t="s">
        <v>66</v>
      </c>
      <c r="D164" s="21" t="s">
        <v>16</v>
      </c>
      <c r="E164" s="21" t="s">
        <v>19</v>
      </c>
      <c r="F164" s="21" t="s">
        <v>19</v>
      </c>
      <c r="G164" s="21">
        <v>18</v>
      </c>
      <c r="H164" s="21">
        <v>19</v>
      </c>
      <c r="I164" s="21">
        <v>20</v>
      </c>
      <c r="J164" s="21">
        <v>27</v>
      </c>
      <c r="K164" s="21">
        <v>14</v>
      </c>
      <c r="L164" s="21">
        <v>14</v>
      </c>
      <c r="M164" s="21">
        <v>32</v>
      </c>
      <c r="N164" s="21">
        <v>55</v>
      </c>
      <c r="O164" s="21">
        <v>63</v>
      </c>
      <c r="P164" s="21">
        <v>64</v>
      </c>
      <c r="Q164" s="20">
        <v>38</v>
      </c>
      <c r="R164" s="13" t="s">
        <v>66</v>
      </c>
      <c r="S164" s="21" t="s">
        <v>16</v>
      </c>
      <c r="T164" s="21" t="s">
        <v>19</v>
      </c>
      <c r="U164" s="21" t="s">
        <v>19</v>
      </c>
      <c r="V164" s="21">
        <v>18</v>
      </c>
      <c r="W164" s="21">
        <v>2</v>
      </c>
      <c r="X164" s="21">
        <v>24</v>
      </c>
      <c r="Y164" s="21">
        <v>48</v>
      </c>
      <c r="Z164" s="21">
        <v>61</v>
      </c>
      <c r="AA164" s="21">
        <v>15</v>
      </c>
      <c r="AB164" s="21">
        <v>22</v>
      </c>
      <c r="AC164" s="21">
        <v>55</v>
      </c>
      <c r="AD164" s="21">
        <v>5</v>
      </c>
      <c r="AE164" s="21">
        <v>70</v>
      </c>
      <c r="AF164" s="21">
        <v>58</v>
      </c>
      <c r="AG164" s="21">
        <v>82</v>
      </c>
      <c r="AH164" s="21">
        <v>64</v>
      </c>
      <c r="AI164" s="6">
        <f>H$1*((-2*10^-6)*H164^3+0.00032*H164^2-0.0021*H164)+I$1*((-2*10^-6)*I164^3+0.00032*I164^2-0.0021*I164)+J$1*((-2*10^-6)*J164^3+0.00032*J164^2-0.0021*J164)+K$1*((-2*10^-6)*K164^3+0.00032*K164^2-0.0021*K164)+L$1*((-2*10^-6)*L164^3+0.00032*L164^2-0.0021*L164)</f>
        <v>0.36772640000000006</v>
      </c>
      <c r="AJ164" s="6">
        <f>(M$1*M164+N$1*N164+O$1*O164)/100</f>
        <v>0.49299999999999999</v>
      </c>
      <c r="AK164" s="6">
        <f>IF(AA164&lt;50,W$1*((-2*10^-6)*W164^3+0.00032*W164^2-0.0021*W164)+X$1*((-2*10^-6)*X164^3+0.00032*X164^2-0.0021*X164)+Y$1*((-2*10^-6)*Y164^3+0.00032*Y164^2-0.0021*Y164)+Z$1*((-2*10^-6)*Z164^3+0.00032*Z164^2-0.0021*Z164),X$2*((-2*10^-6)*X164^3+0.00032*X164^2-0.0021*AA164)+Y$2*((-2*10^-6)*Y164^3+0.00032*Y164^2-0.0021*Y164)+Z$2*((-2*10^-6)*Z164^3+0.00032*Z164^2-0.0021*Z164)+ AA$2*((-2*10^-6)*AA164^3+0.00032*AA164^2-0.0021*AA164))</f>
        <v>1.1272900000000001</v>
      </c>
      <c r="AL164" s="6">
        <f>(AB$1*AB164+AC$1*AC164)/100</f>
        <v>0.28600000000000003</v>
      </c>
      <c r="AM164" s="6">
        <f>AD$1*((-2*10^-6)*AD164^3+0.00032*AD164^2-0.0021*AD164)+AE$1*((-2*10^-6)*AE164^3+0.00032*AE164^2-0.0021*AE164)+AF$1*((-2*10^-6)*AF164^3+0.00032*AF164^2-0.0021*AF164)+AG$1*((-2*10^-6)*AG164^3+0.00032*AG164^2-0.0021*AG164)</f>
        <v>0.21487000000000006</v>
      </c>
    </row>
    <row r="165" spans="1:39" ht="15" thickBot="1" x14ac:dyDescent="0.35">
      <c r="A165" s="6">
        <f>(AI165*H$3+AJ165*M$3+AK165*W$3+AL165*AB$3+AM165*AD$3)*100/(AI$5*H$3+AJ$5*M$3+AK$5*W$3+AL$5*AB$3+AM$5*AD$3)</f>
        <v>14.45868557700916</v>
      </c>
      <c r="B165" s="18">
        <v>163</v>
      </c>
      <c r="C165" s="12" t="s">
        <v>191</v>
      </c>
      <c r="D165" s="19" t="s">
        <v>16</v>
      </c>
      <c r="E165" s="19" t="s">
        <v>19</v>
      </c>
      <c r="F165" s="19" t="s">
        <v>19</v>
      </c>
      <c r="G165" s="19">
        <v>18</v>
      </c>
      <c r="H165" s="19">
        <v>20</v>
      </c>
      <c r="I165" s="19">
        <v>14</v>
      </c>
      <c r="J165" s="19">
        <v>30</v>
      </c>
      <c r="K165" s="19">
        <v>22</v>
      </c>
      <c r="L165" s="19">
        <v>28</v>
      </c>
      <c r="M165" s="19">
        <v>15</v>
      </c>
      <c r="N165" s="19">
        <v>77</v>
      </c>
      <c r="O165" s="19">
        <v>67</v>
      </c>
      <c r="P165" s="19">
        <v>38</v>
      </c>
      <c r="Q165" s="18">
        <v>163</v>
      </c>
      <c r="R165" s="12" t="s">
        <v>191</v>
      </c>
      <c r="S165" s="19" t="s">
        <v>16</v>
      </c>
      <c r="T165" s="19" t="s">
        <v>19</v>
      </c>
      <c r="U165" s="19" t="s">
        <v>19</v>
      </c>
      <c r="V165" s="19">
        <v>18</v>
      </c>
      <c r="W165" s="19">
        <v>10</v>
      </c>
      <c r="X165" s="19">
        <v>23</v>
      </c>
      <c r="Y165" s="19">
        <v>28</v>
      </c>
      <c r="Z165" s="19">
        <v>44</v>
      </c>
      <c r="AA165" s="19">
        <v>11</v>
      </c>
      <c r="AB165" s="19">
        <v>75</v>
      </c>
      <c r="AC165" s="19">
        <v>56</v>
      </c>
      <c r="AD165" s="19">
        <v>15</v>
      </c>
      <c r="AE165" s="19">
        <v>95</v>
      </c>
      <c r="AF165" s="19">
        <v>49</v>
      </c>
      <c r="AG165" s="19">
        <v>87</v>
      </c>
      <c r="AH165" s="19">
        <v>38</v>
      </c>
      <c r="AI165" s="6">
        <f>H$1*((-2*10^-6)*H165^3+0.00032*H165^2-0.0021*H165)+I$1*((-2*10^-6)*I165^3+0.00032*I165^2-0.0021*I165)+J$1*((-2*10^-6)*J165^3+0.00032*J165^2-0.0021*J165)+K$1*((-2*10^-6)*K165^3+0.00032*K165^2-0.0021*K165)+L$1*((-2*10^-6)*L165^3+0.00032*L165^2-0.0021*L165)</f>
        <v>0.62415840000000022</v>
      </c>
      <c r="AJ165" s="6">
        <f>(M$1*M165+N$1*N165+O$1*O165)/100</f>
        <v>0.371</v>
      </c>
      <c r="AK165" s="6">
        <f>IF(AA165&lt;50,W$1*((-2*10^-6)*W165^3+0.00032*W165^2-0.0021*W165)+X$1*((-2*10^-6)*X165^3+0.00032*X165^2-0.0021*X165)+Y$1*((-2*10^-6)*Y165^3+0.00032*Y165^2-0.0021*Y165)+Z$1*((-2*10^-6)*Z165^3+0.00032*Z165^2-0.0021*Z165),X$2*((-2*10^-6)*X165^3+0.00032*X165^2-0.0021*AA165)+Y$2*((-2*10^-6)*Y165^3+0.00032*Y165^2-0.0021*Y165)+Z$2*((-2*10^-6)*Z165^3+0.00032*Z165^2-0.0021*Z165)+ AA$2*((-2*10^-6)*AA165^3+0.00032*AA165^2-0.0021*AA165))</f>
        <v>0.61057400000000017</v>
      </c>
      <c r="AL165" s="6">
        <f>(AB$1*AB165+AC$1*AC165)/100</f>
        <v>0.71200000000000008</v>
      </c>
      <c r="AM165" s="6">
        <f>AD$1*((-2*10^-6)*AD165^3+0.00032*AD165^2-0.0021*AD165)+AE$1*((-2*10^-6)*AE165^3+0.00032*AE165^2-0.0021*AE165)+AF$1*((-2*10^-6)*AF165^3+0.00032*AF165^2-0.0021*AF165)+AG$1*((-2*10^-6)*AG165^3+0.00032*AG165^2-0.0021*AG165)</f>
        <v>0.26637460000000007</v>
      </c>
    </row>
    <row r="166" spans="1:39" ht="15" thickBot="1" x14ac:dyDescent="0.35">
      <c r="A166" s="6">
        <f>(AI166*H$3+AJ166*M$3+AK166*W$3+AL166*AB$3+AM166*AD$3)*100/(AI$5*H$3+AJ$5*M$3+AK$5*W$3+AL$5*AB$3+AM$5*AD$3)</f>
        <v>13.95048583962517</v>
      </c>
      <c r="B166" s="20">
        <v>100</v>
      </c>
      <c r="C166" s="13" t="s">
        <v>128</v>
      </c>
      <c r="D166" s="21" t="s">
        <v>16</v>
      </c>
      <c r="E166" s="21" t="s">
        <v>20</v>
      </c>
      <c r="F166" s="21" t="s">
        <v>20</v>
      </c>
      <c r="G166" s="21">
        <v>18</v>
      </c>
      <c r="H166" s="21">
        <v>22</v>
      </c>
      <c r="I166" s="21">
        <v>3</v>
      </c>
      <c r="J166" s="21">
        <v>14</v>
      </c>
      <c r="K166" s="21">
        <v>35</v>
      </c>
      <c r="L166" s="21">
        <v>18</v>
      </c>
      <c r="M166" s="21">
        <v>23</v>
      </c>
      <c r="N166" s="21">
        <v>54</v>
      </c>
      <c r="O166" s="21">
        <v>63</v>
      </c>
      <c r="P166" s="21">
        <v>50</v>
      </c>
      <c r="Q166" s="20">
        <v>100</v>
      </c>
      <c r="R166" s="13" t="s">
        <v>128</v>
      </c>
      <c r="S166" s="21" t="s">
        <v>16</v>
      </c>
      <c r="T166" s="21" t="s">
        <v>20</v>
      </c>
      <c r="U166" s="21" t="s">
        <v>20</v>
      </c>
      <c r="V166" s="21">
        <v>18</v>
      </c>
      <c r="W166" s="21">
        <v>32</v>
      </c>
      <c r="X166" s="21">
        <v>46</v>
      </c>
      <c r="Y166" s="21">
        <v>23</v>
      </c>
      <c r="Z166" s="21">
        <v>36</v>
      </c>
      <c r="AA166" s="21">
        <v>28</v>
      </c>
      <c r="AB166" s="21">
        <v>30</v>
      </c>
      <c r="AC166" s="21">
        <v>98</v>
      </c>
      <c r="AD166" s="21">
        <v>34</v>
      </c>
      <c r="AE166" s="21">
        <v>37</v>
      </c>
      <c r="AF166" s="21">
        <v>20</v>
      </c>
      <c r="AG166" s="21">
        <v>95</v>
      </c>
      <c r="AH166" s="21">
        <v>50</v>
      </c>
      <c r="AI166" s="6">
        <f>H$1*((-2*10^-6)*H166^3+0.00032*H166^2-0.0021*H166)+I$1*((-2*10^-6)*I166^3+0.00032*I166^2-0.0021*I166)+J$1*((-2*10^-6)*J166^3+0.00032*J166^2-0.0021*J166)+K$1*((-2*10^-6)*K166^3+0.00032*K166^2-0.0021*K166)+L$1*((-2*10^-6)*L166^3+0.00032*L166^2-0.0021*L166)</f>
        <v>0.40261040000000009</v>
      </c>
      <c r="AJ166" s="6">
        <f>(M$1*M166+N$1*N166+O$1*O166)/100</f>
        <v>0.40099999999999997</v>
      </c>
      <c r="AK166" s="6">
        <f>IF(AA166&lt;50,W$1*((-2*10^-6)*W166^3+0.00032*W166^2-0.0021*W166)+X$1*((-2*10^-6)*X166^3+0.00032*X166^2-0.0021*X166)+Y$1*((-2*10^-6)*Y166^3+0.00032*Y166^2-0.0021*Y166)+Z$1*((-2*10^-6)*Z166^3+0.00032*Z166^2-0.0021*Z166),X$2*((-2*10^-6)*X166^3+0.00032*X166^2-0.0021*AA166)+Y$2*((-2*10^-6)*Y166^3+0.00032*Y166^2-0.0021*Y166)+Z$2*((-2*10^-6)*Z166^3+0.00032*Z166^2-0.0021*Z166)+ AA$2*((-2*10^-6)*AA166^3+0.00032*AA166^2-0.0021*AA166))</f>
        <v>0.92324600000000023</v>
      </c>
      <c r="AL166" s="6">
        <f>(AB$1*AB166+AC$1*AC166)/100</f>
        <v>0.436</v>
      </c>
      <c r="AM166" s="6">
        <f>AD$1*((-2*10^-6)*AD166^3+0.00032*AD166^2-0.0021*AD166)+AE$1*((-2*10^-6)*AE166^3+0.00032*AE166^2-0.0021*AE166)+AF$1*((-2*10^-6)*AF166^3+0.00032*AF166^2-0.0021*AF166)+AG$1*((-2*10^-6)*AG166^3+0.00032*AG166^2-0.0021*AG166)</f>
        <v>0.35019440000000007</v>
      </c>
    </row>
    <row r="167" spans="1:39" ht="15" thickBot="1" x14ac:dyDescent="0.35">
      <c r="A167" s="6">
        <f>(AI167*H$3+AJ167*M$3+AK167*W$3+AL167*AB$3+AM167*AD$3)*100/(AI$5*H$3+AJ$5*M$3+AK$5*W$3+AL$5*AB$3+AM$5*AD$3)</f>
        <v>13.893948342236412</v>
      </c>
      <c r="B167" s="18">
        <v>115</v>
      </c>
      <c r="C167" s="12" t="s">
        <v>143</v>
      </c>
      <c r="D167" s="19" t="s">
        <v>16</v>
      </c>
      <c r="E167" s="19" t="s">
        <v>20</v>
      </c>
      <c r="F167" s="19" t="s">
        <v>20</v>
      </c>
      <c r="G167" s="19">
        <v>21</v>
      </c>
      <c r="H167" s="19">
        <v>0</v>
      </c>
      <c r="I167" s="19">
        <v>0</v>
      </c>
      <c r="J167" s="19">
        <v>0</v>
      </c>
      <c r="K167" s="19">
        <v>46</v>
      </c>
      <c r="L167" s="19">
        <v>29</v>
      </c>
      <c r="M167" s="19">
        <v>41</v>
      </c>
      <c r="N167" s="19">
        <v>29</v>
      </c>
      <c r="O167" s="19">
        <v>55</v>
      </c>
      <c r="P167" s="19">
        <v>63</v>
      </c>
      <c r="Q167" s="18">
        <v>115</v>
      </c>
      <c r="R167" s="12" t="s">
        <v>143</v>
      </c>
      <c r="S167" s="19" t="s">
        <v>16</v>
      </c>
      <c r="T167" s="19" t="s">
        <v>20</v>
      </c>
      <c r="U167" s="19" t="s">
        <v>20</v>
      </c>
      <c r="V167" s="19">
        <v>21</v>
      </c>
      <c r="W167" s="19">
        <v>41</v>
      </c>
      <c r="X167" s="19">
        <v>24</v>
      </c>
      <c r="Y167" s="19">
        <v>14</v>
      </c>
      <c r="Z167" s="19">
        <v>35</v>
      </c>
      <c r="AA167" s="19">
        <v>53</v>
      </c>
      <c r="AB167" s="19">
        <v>8</v>
      </c>
      <c r="AC167" s="19">
        <v>76</v>
      </c>
      <c r="AD167" s="19">
        <v>53</v>
      </c>
      <c r="AE167" s="19">
        <v>54</v>
      </c>
      <c r="AF167" s="19">
        <v>13</v>
      </c>
      <c r="AG167" s="19">
        <v>87</v>
      </c>
      <c r="AH167" s="19">
        <v>63</v>
      </c>
      <c r="AI167" s="6">
        <f>H$1*((-2*10^-6)*H167^3+0.00032*H167^2-0.0021*H167)+I$1*((-2*10^-6)*I167^3+0.00032*I167^2-0.0021*I167)+J$1*((-2*10^-6)*J167^3+0.00032*J167^2-0.0021*J167)+K$1*((-2*10^-6)*K167^3+0.00032*K167^2-0.0021*K167)+L$1*((-2*10^-6)*L167^3+0.00032*L167^2-0.0021*L167)</f>
        <v>0.65945080000000011</v>
      </c>
      <c r="AJ167" s="6">
        <f>(M$1*M167+N$1*N167+O$1*O167)/100</f>
        <v>0.52300000000000002</v>
      </c>
      <c r="AK167" s="6">
        <f>IF(AA167&lt;50,W$1*((-2*10^-6)*W167^3+0.00032*W167^2-0.0021*W167)+X$1*((-2*10^-6)*X167^3+0.00032*X167^2-0.0021*X167)+Y$1*((-2*10^-6)*Y167^3+0.00032*Y167^2-0.0021*Y167)+Z$1*((-2*10^-6)*Z167^3+0.00032*Z167^2-0.0021*Z167),X$2*((-2*10^-6)*X167^3+0.00032*X167^2-0.0021*AA167)+Y$2*((-2*10^-6)*Y167^3+0.00032*Y167^2-0.0021*Y167)+Z$2*((-2*10^-6)*Z167^3+0.00032*Z167^2-0.0021*Z167)+ AA$2*((-2*10^-6)*AA167^3+0.00032*AA167^2-0.0021*AA167))</f>
        <v>0.5826414000000002</v>
      </c>
      <c r="AL167" s="6">
        <f>(AB$1*AB167+AC$1*AC167)/100</f>
        <v>0.21600000000000003</v>
      </c>
      <c r="AM167" s="6">
        <f>AD$1*((-2*10^-6)*AD167^3+0.00032*AD167^2-0.0021*AD167)+AE$1*((-2*10^-6)*AE167^3+0.00032*AE167^2-0.0021*AE167)+AF$1*((-2*10^-6)*AF167^3+0.00032*AF167^2-0.0021*AF167)+AG$1*((-2*10^-6)*AG167^3+0.00032*AG167^2-0.0021*AG167)</f>
        <v>0.63478120000000016</v>
      </c>
    </row>
    <row r="168" spans="1:39" ht="15" thickBot="1" x14ac:dyDescent="0.35">
      <c r="A168" s="6">
        <f>(AI168*H$3+AJ168*M$3+AK168*W$3+AL168*AB$3+AM168*AD$3)*100/(AI$5*H$3+AJ$5*M$3+AK$5*W$3+AL$5*AB$3+AM$5*AD$3)</f>
        <v>13.762901608523078</v>
      </c>
      <c r="B168" s="20">
        <v>122</v>
      </c>
      <c r="C168" s="13" t="s">
        <v>150</v>
      </c>
      <c r="D168" s="21" t="s">
        <v>16</v>
      </c>
      <c r="E168" s="21" t="s">
        <v>21</v>
      </c>
      <c r="F168" s="21" t="s">
        <v>20</v>
      </c>
      <c r="G168" s="21">
        <v>19</v>
      </c>
      <c r="H168" s="21">
        <v>5</v>
      </c>
      <c r="I168" s="21">
        <v>2</v>
      </c>
      <c r="J168" s="21">
        <v>0</v>
      </c>
      <c r="K168" s="21">
        <v>47</v>
      </c>
      <c r="L168" s="21">
        <v>33</v>
      </c>
      <c r="M168" s="21">
        <v>39</v>
      </c>
      <c r="N168" s="21">
        <v>43</v>
      </c>
      <c r="O168" s="21">
        <v>58</v>
      </c>
      <c r="P168" s="21">
        <v>62</v>
      </c>
      <c r="Q168" s="20">
        <v>122</v>
      </c>
      <c r="R168" s="13" t="s">
        <v>150</v>
      </c>
      <c r="S168" s="21" t="s">
        <v>16</v>
      </c>
      <c r="T168" s="21" t="s">
        <v>21</v>
      </c>
      <c r="U168" s="21" t="s">
        <v>20</v>
      </c>
      <c r="V168" s="21">
        <v>19</v>
      </c>
      <c r="W168" s="21">
        <v>37</v>
      </c>
      <c r="X168" s="21">
        <v>13</v>
      </c>
      <c r="Y168" s="21">
        <v>0</v>
      </c>
      <c r="Z168" s="21">
        <v>34</v>
      </c>
      <c r="AA168" s="21">
        <v>5</v>
      </c>
      <c r="AB168" s="21">
        <v>14</v>
      </c>
      <c r="AC168" s="21">
        <v>58</v>
      </c>
      <c r="AD168" s="21">
        <v>37</v>
      </c>
      <c r="AE168" s="21">
        <v>10</v>
      </c>
      <c r="AF168" s="21">
        <v>19</v>
      </c>
      <c r="AG168" s="21">
        <v>97</v>
      </c>
      <c r="AH168" s="21">
        <v>62</v>
      </c>
      <c r="AI168" s="6">
        <f>H$1*((-2*10^-6)*H168^3+0.00032*H168^2-0.0021*H168)+I$1*((-2*10^-6)*I168^3+0.00032*I168^2-0.0021*I168)+J$1*((-2*10^-6)*J168^3+0.00032*J168^2-0.0021*J168)+K$1*((-2*10^-6)*K168^3+0.00032*K168^2-0.0021*K168)+L$1*((-2*10^-6)*L168^3+0.00032*L168^2-0.0021*L168)</f>
        <v>0.76787840000000007</v>
      </c>
      <c r="AJ168" s="6">
        <f>(M$1*M168+N$1*N168+O$1*O168)/100</f>
        <v>0.53400000000000003</v>
      </c>
      <c r="AK168" s="6">
        <f>IF(AA168&lt;50,W$1*((-2*10^-6)*W168^3+0.00032*W168^2-0.0021*W168)+X$1*((-2*10^-6)*X168^3+0.00032*X168^2-0.0021*X168)+Y$1*((-2*10^-6)*Y168^3+0.00032*Y168^2-0.0021*Y168)+Z$1*((-2*10^-6)*Z168^3+0.00032*Z168^2-0.0021*Z168),X$2*((-2*10^-6)*X168^3+0.00032*X168^2-0.0021*AA168)+Y$2*((-2*10^-6)*Y168^3+0.00032*Y168^2-0.0021*Y168)+Z$2*((-2*10^-6)*Z168^3+0.00032*Z168^2-0.0021*Z168)+ AA$2*((-2*10^-6)*AA168^3+0.00032*AA168^2-0.0021*AA168))</f>
        <v>0.50137200000000004</v>
      </c>
      <c r="AL168" s="6">
        <f>(AB$1*AB168+AC$1*AC168)/100</f>
        <v>0.22800000000000004</v>
      </c>
      <c r="AM168" s="6">
        <f>AD$1*((-2*10^-6)*AD168^3+0.00032*AD168^2-0.0021*AD168)+AE$1*((-2*10^-6)*AE168^3+0.00032*AE168^2-0.0021*AE168)+AF$1*((-2*10^-6)*AF168^3+0.00032*AF168^2-0.0021*AF168)+AG$1*((-2*10^-6)*AG168^3+0.00032*AG168^2-0.0021*AG168)</f>
        <v>0.36434760000000005</v>
      </c>
    </row>
    <row r="169" spans="1:39" ht="15" thickBot="1" x14ac:dyDescent="0.35">
      <c r="A169" s="6">
        <f>(AI169*H$3+AJ169*M$3+AK169*W$3+AL169*AB$3+AM169*AD$3)*100/(AI$5*H$3+AJ$5*M$3+AK$5*W$3+AL$5*AB$3+AM$5*AD$3)</f>
        <v>13.745751141484373</v>
      </c>
      <c r="B169" s="18">
        <v>37</v>
      </c>
      <c r="C169" s="12" t="s">
        <v>65</v>
      </c>
      <c r="D169" s="19" t="s">
        <v>16</v>
      </c>
      <c r="E169" s="19" t="s">
        <v>20</v>
      </c>
      <c r="F169" s="19" t="s">
        <v>20</v>
      </c>
      <c r="G169" s="19">
        <v>18</v>
      </c>
      <c r="H169" s="19">
        <v>26</v>
      </c>
      <c r="I169" s="19">
        <v>5</v>
      </c>
      <c r="J169" s="19">
        <v>16</v>
      </c>
      <c r="K169" s="19">
        <v>40</v>
      </c>
      <c r="L169" s="19">
        <v>25</v>
      </c>
      <c r="M169" s="19">
        <v>16</v>
      </c>
      <c r="N169" s="19">
        <v>82</v>
      </c>
      <c r="O169" s="19">
        <v>78</v>
      </c>
      <c r="P169" s="19">
        <v>64</v>
      </c>
      <c r="Q169" s="18">
        <v>37</v>
      </c>
      <c r="R169" s="12" t="s">
        <v>65</v>
      </c>
      <c r="S169" s="19" t="s">
        <v>16</v>
      </c>
      <c r="T169" s="19" t="s">
        <v>20</v>
      </c>
      <c r="U169" s="19" t="s">
        <v>20</v>
      </c>
      <c r="V169" s="19">
        <v>18</v>
      </c>
      <c r="W169" s="19">
        <v>35</v>
      </c>
      <c r="X169" s="19">
        <v>30</v>
      </c>
      <c r="Y169" s="19">
        <v>16</v>
      </c>
      <c r="Z169" s="19">
        <v>29</v>
      </c>
      <c r="AA169" s="19">
        <v>15</v>
      </c>
      <c r="AB169" s="19">
        <v>36</v>
      </c>
      <c r="AC169" s="19">
        <v>98</v>
      </c>
      <c r="AD169" s="19">
        <v>19</v>
      </c>
      <c r="AE169" s="19">
        <v>46</v>
      </c>
      <c r="AF169" s="19">
        <v>64</v>
      </c>
      <c r="AG169" s="19">
        <v>80</v>
      </c>
      <c r="AH169" s="19">
        <v>64</v>
      </c>
      <c r="AI169" s="6">
        <f>H$1*((-2*10^-6)*H169^3+0.00032*H169^2-0.0021*H169)+I$1*((-2*10^-6)*I169^3+0.00032*I169^2-0.0021*I169)+J$1*((-2*10^-6)*J169^3+0.00032*J169^2-0.0021*J169)+K$1*((-2*10^-6)*K169^3+0.00032*K169^2-0.0021*K169)+L$1*((-2*10^-6)*L169^3+0.00032*L169^2-0.0021*L169)</f>
        <v>0.6408948000000001</v>
      </c>
      <c r="AJ169" s="6">
        <f>(M$1*M169+N$1*N169+O$1*O169)/100</f>
        <v>0.40200000000000002</v>
      </c>
      <c r="AK169" s="6">
        <f>IF(AA169&lt;50,W$1*((-2*10^-6)*W169^3+0.00032*W169^2-0.0021*W169)+X$1*((-2*10^-6)*X169^3+0.00032*X169^2-0.0021*X169)+Y$1*((-2*10^-6)*Y169^3+0.00032*Y169^2-0.0021*Y169)+Z$1*((-2*10^-6)*Z169^3+0.00032*Z169^2-0.0021*Z169),X$2*((-2*10^-6)*X169^3+0.00032*X169^2-0.0021*AA169)+Y$2*((-2*10^-6)*Y169^3+0.00032*Y169^2-0.0021*Y169)+Z$2*((-2*10^-6)*Z169^3+0.00032*Z169^2-0.0021*Z169)+ AA$2*((-2*10^-6)*AA169^3+0.00032*AA169^2-0.0021*AA169))</f>
        <v>0.60332000000000008</v>
      </c>
      <c r="AL169" s="6">
        <f>(AB$1*AB169+AC$1*AC169)/100</f>
        <v>0.48400000000000004</v>
      </c>
      <c r="AM169" s="6">
        <f>AD$1*((-2*10^-6)*AD169^3+0.00032*AD169^2-0.0021*AD169)+AE$1*((-2*10^-6)*AE169^3+0.00032*AE169^2-0.0021*AE169)+AF$1*((-2*10^-6)*AF169^3+0.00032*AF169^2-0.0021*AF169)+AG$1*((-2*10^-6)*AG169^3+0.00032*AG169^2-0.0021*AG169)</f>
        <v>0.25129000000000007</v>
      </c>
    </row>
    <row r="170" spans="1:39" ht="15" thickBot="1" x14ac:dyDescent="0.35">
      <c r="A170" s="6">
        <f>(AI170*H$3+AJ170*M$3+AK170*W$3+AL170*AB$3+AM170*AD$3)*100/(AI$5*H$3+AJ$5*M$3+AK$5*W$3+AL$5*AB$3+AM$5*AD$3)</f>
        <v>13.71120385568056</v>
      </c>
      <c r="B170" s="20">
        <v>6</v>
      </c>
      <c r="C170" s="13" t="s">
        <v>34</v>
      </c>
      <c r="D170" s="21" t="s">
        <v>16</v>
      </c>
      <c r="E170" s="21" t="s">
        <v>19</v>
      </c>
      <c r="F170" s="21" t="s">
        <v>19</v>
      </c>
      <c r="G170" s="21">
        <v>18</v>
      </c>
      <c r="H170" s="21">
        <v>20</v>
      </c>
      <c r="I170" s="21">
        <v>0</v>
      </c>
      <c r="J170" s="21">
        <v>31</v>
      </c>
      <c r="K170" s="21">
        <v>23</v>
      </c>
      <c r="L170" s="21">
        <v>16</v>
      </c>
      <c r="M170" s="21">
        <v>21</v>
      </c>
      <c r="N170" s="21">
        <v>60</v>
      </c>
      <c r="O170" s="21">
        <v>69</v>
      </c>
      <c r="P170" s="21">
        <v>79</v>
      </c>
      <c r="Q170" s="20">
        <v>6</v>
      </c>
      <c r="R170" s="13" t="s">
        <v>34</v>
      </c>
      <c r="S170" s="21" t="s">
        <v>16</v>
      </c>
      <c r="T170" s="21" t="s">
        <v>19</v>
      </c>
      <c r="U170" s="21" t="s">
        <v>19</v>
      </c>
      <c r="V170" s="21">
        <v>18</v>
      </c>
      <c r="W170" s="21">
        <v>6</v>
      </c>
      <c r="X170" s="21">
        <v>20</v>
      </c>
      <c r="Y170" s="21">
        <v>26</v>
      </c>
      <c r="Z170" s="21">
        <v>72</v>
      </c>
      <c r="AA170" s="21">
        <v>22</v>
      </c>
      <c r="AB170" s="21">
        <v>32</v>
      </c>
      <c r="AC170" s="21">
        <v>100</v>
      </c>
      <c r="AD170" s="21">
        <v>36</v>
      </c>
      <c r="AE170" s="21">
        <v>16</v>
      </c>
      <c r="AF170" s="21">
        <v>39</v>
      </c>
      <c r="AG170" s="21">
        <v>62</v>
      </c>
      <c r="AH170" s="21">
        <v>79</v>
      </c>
      <c r="AI170" s="6">
        <f>H$1*((-2*10^-6)*H170^3+0.00032*H170^2-0.0021*H170)+I$1*((-2*10^-6)*I170^3+0.00032*I170^2-0.0021*I170)+J$1*((-2*10^-6)*J170^3+0.00032*J170^2-0.0021*J170)+K$1*((-2*10^-6)*K170^3+0.00032*K170^2-0.0021*K170)+L$1*((-2*10^-6)*L170^3+0.00032*L170^2-0.0021*L170)</f>
        <v>0.34530120000000003</v>
      </c>
      <c r="AJ170" s="6">
        <f>(M$1*M170+N$1*N170+O$1*O170)/100</f>
        <v>0.39899999999999997</v>
      </c>
      <c r="AK170" s="6">
        <f>IF(AA170&lt;50,W$1*((-2*10^-6)*W170^3+0.00032*W170^2-0.0021*W170)+X$1*((-2*10^-6)*X170^3+0.00032*X170^2-0.0021*X170)+Y$1*((-2*10^-6)*Y170^3+0.00032*Y170^2-0.0021*Y170)+Z$1*((-2*10^-6)*Z170^3+0.00032*Z170^2-0.0021*Z170),X$2*((-2*10^-6)*X170^3+0.00032*X170^2-0.0021*AA170)+Y$2*((-2*10^-6)*Y170^3+0.00032*Y170^2-0.0021*Y170)+Z$2*((-2*10^-6)*Z170^3+0.00032*Z170^2-0.0021*Z170)+ AA$2*((-2*10^-6)*AA170^3+0.00032*AA170^2-0.0021*AA170))</f>
        <v>0.9562400000000002</v>
      </c>
      <c r="AL170" s="6">
        <f>(AB$1*AB170+AC$1*AC170)/100</f>
        <v>0.45600000000000002</v>
      </c>
      <c r="AM170" s="6">
        <f>AD$1*((-2*10^-6)*AD170^3+0.00032*AD170^2-0.0021*AD170)+AE$1*((-2*10^-6)*AE170^3+0.00032*AE170^2-0.0021*AE170)+AF$1*((-2*10^-6)*AF170^3+0.00032*AF170^2-0.0021*AF170)+AG$1*((-2*10^-6)*AG170^3+0.00032*AG170^2-0.0021*AG170)</f>
        <v>0.34076140000000005</v>
      </c>
    </row>
    <row r="171" spans="1:39" ht="15" thickBot="1" x14ac:dyDescent="0.35">
      <c r="A171" s="6">
        <f>(AI171*H$3+AJ171*M$3+AK171*W$3+AL171*AB$3+AM171*AD$3)*100/(AI$5*H$3+AJ$5*M$3+AK$5*W$3+AL$5*AB$3+AM$5*AD$3)</f>
        <v>13.612518726312331</v>
      </c>
      <c r="B171" s="18">
        <v>19</v>
      </c>
      <c r="C171" s="12" t="s">
        <v>47</v>
      </c>
      <c r="D171" s="19" t="s">
        <v>16</v>
      </c>
      <c r="E171" s="19" t="s">
        <v>19</v>
      </c>
      <c r="F171" s="19" t="s">
        <v>19</v>
      </c>
      <c r="G171" s="19">
        <v>18</v>
      </c>
      <c r="H171" s="19">
        <v>27</v>
      </c>
      <c r="I171" s="19">
        <v>8</v>
      </c>
      <c r="J171" s="19">
        <v>27</v>
      </c>
      <c r="K171" s="19">
        <v>17</v>
      </c>
      <c r="L171" s="19">
        <v>15</v>
      </c>
      <c r="M171" s="19">
        <v>13</v>
      </c>
      <c r="N171" s="19">
        <v>83</v>
      </c>
      <c r="O171" s="19">
        <v>69</v>
      </c>
      <c r="P171" s="19">
        <v>71</v>
      </c>
      <c r="Q171" s="18">
        <v>19</v>
      </c>
      <c r="R171" s="12" t="s">
        <v>47</v>
      </c>
      <c r="S171" s="19" t="s">
        <v>16</v>
      </c>
      <c r="T171" s="19" t="s">
        <v>19</v>
      </c>
      <c r="U171" s="19" t="s">
        <v>19</v>
      </c>
      <c r="V171" s="19">
        <v>18</v>
      </c>
      <c r="W171" s="19">
        <v>18</v>
      </c>
      <c r="X171" s="19">
        <v>16</v>
      </c>
      <c r="Y171" s="19">
        <v>69</v>
      </c>
      <c r="Z171" s="19">
        <v>22</v>
      </c>
      <c r="AA171" s="19">
        <v>7</v>
      </c>
      <c r="AB171" s="19">
        <v>31</v>
      </c>
      <c r="AC171" s="19">
        <v>47</v>
      </c>
      <c r="AD171" s="19">
        <v>59</v>
      </c>
      <c r="AE171" s="19">
        <v>61</v>
      </c>
      <c r="AF171" s="19">
        <v>6</v>
      </c>
      <c r="AG171" s="19">
        <v>88</v>
      </c>
      <c r="AH171" s="19">
        <v>71</v>
      </c>
      <c r="AI171" s="6">
        <f>H$1*((-2*10^-6)*H171^3+0.00032*H171^2-0.0021*H171)+I$1*((-2*10^-6)*I171^3+0.00032*I171^2-0.0021*I171)+J$1*((-2*10^-6)*J171^3+0.00032*J171^2-0.0021*J171)+K$1*((-2*10^-6)*K171^3+0.00032*K171^2-0.0021*K171)+L$1*((-2*10^-6)*L171^3+0.00032*L171^2-0.0021*L171)</f>
        <v>0.33666760000000007</v>
      </c>
      <c r="AJ171" s="6">
        <f>(M$1*M171+N$1*N171+O$1*O171)/100</f>
        <v>0.36499999999999999</v>
      </c>
      <c r="AK171" s="6">
        <f>IF(AA171&lt;50,W$1*((-2*10^-6)*W171^3+0.00032*W171^2-0.0021*W171)+X$1*((-2*10^-6)*X171^3+0.00032*X171^2-0.0021*X171)+Y$1*((-2*10^-6)*Y171^3+0.00032*Y171^2-0.0021*Y171)+Z$1*((-2*10^-6)*Z171^3+0.00032*Z171^2-0.0021*Z171),X$2*((-2*10^-6)*X171^3+0.00032*X171^2-0.0021*AA171)+Y$2*((-2*10^-6)*Y171^3+0.00032*Y171^2-0.0021*Y171)+Z$2*((-2*10^-6)*Z171^3+0.00032*Z171^2-0.0021*Z171)+ AA$2*((-2*10^-6)*AA171^3+0.00032*AA171^2-0.0021*AA171))</f>
        <v>0.90333000000000019</v>
      </c>
      <c r="AL171" s="6">
        <f>(AB$1*AB171+AC$1*AC171)/100</f>
        <v>0.34200000000000003</v>
      </c>
      <c r="AM171" s="6">
        <f>AD$1*((-2*10^-6)*AD171^3+0.00032*AD171^2-0.0021*AD171)+AE$1*((-2*10^-6)*AE171^3+0.00032*AE171^2-0.0021*AE171)+AF$1*((-2*10^-6)*AF171^3+0.00032*AF171^2-0.0021*AF171)+AG$1*((-2*10^-6)*AG171^3+0.00032*AG171^2-0.0021*AG171)</f>
        <v>0.73301020000000006</v>
      </c>
    </row>
    <row r="172" spans="1:39" ht="15" thickBot="1" x14ac:dyDescent="0.35">
      <c r="A172" s="6">
        <f>(AI172*H$3+AJ172*M$3+AK172*W$3+AL172*AB$3+AM172*AD$3)*100/(AI$5*H$3+AJ$5*M$3+AK$5*W$3+AL$5*AB$3+AM$5*AD$3)</f>
        <v>13.507382792682559</v>
      </c>
      <c r="B172" s="18">
        <v>137</v>
      </c>
      <c r="C172" s="12" t="s">
        <v>165</v>
      </c>
      <c r="D172" s="19" t="s">
        <v>16</v>
      </c>
      <c r="E172" s="19" t="s">
        <v>19</v>
      </c>
      <c r="F172" s="19" t="s">
        <v>19</v>
      </c>
      <c r="G172" s="19">
        <v>18</v>
      </c>
      <c r="H172" s="19">
        <v>22</v>
      </c>
      <c r="I172" s="19">
        <v>9</v>
      </c>
      <c r="J172" s="19">
        <v>38</v>
      </c>
      <c r="K172" s="19">
        <v>25</v>
      </c>
      <c r="L172" s="19">
        <v>31</v>
      </c>
      <c r="M172" s="19">
        <v>17</v>
      </c>
      <c r="N172" s="19">
        <v>88</v>
      </c>
      <c r="O172" s="19">
        <v>74</v>
      </c>
      <c r="P172" s="19">
        <v>44</v>
      </c>
      <c r="Q172" s="18">
        <v>137</v>
      </c>
      <c r="R172" s="12" t="s">
        <v>165</v>
      </c>
      <c r="S172" s="19" t="s">
        <v>16</v>
      </c>
      <c r="T172" s="19" t="s">
        <v>19</v>
      </c>
      <c r="U172" s="19" t="s">
        <v>19</v>
      </c>
      <c r="V172" s="19">
        <v>18</v>
      </c>
      <c r="W172" s="19">
        <v>0</v>
      </c>
      <c r="X172" s="19">
        <v>7</v>
      </c>
      <c r="Y172" s="19">
        <v>31</v>
      </c>
      <c r="Z172" s="19">
        <v>22</v>
      </c>
      <c r="AA172" s="19">
        <v>32</v>
      </c>
      <c r="AB172" s="19">
        <v>34</v>
      </c>
      <c r="AC172" s="19">
        <v>96</v>
      </c>
      <c r="AD172" s="19">
        <v>61</v>
      </c>
      <c r="AE172" s="19">
        <v>67</v>
      </c>
      <c r="AF172" s="19">
        <v>44</v>
      </c>
      <c r="AG172" s="19">
        <v>68</v>
      </c>
      <c r="AH172" s="19">
        <v>44</v>
      </c>
      <c r="AI172" s="6">
        <f>H$1*((-2*10^-6)*H172^3+0.00032*H172^2-0.0021*H172)+I$1*((-2*10^-6)*I172^3+0.00032*I172^2-0.0021*I172)+J$1*((-2*10^-6)*J172^3+0.00032*J172^2-0.0021*J172)+K$1*((-2*10^-6)*K172^3+0.00032*K172^2-0.0021*K172)+L$1*((-2*10^-6)*L172^3+0.00032*L172^2-0.0021*L172)</f>
        <v>0.7572732000000002</v>
      </c>
      <c r="AJ172" s="6">
        <f>(M$1*M172+N$1*N172+O$1*O172)/100</f>
        <v>0.42</v>
      </c>
      <c r="AK172" s="6">
        <f>IF(AA172&lt;50,W$1*((-2*10^-6)*W172^3+0.00032*W172^2-0.0021*W172)+X$1*((-2*10^-6)*X172^3+0.00032*X172^2-0.0021*X172)+Y$1*((-2*10^-6)*Y172^3+0.00032*Y172^2-0.0021*Y172)+Z$1*((-2*10^-6)*Z172^3+0.00032*Z172^2-0.0021*Z172),X$2*((-2*10^-6)*X172^3+0.00032*X172^2-0.0021*AA172)+Y$2*((-2*10^-6)*Y172^3+0.00032*Y172^2-0.0021*Y172)+Z$2*((-2*10^-6)*Z172^3+0.00032*Z172^2-0.0021*Z172)+ AA$2*((-2*10^-6)*AA172^3+0.00032*AA172^2-0.0021*AA172))</f>
        <v>0.27051600000000009</v>
      </c>
      <c r="AL172" s="6">
        <f>(AB$1*AB172+AC$1*AC172)/100</f>
        <v>0.46400000000000008</v>
      </c>
      <c r="AM172" s="6">
        <f>AD$1*((-2*10^-6)*AD172^3+0.00032*AD172^2-0.0021*AD172)+AE$1*((-2*10^-6)*AE172^3+0.00032*AE172^2-0.0021*AE172)+AF$1*((-2*10^-6)*AF172^3+0.00032*AF172^2-0.0021*AF172)+AG$1*((-2*10^-6)*AG172^3+0.00032*AG172^2-0.0021*AG172)</f>
        <v>0.78456020000000004</v>
      </c>
    </row>
    <row r="173" spans="1:39" ht="15" thickBot="1" x14ac:dyDescent="0.35">
      <c r="A173" s="6">
        <f>(AI173*H$3+AJ173*M$3+AK173*W$3+AL173*AB$3+AM173*AD$3)*100/(AI$5*H$3+AJ$5*M$3+AK$5*W$3+AL$5*AB$3+AM$5*AD$3)</f>
        <v>13.396426333223904</v>
      </c>
      <c r="B173" s="20">
        <v>154</v>
      </c>
      <c r="C173" s="13" t="s">
        <v>182</v>
      </c>
      <c r="D173" s="21" t="s">
        <v>16</v>
      </c>
      <c r="E173" s="21" t="s">
        <v>21</v>
      </c>
      <c r="F173" s="21" t="s">
        <v>19</v>
      </c>
      <c r="G173" s="21">
        <v>18</v>
      </c>
      <c r="H173" s="21">
        <v>17</v>
      </c>
      <c r="I173" s="21">
        <v>13</v>
      </c>
      <c r="J173" s="21">
        <v>26</v>
      </c>
      <c r="K173" s="21">
        <v>6</v>
      </c>
      <c r="L173" s="21">
        <v>5</v>
      </c>
      <c r="M173" s="21">
        <v>0</v>
      </c>
      <c r="N173" s="21">
        <v>54</v>
      </c>
      <c r="O173" s="21">
        <v>52</v>
      </c>
      <c r="P173" s="21">
        <v>40</v>
      </c>
      <c r="Q173" s="20">
        <v>154</v>
      </c>
      <c r="R173" s="13" t="s">
        <v>182</v>
      </c>
      <c r="S173" s="21" t="s">
        <v>16</v>
      </c>
      <c r="T173" s="21" t="s">
        <v>21</v>
      </c>
      <c r="U173" s="21" t="s">
        <v>19</v>
      </c>
      <c r="V173" s="21">
        <v>18</v>
      </c>
      <c r="W173" s="21">
        <v>3</v>
      </c>
      <c r="X173" s="21">
        <v>46</v>
      </c>
      <c r="Y173" s="21">
        <v>59</v>
      </c>
      <c r="Z173" s="21">
        <v>23</v>
      </c>
      <c r="AA173" s="21">
        <v>24</v>
      </c>
      <c r="AB173" s="21">
        <v>87</v>
      </c>
      <c r="AC173" s="21">
        <v>65</v>
      </c>
      <c r="AD173" s="21">
        <v>24</v>
      </c>
      <c r="AE173" s="21">
        <v>46</v>
      </c>
      <c r="AF173" s="21">
        <v>28</v>
      </c>
      <c r="AG173" s="21">
        <v>88</v>
      </c>
      <c r="AH173" s="21">
        <v>40</v>
      </c>
      <c r="AI173" s="6">
        <f>H$1*((-2*10^-6)*H173^3+0.00032*H173^2-0.0021*H173)+I$1*((-2*10^-6)*I173^3+0.00032*I173^2-0.0021*I173)+J$1*((-2*10^-6)*J173^3+0.00032*J173^2-0.0021*J173)+K$1*((-2*10^-6)*K173^3+0.00032*K173^2-0.0021*K173)+L$1*((-2*10^-6)*L173^3+0.00032*L173^2-0.0021*L173)</f>
        <v>0.1604072</v>
      </c>
      <c r="AJ173" s="6">
        <f>(M$1*M173+N$1*N173+O$1*O173)/100</f>
        <v>0.16</v>
      </c>
      <c r="AK173" s="6">
        <f>IF(AA173&lt;50,W$1*((-2*10^-6)*W173^3+0.00032*W173^2-0.0021*W173)+X$1*((-2*10^-6)*X173^3+0.00032*X173^2-0.0021*X173)+Y$1*((-2*10^-6)*Y173^3+0.00032*Y173^2-0.0021*Y173)+Z$1*((-2*10^-6)*Z173^3+0.00032*Z173^2-0.0021*Z173),X$2*((-2*10^-6)*X173^3+0.00032*X173^2-0.0021*AA173)+Y$2*((-2*10^-6)*Y173^3+0.00032*Y173^2-0.0021*Y173)+Z$2*((-2*10^-6)*Z173^3+0.00032*Z173^2-0.0021*Z173)+ AA$2*((-2*10^-6)*AA173^3+0.00032*AA173^2-0.0021*AA173))</f>
        <v>1.0582820000000002</v>
      </c>
      <c r="AL173" s="6">
        <f>(AB$1*AB173+AC$1*AC173)/100</f>
        <v>0.82600000000000007</v>
      </c>
      <c r="AM173" s="6">
        <f>AD$1*((-2*10^-6)*AD173^3+0.00032*AD173^2-0.0021*AD173)+AE$1*((-2*10^-6)*AE173^3+0.00032*AE173^2-0.0021*AE173)+AF$1*((-2*10^-6)*AF173^3+0.00032*AF173^2-0.0021*AF173)+AG$1*((-2*10^-6)*AG173^3+0.00032*AG173^2-0.0021*AG173)</f>
        <v>0.25270800000000004</v>
      </c>
    </row>
    <row r="174" spans="1:39" ht="15" thickBot="1" x14ac:dyDescent="0.35">
      <c r="A174" s="6">
        <f>(AI174*H$3+AJ174*M$3+AK174*W$3+AL174*AB$3+AM174*AD$3)*100/(AI$5*H$3+AJ$5*M$3+AK$5*W$3+AL$5*AB$3+AM$5*AD$3)</f>
        <v>13.391150437195975</v>
      </c>
      <c r="B174" s="18">
        <v>135</v>
      </c>
      <c r="C174" s="12" t="s">
        <v>163</v>
      </c>
      <c r="D174" s="19" t="s">
        <v>16</v>
      </c>
      <c r="E174" s="19" t="s">
        <v>20</v>
      </c>
      <c r="F174" s="19" t="s">
        <v>20</v>
      </c>
      <c r="G174" s="19">
        <v>18</v>
      </c>
      <c r="H174" s="19">
        <v>26</v>
      </c>
      <c r="I174" s="19">
        <v>0</v>
      </c>
      <c r="J174" s="19">
        <v>15</v>
      </c>
      <c r="K174" s="19">
        <v>29</v>
      </c>
      <c r="L174" s="19">
        <v>12</v>
      </c>
      <c r="M174" s="19">
        <v>16</v>
      </c>
      <c r="N174" s="19">
        <v>68</v>
      </c>
      <c r="O174" s="19">
        <v>52</v>
      </c>
      <c r="P174" s="19">
        <v>44</v>
      </c>
      <c r="Q174" s="18">
        <v>135</v>
      </c>
      <c r="R174" s="12" t="s">
        <v>163</v>
      </c>
      <c r="S174" s="19" t="s">
        <v>16</v>
      </c>
      <c r="T174" s="19" t="s">
        <v>20</v>
      </c>
      <c r="U174" s="19" t="s">
        <v>20</v>
      </c>
      <c r="V174" s="19">
        <v>18</v>
      </c>
      <c r="W174" s="19">
        <v>0</v>
      </c>
      <c r="X174" s="19">
        <v>7</v>
      </c>
      <c r="Y174" s="19">
        <v>18</v>
      </c>
      <c r="Z174" s="19">
        <v>81</v>
      </c>
      <c r="AA174" s="19">
        <v>17</v>
      </c>
      <c r="AB174" s="19">
        <v>33</v>
      </c>
      <c r="AC174" s="19">
        <v>77</v>
      </c>
      <c r="AD174" s="19">
        <v>48</v>
      </c>
      <c r="AE174" s="19">
        <v>46</v>
      </c>
      <c r="AF174" s="19">
        <v>54</v>
      </c>
      <c r="AG174" s="19">
        <v>61</v>
      </c>
      <c r="AH174" s="19">
        <v>44</v>
      </c>
      <c r="AI174" s="6">
        <f>H$1*((-2*10^-6)*H174^3+0.00032*H174^2-0.0021*H174)+I$1*((-2*10^-6)*I174^3+0.00032*I174^2-0.0021*I174)+J$1*((-2*10^-6)*J174^3+0.00032*J174^2-0.0021*J174)+K$1*((-2*10^-6)*K174^3+0.00032*K174^2-0.0021*K174)+L$1*((-2*10^-6)*L174^3+0.00032*L174^2-0.0021*L174)</f>
        <v>0.31270440000000005</v>
      </c>
      <c r="AJ174" s="6">
        <f>(M$1*M174+N$1*N174+O$1*O174)/100</f>
        <v>0.34800000000000003</v>
      </c>
      <c r="AK174" s="6">
        <f>IF(AA174&lt;50,W$1*((-2*10^-6)*W174^3+0.00032*W174^2-0.0021*W174)+X$1*((-2*10^-6)*X174^3+0.00032*X174^2-0.0021*X174)+Y$1*((-2*10^-6)*Y174^3+0.00032*Y174^2-0.0021*Y174)+Z$1*((-2*10^-6)*Z174^3+0.00032*Z174^2-0.0021*Z174),X$2*((-2*10^-6)*X174^3+0.00032*X174^2-0.0021*AA174)+Y$2*((-2*10^-6)*Y174^3+0.00032*Y174^2-0.0021*Y174)+Z$2*((-2*10^-6)*Z174^3+0.00032*Z174^2-0.0021*Z174)+ AA$2*((-2*10^-6)*AA174^3+0.00032*AA174^2-0.0021*AA174))</f>
        <v>0.9210480000000002</v>
      </c>
      <c r="AL174" s="6">
        <f>(AB$1*AB174+AC$1*AC174)/100</f>
        <v>0.41800000000000004</v>
      </c>
      <c r="AM174" s="6">
        <f>AD$1*((-2*10^-6)*AD174^3+0.00032*AD174^2-0.0021*AD174)+AE$1*((-2*10^-6)*AE174^3+0.00032*AE174^2-0.0021*AE174)+AF$1*((-2*10^-6)*AF174^3+0.00032*AF174^2-0.0021*AF174)+AG$1*((-2*10^-6)*AG174^3+0.00032*AG174^2-0.0021*AG174)</f>
        <v>0.56522580000000011</v>
      </c>
    </row>
    <row r="175" spans="1:39" ht="15" thickBot="1" x14ac:dyDescent="0.35">
      <c r="A175" s="6">
        <f>(AI175*H$3+AJ175*M$3+AK175*W$3+AL175*AB$3+AM175*AD$3)*100/(AI$5*H$3+AJ$5*M$3+AK$5*W$3+AL$5*AB$3+AM$5*AD$3)</f>
        <v>13.364551463785842</v>
      </c>
      <c r="B175" s="18">
        <v>79</v>
      </c>
      <c r="C175" s="12" t="s">
        <v>107</v>
      </c>
      <c r="D175" s="19" t="s">
        <v>16</v>
      </c>
      <c r="E175" s="19" t="s">
        <v>21</v>
      </c>
      <c r="F175" s="19" t="s">
        <v>19</v>
      </c>
      <c r="G175" s="19">
        <v>18</v>
      </c>
      <c r="H175" s="19">
        <v>34</v>
      </c>
      <c r="I175" s="19">
        <v>7</v>
      </c>
      <c r="J175" s="19">
        <v>31</v>
      </c>
      <c r="K175" s="19">
        <v>13</v>
      </c>
      <c r="L175" s="19">
        <v>24</v>
      </c>
      <c r="M175" s="19">
        <v>20</v>
      </c>
      <c r="N175" s="19">
        <v>69</v>
      </c>
      <c r="O175" s="19">
        <v>66</v>
      </c>
      <c r="P175" s="19">
        <v>55</v>
      </c>
      <c r="Q175" s="18">
        <v>79</v>
      </c>
      <c r="R175" s="12" t="s">
        <v>107</v>
      </c>
      <c r="S175" s="19" t="s">
        <v>16</v>
      </c>
      <c r="T175" s="19" t="s">
        <v>21</v>
      </c>
      <c r="U175" s="19" t="s">
        <v>19</v>
      </c>
      <c r="V175" s="19">
        <v>18</v>
      </c>
      <c r="W175" s="19">
        <v>27</v>
      </c>
      <c r="X175" s="19">
        <v>37</v>
      </c>
      <c r="Y175" s="19">
        <v>26</v>
      </c>
      <c r="Z175" s="19">
        <v>22</v>
      </c>
      <c r="AA175" s="19">
        <v>27</v>
      </c>
      <c r="AB175" s="19">
        <v>39</v>
      </c>
      <c r="AC175" s="19">
        <v>89</v>
      </c>
      <c r="AD175" s="19">
        <v>23</v>
      </c>
      <c r="AE175" s="19">
        <v>72</v>
      </c>
      <c r="AF175" s="19">
        <v>33</v>
      </c>
      <c r="AG175" s="19">
        <v>97</v>
      </c>
      <c r="AH175" s="19">
        <v>55</v>
      </c>
      <c r="AI175" s="6">
        <f>H$1*((-2*10^-6)*H175^3+0.00032*H175^2-0.0021*H175)+I$1*((-2*10^-6)*I175^3+0.00032*I175^2-0.0021*I175)+J$1*((-2*10^-6)*J175^3+0.00032*J175^2-0.0021*J175)+K$1*((-2*10^-6)*K175^3+0.00032*K175^2-0.0021*K175)+L$1*((-2*10^-6)*L175^3+0.00032*L175^2-0.0021*L175)</f>
        <v>0.58191000000000004</v>
      </c>
      <c r="AJ175" s="6">
        <f>(M$1*M175+N$1*N175+O$1*O175)/100</f>
        <v>0.40399999999999997</v>
      </c>
      <c r="AK175" s="6">
        <f>IF(AA175&lt;50,W$1*((-2*10^-6)*W175^3+0.00032*W175^2-0.0021*W175)+X$1*((-2*10^-6)*X175^3+0.00032*X175^2-0.0021*X175)+Y$1*((-2*10^-6)*Y175^3+0.00032*Y175^2-0.0021*Y175)+Z$1*((-2*10^-6)*Z175^3+0.00032*Z175^2-0.0021*Z175),X$2*((-2*10^-6)*X175^3+0.00032*X175^2-0.0021*AA175)+Y$2*((-2*10^-6)*Y175^3+0.00032*Y175^2-0.0021*Y175)+Z$2*((-2*10^-6)*Z175^3+0.00032*Z175^2-0.0021*Z175)+ AA$2*((-2*10^-6)*AA175^3+0.00032*AA175^2-0.0021*AA175))</f>
        <v>0.61024000000000012</v>
      </c>
      <c r="AL175" s="6">
        <f>(AB$1*AB175+AC$1*AC175)/100</f>
        <v>0.49</v>
      </c>
      <c r="AM175" s="6">
        <f>AD$1*((-2*10^-6)*AD175^3+0.00032*AD175^2-0.0021*AD175)+AE$1*((-2*10^-6)*AE175^3+0.00032*AE175^2-0.0021*AE175)+AF$1*((-2*10^-6)*AF175^3+0.00032*AF175^2-0.0021*AF175)+AG$1*((-2*10^-6)*AG175^3+0.00032*AG175^2-0.0021*AG175)</f>
        <v>0.29167840000000006</v>
      </c>
    </row>
    <row r="176" spans="1:39" ht="15" thickBot="1" x14ac:dyDescent="0.35">
      <c r="A176" s="6">
        <f>(AI176*H$3+AJ176*M$3+AK176*W$3+AL176*AB$3+AM176*AD$3)*100/(AI$5*H$3+AJ$5*M$3+AK$5*W$3+AL$5*AB$3+AM$5*AD$3)</f>
        <v>13.307043331642241</v>
      </c>
      <c r="B176" s="20">
        <v>166</v>
      </c>
      <c r="C176" s="13" t="s">
        <v>194</v>
      </c>
      <c r="D176" s="21" t="s">
        <v>16</v>
      </c>
      <c r="E176" s="21" t="s">
        <v>19</v>
      </c>
      <c r="F176" s="21" t="s">
        <v>19</v>
      </c>
      <c r="G176" s="21">
        <v>18</v>
      </c>
      <c r="H176" s="21">
        <v>22</v>
      </c>
      <c r="I176" s="21">
        <v>4</v>
      </c>
      <c r="J176" s="21">
        <v>24</v>
      </c>
      <c r="K176" s="21">
        <v>7</v>
      </c>
      <c r="L176" s="21">
        <v>9</v>
      </c>
      <c r="M176" s="21">
        <v>4</v>
      </c>
      <c r="N176" s="21">
        <v>51</v>
      </c>
      <c r="O176" s="21">
        <v>60</v>
      </c>
      <c r="P176" s="21">
        <v>37</v>
      </c>
      <c r="Q176" s="20">
        <v>166</v>
      </c>
      <c r="R176" s="13" t="s">
        <v>194</v>
      </c>
      <c r="S176" s="21" t="s">
        <v>16</v>
      </c>
      <c r="T176" s="21" t="s">
        <v>19</v>
      </c>
      <c r="U176" s="21" t="s">
        <v>19</v>
      </c>
      <c r="V176" s="21">
        <v>18</v>
      </c>
      <c r="W176" s="21">
        <v>55</v>
      </c>
      <c r="X176" s="21">
        <v>29</v>
      </c>
      <c r="Y176" s="21">
        <v>46</v>
      </c>
      <c r="Z176" s="21">
        <v>18</v>
      </c>
      <c r="AA176" s="21">
        <v>5</v>
      </c>
      <c r="AB176" s="21">
        <v>60</v>
      </c>
      <c r="AC176" s="21">
        <v>87</v>
      </c>
      <c r="AD176" s="21">
        <v>24</v>
      </c>
      <c r="AE176" s="21">
        <v>38</v>
      </c>
      <c r="AF176" s="21">
        <v>61</v>
      </c>
      <c r="AG176" s="21">
        <v>71</v>
      </c>
      <c r="AH176" s="21">
        <v>37</v>
      </c>
      <c r="AI176" s="6">
        <f>H$1*((-2*10^-6)*H176^3+0.00032*H176^2-0.0021*H176)+I$1*((-2*10^-6)*I176^3+0.00032*I176^2-0.0021*I176)+J$1*((-2*10^-6)*J176^3+0.00032*J176^2-0.0021*J176)+K$1*((-2*10^-6)*K176^3+0.00032*K176^2-0.0021*K176)+L$1*((-2*10^-6)*L176^3+0.00032*L176^2-0.0021*L176)</f>
        <v>0.15680280000000002</v>
      </c>
      <c r="AJ176" s="6">
        <f>(M$1*M176+N$1*N176+O$1*O176)/100</f>
        <v>0.20200000000000004</v>
      </c>
      <c r="AK176" s="6">
        <f>IF(AA176&lt;50,W$1*((-2*10^-6)*W176^3+0.00032*W176^2-0.0021*W176)+X$1*((-2*10^-6)*X176^3+0.00032*X176^2-0.0021*X176)+Y$1*((-2*10^-6)*Y176^3+0.00032*Y176^2-0.0021*Y176)+Z$1*((-2*10^-6)*Z176^3+0.00032*Z176^2-0.0021*Z176),X$2*((-2*10^-6)*X176^3+0.00032*X176^2-0.0021*AA176)+Y$2*((-2*10^-6)*Y176^3+0.00032*Y176^2-0.0021*Y176)+Z$2*((-2*10^-6)*Z176^3+0.00032*Z176^2-0.0021*Z176)+ AA$2*((-2*10^-6)*AA176^3+0.00032*AA176^2-0.0021*AA176))</f>
        <v>1.1192560000000003</v>
      </c>
      <c r="AL176" s="6">
        <f>(AB$1*AB176+AC$1*AC176)/100</f>
        <v>0.65400000000000003</v>
      </c>
      <c r="AM176" s="6">
        <f>AD$1*((-2*10^-6)*AD176^3+0.00032*AD176^2-0.0021*AD176)+AE$1*((-2*10^-6)*AE176^3+0.00032*AE176^2-0.0021*AE176)+AF$1*((-2*10^-6)*AF176^3+0.00032*AF176^2-0.0021*AF176)+AG$1*((-2*10^-6)*AG176^3+0.00032*AG176^2-0.0021*AG176)</f>
        <v>0.26921120000000004</v>
      </c>
    </row>
    <row r="177" spans="1:39" ht="15" thickBot="1" x14ac:dyDescent="0.35">
      <c r="A177" s="6">
        <f>(AI177*H$3+AJ177*M$3+AK177*W$3+AL177*AB$3+AM177*AD$3)*100/(AI$5*H$3+AJ$5*M$3+AK$5*W$3+AL$5*AB$3+AM$5*AD$3)</f>
        <v>13.183442060341992</v>
      </c>
      <c r="B177" s="20">
        <v>50</v>
      </c>
      <c r="C177" s="13" t="s">
        <v>78</v>
      </c>
      <c r="D177" s="21" t="s">
        <v>16</v>
      </c>
      <c r="E177" s="21" t="s">
        <v>21</v>
      </c>
      <c r="F177" s="21" t="s">
        <v>19</v>
      </c>
      <c r="G177" s="21">
        <v>18</v>
      </c>
      <c r="H177" s="21">
        <v>20</v>
      </c>
      <c r="I177" s="21">
        <v>18</v>
      </c>
      <c r="J177" s="21">
        <v>27</v>
      </c>
      <c r="K177" s="21">
        <v>18</v>
      </c>
      <c r="L177" s="21">
        <v>20</v>
      </c>
      <c r="M177" s="21">
        <v>25</v>
      </c>
      <c r="N177" s="21">
        <v>72</v>
      </c>
      <c r="O177" s="21">
        <v>85</v>
      </c>
      <c r="P177" s="21">
        <v>61</v>
      </c>
      <c r="Q177" s="20">
        <v>50</v>
      </c>
      <c r="R177" s="13" t="s">
        <v>78</v>
      </c>
      <c r="S177" s="21" t="s">
        <v>16</v>
      </c>
      <c r="T177" s="21" t="s">
        <v>21</v>
      </c>
      <c r="U177" s="21" t="s">
        <v>19</v>
      </c>
      <c r="V177" s="21">
        <v>18</v>
      </c>
      <c r="W177" s="21">
        <v>27</v>
      </c>
      <c r="X177" s="21">
        <v>42</v>
      </c>
      <c r="Y177" s="21">
        <v>17</v>
      </c>
      <c r="Z177" s="21">
        <v>34</v>
      </c>
      <c r="AA177" s="21">
        <v>7</v>
      </c>
      <c r="AB177" s="21">
        <v>34</v>
      </c>
      <c r="AC177" s="21">
        <v>76</v>
      </c>
      <c r="AD177" s="21">
        <v>33</v>
      </c>
      <c r="AE177" s="21">
        <v>74</v>
      </c>
      <c r="AF177" s="21">
        <v>23</v>
      </c>
      <c r="AG177" s="21">
        <v>60</v>
      </c>
      <c r="AH177" s="21">
        <v>61</v>
      </c>
      <c r="AI177" s="6">
        <f>H$1*((-2*10^-6)*H177^3+0.00032*H177^2-0.0021*H177)+I$1*((-2*10^-6)*I177^3+0.00032*I177^2-0.0021*I177)+J$1*((-2*10^-6)*J177^3+0.00032*J177^2-0.0021*J177)+K$1*((-2*10^-6)*K177^3+0.00032*K177^2-0.0021*K177)+L$1*((-2*10^-6)*L177^3+0.00032*L177^2-0.0021*L177)</f>
        <v>0.45813320000000013</v>
      </c>
      <c r="AJ177" s="6">
        <f>(M$1*M177+N$1*N177+O$1*O177)/100</f>
        <v>0.47899999999999998</v>
      </c>
      <c r="AK177" s="6">
        <f>IF(AA177&lt;50,W$1*((-2*10^-6)*W177^3+0.00032*W177^2-0.0021*W177)+X$1*((-2*10^-6)*X177^3+0.00032*X177^2-0.0021*X177)+Y$1*((-2*10^-6)*Y177^3+0.00032*Y177^2-0.0021*Y177)+Z$1*((-2*10^-6)*Z177^3+0.00032*Z177^2-0.0021*Z177),X$2*((-2*10^-6)*X177^3+0.00032*X177^2-0.0021*AA177)+Y$2*((-2*10^-6)*Y177^3+0.00032*Y177^2-0.0021*Y177)+Z$2*((-2*10^-6)*Z177^3+0.00032*Z177^2-0.0021*Z177)+ AA$2*((-2*10^-6)*AA177^3+0.00032*AA177^2-0.0021*AA177))</f>
        <v>0.73218400000000017</v>
      </c>
      <c r="AL177" s="6">
        <f>(AB$1*AB177+AC$1*AC177)/100</f>
        <v>0.42400000000000004</v>
      </c>
      <c r="AM177" s="6">
        <f>AD$1*((-2*10^-6)*AD177^3+0.00032*AD177^2-0.0021*AD177)+AE$1*((-2*10^-6)*AE177^3+0.00032*AE177^2-0.0021*AE177)+AF$1*((-2*10^-6)*AF177^3+0.00032*AF177^2-0.0021*AF177)+AG$1*((-2*10^-6)*AG177^3+0.00032*AG177^2-0.0021*AG177)</f>
        <v>0.35501780000000005</v>
      </c>
    </row>
    <row r="178" spans="1:39" ht="15" thickBot="1" x14ac:dyDescent="0.35">
      <c r="A178" s="6">
        <f>(AI178*H$3+AJ178*M$3+AK178*W$3+AL178*AB$3+AM178*AD$3)*100/(AI$5*H$3+AJ$5*M$3+AK$5*W$3+AL$5*AB$3+AM$5*AD$3)</f>
        <v>13.142328180488819</v>
      </c>
      <c r="B178" s="20">
        <v>112</v>
      </c>
      <c r="C178" s="13" t="s">
        <v>140</v>
      </c>
      <c r="D178" s="21" t="s">
        <v>16</v>
      </c>
      <c r="E178" s="21" t="s">
        <v>20</v>
      </c>
      <c r="F178" s="21" t="s">
        <v>20</v>
      </c>
      <c r="G178" s="21">
        <v>18</v>
      </c>
      <c r="H178" s="21">
        <v>14</v>
      </c>
      <c r="I178" s="21">
        <v>6</v>
      </c>
      <c r="J178" s="21">
        <v>13</v>
      </c>
      <c r="K178" s="21">
        <v>24</v>
      </c>
      <c r="L178" s="21">
        <v>28</v>
      </c>
      <c r="M178" s="21">
        <v>23</v>
      </c>
      <c r="N178" s="21">
        <v>84</v>
      </c>
      <c r="O178" s="21">
        <v>80</v>
      </c>
      <c r="P178" s="21">
        <v>48</v>
      </c>
      <c r="Q178" s="20">
        <v>112</v>
      </c>
      <c r="R178" s="13" t="s">
        <v>140</v>
      </c>
      <c r="S178" s="21" t="s">
        <v>16</v>
      </c>
      <c r="T178" s="21" t="s">
        <v>20</v>
      </c>
      <c r="U178" s="21" t="s">
        <v>20</v>
      </c>
      <c r="V178" s="21">
        <v>18</v>
      </c>
      <c r="W178" s="21">
        <v>32</v>
      </c>
      <c r="X178" s="21">
        <v>46</v>
      </c>
      <c r="Y178" s="21">
        <v>22</v>
      </c>
      <c r="Z178" s="21">
        <v>19</v>
      </c>
      <c r="AA178" s="21">
        <v>7</v>
      </c>
      <c r="AB178" s="21">
        <v>43</v>
      </c>
      <c r="AC178" s="21">
        <v>68</v>
      </c>
      <c r="AD178" s="21">
        <v>25</v>
      </c>
      <c r="AE178" s="21">
        <v>49</v>
      </c>
      <c r="AF178" s="21">
        <v>46</v>
      </c>
      <c r="AG178" s="21">
        <v>85</v>
      </c>
      <c r="AH178" s="21">
        <v>48</v>
      </c>
      <c r="AI178" s="6">
        <f>H$1*((-2*10^-6)*H178^3+0.00032*H178^2-0.0021*H178)+I$1*((-2*10^-6)*I178^3+0.00032*I178^2-0.0021*I178)+J$1*((-2*10^-6)*J178^3+0.00032*J178^2-0.0021*J178)+K$1*((-2*10^-6)*K178^3+0.00032*K178^2-0.0021*K178)+L$1*((-2*10^-6)*L178^3+0.00032*L178^2-0.0021*L178)</f>
        <v>0.44924440000000015</v>
      </c>
      <c r="AJ178" s="6">
        <f>(M$1*M178+N$1*N178+O$1*O178)/100</f>
        <v>0.47799999999999998</v>
      </c>
      <c r="AK178" s="6">
        <f>IF(AA178&lt;50,W$1*((-2*10^-6)*W178^3+0.00032*W178^2-0.0021*W178)+X$1*((-2*10^-6)*X178^3+0.00032*X178^2-0.0021*X178)+Y$1*((-2*10^-6)*Y178^3+0.00032*Y178^2-0.0021*Y178)+Z$1*((-2*10^-6)*Z178^3+0.00032*Z178^2-0.0021*Z178),X$2*((-2*10^-6)*X178^3+0.00032*X178^2-0.0021*AA178)+Y$2*((-2*10^-6)*Y178^3+0.00032*Y178^2-0.0021*Y178)+Z$2*((-2*10^-6)*Z178^3+0.00032*Z178^2-0.0021*Z178)+ AA$2*((-2*10^-6)*AA178^3+0.00032*AA178^2-0.0021*AA178))</f>
        <v>0.73007800000000023</v>
      </c>
      <c r="AL178" s="6">
        <f>(AB$1*AB178+AC$1*AC178)/100</f>
        <v>0.48</v>
      </c>
      <c r="AM178" s="6">
        <f>AD$1*((-2*10^-6)*AD178^3+0.00032*AD178^2-0.0021*AD178)+AE$1*((-2*10^-6)*AE178^3+0.00032*AE178^2-0.0021*AE178)+AF$1*((-2*10^-6)*AF178^3+0.00032*AF178^2-0.0021*AF178)+AG$1*((-2*10^-6)*AG178^3+0.00032*AG178^2-0.0021*AG178)</f>
        <v>0.28837200000000007</v>
      </c>
    </row>
    <row r="179" spans="1:39" ht="15" thickBot="1" x14ac:dyDescent="0.35">
      <c r="A179" s="6">
        <f>(AI179*H$3+AJ179*M$3+AK179*W$3+AL179*AB$3+AM179*AD$3)*100/(AI$5*H$3+AJ$5*M$3+AK$5*W$3+AL$5*AB$3+AM$5*AD$3)</f>
        <v>12.944730818586049</v>
      </c>
      <c r="B179" s="18">
        <v>45</v>
      </c>
      <c r="C179" s="12" t="s">
        <v>73</v>
      </c>
      <c r="D179" s="19" t="s">
        <v>16</v>
      </c>
      <c r="E179" s="19" t="s">
        <v>20</v>
      </c>
      <c r="F179" s="19" t="s">
        <v>20</v>
      </c>
      <c r="G179" s="19">
        <v>18</v>
      </c>
      <c r="H179" s="19">
        <v>17</v>
      </c>
      <c r="I179" s="19">
        <v>5</v>
      </c>
      <c r="J179" s="19">
        <v>24</v>
      </c>
      <c r="K179" s="19">
        <v>29</v>
      </c>
      <c r="L179" s="19">
        <v>16</v>
      </c>
      <c r="M179" s="19">
        <v>18</v>
      </c>
      <c r="N179" s="19">
        <v>65</v>
      </c>
      <c r="O179" s="19">
        <v>69</v>
      </c>
      <c r="P179" s="19">
        <v>62</v>
      </c>
      <c r="Q179" s="18">
        <v>45</v>
      </c>
      <c r="R179" s="12" t="s">
        <v>73</v>
      </c>
      <c r="S179" s="19" t="s">
        <v>16</v>
      </c>
      <c r="T179" s="19" t="s">
        <v>20</v>
      </c>
      <c r="U179" s="19" t="s">
        <v>20</v>
      </c>
      <c r="V179" s="19">
        <v>18</v>
      </c>
      <c r="W179" s="19">
        <v>22</v>
      </c>
      <c r="X179" s="19">
        <v>22</v>
      </c>
      <c r="Y179" s="19">
        <v>58</v>
      </c>
      <c r="Z179" s="19">
        <v>16</v>
      </c>
      <c r="AA179" s="19">
        <v>42</v>
      </c>
      <c r="AB179" s="19">
        <v>30</v>
      </c>
      <c r="AC179" s="19">
        <v>96</v>
      </c>
      <c r="AD179" s="19">
        <v>56</v>
      </c>
      <c r="AE179" s="19">
        <v>52</v>
      </c>
      <c r="AF179" s="19">
        <v>67</v>
      </c>
      <c r="AG179" s="19">
        <v>95</v>
      </c>
      <c r="AH179" s="19">
        <v>62</v>
      </c>
      <c r="AI179" s="6">
        <f>H$1*((-2*10^-6)*H179^3+0.00032*H179^2-0.0021*H179)+I$1*((-2*10^-6)*I179^3+0.00032*I179^2-0.0021*I179)+J$1*((-2*10^-6)*J179^3+0.00032*J179^2-0.0021*J179)+K$1*((-2*10^-6)*K179^3+0.00032*K179^2-0.0021*K179)+L$1*((-2*10^-6)*L179^3+0.00032*L179^2-0.0021*L179)</f>
        <v>0.32105240000000002</v>
      </c>
      <c r="AJ179" s="6">
        <f>(M$1*M179+N$1*N179+O$1*O179)/100</f>
        <v>0.379</v>
      </c>
      <c r="AK179" s="6">
        <f>IF(AA179&lt;50,W$1*((-2*10^-6)*W179^3+0.00032*W179^2-0.0021*W179)+X$1*((-2*10^-6)*X179^3+0.00032*X179^2-0.0021*X179)+Y$1*((-2*10^-6)*Y179^3+0.00032*Y179^2-0.0021*Y179)+Z$1*((-2*10^-6)*Z179^3+0.00032*Z179^2-0.0021*Z179),X$2*((-2*10^-6)*X179^3+0.00032*X179^2-0.0021*AA179)+Y$2*((-2*10^-6)*Y179^3+0.00032*Y179^2-0.0021*Y179)+Z$2*((-2*10^-6)*Z179^3+0.00032*Z179^2-0.0021*Z179)+ AA$2*((-2*10^-6)*AA179^3+0.00032*AA179^2-0.0021*AA179))</f>
        <v>0.77935200000000027</v>
      </c>
      <c r="AL179" s="6">
        <f>(AB$1*AB179+AC$1*AC179)/100</f>
        <v>0.43200000000000005</v>
      </c>
      <c r="AM179" s="6">
        <f>AD$1*((-2*10^-6)*AD179^3+0.00032*AD179^2-0.0021*AD179)+AE$1*((-2*10^-6)*AE179^3+0.00032*AE179^2-0.0021*AE179)+AF$1*((-2*10^-6)*AF179^3+0.00032*AF179^2-0.0021*AF179)+AG$1*((-2*10^-6)*AG179^3+0.00032*AG179^2-0.0021*AG179)</f>
        <v>0.74897480000000027</v>
      </c>
    </row>
    <row r="180" spans="1:39" ht="15" thickBot="1" x14ac:dyDescent="0.35">
      <c r="A180" s="6">
        <f>(AI180*H$3+AJ180*M$3+AK180*W$3+AL180*AB$3+AM180*AD$3)*100/(AI$5*H$3+AJ$5*M$3+AK$5*W$3+AL$5*AB$3+AM$5*AD$3)</f>
        <v>12.821681488555308</v>
      </c>
      <c r="B180" s="18">
        <v>119</v>
      </c>
      <c r="C180" s="12" t="s">
        <v>147</v>
      </c>
      <c r="D180" s="19" t="s">
        <v>16</v>
      </c>
      <c r="E180" s="19" t="s">
        <v>19</v>
      </c>
      <c r="F180" s="19" t="s">
        <v>19</v>
      </c>
      <c r="G180" s="19">
        <v>18</v>
      </c>
      <c r="H180" s="19">
        <v>14</v>
      </c>
      <c r="I180" s="19">
        <v>11</v>
      </c>
      <c r="J180" s="19">
        <v>28</v>
      </c>
      <c r="K180" s="19">
        <v>20</v>
      </c>
      <c r="L180" s="19">
        <v>33</v>
      </c>
      <c r="M180" s="19">
        <v>21</v>
      </c>
      <c r="N180" s="19">
        <v>71</v>
      </c>
      <c r="O180" s="19">
        <v>61</v>
      </c>
      <c r="P180" s="19">
        <v>47</v>
      </c>
      <c r="Q180" s="18">
        <v>119</v>
      </c>
      <c r="R180" s="12" t="s">
        <v>147</v>
      </c>
      <c r="S180" s="19" t="s">
        <v>16</v>
      </c>
      <c r="T180" s="19" t="s">
        <v>19</v>
      </c>
      <c r="U180" s="19" t="s">
        <v>19</v>
      </c>
      <c r="V180" s="19">
        <v>18</v>
      </c>
      <c r="W180" s="19">
        <v>18</v>
      </c>
      <c r="X180" s="19">
        <v>40</v>
      </c>
      <c r="Y180" s="19">
        <v>17</v>
      </c>
      <c r="Z180" s="19">
        <v>25</v>
      </c>
      <c r="AA180" s="19">
        <v>25</v>
      </c>
      <c r="AB180" s="19">
        <v>28</v>
      </c>
      <c r="AC180" s="19">
        <v>94</v>
      </c>
      <c r="AD180" s="19">
        <v>16</v>
      </c>
      <c r="AE180" s="19">
        <v>50</v>
      </c>
      <c r="AF180" s="19">
        <v>25</v>
      </c>
      <c r="AG180" s="19">
        <v>75</v>
      </c>
      <c r="AH180" s="19">
        <v>47</v>
      </c>
      <c r="AI180" s="6">
        <f>H$1*((-2*10^-6)*H180^3+0.00032*H180^2-0.0021*H180)+I$1*((-2*10^-6)*I180^3+0.00032*I180^2-0.0021*I180)+J$1*((-2*10^-6)*J180^3+0.00032*J180^2-0.0021*J180)+K$1*((-2*10^-6)*K180^3+0.00032*K180^2-0.0021*K180)+L$1*((-2*10^-6)*L180^3+0.00032*L180^2-0.0021*L180)</f>
        <v>0.65472680000000016</v>
      </c>
      <c r="AJ180" s="6">
        <f>(M$1*M180+N$1*N180+O$1*O180)/100</f>
        <v>0.41300000000000003</v>
      </c>
      <c r="AK180" s="6">
        <f>IF(AA180&lt;50,W$1*((-2*10^-6)*W180^3+0.00032*W180^2-0.0021*W180)+X$1*((-2*10^-6)*X180^3+0.00032*X180^2-0.0021*X180)+Y$1*((-2*10^-6)*Y180^3+0.00032*Y180^2-0.0021*Y180)+Z$1*((-2*10^-6)*Z180^3+0.00032*Z180^2-0.0021*Z180),X$2*((-2*10^-6)*X180^3+0.00032*X180^2-0.0021*AA180)+Y$2*((-2*10^-6)*Y180^3+0.00032*Y180^2-0.0021*Y180)+Z$2*((-2*10^-6)*Z180^3+0.00032*Z180^2-0.0021*Z180)+ AA$2*((-2*10^-6)*AA180^3+0.00032*AA180^2-0.0021*AA180))</f>
        <v>0.5174200000000001</v>
      </c>
      <c r="AL180" s="6">
        <f>(AB$1*AB180+AC$1*AC180)/100</f>
        <v>0.41200000000000003</v>
      </c>
      <c r="AM180" s="6">
        <f>AD$1*((-2*10^-6)*AD180^3+0.00032*AD180^2-0.0021*AD180)+AE$1*((-2*10^-6)*AE180^3+0.00032*AE180^2-0.0021*AE180)+AF$1*((-2*10^-6)*AF180^3+0.00032*AF180^2-0.0021*AF180)+AG$1*((-2*10^-6)*AG180^3+0.00032*AG180^2-0.0021*AG180)</f>
        <v>0.17612800000000001</v>
      </c>
    </row>
    <row r="181" spans="1:39" ht="15" thickBot="1" x14ac:dyDescent="0.35">
      <c r="A181" s="6">
        <f>(AI181*H$3+AJ181*M$3+AK181*W$3+AL181*AB$3+AM181*AD$3)*100/(AI$5*H$3+AJ$5*M$3+AK$5*W$3+AL$5*AB$3+AM$5*AD$3)</f>
        <v>12.78934689187979</v>
      </c>
      <c r="B181" s="18">
        <v>107</v>
      </c>
      <c r="C181" s="12" t="s">
        <v>135</v>
      </c>
      <c r="D181" s="19" t="s">
        <v>16</v>
      </c>
      <c r="E181" s="19" t="s">
        <v>19</v>
      </c>
      <c r="F181" s="19" t="s">
        <v>19</v>
      </c>
      <c r="G181" s="19">
        <v>18</v>
      </c>
      <c r="H181" s="19">
        <v>17</v>
      </c>
      <c r="I181" s="19">
        <v>5</v>
      </c>
      <c r="J181" s="19">
        <v>18</v>
      </c>
      <c r="K181" s="19">
        <v>26</v>
      </c>
      <c r="L181" s="19">
        <v>26</v>
      </c>
      <c r="M181" s="19">
        <v>18</v>
      </c>
      <c r="N181" s="19">
        <v>69</v>
      </c>
      <c r="O181" s="19">
        <v>74</v>
      </c>
      <c r="P181" s="19">
        <v>49</v>
      </c>
      <c r="Q181" s="18">
        <v>107</v>
      </c>
      <c r="R181" s="12" t="s">
        <v>135</v>
      </c>
      <c r="S181" s="19" t="s">
        <v>16</v>
      </c>
      <c r="T181" s="19" t="s">
        <v>19</v>
      </c>
      <c r="U181" s="19" t="s">
        <v>19</v>
      </c>
      <c r="V181" s="19">
        <v>18</v>
      </c>
      <c r="W181" s="19">
        <v>26</v>
      </c>
      <c r="X181" s="19">
        <v>0</v>
      </c>
      <c r="Y181" s="19">
        <v>23</v>
      </c>
      <c r="Z181" s="19">
        <v>58</v>
      </c>
      <c r="AA181" s="19">
        <v>16</v>
      </c>
      <c r="AB181" s="19">
        <v>29</v>
      </c>
      <c r="AC181" s="19">
        <v>55</v>
      </c>
      <c r="AD181" s="19">
        <v>20</v>
      </c>
      <c r="AE181" s="19">
        <v>58</v>
      </c>
      <c r="AF181" s="19">
        <v>29</v>
      </c>
      <c r="AG181" s="19">
        <v>89</v>
      </c>
      <c r="AH181" s="19">
        <v>49</v>
      </c>
      <c r="AI181" s="6">
        <f>H$1*((-2*10^-6)*H181^3+0.00032*H181^2-0.0021*H181)+I$1*((-2*10^-6)*I181^3+0.00032*I181^2-0.0021*I181)+J$1*((-2*10^-6)*J181^3+0.00032*J181^2-0.0021*J181)+K$1*((-2*10^-6)*K181^3+0.00032*K181^2-0.0021*K181)+L$1*((-2*10^-6)*L181^3+0.00032*L181^2-0.0021*L181)</f>
        <v>0.45368760000000008</v>
      </c>
      <c r="AJ181" s="6">
        <f>(M$1*M181+N$1*N181+O$1*O181)/100</f>
        <v>0.39200000000000002</v>
      </c>
      <c r="AK181" s="6">
        <f>IF(AA181&lt;50,W$1*((-2*10^-6)*W181^3+0.00032*W181^2-0.0021*W181)+X$1*((-2*10^-6)*X181^3+0.00032*X181^2-0.0021*X181)+Y$1*((-2*10^-6)*Y181^3+0.00032*Y181^2-0.0021*Y181)+Z$1*((-2*10^-6)*Z181^3+0.00032*Z181^2-0.0021*Z181),X$2*((-2*10^-6)*X181^3+0.00032*X181^2-0.0021*AA181)+Y$2*((-2*10^-6)*Y181^3+0.00032*Y181^2-0.0021*Y181)+Z$2*((-2*10^-6)*Z181^3+0.00032*Z181^2-0.0021*Z181)+ AA$2*((-2*10^-6)*AA181^3+0.00032*AA181^2-0.0021*AA181))</f>
        <v>0.7876700000000002</v>
      </c>
      <c r="AL181" s="6">
        <f>(AB$1*AB181+AC$1*AC181)/100</f>
        <v>0.34200000000000003</v>
      </c>
      <c r="AM181" s="6">
        <f>AD$1*((-2*10^-6)*AD181^3+0.00032*AD181^2-0.0021*AD181)+AE$1*((-2*10^-6)*AE181^3+0.00032*AE181^2-0.0021*AE181)+AF$1*((-2*10^-6)*AF181^3+0.00032*AF181^2-0.0021*AF181)+AG$1*((-2*10^-6)*AG181^3+0.00032*AG181^2-0.0021*AG181)</f>
        <v>0.23617800000000005</v>
      </c>
    </row>
    <row r="182" spans="1:39" ht="15" thickBot="1" x14ac:dyDescent="0.35">
      <c r="A182" s="6">
        <f>(AI182*H$3+AJ182*M$3+AK182*W$3+AL182*AB$3+AM182*AD$3)*100/(AI$5*H$3+AJ$5*M$3+AK$5*W$3+AL$5*AB$3+AM$5*AD$3)</f>
        <v>12.547403085738157</v>
      </c>
      <c r="B182" s="18">
        <v>131</v>
      </c>
      <c r="C182" s="12" t="s">
        <v>159</v>
      </c>
      <c r="D182" s="19" t="s">
        <v>16</v>
      </c>
      <c r="E182" s="19" t="s">
        <v>19</v>
      </c>
      <c r="F182" s="19" t="s">
        <v>19</v>
      </c>
      <c r="G182" s="19">
        <v>22</v>
      </c>
      <c r="H182" s="19">
        <v>0</v>
      </c>
      <c r="I182" s="19">
        <v>0</v>
      </c>
      <c r="J182" s="19">
        <v>14</v>
      </c>
      <c r="K182" s="19">
        <v>0</v>
      </c>
      <c r="L182" s="19">
        <v>2</v>
      </c>
      <c r="M182" s="19">
        <v>0</v>
      </c>
      <c r="N182" s="19">
        <v>49</v>
      </c>
      <c r="O182" s="19">
        <v>49</v>
      </c>
      <c r="P182" s="19">
        <v>60</v>
      </c>
      <c r="Q182" s="18">
        <v>131</v>
      </c>
      <c r="R182" s="12" t="s">
        <v>159</v>
      </c>
      <c r="S182" s="19" t="s">
        <v>16</v>
      </c>
      <c r="T182" s="19" t="s">
        <v>19</v>
      </c>
      <c r="U182" s="19" t="s">
        <v>19</v>
      </c>
      <c r="V182" s="19">
        <v>22</v>
      </c>
      <c r="W182" s="19">
        <v>14</v>
      </c>
      <c r="X182" s="19">
        <v>73</v>
      </c>
      <c r="Y182" s="19">
        <v>69</v>
      </c>
      <c r="Z182" s="19">
        <v>39</v>
      </c>
      <c r="AA182" s="19">
        <v>54</v>
      </c>
      <c r="AB182" s="19">
        <v>87</v>
      </c>
      <c r="AC182" s="19">
        <v>100</v>
      </c>
      <c r="AD182" s="19">
        <v>12</v>
      </c>
      <c r="AE182" s="19">
        <v>100</v>
      </c>
      <c r="AF182" s="19">
        <v>37</v>
      </c>
      <c r="AG182" s="19">
        <v>65</v>
      </c>
      <c r="AH182" s="19">
        <v>60</v>
      </c>
      <c r="AI182" s="6">
        <f>H$1*((-2*10^-6)*H182^3+0.00032*H182^2-0.0021*H182)+I$1*((-2*10^-6)*I182^3+0.00032*I182^2-0.0021*I182)+J$1*((-2*10^-6)*J182^3+0.00032*J182^2-0.0021*J182)+K$1*((-2*10^-6)*K182^3+0.00032*K182^2-0.0021*K182)+L$1*((-2*10^-6)*L182^3+0.00032*L182^2-0.0021*L182)</f>
        <v>1.024000000000001E-2</v>
      </c>
      <c r="AJ182" s="6">
        <f>(M$1*M182+N$1*N182+O$1*O182)/100</f>
        <v>0.14700000000000002</v>
      </c>
      <c r="AK182" s="6">
        <f>IF(AA182&lt;50,W$1*((-2*10^-6)*W182^3+0.00032*W182^2-0.0021*W182)+X$1*((-2*10^-6)*X182^3+0.00032*X182^2-0.0021*X182)+Y$1*((-2*10^-6)*Y182^3+0.00032*Y182^2-0.0021*Y182)+Z$1*((-2*10^-6)*Z182^3+0.00032*Z182^2-0.0021*Z182),X$2*((-2*10^-6)*X182^3+0.00032*X182^2-0.0021*AA182)+Y$2*((-2*10^-6)*Y182^3+0.00032*Y182^2-0.0021*Y182)+Z$2*((-2*10^-6)*Z182^3+0.00032*Z182^2-0.0021*Z182)+ AA$2*((-2*10^-6)*AA182^3+0.00032*AA182^2-0.0021*AA182))</f>
        <v>1.1142168000000003</v>
      </c>
      <c r="AL182" s="6">
        <f>(AB$1*AB182+AC$1*AC182)/100</f>
        <v>0.89600000000000013</v>
      </c>
      <c r="AM182" s="6">
        <f>AD$1*((-2*10^-6)*AD182^3+0.00032*AD182^2-0.0021*AD182)+AE$1*((-2*10^-6)*AE182^3+0.00032*AE182^2-0.0021*AE182)+AF$1*((-2*10^-6)*AF182^3+0.00032*AF182^2-0.0021*AF182)+AG$1*((-2*10^-6)*AG182^3+0.00032*AG182^2-0.0021*AG182)</f>
        <v>0.20895640000000004</v>
      </c>
    </row>
    <row r="183" spans="1:39" ht="15" thickBot="1" x14ac:dyDescent="0.35">
      <c r="A183" s="6">
        <f>(AI183*H$3+AJ183*M$3+AK183*W$3+AL183*AB$3+AM183*AD$3)*100/(AI$5*H$3+AJ$5*M$3+AK$5*W$3+AL$5*AB$3+AM$5*AD$3)</f>
        <v>12.499511772956515</v>
      </c>
      <c r="B183" s="18">
        <v>99</v>
      </c>
      <c r="C183" s="12" t="s">
        <v>127</v>
      </c>
      <c r="D183" s="19" t="s">
        <v>16</v>
      </c>
      <c r="E183" s="19" t="s">
        <v>19</v>
      </c>
      <c r="F183" s="19" t="s">
        <v>19</v>
      </c>
      <c r="G183" s="19">
        <v>18</v>
      </c>
      <c r="H183" s="19">
        <v>24</v>
      </c>
      <c r="I183" s="19">
        <v>13</v>
      </c>
      <c r="J183" s="19">
        <v>33</v>
      </c>
      <c r="K183" s="19">
        <v>18</v>
      </c>
      <c r="L183" s="19">
        <v>22</v>
      </c>
      <c r="M183" s="19">
        <v>12</v>
      </c>
      <c r="N183" s="19">
        <v>63</v>
      </c>
      <c r="O183" s="19">
        <v>69</v>
      </c>
      <c r="P183" s="19">
        <v>50</v>
      </c>
      <c r="Q183" s="18">
        <v>99</v>
      </c>
      <c r="R183" s="12" t="s">
        <v>127</v>
      </c>
      <c r="S183" s="19" t="s">
        <v>16</v>
      </c>
      <c r="T183" s="19" t="s">
        <v>19</v>
      </c>
      <c r="U183" s="19" t="s">
        <v>19</v>
      </c>
      <c r="V183" s="19">
        <v>18</v>
      </c>
      <c r="W183" s="19">
        <v>0</v>
      </c>
      <c r="X183" s="19">
        <v>22</v>
      </c>
      <c r="Y183" s="19">
        <v>20</v>
      </c>
      <c r="Z183" s="19">
        <v>38</v>
      </c>
      <c r="AA183" s="19">
        <v>26</v>
      </c>
      <c r="AB183" s="19">
        <v>86</v>
      </c>
      <c r="AC183" s="19">
        <v>95</v>
      </c>
      <c r="AD183" s="19">
        <v>14</v>
      </c>
      <c r="AE183" s="19">
        <v>76</v>
      </c>
      <c r="AF183" s="19">
        <v>46</v>
      </c>
      <c r="AG183" s="19">
        <v>93</v>
      </c>
      <c r="AH183" s="19">
        <v>50</v>
      </c>
      <c r="AI183" s="6">
        <f>H$1*((-2*10^-6)*H183^3+0.00032*H183^2-0.0021*H183)+I$1*((-2*10^-6)*I183^3+0.00032*I183^2-0.0021*I183)+J$1*((-2*10^-6)*J183^3+0.00032*J183^2-0.0021*J183)+K$1*((-2*10^-6)*K183^3+0.00032*K183^2-0.0021*K183)+L$1*((-2*10^-6)*L183^3+0.00032*L183^2-0.0021*L183)</f>
        <v>0.51104520000000009</v>
      </c>
      <c r="AJ183" s="6">
        <f>(M$1*M183+N$1*N183+O$1*O183)/100</f>
        <v>0.315</v>
      </c>
      <c r="AK183" s="6">
        <f>IF(AA183&lt;50,W$1*((-2*10^-6)*W183^3+0.00032*W183^2-0.0021*W183)+X$1*((-2*10^-6)*X183^3+0.00032*X183^2-0.0021*X183)+Y$1*((-2*10^-6)*Y183^3+0.00032*Y183^2-0.0021*Y183)+Z$1*((-2*10^-6)*Z183^3+0.00032*Z183^2-0.0021*Z183),X$2*((-2*10^-6)*X183^3+0.00032*X183^2-0.0021*AA183)+Y$2*((-2*10^-6)*Y183^3+0.00032*Y183^2-0.0021*Y183)+Z$2*((-2*10^-6)*Z183^3+0.00032*Z183^2-0.0021*Z183)+ AA$2*((-2*10^-6)*AA183^3+0.00032*AA183^2-0.0021*AA183))</f>
        <v>0.42992000000000008</v>
      </c>
      <c r="AL183" s="6">
        <f>(AB$1*AB183+AC$1*AC183)/100</f>
        <v>0.878</v>
      </c>
      <c r="AM183" s="6">
        <f>AD$1*((-2*10^-6)*AD183^3+0.00032*AD183^2-0.0021*AD183)+AE$1*((-2*10^-6)*AE183^3+0.00032*AE183^2-0.0021*AE183)+AF$1*((-2*10^-6)*AF183^3+0.00032*AF183^2-0.0021*AF183)+AG$1*((-2*10^-6)*AG183^3+0.00032*AG183^2-0.0021*AG183)</f>
        <v>0.24386020000000008</v>
      </c>
    </row>
    <row r="184" spans="1:39" ht="15" thickBot="1" x14ac:dyDescent="0.35">
      <c r="A184" s="6">
        <f>(AI184*H$3+AJ184*M$3+AK184*W$3+AL184*AB$3+AM184*AD$3)*100/(AI$5*H$3+AJ$5*M$3+AK$5*W$3+AL$5*AB$3+AM$5*AD$3)</f>
        <v>12.409808558894623</v>
      </c>
      <c r="B184" s="18">
        <v>87</v>
      </c>
      <c r="C184" s="12" t="s">
        <v>115</v>
      </c>
      <c r="D184" s="19" t="s">
        <v>16</v>
      </c>
      <c r="E184" s="19" t="s">
        <v>19</v>
      </c>
      <c r="F184" s="19" t="s">
        <v>19</v>
      </c>
      <c r="G184" s="19">
        <v>18</v>
      </c>
      <c r="H184" s="19">
        <v>20</v>
      </c>
      <c r="I184" s="19">
        <v>14</v>
      </c>
      <c r="J184" s="19">
        <v>23</v>
      </c>
      <c r="K184" s="19">
        <v>11</v>
      </c>
      <c r="L184" s="19">
        <v>28</v>
      </c>
      <c r="M184" s="19">
        <v>9</v>
      </c>
      <c r="N184" s="19">
        <v>77</v>
      </c>
      <c r="O184" s="19">
        <v>51</v>
      </c>
      <c r="P184" s="19">
        <v>53</v>
      </c>
      <c r="Q184" s="18">
        <v>87</v>
      </c>
      <c r="R184" s="12" t="s">
        <v>115</v>
      </c>
      <c r="S184" s="19" t="s">
        <v>16</v>
      </c>
      <c r="T184" s="19" t="s">
        <v>19</v>
      </c>
      <c r="U184" s="19" t="s">
        <v>19</v>
      </c>
      <c r="V184" s="19">
        <v>18</v>
      </c>
      <c r="W184" s="19">
        <v>12</v>
      </c>
      <c r="X184" s="19">
        <v>37</v>
      </c>
      <c r="Y184" s="19">
        <v>27</v>
      </c>
      <c r="Z184" s="19">
        <v>31</v>
      </c>
      <c r="AA184" s="19">
        <v>29</v>
      </c>
      <c r="AB184" s="19">
        <v>38</v>
      </c>
      <c r="AC184" s="19">
        <v>78</v>
      </c>
      <c r="AD184" s="19">
        <v>25</v>
      </c>
      <c r="AE184" s="19">
        <v>66</v>
      </c>
      <c r="AF184" s="19">
        <v>62</v>
      </c>
      <c r="AG184" s="19">
        <v>76</v>
      </c>
      <c r="AH184" s="19">
        <v>53</v>
      </c>
      <c r="AI184" s="6">
        <f>H$1*((-2*10^-6)*H184^3+0.00032*H184^2-0.0021*H184)+I$1*((-2*10^-6)*I184^3+0.00032*I184^2-0.0021*I184)+J$1*((-2*10^-6)*J184^3+0.00032*J184^2-0.0021*J184)+K$1*((-2*10^-6)*K184^3+0.00032*K184^2-0.0021*K184)+L$1*((-2*10^-6)*L184^3+0.00032*L184^2-0.0021*L184)</f>
        <v>0.52000520000000017</v>
      </c>
      <c r="AJ184" s="6">
        <f>(M$1*M184+N$1*N184+O$1*O184)/100</f>
        <v>0.29499999999999998</v>
      </c>
      <c r="AK184" s="6">
        <f>IF(AA184&lt;50,W$1*((-2*10^-6)*W184^3+0.00032*W184^2-0.0021*W184)+X$1*((-2*10^-6)*X184^3+0.00032*X184^2-0.0021*X184)+Y$1*((-2*10^-6)*Y184^3+0.00032*Y184^2-0.0021*Y184)+Z$1*((-2*10^-6)*Z184^3+0.00032*Z184^2-0.0021*Z184),X$2*((-2*10^-6)*X184^3+0.00032*X184^2-0.0021*AA184)+Y$2*((-2*10^-6)*Y184^3+0.00032*Y184^2-0.0021*Y184)+Z$2*((-2*10^-6)*Z184^3+0.00032*Z184^2-0.0021*Z184)+ AA$2*((-2*10^-6)*AA184^3+0.00032*AA184^2-0.0021*AA184))</f>
        <v>0.59655000000000014</v>
      </c>
      <c r="AL184" s="6">
        <f>(AB$1*AB184+AC$1*AC184)/100</f>
        <v>0.46</v>
      </c>
      <c r="AM184" s="6">
        <f>AD$1*((-2*10^-6)*AD184^3+0.00032*AD184^2-0.0021*AD184)+AE$1*((-2*10^-6)*AE184^3+0.00032*AE184^2-0.0021*AE184)+AF$1*((-2*10^-6)*AF184^3+0.00032*AF184^2-0.0021*AF184)+AG$1*((-2*10^-6)*AG184^3+0.00032*AG184^2-0.0021*AG184)</f>
        <v>0.32768200000000003</v>
      </c>
    </row>
    <row r="185" spans="1:39" ht="15" thickBot="1" x14ac:dyDescent="0.35">
      <c r="A185" s="6">
        <f>(AI185*H$3+AJ185*M$3+AK185*W$3+AL185*AB$3+AM185*AD$3)*100/(AI$5*H$3+AJ$5*M$3+AK$5*W$3+AL$5*AB$3+AM$5*AD$3)</f>
        <v>11.916678056641492</v>
      </c>
      <c r="B185" s="18">
        <v>23</v>
      </c>
      <c r="C185" s="12" t="s">
        <v>51</v>
      </c>
      <c r="D185" s="19" t="s">
        <v>16</v>
      </c>
      <c r="E185" s="19" t="s">
        <v>19</v>
      </c>
      <c r="F185" s="19" t="s">
        <v>19</v>
      </c>
      <c r="G185" s="19">
        <v>18</v>
      </c>
      <c r="H185" s="19">
        <v>25</v>
      </c>
      <c r="I185" s="19">
        <v>9</v>
      </c>
      <c r="J185" s="19">
        <v>20</v>
      </c>
      <c r="K185" s="19">
        <v>16</v>
      </c>
      <c r="L185" s="19">
        <v>28</v>
      </c>
      <c r="M185" s="19">
        <v>15</v>
      </c>
      <c r="N185" s="19">
        <v>57</v>
      </c>
      <c r="O185" s="19">
        <v>80</v>
      </c>
      <c r="P185" s="19">
        <v>69</v>
      </c>
      <c r="Q185" s="18">
        <v>23</v>
      </c>
      <c r="R185" s="12" t="s">
        <v>51</v>
      </c>
      <c r="S185" s="19" t="s">
        <v>16</v>
      </c>
      <c r="T185" s="19" t="s">
        <v>19</v>
      </c>
      <c r="U185" s="19" t="s">
        <v>19</v>
      </c>
      <c r="V185" s="19">
        <v>18</v>
      </c>
      <c r="W185" s="19">
        <v>32</v>
      </c>
      <c r="X185" s="19">
        <v>18</v>
      </c>
      <c r="Y185" s="19">
        <v>24</v>
      </c>
      <c r="Z185" s="19">
        <v>30</v>
      </c>
      <c r="AA185" s="19">
        <v>16</v>
      </c>
      <c r="AB185" s="19">
        <v>24</v>
      </c>
      <c r="AC185" s="19">
        <v>100</v>
      </c>
      <c r="AD185" s="19">
        <v>29</v>
      </c>
      <c r="AE185" s="19">
        <v>98</v>
      </c>
      <c r="AF185" s="19">
        <v>32</v>
      </c>
      <c r="AG185" s="19">
        <v>94</v>
      </c>
      <c r="AH185" s="19">
        <v>69</v>
      </c>
      <c r="AI185" s="6">
        <f>H$1*((-2*10^-6)*H185^3+0.00032*H185^2-0.0021*H185)+I$1*((-2*10^-6)*I185^3+0.00032*I185^2-0.0021*I185)+J$1*((-2*10^-6)*J185^3+0.00032*J185^2-0.0021*J185)+K$1*((-2*10^-6)*K185^3+0.00032*K185^2-0.0021*K185)+L$1*((-2*10^-6)*L185^3+0.00032*L185^2-0.0021*L185)</f>
        <v>0.52746360000000014</v>
      </c>
      <c r="AJ185" s="6">
        <f>(M$1*M185+N$1*N185+O$1*O185)/100</f>
        <v>0.34399999999999997</v>
      </c>
      <c r="AK185" s="6">
        <f>IF(AA185&lt;50,W$1*((-2*10^-6)*W185^3+0.00032*W185^2-0.0021*W185)+X$1*((-2*10^-6)*X185^3+0.00032*X185^2-0.0021*X185)+Y$1*((-2*10^-6)*Y185^3+0.00032*Y185^2-0.0021*Y185)+Z$1*((-2*10^-6)*Z185^3+0.00032*Z185^2-0.0021*Z185),X$2*((-2*10^-6)*X185^3+0.00032*X185^2-0.0021*AA185)+Y$2*((-2*10^-6)*Y185^3+0.00032*Y185^2-0.0021*Y185)+Z$2*((-2*10^-6)*Z185^3+0.00032*Z185^2-0.0021*Z185)+ AA$2*((-2*10^-6)*AA185^3+0.00032*AA185^2-0.0021*AA185))</f>
        <v>0.52643200000000012</v>
      </c>
      <c r="AL185" s="6">
        <f>(AB$1*AB185+AC$1*AC185)/100</f>
        <v>0.39200000000000002</v>
      </c>
      <c r="AM185" s="6">
        <f>AD$1*((-2*10^-6)*AD185^3+0.00032*AD185^2-0.0021*AD185)+AE$1*((-2*10^-6)*AE185^3+0.00032*AE185^2-0.0021*AE185)+AF$1*((-2*10^-6)*AF185^3+0.00032*AF185^2-0.0021*AF185)+AG$1*((-2*10^-6)*AG185^3+0.00032*AG185^2-0.0021*AG185)</f>
        <v>0.37434120000000015</v>
      </c>
    </row>
    <row r="186" spans="1:39" ht="15" thickBot="1" x14ac:dyDescent="0.35">
      <c r="A186" s="6">
        <f>(AI186*H$3+AJ186*M$3+AK186*W$3+AL186*AB$3+AM186*AD$3)*100/(AI$5*H$3+AJ$5*M$3+AK$5*W$3+AL$5*AB$3+AM$5*AD$3)</f>
        <v>11.830812169864808</v>
      </c>
      <c r="B186" s="20">
        <v>152</v>
      </c>
      <c r="C186" s="13" t="s">
        <v>180</v>
      </c>
      <c r="D186" s="21" t="s">
        <v>16</v>
      </c>
      <c r="E186" s="21" t="s">
        <v>20</v>
      </c>
      <c r="F186" s="21" t="s">
        <v>20</v>
      </c>
      <c r="G186" s="21">
        <v>18</v>
      </c>
      <c r="H186" s="21">
        <v>23</v>
      </c>
      <c r="I186" s="21">
        <v>3</v>
      </c>
      <c r="J186" s="21">
        <v>14</v>
      </c>
      <c r="K186" s="21">
        <v>34</v>
      </c>
      <c r="L186" s="21">
        <v>21</v>
      </c>
      <c r="M186" s="21">
        <v>14</v>
      </c>
      <c r="N186" s="21">
        <v>71</v>
      </c>
      <c r="O186" s="21">
        <v>84</v>
      </c>
      <c r="P186" s="21">
        <v>40</v>
      </c>
      <c r="Q186" s="20">
        <v>152</v>
      </c>
      <c r="R186" s="13" t="s">
        <v>180</v>
      </c>
      <c r="S186" s="21" t="s">
        <v>16</v>
      </c>
      <c r="T186" s="21" t="s">
        <v>20</v>
      </c>
      <c r="U186" s="21" t="s">
        <v>20</v>
      </c>
      <c r="V186" s="21">
        <v>18</v>
      </c>
      <c r="W186" s="21">
        <v>0</v>
      </c>
      <c r="X186" s="21">
        <v>40</v>
      </c>
      <c r="Y186" s="21">
        <v>27</v>
      </c>
      <c r="Z186" s="21">
        <v>38</v>
      </c>
      <c r="AA186" s="21">
        <v>18</v>
      </c>
      <c r="AB186" s="21">
        <v>22</v>
      </c>
      <c r="AC186" s="21">
        <v>66</v>
      </c>
      <c r="AD186" s="21">
        <v>10</v>
      </c>
      <c r="AE186" s="21">
        <v>61</v>
      </c>
      <c r="AF186" s="21">
        <v>37</v>
      </c>
      <c r="AG186" s="21">
        <v>53</v>
      </c>
      <c r="AH186" s="21">
        <v>40</v>
      </c>
      <c r="AI186" s="6">
        <f>H$1*((-2*10^-6)*H186^3+0.00032*H186^2-0.0021*H186)+I$1*((-2*10^-6)*I186^3+0.00032*I186^2-0.0021*I186)+J$1*((-2*10^-6)*J186^3+0.00032*J186^2-0.0021*J186)+K$1*((-2*10^-6)*K186^3+0.00032*K186^2-0.0021*K186)+L$1*((-2*10^-6)*L186^3+0.00032*L186^2-0.0021*L186)</f>
        <v>0.4550224000000001</v>
      </c>
      <c r="AJ186" s="6">
        <f>(M$1*M186+N$1*N186+O$1*O186)/100</f>
        <v>0.36599999999999999</v>
      </c>
      <c r="AK186" s="6">
        <f>IF(AA186&lt;50,W$1*((-2*10^-6)*W186^3+0.00032*W186^2-0.0021*W186)+X$1*((-2*10^-6)*X186^3+0.00032*X186^2-0.0021*X186)+Y$1*((-2*10^-6)*Y186^3+0.00032*Y186^2-0.0021*Y186)+Z$1*((-2*10^-6)*Z186^3+0.00032*Z186^2-0.0021*Z186),X$2*((-2*10^-6)*X186^3+0.00032*X186^2-0.0021*AA186)+Y$2*((-2*10^-6)*Y186^3+0.00032*Y186^2-0.0021*Y186)+Z$2*((-2*10^-6)*Z186^3+0.00032*Z186^2-0.0021*Z186)+ AA$2*((-2*10^-6)*AA186^3+0.00032*AA186^2-0.0021*AA186))</f>
        <v>0.7097500000000001</v>
      </c>
      <c r="AL186" s="6">
        <f>(AB$1*AB186+AC$1*AC186)/100</f>
        <v>0.30800000000000005</v>
      </c>
      <c r="AM186" s="6">
        <f>AD$1*((-2*10^-6)*AD186^3+0.00032*AD186^2-0.0021*AD186)+AE$1*((-2*10^-6)*AE186^3+0.00032*AE186^2-0.0021*AE186)+AF$1*((-2*10^-6)*AF186^3+0.00032*AF186^2-0.0021*AF186)+AG$1*((-2*10^-6)*AG186^3+0.00032*AG186^2-0.0021*AG186)</f>
        <v>0.14475580000000002</v>
      </c>
    </row>
    <row r="187" spans="1:39" ht="15" thickBot="1" x14ac:dyDescent="0.35">
      <c r="A187" s="6">
        <f>(AI187*H$3+AJ187*M$3+AK187*W$3+AL187*AB$3+AM187*AD$3)*100/(AI$5*H$3+AJ$5*M$3+AK$5*W$3+AL$5*AB$3+AM$5*AD$3)</f>
        <v>11.820535378555013</v>
      </c>
      <c r="B187" s="20">
        <v>164</v>
      </c>
      <c r="C187" s="13" t="s">
        <v>192</v>
      </c>
      <c r="D187" s="21" t="s">
        <v>16</v>
      </c>
      <c r="E187" s="21" t="s">
        <v>19</v>
      </c>
      <c r="F187" s="21" t="s">
        <v>19</v>
      </c>
      <c r="G187" s="21">
        <v>18</v>
      </c>
      <c r="H187" s="21">
        <v>19</v>
      </c>
      <c r="I187" s="21">
        <v>10</v>
      </c>
      <c r="J187" s="21">
        <v>14</v>
      </c>
      <c r="K187" s="21">
        <v>15</v>
      </c>
      <c r="L187" s="21">
        <v>12</v>
      </c>
      <c r="M187" s="21">
        <v>10</v>
      </c>
      <c r="N187" s="21">
        <v>53</v>
      </c>
      <c r="O187" s="21">
        <v>63</v>
      </c>
      <c r="P187" s="21">
        <v>38</v>
      </c>
      <c r="Q187" s="20">
        <v>164</v>
      </c>
      <c r="R187" s="13" t="s">
        <v>192</v>
      </c>
      <c r="S187" s="21" t="s">
        <v>16</v>
      </c>
      <c r="T187" s="21" t="s">
        <v>19</v>
      </c>
      <c r="U187" s="21" t="s">
        <v>19</v>
      </c>
      <c r="V187" s="21">
        <v>18</v>
      </c>
      <c r="W187" s="21">
        <v>0</v>
      </c>
      <c r="X187" s="21">
        <v>0</v>
      </c>
      <c r="Y187" s="21">
        <v>78</v>
      </c>
      <c r="Z187" s="21">
        <v>29</v>
      </c>
      <c r="AA187" s="21">
        <v>16</v>
      </c>
      <c r="AB187" s="21">
        <v>43</v>
      </c>
      <c r="AC187" s="21">
        <v>40</v>
      </c>
      <c r="AD187" s="21">
        <v>24</v>
      </c>
      <c r="AE187" s="21">
        <v>74</v>
      </c>
      <c r="AF187" s="21">
        <v>47</v>
      </c>
      <c r="AG187" s="21">
        <v>90</v>
      </c>
      <c r="AH187" s="21">
        <v>38</v>
      </c>
      <c r="AI187" s="6">
        <f>H$1*((-2*10^-6)*H187^3+0.00032*H187^2-0.0021*H187)+I$1*((-2*10^-6)*I187^3+0.00032*I187^2-0.0021*I187)+J$1*((-2*10^-6)*J187^3+0.00032*J187^2-0.0021*J187)+K$1*((-2*10^-6)*K187^3+0.00032*K187^2-0.0021*K187)+L$1*((-2*10^-6)*L187^3+0.00032*L187^2-0.0021*L187)</f>
        <v>0.16193400000000005</v>
      </c>
      <c r="AJ187" s="6">
        <f>(M$1*M187+N$1*N187+O$1*O187)/100</f>
        <v>0.26900000000000002</v>
      </c>
      <c r="AK187" s="6">
        <f>IF(AA187&lt;50,W$1*((-2*10^-6)*W187^3+0.00032*W187^2-0.0021*W187)+X$1*((-2*10^-6)*X187^3+0.00032*X187^2-0.0021*X187)+Y$1*((-2*10^-6)*Y187^3+0.00032*Y187^2-0.0021*Y187)+Z$1*((-2*10^-6)*Z187^3+0.00032*Z187^2-0.0021*Z187),X$2*((-2*10^-6)*X187^3+0.00032*X187^2-0.0021*AA187)+Y$2*((-2*10^-6)*Y187^3+0.00032*Y187^2-0.0021*Y187)+Z$2*((-2*10^-6)*Z187^3+0.00032*Z187^2-0.0021*Z187)+ AA$2*((-2*10^-6)*AA187^3+0.00032*AA187^2-0.0021*AA187))</f>
        <v>0.99341800000000036</v>
      </c>
      <c r="AL187" s="6">
        <f>(AB$1*AB187+AC$1*AC187)/100</f>
        <v>0.42399999999999999</v>
      </c>
      <c r="AM187" s="6">
        <f>AD$1*((-2*10^-6)*AD187^3+0.00032*AD187^2-0.0021*AD187)+AE$1*((-2*10^-6)*AE187^3+0.00032*AE187^2-0.0021*AE187)+AF$1*((-2*10^-6)*AF187^3+0.00032*AF187^2-0.0021*AF187)+AG$1*((-2*10^-6)*AG187^3+0.00032*AG187^2-0.0021*AG187)</f>
        <v>0.31947260000000005</v>
      </c>
    </row>
    <row r="188" spans="1:39" ht="15" thickBot="1" x14ac:dyDescent="0.35">
      <c r="A188" s="6">
        <f>(AI188*H$3+AJ188*M$3+AK188*W$3+AL188*AB$3+AM188*AD$3)*100/(AI$5*H$3+AJ$5*M$3+AK$5*W$3+AL$5*AB$3+AM$5*AD$3)</f>
        <v>11.729282580799184</v>
      </c>
      <c r="B188" s="20">
        <v>172</v>
      </c>
      <c r="C188" s="13" t="s">
        <v>200</v>
      </c>
      <c r="D188" s="21" t="s">
        <v>16</v>
      </c>
      <c r="E188" s="21" t="s">
        <v>19</v>
      </c>
      <c r="F188" s="21" t="s">
        <v>19</v>
      </c>
      <c r="G188" s="21">
        <v>18</v>
      </c>
      <c r="H188" s="21">
        <v>19</v>
      </c>
      <c r="I188" s="21">
        <v>11</v>
      </c>
      <c r="J188" s="21">
        <v>9</v>
      </c>
      <c r="K188" s="21">
        <v>13</v>
      </c>
      <c r="L188" s="21">
        <v>11</v>
      </c>
      <c r="M188" s="21">
        <v>0</v>
      </c>
      <c r="N188" s="21">
        <v>52</v>
      </c>
      <c r="O188" s="21">
        <v>51</v>
      </c>
      <c r="P188" s="21">
        <v>35</v>
      </c>
      <c r="Q188" s="20">
        <v>172</v>
      </c>
      <c r="R188" s="13" t="s">
        <v>200</v>
      </c>
      <c r="S188" s="21" t="s">
        <v>16</v>
      </c>
      <c r="T188" s="21" t="s">
        <v>19</v>
      </c>
      <c r="U188" s="21" t="s">
        <v>19</v>
      </c>
      <c r="V188" s="21">
        <v>18</v>
      </c>
      <c r="W188" s="21">
        <v>0</v>
      </c>
      <c r="X188" s="21">
        <v>20</v>
      </c>
      <c r="Y188" s="21">
        <v>62</v>
      </c>
      <c r="Z188" s="21">
        <v>32</v>
      </c>
      <c r="AA188" s="21">
        <v>19</v>
      </c>
      <c r="AB188" s="21">
        <v>76</v>
      </c>
      <c r="AC188" s="21">
        <v>73</v>
      </c>
      <c r="AD188" s="21">
        <v>22</v>
      </c>
      <c r="AE188" s="21">
        <v>79</v>
      </c>
      <c r="AF188" s="21">
        <v>50</v>
      </c>
      <c r="AG188" s="21">
        <v>74</v>
      </c>
      <c r="AH188" s="21">
        <v>35</v>
      </c>
      <c r="AI188" s="6">
        <f>H$1*((-2*10^-6)*H188^3+0.00032*H188^2-0.0021*H188)+I$1*((-2*10^-6)*I188^3+0.00032*I188^2-0.0021*I188)+J$1*((-2*10^-6)*J188^3+0.00032*J188^2-0.0021*J188)+K$1*((-2*10^-6)*K188^3+0.00032*K188^2-0.0021*K188)+L$1*((-2*10^-6)*L188^3+0.00032*L188^2-0.0021*L188)</f>
        <v>0.13757160000000004</v>
      </c>
      <c r="AJ188" s="6">
        <f>(M$1*M188+N$1*N188+O$1*O188)/100</f>
        <v>0.155</v>
      </c>
      <c r="AK188" s="6">
        <f>IF(AA188&lt;50,W$1*((-2*10^-6)*W188^3+0.00032*W188^2-0.0021*W188)+X$1*((-2*10^-6)*X188^3+0.00032*X188^2-0.0021*X188)+Y$1*((-2*10^-6)*Y188^3+0.00032*Y188^2-0.0021*Y188)+Z$1*((-2*10^-6)*Z188^3+0.00032*Z188^2-0.0021*Z188),X$2*((-2*10^-6)*X188^3+0.00032*X188^2-0.0021*AA188)+Y$2*((-2*10^-6)*Y188^3+0.00032*Y188^2-0.0021*Y188)+Z$2*((-2*10^-6)*Z188^3+0.00032*Z188^2-0.0021*Z188)+ AA$2*((-2*10^-6)*AA188^3+0.00032*AA188^2-0.0021*AA188))</f>
        <v>0.88816800000000007</v>
      </c>
      <c r="AL188" s="6">
        <f>(AB$1*AB188+AC$1*AC188)/100</f>
        <v>0.754</v>
      </c>
      <c r="AM188" s="6">
        <f>AD$1*((-2*10^-6)*AD188^3+0.00032*AD188^2-0.0021*AD188)+AE$1*((-2*10^-6)*AE188^3+0.00032*AE188^2-0.0021*AE188)+AF$1*((-2*10^-6)*AF188^3+0.00032*AF188^2-0.0021*AF188)+AG$1*((-2*10^-6)*AG188^3+0.00032*AG188^2-0.0021*AG188)</f>
        <v>0.29504540000000012</v>
      </c>
    </row>
    <row r="189" spans="1:39" ht="15" thickBot="1" x14ac:dyDescent="0.35">
      <c r="A189" s="6">
        <f>(AI189*H$3+AJ189*M$3+AK189*W$3+AL189*AB$3+AM189*AD$3)*100/(AI$5*H$3+AJ$5*M$3+AK$5*W$3+AL$5*AB$3+AM$5*AD$3)</f>
        <v>11.631831746694916</v>
      </c>
      <c r="B189" s="18">
        <v>111</v>
      </c>
      <c r="C189" s="12" t="s">
        <v>139</v>
      </c>
      <c r="D189" s="19" t="s">
        <v>16</v>
      </c>
      <c r="E189" s="19" t="s">
        <v>20</v>
      </c>
      <c r="F189" s="19" t="s">
        <v>20</v>
      </c>
      <c r="G189" s="19">
        <v>18</v>
      </c>
      <c r="H189" s="19">
        <v>21</v>
      </c>
      <c r="I189" s="19">
        <v>0</v>
      </c>
      <c r="J189" s="19">
        <v>21</v>
      </c>
      <c r="K189" s="19">
        <v>32</v>
      </c>
      <c r="L189" s="19">
        <v>15</v>
      </c>
      <c r="M189" s="19">
        <v>21</v>
      </c>
      <c r="N189" s="19">
        <v>52</v>
      </c>
      <c r="O189" s="19">
        <v>70</v>
      </c>
      <c r="P189" s="19">
        <v>48</v>
      </c>
      <c r="Q189" s="18">
        <v>111</v>
      </c>
      <c r="R189" s="12" t="s">
        <v>139</v>
      </c>
      <c r="S189" s="19" t="s">
        <v>16</v>
      </c>
      <c r="T189" s="19" t="s">
        <v>20</v>
      </c>
      <c r="U189" s="19" t="s">
        <v>20</v>
      </c>
      <c r="V189" s="19">
        <v>18</v>
      </c>
      <c r="W189" s="19">
        <v>0</v>
      </c>
      <c r="X189" s="19">
        <v>22</v>
      </c>
      <c r="Y189" s="19">
        <v>23</v>
      </c>
      <c r="Z189" s="19">
        <v>53</v>
      </c>
      <c r="AA189" s="19">
        <v>2</v>
      </c>
      <c r="AB189" s="19">
        <v>33</v>
      </c>
      <c r="AC189" s="19">
        <v>61</v>
      </c>
      <c r="AD189" s="19">
        <v>42</v>
      </c>
      <c r="AE189" s="19">
        <v>33</v>
      </c>
      <c r="AF189" s="19">
        <v>45</v>
      </c>
      <c r="AG189" s="19">
        <v>57</v>
      </c>
      <c r="AH189" s="19">
        <v>48</v>
      </c>
      <c r="AI189" s="6">
        <f>H$1*((-2*10^-6)*H189^3+0.00032*H189^2-0.0021*H189)+I$1*((-2*10^-6)*I189^3+0.00032*I189^2-0.0021*I189)+J$1*((-2*10^-6)*J189^3+0.00032*J189^2-0.0021*J189)+K$1*((-2*10^-6)*K189^3+0.00032*K189^2-0.0021*K189)+L$1*((-2*10^-6)*L189^3+0.00032*L189^2-0.0021*L189)</f>
        <v>0.35580200000000017</v>
      </c>
      <c r="AJ189" s="6">
        <f>(M$1*M189+N$1*N189+O$1*O189)/100</f>
        <v>0.38400000000000001</v>
      </c>
      <c r="AK189" s="6">
        <f>IF(AA189&lt;50,W$1*((-2*10^-6)*W189^3+0.00032*W189^2-0.0021*W189)+X$1*((-2*10^-6)*X189^3+0.00032*X189^2-0.0021*X189)+Y$1*((-2*10^-6)*Y189^3+0.00032*Y189^2-0.0021*Y189)+Z$1*((-2*10^-6)*Z189^3+0.00032*Z189^2-0.0021*Z189),X$2*((-2*10^-6)*X189^3+0.00032*X189^2-0.0021*AA189)+Y$2*((-2*10^-6)*Y189^3+0.00032*Y189^2-0.0021*Y189)+Z$2*((-2*10^-6)*Z189^3+0.00032*Z189^2-0.0021*Z189)+ AA$2*((-2*10^-6)*AA189^3+0.00032*AA189^2-0.0021*AA189))</f>
        <v>0.67385600000000023</v>
      </c>
      <c r="AL189" s="6">
        <f>(AB$1*AB189+AC$1*AC189)/100</f>
        <v>0.38600000000000001</v>
      </c>
      <c r="AM189" s="6">
        <f>AD$1*((-2*10^-6)*AD189^3+0.00032*AD189^2-0.0021*AD189)+AE$1*((-2*10^-6)*AE189^3+0.00032*AE189^2-0.0021*AE189)+AF$1*((-2*10^-6)*AF189^3+0.00032*AF189^2-0.0021*AF189)+AG$1*((-2*10^-6)*AG189^3+0.00032*AG189^2-0.0021*AG189)</f>
        <v>0.44091900000000017</v>
      </c>
    </row>
    <row r="190" spans="1:39" ht="15" thickBot="1" x14ac:dyDescent="0.35">
      <c r="A190" s="6">
        <f>(AI190*H$3+AJ190*M$3+AK190*W$3+AL190*AB$3+AM190*AD$3)*100/(AI$5*H$3+AJ$5*M$3+AK$5*W$3+AL$5*AB$3+AM$5*AD$3)</f>
        <v>11.33811065683846</v>
      </c>
      <c r="B190" s="18">
        <v>165</v>
      </c>
      <c r="C190" s="12" t="s">
        <v>193</v>
      </c>
      <c r="D190" s="19" t="s">
        <v>16</v>
      </c>
      <c r="E190" s="19" t="s">
        <v>20</v>
      </c>
      <c r="F190" s="19" t="s">
        <v>20</v>
      </c>
      <c r="G190" s="19">
        <v>21</v>
      </c>
      <c r="H190" s="19">
        <v>15</v>
      </c>
      <c r="I190" s="19">
        <v>0</v>
      </c>
      <c r="J190" s="19">
        <v>48</v>
      </c>
      <c r="K190" s="19">
        <v>5</v>
      </c>
      <c r="L190" s="19">
        <v>18</v>
      </c>
      <c r="M190" s="19">
        <v>34</v>
      </c>
      <c r="N190" s="19">
        <v>56</v>
      </c>
      <c r="O190" s="19">
        <v>78</v>
      </c>
      <c r="P190" s="19">
        <v>51</v>
      </c>
      <c r="Q190" s="18">
        <v>165</v>
      </c>
      <c r="R190" s="12" t="s">
        <v>193</v>
      </c>
      <c r="S190" s="19" t="s">
        <v>16</v>
      </c>
      <c r="T190" s="19" t="s">
        <v>20</v>
      </c>
      <c r="U190" s="19" t="s">
        <v>20</v>
      </c>
      <c r="V190" s="19">
        <v>21</v>
      </c>
      <c r="W190" s="19">
        <v>30</v>
      </c>
      <c r="X190" s="19">
        <v>15</v>
      </c>
      <c r="Y190" s="19">
        <v>41</v>
      </c>
      <c r="Z190" s="19">
        <v>20</v>
      </c>
      <c r="AA190" s="19">
        <v>0</v>
      </c>
      <c r="AB190" s="19">
        <v>36</v>
      </c>
      <c r="AC190" s="19">
        <v>44</v>
      </c>
      <c r="AD190" s="19">
        <v>18</v>
      </c>
      <c r="AE190" s="19">
        <v>93</v>
      </c>
      <c r="AF190" s="19">
        <v>45</v>
      </c>
      <c r="AG190" s="19">
        <v>87</v>
      </c>
      <c r="AH190" s="19">
        <v>51</v>
      </c>
      <c r="AI190" s="6">
        <f>H$1*((-2*10^-6)*H190^3+0.00032*H190^2-0.0021*H190)+I$1*((-2*10^-6)*I190^3+0.00032*I190^2-0.0021*I190)+J$1*((-2*10^-6)*J190^3+0.00032*J190^2-0.0021*J190)+K$1*((-2*10^-6)*K190^3+0.00032*K190^2-0.0021*K190)+L$1*((-2*10^-6)*L190^3+0.00032*L190^2-0.0021*L190)</f>
        <v>0.4000028000000001</v>
      </c>
      <c r="AJ190" s="6">
        <f>(M$1*M190+N$1*N190+O$1*O190)/100</f>
        <v>0.53</v>
      </c>
      <c r="AK190" s="6">
        <f>IF(AA190&lt;50,W$1*((-2*10^-6)*W190^3+0.00032*W190^2-0.0021*W190)+X$1*((-2*10^-6)*X190^3+0.00032*X190^2-0.0021*X190)+Y$1*((-2*10^-6)*Y190^3+0.00032*Y190^2-0.0021*Y190)+Z$1*((-2*10^-6)*Z190^3+0.00032*Z190^2-0.0021*Z190),X$2*((-2*10^-6)*X190^3+0.00032*X190^2-0.0021*AA190)+Y$2*((-2*10^-6)*Y190^3+0.00032*Y190^2-0.0021*Y190)+Z$2*((-2*10^-6)*Z190^3+0.00032*Z190^2-0.0021*Z190)+ AA$2*((-2*10^-6)*AA190^3+0.00032*AA190^2-0.0021*AA190))</f>
        <v>0.58872800000000014</v>
      </c>
      <c r="AL190" s="6">
        <f>(AB$1*AB190+AC$1*AC190)/100</f>
        <v>0.376</v>
      </c>
      <c r="AM190" s="6">
        <f>AD$1*((-2*10^-6)*AD190^3+0.00032*AD190^2-0.0021*AD190)+AE$1*((-2*10^-6)*AE190^3+0.00032*AE190^2-0.0021*AE190)+AF$1*((-2*10^-6)*AF190^3+0.00032*AF190^2-0.0021*AF190)+AG$1*((-2*10^-6)*AG190^3+0.00032*AG190^2-0.0021*AG190)</f>
        <v>0.27994500000000011</v>
      </c>
    </row>
    <row r="191" spans="1:39" ht="15" thickBot="1" x14ac:dyDescent="0.35">
      <c r="A191" s="6">
        <f>(AI191*H$3+AJ191*M$3+AK191*W$3+AL191*AB$3+AM191*AD$3)*100/(AI$5*H$3+AJ$5*M$3+AK$5*W$3+AL$5*AB$3+AM$5*AD$3)</f>
        <v>11.111714166343365</v>
      </c>
      <c r="B191" s="20">
        <v>132</v>
      </c>
      <c r="C191" s="13" t="s">
        <v>160</v>
      </c>
      <c r="D191" s="21" t="s">
        <v>16</v>
      </c>
      <c r="E191" s="21" t="s">
        <v>19</v>
      </c>
      <c r="F191" s="21" t="s">
        <v>19</v>
      </c>
      <c r="G191" s="21">
        <v>18</v>
      </c>
      <c r="H191" s="21">
        <v>14</v>
      </c>
      <c r="I191" s="21">
        <v>8</v>
      </c>
      <c r="J191" s="21">
        <v>30</v>
      </c>
      <c r="K191" s="21">
        <v>8</v>
      </c>
      <c r="L191" s="21">
        <v>5</v>
      </c>
      <c r="M191" s="21">
        <v>16</v>
      </c>
      <c r="N191" s="21">
        <v>69</v>
      </c>
      <c r="O191" s="21">
        <v>55</v>
      </c>
      <c r="P191" s="21">
        <v>44</v>
      </c>
      <c r="Q191" s="20">
        <v>132</v>
      </c>
      <c r="R191" s="13" t="s">
        <v>160</v>
      </c>
      <c r="S191" s="21" t="s">
        <v>16</v>
      </c>
      <c r="T191" s="21" t="s">
        <v>19</v>
      </c>
      <c r="U191" s="21" t="s">
        <v>19</v>
      </c>
      <c r="V191" s="21">
        <v>18</v>
      </c>
      <c r="W191" s="21">
        <v>10</v>
      </c>
      <c r="X191" s="21">
        <v>6</v>
      </c>
      <c r="Y191" s="21">
        <v>55</v>
      </c>
      <c r="Z191" s="21">
        <v>29</v>
      </c>
      <c r="AA191" s="21">
        <v>15</v>
      </c>
      <c r="AB191" s="21">
        <v>77</v>
      </c>
      <c r="AC191" s="21">
        <v>82</v>
      </c>
      <c r="AD191" s="21">
        <v>42</v>
      </c>
      <c r="AE191" s="21">
        <v>48</v>
      </c>
      <c r="AF191" s="21">
        <v>30</v>
      </c>
      <c r="AG191" s="21">
        <v>81</v>
      </c>
      <c r="AH191" s="21">
        <v>44</v>
      </c>
      <c r="AI191" s="6">
        <f>H$1*((-2*10^-6)*H191^3+0.00032*H191^2-0.0021*H191)+I$1*((-2*10^-6)*I191^3+0.00032*I191^2-0.0021*I191)+J$1*((-2*10^-6)*J191^3+0.00032*J191^2-0.0021*J191)+K$1*((-2*10^-6)*K191^3+0.00032*K191^2-0.0021*K191)+L$1*((-2*10^-6)*L191^3+0.00032*L191^2-0.0021*L191)</f>
        <v>0.13181880000000004</v>
      </c>
      <c r="AJ191" s="6">
        <f>(M$1*M191+N$1*N191+O$1*O191)/100</f>
        <v>0.35299999999999998</v>
      </c>
      <c r="AK191" s="6">
        <f>IF(AA191&lt;50,W$1*((-2*10^-6)*W191^3+0.00032*W191^2-0.0021*W191)+X$1*((-2*10^-6)*X191^3+0.00032*X191^2-0.0021*X191)+Y$1*((-2*10^-6)*Y191^3+0.00032*Y191^2-0.0021*Y191)+Z$1*((-2*10^-6)*Z191^3+0.00032*Z191^2-0.0021*Z191),X$2*((-2*10^-6)*X191^3+0.00032*X191^2-0.0021*AA191)+Y$2*((-2*10^-6)*Y191^3+0.00032*Y191^2-0.0021*Y191)+Z$2*((-2*10^-6)*Z191^3+0.00032*Z191^2-0.0021*Z191)+ AA$2*((-2*10^-6)*AA191^3+0.00032*AA191^2-0.0021*AA191))</f>
        <v>0.68668000000000018</v>
      </c>
      <c r="AL191" s="6">
        <f>(AB$1*AB191+AC$1*AC191)/100</f>
        <v>0.78</v>
      </c>
      <c r="AM191" s="6">
        <f>AD$1*((-2*10^-6)*AD191^3+0.00032*AD191^2-0.0021*AD191)+AE$1*((-2*10^-6)*AE191^3+0.00032*AE191^2-0.0021*AE191)+AF$1*((-2*10^-6)*AF191^3+0.00032*AF191^2-0.0021*AF191)+AG$1*((-2*10^-6)*AG191^3+0.00032*AG191^2-0.0021*AG191)</f>
        <v>0.47338740000000012</v>
      </c>
    </row>
    <row r="192" spans="1:39" ht="15" thickBot="1" x14ac:dyDescent="0.35">
      <c r="A192" s="6">
        <f>(AI192*H$3+AJ192*M$3+AK192*W$3+AL192*AB$3+AM192*AD$3)*100/(AI$5*H$3+AJ$5*M$3+AK$5*W$3+AL$5*AB$3+AM$5*AD$3)</f>
        <v>10.945352591840996</v>
      </c>
      <c r="B192" s="18">
        <v>41</v>
      </c>
      <c r="C192" s="12" t="s">
        <v>69</v>
      </c>
      <c r="D192" s="19" t="s">
        <v>16</v>
      </c>
      <c r="E192" s="19" t="s">
        <v>19</v>
      </c>
      <c r="F192" s="19" t="s">
        <v>19</v>
      </c>
      <c r="G192" s="19">
        <v>18</v>
      </c>
      <c r="H192" s="19">
        <v>24</v>
      </c>
      <c r="I192" s="19">
        <v>5</v>
      </c>
      <c r="J192" s="19">
        <v>22</v>
      </c>
      <c r="K192" s="19">
        <v>19</v>
      </c>
      <c r="L192" s="19">
        <v>19</v>
      </c>
      <c r="M192" s="19">
        <v>27</v>
      </c>
      <c r="N192" s="19">
        <v>71</v>
      </c>
      <c r="O192" s="19">
        <v>53</v>
      </c>
      <c r="P192" s="19">
        <v>63</v>
      </c>
      <c r="Q192" s="18">
        <v>41</v>
      </c>
      <c r="R192" s="12" t="s">
        <v>69</v>
      </c>
      <c r="S192" s="19" t="s">
        <v>16</v>
      </c>
      <c r="T192" s="19" t="s">
        <v>19</v>
      </c>
      <c r="U192" s="19" t="s">
        <v>19</v>
      </c>
      <c r="V192" s="19">
        <v>18</v>
      </c>
      <c r="W192" s="19">
        <v>0</v>
      </c>
      <c r="X192" s="19">
        <v>25</v>
      </c>
      <c r="Y192" s="19">
        <v>25</v>
      </c>
      <c r="Z192" s="19">
        <v>42</v>
      </c>
      <c r="AA192" s="19">
        <v>4</v>
      </c>
      <c r="AB192" s="19">
        <v>47</v>
      </c>
      <c r="AC192" s="19">
        <v>54</v>
      </c>
      <c r="AD192" s="19">
        <v>28</v>
      </c>
      <c r="AE192" s="19">
        <v>82</v>
      </c>
      <c r="AF192" s="19">
        <v>35</v>
      </c>
      <c r="AG192" s="19">
        <v>74</v>
      </c>
      <c r="AH192" s="19">
        <v>63</v>
      </c>
      <c r="AI192" s="6">
        <f>H$1*((-2*10^-6)*H192^3+0.00032*H192^2-0.0021*H192)+I$1*((-2*10^-6)*I192^3+0.00032*I192^2-0.0021*I192)+J$1*((-2*10^-6)*J192^3+0.00032*J192^2-0.0021*J192)+K$1*((-2*10^-6)*K192^3+0.00032*K192^2-0.0021*K192)+L$1*((-2*10^-6)*L192^3+0.00032*L192^2-0.0021*L192)</f>
        <v>0.33890840000000011</v>
      </c>
      <c r="AJ192" s="6">
        <f>(M$1*M192+N$1*N192+O$1*O192)/100</f>
        <v>0.46500000000000002</v>
      </c>
      <c r="AK192" s="6">
        <f>IF(AA192&lt;50,W$1*((-2*10^-6)*W192^3+0.00032*W192^2-0.0021*W192)+X$1*((-2*10^-6)*X192^3+0.00032*X192^2-0.0021*X192)+Y$1*((-2*10^-6)*Y192^3+0.00032*Y192^2-0.0021*Y192)+Z$1*((-2*10^-6)*Z192^3+0.00032*Z192^2-0.0021*Z192),X$2*((-2*10^-6)*X192^3+0.00032*X192^2-0.0021*AA192)+Y$2*((-2*10^-6)*Y192^3+0.00032*Y192^2-0.0021*Y192)+Z$2*((-2*10^-6)*Z192^3+0.00032*Z192^2-0.0021*Z192)+ AA$2*((-2*10^-6)*AA192^3+0.00032*AA192^2-0.0021*AA192))</f>
        <v>0.5606040000000001</v>
      </c>
      <c r="AL192" s="6">
        <f>(AB$1*AB192+AC$1*AC192)/100</f>
        <v>0.48400000000000004</v>
      </c>
      <c r="AM192" s="6">
        <f>AD$1*((-2*10^-6)*AD192^3+0.00032*AD192^2-0.0021*AD192)+AE$1*((-2*10^-6)*AE192^3+0.00032*AE192^2-0.0021*AE192)+AF$1*((-2*10^-6)*AF192^3+0.00032*AF192^2-0.0021*AF192)+AG$1*((-2*10^-6)*AG192^3+0.00032*AG192^2-0.0021*AG192)</f>
        <v>0.33777260000000014</v>
      </c>
    </row>
    <row r="193" spans="1:39" ht="15" thickBot="1" x14ac:dyDescent="0.35">
      <c r="A193" s="6">
        <f>(AI193*H$3+AJ193*M$3+AK193*W$3+AL193*AB$3+AM193*AD$3)*100/(AI$5*H$3+AJ$5*M$3+AK$5*W$3+AL$5*AB$3+AM$5*AD$3)</f>
        <v>10.870741293383865</v>
      </c>
      <c r="B193" s="18">
        <v>89</v>
      </c>
      <c r="C193" s="12" t="s">
        <v>117</v>
      </c>
      <c r="D193" s="19" t="s">
        <v>16</v>
      </c>
      <c r="E193" s="19" t="s">
        <v>20</v>
      </c>
      <c r="F193" s="19" t="s">
        <v>20</v>
      </c>
      <c r="G193" s="19">
        <v>18</v>
      </c>
      <c r="H193" s="19">
        <v>15</v>
      </c>
      <c r="I193" s="19">
        <v>0</v>
      </c>
      <c r="J193" s="19">
        <v>23</v>
      </c>
      <c r="K193" s="19">
        <v>20</v>
      </c>
      <c r="L193" s="19">
        <v>2</v>
      </c>
      <c r="M193" s="19">
        <v>17</v>
      </c>
      <c r="N193" s="19">
        <v>68</v>
      </c>
      <c r="O193" s="19">
        <v>75</v>
      </c>
      <c r="P193" s="19">
        <v>53</v>
      </c>
      <c r="Q193" s="18">
        <v>89</v>
      </c>
      <c r="R193" s="12" t="s">
        <v>117</v>
      </c>
      <c r="S193" s="19" t="s">
        <v>16</v>
      </c>
      <c r="T193" s="19" t="s">
        <v>20</v>
      </c>
      <c r="U193" s="19" t="s">
        <v>20</v>
      </c>
      <c r="V193" s="19">
        <v>18</v>
      </c>
      <c r="W193" s="19">
        <v>19</v>
      </c>
      <c r="X193" s="19">
        <v>52</v>
      </c>
      <c r="Y193" s="19">
        <v>22</v>
      </c>
      <c r="Z193" s="19">
        <v>30</v>
      </c>
      <c r="AA193" s="19">
        <v>23</v>
      </c>
      <c r="AB193" s="19">
        <v>26</v>
      </c>
      <c r="AC193" s="19">
        <v>96</v>
      </c>
      <c r="AD193" s="19">
        <v>44</v>
      </c>
      <c r="AE193" s="19">
        <v>85</v>
      </c>
      <c r="AF193" s="19">
        <v>41</v>
      </c>
      <c r="AG193" s="19">
        <v>86</v>
      </c>
      <c r="AH193" s="19">
        <v>53</v>
      </c>
      <c r="AI193" s="6">
        <f>H$1*((-2*10^-6)*H193^3+0.00032*H193^2-0.0021*H193)+I$1*((-2*10^-6)*I193^3+0.00032*I193^2-0.0021*I193)+J$1*((-2*10^-6)*J193^3+0.00032*J193^2-0.0021*J193)+K$1*((-2*10^-6)*K193^3+0.00032*K193^2-0.0021*K193)+L$1*((-2*10^-6)*L193^3+0.00032*L193^2-0.0021*L193)</f>
        <v>0.14127840000000003</v>
      </c>
      <c r="AJ193" s="6">
        <f>(M$1*M193+N$1*N193+O$1*O193)/100</f>
        <v>0.38100000000000001</v>
      </c>
      <c r="AK193" s="6">
        <f>IF(AA193&lt;50,W$1*((-2*10^-6)*W193^3+0.00032*W193^2-0.0021*W193)+X$1*((-2*10^-6)*X193^3+0.00032*X193^2-0.0021*X193)+Y$1*((-2*10^-6)*Y193^3+0.00032*Y193^2-0.0021*Y193)+Z$1*((-2*10^-6)*Z193^3+0.00032*Z193^2-0.0021*Z193),X$2*((-2*10^-6)*X193^3+0.00032*X193^2-0.0021*AA193)+Y$2*((-2*10^-6)*Y193^3+0.00032*Y193^2-0.0021*Y193)+Z$2*((-2*10^-6)*Z193^3+0.00032*Z193^2-0.0021*Z193)+ AA$2*((-2*10^-6)*AA193^3+0.00032*AA193^2-0.0021*AA193))</f>
        <v>0.79515000000000025</v>
      </c>
      <c r="AL193" s="6">
        <f>(AB$1*AB193+AC$1*AC193)/100</f>
        <v>0.4</v>
      </c>
      <c r="AM193" s="6">
        <f>AD$1*((-2*10^-6)*AD193^3+0.00032*AD193^2-0.0021*AD193)+AE$1*((-2*10^-6)*AE193^3+0.00032*AE193^2-0.0021*AE193)+AF$1*((-2*10^-6)*AF193^3+0.00032*AF193^2-0.0021*AF193)+AG$1*((-2*10^-6)*AG193^3+0.00032*AG193^2-0.0021*AG193)</f>
        <v>0.57007560000000024</v>
      </c>
    </row>
    <row r="194" spans="1:39" ht="15" thickBot="1" x14ac:dyDescent="0.35">
      <c r="A194" s="6">
        <f>(AI194*H$3+AJ194*M$3+AK194*W$3+AL194*AB$3+AM194*AD$3)*100/(AI$5*H$3+AJ$5*M$3+AK$5*W$3+AL$5*AB$3+AM$5*AD$3)</f>
        <v>10.760244113521736</v>
      </c>
      <c r="B194" s="18">
        <v>123</v>
      </c>
      <c r="C194" s="12" t="s">
        <v>151</v>
      </c>
      <c r="D194" s="19" t="s">
        <v>16</v>
      </c>
      <c r="E194" s="19" t="s">
        <v>19</v>
      </c>
      <c r="F194" s="19" t="s">
        <v>19</v>
      </c>
      <c r="G194" s="19">
        <v>18</v>
      </c>
      <c r="H194" s="19">
        <v>7</v>
      </c>
      <c r="I194" s="19">
        <v>7</v>
      </c>
      <c r="J194" s="19">
        <v>24</v>
      </c>
      <c r="K194" s="19">
        <v>19</v>
      </c>
      <c r="L194" s="19">
        <v>24</v>
      </c>
      <c r="M194" s="19">
        <v>17</v>
      </c>
      <c r="N194" s="19">
        <v>76</v>
      </c>
      <c r="O194" s="19">
        <v>53</v>
      </c>
      <c r="P194" s="19">
        <v>46</v>
      </c>
      <c r="Q194" s="18">
        <v>123</v>
      </c>
      <c r="R194" s="12" t="s">
        <v>151</v>
      </c>
      <c r="S194" s="19" t="s">
        <v>16</v>
      </c>
      <c r="T194" s="19" t="s">
        <v>19</v>
      </c>
      <c r="U194" s="19" t="s">
        <v>19</v>
      </c>
      <c r="V194" s="19">
        <v>18</v>
      </c>
      <c r="W194" s="19">
        <v>35</v>
      </c>
      <c r="X194" s="19">
        <v>23</v>
      </c>
      <c r="Y194" s="19">
        <v>18</v>
      </c>
      <c r="Z194" s="19">
        <v>36</v>
      </c>
      <c r="AA194" s="19">
        <v>2</v>
      </c>
      <c r="AB194" s="19">
        <v>39</v>
      </c>
      <c r="AC194" s="19">
        <v>58</v>
      </c>
      <c r="AD194" s="19">
        <v>10</v>
      </c>
      <c r="AE194" s="19">
        <v>50</v>
      </c>
      <c r="AF194" s="19">
        <v>38</v>
      </c>
      <c r="AG194" s="19">
        <v>85</v>
      </c>
      <c r="AH194" s="19">
        <v>46</v>
      </c>
      <c r="AI194" s="6">
        <f>H$1*((-2*10^-6)*H194^3+0.00032*H194^2-0.0021*H194)+I$1*((-2*10^-6)*I194^3+0.00032*I194^2-0.0021*I194)+J$1*((-2*10^-6)*J194^3+0.00032*J194^2-0.0021*J194)+K$1*((-2*10^-6)*K194^3+0.00032*K194^2-0.0021*K194)+L$1*((-2*10^-6)*L194^3+0.00032*L194^2-0.0021*L194)</f>
        <v>0.34796520000000009</v>
      </c>
      <c r="AJ194" s="6">
        <f>(M$1*M194+N$1*N194+O$1*O194)/100</f>
        <v>0.375</v>
      </c>
      <c r="AK194" s="6">
        <f>IF(AA194&lt;50,W$1*((-2*10^-6)*W194^3+0.00032*W194^2-0.0021*W194)+X$1*((-2*10^-6)*X194^3+0.00032*X194^2-0.0021*X194)+Y$1*((-2*10^-6)*Y194^3+0.00032*Y194^2-0.0021*Y194)+Z$1*((-2*10^-6)*Z194^3+0.00032*Z194^2-0.0021*Z194),X$2*((-2*10^-6)*X194^3+0.00032*X194^2-0.0021*AA194)+Y$2*((-2*10^-6)*Y194^3+0.00032*Y194^2-0.0021*Y194)+Z$2*((-2*10^-6)*Z194^3+0.00032*Z194^2-0.0021*Z194)+ AA$2*((-2*10^-6)*AA194^3+0.00032*AA194^2-0.0021*AA194))</f>
        <v>0.62942000000000009</v>
      </c>
      <c r="AL194" s="6">
        <f>(AB$1*AB194+AC$1*AC194)/100</f>
        <v>0.42800000000000005</v>
      </c>
      <c r="AM194" s="6">
        <f>AD$1*((-2*10^-6)*AD194^3+0.00032*AD194^2-0.0021*AD194)+AE$1*((-2*10^-6)*AE194^3+0.00032*AE194^2-0.0021*AE194)+AF$1*((-2*10^-6)*AF194^3+0.00032*AF194^2-0.0021*AF194)+AG$1*((-2*10^-6)*AG194^3+0.00032*AG194^2-0.0021*AG194)</f>
        <v>0.17127860000000006</v>
      </c>
    </row>
    <row r="195" spans="1:39" ht="15" thickBot="1" x14ac:dyDescent="0.35">
      <c r="A195" s="6">
        <f>(AI195*H$3+AJ195*M$3+AK195*W$3+AL195*AB$3+AM195*AD$3)*100/(AI$5*H$3+AJ$5*M$3+AK$5*W$3+AL$5*AB$3+AM$5*AD$3)</f>
        <v>10.697541257572587</v>
      </c>
      <c r="B195" s="18">
        <v>51</v>
      </c>
      <c r="C195" s="12" t="s">
        <v>79</v>
      </c>
      <c r="D195" s="19" t="s">
        <v>16</v>
      </c>
      <c r="E195" s="19" t="s">
        <v>21</v>
      </c>
      <c r="F195" s="19" t="s">
        <v>19</v>
      </c>
      <c r="G195" s="19">
        <v>18</v>
      </c>
      <c r="H195" s="19">
        <v>22</v>
      </c>
      <c r="I195" s="19">
        <v>7</v>
      </c>
      <c r="J195" s="19">
        <v>33</v>
      </c>
      <c r="K195" s="19">
        <v>22</v>
      </c>
      <c r="L195" s="19">
        <v>12</v>
      </c>
      <c r="M195" s="19">
        <v>21</v>
      </c>
      <c r="N195" s="19">
        <v>80</v>
      </c>
      <c r="O195" s="19">
        <v>45</v>
      </c>
      <c r="P195" s="19">
        <v>61</v>
      </c>
      <c r="Q195" s="18">
        <v>51</v>
      </c>
      <c r="R195" s="12" t="s">
        <v>79</v>
      </c>
      <c r="S195" s="19" t="s">
        <v>16</v>
      </c>
      <c r="T195" s="19" t="s">
        <v>21</v>
      </c>
      <c r="U195" s="19" t="s">
        <v>19</v>
      </c>
      <c r="V195" s="19">
        <v>18</v>
      </c>
      <c r="W195" s="19">
        <v>9</v>
      </c>
      <c r="X195" s="19">
        <v>25</v>
      </c>
      <c r="Y195" s="19">
        <v>31</v>
      </c>
      <c r="Z195" s="19">
        <v>32</v>
      </c>
      <c r="AA195" s="19">
        <v>22</v>
      </c>
      <c r="AB195" s="19">
        <v>16</v>
      </c>
      <c r="AC195" s="19">
        <v>73</v>
      </c>
      <c r="AD195" s="19">
        <v>71</v>
      </c>
      <c r="AE195" s="19">
        <v>40</v>
      </c>
      <c r="AF195" s="19">
        <v>45</v>
      </c>
      <c r="AG195" s="19">
        <v>86</v>
      </c>
      <c r="AH195" s="19">
        <v>61</v>
      </c>
      <c r="AI195" s="6">
        <f>H$1*((-2*10^-6)*H195^3+0.00032*H195^2-0.0021*H195)+I$1*((-2*10^-6)*I195^3+0.00032*I195^2-0.0021*I195)+J$1*((-2*10^-6)*J195^3+0.00032*J195^2-0.0021*J195)+K$1*((-2*10^-6)*K195^3+0.00032*K195^2-0.0021*K195)+L$1*((-2*10^-6)*L195^3+0.00032*L195^2-0.0021*L195)</f>
        <v>0.32059560000000004</v>
      </c>
      <c r="AJ195" s="6">
        <f>(M$1*M195+N$1*N195+O$1*O195)/100</f>
        <v>0.41499999999999998</v>
      </c>
      <c r="AK195" s="6">
        <f>IF(AA195&lt;50,W$1*((-2*10^-6)*W195^3+0.00032*W195^2-0.0021*W195)+X$1*((-2*10^-6)*X195^3+0.00032*X195^2-0.0021*X195)+Y$1*((-2*10^-6)*Y195^3+0.00032*Y195^2-0.0021*Y195)+Z$1*((-2*10^-6)*Z195^3+0.00032*Z195^2-0.0021*Z195),X$2*((-2*10^-6)*X195^3+0.00032*X195^2-0.0021*AA195)+Y$2*((-2*10^-6)*Y195^3+0.00032*Y195^2-0.0021*Y195)+Z$2*((-2*10^-6)*Z195^3+0.00032*Z195^2-0.0021*Z195)+ AA$2*((-2*10^-6)*AA195^3+0.00032*AA195^2-0.0021*AA195))</f>
        <v>0.49959400000000009</v>
      </c>
      <c r="AL195" s="6">
        <f>(AB$1*AB195+AC$1*AC195)/100</f>
        <v>0.27400000000000002</v>
      </c>
      <c r="AM195" s="6">
        <f>AD$1*((-2*10^-6)*AD195^3+0.00032*AD195^2-0.0021*AD195)+AE$1*((-2*10^-6)*AE195^3+0.00032*AE195^2-0.0021*AE195)+AF$1*((-2*10^-6)*AF195^3+0.00032*AF195^2-0.0021*AF195)+AG$1*((-2*10^-6)*AG195^3+0.00032*AG195^2-0.0021*AG195)</f>
        <v>0.90672380000000019</v>
      </c>
    </row>
    <row r="196" spans="1:39" ht="15" thickBot="1" x14ac:dyDescent="0.35">
      <c r="A196" s="6">
        <f>(AI196*H$3+AJ196*M$3+AK196*W$3+AL196*AB$3+AM196*AD$3)*100/(AI$5*H$3+AJ$5*M$3+AK$5*W$3+AL$5*AB$3+AM$5*AD$3)</f>
        <v>10.567915783819268</v>
      </c>
      <c r="B196" s="20">
        <v>14</v>
      </c>
      <c r="C196" s="13" t="s">
        <v>42</v>
      </c>
      <c r="D196" s="21" t="s">
        <v>16</v>
      </c>
      <c r="E196" s="21" t="s">
        <v>19</v>
      </c>
      <c r="F196" s="21" t="s">
        <v>19</v>
      </c>
      <c r="G196" s="21">
        <v>18</v>
      </c>
      <c r="H196" s="21">
        <v>19</v>
      </c>
      <c r="I196" s="21">
        <v>5</v>
      </c>
      <c r="J196" s="21">
        <v>35</v>
      </c>
      <c r="K196" s="21">
        <v>26</v>
      </c>
      <c r="L196" s="21">
        <v>27</v>
      </c>
      <c r="M196" s="21">
        <v>8</v>
      </c>
      <c r="N196" s="21">
        <v>66</v>
      </c>
      <c r="O196" s="21">
        <v>63</v>
      </c>
      <c r="P196" s="21">
        <v>73</v>
      </c>
      <c r="Q196" s="20">
        <v>14</v>
      </c>
      <c r="R196" s="13" t="s">
        <v>42</v>
      </c>
      <c r="S196" s="21" t="s">
        <v>16</v>
      </c>
      <c r="T196" s="21" t="s">
        <v>19</v>
      </c>
      <c r="U196" s="21" t="s">
        <v>19</v>
      </c>
      <c r="V196" s="21">
        <v>18</v>
      </c>
      <c r="W196" s="21">
        <v>9</v>
      </c>
      <c r="X196" s="21">
        <v>0</v>
      </c>
      <c r="Y196" s="21">
        <v>23</v>
      </c>
      <c r="Z196" s="21">
        <v>30</v>
      </c>
      <c r="AA196" s="21">
        <v>8</v>
      </c>
      <c r="AB196" s="21">
        <v>23</v>
      </c>
      <c r="AC196" s="21">
        <v>99</v>
      </c>
      <c r="AD196" s="21">
        <v>35</v>
      </c>
      <c r="AE196" s="21">
        <v>61</v>
      </c>
      <c r="AF196" s="21">
        <v>43</v>
      </c>
      <c r="AG196" s="21">
        <v>71</v>
      </c>
      <c r="AH196" s="21">
        <v>73</v>
      </c>
      <c r="AI196" s="6">
        <f>H$1*((-2*10^-6)*H196^3+0.00032*H196^2-0.0021*H196)+I$1*((-2*10^-6)*I196^3+0.00032*I196^2-0.0021*I196)+J$1*((-2*10^-6)*J196^3+0.00032*J196^2-0.0021*J196)+K$1*((-2*10^-6)*K196^3+0.00032*K196^2-0.0021*K196)+L$1*((-2*10^-6)*L196^3+0.00032*L196^2-0.0021*L196)</f>
        <v>0.59917720000000019</v>
      </c>
      <c r="AJ196" s="6">
        <f>(M$1*M196+N$1*N196+O$1*O196)/100</f>
        <v>0.27500000000000002</v>
      </c>
      <c r="AK196" s="6">
        <f>IF(AA196&lt;50,W$1*((-2*10^-6)*W196^3+0.00032*W196^2-0.0021*W196)+X$1*((-2*10^-6)*X196^3+0.00032*X196^2-0.0021*X196)+Y$1*((-2*10^-6)*Y196^3+0.00032*Y196^2-0.0021*Y196)+Z$1*((-2*10^-6)*Z196^3+0.00032*Z196^2-0.0021*Z196),X$2*((-2*10^-6)*X196^3+0.00032*X196^2-0.0021*AA196)+Y$2*((-2*10^-6)*Y196^3+0.00032*Y196^2-0.0021*Y196)+Z$2*((-2*10^-6)*Z196^3+0.00032*Z196^2-0.0021*Z196)+ AA$2*((-2*10^-6)*AA196^3+0.00032*AA196^2-0.0021*AA196))</f>
        <v>0.27320800000000006</v>
      </c>
      <c r="AL196" s="6">
        <f>(AB$1*AB196+AC$1*AC196)/100</f>
        <v>0.38200000000000001</v>
      </c>
      <c r="AM196" s="6">
        <f>AD$1*((-2*10^-6)*AD196^3+0.00032*AD196^2-0.0021*AD196)+AE$1*((-2*10^-6)*AE196^3+0.00032*AE196^2-0.0021*AE196)+AF$1*((-2*10^-6)*AF196^3+0.00032*AF196^2-0.0021*AF196)+AG$1*((-2*10^-6)*AG196^3+0.00032*AG196^2-0.0021*AG196)</f>
        <v>0.40267220000000004</v>
      </c>
    </row>
    <row r="197" spans="1:39" ht="15" thickBot="1" x14ac:dyDescent="0.35">
      <c r="A197" s="6">
        <f>(AI197*H$3+AJ197*M$3+AK197*W$3+AL197*AB$3+AM197*AD$3)*100/(AI$5*H$3+AJ$5*M$3+AK$5*W$3+AL$5*AB$3+AM$5*AD$3)</f>
        <v>10.549448655585064</v>
      </c>
      <c r="B197" s="20">
        <v>162</v>
      </c>
      <c r="C197" s="13" t="s">
        <v>190</v>
      </c>
      <c r="D197" s="21" t="s">
        <v>16</v>
      </c>
      <c r="E197" s="21" t="s">
        <v>21</v>
      </c>
      <c r="F197" s="21" t="s">
        <v>19</v>
      </c>
      <c r="G197" s="21">
        <v>18</v>
      </c>
      <c r="H197" s="21">
        <v>19</v>
      </c>
      <c r="I197" s="21">
        <v>10</v>
      </c>
      <c r="J197" s="21">
        <v>29</v>
      </c>
      <c r="K197" s="21">
        <v>14</v>
      </c>
      <c r="L197" s="21">
        <v>3</v>
      </c>
      <c r="M197" s="21">
        <v>23</v>
      </c>
      <c r="N197" s="21">
        <v>71</v>
      </c>
      <c r="O197" s="21">
        <v>59</v>
      </c>
      <c r="P197" s="21">
        <v>38</v>
      </c>
      <c r="Q197" s="20">
        <v>162</v>
      </c>
      <c r="R197" s="13" t="s">
        <v>190</v>
      </c>
      <c r="S197" s="21" t="s">
        <v>16</v>
      </c>
      <c r="T197" s="21" t="s">
        <v>21</v>
      </c>
      <c r="U197" s="21" t="s">
        <v>19</v>
      </c>
      <c r="V197" s="21">
        <v>18</v>
      </c>
      <c r="W197" s="21">
        <v>43</v>
      </c>
      <c r="X197" s="21">
        <v>17</v>
      </c>
      <c r="Y197" s="21">
        <v>37</v>
      </c>
      <c r="Z197" s="21">
        <v>13</v>
      </c>
      <c r="AA197" s="21">
        <v>0</v>
      </c>
      <c r="AB197" s="21">
        <v>53</v>
      </c>
      <c r="AC197" s="21">
        <v>77</v>
      </c>
      <c r="AD197" s="21">
        <v>30</v>
      </c>
      <c r="AE197" s="21">
        <v>63</v>
      </c>
      <c r="AF197" s="21">
        <v>10</v>
      </c>
      <c r="AG197" s="21">
        <v>57</v>
      </c>
      <c r="AH197" s="21">
        <v>38</v>
      </c>
      <c r="AI197" s="6">
        <f>H$1*((-2*10^-6)*H197^3+0.00032*H197^2-0.0021*H197)+I$1*((-2*10^-6)*I197^3+0.00032*I197^2-0.0021*I197)+J$1*((-2*10^-6)*J197^3+0.00032*J197^2-0.0021*J197)+K$1*((-2*10^-6)*K197^3+0.00032*K197^2-0.0021*K197)+L$1*((-2*10^-6)*L197^3+0.00032*L197^2-0.0021*L197)</f>
        <v>0.19019000000000003</v>
      </c>
      <c r="AJ197" s="6">
        <f>(M$1*M197+N$1*N197+O$1*O197)/100</f>
        <v>0.43099999999999999</v>
      </c>
      <c r="AK197" s="6">
        <f>IF(AA197&lt;50,W$1*((-2*10^-6)*W197^3+0.00032*W197^2-0.0021*W197)+X$1*((-2*10^-6)*X197^3+0.00032*X197^2-0.0021*X197)+Y$1*((-2*10^-6)*Y197^3+0.00032*Y197^2-0.0021*Y197)+Z$1*((-2*10^-6)*Z197^3+0.00032*Z197^2-0.0021*Z197),X$2*((-2*10^-6)*X197^3+0.00032*X197^2-0.0021*AA197)+Y$2*((-2*10^-6)*Y197^3+0.00032*Y197^2-0.0021*Y197)+Z$2*((-2*10^-6)*Z197^3+0.00032*Z197^2-0.0021*Z197)+ AA$2*((-2*10^-6)*AA197^3+0.00032*AA197^2-0.0021*AA197))</f>
        <v>0.67078000000000015</v>
      </c>
      <c r="AL197" s="6">
        <f>(AB$1*AB197+AC$1*AC197)/100</f>
        <v>0.57800000000000007</v>
      </c>
      <c r="AM197" s="6">
        <f>AD$1*((-2*10^-6)*AD197^3+0.00032*AD197^2-0.0021*AD197)+AE$1*((-2*10^-6)*AE197^3+0.00032*AE197^2-0.0021*AE197)+AF$1*((-2*10^-6)*AF197^3+0.00032*AF197^2-0.0021*AF197)+AG$1*((-2*10^-6)*AG197^3+0.00032*AG197^2-0.0021*AG197)</f>
        <v>0.29062800000000011</v>
      </c>
    </row>
    <row r="198" spans="1:39" ht="15" thickBot="1" x14ac:dyDescent="0.35">
      <c r="A198" s="6">
        <f>(AI198*H$3+AJ198*M$3+AK198*W$3+AL198*AB$3+AM198*AD$3)*100/(AI$5*H$3+AJ$5*M$3+AK$5*W$3+AL$5*AB$3+AM$5*AD$3)</f>
        <v>10.354193201826373</v>
      </c>
      <c r="B198" s="20">
        <v>134</v>
      </c>
      <c r="C198" s="13" t="s">
        <v>162</v>
      </c>
      <c r="D198" s="21" t="s">
        <v>16</v>
      </c>
      <c r="E198" s="21" t="s">
        <v>20</v>
      </c>
      <c r="F198" s="21" t="s">
        <v>20</v>
      </c>
      <c r="G198" s="21">
        <v>18</v>
      </c>
      <c r="H198" s="21">
        <v>2</v>
      </c>
      <c r="I198" s="21">
        <v>0</v>
      </c>
      <c r="J198" s="21">
        <v>23</v>
      </c>
      <c r="K198" s="21">
        <v>28</v>
      </c>
      <c r="L198" s="21">
        <v>16</v>
      </c>
      <c r="M198" s="21">
        <v>22</v>
      </c>
      <c r="N198" s="21">
        <v>67</v>
      </c>
      <c r="O198" s="21">
        <v>66</v>
      </c>
      <c r="P198" s="21">
        <v>44</v>
      </c>
      <c r="Q198" s="20">
        <v>134</v>
      </c>
      <c r="R198" s="13" t="s">
        <v>162</v>
      </c>
      <c r="S198" s="21" t="s">
        <v>16</v>
      </c>
      <c r="T198" s="21" t="s">
        <v>20</v>
      </c>
      <c r="U198" s="21" t="s">
        <v>20</v>
      </c>
      <c r="V198" s="21">
        <v>18</v>
      </c>
      <c r="W198" s="21">
        <v>11</v>
      </c>
      <c r="X198" s="21">
        <v>52</v>
      </c>
      <c r="Y198" s="21">
        <v>25</v>
      </c>
      <c r="Z198" s="21">
        <v>18</v>
      </c>
      <c r="AA198" s="21">
        <v>12</v>
      </c>
      <c r="AB198" s="21">
        <v>39</v>
      </c>
      <c r="AC198" s="21">
        <v>56</v>
      </c>
      <c r="AD198" s="21">
        <v>9</v>
      </c>
      <c r="AE198" s="21">
        <v>95</v>
      </c>
      <c r="AF198" s="21">
        <v>40</v>
      </c>
      <c r="AG198" s="21">
        <v>76</v>
      </c>
      <c r="AH198" s="21">
        <v>44</v>
      </c>
      <c r="AI198" s="6">
        <f>H$1*((-2*10^-6)*H198^3+0.00032*H198^2-0.0021*H198)+I$1*((-2*10^-6)*I198^3+0.00032*I198^2-0.0021*I198)+J$1*((-2*10^-6)*J198^3+0.00032*J198^2-0.0021*J198)+K$1*((-2*10^-6)*K198^3+0.00032*K198^2-0.0021*K198)+L$1*((-2*10^-6)*L198^3+0.00032*L198^2-0.0021*L198)</f>
        <v>0.26187400000000005</v>
      </c>
      <c r="AJ198" s="6">
        <f>(M$1*M198+N$1*N198+O$1*O198)/100</f>
        <v>0.42</v>
      </c>
      <c r="AK198" s="6">
        <f>IF(AA198&lt;50,W$1*((-2*10^-6)*W198^3+0.00032*W198^2-0.0021*W198)+X$1*((-2*10^-6)*X198^3+0.00032*X198^2-0.0021*X198)+Y$1*((-2*10^-6)*Y198^3+0.00032*Y198^2-0.0021*Y198)+Z$1*((-2*10^-6)*Z198^3+0.00032*Z198^2-0.0021*Z198),X$2*((-2*10^-6)*X198^3+0.00032*X198^2-0.0021*AA198)+Y$2*((-2*10^-6)*Y198^3+0.00032*Y198^2-0.0021*Y198)+Z$2*((-2*10^-6)*Z198^3+0.00032*Z198^2-0.0021*Z198)+ AA$2*((-2*10^-6)*AA198^3+0.00032*AA198^2-0.0021*AA198))</f>
        <v>0.65828800000000021</v>
      </c>
      <c r="AL198" s="6">
        <f>(AB$1*AB198+AC$1*AC198)/100</f>
        <v>0.42400000000000004</v>
      </c>
      <c r="AM198" s="6">
        <f>AD$1*((-2*10^-6)*AD198^3+0.00032*AD198^2-0.0021*AD198)+AE$1*((-2*10^-6)*AE198^3+0.00032*AE198^2-0.0021*AE198)+AF$1*((-2*10^-6)*AF198^3+0.00032*AF198^2-0.0021*AF198)+AG$1*((-2*10^-6)*AG198^3+0.00032*AG198^2-0.0021*AG198)</f>
        <v>0.21401380000000009</v>
      </c>
    </row>
    <row r="199" spans="1:39" ht="15" thickBot="1" x14ac:dyDescent="0.35">
      <c r="A199" s="6">
        <f>(AI199*H$3+AJ199*M$3+AK199*W$3+AL199*AB$3+AM199*AD$3)*100/(AI$5*H$3+AJ$5*M$3+AK$5*W$3+AL$5*AB$3+AM$5*AD$3)</f>
        <v>10.186447372347725</v>
      </c>
      <c r="B199" s="18">
        <v>127</v>
      </c>
      <c r="C199" s="12" t="s">
        <v>155</v>
      </c>
      <c r="D199" s="19" t="s">
        <v>16</v>
      </c>
      <c r="E199" s="19" t="s">
        <v>19</v>
      </c>
      <c r="F199" s="19" t="s">
        <v>19</v>
      </c>
      <c r="G199" s="19">
        <v>18</v>
      </c>
      <c r="H199" s="19">
        <v>26</v>
      </c>
      <c r="I199" s="19">
        <v>23</v>
      </c>
      <c r="J199" s="19">
        <v>25</v>
      </c>
      <c r="K199" s="19">
        <v>14</v>
      </c>
      <c r="L199" s="19">
        <v>17</v>
      </c>
      <c r="M199" s="19">
        <v>8</v>
      </c>
      <c r="N199" s="19">
        <v>74</v>
      </c>
      <c r="O199" s="19">
        <v>77</v>
      </c>
      <c r="P199" s="19">
        <v>45</v>
      </c>
      <c r="Q199" s="18">
        <v>127</v>
      </c>
      <c r="R199" s="12" t="s">
        <v>155</v>
      </c>
      <c r="S199" s="19" t="s">
        <v>16</v>
      </c>
      <c r="T199" s="19" t="s">
        <v>19</v>
      </c>
      <c r="U199" s="19" t="s">
        <v>19</v>
      </c>
      <c r="V199" s="19">
        <v>18</v>
      </c>
      <c r="W199" s="19">
        <v>20</v>
      </c>
      <c r="X199" s="19">
        <v>14</v>
      </c>
      <c r="Y199" s="19">
        <v>25</v>
      </c>
      <c r="Z199" s="19">
        <v>26</v>
      </c>
      <c r="AA199" s="19">
        <v>7</v>
      </c>
      <c r="AB199" s="19">
        <v>25</v>
      </c>
      <c r="AC199" s="19">
        <v>79</v>
      </c>
      <c r="AD199" s="19">
        <v>28</v>
      </c>
      <c r="AE199" s="19">
        <v>82</v>
      </c>
      <c r="AF199" s="19">
        <v>51</v>
      </c>
      <c r="AG199" s="19">
        <v>80</v>
      </c>
      <c r="AH199" s="19">
        <v>45</v>
      </c>
      <c r="AI199" s="6">
        <f>H$1*((-2*10^-6)*H199^3+0.00032*H199^2-0.0021*H199)+I$1*((-2*10^-6)*I199^3+0.00032*I199^2-0.0021*I199)+J$1*((-2*10^-6)*J199^3+0.00032*J199^2-0.0021*J199)+K$1*((-2*10^-6)*K199^3+0.00032*K199^2-0.0021*K199)+L$1*((-2*10^-6)*L199^3+0.00032*L199^2-0.0021*L199)</f>
        <v>0.51517440000000003</v>
      </c>
      <c r="AJ199" s="6">
        <f>(M$1*M199+N$1*N199+O$1*O199)/100</f>
        <v>0.30499999999999999</v>
      </c>
      <c r="AK199" s="6">
        <f>IF(AA199&lt;50,W$1*((-2*10^-6)*W199^3+0.00032*W199^2-0.0021*W199)+X$1*((-2*10^-6)*X199^3+0.00032*X199^2-0.0021*X199)+Y$1*((-2*10^-6)*Y199^3+0.00032*Y199^2-0.0021*Y199)+Z$1*((-2*10^-6)*Z199^3+0.00032*Z199^2-0.0021*Z199),X$2*((-2*10^-6)*X199^3+0.00032*X199^2-0.0021*AA199)+Y$2*((-2*10^-6)*Y199^3+0.00032*Y199^2-0.0021*Y199)+Z$2*((-2*10^-6)*Z199^3+0.00032*Z199^2-0.0021*Z199)+ AA$2*((-2*10^-6)*AA199^3+0.00032*AA199^2-0.0021*AA199))</f>
        <v>0.34065000000000006</v>
      </c>
      <c r="AL199" s="6">
        <f>(AB$1*AB199+AC$1*AC199)/100</f>
        <v>0.35799999999999998</v>
      </c>
      <c r="AM199" s="6">
        <f>AD$1*((-2*10^-6)*AD199^3+0.00032*AD199^2-0.0021*AD199)+AE$1*((-2*10^-6)*AE199^3+0.00032*AE199^2-0.0021*AE199)+AF$1*((-2*10^-6)*AF199^3+0.00032*AF199^2-0.0021*AF199)+AG$1*((-2*10^-6)*AG199^3+0.00032*AG199^2-0.0021*AG199)</f>
        <v>0.36744220000000011</v>
      </c>
    </row>
    <row r="200" spans="1:39" ht="15" thickBot="1" x14ac:dyDescent="0.35">
      <c r="A200" s="6">
        <f>(AI200*H$3+AJ200*M$3+AK200*W$3+AL200*AB$3+AM200*AD$3)*100/(AI$5*H$3+AJ$5*M$3+AK$5*W$3+AL$5*AB$3+AM$5*AD$3)</f>
        <v>10.143006654928525</v>
      </c>
      <c r="B200" s="20">
        <v>106</v>
      </c>
      <c r="C200" s="13" t="s">
        <v>134</v>
      </c>
      <c r="D200" s="21" t="s">
        <v>16</v>
      </c>
      <c r="E200" s="21" t="s">
        <v>21</v>
      </c>
      <c r="F200" s="21" t="s">
        <v>20</v>
      </c>
      <c r="G200" s="21">
        <v>18</v>
      </c>
      <c r="H200" s="21">
        <v>12</v>
      </c>
      <c r="I200" s="21">
        <v>0</v>
      </c>
      <c r="J200" s="21">
        <v>29</v>
      </c>
      <c r="K200" s="21">
        <v>29</v>
      </c>
      <c r="L200" s="21">
        <v>19</v>
      </c>
      <c r="M200" s="21">
        <v>16</v>
      </c>
      <c r="N200" s="21">
        <v>82</v>
      </c>
      <c r="O200" s="21">
        <v>46</v>
      </c>
      <c r="P200" s="21">
        <v>49</v>
      </c>
      <c r="Q200" s="20">
        <v>106</v>
      </c>
      <c r="R200" s="13" t="s">
        <v>134</v>
      </c>
      <c r="S200" s="21" t="s">
        <v>16</v>
      </c>
      <c r="T200" s="21" t="s">
        <v>21</v>
      </c>
      <c r="U200" s="21" t="s">
        <v>20</v>
      </c>
      <c r="V200" s="21">
        <v>18</v>
      </c>
      <c r="W200" s="21">
        <v>0</v>
      </c>
      <c r="X200" s="21">
        <v>18</v>
      </c>
      <c r="Y200" s="21">
        <v>9</v>
      </c>
      <c r="Z200" s="21">
        <v>43</v>
      </c>
      <c r="AA200" s="21">
        <v>18</v>
      </c>
      <c r="AB200" s="21">
        <v>58</v>
      </c>
      <c r="AC200" s="21">
        <v>71</v>
      </c>
      <c r="AD200" s="21">
        <v>17</v>
      </c>
      <c r="AE200" s="21">
        <v>87</v>
      </c>
      <c r="AF200" s="21">
        <v>36</v>
      </c>
      <c r="AG200" s="21">
        <v>73</v>
      </c>
      <c r="AH200" s="21">
        <v>49</v>
      </c>
      <c r="AI200" s="6">
        <f>H$1*((-2*10^-6)*H200^3+0.00032*H200^2-0.0021*H200)+I$1*((-2*10^-6)*I200^3+0.00032*I200^2-0.0021*I200)+J$1*((-2*10^-6)*J200^3+0.00032*J200^2-0.0021*J200)+K$1*((-2*10^-6)*K200^3+0.00032*K200^2-0.0021*K200)+L$1*((-2*10^-6)*L200^3+0.00032*L200^2-0.0021*L200)</f>
        <v>0.37682720000000014</v>
      </c>
      <c r="AJ200" s="6">
        <f>(M$1*M200+N$1*N200+O$1*O200)/100</f>
        <v>0.37000000000000005</v>
      </c>
      <c r="AK200" s="6">
        <f>IF(AA200&lt;50,W$1*((-2*10^-6)*W200^3+0.00032*W200^2-0.0021*W200)+X$1*((-2*10^-6)*X200^3+0.00032*X200^2-0.0021*X200)+Y$1*((-2*10^-6)*Y200^3+0.00032*Y200^2-0.0021*Y200)+Z$1*((-2*10^-6)*Z200^3+0.00032*Z200^2-0.0021*Z200),X$2*((-2*10^-6)*X200^3+0.00032*X200^2-0.0021*AA200)+Y$2*((-2*10^-6)*Y200^3+0.00032*Y200^2-0.0021*Y200)+Z$2*((-2*10^-6)*Z200^3+0.00032*Z200^2-0.0021*Z200)+ AA$2*((-2*10^-6)*AA200^3+0.00032*AA200^2-0.0021*AA200))</f>
        <v>0.40214400000000011</v>
      </c>
      <c r="AL200" s="6">
        <f>(AB$1*AB200+AC$1*AC200)/100</f>
        <v>0.60600000000000009</v>
      </c>
      <c r="AM200" s="6">
        <f>AD$1*((-2*10^-6)*AD200^3+0.00032*AD200^2-0.0021*AD200)+AE$1*((-2*10^-6)*AE200^3+0.00032*AE200^2-0.0021*AE200)+AF$1*((-2*10^-6)*AF200^3+0.00032*AF200^2-0.0021*AF200)+AG$1*((-2*10^-6)*AG200^3+0.00032*AG200^2-0.0021*AG200)</f>
        <v>0.24116680000000007</v>
      </c>
    </row>
    <row r="201" spans="1:39" ht="15" thickBot="1" x14ac:dyDescent="0.35">
      <c r="A201" s="6">
        <f>(AI201*H$3+AJ201*M$3+AK201*W$3+AL201*AB$3+AM201*AD$3)*100/(AI$5*H$3+AJ$5*M$3+AK$5*W$3+AL$5*AB$3+AM$5*AD$3)</f>
        <v>9.9350847533498428</v>
      </c>
      <c r="B201" s="18">
        <v>113</v>
      </c>
      <c r="C201" s="12" t="s">
        <v>141</v>
      </c>
      <c r="D201" s="19" t="s">
        <v>16</v>
      </c>
      <c r="E201" s="19" t="s">
        <v>20</v>
      </c>
      <c r="F201" s="19" t="s">
        <v>20</v>
      </c>
      <c r="G201" s="19">
        <v>18</v>
      </c>
      <c r="H201" s="19">
        <v>16</v>
      </c>
      <c r="I201" s="19">
        <v>11</v>
      </c>
      <c r="J201" s="19">
        <v>13</v>
      </c>
      <c r="K201" s="19">
        <v>34</v>
      </c>
      <c r="L201" s="19">
        <v>18</v>
      </c>
      <c r="M201" s="19">
        <v>22</v>
      </c>
      <c r="N201" s="19">
        <v>63</v>
      </c>
      <c r="O201" s="19">
        <v>71</v>
      </c>
      <c r="P201" s="19">
        <v>48</v>
      </c>
      <c r="Q201" s="18">
        <v>113</v>
      </c>
      <c r="R201" s="12" t="s">
        <v>141</v>
      </c>
      <c r="S201" s="19" t="s">
        <v>16</v>
      </c>
      <c r="T201" s="19" t="s">
        <v>20</v>
      </c>
      <c r="U201" s="19" t="s">
        <v>20</v>
      </c>
      <c r="V201" s="19">
        <v>18</v>
      </c>
      <c r="W201" s="19">
        <v>0</v>
      </c>
      <c r="X201" s="19">
        <v>25</v>
      </c>
      <c r="Y201" s="19">
        <v>35</v>
      </c>
      <c r="Z201" s="19">
        <v>23</v>
      </c>
      <c r="AA201" s="19">
        <v>14</v>
      </c>
      <c r="AB201" s="19">
        <v>35</v>
      </c>
      <c r="AC201" s="19">
        <v>88</v>
      </c>
      <c r="AD201" s="19">
        <v>21</v>
      </c>
      <c r="AE201" s="19">
        <v>50</v>
      </c>
      <c r="AF201" s="19">
        <v>42</v>
      </c>
      <c r="AG201" s="19">
        <v>60</v>
      </c>
      <c r="AH201" s="19">
        <v>48</v>
      </c>
      <c r="AI201" s="6">
        <f>H$1*((-2*10^-6)*H201^3+0.00032*H201^2-0.0021*H201)+I$1*((-2*10^-6)*I201^3+0.00032*I201^2-0.0021*I201)+J$1*((-2*10^-6)*J201^3+0.00032*J201^2-0.0021*J201)+K$1*((-2*10^-6)*K201^3+0.00032*K201^2-0.0021*K201)+L$1*((-2*10^-6)*L201^3+0.00032*L201^2-0.0021*L201)</f>
        <v>0.37468040000000008</v>
      </c>
      <c r="AJ201" s="6">
        <f>(M$1*M201+N$1*N201+O$1*O201)/100</f>
        <v>0.41700000000000004</v>
      </c>
      <c r="AK201" s="6">
        <f>IF(AA201&lt;50,W$1*((-2*10^-6)*W201^3+0.00032*W201^2-0.0021*W201)+X$1*((-2*10^-6)*X201^3+0.00032*X201^2-0.0021*X201)+Y$1*((-2*10^-6)*Y201^3+0.00032*Y201^2-0.0021*Y201)+Z$1*((-2*10^-6)*Z201^3+0.00032*Z201^2-0.0021*Z201),X$2*((-2*10^-6)*X201^3+0.00032*X201^2-0.0021*AA201)+Y$2*((-2*10^-6)*Y201^3+0.00032*Y201^2-0.0021*Y201)+Z$2*((-2*10^-6)*Z201^3+0.00032*Z201^2-0.0021*Z201)+ AA$2*((-2*10^-6)*AA201^3+0.00032*AA201^2-0.0021*AA201))</f>
        <v>0.44564600000000004</v>
      </c>
      <c r="AL201" s="6">
        <f>(AB$1*AB201+AC$1*AC201)/100</f>
        <v>0.45600000000000002</v>
      </c>
      <c r="AM201" s="6">
        <f>AD$1*((-2*10^-6)*AD201^3+0.00032*AD201^2-0.0021*AD201)+AE$1*((-2*10^-6)*AE201^3+0.00032*AE201^2-0.0021*AE201)+AF$1*((-2*10^-6)*AF201^3+0.00032*AF201^2-0.0021*AF201)+AG$1*((-2*10^-6)*AG201^3+0.00032*AG201^2-0.0021*AG201)</f>
        <v>0.21520840000000008</v>
      </c>
    </row>
    <row r="202" spans="1:39" ht="15" thickBot="1" x14ac:dyDescent="0.35">
      <c r="A202" s="6">
        <f>(AI202*H$3+AJ202*M$3+AK202*W$3+AL202*AB$3+AM202*AD$3)*100/(AI$5*H$3+AJ$5*M$3+AK$5*W$3+AL$5*AB$3+AM$5*AD$3)</f>
        <v>9.9190935271121141</v>
      </c>
      <c r="B202" s="18">
        <v>153</v>
      </c>
      <c r="C202" s="12" t="s">
        <v>181</v>
      </c>
      <c r="D202" s="19" t="s">
        <v>16</v>
      </c>
      <c r="E202" s="19" t="s">
        <v>19</v>
      </c>
      <c r="F202" s="19" t="s">
        <v>19</v>
      </c>
      <c r="G202" s="19">
        <v>18</v>
      </c>
      <c r="H202" s="19">
        <v>17</v>
      </c>
      <c r="I202" s="19">
        <v>0</v>
      </c>
      <c r="J202" s="19">
        <v>36</v>
      </c>
      <c r="K202" s="19">
        <v>24</v>
      </c>
      <c r="L202" s="19">
        <v>12</v>
      </c>
      <c r="M202" s="19">
        <v>17</v>
      </c>
      <c r="N202" s="19">
        <v>75</v>
      </c>
      <c r="O202" s="19">
        <v>66</v>
      </c>
      <c r="P202" s="19">
        <v>40</v>
      </c>
      <c r="Q202" s="18">
        <v>153</v>
      </c>
      <c r="R202" s="12" t="s">
        <v>181</v>
      </c>
      <c r="S202" s="19" t="s">
        <v>16</v>
      </c>
      <c r="T202" s="19" t="s">
        <v>19</v>
      </c>
      <c r="U202" s="19" t="s">
        <v>19</v>
      </c>
      <c r="V202" s="19">
        <v>18</v>
      </c>
      <c r="W202" s="19">
        <v>22</v>
      </c>
      <c r="X202" s="19">
        <v>38</v>
      </c>
      <c r="Y202" s="19">
        <v>28</v>
      </c>
      <c r="Z202" s="19">
        <v>14</v>
      </c>
      <c r="AA202" s="19">
        <v>12</v>
      </c>
      <c r="AB202" s="19">
        <v>29</v>
      </c>
      <c r="AC202" s="19">
        <v>100</v>
      </c>
      <c r="AD202" s="19">
        <v>15</v>
      </c>
      <c r="AE202" s="19">
        <v>78</v>
      </c>
      <c r="AF202" s="19">
        <v>41</v>
      </c>
      <c r="AG202" s="19">
        <v>65</v>
      </c>
      <c r="AH202" s="19">
        <v>40</v>
      </c>
      <c r="AI202" s="6">
        <f>H$1*((-2*10^-6)*H202^3+0.00032*H202^2-0.0021*H202)+I$1*((-2*10^-6)*I202^3+0.00032*I202^2-0.0021*I202)+J$1*((-2*10^-6)*J202^3+0.00032*J202^2-0.0021*J202)+K$1*((-2*10^-6)*K202^3+0.00032*K202^2-0.0021*K202)+L$1*((-2*10^-6)*L202^3+0.00032*L202^2-0.0021*L202)</f>
        <v>0.31778920000000005</v>
      </c>
      <c r="AJ202" s="6">
        <f>(M$1*M202+N$1*N202+O$1*O202)/100</f>
        <v>0.38600000000000001</v>
      </c>
      <c r="AK202" s="6">
        <f>IF(AA202&lt;50,W$1*((-2*10^-6)*W202^3+0.00032*W202^2-0.0021*W202)+X$1*((-2*10^-6)*X202^3+0.00032*X202^2-0.0021*X202)+Y$1*((-2*10^-6)*Y202^3+0.00032*Y202^2-0.0021*Y202)+Z$1*((-2*10^-6)*Z202^3+0.00032*Z202^2-0.0021*Z202),X$2*((-2*10^-6)*X202^3+0.00032*X202^2-0.0021*AA202)+Y$2*((-2*10^-6)*Y202^3+0.00032*Y202^2-0.0021*Y202)+Z$2*((-2*10^-6)*Z202^3+0.00032*Z202^2-0.0021*Z202)+ AA$2*((-2*10^-6)*AA202^3+0.00032*AA202^2-0.0021*AA202))</f>
        <v>0.53592800000000007</v>
      </c>
      <c r="AL202" s="6">
        <f>(AB$1*AB202+AC$1*AC202)/100</f>
        <v>0.43200000000000005</v>
      </c>
      <c r="AM202" s="6">
        <f>AD$1*((-2*10^-6)*AD202^3+0.00032*AD202^2-0.0021*AD202)+AE$1*((-2*10^-6)*AE202^3+0.00032*AE202^2-0.0021*AE202)+AF$1*((-2*10^-6)*AF202^3+0.00032*AF202^2-0.0021*AF202)+AG$1*((-2*10^-6)*AG202^3+0.00032*AG202^2-0.0021*AG202)</f>
        <v>0.21517040000000007</v>
      </c>
    </row>
    <row r="203" spans="1:39" ht="15" thickBot="1" x14ac:dyDescent="0.35">
      <c r="A203" s="6">
        <f>(AI203*H$3+AJ203*M$3+AK203*W$3+AL203*AB$3+AM203*AD$3)*100/(AI$5*H$3+AJ$5*M$3+AK$5*W$3+AL$5*AB$3+AM$5*AD$3)</f>
        <v>9.6941693276433174</v>
      </c>
      <c r="B203" s="20">
        <v>118</v>
      </c>
      <c r="C203" s="13" t="s">
        <v>146</v>
      </c>
      <c r="D203" s="21" t="s">
        <v>16</v>
      </c>
      <c r="E203" s="21" t="s">
        <v>19</v>
      </c>
      <c r="F203" s="21" t="s">
        <v>19</v>
      </c>
      <c r="G203" s="21">
        <v>22</v>
      </c>
      <c r="H203" s="21">
        <v>1</v>
      </c>
      <c r="I203" s="21">
        <v>0</v>
      </c>
      <c r="J203" s="21">
        <v>19</v>
      </c>
      <c r="K203" s="21">
        <v>0</v>
      </c>
      <c r="L203" s="21">
        <v>11</v>
      </c>
      <c r="M203" s="21">
        <v>11</v>
      </c>
      <c r="N203" s="21">
        <v>52</v>
      </c>
      <c r="O203" s="21">
        <v>33</v>
      </c>
      <c r="P203" s="21">
        <v>63</v>
      </c>
      <c r="Q203" s="20">
        <v>118</v>
      </c>
      <c r="R203" s="13" t="s">
        <v>146</v>
      </c>
      <c r="S203" s="21" t="s">
        <v>16</v>
      </c>
      <c r="T203" s="21" t="s">
        <v>19</v>
      </c>
      <c r="U203" s="21" t="s">
        <v>19</v>
      </c>
      <c r="V203" s="21">
        <v>22</v>
      </c>
      <c r="W203" s="21">
        <v>35</v>
      </c>
      <c r="X203" s="21">
        <v>65</v>
      </c>
      <c r="Y203" s="21">
        <v>45</v>
      </c>
      <c r="Z203" s="21">
        <v>0</v>
      </c>
      <c r="AA203" s="21">
        <v>54</v>
      </c>
      <c r="AB203" s="21">
        <v>37</v>
      </c>
      <c r="AC203" s="21">
        <v>100</v>
      </c>
      <c r="AD203" s="21">
        <v>16</v>
      </c>
      <c r="AE203" s="21">
        <v>87</v>
      </c>
      <c r="AF203" s="21">
        <v>33</v>
      </c>
      <c r="AG203" s="21">
        <v>73</v>
      </c>
      <c r="AH203" s="21">
        <v>63</v>
      </c>
      <c r="AI203" s="6">
        <f>H$1*((-2*10^-6)*H203^3+0.00032*H203^2-0.0021*H203)+I$1*((-2*10^-6)*I203^3+0.00032*I203^2-0.0021*I203)+J$1*((-2*10^-6)*J203^3+0.00032*J203^2-0.0021*J203)+K$1*((-2*10^-6)*K203^3+0.00032*K203^2-0.0021*K203)+L$1*((-2*10^-6)*L203^3+0.00032*L203^2-0.0021*L203)</f>
        <v>6.3866800000000029E-2</v>
      </c>
      <c r="AJ203" s="6">
        <f>(M$1*M203+N$1*N203+O$1*O203)/100</f>
        <v>0.247</v>
      </c>
      <c r="AK203" s="6">
        <f>IF(AA203&lt;50,W$1*((-2*10^-6)*W203^3+0.00032*W203^2-0.0021*W203)+X$1*((-2*10^-6)*X203^3+0.00032*X203^2-0.0021*X203)+Y$1*((-2*10^-6)*Y203^3+0.00032*Y203^2-0.0021*Y203)+Z$1*((-2*10^-6)*Z203^3+0.00032*Z203^2-0.0021*Z203),X$2*((-2*10^-6)*X203^3+0.00032*X203^2-0.0021*AA203)+Y$2*((-2*10^-6)*Y203^3+0.00032*Y203^2-0.0021*Y203)+Z$2*((-2*10^-6)*Z203^3+0.00032*Z203^2-0.0021*Z203)+ AA$2*((-2*10^-6)*AA203^3+0.00032*AA203^2-0.0021*AA203))</f>
        <v>0.82828700000000011</v>
      </c>
      <c r="AL203" s="6">
        <f>(AB$1*AB203+AC$1*AC203)/100</f>
        <v>0.496</v>
      </c>
      <c r="AM203" s="6">
        <f>AD$1*((-2*10^-6)*AD203^3+0.00032*AD203^2-0.0021*AD203)+AE$1*((-2*10^-6)*AE203^3+0.00032*AE203^2-0.0021*AE203)+AF$1*((-2*10^-6)*AF203^3+0.00032*AF203^2-0.0021*AF203)+AG$1*((-2*10^-6)*AG203^3+0.00032*AG203^2-0.0021*AG203)</f>
        <v>0.2304906000000001</v>
      </c>
    </row>
    <row r="204" spans="1:39" ht="15" thickBot="1" x14ac:dyDescent="0.35">
      <c r="A204" s="6">
        <f>(AI204*H$3+AJ204*M$3+AK204*W$3+AL204*AB$3+AM204*AD$3)*100/(AI$5*H$3+AJ$5*M$3+AK$5*W$3+AL$5*AB$3+AM$5*AD$3)</f>
        <v>9.394698290011636</v>
      </c>
      <c r="B204" s="18">
        <v>77</v>
      </c>
      <c r="C204" s="12" t="s">
        <v>105</v>
      </c>
      <c r="D204" s="19" t="s">
        <v>16</v>
      </c>
      <c r="E204" s="19" t="s">
        <v>19</v>
      </c>
      <c r="F204" s="19" t="s">
        <v>19</v>
      </c>
      <c r="G204" s="19">
        <v>18</v>
      </c>
      <c r="H204" s="19">
        <v>16</v>
      </c>
      <c r="I204" s="19">
        <v>0</v>
      </c>
      <c r="J204" s="19">
        <v>29</v>
      </c>
      <c r="K204" s="19">
        <v>27</v>
      </c>
      <c r="L204" s="19">
        <v>12</v>
      </c>
      <c r="M204" s="19">
        <v>17</v>
      </c>
      <c r="N204" s="19">
        <v>64</v>
      </c>
      <c r="O204" s="19">
        <v>44</v>
      </c>
      <c r="P204" s="19">
        <v>56</v>
      </c>
      <c r="Q204" s="18">
        <v>77</v>
      </c>
      <c r="R204" s="12" t="s">
        <v>105</v>
      </c>
      <c r="S204" s="19" t="s">
        <v>16</v>
      </c>
      <c r="T204" s="19" t="s">
        <v>19</v>
      </c>
      <c r="U204" s="19" t="s">
        <v>19</v>
      </c>
      <c r="V204" s="19">
        <v>18</v>
      </c>
      <c r="W204" s="19">
        <v>13</v>
      </c>
      <c r="X204" s="19">
        <v>23</v>
      </c>
      <c r="Y204" s="19">
        <v>41</v>
      </c>
      <c r="Z204" s="19">
        <v>19</v>
      </c>
      <c r="AA204" s="19">
        <v>28</v>
      </c>
      <c r="AB204" s="19">
        <v>25</v>
      </c>
      <c r="AC204" s="19">
        <v>82</v>
      </c>
      <c r="AD204" s="19">
        <v>40</v>
      </c>
      <c r="AE204" s="19">
        <v>27</v>
      </c>
      <c r="AF204" s="19">
        <v>59</v>
      </c>
      <c r="AG204" s="19">
        <v>50</v>
      </c>
      <c r="AH204" s="19">
        <v>56</v>
      </c>
      <c r="AI204" s="6">
        <f>H$1*((-2*10^-6)*H204^3+0.00032*H204^2-0.0021*H204)+I$1*((-2*10^-6)*I204^3+0.00032*I204^2-0.0021*I204)+J$1*((-2*10^-6)*J204^3+0.00032*J204^2-0.0021*J204)+K$1*((-2*10^-6)*K204^3+0.00032*K204^2-0.0021*K204)+L$1*((-2*10^-6)*L204^3+0.00032*L204^2-0.0021*L204)</f>
        <v>0.28389720000000007</v>
      </c>
      <c r="AJ204" s="6">
        <f>(M$1*M204+N$1*N204+O$1*O204)/100</f>
        <v>0.34200000000000003</v>
      </c>
      <c r="AK204" s="6">
        <f>IF(AA204&lt;50,W$1*((-2*10^-6)*W204^3+0.00032*W204^2-0.0021*W204)+X$1*((-2*10^-6)*X204^3+0.00032*X204^2-0.0021*X204)+Y$1*((-2*10^-6)*Y204^3+0.00032*Y204^2-0.0021*Y204)+Z$1*((-2*10^-6)*Z204^3+0.00032*Z204^2-0.0021*Z204),X$2*((-2*10^-6)*X204^3+0.00032*X204^2-0.0021*AA204)+Y$2*((-2*10^-6)*Y204^3+0.00032*Y204^2-0.0021*Y204)+Z$2*((-2*10^-6)*Z204^3+0.00032*Z204^2-0.0021*Z204)+ AA$2*((-2*10^-6)*AA204^3+0.00032*AA204^2-0.0021*AA204))</f>
        <v>0.49491200000000007</v>
      </c>
      <c r="AL204" s="6">
        <f>(AB$1*AB204+AC$1*AC204)/100</f>
        <v>0.36400000000000005</v>
      </c>
      <c r="AM204" s="6">
        <f>AD$1*((-2*10^-6)*AD204^3+0.00032*AD204^2-0.0021*AD204)+AE$1*((-2*10^-6)*AE204^3+0.00032*AE204^2-0.0021*AE204)+AF$1*((-2*10^-6)*AF204^3+0.00032*AF204^2-0.0021*AF204)+AG$1*((-2*10^-6)*AG204^3+0.00032*AG204^2-0.0021*AG204)</f>
        <v>0.41614760000000006</v>
      </c>
    </row>
    <row r="205" spans="1:39" ht="15" thickBot="1" x14ac:dyDescent="0.35">
      <c r="A205" s="6">
        <f>(AI205*H$3+AJ205*M$3+AK205*W$3+AL205*AB$3+AM205*AD$3)*100/(AI$5*H$3+AJ$5*M$3+AK$5*W$3+AL$5*AB$3+AM$5*AD$3)</f>
        <v>9.294189471485268</v>
      </c>
      <c r="B205" s="18">
        <v>149</v>
      </c>
      <c r="C205" s="12" t="s">
        <v>177</v>
      </c>
      <c r="D205" s="19" t="s">
        <v>16</v>
      </c>
      <c r="E205" s="19" t="s">
        <v>21</v>
      </c>
      <c r="F205" s="19" t="s">
        <v>19</v>
      </c>
      <c r="G205" s="19">
        <v>18</v>
      </c>
      <c r="H205" s="19">
        <v>15</v>
      </c>
      <c r="I205" s="19">
        <v>0</v>
      </c>
      <c r="J205" s="19">
        <v>29</v>
      </c>
      <c r="K205" s="19">
        <v>24</v>
      </c>
      <c r="L205" s="19">
        <v>18</v>
      </c>
      <c r="M205" s="19">
        <v>16</v>
      </c>
      <c r="N205" s="19">
        <v>60</v>
      </c>
      <c r="O205" s="19">
        <v>35</v>
      </c>
      <c r="P205" s="19">
        <v>42</v>
      </c>
      <c r="Q205" s="18">
        <v>149</v>
      </c>
      <c r="R205" s="12" t="s">
        <v>177</v>
      </c>
      <c r="S205" s="19" t="s">
        <v>16</v>
      </c>
      <c r="T205" s="19" t="s">
        <v>21</v>
      </c>
      <c r="U205" s="19" t="s">
        <v>19</v>
      </c>
      <c r="V205" s="19">
        <v>18</v>
      </c>
      <c r="W205" s="19">
        <v>22</v>
      </c>
      <c r="X205" s="19">
        <v>26</v>
      </c>
      <c r="Y205" s="19">
        <v>19</v>
      </c>
      <c r="Z205" s="19">
        <v>30</v>
      </c>
      <c r="AA205" s="19">
        <v>2</v>
      </c>
      <c r="AB205" s="19">
        <v>37</v>
      </c>
      <c r="AC205" s="19">
        <v>95</v>
      </c>
      <c r="AD205" s="19">
        <v>4</v>
      </c>
      <c r="AE205" s="19">
        <v>83</v>
      </c>
      <c r="AF205" s="19">
        <v>28</v>
      </c>
      <c r="AG205" s="19">
        <v>52</v>
      </c>
      <c r="AH205" s="19">
        <v>42</v>
      </c>
      <c r="AI205" s="6">
        <f>H$1*((-2*10^-6)*H205^3+0.00032*H205^2-0.0021*H205)+I$1*((-2*10^-6)*I205^3+0.00032*I205^2-0.0021*I205)+J$1*((-2*10^-6)*J205^3+0.00032*J205^2-0.0021*J205)+K$1*((-2*10^-6)*K205^3+0.00032*K205^2-0.0021*K205)+L$1*((-2*10^-6)*L205^3+0.00032*L205^2-0.0021*L205)</f>
        <v>0.33370800000000006</v>
      </c>
      <c r="AJ205" s="6">
        <f>(M$1*M205+N$1*N205+O$1*O205)/100</f>
        <v>0.315</v>
      </c>
      <c r="AK205" s="6">
        <f>IF(AA205&lt;50,W$1*((-2*10^-6)*W205^3+0.00032*W205^2-0.0021*W205)+X$1*((-2*10^-6)*X205^3+0.00032*X205^2-0.0021*X205)+Y$1*((-2*10^-6)*Y205^3+0.00032*Y205^2-0.0021*Y205)+Z$1*((-2*10^-6)*Z205^3+0.00032*Z205^2-0.0021*Z205),X$2*((-2*10^-6)*X205^3+0.00032*X205^2-0.0021*AA205)+Y$2*((-2*10^-6)*Y205^3+0.00032*Y205^2-0.0021*Y205)+Z$2*((-2*10^-6)*Z205^3+0.00032*Z205^2-0.0021*Z205)+ AA$2*((-2*10^-6)*AA205^3+0.00032*AA205^2-0.0021*AA205))</f>
        <v>0.44685400000000008</v>
      </c>
      <c r="AL205" s="6">
        <f>(AB$1*AB205+AC$1*AC205)/100</f>
        <v>0.48599999999999999</v>
      </c>
      <c r="AM205" s="6">
        <f>AD$1*((-2*10^-6)*AD205^3+0.00032*AD205^2-0.0021*AD205)+AE$1*((-2*10^-6)*AE205^3+0.00032*AE205^2-0.0021*AE205)+AF$1*((-2*10^-6)*AF205^3+0.00032*AF205^2-0.0021*AF205)+AG$1*((-2*10^-6)*AG205^3+0.00032*AG205^2-0.0021*AG205)</f>
        <v>0.14755660000000007</v>
      </c>
    </row>
    <row r="206" spans="1:39" ht="15" thickBot="1" x14ac:dyDescent="0.35">
      <c r="A206" s="6">
        <f>(AI206*H$3+AJ206*M$3+AK206*W$3+AL206*AB$3+AM206*AD$3)*100/(AI$5*H$3+AJ$5*M$3+AK$5*W$3+AL$5*AB$3+AM$5*AD$3)</f>
        <v>8.7456738488167343</v>
      </c>
      <c r="B206" s="18">
        <v>117</v>
      </c>
      <c r="C206" s="12" t="s">
        <v>145</v>
      </c>
      <c r="D206" s="19" t="s">
        <v>16</v>
      </c>
      <c r="E206" s="19" t="s">
        <v>21</v>
      </c>
      <c r="F206" s="19" t="s">
        <v>20</v>
      </c>
      <c r="G206" s="19">
        <v>18</v>
      </c>
      <c r="H206" s="19">
        <v>21</v>
      </c>
      <c r="I206" s="19">
        <v>3</v>
      </c>
      <c r="J206" s="19">
        <v>22</v>
      </c>
      <c r="K206" s="19">
        <v>34</v>
      </c>
      <c r="L206" s="19">
        <v>23</v>
      </c>
      <c r="M206" s="19">
        <v>0</v>
      </c>
      <c r="N206" s="19">
        <v>63</v>
      </c>
      <c r="O206" s="19">
        <v>58</v>
      </c>
      <c r="P206" s="19">
        <v>47</v>
      </c>
      <c r="Q206" s="18">
        <v>117</v>
      </c>
      <c r="R206" s="12" t="s">
        <v>145</v>
      </c>
      <c r="S206" s="19" t="s">
        <v>16</v>
      </c>
      <c r="T206" s="19" t="s">
        <v>21</v>
      </c>
      <c r="U206" s="19" t="s">
        <v>20</v>
      </c>
      <c r="V206" s="19">
        <v>18</v>
      </c>
      <c r="W206" s="19">
        <v>0</v>
      </c>
      <c r="X206" s="19">
        <v>2</v>
      </c>
      <c r="Y206" s="19">
        <v>4</v>
      </c>
      <c r="Z206" s="19">
        <v>27</v>
      </c>
      <c r="AA206" s="19">
        <v>8</v>
      </c>
      <c r="AB206" s="19">
        <v>27</v>
      </c>
      <c r="AC206" s="19">
        <v>44</v>
      </c>
      <c r="AD206" s="19">
        <v>50</v>
      </c>
      <c r="AE206" s="19">
        <v>67</v>
      </c>
      <c r="AF206" s="19">
        <v>47</v>
      </c>
      <c r="AG206" s="19">
        <v>85</v>
      </c>
      <c r="AH206" s="19">
        <v>47</v>
      </c>
      <c r="AI206" s="6">
        <f>H$1*((-2*10^-6)*H206^3+0.00032*H206^2-0.0021*H206)+I$1*((-2*10^-6)*I206^3+0.00032*I206^2-0.0021*I206)+J$1*((-2*10^-6)*J206^3+0.00032*J206^2-0.0021*J206)+K$1*((-2*10^-6)*K206^3+0.00032*K206^2-0.0021*K206)+L$1*((-2*10^-6)*L206^3+0.00032*L206^2-0.0021*L206)</f>
        <v>0.51253120000000019</v>
      </c>
      <c r="AJ206" s="6">
        <f>(M$1*M206+N$1*N206+O$1*O206)/100</f>
        <v>0.18400000000000002</v>
      </c>
      <c r="AK206" s="6">
        <f>IF(AA206&lt;50,W$1*((-2*10^-6)*W206^3+0.00032*W206^2-0.0021*W206)+X$1*((-2*10^-6)*X206^3+0.00032*X206^2-0.0021*X206)+Y$1*((-2*10^-6)*Y206^3+0.00032*Y206^2-0.0021*Y206)+Z$1*((-2*10^-6)*Z206^3+0.00032*Z206^2-0.0021*Z206),X$2*((-2*10^-6)*X206^3+0.00032*X206^2-0.0021*AA206)+Y$2*((-2*10^-6)*Y206^3+0.00032*Y206^2-0.0021*Y206)+Z$2*((-2*10^-6)*Z206^3+0.00032*Z206^2-0.0021*Z206)+ AA$2*((-2*10^-6)*AA206^3+0.00032*AA206^2-0.0021*AA206))</f>
        <v>0.13087000000000004</v>
      </c>
      <c r="AL206" s="6">
        <f>(AB$1*AB206+AC$1*AC206)/100</f>
        <v>0.30400000000000005</v>
      </c>
      <c r="AM206" s="6">
        <f>AD$1*((-2*10^-6)*AD206^3+0.00032*AD206^2-0.0021*AD206)+AE$1*((-2*10^-6)*AE206^3+0.00032*AE206^2-0.0021*AE206)+AF$1*((-2*10^-6)*AF206^3+0.00032*AF206^2-0.0021*AF206)+AG$1*((-2*10^-6)*AG206^3+0.00032*AG206^2-0.0021*AG206)</f>
        <v>0.64500380000000013</v>
      </c>
    </row>
    <row r="207" spans="1:39" ht="15" thickBot="1" x14ac:dyDescent="0.35">
      <c r="A207" s="6">
        <f>(AI207*H$3+AJ207*M$3+AK207*W$3+AL207*AB$3+AM207*AD$3)*100/(AI$5*H$3+AJ$5*M$3+AK$5*W$3+AL$5*AB$3+AM$5*AD$3)</f>
        <v>8.4095126682383814</v>
      </c>
      <c r="B207" s="20">
        <v>174</v>
      </c>
      <c r="C207" s="13" t="s">
        <v>202</v>
      </c>
      <c r="D207" s="21" t="s">
        <v>16</v>
      </c>
      <c r="E207" s="21" t="s">
        <v>19</v>
      </c>
      <c r="F207" s="21" t="s">
        <v>19</v>
      </c>
      <c r="G207" s="21">
        <v>18</v>
      </c>
      <c r="H207" s="21">
        <v>26</v>
      </c>
      <c r="I207" s="21">
        <v>10</v>
      </c>
      <c r="J207" s="21">
        <v>28</v>
      </c>
      <c r="K207" s="21">
        <v>13</v>
      </c>
      <c r="L207" s="21">
        <v>11</v>
      </c>
      <c r="M207" s="21">
        <v>18</v>
      </c>
      <c r="N207" s="21">
        <v>78</v>
      </c>
      <c r="O207" s="21">
        <v>63</v>
      </c>
      <c r="P207" s="21">
        <v>32</v>
      </c>
      <c r="Q207" s="20">
        <v>174</v>
      </c>
      <c r="R207" s="13" t="s">
        <v>202</v>
      </c>
      <c r="S207" s="21" t="s">
        <v>16</v>
      </c>
      <c r="T207" s="21" t="s">
        <v>19</v>
      </c>
      <c r="U207" s="21" t="s">
        <v>19</v>
      </c>
      <c r="V207" s="21">
        <v>18</v>
      </c>
      <c r="W207" s="21">
        <v>24</v>
      </c>
      <c r="X207" s="21">
        <v>27</v>
      </c>
      <c r="Y207" s="21">
        <v>14</v>
      </c>
      <c r="Z207" s="21">
        <v>18</v>
      </c>
      <c r="AA207" s="21">
        <v>6</v>
      </c>
      <c r="AB207" s="21">
        <v>47</v>
      </c>
      <c r="AC207" s="21">
        <v>66</v>
      </c>
      <c r="AD207" s="21">
        <v>22</v>
      </c>
      <c r="AE207" s="21">
        <v>70</v>
      </c>
      <c r="AF207" s="21">
        <v>34</v>
      </c>
      <c r="AG207" s="21">
        <v>73</v>
      </c>
      <c r="AH207" s="21">
        <v>32</v>
      </c>
      <c r="AI207" s="6">
        <f>H$1*((-2*10^-6)*H207^3+0.00032*H207^2-0.0021*H207)+I$1*((-2*10^-6)*I207^3+0.00032*I207^2-0.0021*I207)+J$1*((-2*10^-6)*J207^3+0.00032*J207^2-0.0021*J207)+K$1*((-2*10^-6)*K207^3+0.00032*K207^2-0.0021*K207)+L$1*((-2*10^-6)*L207^3+0.00032*L207^2-0.0021*L207)</f>
        <v>0.27989000000000008</v>
      </c>
      <c r="AJ207" s="6">
        <f>(M$1*M207+N$1*N207+O$1*O207)/100</f>
        <v>0.39900000000000008</v>
      </c>
      <c r="AK207" s="6">
        <f>IF(AA207&lt;50,W$1*((-2*10^-6)*W207^3+0.00032*W207^2-0.0021*W207)+X$1*((-2*10^-6)*X207^3+0.00032*X207^2-0.0021*X207)+Y$1*((-2*10^-6)*Y207^3+0.00032*Y207^2-0.0021*Y207)+Z$1*((-2*10^-6)*Z207^3+0.00032*Z207^2-0.0021*Z207),X$2*((-2*10^-6)*X207^3+0.00032*X207^2-0.0021*AA207)+Y$2*((-2*10^-6)*Y207^3+0.00032*Y207^2-0.0021*Y207)+Z$2*((-2*10^-6)*Z207^3+0.00032*Z207^2-0.0021*Z207)+ AA$2*((-2*10^-6)*AA207^3+0.00032*AA207^2-0.0021*AA207))</f>
        <v>0.3255340000000001</v>
      </c>
      <c r="AL207" s="6">
        <f>(AB$1*AB207+AC$1*AC207)/100</f>
        <v>0.50800000000000001</v>
      </c>
      <c r="AM207" s="6">
        <f>AD$1*((-2*10^-6)*AD207^3+0.00032*AD207^2-0.0021*AD207)+AE$1*((-2*10^-6)*AE207^3+0.00032*AE207^2-0.0021*AE207)+AF$1*((-2*10^-6)*AF207^3+0.00032*AF207^2-0.0021*AF207)+AG$1*((-2*10^-6)*AG207^3+0.00032*AG207^2-0.0021*AG207)</f>
        <v>0.26026980000000005</v>
      </c>
    </row>
    <row r="208" spans="1:39" ht="15" thickBot="1" x14ac:dyDescent="0.35">
      <c r="B208" s="20"/>
      <c r="C208" s="13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0"/>
      <c r="R208" s="13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6"/>
      <c r="AJ208" s="6"/>
      <c r="AK208" s="6"/>
      <c r="AL208" s="6"/>
      <c r="AM208" s="6"/>
    </row>
    <row r="209" spans="2:39" ht="15" thickBot="1" x14ac:dyDescent="0.35">
      <c r="B209" s="18"/>
      <c r="C209" s="12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8"/>
      <c r="R209" s="12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6"/>
      <c r="AJ209" s="6"/>
      <c r="AK209" s="6"/>
      <c r="AL209" s="6"/>
      <c r="AM209" s="6"/>
    </row>
    <row r="210" spans="2:39" ht="15" thickBot="1" x14ac:dyDescent="0.35">
      <c r="B210" s="20"/>
      <c r="C210" s="13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0"/>
      <c r="R210" s="13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6"/>
      <c r="AJ210" s="6"/>
      <c r="AK210" s="6"/>
      <c r="AL210" s="6"/>
      <c r="AM210" s="6"/>
    </row>
    <row r="211" spans="2:39" ht="15" thickBot="1" x14ac:dyDescent="0.35">
      <c r="B211" s="18"/>
      <c r="C211" s="12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8"/>
      <c r="R211" s="12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6"/>
      <c r="AJ211" s="6"/>
      <c r="AK211" s="6"/>
      <c r="AL211" s="6"/>
      <c r="AM211" s="6"/>
    </row>
    <row r="212" spans="2:39" ht="15" thickBot="1" x14ac:dyDescent="0.35">
      <c r="B212" s="20"/>
      <c r="C212" s="13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0"/>
      <c r="R212" s="13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6"/>
      <c r="AJ212" s="6"/>
      <c r="AK212" s="6"/>
      <c r="AL212" s="6"/>
      <c r="AM212" s="6"/>
    </row>
    <row r="213" spans="2:39" ht="15" thickBot="1" x14ac:dyDescent="0.35">
      <c r="B213" s="18"/>
      <c r="C213" s="12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8"/>
      <c r="R213" s="12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6"/>
      <c r="AJ213" s="6"/>
      <c r="AK213" s="6"/>
      <c r="AL213" s="6"/>
      <c r="AM213" s="6"/>
    </row>
    <row r="214" spans="2:39" ht="15" thickBot="1" x14ac:dyDescent="0.35">
      <c r="B214" s="20"/>
      <c r="C214" s="13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0"/>
      <c r="R214" s="13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6"/>
      <c r="AJ214" s="6"/>
      <c r="AK214" s="6"/>
      <c r="AL214" s="6"/>
      <c r="AM214" s="6"/>
    </row>
    <row r="215" spans="2:39" ht="15" thickBot="1" x14ac:dyDescent="0.35">
      <c r="B215" s="18"/>
      <c r="C215" s="12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8"/>
      <c r="R215" s="12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6"/>
      <c r="AJ215" s="6"/>
      <c r="AK215" s="6"/>
      <c r="AL215" s="6"/>
      <c r="AM215" s="6"/>
    </row>
    <row r="216" spans="2:39" ht="15" thickBot="1" x14ac:dyDescent="0.35">
      <c r="B216" s="20"/>
      <c r="C216" s="13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0"/>
      <c r="R216" s="13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6"/>
      <c r="AJ216" s="6"/>
      <c r="AK216" s="6"/>
      <c r="AL216" s="6"/>
      <c r="AM216" s="6"/>
    </row>
    <row r="217" spans="2:39" ht="15" thickBot="1" x14ac:dyDescent="0.35">
      <c r="B217" s="18"/>
      <c r="C217" s="12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8"/>
      <c r="R217" s="12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6"/>
      <c r="AJ217" s="6"/>
      <c r="AK217" s="6"/>
      <c r="AL217" s="6"/>
      <c r="AM217" s="6"/>
    </row>
    <row r="218" spans="2:39" ht="15" thickBot="1" x14ac:dyDescent="0.35">
      <c r="B218" s="20"/>
      <c r="C218" s="13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0"/>
      <c r="R218" s="13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6"/>
      <c r="AJ218" s="6"/>
      <c r="AK218" s="6"/>
      <c r="AL218" s="6"/>
      <c r="AM218" s="6"/>
    </row>
    <row r="219" spans="2:39" ht="15" thickBot="1" x14ac:dyDescent="0.35">
      <c r="B219" s="18"/>
      <c r="C219" s="12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8"/>
      <c r="R219" s="12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6"/>
      <c r="AJ219" s="6"/>
      <c r="AK219" s="6"/>
      <c r="AL219" s="6"/>
      <c r="AM219" s="6"/>
    </row>
    <row r="220" spans="2:39" ht="15" thickBot="1" x14ac:dyDescent="0.35">
      <c r="B220" s="20"/>
      <c r="C220" s="13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0"/>
      <c r="R220" s="13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6"/>
      <c r="AJ220" s="6"/>
      <c r="AK220" s="6"/>
      <c r="AL220" s="6"/>
      <c r="AM220" s="6"/>
    </row>
    <row r="221" spans="2:39" ht="15" thickBot="1" x14ac:dyDescent="0.35">
      <c r="B221" s="18"/>
      <c r="C221" s="12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8"/>
      <c r="R221" s="12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6"/>
      <c r="AJ221" s="6"/>
      <c r="AK221" s="6"/>
      <c r="AL221" s="6"/>
      <c r="AM221" s="6"/>
    </row>
    <row r="222" spans="2:39" ht="15" thickBot="1" x14ac:dyDescent="0.35">
      <c r="B222" s="20"/>
      <c r="C222" s="13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0"/>
      <c r="R222" s="13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6"/>
      <c r="AJ222" s="6"/>
      <c r="AK222" s="6"/>
      <c r="AL222" s="6"/>
      <c r="AM222" s="6"/>
    </row>
    <row r="223" spans="2:39" ht="15" thickBot="1" x14ac:dyDescent="0.35">
      <c r="B223" s="18"/>
      <c r="C223" s="12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8"/>
      <c r="R223" s="12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6"/>
      <c r="AJ223" s="6"/>
      <c r="AK223" s="6"/>
      <c r="AL223" s="6"/>
      <c r="AM223" s="6"/>
    </row>
    <row r="224" spans="2:39" ht="15" thickBot="1" x14ac:dyDescent="0.35">
      <c r="B224" s="20"/>
      <c r="C224" s="13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0"/>
      <c r="R224" s="13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6"/>
      <c r="AJ224" s="6"/>
      <c r="AK224" s="6"/>
      <c r="AL224" s="6"/>
      <c r="AM224" s="6"/>
    </row>
    <row r="225" spans="2:39" ht="15" thickBot="1" x14ac:dyDescent="0.35">
      <c r="B225" s="18"/>
      <c r="C225" s="12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8"/>
      <c r="R225" s="12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6"/>
      <c r="AJ225" s="6"/>
      <c r="AK225" s="6"/>
      <c r="AL225" s="6"/>
      <c r="AM225" s="6"/>
    </row>
    <row r="226" spans="2:39" ht="15" thickBot="1" x14ac:dyDescent="0.35">
      <c r="B226" s="20"/>
      <c r="C226" s="13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0"/>
      <c r="R226" s="13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6"/>
      <c r="AJ226" s="6"/>
      <c r="AK226" s="6"/>
      <c r="AL226" s="6"/>
      <c r="AM226" s="6"/>
    </row>
    <row r="227" spans="2:39" ht="15" thickBot="1" x14ac:dyDescent="0.35">
      <c r="B227" s="18"/>
      <c r="C227" s="12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8"/>
      <c r="R227" s="12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6"/>
      <c r="AJ227" s="6"/>
      <c r="AK227" s="6"/>
      <c r="AL227" s="6"/>
      <c r="AM227" s="6"/>
    </row>
    <row r="228" spans="2:39" ht="15" thickBot="1" x14ac:dyDescent="0.35">
      <c r="B228" s="20"/>
      <c r="C228" s="13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0"/>
      <c r="R228" s="13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6"/>
      <c r="AJ228" s="6"/>
      <c r="AK228" s="6"/>
      <c r="AL228" s="6"/>
      <c r="AM228" s="6"/>
    </row>
    <row r="229" spans="2:39" ht="15" thickBot="1" x14ac:dyDescent="0.35">
      <c r="B229" s="18"/>
      <c r="C229" s="12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8"/>
      <c r="R229" s="12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6"/>
      <c r="AJ229" s="6"/>
      <c r="AK229" s="6"/>
      <c r="AL229" s="6"/>
      <c r="AM229" s="6"/>
    </row>
    <row r="230" spans="2:39" ht="15" thickBot="1" x14ac:dyDescent="0.35">
      <c r="B230" s="20"/>
      <c r="C230" s="13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0"/>
      <c r="R230" s="13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6"/>
      <c r="AJ230" s="6"/>
      <c r="AK230" s="6"/>
      <c r="AL230" s="6"/>
      <c r="AM230" s="6"/>
    </row>
    <row r="231" spans="2:39" ht="15" thickBot="1" x14ac:dyDescent="0.35">
      <c r="B231" s="18"/>
      <c r="C231" s="12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8"/>
      <c r="R231" s="12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6"/>
      <c r="AJ231" s="6"/>
      <c r="AK231" s="6"/>
      <c r="AL231" s="6"/>
      <c r="AM231" s="6"/>
    </row>
    <row r="232" spans="2:39" ht="15" thickBot="1" x14ac:dyDescent="0.35">
      <c r="B232" s="20"/>
      <c r="C232" s="13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0"/>
      <c r="R232" s="13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6"/>
      <c r="AJ232" s="6"/>
      <c r="AK232" s="6"/>
      <c r="AL232" s="6"/>
      <c r="AM232" s="6"/>
    </row>
    <row r="233" spans="2:39" ht="15" thickBot="1" x14ac:dyDescent="0.35">
      <c r="B233" s="18"/>
      <c r="C233" s="12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8"/>
      <c r="R233" s="12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6"/>
      <c r="AJ233" s="6"/>
      <c r="AK233" s="6"/>
      <c r="AL233" s="6"/>
      <c r="AM233" s="6"/>
    </row>
    <row r="234" spans="2:39" ht="15" thickBot="1" x14ac:dyDescent="0.35">
      <c r="B234" s="20"/>
      <c r="C234" s="13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0"/>
      <c r="R234" s="13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6"/>
      <c r="AJ234" s="6"/>
      <c r="AK234" s="6"/>
      <c r="AL234" s="6"/>
      <c r="AM234" s="6"/>
    </row>
    <row r="235" spans="2:39" ht="15" thickBot="1" x14ac:dyDescent="0.35">
      <c r="B235" s="18"/>
      <c r="C235" s="12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8"/>
      <c r="R235" s="12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6"/>
      <c r="AJ235" s="6"/>
      <c r="AK235" s="6"/>
      <c r="AL235" s="6"/>
      <c r="AM235" s="6"/>
    </row>
    <row r="236" spans="2:39" ht="15" thickBot="1" x14ac:dyDescent="0.35">
      <c r="B236" s="20"/>
      <c r="C236" s="13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0"/>
      <c r="R236" s="13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6"/>
      <c r="AJ236" s="6"/>
      <c r="AK236" s="6"/>
      <c r="AL236" s="6"/>
      <c r="AM236" s="6"/>
    </row>
    <row r="237" spans="2:39" ht="15" thickBot="1" x14ac:dyDescent="0.35">
      <c r="B237" s="18"/>
      <c r="C237" s="12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8"/>
      <c r="R237" s="12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6"/>
      <c r="AJ237" s="6"/>
      <c r="AK237" s="6"/>
      <c r="AL237" s="6"/>
      <c r="AM237" s="6"/>
    </row>
    <row r="238" spans="2:39" ht="15" thickBot="1" x14ac:dyDescent="0.35">
      <c r="B238" s="20"/>
      <c r="C238" s="13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0"/>
      <c r="R238" s="13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6"/>
      <c r="AJ238" s="6"/>
      <c r="AK238" s="6"/>
      <c r="AL238" s="6"/>
      <c r="AM238" s="6"/>
    </row>
    <row r="239" spans="2:39" ht="15" thickBot="1" x14ac:dyDescent="0.35">
      <c r="B239" s="18"/>
      <c r="C239" s="12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8"/>
      <c r="R239" s="12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6"/>
      <c r="AJ239" s="6"/>
      <c r="AK239" s="6"/>
      <c r="AL239" s="6"/>
      <c r="AM239" s="6"/>
    </row>
    <row r="240" spans="2:39" ht="15" thickBot="1" x14ac:dyDescent="0.35">
      <c r="B240" s="20"/>
      <c r="C240" s="13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0"/>
      <c r="R240" s="13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6"/>
      <c r="AJ240" s="6"/>
      <c r="AK240" s="6"/>
      <c r="AL240" s="6"/>
      <c r="AM240" s="6"/>
    </row>
    <row r="241" spans="2:39" ht="15" thickBot="1" x14ac:dyDescent="0.35">
      <c r="B241" s="18"/>
      <c r="C241" s="12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8"/>
      <c r="R241" s="12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6"/>
      <c r="AJ241" s="6"/>
      <c r="AK241" s="6"/>
      <c r="AL241" s="6"/>
      <c r="AM241" s="6"/>
    </row>
    <row r="242" spans="2:39" ht="15" thickBot="1" x14ac:dyDescent="0.35">
      <c r="B242" s="20"/>
      <c r="C242" s="13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0"/>
      <c r="R242" s="13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6"/>
      <c r="AJ242" s="6"/>
      <c r="AK242" s="6"/>
      <c r="AL242" s="6"/>
      <c r="AM242" s="6"/>
    </row>
    <row r="243" spans="2:39" ht="15" thickBot="1" x14ac:dyDescent="0.35">
      <c r="B243" s="18"/>
      <c r="C243" s="12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8"/>
      <c r="R243" s="12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6"/>
      <c r="AJ243" s="6"/>
      <c r="AK243" s="6"/>
      <c r="AL243" s="6"/>
      <c r="AM243" s="6"/>
    </row>
    <row r="244" spans="2:39" ht="15" thickBot="1" x14ac:dyDescent="0.35">
      <c r="B244" s="20"/>
      <c r="C244" s="13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0"/>
      <c r="R244" s="13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6"/>
      <c r="AJ244" s="6"/>
      <c r="AK244" s="6"/>
      <c r="AL244" s="6"/>
      <c r="AM244" s="6"/>
    </row>
    <row r="245" spans="2:39" ht="15" thickBot="1" x14ac:dyDescent="0.35">
      <c r="B245" s="18"/>
      <c r="C245" s="12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8"/>
      <c r="R245" s="12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6"/>
      <c r="AJ245" s="6"/>
      <c r="AK245" s="6"/>
      <c r="AL245" s="6"/>
      <c r="AM245" s="6"/>
    </row>
    <row r="246" spans="2:39" ht="15" thickBot="1" x14ac:dyDescent="0.35">
      <c r="B246" s="20"/>
      <c r="C246" s="13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0"/>
      <c r="R246" s="13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6"/>
      <c r="AJ246" s="6"/>
      <c r="AK246" s="6"/>
      <c r="AL246" s="6"/>
      <c r="AM246" s="6"/>
    </row>
    <row r="247" spans="2:39" ht="15" thickBot="1" x14ac:dyDescent="0.35">
      <c r="B247" s="18"/>
      <c r="C247" s="12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8"/>
      <c r="R247" s="12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6"/>
      <c r="AJ247" s="6"/>
      <c r="AK247" s="6"/>
      <c r="AL247" s="6"/>
      <c r="AM247" s="6"/>
    </row>
    <row r="248" spans="2:39" ht="15" thickBot="1" x14ac:dyDescent="0.35">
      <c r="B248" s="20"/>
      <c r="C248" s="13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0"/>
      <c r="R248" s="13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6"/>
      <c r="AJ248" s="6"/>
      <c r="AK248" s="6"/>
      <c r="AL248" s="6"/>
      <c r="AM248" s="6"/>
    </row>
    <row r="249" spans="2:39" ht="15" thickBot="1" x14ac:dyDescent="0.35">
      <c r="B249" s="18"/>
      <c r="C249" s="12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8"/>
      <c r="R249" s="12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6"/>
      <c r="AJ249" s="6"/>
      <c r="AK249" s="6"/>
      <c r="AL249" s="6"/>
      <c r="AM249" s="6"/>
    </row>
    <row r="250" spans="2:39" ht="15" thickBot="1" x14ac:dyDescent="0.35">
      <c r="B250" s="20"/>
      <c r="C250" s="13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0"/>
      <c r="R250" s="13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6"/>
      <c r="AJ250" s="6"/>
      <c r="AK250" s="6"/>
      <c r="AL250" s="6"/>
      <c r="AM250" s="6"/>
    </row>
    <row r="251" spans="2:39" ht="15" thickBot="1" x14ac:dyDescent="0.35">
      <c r="B251" s="18"/>
      <c r="C251" s="12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8"/>
      <c r="R251" s="12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6"/>
      <c r="AJ251" s="6"/>
      <c r="AK251" s="6"/>
      <c r="AL251" s="6"/>
      <c r="AM251" s="6"/>
    </row>
    <row r="252" spans="2:39" ht="15" thickBot="1" x14ac:dyDescent="0.35">
      <c r="B252" s="20"/>
      <c r="C252" s="13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0"/>
      <c r="R252" s="13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6"/>
      <c r="AJ252" s="6"/>
      <c r="AK252" s="6"/>
      <c r="AL252" s="6"/>
      <c r="AM252" s="6"/>
    </row>
    <row r="253" spans="2:39" ht="15" thickBot="1" x14ac:dyDescent="0.35">
      <c r="B253" s="18"/>
      <c r="C253" s="12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8"/>
      <c r="R253" s="12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6"/>
      <c r="AJ253" s="6"/>
      <c r="AK253" s="6"/>
      <c r="AL253" s="6"/>
      <c r="AM253" s="6"/>
    </row>
    <row r="254" spans="2:39" ht="15" thickBot="1" x14ac:dyDescent="0.35">
      <c r="B254" s="20"/>
      <c r="C254" s="13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0"/>
      <c r="R254" s="13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6"/>
      <c r="AJ254" s="6"/>
      <c r="AK254" s="6"/>
      <c r="AL254" s="6"/>
      <c r="AM254" s="6"/>
    </row>
    <row r="255" spans="2:39" ht="15" thickBot="1" x14ac:dyDescent="0.35">
      <c r="B255" s="18"/>
      <c r="C255" s="12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8"/>
      <c r="R255" s="12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6"/>
      <c r="AJ255" s="6"/>
      <c r="AK255" s="6"/>
      <c r="AL255" s="6"/>
      <c r="AM255" s="6"/>
    </row>
    <row r="256" spans="2:39" ht="15" thickBot="1" x14ac:dyDescent="0.35">
      <c r="B256" s="20"/>
      <c r="C256" s="13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0"/>
      <c r="R256" s="13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6"/>
      <c r="AJ256" s="6"/>
      <c r="AK256" s="6"/>
      <c r="AL256" s="6"/>
      <c r="AM256" s="6"/>
    </row>
    <row r="257" spans="2:39" ht="15" thickBot="1" x14ac:dyDescent="0.35">
      <c r="B257" s="18"/>
      <c r="C257" s="12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8"/>
      <c r="R257" s="12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6"/>
      <c r="AJ257" s="6"/>
      <c r="AK257" s="6"/>
      <c r="AL257" s="6"/>
      <c r="AM257" s="6"/>
    </row>
    <row r="258" spans="2:39" ht="15" thickBot="1" x14ac:dyDescent="0.35">
      <c r="B258" s="20"/>
      <c r="C258" s="13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0"/>
      <c r="R258" s="13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6"/>
      <c r="AJ258" s="6"/>
      <c r="AK258" s="6"/>
      <c r="AL258" s="6"/>
      <c r="AM258" s="6"/>
    </row>
    <row r="259" spans="2:39" ht="15" thickBot="1" x14ac:dyDescent="0.35">
      <c r="B259" s="18"/>
      <c r="C259" s="12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8"/>
      <c r="R259" s="12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6"/>
      <c r="AJ259" s="6"/>
      <c r="AK259" s="6"/>
      <c r="AL259" s="6"/>
      <c r="AM259" s="6"/>
    </row>
    <row r="260" spans="2:39" ht="15" thickBot="1" x14ac:dyDescent="0.35">
      <c r="B260" s="20"/>
      <c r="C260" s="13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0"/>
      <c r="R260" s="13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6"/>
      <c r="AJ260" s="6"/>
      <c r="AK260" s="6"/>
      <c r="AL260" s="6"/>
      <c r="AM260" s="6"/>
    </row>
    <row r="261" spans="2:39" ht="15" thickBot="1" x14ac:dyDescent="0.35">
      <c r="B261" s="18"/>
      <c r="C261" s="12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8"/>
      <c r="R261" s="12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6"/>
      <c r="AJ261" s="6"/>
      <c r="AK261" s="6"/>
      <c r="AL261" s="6"/>
      <c r="AM261" s="6"/>
    </row>
    <row r="262" spans="2:39" ht="15" thickBot="1" x14ac:dyDescent="0.35">
      <c r="B262" s="20"/>
      <c r="C262" s="13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0"/>
      <c r="R262" s="13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6"/>
      <c r="AJ262" s="6"/>
      <c r="AK262" s="6"/>
      <c r="AL262" s="6"/>
      <c r="AM262" s="6"/>
    </row>
    <row r="263" spans="2:39" ht="15" thickBot="1" x14ac:dyDescent="0.35">
      <c r="B263" s="18"/>
      <c r="C263" s="12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8"/>
      <c r="R263" s="12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6"/>
      <c r="AJ263" s="6"/>
      <c r="AK263" s="6"/>
      <c r="AL263" s="6"/>
      <c r="AM263" s="6"/>
    </row>
    <row r="264" spans="2:39" ht="15" thickBot="1" x14ac:dyDescent="0.35">
      <c r="B264" s="20"/>
      <c r="C264" s="13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0"/>
      <c r="R264" s="13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6"/>
      <c r="AJ264" s="6"/>
      <c r="AK264" s="6"/>
      <c r="AL264" s="6"/>
      <c r="AM264" s="6"/>
    </row>
    <row r="265" spans="2:39" ht="15" thickBot="1" x14ac:dyDescent="0.35">
      <c r="B265" s="18"/>
      <c r="C265" s="12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8"/>
      <c r="R265" s="12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6"/>
      <c r="AJ265" s="6"/>
      <c r="AK265" s="6"/>
      <c r="AL265" s="6"/>
      <c r="AM265" s="6"/>
    </row>
    <row r="266" spans="2:39" ht="15" thickBot="1" x14ac:dyDescent="0.35">
      <c r="B266" s="20"/>
      <c r="C266" s="13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0"/>
      <c r="R266" s="13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6"/>
      <c r="AJ266" s="6"/>
      <c r="AK266" s="6"/>
      <c r="AL266" s="6"/>
      <c r="AM266" s="6"/>
    </row>
    <row r="267" spans="2:39" ht="15" thickBot="1" x14ac:dyDescent="0.35">
      <c r="B267" s="18"/>
      <c r="C267" s="12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8"/>
      <c r="R267" s="12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6"/>
      <c r="AJ267" s="6"/>
      <c r="AK267" s="6"/>
      <c r="AL267" s="6"/>
      <c r="AM267" s="6"/>
    </row>
    <row r="268" spans="2:39" ht="15" thickBot="1" x14ac:dyDescent="0.35">
      <c r="B268" s="20"/>
      <c r="C268" s="13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0"/>
      <c r="R268" s="13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6"/>
      <c r="AJ268" s="6"/>
      <c r="AK268" s="6"/>
      <c r="AL268" s="6"/>
      <c r="AM268" s="6"/>
    </row>
    <row r="269" spans="2:39" ht="15" thickBot="1" x14ac:dyDescent="0.35">
      <c r="B269" s="18"/>
      <c r="C269" s="12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8"/>
      <c r="R269" s="12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6"/>
      <c r="AJ269" s="6"/>
      <c r="AK269" s="6"/>
      <c r="AL269" s="6"/>
      <c r="AM269" s="6"/>
    </row>
    <row r="270" spans="2:39" ht="15" thickBot="1" x14ac:dyDescent="0.35">
      <c r="B270" s="20"/>
      <c r="C270" s="13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0"/>
      <c r="R270" s="13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6"/>
      <c r="AJ270" s="6"/>
      <c r="AK270" s="6"/>
      <c r="AL270" s="6"/>
      <c r="AM270" s="6"/>
    </row>
    <row r="271" spans="2:39" ht="15" thickBot="1" x14ac:dyDescent="0.35">
      <c r="B271" s="18"/>
      <c r="C271" s="12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8"/>
      <c r="R271" s="12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6"/>
      <c r="AJ271" s="6"/>
      <c r="AK271" s="6"/>
      <c r="AL271" s="6"/>
      <c r="AM271" s="6"/>
    </row>
    <row r="272" spans="2:39" ht="15" thickBot="1" x14ac:dyDescent="0.35">
      <c r="B272" s="20"/>
      <c r="C272" s="13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0"/>
      <c r="R272" s="13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6"/>
      <c r="AJ272" s="6"/>
      <c r="AK272" s="6"/>
      <c r="AL272" s="6"/>
      <c r="AM272" s="6"/>
    </row>
    <row r="273" spans="2:39" ht="15" thickBot="1" x14ac:dyDescent="0.35">
      <c r="B273" s="18"/>
      <c r="C273" s="12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8"/>
      <c r="R273" s="12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6"/>
      <c r="AJ273" s="6"/>
      <c r="AK273" s="6"/>
      <c r="AL273" s="6"/>
      <c r="AM273" s="6"/>
    </row>
    <row r="274" spans="2:39" ht="15" thickBot="1" x14ac:dyDescent="0.35">
      <c r="B274" s="20"/>
      <c r="C274" s="13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0"/>
      <c r="R274" s="13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6"/>
      <c r="AJ274" s="6"/>
      <c r="AK274" s="6"/>
      <c r="AL274" s="6"/>
      <c r="AM274" s="6"/>
    </row>
    <row r="275" spans="2:39" ht="15" thickBot="1" x14ac:dyDescent="0.35">
      <c r="B275" s="18"/>
      <c r="C275" s="12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8"/>
      <c r="R275" s="12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6"/>
      <c r="AJ275" s="6"/>
      <c r="AK275" s="6"/>
      <c r="AL275" s="6"/>
      <c r="AM275" s="6"/>
    </row>
    <row r="276" spans="2:39" ht="15" thickBot="1" x14ac:dyDescent="0.35">
      <c r="B276" s="20"/>
      <c r="C276" s="13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0"/>
      <c r="R276" s="13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6"/>
      <c r="AJ276" s="6"/>
      <c r="AK276" s="6"/>
      <c r="AL276" s="6"/>
      <c r="AM276" s="6"/>
    </row>
    <row r="277" spans="2:39" ht="15" thickBot="1" x14ac:dyDescent="0.35">
      <c r="B277" s="18"/>
      <c r="C277" s="12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8"/>
      <c r="R277" s="12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6"/>
      <c r="AJ277" s="6"/>
      <c r="AK277" s="6"/>
      <c r="AL277" s="6"/>
      <c r="AM277" s="6"/>
    </row>
    <row r="278" spans="2:39" ht="15" thickBot="1" x14ac:dyDescent="0.35">
      <c r="B278" s="20"/>
      <c r="C278" s="13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0"/>
      <c r="R278" s="13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6"/>
      <c r="AJ278" s="6"/>
      <c r="AK278" s="6"/>
      <c r="AL278" s="6"/>
      <c r="AM278" s="6"/>
    </row>
    <row r="279" spans="2:39" ht="15" thickBot="1" x14ac:dyDescent="0.35">
      <c r="B279" s="18"/>
      <c r="C279" s="12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8"/>
      <c r="R279" s="12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6"/>
      <c r="AJ279" s="6"/>
      <c r="AK279" s="6"/>
      <c r="AL279" s="6"/>
      <c r="AM279" s="6"/>
    </row>
    <row r="280" spans="2:39" ht="15" thickBot="1" x14ac:dyDescent="0.35">
      <c r="B280" s="20"/>
      <c r="C280" s="13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0"/>
      <c r="R280" s="13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6"/>
      <c r="AJ280" s="6"/>
      <c r="AK280" s="6"/>
      <c r="AL280" s="6"/>
      <c r="AM280" s="6"/>
    </row>
    <row r="281" spans="2:39" ht="15" thickBot="1" x14ac:dyDescent="0.35">
      <c r="B281" s="18"/>
      <c r="C281" s="12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8"/>
      <c r="R281" s="12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6"/>
      <c r="AJ281" s="6"/>
      <c r="AK281" s="6"/>
      <c r="AL281" s="6"/>
      <c r="AM281" s="6"/>
    </row>
    <row r="282" spans="2:39" ht="15" thickBot="1" x14ac:dyDescent="0.35">
      <c r="B282" s="20"/>
      <c r="C282" s="13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0"/>
      <c r="R282" s="13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6"/>
      <c r="AJ282" s="6"/>
      <c r="AK282" s="6"/>
      <c r="AL282" s="6"/>
      <c r="AM282" s="6"/>
    </row>
    <row r="283" spans="2:39" ht="15" thickBot="1" x14ac:dyDescent="0.35">
      <c r="B283" s="18"/>
      <c r="C283" s="12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8"/>
      <c r="R283" s="12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6"/>
      <c r="AJ283" s="6"/>
      <c r="AK283" s="6"/>
      <c r="AL283" s="6"/>
      <c r="AM283" s="6"/>
    </row>
    <row r="284" spans="2:39" ht="15" thickBot="1" x14ac:dyDescent="0.35">
      <c r="B284" s="20"/>
      <c r="C284" s="13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0"/>
      <c r="R284" s="13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6"/>
      <c r="AJ284" s="6"/>
      <c r="AK284" s="6"/>
      <c r="AL284" s="6"/>
      <c r="AM284" s="6"/>
    </row>
    <row r="285" spans="2:39" ht="15" thickBot="1" x14ac:dyDescent="0.35">
      <c r="B285" s="18"/>
      <c r="C285" s="12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8"/>
      <c r="R285" s="12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6"/>
      <c r="AJ285" s="6"/>
      <c r="AK285" s="6"/>
      <c r="AL285" s="6"/>
      <c r="AM285" s="6"/>
    </row>
    <row r="286" spans="2:39" ht="15" thickBot="1" x14ac:dyDescent="0.35">
      <c r="B286" s="20"/>
      <c r="C286" s="13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0"/>
      <c r="R286" s="13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6"/>
      <c r="AJ286" s="6"/>
      <c r="AK286" s="6"/>
      <c r="AL286" s="6"/>
      <c r="AM286" s="6"/>
    </row>
    <row r="287" spans="2:39" ht="15" thickBot="1" x14ac:dyDescent="0.35">
      <c r="B287" s="18"/>
      <c r="C287" s="12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8"/>
      <c r="R287" s="12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6"/>
      <c r="AJ287" s="6"/>
      <c r="AK287" s="6"/>
      <c r="AL287" s="6"/>
      <c r="AM287" s="6"/>
    </row>
    <row r="288" spans="2:39" ht="15" thickBot="1" x14ac:dyDescent="0.35">
      <c r="B288" s="20"/>
      <c r="C288" s="13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0"/>
      <c r="R288" s="13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6"/>
      <c r="AJ288" s="6"/>
      <c r="AK288" s="6"/>
      <c r="AL288" s="6"/>
      <c r="AM288" s="6"/>
    </row>
    <row r="289" spans="2:39" ht="15" thickBot="1" x14ac:dyDescent="0.35">
      <c r="B289" s="18"/>
      <c r="C289" s="12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8"/>
      <c r="R289" s="12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6"/>
      <c r="AJ289" s="6"/>
      <c r="AK289" s="6"/>
      <c r="AL289" s="6"/>
      <c r="AM289" s="6"/>
    </row>
    <row r="290" spans="2:39" ht="15" thickBot="1" x14ac:dyDescent="0.35">
      <c r="B290" s="20"/>
      <c r="C290" s="13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0"/>
      <c r="R290" s="13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6"/>
      <c r="AJ290" s="6"/>
      <c r="AK290" s="6"/>
      <c r="AL290" s="6"/>
      <c r="AM290" s="6"/>
    </row>
    <row r="291" spans="2:39" ht="15" thickBot="1" x14ac:dyDescent="0.35">
      <c r="B291" s="18"/>
      <c r="C291" s="12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8"/>
      <c r="R291" s="12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6"/>
      <c r="AJ291" s="6"/>
      <c r="AK291" s="6"/>
      <c r="AL291" s="6"/>
      <c r="AM291" s="6"/>
    </row>
    <row r="292" spans="2:39" ht="15" thickBot="1" x14ac:dyDescent="0.35">
      <c r="B292" s="20"/>
      <c r="C292" s="13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0"/>
      <c r="R292" s="13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6"/>
      <c r="AJ292" s="6"/>
      <c r="AK292" s="6"/>
      <c r="AL292" s="6"/>
      <c r="AM292" s="6"/>
    </row>
    <row r="293" spans="2:39" ht="15" thickBot="1" x14ac:dyDescent="0.35">
      <c r="B293" s="18"/>
      <c r="C293" s="12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8"/>
      <c r="R293" s="12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6"/>
      <c r="AJ293" s="6"/>
      <c r="AK293" s="6"/>
      <c r="AL293" s="6"/>
      <c r="AM293" s="6"/>
    </row>
    <row r="294" spans="2:39" ht="15" thickBot="1" x14ac:dyDescent="0.35">
      <c r="B294" s="20"/>
      <c r="C294" s="13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0"/>
      <c r="R294" s="13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6"/>
      <c r="AJ294" s="6"/>
      <c r="AK294" s="6"/>
      <c r="AL294" s="6"/>
      <c r="AM294" s="6"/>
    </row>
    <row r="295" spans="2:39" ht="15" thickBot="1" x14ac:dyDescent="0.35">
      <c r="B295" s="18"/>
      <c r="C295" s="12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8"/>
      <c r="R295" s="12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6"/>
      <c r="AJ295" s="6"/>
      <c r="AK295" s="6"/>
      <c r="AL295" s="6"/>
      <c r="AM295" s="6"/>
    </row>
    <row r="296" spans="2:39" ht="15" thickBot="1" x14ac:dyDescent="0.35">
      <c r="B296" s="20"/>
      <c r="C296" s="13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0"/>
      <c r="R296" s="13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6"/>
      <c r="AJ296" s="6"/>
      <c r="AK296" s="6"/>
      <c r="AL296" s="6"/>
      <c r="AM296" s="6"/>
    </row>
    <row r="297" spans="2:39" ht="15" thickBot="1" x14ac:dyDescent="0.35">
      <c r="B297" s="18"/>
      <c r="C297" s="12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8"/>
      <c r="R297" s="12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6"/>
      <c r="AJ297" s="6"/>
      <c r="AK297" s="6"/>
      <c r="AL297" s="6"/>
      <c r="AM297" s="6"/>
    </row>
    <row r="298" spans="2:39" ht="15" thickBot="1" x14ac:dyDescent="0.35">
      <c r="B298" s="20"/>
      <c r="C298" s="13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0"/>
      <c r="R298" s="13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6"/>
      <c r="AJ298" s="6"/>
      <c r="AK298" s="6"/>
      <c r="AL298" s="6"/>
      <c r="AM298" s="6"/>
    </row>
    <row r="299" spans="2:39" ht="15" thickBot="1" x14ac:dyDescent="0.35">
      <c r="B299" s="18"/>
      <c r="C299" s="12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8"/>
      <c r="R299" s="12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6"/>
      <c r="AJ299" s="6"/>
      <c r="AK299" s="6"/>
      <c r="AL299" s="6"/>
      <c r="AM299" s="6"/>
    </row>
    <row r="300" spans="2:39" ht="15" thickBot="1" x14ac:dyDescent="0.35">
      <c r="B300" s="20"/>
      <c r="C300" s="13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0"/>
      <c r="R300" s="13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6"/>
      <c r="AJ300" s="6"/>
      <c r="AK300" s="6"/>
      <c r="AL300" s="6"/>
      <c r="AM300" s="6"/>
    </row>
    <row r="301" spans="2:39" ht="15" thickBot="1" x14ac:dyDescent="0.35">
      <c r="B301" s="18"/>
      <c r="C301" s="12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8"/>
      <c r="R301" s="12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6"/>
      <c r="AJ301" s="6"/>
      <c r="AK301" s="6"/>
      <c r="AL301" s="6"/>
      <c r="AM301" s="6"/>
    </row>
    <row r="302" spans="2:39" ht="15" thickBot="1" x14ac:dyDescent="0.35">
      <c r="B302" s="20"/>
      <c r="C302" s="13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0"/>
      <c r="R302" s="13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6"/>
      <c r="AJ302" s="6"/>
      <c r="AK302" s="6"/>
      <c r="AL302" s="6"/>
      <c r="AM302" s="6"/>
    </row>
    <row r="303" spans="2:39" ht="15" thickBot="1" x14ac:dyDescent="0.35">
      <c r="B303" s="18"/>
      <c r="C303" s="12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8"/>
      <c r="R303" s="12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6"/>
      <c r="AJ303" s="6"/>
      <c r="AK303" s="6"/>
      <c r="AL303" s="6"/>
      <c r="AM303" s="6"/>
    </row>
    <row r="304" spans="2:39" ht="15" thickBot="1" x14ac:dyDescent="0.35">
      <c r="B304" s="20"/>
      <c r="C304" s="13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0"/>
      <c r="R304" s="13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6"/>
      <c r="AJ304" s="6"/>
      <c r="AK304" s="6"/>
      <c r="AL304" s="6"/>
      <c r="AM304" s="6"/>
    </row>
    <row r="305" spans="2:39" ht="15" thickBot="1" x14ac:dyDescent="0.35">
      <c r="B305" s="18"/>
      <c r="C305" s="12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8"/>
      <c r="R305" s="12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6"/>
      <c r="AJ305" s="6"/>
      <c r="AK305" s="6"/>
      <c r="AL305" s="6"/>
      <c r="AM305" s="6"/>
    </row>
    <row r="306" spans="2:39" ht="15" thickBot="1" x14ac:dyDescent="0.35">
      <c r="B306" s="20"/>
      <c r="C306" s="13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0"/>
      <c r="R306" s="13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6"/>
      <c r="AJ306" s="6"/>
      <c r="AK306" s="6"/>
      <c r="AL306" s="6"/>
      <c r="AM306" s="6"/>
    </row>
    <row r="307" spans="2:39" ht="15" thickBot="1" x14ac:dyDescent="0.35">
      <c r="B307" s="18"/>
      <c r="C307" s="12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8"/>
      <c r="R307" s="12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6"/>
      <c r="AJ307" s="6"/>
      <c r="AK307" s="6"/>
      <c r="AL307" s="6"/>
      <c r="AM307" s="6"/>
    </row>
    <row r="308" spans="2:39" ht="15" thickBot="1" x14ac:dyDescent="0.35">
      <c r="B308" s="20"/>
      <c r="C308" s="13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0"/>
      <c r="R308" s="13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6"/>
      <c r="AJ308" s="6"/>
      <c r="AK308" s="6"/>
      <c r="AL308" s="6"/>
      <c r="AM308" s="6"/>
    </row>
    <row r="309" spans="2:39" ht="15" thickBot="1" x14ac:dyDescent="0.35">
      <c r="B309" s="18"/>
      <c r="C309" s="12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8"/>
      <c r="R309" s="12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6"/>
      <c r="AJ309" s="6"/>
      <c r="AK309" s="6"/>
      <c r="AL309" s="6"/>
      <c r="AM309" s="6"/>
    </row>
    <row r="310" spans="2:39" ht="15" thickBot="1" x14ac:dyDescent="0.35">
      <c r="B310" s="20"/>
      <c r="C310" s="13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0"/>
      <c r="R310" s="13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6"/>
      <c r="AJ310" s="6"/>
      <c r="AK310" s="6"/>
      <c r="AL310" s="6"/>
      <c r="AM310" s="6"/>
    </row>
    <row r="311" spans="2:39" ht="15" thickBot="1" x14ac:dyDescent="0.35">
      <c r="B311" s="18"/>
      <c r="C311" s="12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8"/>
      <c r="R311" s="12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6"/>
      <c r="AJ311" s="6"/>
      <c r="AK311" s="6"/>
      <c r="AL311" s="6"/>
      <c r="AM311" s="6"/>
    </row>
    <row r="312" spans="2:39" ht="15" thickBot="1" x14ac:dyDescent="0.35">
      <c r="B312" s="20"/>
      <c r="C312" s="13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0"/>
      <c r="R312" s="13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6"/>
      <c r="AJ312" s="6"/>
      <c r="AK312" s="6"/>
      <c r="AL312" s="6"/>
      <c r="AM312" s="6"/>
    </row>
    <row r="313" spans="2:39" ht="15" thickBot="1" x14ac:dyDescent="0.35">
      <c r="B313" s="18"/>
      <c r="C313" s="12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8"/>
      <c r="R313" s="12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6"/>
      <c r="AJ313" s="6"/>
      <c r="AK313" s="6"/>
      <c r="AL313" s="6"/>
      <c r="AM313" s="6"/>
    </row>
    <row r="314" spans="2:39" ht="15" thickBot="1" x14ac:dyDescent="0.35">
      <c r="B314" s="20"/>
      <c r="C314" s="13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0"/>
      <c r="R314" s="13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6"/>
      <c r="AJ314" s="6"/>
      <c r="AK314" s="6"/>
      <c r="AL314" s="6"/>
      <c r="AM314" s="6"/>
    </row>
    <row r="315" spans="2:39" ht="15" thickBot="1" x14ac:dyDescent="0.35">
      <c r="B315" s="18"/>
      <c r="C315" s="12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8"/>
      <c r="R315" s="12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6"/>
      <c r="AJ315" s="6"/>
      <c r="AK315" s="6"/>
      <c r="AL315" s="6"/>
      <c r="AM315" s="6"/>
    </row>
    <row r="316" spans="2:39" ht="15" thickBot="1" x14ac:dyDescent="0.35">
      <c r="B316" s="20"/>
      <c r="C316" s="13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0"/>
      <c r="R316" s="13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6"/>
      <c r="AJ316" s="6"/>
      <c r="AK316" s="6"/>
      <c r="AL316" s="6"/>
      <c r="AM316" s="6"/>
    </row>
    <row r="317" spans="2:39" ht="15" thickBot="1" x14ac:dyDescent="0.35">
      <c r="B317" s="18"/>
      <c r="C317" s="12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8"/>
      <c r="R317" s="12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6"/>
      <c r="AJ317" s="6"/>
      <c r="AK317" s="6"/>
      <c r="AL317" s="6"/>
      <c r="AM317" s="6"/>
    </row>
    <row r="318" spans="2:39" ht="15" thickBot="1" x14ac:dyDescent="0.35">
      <c r="B318" s="20"/>
      <c r="C318" s="13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0"/>
      <c r="R318" s="13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6"/>
      <c r="AJ318" s="6"/>
      <c r="AK318" s="6"/>
      <c r="AL318" s="6"/>
      <c r="AM318" s="6"/>
    </row>
    <row r="319" spans="2:39" ht="15" thickBot="1" x14ac:dyDescent="0.35">
      <c r="B319" s="18"/>
      <c r="C319" s="12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8"/>
      <c r="R319" s="12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6"/>
      <c r="AJ319" s="6"/>
      <c r="AK319" s="6"/>
      <c r="AL319" s="6"/>
      <c r="AM319" s="6"/>
    </row>
    <row r="320" spans="2:39" ht="15" thickBot="1" x14ac:dyDescent="0.35">
      <c r="B320" s="20"/>
      <c r="C320" s="13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0"/>
      <c r="R320" s="13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6"/>
      <c r="AJ320" s="6"/>
      <c r="AK320" s="6"/>
      <c r="AL320" s="6"/>
      <c r="AM320" s="6"/>
    </row>
    <row r="321" spans="2:39" ht="15" thickBot="1" x14ac:dyDescent="0.35">
      <c r="B321" s="18"/>
      <c r="C321" s="12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8"/>
      <c r="R321" s="12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6"/>
      <c r="AJ321" s="6"/>
      <c r="AK321" s="6"/>
      <c r="AL321" s="6"/>
      <c r="AM321" s="6"/>
    </row>
    <row r="322" spans="2:39" ht="15" thickBot="1" x14ac:dyDescent="0.35">
      <c r="B322" s="20"/>
      <c r="C322" s="13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0"/>
      <c r="R322" s="13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6"/>
      <c r="AJ322" s="6"/>
      <c r="AK322" s="6"/>
      <c r="AL322" s="6"/>
      <c r="AM322" s="6"/>
    </row>
    <row r="323" spans="2:39" ht="15" thickBot="1" x14ac:dyDescent="0.35">
      <c r="B323" s="18"/>
      <c r="C323" s="12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8"/>
      <c r="R323" s="12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6"/>
      <c r="AJ323" s="6"/>
      <c r="AK323" s="6"/>
      <c r="AL323" s="6"/>
      <c r="AM323" s="6"/>
    </row>
    <row r="324" spans="2:39" ht="15" thickBot="1" x14ac:dyDescent="0.35">
      <c r="B324" s="20"/>
      <c r="C324" s="13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0"/>
      <c r="R324" s="13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6"/>
      <c r="AJ324" s="6"/>
      <c r="AK324" s="6"/>
      <c r="AL324" s="6"/>
      <c r="AM324" s="6"/>
    </row>
    <row r="325" spans="2:39" ht="15" thickBot="1" x14ac:dyDescent="0.35">
      <c r="B325" s="18"/>
      <c r="C325" s="12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8"/>
      <c r="R325" s="12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6"/>
      <c r="AJ325" s="6"/>
      <c r="AK325" s="6"/>
      <c r="AL325" s="6"/>
      <c r="AM325" s="6"/>
    </row>
    <row r="326" spans="2:39" ht="15" thickBot="1" x14ac:dyDescent="0.35">
      <c r="B326" s="20"/>
      <c r="C326" s="13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0"/>
      <c r="R326" s="13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6"/>
      <c r="AJ326" s="6"/>
      <c r="AK326" s="6"/>
      <c r="AL326" s="6"/>
      <c r="AM326" s="6"/>
    </row>
    <row r="327" spans="2:39" ht="15" thickBot="1" x14ac:dyDescent="0.35">
      <c r="B327" s="18"/>
      <c r="C327" s="12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8"/>
      <c r="R327" s="12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6"/>
      <c r="AJ327" s="6"/>
      <c r="AK327" s="6"/>
      <c r="AL327" s="6"/>
      <c r="AM327" s="6"/>
    </row>
    <row r="328" spans="2:39" ht="15" thickBot="1" x14ac:dyDescent="0.35">
      <c r="B328" s="20"/>
      <c r="C328" s="13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0"/>
      <c r="R328" s="13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6"/>
      <c r="AJ328" s="6"/>
      <c r="AK328" s="6"/>
      <c r="AL328" s="6"/>
      <c r="AM328" s="6"/>
    </row>
    <row r="329" spans="2:39" ht="15" thickBot="1" x14ac:dyDescent="0.35">
      <c r="B329" s="18"/>
      <c r="C329" s="12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8"/>
      <c r="R329" s="12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6"/>
      <c r="AJ329" s="6"/>
      <c r="AK329" s="6"/>
      <c r="AL329" s="6"/>
      <c r="AM329" s="6"/>
    </row>
    <row r="330" spans="2:39" ht="15" thickBot="1" x14ac:dyDescent="0.35">
      <c r="B330" s="20"/>
      <c r="C330" s="13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0"/>
      <c r="R330" s="13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6"/>
      <c r="AJ330" s="6"/>
      <c r="AK330" s="6"/>
      <c r="AL330" s="6"/>
      <c r="AM330" s="6"/>
    </row>
    <row r="331" spans="2:39" ht="15" thickBot="1" x14ac:dyDescent="0.35">
      <c r="B331" s="18"/>
      <c r="C331" s="12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8"/>
      <c r="R331" s="12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6"/>
      <c r="AJ331" s="6"/>
      <c r="AK331" s="6"/>
      <c r="AL331" s="6"/>
      <c r="AM331" s="6"/>
    </row>
    <row r="332" spans="2:39" ht="15" thickBot="1" x14ac:dyDescent="0.35">
      <c r="B332" s="20"/>
      <c r="C332" s="13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0"/>
      <c r="R332" s="13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6"/>
      <c r="AJ332" s="6"/>
      <c r="AK332" s="6"/>
      <c r="AL332" s="6"/>
      <c r="AM332" s="6"/>
    </row>
    <row r="333" spans="2:39" ht="15" thickBot="1" x14ac:dyDescent="0.35">
      <c r="B333" s="18"/>
      <c r="C333" s="12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8"/>
      <c r="R333" s="12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6"/>
      <c r="AJ333" s="6"/>
      <c r="AK333" s="6"/>
      <c r="AL333" s="6"/>
      <c r="AM333" s="6"/>
    </row>
    <row r="334" spans="2:39" ht="15" thickBot="1" x14ac:dyDescent="0.35">
      <c r="B334" s="20"/>
      <c r="C334" s="13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0"/>
      <c r="R334" s="13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6"/>
      <c r="AJ334" s="6"/>
      <c r="AK334" s="6"/>
      <c r="AL334" s="6"/>
      <c r="AM334" s="6"/>
    </row>
    <row r="335" spans="2:39" ht="15" thickBot="1" x14ac:dyDescent="0.35">
      <c r="B335" s="18"/>
      <c r="C335" s="12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8"/>
      <c r="R335" s="12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6"/>
      <c r="AJ335" s="6"/>
      <c r="AK335" s="6"/>
      <c r="AL335" s="6"/>
      <c r="AM335" s="6"/>
    </row>
    <row r="336" spans="2:39" ht="15" thickBot="1" x14ac:dyDescent="0.35">
      <c r="B336" s="20"/>
      <c r="C336" s="13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0"/>
      <c r="R336" s="13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6"/>
      <c r="AJ336" s="6"/>
      <c r="AK336" s="6"/>
      <c r="AL336" s="6"/>
      <c r="AM336" s="6"/>
    </row>
    <row r="337" spans="2:39" ht="15" thickBot="1" x14ac:dyDescent="0.35">
      <c r="B337" s="18"/>
      <c r="C337" s="12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8"/>
      <c r="R337" s="12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6"/>
      <c r="AJ337" s="6"/>
      <c r="AK337" s="6"/>
      <c r="AL337" s="6"/>
      <c r="AM337" s="6"/>
    </row>
    <row r="338" spans="2:39" ht="15" thickBot="1" x14ac:dyDescent="0.35">
      <c r="B338" s="20"/>
      <c r="C338" s="13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0"/>
      <c r="R338" s="13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6"/>
      <c r="AJ338" s="6"/>
      <c r="AK338" s="6"/>
      <c r="AL338" s="6"/>
      <c r="AM338" s="6"/>
    </row>
    <row r="339" spans="2:39" ht="15" thickBot="1" x14ac:dyDescent="0.35">
      <c r="B339" s="18"/>
      <c r="C339" s="12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8"/>
      <c r="R339" s="12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6"/>
      <c r="AJ339" s="6"/>
      <c r="AK339" s="6"/>
      <c r="AL339" s="6"/>
      <c r="AM339" s="6"/>
    </row>
    <row r="340" spans="2:39" ht="15" thickBot="1" x14ac:dyDescent="0.35">
      <c r="B340" s="20"/>
      <c r="C340" s="13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0"/>
      <c r="R340" s="13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6"/>
      <c r="AJ340" s="6"/>
      <c r="AK340" s="6"/>
      <c r="AL340" s="6"/>
      <c r="AM340" s="6"/>
    </row>
    <row r="341" spans="2:39" ht="15" thickBot="1" x14ac:dyDescent="0.35">
      <c r="B341" s="18"/>
      <c r="C341" s="12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8"/>
      <c r="R341" s="12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6"/>
      <c r="AJ341" s="6"/>
      <c r="AK341" s="6"/>
      <c r="AL341" s="6"/>
      <c r="AM341" s="6"/>
    </row>
    <row r="342" spans="2:39" ht="15" thickBot="1" x14ac:dyDescent="0.35">
      <c r="B342" s="20"/>
      <c r="C342" s="13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0"/>
      <c r="R342" s="13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6"/>
      <c r="AJ342" s="6"/>
      <c r="AK342" s="6"/>
      <c r="AL342" s="6"/>
      <c r="AM342" s="6"/>
    </row>
    <row r="343" spans="2:39" ht="15" thickBot="1" x14ac:dyDescent="0.35">
      <c r="B343" s="18"/>
      <c r="C343" s="12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8"/>
      <c r="R343" s="12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6"/>
      <c r="AJ343" s="6"/>
      <c r="AK343" s="6"/>
      <c r="AL343" s="6"/>
      <c r="AM343" s="6"/>
    </row>
    <row r="344" spans="2:39" ht="15" thickBot="1" x14ac:dyDescent="0.35">
      <c r="B344" s="20"/>
      <c r="C344" s="13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0"/>
      <c r="R344" s="13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6"/>
      <c r="AJ344" s="6"/>
      <c r="AK344" s="6"/>
      <c r="AL344" s="6"/>
      <c r="AM344" s="6"/>
    </row>
    <row r="345" spans="2:39" ht="15" thickBot="1" x14ac:dyDescent="0.35">
      <c r="B345" s="18"/>
      <c r="C345" s="12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8"/>
      <c r="R345" s="12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6"/>
      <c r="AJ345" s="6"/>
      <c r="AK345" s="6"/>
      <c r="AL345" s="6"/>
      <c r="AM345" s="6"/>
    </row>
    <row r="346" spans="2:39" ht="15" thickBot="1" x14ac:dyDescent="0.35">
      <c r="B346" s="20"/>
      <c r="C346" s="13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0"/>
      <c r="R346" s="13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6"/>
      <c r="AJ346" s="6"/>
      <c r="AK346" s="6"/>
      <c r="AL346" s="6"/>
      <c r="AM346" s="6"/>
    </row>
    <row r="347" spans="2:39" ht="15" thickBot="1" x14ac:dyDescent="0.35">
      <c r="B347" s="18"/>
      <c r="C347" s="12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8"/>
      <c r="R347" s="12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6"/>
      <c r="AJ347" s="6"/>
      <c r="AK347" s="6"/>
      <c r="AL347" s="6"/>
      <c r="AM347" s="6"/>
    </row>
    <row r="348" spans="2:39" ht="15" thickBot="1" x14ac:dyDescent="0.35">
      <c r="B348" s="20"/>
      <c r="C348" s="13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0"/>
      <c r="R348" s="13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6"/>
      <c r="AJ348" s="6"/>
      <c r="AK348" s="6"/>
      <c r="AL348" s="6"/>
      <c r="AM348" s="6"/>
    </row>
    <row r="349" spans="2:39" ht="15" thickBot="1" x14ac:dyDescent="0.35">
      <c r="B349" s="18"/>
      <c r="C349" s="12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8"/>
      <c r="R349" s="12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6"/>
      <c r="AJ349" s="6"/>
      <c r="AK349" s="6"/>
      <c r="AL349" s="6"/>
      <c r="AM349" s="6"/>
    </row>
    <row r="350" spans="2:39" ht="15" thickBot="1" x14ac:dyDescent="0.35">
      <c r="B350" s="20"/>
      <c r="C350" s="13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0"/>
      <c r="R350" s="13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6"/>
      <c r="AJ350" s="6"/>
      <c r="AK350" s="6"/>
      <c r="AL350" s="6"/>
      <c r="AM350" s="6"/>
    </row>
    <row r="351" spans="2:39" ht="15" thickBot="1" x14ac:dyDescent="0.35">
      <c r="B351" s="18"/>
      <c r="C351" s="12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8"/>
      <c r="R351" s="12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6"/>
      <c r="AJ351" s="6"/>
      <c r="AK351" s="6"/>
      <c r="AL351" s="6"/>
      <c r="AM351" s="6"/>
    </row>
    <row r="352" spans="2:39" ht="15" thickBot="1" x14ac:dyDescent="0.35">
      <c r="B352" s="20"/>
      <c r="C352" s="13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0"/>
      <c r="R352" s="13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6"/>
      <c r="AJ352" s="6"/>
      <c r="AK352" s="6"/>
      <c r="AL352" s="6"/>
      <c r="AM352" s="6"/>
    </row>
    <row r="353" spans="2:39" ht="15" thickBot="1" x14ac:dyDescent="0.35">
      <c r="B353" s="18"/>
      <c r="C353" s="12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8"/>
      <c r="R353" s="12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6"/>
      <c r="AJ353" s="6"/>
      <c r="AK353" s="6"/>
      <c r="AL353" s="6"/>
      <c r="AM353" s="6"/>
    </row>
    <row r="354" spans="2:39" ht="15" thickBot="1" x14ac:dyDescent="0.35">
      <c r="B354" s="20"/>
      <c r="C354" s="13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0"/>
      <c r="R354" s="13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6"/>
      <c r="AJ354" s="6"/>
      <c r="AK354" s="6"/>
      <c r="AL354" s="6"/>
      <c r="AM354" s="6"/>
    </row>
    <row r="355" spans="2:39" ht="15" thickBot="1" x14ac:dyDescent="0.35">
      <c r="B355" s="18"/>
      <c r="C355" s="12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8"/>
      <c r="R355" s="12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6"/>
      <c r="AJ355" s="6"/>
      <c r="AK355" s="6"/>
      <c r="AL355" s="6"/>
      <c r="AM355" s="6"/>
    </row>
    <row r="356" spans="2:39" ht="15" thickBot="1" x14ac:dyDescent="0.35">
      <c r="B356" s="20"/>
      <c r="C356" s="13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0"/>
      <c r="R356" s="13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6"/>
      <c r="AJ356" s="6"/>
      <c r="AK356" s="6"/>
      <c r="AL356" s="6"/>
      <c r="AM356" s="6"/>
    </row>
    <row r="357" spans="2:39" ht="15" thickBot="1" x14ac:dyDescent="0.35">
      <c r="B357" s="18"/>
      <c r="C357" s="12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8"/>
      <c r="R357" s="12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6"/>
      <c r="AJ357" s="6"/>
      <c r="AK357" s="6"/>
      <c r="AL357" s="6"/>
      <c r="AM357" s="6"/>
    </row>
    <row r="358" spans="2:39" ht="15" thickBot="1" x14ac:dyDescent="0.35">
      <c r="B358" s="20"/>
      <c r="C358" s="13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0"/>
      <c r="R358" s="13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6"/>
      <c r="AJ358" s="6"/>
      <c r="AK358" s="6"/>
      <c r="AL358" s="6"/>
      <c r="AM358" s="6"/>
    </row>
    <row r="359" spans="2:39" ht="15" thickBot="1" x14ac:dyDescent="0.35">
      <c r="B359" s="18"/>
      <c r="C359" s="12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8"/>
      <c r="R359" s="12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6"/>
      <c r="AJ359" s="6"/>
      <c r="AK359" s="6"/>
      <c r="AL359" s="6"/>
      <c r="AM359" s="6"/>
    </row>
    <row r="360" spans="2:39" ht="15" thickBot="1" x14ac:dyDescent="0.35">
      <c r="B360" s="20"/>
      <c r="C360" s="13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0"/>
      <c r="R360" s="13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6"/>
      <c r="AJ360" s="6"/>
      <c r="AK360" s="6"/>
      <c r="AL360" s="6"/>
      <c r="AM360" s="6"/>
    </row>
    <row r="361" spans="2:39" ht="15" thickBot="1" x14ac:dyDescent="0.35">
      <c r="B361" s="18"/>
      <c r="C361" s="12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8"/>
      <c r="R361" s="12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6"/>
      <c r="AJ361" s="6"/>
      <c r="AK361" s="6"/>
      <c r="AL361" s="6"/>
      <c r="AM361" s="6"/>
    </row>
    <row r="362" spans="2:39" ht="15" thickBot="1" x14ac:dyDescent="0.35">
      <c r="B362" s="20"/>
      <c r="C362" s="13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0"/>
      <c r="R362" s="13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6"/>
      <c r="AJ362" s="6"/>
      <c r="AK362" s="6"/>
      <c r="AL362" s="6"/>
      <c r="AM362" s="6"/>
    </row>
    <row r="363" spans="2:39" ht="15" thickBot="1" x14ac:dyDescent="0.35">
      <c r="B363" s="18"/>
      <c r="C363" s="12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8"/>
      <c r="R363" s="12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6"/>
      <c r="AJ363" s="6"/>
      <c r="AK363" s="6"/>
      <c r="AL363" s="6"/>
      <c r="AM363" s="6"/>
    </row>
    <row r="364" spans="2:39" ht="15" thickBot="1" x14ac:dyDescent="0.35">
      <c r="B364" s="20"/>
      <c r="C364" s="13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0"/>
      <c r="R364" s="13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6"/>
      <c r="AJ364" s="6"/>
      <c r="AK364" s="6"/>
      <c r="AL364" s="6"/>
      <c r="AM364" s="6"/>
    </row>
    <row r="365" spans="2:39" ht="15" thickBot="1" x14ac:dyDescent="0.35">
      <c r="B365" s="18"/>
      <c r="C365" s="12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8"/>
      <c r="R365" s="12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6"/>
      <c r="AJ365" s="6"/>
      <c r="AK365" s="6"/>
      <c r="AL365" s="6"/>
      <c r="AM365" s="6"/>
    </row>
    <row r="366" spans="2:39" ht="15" thickBot="1" x14ac:dyDescent="0.35">
      <c r="B366" s="20"/>
      <c r="C366" s="13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0"/>
      <c r="R366" s="13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6"/>
      <c r="AJ366" s="6"/>
      <c r="AK366" s="6"/>
      <c r="AL366" s="6"/>
      <c r="AM366" s="6"/>
    </row>
    <row r="367" spans="2:39" ht="15" thickBot="1" x14ac:dyDescent="0.35">
      <c r="B367" s="18"/>
      <c r="C367" s="12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8"/>
      <c r="R367" s="12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6"/>
      <c r="AJ367" s="6"/>
      <c r="AK367" s="6"/>
      <c r="AL367" s="6"/>
      <c r="AM367" s="6"/>
    </row>
    <row r="368" spans="2:39" ht="15" thickBot="1" x14ac:dyDescent="0.35">
      <c r="B368" s="20"/>
      <c r="C368" s="13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0"/>
      <c r="R368" s="13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6"/>
      <c r="AJ368" s="6"/>
      <c r="AK368" s="6"/>
      <c r="AL368" s="6"/>
      <c r="AM368" s="6"/>
    </row>
    <row r="369" spans="2:39" ht="15" thickBot="1" x14ac:dyDescent="0.35">
      <c r="B369" s="18"/>
      <c r="C369" s="12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8"/>
      <c r="R369" s="12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6"/>
      <c r="AJ369" s="6"/>
      <c r="AK369" s="6"/>
      <c r="AL369" s="6"/>
      <c r="AM369" s="6"/>
    </row>
    <row r="370" spans="2:39" ht="15" thickBot="1" x14ac:dyDescent="0.35">
      <c r="B370" s="20"/>
      <c r="C370" s="13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0"/>
      <c r="R370" s="13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6"/>
      <c r="AJ370" s="6"/>
      <c r="AK370" s="6"/>
      <c r="AL370" s="6"/>
      <c r="AM370" s="6"/>
    </row>
    <row r="371" spans="2:39" ht="15" thickBot="1" x14ac:dyDescent="0.35">
      <c r="B371" s="18"/>
      <c r="C371" s="12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8"/>
      <c r="R371" s="12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6"/>
      <c r="AJ371" s="6"/>
      <c r="AK371" s="6"/>
      <c r="AL371" s="6"/>
      <c r="AM371" s="6"/>
    </row>
    <row r="372" spans="2:39" ht="15" thickBot="1" x14ac:dyDescent="0.35">
      <c r="B372" s="20"/>
      <c r="C372" s="13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0"/>
      <c r="R372" s="13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6"/>
      <c r="AJ372" s="6"/>
      <c r="AK372" s="6"/>
      <c r="AL372" s="6"/>
      <c r="AM372" s="6"/>
    </row>
    <row r="373" spans="2:39" ht="15" thickBot="1" x14ac:dyDescent="0.35">
      <c r="B373" s="18"/>
      <c r="C373" s="12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8"/>
      <c r="R373" s="12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6"/>
      <c r="AJ373" s="6"/>
      <c r="AK373" s="6"/>
      <c r="AL373" s="6"/>
      <c r="AM373" s="6"/>
    </row>
    <row r="374" spans="2:39" ht="15" thickBot="1" x14ac:dyDescent="0.35">
      <c r="B374" s="20"/>
      <c r="C374" s="13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0"/>
      <c r="R374" s="13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6"/>
      <c r="AJ374" s="6"/>
      <c r="AK374" s="6"/>
      <c r="AL374" s="6"/>
      <c r="AM374" s="6"/>
    </row>
    <row r="375" spans="2:39" ht="15" thickBot="1" x14ac:dyDescent="0.35">
      <c r="B375" s="18"/>
      <c r="C375" s="12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8"/>
      <c r="R375" s="12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6"/>
      <c r="AJ375" s="6"/>
      <c r="AK375" s="6"/>
      <c r="AL375" s="6"/>
      <c r="AM375" s="6"/>
    </row>
    <row r="376" spans="2:39" ht="15" thickBot="1" x14ac:dyDescent="0.35">
      <c r="B376" s="20"/>
      <c r="C376" s="13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0"/>
      <c r="R376" s="13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6"/>
      <c r="AJ376" s="6"/>
      <c r="AK376" s="6"/>
      <c r="AL376" s="6"/>
      <c r="AM376" s="6"/>
    </row>
    <row r="377" spans="2:39" ht="15" thickBot="1" x14ac:dyDescent="0.35">
      <c r="B377" s="18"/>
      <c r="C377" s="12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8"/>
      <c r="R377" s="12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6"/>
      <c r="AJ377" s="6"/>
      <c r="AK377" s="6"/>
      <c r="AL377" s="6"/>
      <c r="AM377" s="6"/>
    </row>
    <row r="378" spans="2:39" ht="15" thickBot="1" x14ac:dyDescent="0.35">
      <c r="B378" s="20"/>
      <c r="C378" s="13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0"/>
      <c r="R378" s="13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6"/>
      <c r="AJ378" s="6"/>
      <c r="AK378" s="6"/>
      <c r="AL378" s="6"/>
      <c r="AM378" s="6"/>
    </row>
    <row r="379" spans="2:39" ht="15" thickBot="1" x14ac:dyDescent="0.35">
      <c r="B379" s="18"/>
      <c r="C379" s="12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8"/>
      <c r="R379" s="12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6"/>
      <c r="AJ379" s="6"/>
      <c r="AK379" s="6"/>
      <c r="AL379" s="6"/>
      <c r="AM379" s="6"/>
    </row>
    <row r="380" spans="2:39" ht="15" thickBot="1" x14ac:dyDescent="0.35">
      <c r="B380" s="20"/>
      <c r="C380" s="13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0"/>
      <c r="R380" s="13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6"/>
      <c r="AJ380" s="6"/>
      <c r="AK380" s="6"/>
      <c r="AL380" s="6"/>
      <c r="AM380" s="6"/>
    </row>
    <row r="381" spans="2:39" ht="15" thickBot="1" x14ac:dyDescent="0.35">
      <c r="B381" s="18"/>
      <c r="C381" s="12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8"/>
      <c r="R381" s="12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6"/>
      <c r="AJ381" s="6"/>
      <c r="AK381" s="6"/>
      <c r="AL381" s="6"/>
      <c r="AM381" s="6"/>
    </row>
    <row r="382" spans="2:39" ht="15" thickBot="1" x14ac:dyDescent="0.35">
      <c r="B382" s="20"/>
      <c r="C382" s="13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0"/>
      <c r="R382" s="13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6"/>
      <c r="AJ382" s="6"/>
      <c r="AK382" s="6"/>
      <c r="AL382" s="6"/>
      <c r="AM382" s="6"/>
    </row>
    <row r="383" spans="2:39" ht="15" thickBot="1" x14ac:dyDescent="0.35">
      <c r="B383" s="18"/>
      <c r="C383" s="12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8"/>
      <c r="R383" s="12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6"/>
      <c r="AJ383" s="6"/>
      <c r="AK383" s="6"/>
      <c r="AL383" s="6"/>
      <c r="AM383" s="6"/>
    </row>
    <row r="384" spans="2:39" ht="15" thickBot="1" x14ac:dyDescent="0.35">
      <c r="B384" s="20"/>
      <c r="C384" s="13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0"/>
      <c r="R384" s="13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6"/>
      <c r="AJ384" s="6"/>
      <c r="AK384" s="6"/>
      <c r="AL384" s="6"/>
      <c r="AM384" s="6"/>
    </row>
    <row r="385" spans="2:39" ht="15" thickBot="1" x14ac:dyDescent="0.35">
      <c r="B385" s="18"/>
      <c r="C385" s="12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8"/>
      <c r="R385" s="12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6"/>
      <c r="AJ385" s="6"/>
      <c r="AK385" s="6"/>
      <c r="AL385" s="6"/>
      <c r="AM385" s="6"/>
    </row>
    <row r="386" spans="2:39" ht="15" thickBot="1" x14ac:dyDescent="0.35">
      <c r="B386" s="20"/>
      <c r="C386" s="13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0"/>
      <c r="R386" s="13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6"/>
      <c r="AJ386" s="6"/>
      <c r="AK386" s="6"/>
      <c r="AL386" s="6"/>
      <c r="AM386" s="6"/>
    </row>
    <row r="387" spans="2:39" ht="15" thickBot="1" x14ac:dyDescent="0.35">
      <c r="B387" s="18"/>
      <c r="C387" s="12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8"/>
      <c r="R387" s="12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6"/>
      <c r="AJ387" s="6"/>
      <c r="AK387" s="6"/>
      <c r="AL387" s="6"/>
      <c r="AM387" s="6"/>
    </row>
    <row r="388" spans="2:39" ht="15" thickBot="1" x14ac:dyDescent="0.35">
      <c r="B388" s="20"/>
      <c r="C388" s="13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0"/>
      <c r="R388" s="13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6"/>
      <c r="AJ388" s="6"/>
      <c r="AK388" s="6"/>
      <c r="AL388" s="6"/>
      <c r="AM388" s="6"/>
    </row>
    <row r="389" spans="2:39" ht="15" thickBot="1" x14ac:dyDescent="0.35">
      <c r="B389" s="18"/>
      <c r="C389" s="12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8"/>
      <c r="R389" s="12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6"/>
      <c r="AJ389" s="6"/>
      <c r="AK389" s="6"/>
      <c r="AL389" s="6"/>
      <c r="AM389" s="6"/>
    </row>
    <row r="390" spans="2:39" ht="15" thickBot="1" x14ac:dyDescent="0.35">
      <c r="B390" s="20"/>
      <c r="C390" s="13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0"/>
      <c r="R390" s="13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6"/>
      <c r="AJ390" s="6"/>
      <c r="AK390" s="6"/>
      <c r="AL390" s="6"/>
      <c r="AM390" s="6"/>
    </row>
    <row r="391" spans="2:39" ht="15" thickBot="1" x14ac:dyDescent="0.35">
      <c r="B391" s="18"/>
      <c r="C391" s="12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8"/>
      <c r="R391" s="12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6"/>
      <c r="AJ391" s="6"/>
      <c r="AK391" s="6"/>
      <c r="AL391" s="6"/>
      <c r="AM391" s="6"/>
    </row>
    <row r="392" spans="2:39" ht="15" thickBot="1" x14ac:dyDescent="0.35">
      <c r="B392" s="20"/>
      <c r="C392" s="13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0"/>
      <c r="R392" s="13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6"/>
      <c r="AJ392" s="6"/>
      <c r="AK392" s="6"/>
      <c r="AL392" s="6"/>
      <c r="AM392" s="6"/>
    </row>
    <row r="393" spans="2:39" ht="15" thickBot="1" x14ac:dyDescent="0.35">
      <c r="B393" s="18"/>
      <c r="C393" s="12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8"/>
      <c r="R393" s="12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6"/>
      <c r="AJ393" s="6"/>
      <c r="AK393" s="6"/>
      <c r="AL393" s="6"/>
      <c r="AM393" s="6"/>
    </row>
    <row r="394" spans="2:39" ht="15" thickBot="1" x14ac:dyDescent="0.35">
      <c r="B394" s="20"/>
      <c r="C394" s="13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0"/>
      <c r="R394" s="13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6"/>
      <c r="AJ394" s="6"/>
      <c r="AK394" s="6"/>
      <c r="AL394" s="6"/>
      <c r="AM394" s="6"/>
    </row>
    <row r="395" spans="2:39" ht="15" thickBot="1" x14ac:dyDescent="0.35">
      <c r="B395" s="18"/>
      <c r="C395" s="12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8"/>
      <c r="R395" s="12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6"/>
      <c r="AJ395" s="6"/>
      <c r="AK395" s="6"/>
      <c r="AL395" s="6"/>
      <c r="AM395" s="6"/>
    </row>
    <row r="396" spans="2:39" ht="15" thickBot="1" x14ac:dyDescent="0.35">
      <c r="B396" s="20"/>
      <c r="C396" s="13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0"/>
      <c r="R396" s="13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6"/>
      <c r="AJ396" s="6"/>
      <c r="AK396" s="6"/>
      <c r="AL396" s="6"/>
      <c r="AM396" s="6"/>
    </row>
    <row r="397" spans="2:39" ht="15" thickBot="1" x14ac:dyDescent="0.35">
      <c r="B397" s="18"/>
      <c r="C397" s="12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8"/>
      <c r="R397" s="12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6"/>
      <c r="AJ397" s="6"/>
      <c r="AK397" s="6"/>
      <c r="AL397" s="6"/>
      <c r="AM397" s="6"/>
    </row>
    <row r="398" spans="2:39" ht="15" thickBot="1" x14ac:dyDescent="0.35">
      <c r="B398" s="20"/>
      <c r="C398" s="13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0"/>
      <c r="R398" s="13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6"/>
      <c r="AJ398" s="6"/>
      <c r="AK398" s="6"/>
      <c r="AL398" s="6"/>
      <c r="AM398" s="6"/>
    </row>
    <row r="399" spans="2:39" ht="15" thickBot="1" x14ac:dyDescent="0.35">
      <c r="B399" s="18"/>
      <c r="C399" s="12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8"/>
      <c r="R399" s="12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6"/>
      <c r="AJ399" s="6"/>
      <c r="AK399" s="6"/>
      <c r="AL399" s="6"/>
      <c r="AM399" s="6"/>
    </row>
    <row r="400" spans="2:39" ht="15" thickBot="1" x14ac:dyDescent="0.35">
      <c r="B400" s="20"/>
      <c r="C400" s="13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0"/>
      <c r="R400" s="13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6"/>
      <c r="AJ400" s="6"/>
      <c r="AK400" s="6"/>
      <c r="AL400" s="6"/>
      <c r="AM400" s="6"/>
    </row>
    <row r="401" spans="2:39" ht="15" thickBot="1" x14ac:dyDescent="0.35">
      <c r="B401" s="18"/>
      <c r="C401" s="12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8"/>
      <c r="R401" s="12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6"/>
      <c r="AJ401" s="6"/>
      <c r="AK401" s="6"/>
      <c r="AL401" s="6"/>
      <c r="AM401" s="6"/>
    </row>
    <row r="402" spans="2:39" ht="15" thickBot="1" x14ac:dyDescent="0.35">
      <c r="B402" s="20"/>
      <c r="C402" s="13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0"/>
      <c r="R402" s="13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6"/>
      <c r="AJ402" s="6"/>
      <c r="AK402" s="6"/>
      <c r="AL402" s="6"/>
      <c r="AM402" s="6"/>
    </row>
    <row r="403" spans="2:39" ht="15" thickBot="1" x14ac:dyDescent="0.35">
      <c r="B403" s="18"/>
      <c r="C403" s="12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8"/>
      <c r="R403" s="12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6"/>
      <c r="AJ403" s="6"/>
      <c r="AK403" s="6"/>
      <c r="AL403" s="6"/>
      <c r="AM403" s="6"/>
    </row>
    <row r="404" spans="2:39" ht="15" thickBot="1" x14ac:dyDescent="0.35">
      <c r="B404" s="20"/>
      <c r="C404" s="13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0"/>
      <c r="R404" s="13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6"/>
      <c r="AJ404" s="6"/>
      <c r="AK404" s="6"/>
      <c r="AL404" s="6"/>
      <c r="AM404" s="6"/>
    </row>
    <row r="405" spans="2:39" ht="15" thickBot="1" x14ac:dyDescent="0.35">
      <c r="B405" s="18"/>
      <c r="C405" s="12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8"/>
      <c r="R405" s="12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6"/>
      <c r="AJ405" s="6"/>
      <c r="AK405" s="6"/>
      <c r="AL405" s="6"/>
      <c r="AM405" s="6"/>
    </row>
    <row r="406" spans="2:39" ht="15" thickBot="1" x14ac:dyDescent="0.35">
      <c r="B406" s="20"/>
      <c r="C406" s="13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0"/>
      <c r="R406" s="13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6"/>
      <c r="AJ406" s="6"/>
      <c r="AK406" s="6"/>
      <c r="AL406" s="6"/>
      <c r="AM406" s="6"/>
    </row>
    <row r="407" spans="2:39" ht="15" thickBot="1" x14ac:dyDescent="0.35">
      <c r="B407" s="18"/>
      <c r="C407" s="12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8"/>
      <c r="R407" s="12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6"/>
      <c r="AJ407" s="6"/>
      <c r="AK407" s="6"/>
      <c r="AL407" s="6"/>
      <c r="AM407" s="6"/>
    </row>
    <row r="408" spans="2:39" ht="15" thickBot="1" x14ac:dyDescent="0.35">
      <c r="B408" s="20"/>
      <c r="C408" s="13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0"/>
      <c r="R408" s="13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6"/>
      <c r="AJ408" s="6"/>
      <c r="AK408" s="6"/>
      <c r="AL408" s="6"/>
      <c r="AM408" s="6"/>
    </row>
    <row r="409" spans="2:39" ht="15" thickBot="1" x14ac:dyDescent="0.35">
      <c r="B409" s="18"/>
      <c r="C409" s="12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8"/>
      <c r="R409" s="12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6"/>
      <c r="AJ409" s="6"/>
      <c r="AK409" s="6"/>
      <c r="AL409" s="6"/>
      <c r="AM409" s="6"/>
    </row>
    <row r="410" spans="2:39" ht="15" thickBot="1" x14ac:dyDescent="0.35">
      <c r="B410" s="20"/>
      <c r="C410" s="13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0"/>
      <c r="R410" s="13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6"/>
      <c r="AJ410" s="6"/>
      <c r="AK410" s="6"/>
      <c r="AL410" s="6"/>
      <c r="AM410" s="6"/>
    </row>
    <row r="411" spans="2:39" ht="15" thickBot="1" x14ac:dyDescent="0.35">
      <c r="B411" s="18"/>
      <c r="C411" s="12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8"/>
      <c r="R411" s="12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6"/>
      <c r="AJ411" s="6"/>
      <c r="AK411" s="6"/>
      <c r="AL411" s="6"/>
      <c r="AM411" s="6"/>
    </row>
    <row r="412" spans="2:39" ht="15" thickBot="1" x14ac:dyDescent="0.35">
      <c r="B412" s="20"/>
      <c r="C412" s="13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0"/>
      <c r="R412" s="13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6"/>
      <c r="AJ412" s="6"/>
      <c r="AK412" s="6"/>
      <c r="AL412" s="6"/>
      <c r="AM412" s="6"/>
    </row>
    <row r="413" spans="2:39" ht="15" thickBot="1" x14ac:dyDescent="0.35">
      <c r="B413" s="18"/>
      <c r="C413" s="12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8"/>
      <c r="R413" s="12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6"/>
      <c r="AJ413" s="6"/>
      <c r="AK413" s="6"/>
      <c r="AL413" s="6"/>
      <c r="AM413" s="6"/>
    </row>
    <row r="414" spans="2:39" ht="15" thickBot="1" x14ac:dyDescent="0.35">
      <c r="B414" s="20"/>
      <c r="C414" s="13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0"/>
      <c r="R414" s="13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6"/>
      <c r="AJ414" s="6"/>
      <c r="AK414" s="6"/>
      <c r="AL414" s="6"/>
      <c r="AM414" s="6"/>
    </row>
    <row r="415" spans="2:39" ht="15" thickBot="1" x14ac:dyDescent="0.35">
      <c r="B415" s="18"/>
      <c r="C415" s="12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8"/>
      <c r="R415" s="12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6"/>
      <c r="AJ415" s="6"/>
      <c r="AK415" s="6"/>
      <c r="AL415" s="6"/>
      <c r="AM415" s="6"/>
    </row>
    <row r="416" spans="2:39" ht="15" thickBot="1" x14ac:dyDescent="0.35">
      <c r="B416" s="20"/>
      <c r="C416" s="13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0"/>
      <c r="R416" s="13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6"/>
      <c r="AJ416" s="6"/>
      <c r="AK416" s="6"/>
      <c r="AL416" s="6"/>
      <c r="AM416" s="6"/>
    </row>
    <row r="417" spans="2:39" ht="15" thickBot="1" x14ac:dyDescent="0.35">
      <c r="B417" s="18"/>
      <c r="C417" s="12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8"/>
      <c r="R417" s="12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6"/>
      <c r="AJ417" s="6"/>
      <c r="AK417" s="6"/>
      <c r="AL417" s="6"/>
      <c r="AM417" s="6"/>
    </row>
    <row r="418" spans="2:39" ht="15" thickBot="1" x14ac:dyDescent="0.35">
      <c r="B418" s="20"/>
      <c r="C418" s="13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0"/>
      <c r="R418" s="13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6"/>
      <c r="AJ418" s="6"/>
      <c r="AK418" s="6"/>
      <c r="AL418" s="6"/>
      <c r="AM418" s="6"/>
    </row>
    <row r="419" spans="2:39" ht="15" thickBot="1" x14ac:dyDescent="0.35">
      <c r="B419" s="18"/>
      <c r="C419" s="12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8"/>
      <c r="R419" s="12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6"/>
      <c r="AJ419" s="6"/>
      <c r="AK419" s="6"/>
      <c r="AL419" s="6"/>
      <c r="AM419" s="6"/>
    </row>
    <row r="420" spans="2:39" ht="15" thickBot="1" x14ac:dyDescent="0.35">
      <c r="B420" s="20"/>
      <c r="C420" s="13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0"/>
      <c r="R420" s="13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6"/>
      <c r="AJ420" s="6"/>
      <c r="AK420" s="6"/>
      <c r="AL420" s="6"/>
      <c r="AM420" s="6"/>
    </row>
    <row r="421" spans="2:39" ht="15" thickBot="1" x14ac:dyDescent="0.35">
      <c r="B421" s="18"/>
      <c r="C421" s="12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8"/>
      <c r="R421" s="12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6"/>
      <c r="AJ421" s="6"/>
      <c r="AK421" s="6"/>
      <c r="AL421" s="6"/>
      <c r="AM421" s="6"/>
    </row>
    <row r="422" spans="2:39" ht="15" thickBot="1" x14ac:dyDescent="0.35">
      <c r="B422" s="20"/>
      <c r="C422" s="13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0"/>
      <c r="R422" s="13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6"/>
      <c r="AJ422" s="6"/>
      <c r="AK422" s="6"/>
      <c r="AL422" s="6"/>
      <c r="AM422" s="6"/>
    </row>
    <row r="423" spans="2:39" ht="15" thickBot="1" x14ac:dyDescent="0.35">
      <c r="B423" s="18"/>
      <c r="C423" s="12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8"/>
      <c r="R423" s="12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6"/>
      <c r="AJ423" s="6"/>
      <c r="AK423" s="6"/>
      <c r="AL423" s="6"/>
      <c r="AM423" s="6"/>
    </row>
    <row r="424" spans="2:39" ht="15" thickBot="1" x14ac:dyDescent="0.35">
      <c r="B424" s="20"/>
      <c r="C424" s="13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0"/>
      <c r="R424" s="13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6"/>
      <c r="AJ424" s="6"/>
      <c r="AK424" s="6"/>
      <c r="AL424" s="6"/>
      <c r="AM424" s="6"/>
    </row>
    <row r="425" spans="2:39" ht="15" thickBot="1" x14ac:dyDescent="0.35">
      <c r="B425" s="18"/>
      <c r="C425" s="12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8"/>
      <c r="R425" s="12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6"/>
      <c r="AJ425" s="6"/>
      <c r="AK425" s="6"/>
      <c r="AL425" s="6"/>
      <c r="AM425" s="6"/>
    </row>
    <row r="426" spans="2:39" ht="15" thickBot="1" x14ac:dyDescent="0.35">
      <c r="B426" s="20"/>
      <c r="C426" s="13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0"/>
      <c r="R426" s="13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6"/>
      <c r="AJ426" s="6"/>
      <c r="AK426" s="6"/>
      <c r="AL426" s="6"/>
      <c r="AM426" s="6"/>
    </row>
    <row r="427" spans="2:39" ht="15" thickBot="1" x14ac:dyDescent="0.35">
      <c r="B427" s="18"/>
      <c r="C427" s="12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8"/>
      <c r="R427" s="12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6"/>
      <c r="AJ427" s="6"/>
      <c r="AK427" s="6"/>
      <c r="AL427" s="6"/>
      <c r="AM427" s="6"/>
    </row>
    <row r="428" spans="2:39" ht="15" thickBot="1" x14ac:dyDescent="0.35">
      <c r="B428" s="20"/>
      <c r="C428" s="13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0"/>
      <c r="R428" s="13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6"/>
      <c r="AJ428" s="6"/>
      <c r="AK428" s="6"/>
      <c r="AL428" s="6"/>
      <c r="AM428" s="6"/>
    </row>
    <row r="429" spans="2:39" ht="15" thickBot="1" x14ac:dyDescent="0.35">
      <c r="B429" s="18"/>
      <c r="C429" s="12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8"/>
      <c r="R429" s="12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6"/>
      <c r="AJ429" s="6"/>
      <c r="AK429" s="6"/>
      <c r="AL429" s="6"/>
      <c r="AM429" s="6"/>
    </row>
    <row r="430" spans="2:39" ht="15" thickBot="1" x14ac:dyDescent="0.35">
      <c r="B430" s="20"/>
      <c r="C430" s="13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0"/>
      <c r="R430" s="13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6"/>
      <c r="AJ430" s="6"/>
      <c r="AK430" s="6"/>
      <c r="AL430" s="6"/>
      <c r="AM430" s="6"/>
    </row>
    <row r="431" spans="2:39" ht="15" thickBot="1" x14ac:dyDescent="0.35">
      <c r="B431" s="18"/>
      <c r="C431" s="12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8"/>
      <c r="R431" s="12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6"/>
      <c r="AJ431" s="6"/>
      <c r="AK431" s="6"/>
      <c r="AL431" s="6"/>
      <c r="AM431" s="6"/>
    </row>
    <row r="432" spans="2:39" ht="15" thickBot="1" x14ac:dyDescent="0.35">
      <c r="B432" s="20"/>
      <c r="C432" s="13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0"/>
      <c r="R432" s="13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6"/>
      <c r="AJ432" s="6"/>
      <c r="AK432" s="6"/>
      <c r="AL432" s="6"/>
      <c r="AM432" s="6"/>
    </row>
    <row r="433" spans="2:39" ht="15" thickBot="1" x14ac:dyDescent="0.35">
      <c r="B433" s="18"/>
      <c r="C433" s="12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8"/>
      <c r="R433" s="12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6"/>
      <c r="AJ433" s="6"/>
      <c r="AK433" s="6"/>
      <c r="AL433" s="6"/>
      <c r="AM433" s="6"/>
    </row>
    <row r="434" spans="2:39" ht="15" thickBot="1" x14ac:dyDescent="0.35">
      <c r="B434" s="20"/>
      <c r="C434" s="13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0"/>
      <c r="R434" s="13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6"/>
      <c r="AJ434" s="6"/>
      <c r="AK434" s="6"/>
      <c r="AL434" s="6"/>
      <c r="AM434" s="6"/>
    </row>
    <row r="435" spans="2:39" ht="15" thickBot="1" x14ac:dyDescent="0.35">
      <c r="B435" s="18"/>
      <c r="C435" s="12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8"/>
      <c r="R435" s="12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6"/>
      <c r="AJ435" s="6"/>
      <c r="AK435" s="6"/>
      <c r="AL435" s="6"/>
      <c r="AM435" s="6"/>
    </row>
    <row r="436" spans="2:39" ht="15" thickBot="1" x14ac:dyDescent="0.35">
      <c r="B436" s="20"/>
      <c r="C436" s="13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0"/>
      <c r="R436" s="13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6"/>
      <c r="AJ436" s="6"/>
      <c r="AK436" s="6"/>
      <c r="AL436" s="6"/>
      <c r="AM436" s="6"/>
    </row>
    <row r="437" spans="2:39" ht="15" thickBot="1" x14ac:dyDescent="0.35">
      <c r="B437" s="18"/>
      <c r="C437" s="12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8"/>
      <c r="R437" s="12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6"/>
      <c r="AJ437" s="6"/>
      <c r="AK437" s="6"/>
      <c r="AL437" s="6"/>
      <c r="AM437" s="6"/>
    </row>
    <row r="438" spans="2:39" ht="15" thickBot="1" x14ac:dyDescent="0.35">
      <c r="B438" s="20"/>
      <c r="C438" s="13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0"/>
      <c r="R438" s="13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6"/>
      <c r="AJ438" s="6"/>
      <c r="AK438" s="6"/>
      <c r="AL438" s="6"/>
      <c r="AM438" s="6"/>
    </row>
    <row r="439" spans="2:39" ht="15" thickBot="1" x14ac:dyDescent="0.35">
      <c r="B439" s="18"/>
      <c r="C439" s="12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8"/>
      <c r="R439" s="12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6"/>
      <c r="AJ439" s="6"/>
      <c r="AK439" s="6"/>
      <c r="AL439" s="6"/>
      <c r="AM439" s="6"/>
    </row>
    <row r="440" spans="2:39" ht="15" thickBot="1" x14ac:dyDescent="0.35">
      <c r="B440" s="20"/>
      <c r="C440" s="13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0"/>
      <c r="R440" s="13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6"/>
      <c r="AJ440" s="6"/>
      <c r="AK440" s="6"/>
      <c r="AL440" s="6"/>
      <c r="AM440" s="6"/>
    </row>
    <row r="441" spans="2:39" ht="15" thickBot="1" x14ac:dyDescent="0.35">
      <c r="B441" s="18"/>
      <c r="C441" s="12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8"/>
      <c r="R441" s="12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6"/>
      <c r="AJ441" s="6"/>
      <c r="AK441" s="6"/>
      <c r="AL441" s="6"/>
      <c r="AM441" s="6"/>
    </row>
    <row r="442" spans="2:39" ht="15" thickBot="1" x14ac:dyDescent="0.35">
      <c r="B442" s="20"/>
      <c r="C442" s="13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0"/>
      <c r="R442" s="13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6"/>
      <c r="AJ442" s="6"/>
      <c r="AK442" s="6"/>
      <c r="AL442" s="6"/>
      <c r="AM442" s="6"/>
    </row>
    <row r="443" spans="2:39" ht="15" thickBot="1" x14ac:dyDescent="0.35">
      <c r="B443" s="18"/>
      <c r="C443" s="12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8"/>
      <c r="R443" s="12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6"/>
      <c r="AJ443" s="6"/>
      <c r="AK443" s="6"/>
      <c r="AL443" s="6"/>
      <c r="AM443" s="6"/>
    </row>
    <row r="444" spans="2:39" ht="15" thickBot="1" x14ac:dyDescent="0.35">
      <c r="B444" s="20"/>
      <c r="C444" s="13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0"/>
      <c r="R444" s="13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6"/>
      <c r="AJ444" s="6"/>
      <c r="AK444" s="6"/>
      <c r="AL444" s="6"/>
      <c r="AM444" s="6"/>
    </row>
    <row r="445" spans="2:39" ht="15" thickBot="1" x14ac:dyDescent="0.35">
      <c r="B445" s="18"/>
      <c r="C445" s="12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8"/>
      <c r="R445" s="12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6"/>
      <c r="AJ445" s="6"/>
      <c r="AK445" s="6"/>
      <c r="AL445" s="6"/>
      <c r="AM445" s="6"/>
    </row>
    <row r="446" spans="2:39" ht="15" thickBot="1" x14ac:dyDescent="0.35">
      <c r="B446" s="20"/>
      <c r="C446" s="13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0"/>
      <c r="R446" s="13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6"/>
      <c r="AJ446" s="6"/>
      <c r="AK446" s="6"/>
      <c r="AL446" s="6"/>
      <c r="AM446" s="6"/>
    </row>
    <row r="447" spans="2:39" ht="15" thickBot="1" x14ac:dyDescent="0.35">
      <c r="B447" s="18"/>
      <c r="C447" s="12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8"/>
      <c r="R447" s="12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6"/>
      <c r="AJ447" s="6"/>
      <c r="AK447" s="6"/>
      <c r="AL447" s="6"/>
      <c r="AM447" s="6"/>
    </row>
    <row r="448" spans="2:39" ht="15" thickBot="1" x14ac:dyDescent="0.35">
      <c r="B448" s="20"/>
      <c r="C448" s="13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0"/>
      <c r="R448" s="13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6"/>
      <c r="AJ448" s="6"/>
      <c r="AK448" s="6"/>
      <c r="AL448" s="6"/>
      <c r="AM448" s="6"/>
    </row>
    <row r="449" spans="2:39" ht="15" thickBot="1" x14ac:dyDescent="0.35">
      <c r="B449" s="18"/>
      <c r="C449" s="12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8"/>
      <c r="R449" s="12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6"/>
      <c r="AJ449" s="6"/>
      <c r="AK449" s="6"/>
      <c r="AL449" s="6"/>
      <c r="AM449" s="6"/>
    </row>
    <row r="450" spans="2:39" ht="15" thickBot="1" x14ac:dyDescent="0.35">
      <c r="B450" s="20"/>
      <c r="C450" s="13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0"/>
      <c r="R450" s="13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6"/>
      <c r="AJ450" s="6"/>
      <c r="AK450" s="6"/>
      <c r="AL450" s="6"/>
      <c r="AM450" s="6"/>
    </row>
    <row r="451" spans="2:39" ht="15" thickBot="1" x14ac:dyDescent="0.35">
      <c r="B451" s="18"/>
      <c r="C451" s="12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8"/>
      <c r="R451" s="12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6"/>
      <c r="AJ451" s="6"/>
      <c r="AK451" s="6"/>
      <c r="AL451" s="6"/>
      <c r="AM451" s="6"/>
    </row>
    <row r="452" spans="2:39" ht="15" thickBot="1" x14ac:dyDescent="0.35">
      <c r="B452" s="20"/>
      <c r="C452" s="13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0"/>
      <c r="R452" s="13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6"/>
      <c r="AJ452" s="6"/>
      <c r="AK452" s="6"/>
      <c r="AL452" s="6"/>
      <c r="AM452" s="6"/>
    </row>
    <row r="453" spans="2:39" ht="15" thickBot="1" x14ac:dyDescent="0.35">
      <c r="B453" s="18"/>
      <c r="C453" s="12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8"/>
      <c r="R453" s="12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6"/>
      <c r="AJ453" s="6"/>
      <c r="AK453" s="6"/>
      <c r="AL453" s="6"/>
      <c r="AM453" s="6"/>
    </row>
    <row r="454" spans="2:39" ht="15" thickBot="1" x14ac:dyDescent="0.35">
      <c r="B454" s="20"/>
      <c r="C454" s="13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0"/>
      <c r="R454" s="13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6"/>
      <c r="AJ454" s="6"/>
      <c r="AK454" s="6"/>
      <c r="AL454" s="6"/>
      <c r="AM454" s="6"/>
    </row>
    <row r="455" spans="2:39" ht="15" thickBot="1" x14ac:dyDescent="0.35">
      <c r="B455" s="18"/>
      <c r="C455" s="12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8"/>
      <c r="R455" s="12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6"/>
      <c r="AJ455" s="6"/>
      <c r="AK455" s="6"/>
      <c r="AL455" s="6"/>
      <c r="AM455" s="6"/>
    </row>
    <row r="456" spans="2:39" ht="15" thickBot="1" x14ac:dyDescent="0.35">
      <c r="B456" s="20"/>
      <c r="C456" s="13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0"/>
      <c r="R456" s="13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6"/>
      <c r="AJ456" s="6"/>
      <c r="AK456" s="6"/>
      <c r="AL456" s="6"/>
      <c r="AM456" s="6"/>
    </row>
    <row r="457" spans="2:39" ht="15" thickBot="1" x14ac:dyDescent="0.35">
      <c r="B457" s="18"/>
      <c r="C457" s="12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8"/>
      <c r="R457" s="12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6"/>
      <c r="AJ457" s="6"/>
      <c r="AK457" s="6"/>
      <c r="AL457" s="6"/>
      <c r="AM457" s="6"/>
    </row>
    <row r="458" spans="2:39" ht="15" thickBot="1" x14ac:dyDescent="0.35">
      <c r="B458" s="20"/>
      <c r="C458" s="13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0"/>
      <c r="R458" s="13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6"/>
      <c r="AJ458" s="6"/>
      <c r="AK458" s="6"/>
      <c r="AL458" s="6"/>
      <c r="AM458" s="6"/>
    </row>
    <row r="459" spans="2:39" ht="15" thickBot="1" x14ac:dyDescent="0.35">
      <c r="B459" s="18"/>
      <c r="C459" s="12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8"/>
      <c r="R459" s="12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6"/>
      <c r="AJ459" s="6"/>
      <c r="AK459" s="6"/>
      <c r="AL459" s="6"/>
      <c r="AM459" s="6"/>
    </row>
    <row r="460" spans="2:39" ht="15" thickBot="1" x14ac:dyDescent="0.35">
      <c r="B460" s="20"/>
      <c r="C460" s="13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0"/>
      <c r="R460" s="13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6"/>
      <c r="AJ460" s="6"/>
      <c r="AK460" s="6"/>
      <c r="AL460" s="6"/>
      <c r="AM460" s="6"/>
    </row>
    <row r="461" spans="2:39" ht="15" thickBot="1" x14ac:dyDescent="0.35">
      <c r="B461" s="18"/>
      <c r="C461" s="12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8"/>
      <c r="R461" s="12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6"/>
      <c r="AJ461" s="6"/>
      <c r="AK461" s="6"/>
      <c r="AL461" s="6"/>
      <c r="AM461" s="6"/>
    </row>
    <row r="462" spans="2:39" ht="15" thickBot="1" x14ac:dyDescent="0.35">
      <c r="B462" s="20"/>
      <c r="C462" s="13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0"/>
      <c r="R462" s="13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6"/>
      <c r="AJ462" s="6"/>
      <c r="AK462" s="6"/>
      <c r="AL462" s="6"/>
      <c r="AM462" s="6"/>
    </row>
    <row r="463" spans="2:39" ht="15" thickBot="1" x14ac:dyDescent="0.35">
      <c r="B463" s="18"/>
      <c r="C463" s="12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8"/>
      <c r="R463" s="12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6"/>
      <c r="AJ463" s="6"/>
      <c r="AK463" s="6"/>
      <c r="AL463" s="6"/>
      <c r="AM463" s="6"/>
    </row>
    <row r="464" spans="2:39" ht="15" thickBot="1" x14ac:dyDescent="0.35">
      <c r="B464" s="20"/>
      <c r="C464" s="13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0"/>
      <c r="R464" s="13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6"/>
      <c r="AJ464" s="6"/>
      <c r="AK464" s="6"/>
      <c r="AL464" s="6"/>
      <c r="AM464" s="6"/>
    </row>
    <row r="465" spans="2:39" ht="15" thickBot="1" x14ac:dyDescent="0.35">
      <c r="B465" s="18"/>
      <c r="C465" s="12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8"/>
      <c r="R465" s="12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6"/>
      <c r="AJ465" s="6"/>
      <c r="AK465" s="6"/>
      <c r="AL465" s="6"/>
      <c r="AM465" s="6"/>
    </row>
    <row r="466" spans="2:39" ht="15" thickBot="1" x14ac:dyDescent="0.35">
      <c r="B466" s="20"/>
      <c r="C466" s="13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0"/>
      <c r="R466" s="13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6"/>
      <c r="AJ466" s="6"/>
      <c r="AK466" s="6"/>
      <c r="AL466" s="6"/>
      <c r="AM466" s="6"/>
    </row>
    <row r="467" spans="2:39" ht="15" thickBot="1" x14ac:dyDescent="0.35">
      <c r="B467" s="18"/>
      <c r="C467" s="12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8"/>
      <c r="R467" s="12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6"/>
      <c r="AJ467" s="6"/>
      <c r="AK467" s="6"/>
      <c r="AL467" s="6"/>
      <c r="AM467" s="6"/>
    </row>
    <row r="468" spans="2:39" ht="15" thickBot="1" x14ac:dyDescent="0.35">
      <c r="B468" s="20"/>
      <c r="C468" s="13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0"/>
      <c r="R468" s="13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6"/>
      <c r="AJ468" s="6"/>
      <c r="AK468" s="6"/>
      <c r="AL468" s="6"/>
      <c r="AM468" s="6"/>
    </row>
    <row r="469" spans="2:39" ht="15" thickBot="1" x14ac:dyDescent="0.35">
      <c r="B469" s="18"/>
      <c r="C469" s="12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8"/>
      <c r="R469" s="12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6"/>
      <c r="AJ469" s="6"/>
      <c r="AK469" s="6"/>
      <c r="AL469" s="6"/>
      <c r="AM469" s="6"/>
    </row>
    <row r="470" spans="2:39" ht="15" thickBot="1" x14ac:dyDescent="0.35">
      <c r="B470" s="20"/>
      <c r="C470" s="13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0"/>
      <c r="R470" s="13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6"/>
      <c r="AJ470" s="6"/>
      <c r="AK470" s="6"/>
      <c r="AL470" s="6"/>
      <c r="AM470" s="6"/>
    </row>
    <row r="471" spans="2:39" ht="15" thickBot="1" x14ac:dyDescent="0.35">
      <c r="B471" s="18"/>
      <c r="C471" s="12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8"/>
      <c r="R471" s="12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6"/>
      <c r="AJ471" s="6"/>
      <c r="AK471" s="6"/>
      <c r="AL471" s="6"/>
      <c r="AM471" s="6"/>
    </row>
    <row r="472" spans="2:39" ht="15" thickBot="1" x14ac:dyDescent="0.35">
      <c r="B472" s="20"/>
      <c r="C472" s="13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0"/>
      <c r="R472" s="13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6"/>
      <c r="AJ472" s="6"/>
      <c r="AK472" s="6"/>
      <c r="AL472" s="6"/>
      <c r="AM472" s="6"/>
    </row>
    <row r="473" spans="2:39" ht="15" thickBot="1" x14ac:dyDescent="0.35">
      <c r="B473" s="18"/>
      <c r="C473" s="12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8"/>
      <c r="R473" s="12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6"/>
      <c r="AJ473" s="6"/>
      <c r="AK473" s="6"/>
      <c r="AL473" s="6"/>
      <c r="AM473" s="6"/>
    </row>
    <row r="474" spans="2:39" ht="15" thickBot="1" x14ac:dyDescent="0.35">
      <c r="B474" s="20"/>
      <c r="C474" s="13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0"/>
      <c r="R474" s="13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6"/>
      <c r="AJ474" s="6"/>
      <c r="AK474" s="6"/>
      <c r="AL474" s="6"/>
      <c r="AM474" s="6"/>
    </row>
    <row r="475" spans="2:39" ht="15" thickBot="1" x14ac:dyDescent="0.35">
      <c r="B475" s="18"/>
      <c r="C475" s="12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8"/>
      <c r="R475" s="12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6"/>
      <c r="AJ475" s="6"/>
      <c r="AK475" s="6"/>
      <c r="AL475" s="6"/>
      <c r="AM475" s="6"/>
    </row>
    <row r="476" spans="2:39" ht="15" thickBot="1" x14ac:dyDescent="0.35">
      <c r="B476" s="20"/>
      <c r="C476" s="13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0"/>
      <c r="R476" s="13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6"/>
      <c r="AJ476" s="6"/>
      <c r="AK476" s="6"/>
      <c r="AL476" s="6"/>
      <c r="AM476" s="6"/>
    </row>
    <row r="477" spans="2:39" ht="15" thickBot="1" x14ac:dyDescent="0.35">
      <c r="B477" s="18"/>
      <c r="C477" s="12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8"/>
      <c r="R477" s="12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6"/>
      <c r="AJ477" s="6"/>
      <c r="AK477" s="6"/>
      <c r="AL477" s="6"/>
      <c r="AM477" s="6"/>
    </row>
    <row r="478" spans="2:39" ht="15" thickBot="1" x14ac:dyDescent="0.35">
      <c r="B478" s="20"/>
      <c r="C478" s="13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0"/>
      <c r="R478" s="13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6"/>
      <c r="AJ478" s="6"/>
      <c r="AK478" s="6"/>
      <c r="AL478" s="6"/>
      <c r="AM478" s="6"/>
    </row>
    <row r="479" spans="2:39" ht="15" thickBot="1" x14ac:dyDescent="0.35">
      <c r="B479" s="18"/>
      <c r="C479" s="12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8"/>
      <c r="R479" s="12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6"/>
      <c r="AJ479" s="6"/>
      <c r="AK479" s="6"/>
      <c r="AL479" s="6"/>
      <c r="AM479" s="6"/>
    </row>
    <row r="480" spans="2:39" ht="15" thickBot="1" x14ac:dyDescent="0.35">
      <c r="B480" s="20"/>
      <c r="C480" s="13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0"/>
      <c r="R480" s="13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6"/>
      <c r="AJ480" s="6"/>
      <c r="AK480" s="6"/>
      <c r="AL480" s="6"/>
      <c r="AM480" s="6"/>
    </row>
    <row r="481" spans="2:39" ht="15" thickBot="1" x14ac:dyDescent="0.35">
      <c r="B481" s="18"/>
      <c r="C481" s="12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8"/>
      <c r="R481" s="12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6"/>
      <c r="AJ481" s="6"/>
      <c r="AK481" s="6"/>
      <c r="AL481" s="6"/>
      <c r="AM481" s="6"/>
    </row>
    <row r="482" spans="2:39" ht="15" thickBot="1" x14ac:dyDescent="0.35">
      <c r="B482" s="20"/>
      <c r="C482" s="13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0"/>
      <c r="R482" s="13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6"/>
      <c r="AJ482" s="6"/>
      <c r="AK482" s="6"/>
      <c r="AL482" s="6"/>
      <c r="AM482" s="6"/>
    </row>
    <row r="483" spans="2:39" ht="15" thickBot="1" x14ac:dyDescent="0.35">
      <c r="B483" s="18"/>
      <c r="C483" s="12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8"/>
      <c r="R483" s="12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6"/>
      <c r="AJ483" s="6"/>
      <c r="AK483" s="6"/>
      <c r="AL483" s="6"/>
      <c r="AM483" s="6"/>
    </row>
    <row r="484" spans="2:39" ht="15" thickBot="1" x14ac:dyDescent="0.35">
      <c r="B484" s="20"/>
      <c r="C484" s="13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0"/>
      <c r="R484" s="13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6"/>
      <c r="AJ484" s="6"/>
      <c r="AK484" s="6"/>
      <c r="AL484" s="6"/>
      <c r="AM484" s="6"/>
    </row>
    <row r="485" spans="2:39" ht="15" thickBot="1" x14ac:dyDescent="0.35">
      <c r="B485" s="18"/>
      <c r="C485" s="12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8"/>
      <c r="R485" s="12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6"/>
      <c r="AJ485" s="6"/>
      <c r="AK485" s="6"/>
      <c r="AL485" s="6"/>
      <c r="AM485" s="6"/>
    </row>
    <row r="486" spans="2:39" ht="15" thickBot="1" x14ac:dyDescent="0.35">
      <c r="B486" s="20"/>
      <c r="C486" s="13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0"/>
      <c r="R486" s="13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6"/>
      <c r="AJ486" s="6"/>
      <c r="AK486" s="6"/>
      <c r="AL486" s="6"/>
      <c r="AM486" s="6"/>
    </row>
    <row r="487" spans="2:39" ht="15" thickBot="1" x14ac:dyDescent="0.35">
      <c r="B487" s="18"/>
      <c r="C487" s="12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8"/>
      <c r="R487" s="12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6"/>
      <c r="AJ487" s="6"/>
      <c r="AK487" s="6"/>
      <c r="AL487" s="6"/>
      <c r="AM487" s="6"/>
    </row>
    <row r="488" spans="2:39" ht="15" thickBot="1" x14ac:dyDescent="0.35">
      <c r="B488" s="20"/>
      <c r="C488" s="13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0"/>
      <c r="R488" s="13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6"/>
      <c r="AJ488" s="6"/>
      <c r="AK488" s="6"/>
      <c r="AL488" s="6"/>
      <c r="AM488" s="6"/>
    </row>
    <row r="489" spans="2:39" ht="15" thickBot="1" x14ac:dyDescent="0.35">
      <c r="B489" s="18"/>
      <c r="C489" s="12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8"/>
      <c r="R489" s="12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6"/>
      <c r="AJ489" s="6"/>
      <c r="AK489" s="6"/>
      <c r="AL489" s="6"/>
      <c r="AM489" s="6"/>
    </row>
    <row r="490" spans="2:39" ht="15" thickBot="1" x14ac:dyDescent="0.35">
      <c r="B490" s="20"/>
      <c r="C490" s="13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0"/>
      <c r="R490" s="13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6"/>
      <c r="AJ490" s="6"/>
      <c r="AK490" s="6"/>
      <c r="AL490" s="6"/>
      <c r="AM490" s="6"/>
    </row>
    <row r="491" spans="2:39" ht="15" thickBot="1" x14ac:dyDescent="0.35">
      <c r="B491" s="18"/>
      <c r="C491" s="12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8"/>
      <c r="R491" s="12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6"/>
      <c r="AJ491" s="6"/>
      <c r="AK491" s="6"/>
      <c r="AL491" s="6"/>
      <c r="AM491" s="6"/>
    </row>
    <row r="492" spans="2:39" ht="15" thickBot="1" x14ac:dyDescent="0.35">
      <c r="B492" s="20"/>
      <c r="C492" s="13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0"/>
      <c r="R492" s="13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6"/>
      <c r="AJ492" s="6"/>
      <c r="AK492" s="6"/>
      <c r="AL492" s="6"/>
      <c r="AM492" s="6"/>
    </row>
    <row r="493" spans="2:39" ht="15" thickBot="1" x14ac:dyDescent="0.35">
      <c r="B493" s="18"/>
      <c r="C493" s="12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8"/>
      <c r="R493" s="12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6"/>
      <c r="AJ493" s="6"/>
      <c r="AK493" s="6"/>
      <c r="AL493" s="6"/>
      <c r="AM493" s="6"/>
    </row>
    <row r="494" spans="2:39" ht="15" thickBot="1" x14ac:dyDescent="0.35">
      <c r="B494" s="20"/>
      <c r="C494" s="13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0"/>
      <c r="R494" s="13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6"/>
      <c r="AJ494" s="6"/>
      <c r="AK494" s="6"/>
      <c r="AL494" s="6"/>
      <c r="AM494" s="6"/>
    </row>
    <row r="495" spans="2:39" ht="15" thickBot="1" x14ac:dyDescent="0.35">
      <c r="B495" s="18"/>
      <c r="C495" s="12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8"/>
      <c r="R495" s="12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6"/>
      <c r="AJ495" s="6"/>
      <c r="AK495" s="6"/>
      <c r="AL495" s="6"/>
      <c r="AM495" s="6"/>
    </row>
    <row r="496" spans="2:39" ht="15" thickBot="1" x14ac:dyDescent="0.35">
      <c r="B496" s="20"/>
      <c r="C496" s="13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0"/>
      <c r="R496" s="13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6"/>
      <c r="AJ496" s="6"/>
      <c r="AK496" s="6"/>
      <c r="AL496" s="6"/>
      <c r="AM496" s="6"/>
    </row>
    <row r="497" spans="2:39" ht="15" thickBot="1" x14ac:dyDescent="0.35">
      <c r="B497" s="18"/>
      <c r="C497" s="12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8"/>
      <c r="R497" s="12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6"/>
      <c r="AJ497" s="6"/>
      <c r="AK497" s="6"/>
      <c r="AL497" s="6"/>
      <c r="AM497" s="6"/>
    </row>
    <row r="498" spans="2:39" ht="15" thickBot="1" x14ac:dyDescent="0.35">
      <c r="B498" s="20"/>
      <c r="C498" s="13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0"/>
      <c r="R498" s="13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6"/>
      <c r="AJ498" s="6"/>
      <c r="AK498" s="6"/>
      <c r="AL498" s="6"/>
      <c r="AM498" s="6"/>
    </row>
    <row r="499" spans="2:39" ht="15" thickBot="1" x14ac:dyDescent="0.35">
      <c r="B499" s="18"/>
      <c r="C499" s="12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8"/>
      <c r="R499" s="12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6"/>
      <c r="AJ499" s="6"/>
      <c r="AK499" s="6"/>
      <c r="AL499" s="6"/>
      <c r="AM499" s="6"/>
    </row>
    <row r="500" spans="2:39" ht="15" thickBot="1" x14ac:dyDescent="0.35">
      <c r="B500" s="20"/>
      <c r="C500" s="13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0"/>
      <c r="R500" s="13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6"/>
      <c r="AJ500" s="6"/>
      <c r="AK500" s="6"/>
      <c r="AL500" s="6"/>
      <c r="AM500" s="6"/>
    </row>
    <row r="501" spans="2:39" ht="15" thickBot="1" x14ac:dyDescent="0.35">
      <c r="B501" s="18"/>
      <c r="C501" s="12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8"/>
      <c r="R501" s="12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6"/>
      <c r="AJ501" s="6"/>
      <c r="AK501" s="6"/>
      <c r="AL501" s="6"/>
      <c r="AM501" s="6"/>
    </row>
    <row r="502" spans="2:39" ht="15" thickBot="1" x14ac:dyDescent="0.35">
      <c r="B502" s="20"/>
      <c r="C502" s="13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0"/>
      <c r="R502" s="13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6"/>
      <c r="AJ502" s="6"/>
      <c r="AK502" s="6"/>
      <c r="AL502" s="6"/>
      <c r="AM502" s="6"/>
    </row>
    <row r="503" spans="2:39" ht="15" thickBot="1" x14ac:dyDescent="0.35">
      <c r="B503" s="18"/>
      <c r="C503" s="12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8"/>
      <c r="R503" s="12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6"/>
      <c r="AJ503" s="6"/>
      <c r="AK503" s="6"/>
      <c r="AL503" s="6"/>
      <c r="AM503" s="6"/>
    </row>
    <row r="504" spans="2:39" ht="15" thickBot="1" x14ac:dyDescent="0.35">
      <c r="B504" s="20"/>
      <c r="C504" s="13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0"/>
      <c r="R504" s="13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6"/>
      <c r="AJ504" s="6"/>
      <c r="AK504" s="6"/>
      <c r="AL504" s="6"/>
      <c r="AM504" s="6"/>
    </row>
    <row r="505" spans="2:39" ht="15" thickBot="1" x14ac:dyDescent="0.35">
      <c r="B505" s="18"/>
      <c r="C505" s="12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8"/>
      <c r="R505" s="12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6"/>
      <c r="AJ505" s="6"/>
      <c r="AK505" s="6"/>
      <c r="AL505" s="6"/>
      <c r="AM505" s="6"/>
    </row>
    <row r="506" spans="2:39" ht="15" thickBot="1" x14ac:dyDescent="0.35">
      <c r="B506" s="20"/>
      <c r="C506" s="13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0"/>
      <c r="R506" s="13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6"/>
      <c r="AJ506" s="6"/>
      <c r="AK506" s="6"/>
      <c r="AL506" s="6"/>
      <c r="AM506" s="6"/>
    </row>
  </sheetData>
  <autoFilter ref="A6:AM6" xr:uid="{00000000-0009-0000-0000-000000000000}">
    <sortState xmlns:xlrd2="http://schemas.microsoft.com/office/spreadsheetml/2017/richdata2" ref="A7:AM207">
      <sortCondition descending="1" ref="A6"/>
    </sortState>
  </autoFilter>
  <mergeCells count="6">
    <mergeCell ref="AI1:AM1"/>
    <mergeCell ref="AB3:AC3"/>
    <mergeCell ref="H3:L3"/>
    <mergeCell ref="W3:AA3"/>
    <mergeCell ref="M3:O3"/>
    <mergeCell ref="AD3:AG3"/>
  </mergeCells>
  <hyperlinks>
    <hyperlink ref="B6" r:id="rId1" display="https://www.whatifsports.com/hbd/Pages/GM/AmateurDraftPlayerPool.aspx" xr:uid="{12539D98-42AD-40CE-8997-02D9BCB62D2D}"/>
    <hyperlink ref="C6" r:id="rId2" display="https://www.whatifsports.com/hbd/Pages/GM/AmateurDraftPlayerPool.aspx" xr:uid="{948CE900-8192-4CC0-B3D1-5F348AB648E0}"/>
    <hyperlink ref="D6" r:id="rId3" display="https://www.whatifsports.com/hbd/Pages/GM/AmateurDraftPlayerPool.aspx" xr:uid="{3E93C675-F5EB-4649-A185-FD44AC5E87EE}"/>
    <hyperlink ref="E6" r:id="rId4" display="https://www.whatifsports.com/hbd/Pages/GM/AmateurDraftPlayerPool.aspx" xr:uid="{F7A42D4F-0C4B-4D24-93B1-F2A41B3191AD}"/>
    <hyperlink ref="F6" r:id="rId5" display="https://www.whatifsports.com/hbd/Pages/GM/AmateurDraftPlayerPool.aspx" xr:uid="{5763B9EC-FAD5-4506-A277-FD6B28F917A1}"/>
    <hyperlink ref="G6" r:id="rId6" display="https://www.whatifsports.com/hbd/Pages/GM/AmateurDraftPlayerPool.aspx" xr:uid="{7081352E-94F9-4D00-B577-2842D1B3CE00}"/>
    <hyperlink ref="C7" r:id="rId7" tooltip="Open Prospect Profile" display="https://www.whatifsports.com/hbd/Pages/Popups/ProspectProfile.aspx?pid=13631431" xr:uid="{45C8AE6E-3C6A-42C1-905C-8D218397F5A0}"/>
    <hyperlink ref="C16" r:id="rId8" tooltip="Open Prospect Profile" display="https://www.whatifsports.com/hbd/Pages/Popups/ProspectProfile.aspx?pid=13631837" xr:uid="{BCF17356-E494-4173-A694-4F359C45991E}"/>
    <hyperlink ref="C151" r:id="rId9" tooltip="Open Prospect Profile" display="https://www.whatifsports.com/hbd/Pages/Popups/ProspectProfile.aspx?pid=13632168" xr:uid="{61EFF4AA-B06D-4112-8982-BBD0A181094C}"/>
    <hyperlink ref="C10" r:id="rId10" tooltip="Open Prospect Profile" display="https://www.whatifsports.com/hbd/Pages/Popups/ProspectProfile.aspx?pid=13631500" xr:uid="{614A544A-7E6A-4B5C-B241-CFB9307378EA}"/>
    <hyperlink ref="C11" r:id="rId11" tooltip="Open Prospect Profile" display="https://www.whatifsports.com/hbd/Pages/Popups/ProspectProfile.aspx?pid=13631732" xr:uid="{D31B23D2-9DD6-491B-9952-4F180A3B8D5F}"/>
    <hyperlink ref="C170" r:id="rId12" tooltip="Open Prospect Profile" display="https://www.whatifsports.com/hbd/Pages/Popups/ProspectProfile.aspx?pid=13632232" xr:uid="{A34ABAC7-A408-46A9-A180-5ECE948F4222}"/>
    <hyperlink ref="C106" r:id="rId13" tooltip="Open Prospect Profile" display="https://www.whatifsports.com/hbd/Pages/Popups/ProspectProfile.aspx?pid=13632221" xr:uid="{DB944673-0B3B-422D-BE9B-FC96FF587EC9}"/>
    <hyperlink ref="C12" r:id="rId14" tooltip="Open Prospect Profile" display="https://www.whatifsports.com/hbd/Pages/Popups/ProspectProfile.aspx?pid=13631506" xr:uid="{11DFD4BE-0523-4D76-BBE7-4C46EBC67C26}"/>
    <hyperlink ref="C112" r:id="rId15" tooltip="Open Prospect Profile" display="https://www.whatifsports.com/hbd/Pages/Popups/ProspectProfile.aspx?pid=13632238" xr:uid="{B70F9071-3884-4238-A55F-EB8A5A440FDD}"/>
    <hyperlink ref="C8" r:id="rId16" tooltip="Open Prospect Profile" display="https://www.whatifsports.com/hbd/Pages/Popups/ProspectProfile.aspx?pid=13631433" xr:uid="{54E1BB72-A984-4EAB-BA94-030E25E5EE38}"/>
    <hyperlink ref="C124" r:id="rId17" tooltip="Open Prospect Profile" display="https://www.whatifsports.com/hbd/Pages/Popups/ProspectProfile.aspx?pid=13632211" xr:uid="{F4CCC2A7-2435-45FF-99D4-9BAD4DB16282}"/>
    <hyperlink ref="C20" r:id="rId18" tooltip="Open Prospect Profile" display="https://www.whatifsports.com/hbd/Pages/Popups/ProspectProfile.aspx?pid=13631772" xr:uid="{3544ED6B-9288-4187-885C-3B921DE8A452}"/>
    <hyperlink ref="C13" r:id="rId19" tooltip="Open Prospect Profile" display="https://www.whatifsports.com/hbd/Pages/Popups/ProspectProfile.aspx?pid=13631714" xr:uid="{549485BA-CC68-4151-8590-999BC2331F00}"/>
    <hyperlink ref="C196" r:id="rId20" tooltip="Open Prospect Profile" display="https://www.whatifsports.com/hbd/Pages/Popups/ProspectProfile.aspx?pid=13632205" xr:uid="{AAB7A027-9E2D-4A6F-996E-7E7A8CC35176}"/>
    <hyperlink ref="C15" r:id="rId21" tooltip="Open Prospect Profile" display="https://www.whatifsports.com/hbd/Pages/Popups/ProspectProfile.aspx?pid=13631505" xr:uid="{007DD1A3-7CC7-42F8-BB1F-33D056E80722}"/>
    <hyperlink ref="C159" r:id="rId22" tooltip="Open Prospect Profile" display="https://www.whatifsports.com/hbd/Pages/Popups/ProspectProfile.aspx?pid=13632233" xr:uid="{043CDBC7-FB3A-4801-86C2-3351DD48D96E}"/>
    <hyperlink ref="C130" r:id="rId23" tooltip="Open Prospect Profile" display="https://www.whatifsports.com/hbd/Pages/Popups/ProspectProfile.aspx?pid=13632194" xr:uid="{74291C75-A8CF-49E9-8B33-788FA1C3CA66}"/>
    <hyperlink ref="C14" r:id="rId24" tooltip="Open Prospect Profile" display="https://www.whatifsports.com/hbd/Pages/Popups/ProspectProfile.aspx?pid=13631607" xr:uid="{1B87DB44-C098-4C3D-BECE-0C2AA60ADD08}"/>
    <hyperlink ref="C171" r:id="rId25" tooltip="Open Prospect Profile" display="https://www.whatifsports.com/hbd/Pages/Popups/ProspectProfile.aspx?pid=13632223" xr:uid="{8B7843FF-01DB-4F12-BF59-C9E9354CC8A0}"/>
    <hyperlink ref="C149" r:id="rId26" tooltip="Open Prospect Profile" display="https://www.whatifsports.com/hbd/Pages/Popups/ProspectProfile.aspx?pid=13632216" xr:uid="{3E0767BB-5BA8-4BDB-B792-1554AADDD54E}"/>
    <hyperlink ref="C18" r:id="rId27" tooltip="Open Prospect Profile" display="https://www.whatifsports.com/hbd/Pages/Popups/ProspectProfile.aspx?pid=13631677" xr:uid="{77B26FF1-EF06-4D1C-8D81-36C074A49002}"/>
    <hyperlink ref="C139" r:id="rId28" tooltip="Open Prospect Profile" display="https://www.whatifsports.com/hbd/Pages/Popups/ProspectProfile.aspx?pid=13632237" xr:uid="{9737B4FC-2DA6-49AB-8C49-7CFB20EE671A}"/>
    <hyperlink ref="C185" r:id="rId29" tooltip="Open Prospect Profile" display="https://www.whatifsports.com/hbd/Pages/Popups/ProspectProfile.aspx?pid=13632234" xr:uid="{DB8B0D21-64AF-44C3-BFE6-33B8B08F5B21}"/>
    <hyperlink ref="C110" r:id="rId30" tooltip="Open Prospect Profile" display="https://www.whatifsports.com/hbd/Pages/Popups/ProspectProfile.aspx?pid=13632217" xr:uid="{2F25C5B2-DE0B-44D1-AC01-6BE2A745D04D}"/>
    <hyperlink ref="C119" r:id="rId31" tooltip="Open Prospect Profile" display="https://www.whatifsports.com/hbd/Pages/Popups/ProspectProfile.aspx?pid=13632171" xr:uid="{A5B229AA-1463-4545-B6EC-262D4CD6951A}"/>
    <hyperlink ref="C33" r:id="rId32" tooltip="Open Prospect Profile" display="https://www.whatifsports.com/hbd/Pages/Popups/ProspectProfile.aspx?pid=13631551" xr:uid="{CA74B6FD-CF6D-46F9-BAD1-E39286C8B436}"/>
    <hyperlink ref="C19" r:id="rId33" tooltip="Open Prospect Profile" display="https://www.whatifsports.com/hbd/Pages/Popups/ProspectProfile.aspx?pid=13631767" xr:uid="{4B327944-B818-4141-ADFA-DB4A26966CCF}"/>
    <hyperlink ref="C22" r:id="rId34" tooltip="Open Prospect Profile" display="https://www.whatifsports.com/hbd/Pages/Popups/ProspectProfile.aspx?pid=13631591" xr:uid="{230EF711-91BD-48A7-ABA9-EA3F9E866197}"/>
    <hyperlink ref="C115" r:id="rId35" tooltip="Open Prospect Profile" display="https://www.whatifsports.com/hbd/Pages/Popups/ProspectProfile.aspx?pid=13632212" xr:uid="{11FE05BF-10E9-4981-886F-8E7E6AD87AE6}"/>
    <hyperlink ref="C24" r:id="rId36" tooltip="Open Prospect Profile" display="https://www.whatifsports.com/hbd/Pages/Popups/ProspectProfile.aspx?pid=13631672" xr:uid="{1EC31BB2-EFE9-4829-AF98-B63F5D1441FA}"/>
    <hyperlink ref="C36" r:id="rId37" tooltip="Open Prospect Profile" display="https://www.whatifsports.com/hbd/Pages/Popups/ProspectProfile.aspx?pid=13631617" xr:uid="{4B1C6CFC-9D9C-4DDE-9D0F-CA7A905E8C08}"/>
    <hyperlink ref="C28" r:id="rId38" tooltip="Open Prospect Profile" display="https://www.whatifsports.com/hbd/Pages/Popups/ProspectProfile.aspx?pid=13631507" xr:uid="{872D850D-1129-4D06-B545-D073550D1287}"/>
    <hyperlink ref="C114" r:id="rId39" tooltip="Open Prospect Profile" display="https://www.whatifsports.com/hbd/Pages/Popups/ProspectProfile.aspx?pid=13632207" xr:uid="{CD29BAC1-9647-4D24-A0BD-EE48FF79B7FE}"/>
    <hyperlink ref="C21" r:id="rId40" tooltip="Open Prospect Profile" display="https://www.whatifsports.com/hbd/Pages/Popups/ProspectProfile.aspx?pid=13631605" xr:uid="{B7525BFE-48AD-4E89-BDAE-79D29FC03596}"/>
    <hyperlink ref="C147" r:id="rId41" tooltip="Open Prospect Profile" display="https://www.whatifsports.com/hbd/Pages/Popups/ProspectProfile.aspx?pid=13632229" xr:uid="{104EEE1A-83D1-4FE3-9778-D527F46A895E}"/>
    <hyperlink ref="C25" r:id="rId42" tooltip="Open Prospect Profile" display="https://www.whatifsports.com/hbd/Pages/Popups/ProspectProfile.aspx?pid=13631678" xr:uid="{C3CD7356-03B8-4C4E-832E-D69F0EE402CD}"/>
    <hyperlink ref="C169" r:id="rId43" tooltip="Open Prospect Profile" display="https://www.whatifsports.com/hbd/Pages/Popups/ProspectProfile.aspx?pid=13632197" xr:uid="{41B6663B-C2BE-4617-998E-73B96B429C2E}"/>
    <hyperlink ref="C164" r:id="rId44" tooltip="Open Prospect Profile" display="https://www.whatifsports.com/hbd/Pages/Popups/ProspectProfile.aspx?pid=13632178" xr:uid="{46776465-4FBD-4C31-863B-B85C526944D6}"/>
    <hyperlink ref="C47" r:id="rId45" tooltip="Open Prospect Profile" display="https://www.whatifsports.com/hbd/Pages/Popups/ProspectProfile.aspx?pid=13631839" xr:uid="{B028B4C4-E6F7-48A4-A425-501893EBA609}"/>
    <hyperlink ref="C39" r:id="rId46" tooltip="Open Prospect Profile" display="https://www.whatifsports.com/hbd/Pages/Popups/ProspectProfile.aspx?pid=13631730" xr:uid="{650ABB86-E49A-4F98-A959-8D7C56AA7E00}"/>
    <hyperlink ref="C192" r:id="rId47" tooltip="Open Prospect Profile" display="https://www.whatifsports.com/hbd/Pages/Popups/ProspectProfile.aspx?pid=13632199" xr:uid="{D0DDF1C4-AD2C-410D-8D08-745BE9311AF2}"/>
    <hyperlink ref="C31" r:id="rId48" tooltip="Open Prospect Profile" display="https://www.whatifsports.com/hbd/Pages/Popups/ProspectProfile.aspx?pid=13631833" xr:uid="{C9040CBF-7201-4EC7-9527-F27301780EE0}"/>
    <hyperlink ref="C23" r:id="rId49" tooltip="Open Prospect Profile" display="https://www.whatifsports.com/hbd/Pages/Popups/ProspectProfile.aspx?pid=13631673" xr:uid="{36E109F5-F99E-4390-84CD-1BFB1CD8D2DA}"/>
    <hyperlink ref="C32" r:id="rId50" tooltip="Open Prospect Profile" display="https://www.whatifsports.com/hbd/Pages/Popups/ProspectProfile.aspx?pid=13631454" xr:uid="{D776342A-C89E-47A1-892F-B737D57120D2}"/>
    <hyperlink ref="C179" r:id="rId51" tooltip="Open Prospect Profile" display="https://www.whatifsports.com/hbd/Pages/Popups/ProspectProfile.aspx?pid=13632172" xr:uid="{90FCF5DF-935F-4FA6-B9FB-7996028AA373}"/>
    <hyperlink ref="C118" r:id="rId52" tooltip="Open Prospect Profile" display="https://www.whatifsports.com/hbd/Pages/Popups/ProspectProfile.aspx?pid=13632087" xr:uid="{311CAB7D-0B17-480D-B7FB-E167DC48DC5C}"/>
    <hyperlink ref="C17" r:id="rId53" tooltip="Open Prospect Profile" display="https://www.whatifsports.com/hbd/Pages/Popups/ProspectProfile.aspx?pid=13631674" xr:uid="{668DDC9A-015D-4113-B7B9-57D0F4D4AD53}"/>
    <hyperlink ref="C9" r:id="rId54" tooltip="Open Prospect Profile" display="https://www.whatifsports.com/hbd/Pages/Popups/ProspectProfile.aspx?pid=13631497" xr:uid="{5FCDD2B4-8580-4DAA-8636-7F509A1B6D95}"/>
    <hyperlink ref="C27" r:id="rId55" tooltip="Open Prospect Profile" display="https://www.whatifsports.com/hbd/Pages/Popups/ProspectProfile.aspx?pid=13631429" xr:uid="{981510EE-71F5-4F89-9665-2F527BC26CAF}"/>
    <hyperlink ref="C177" r:id="rId56" tooltip="Open Prospect Profile" display="https://www.whatifsports.com/hbd/Pages/Popups/ProspectProfile.aspx?pid=13632208" xr:uid="{1DB3A9A0-8980-4F64-8B9F-14331222AD7B}"/>
    <hyperlink ref="C195" r:id="rId57" tooltip="Open Prospect Profile" display="https://www.whatifsports.com/hbd/Pages/Popups/ProspectProfile.aspx?pid=13632206" xr:uid="{777AF901-63DD-4F25-9C22-5CCD86501569}"/>
    <hyperlink ref="C128" r:id="rId58" tooltip="Open Prospect Profile" display="https://www.whatifsports.com/hbd/Pages/Popups/ProspectProfile.aspx?pid=13632169" xr:uid="{4D96EC23-5C36-4618-A6E3-76CD6D44AE08}"/>
    <hyperlink ref="C152" r:id="rId59" tooltip="Open Prospect Profile" display="https://www.whatifsports.com/hbd/Pages/Popups/ProspectProfile.aspx?pid=13632143" xr:uid="{1205FF8D-1297-4A4E-A713-0D786B970658}"/>
    <hyperlink ref="C116" r:id="rId60" tooltip="Open Prospect Profile" display="https://www.whatifsports.com/hbd/Pages/Popups/ProspectProfile.aspx?pid=13631900" xr:uid="{105B57BF-A2CB-4196-A25E-3B09AC5FEF89}"/>
    <hyperlink ref="C35" r:id="rId61" tooltip="Open Prospect Profile" display="https://www.whatifsports.com/hbd/Pages/Popups/ProspectProfile.aspx?pid=13631768" xr:uid="{6E5F3879-0C70-4837-AAB6-E51547400A71}"/>
    <hyperlink ref="C34" r:id="rId62" tooltip="Open Prospect Profile" display="https://www.whatifsports.com/hbd/Pages/Popups/ProspectProfile.aspx?pid=13631725" xr:uid="{1C722858-CCF0-4D18-90EF-AF74EDBD48CA}"/>
    <hyperlink ref="C48" r:id="rId63" tooltip="Open Prospect Profile" display="https://www.whatifsports.com/hbd/Pages/Popups/ProspectProfile.aspx?pid=13631701" xr:uid="{1CB29102-5CC1-4BC3-97E8-68B7BF3900D3}"/>
    <hyperlink ref="C51" r:id="rId64" tooltip="Open Prospect Profile" display="https://www.whatifsports.com/hbd/Pages/Popups/ProspectProfile.aspx?pid=13631541" xr:uid="{34DB6756-6556-4B0D-BBEB-2F23E22575A7}"/>
    <hyperlink ref="C50" r:id="rId65" tooltip="Open Prospect Profile" display="https://www.whatifsports.com/hbd/Pages/Popups/ProspectProfile.aspx?pid=13631579" xr:uid="{C4D90F60-C1FA-496F-93D3-7DA14C59110F}"/>
    <hyperlink ref="C41" r:id="rId66" tooltip="Open Prospect Profile" display="https://www.whatifsports.com/hbd/Pages/Popups/ProspectProfile.aspx?pid=13631552" xr:uid="{D6A8AC35-5DFD-4E73-89CB-67C8B6C3A34B}"/>
    <hyperlink ref="C126" r:id="rId67" tooltip="Open Prospect Profile" display="https://www.whatifsports.com/hbd/Pages/Popups/ProspectProfile.aspx?pid=13632224" xr:uid="{201C488B-F681-43C9-90EB-6003EF4C25B4}"/>
    <hyperlink ref="C121" r:id="rId68" tooltip="Open Prospect Profile" display="https://www.whatifsports.com/hbd/Pages/Popups/ProspectProfile.aspx?pid=13632130" xr:uid="{8709F205-A887-41DE-8804-A4D6E435E117}"/>
    <hyperlink ref="C137" r:id="rId69" tooltip="Open Prospect Profile" display="https://www.whatifsports.com/hbd/Pages/Popups/ProspectProfile.aspx?pid=13632035" xr:uid="{75B74A4F-2A4E-4CE1-920E-D73554B8626E}"/>
    <hyperlink ref="C162" r:id="rId70" tooltip="Open Prospect Profile" display="https://www.whatifsports.com/hbd/Pages/Popups/ProspectProfile.aspx?pid=13632066" xr:uid="{3776D1DB-FF65-469E-A475-7C20290A4B8C}"/>
    <hyperlink ref="C161" r:id="rId71" tooltip="Open Prospect Profile" display="https://www.whatifsports.com/hbd/Pages/Popups/ProspectProfile.aspx?pid=13632052" xr:uid="{E6EB614E-0643-42C1-9FDB-8C92058454C5}"/>
    <hyperlink ref="C46" r:id="rId72" tooltip="Open Prospect Profile" display="https://www.whatifsports.com/hbd/Pages/Popups/ProspectProfile.aspx?pid=13631838" xr:uid="{18941D84-F006-48BD-8569-B4D8E607DC7F}"/>
    <hyperlink ref="C56" r:id="rId73" tooltip="Open Prospect Profile" display="https://www.whatifsports.com/hbd/Pages/Popups/ProspectProfile.aspx?pid=13631718" xr:uid="{DBCDCFD6-BBF5-4D61-A4DC-793470B68A75}"/>
    <hyperlink ref="C30" r:id="rId74" tooltip="Open Prospect Profile" display="https://www.whatifsports.com/hbd/Pages/Popups/ProspectProfile.aspx?pid=13631585" xr:uid="{7191F9E5-1F04-49D9-8180-23C6FACEED8B}"/>
    <hyperlink ref="C44" r:id="rId75" tooltip="Open Prospect Profile" display="https://www.whatifsports.com/hbd/Pages/Popups/ProspectProfile.aspx?pid=13631409" xr:uid="{5DC3304B-094C-4BFA-8BF6-0D8B1F751EBC}"/>
    <hyperlink ref="C157" r:id="rId76" tooltip="Open Prospect Profile" display="https://www.whatifsports.com/hbd/Pages/Popups/ProspectProfile.aspx?pid=13631852" xr:uid="{DA8C97A9-AD00-4D17-BE4C-6BBD365CC12D}"/>
    <hyperlink ref="C57" r:id="rId77" tooltip="Open Prospect Profile" display="https://www.whatifsports.com/hbd/Pages/Popups/ProspectProfile.aspx?pid=13631699" xr:uid="{A956A2AB-92FB-4D13-BE3B-600D333DD66B}"/>
    <hyperlink ref="C26" r:id="rId78" tooltip="Open Prospect Profile" display="https://www.whatifsports.com/hbd/Pages/Popups/ProspectProfile.aspx?pid=13631667" xr:uid="{200C5341-FA25-4F66-83C9-6AE156A13A22}"/>
    <hyperlink ref="C49" r:id="rId79" tooltip="Open Prospect Profile" display="https://www.whatifsports.com/hbd/Pages/Popups/ProspectProfile.aspx?pid=13631484" xr:uid="{1B565F85-2406-4B1C-8F38-6597504D6A40}"/>
    <hyperlink ref="C144" r:id="rId80" tooltip="Open Prospect Profile" display="https://www.whatifsports.com/hbd/Pages/Popups/ProspectProfile.aspx?pid=13632075" xr:uid="{F39AE4A8-7E7E-480D-A29A-144725DD77FB}"/>
    <hyperlink ref="C113" r:id="rId81" tooltip="Open Prospect Profile" display="https://www.whatifsports.com/hbd/Pages/Popups/ProspectProfile.aspx?pid=13631977" xr:uid="{F75C7070-60BC-4A0C-944F-71B5B6857948}"/>
    <hyperlink ref="C153" r:id="rId82" tooltip="Open Prospect Profile" display="https://www.whatifsports.com/hbd/Pages/Popups/ProspectProfile.aspx?pid=13631972" xr:uid="{2908E0DE-3139-4BDA-9254-5294F93F1A1D}"/>
    <hyperlink ref="C204" r:id="rId83" tooltip="Open Prospect Profile" display="https://www.whatifsports.com/hbd/Pages/Popups/ProspectProfile.aspx?pid=13631946" xr:uid="{C0465E0A-9328-4A95-810B-59CC1941FB02}"/>
    <hyperlink ref="C59" r:id="rId84" tooltip="Open Prospect Profile" display="https://www.whatifsports.com/hbd/Pages/Popups/ProspectProfile.aspx?pid=13631478" xr:uid="{1014CE2E-F011-4130-B33F-1BF1787F2D59}"/>
    <hyperlink ref="C175" r:id="rId85" tooltip="Open Prospect Profile" display="https://www.whatifsports.com/hbd/Pages/Popups/ProspectProfile.aspx?pid=13632160" xr:uid="{0CCE2CF8-5647-461C-9977-EEDD7BC1B5E9}"/>
    <hyperlink ref="C66" r:id="rId86" tooltip="Open Prospect Profile" display="https://www.whatifsports.com/hbd/Pages/Popups/ProspectProfile.aspx?pid=13631835" xr:uid="{F0B07943-6DD8-4E7E-8041-6A792053794A}"/>
    <hyperlink ref="C54" r:id="rId87" tooltip="Open Prospect Profile" display="https://www.whatifsports.com/hbd/Pages/Popups/ProspectProfile.aspx?pid=13631567" xr:uid="{9421DCA7-F303-4BD0-92FF-A6A9CABA8A99}"/>
    <hyperlink ref="C155" r:id="rId88" tooltip="Open Prospect Profile" display="https://www.whatifsports.com/hbd/Pages/Popups/ProspectProfile.aspx?pid=13632099" xr:uid="{CD6D944E-6F94-4F72-88D1-A78BA6680D5B}"/>
    <hyperlink ref="C109" r:id="rId89" tooltip="Open Prospect Profile" display="https://www.whatifsports.com/hbd/Pages/Popups/ProspectProfile.aspx?pid=13632030" xr:uid="{9FF92853-6D2F-4BDC-8493-EF93449D2E42}"/>
    <hyperlink ref="C55" r:id="rId90" tooltip="Open Prospect Profile" display="https://www.whatifsports.com/hbd/Pages/Popups/ProspectProfile.aspx?pid=13631731" xr:uid="{124261B4-2E20-459C-B8F8-CCA2FF9C02B2}"/>
    <hyperlink ref="C40" r:id="rId91" tooltip="Open Prospect Profile" display="https://www.whatifsports.com/hbd/Pages/Popups/ProspectProfile.aspx?pid=13631583" xr:uid="{1C1C3AF6-F675-4BC4-BD51-54BBA09DD6C9}"/>
    <hyperlink ref="C68" r:id="rId92" tooltip="Open Prospect Profile" display="https://www.whatifsports.com/hbd/Pages/Popups/ProspectProfile.aspx?pid=13631482" xr:uid="{5F322499-CE5D-45E9-BC42-3574E3E82327}"/>
    <hyperlink ref="C184" r:id="rId93" tooltip="Open Prospect Profile" display="https://www.whatifsports.com/hbd/Pages/Popups/ProspectProfile.aspx?pid=13632183" xr:uid="{94BF55DE-4784-4311-844B-B5FCEAC224A4}"/>
    <hyperlink ref="C142" r:id="rId94" tooltip="Open Prospect Profile" display="https://www.whatifsports.com/hbd/Pages/Popups/ProspectProfile.aspx?pid=13632084" xr:uid="{5240ACC3-4C71-4DEB-A3B0-51127D498CCF}"/>
    <hyperlink ref="C193" r:id="rId95" tooltip="Open Prospect Profile" display="https://www.whatifsports.com/hbd/Pages/Popups/ProspectProfile.aspx?pid=13632022" xr:uid="{A944CADA-5AEE-4B16-A4FB-8D91B21C91DE}"/>
    <hyperlink ref="C58" r:id="rId96" tooltip="Open Prospect Profile" display="https://www.whatifsports.com/hbd/Pages/Popups/ProspectProfile.aspx?pid=13631584" xr:uid="{29DF5D8D-C18D-476C-A461-429D84D59CD8}"/>
    <hyperlink ref="C43" r:id="rId97" tooltip="Open Prospect Profile" display="https://www.whatifsports.com/hbd/Pages/Popups/ProspectProfile.aspx?pid=13631555" xr:uid="{D7B1E220-006A-4CFF-BD80-EDB6E9650FC6}"/>
    <hyperlink ref="C123" r:id="rId98" tooltip="Open Prospect Profile" display="https://www.whatifsports.com/hbd/Pages/Popups/ProspectProfile.aspx?pid=13632123" xr:uid="{EA331F72-D693-4735-8F4E-B435953BB6E4}"/>
    <hyperlink ref="C132" r:id="rId99" tooltip="Open Prospect Profile" display="https://www.whatifsports.com/hbd/Pages/Popups/ProspectProfile.aspx?pid=13632104" xr:uid="{7C12E49D-ADF8-4261-BE31-108341DB50A3}"/>
    <hyperlink ref="C70" r:id="rId100" tooltip="Open Prospect Profile" display="https://www.whatifsports.com/hbd/Pages/Popups/ProspectProfile.aspx?pid=13631459" xr:uid="{E40F6C0F-82AF-4579-AA39-D06DE8AF6223}"/>
    <hyperlink ref="C133" r:id="rId101" tooltip="Open Prospect Profile" display="https://www.whatifsports.com/hbd/Pages/Popups/ProspectProfile.aspx?pid=13632001" xr:uid="{7973E313-0458-4B2F-A931-064F73B72589}"/>
    <hyperlink ref="C136" r:id="rId102" tooltip="Open Prospect Profile" display="https://www.whatifsports.com/hbd/Pages/Popups/ProspectProfile.aspx?pid=13631874" xr:uid="{C5B9FD5E-AFB8-41CC-BFF2-3D740E9AED81}"/>
    <hyperlink ref="C73" r:id="rId103" tooltip="Open Prospect Profile" display="https://www.whatifsports.com/hbd/Pages/Popups/ProspectProfile.aspx?pid=13631457" xr:uid="{5F64EA6D-F9B2-4355-A282-9A59244F6468}"/>
    <hyperlink ref="C72" r:id="rId104" tooltip="Open Prospect Profile" display="https://www.whatifsports.com/hbd/Pages/Popups/ProspectProfile.aspx?pid=13631635" xr:uid="{0F6D4C3C-2E7B-4300-8F20-E3284E685BBE}"/>
    <hyperlink ref="C183" r:id="rId105" tooltip="Open Prospect Profile" display="https://www.whatifsports.com/hbd/Pages/Popups/ProspectProfile.aspx?pid=13632213" xr:uid="{0A86D031-AA13-4422-9E32-99A7A7B76615}"/>
    <hyperlink ref="C166" r:id="rId106" tooltip="Open Prospect Profile" display="https://www.whatifsports.com/hbd/Pages/Popups/ProspectProfile.aspx?pid=13632131" xr:uid="{753EA97B-E6C2-486E-AD15-1A7855C00DC9}"/>
    <hyperlink ref="C138" r:id="rId107" tooltip="Open Prospect Profile" display="https://www.whatifsports.com/hbd/Pages/Popups/ProspectProfile.aspx?pid=13631989" xr:uid="{09EC5698-AFC9-4D77-B555-6C57B448B89D}"/>
    <hyperlink ref="C108" r:id="rId108" tooltip="Open Prospect Profile" display="https://www.whatifsports.com/hbd/Pages/Popups/ProspectProfile.aspx?pid=13631916" xr:uid="{EAD4D3E8-AA40-4693-BDC4-9F639C3D096A}"/>
    <hyperlink ref="C79" r:id="rId109" tooltip="Open Prospect Profile" display="https://www.whatifsports.com/hbd/Pages/Popups/ProspectProfile.aspx?pid=13631716" xr:uid="{23BE0993-AF3F-4EBC-BBC9-83F6E72B0CDC}"/>
    <hyperlink ref="C85" r:id="rId110" tooltip="Open Prospect Profile" display="https://www.whatifsports.com/hbd/Pages/Popups/ProspectProfile.aspx?pid=13631471" xr:uid="{F8A4A571-094D-46E0-9743-867651FD7758}"/>
    <hyperlink ref="C60" r:id="rId111" tooltip="Open Prospect Profile" display="https://www.whatifsports.com/hbd/Pages/Popups/ProspectProfile.aspx?pid=13631437" xr:uid="{EE9028BA-C423-41ED-A6BD-000642B12C3D}"/>
    <hyperlink ref="C200" r:id="rId112" tooltip="Open Prospect Profile" display="https://www.whatifsports.com/hbd/Pages/Popups/ProspectProfile.aspx?pid=13632236" xr:uid="{F69C6FB3-CCCA-48F3-8001-4FEEC8DA9F1B}"/>
    <hyperlink ref="C181" r:id="rId113" tooltip="Open Prospect Profile" display="https://www.whatifsports.com/hbd/Pages/Popups/ProspectProfile.aspx?pid=13631904" xr:uid="{F59EEE73-260B-4275-81FE-4970FF53346F}"/>
    <hyperlink ref="C63" r:id="rId114" tooltip="Open Prospect Profile" display="https://www.whatifsports.com/hbd/Pages/Popups/ProspectProfile.aspx?pid=13631468" xr:uid="{318EA199-7596-42EF-A361-610C4B22A64B}"/>
    <hyperlink ref="C90" r:id="rId115" tooltip="Open Prospect Profile" display="https://www.whatifsports.com/hbd/Pages/Popups/ProspectProfile.aspx?pid=13631453" xr:uid="{8BE8DB1D-85C0-42FB-9AC7-C95F36001C36}"/>
    <hyperlink ref="C140" r:id="rId116" tooltip="Open Prospect Profile" display="https://www.whatifsports.com/hbd/Pages/Popups/ProspectProfile.aspx?pid=13632204" xr:uid="{E29983B4-2D5F-4314-B9EA-CE23669758DD}"/>
    <hyperlink ref="C189" r:id="rId117" tooltip="Open Prospect Profile" display="https://www.whatifsports.com/hbd/Pages/Popups/ProspectProfile.aspx?pid=13632186" xr:uid="{7220E6FD-4995-465D-BAA4-EECC3345B78E}"/>
    <hyperlink ref="C178" r:id="rId118" tooltip="Open Prospect Profile" display="https://www.whatifsports.com/hbd/Pages/Popups/ProspectProfile.aspx?pid=13632149" xr:uid="{6A60F2D7-C4EC-4B12-8A98-187A0C67E1BA}"/>
    <hyperlink ref="C201" r:id="rId119" tooltip="Open Prospect Profile" display="https://www.whatifsports.com/hbd/Pages/Popups/ProspectProfile.aspx?pid=13632019" xr:uid="{A73CBA5F-2D75-4EA6-8DEB-FE163D533D80}"/>
    <hyperlink ref="C104" r:id="rId120" tooltip="Open Prospect Profile" display="https://www.whatifsports.com/hbd/Pages/Popups/ProspectProfile.aspx?pid=13631836" xr:uid="{96FF04EB-6965-4FA1-A9F9-5BF9B20C3FA4}"/>
    <hyperlink ref="C167" r:id="rId121" tooltip="Open Prospect Profile" display="https://www.whatifsports.com/hbd/Pages/Popups/ProspectProfile.aspx?pid=13632201" xr:uid="{6341AFE4-C39A-47C4-B347-530BBFA16A94}"/>
    <hyperlink ref="C158" r:id="rId122" tooltip="Open Prospect Profile" display="https://www.whatifsports.com/hbd/Pages/Popups/ProspectProfile.aspx?pid=13632085" xr:uid="{B94164CF-1071-43F0-A5AC-DECFD6F3034C}"/>
    <hyperlink ref="C206" r:id="rId123" tooltip="Open Prospect Profile" display="https://www.whatifsports.com/hbd/Pages/Popups/ProspectProfile.aspx?pid=13632055" xr:uid="{9ECB55D8-9B75-4ED0-8F44-4B7D2AA9CF6F}"/>
    <hyperlink ref="C203" r:id="rId124" tooltip="Open Prospect Profile" display="https://www.whatifsports.com/hbd/Pages/Popups/ProspectProfile.aspx?pid=13632036" xr:uid="{50C053AD-61D8-4C63-8F8E-7B48382BA170}"/>
    <hyperlink ref="C180" r:id="rId125" tooltip="Open Prospect Profile" display="https://www.whatifsports.com/hbd/Pages/Popups/ProspectProfile.aspx?pid=13631991" xr:uid="{0FB1D418-02AF-4C24-9D22-7CC9411A8589}"/>
    <hyperlink ref="C53" r:id="rId126" tooltip="Open Prospect Profile" display="https://www.whatifsports.com/hbd/Pages/Popups/ProspectProfile.aspx?pid=13631414" xr:uid="{1532BEA6-ABED-4ACD-9065-E75DCBA6792B}"/>
    <hyperlink ref="C156" r:id="rId127" tooltip="Open Prospect Profile" display="https://www.whatifsports.com/hbd/Pages/Popups/ProspectProfile.aspx?pid=13632107" xr:uid="{2CB21462-46D7-49ED-B487-61C8397F8E00}"/>
    <hyperlink ref="C168" r:id="rId128" tooltip="Open Prospect Profile" display="https://www.whatifsports.com/hbd/Pages/Popups/ProspectProfile.aspx?pid=13632071" xr:uid="{B07BB8BE-59DF-46AF-9335-ABDEA323D4FD}"/>
    <hyperlink ref="C194" r:id="rId129" tooltip="Open Prospect Profile" display="https://www.whatifsports.com/hbd/Pages/Popups/ProspectProfile.aspx?pid=13631926" xr:uid="{6C74D04E-2374-4492-BA8C-5D08EC83230E}"/>
    <hyperlink ref="C82" r:id="rId130" tooltip="Open Prospect Profile" display="https://www.whatifsports.com/hbd/Pages/Popups/ProspectProfile.aspx?pid=13631698" xr:uid="{6B0A2E58-A5D0-42F6-91AF-4DC530E9E5B3}"/>
    <hyperlink ref="C129" r:id="rId131" tooltip="Open Prospect Profile" display="https://www.whatifsports.com/hbd/Pages/Popups/ProspectProfile.aspx?pid=13632164" xr:uid="{BD486977-15E0-4CAB-B8D5-CC30F3C4905C}"/>
    <hyperlink ref="C145" r:id="rId132" tooltip="Open Prospect Profile" display="https://www.whatifsports.com/hbd/Pages/Popups/ProspectProfile.aspx?pid=13632113" xr:uid="{11D7CFDF-E3B2-4ABA-8A81-14B343FE25FE}"/>
    <hyperlink ref="C199" r:id="rId133" tooltip="Open Prospect Profile" display="https://www.whatifsports.com/hbd/Pages/Popups/ProspectProfile.aspx?pid=13632063" xr:uid="{245FDF2F-504F-43A2-8A6C-AEC9E0AC841B}"/>
    <hyperlink ref="C67" r:id="rId134" tooltip="Open Prospect Profile" display="https://www.whatifsports.com/hbd/Pages/Popups/ProspectProfile.aspx?pid=13631650" xr:uid="{7943FD7D-6D99-4AE5-8B62-41041AC246C5}"/>
    <hyperlink ref="C84" r:id="rId135" tooltip="Open Prospect Profile" display="https://www.whatifsports.com/hbd/Pages/Popups/ProspectProfile.aspx?pid=13631565" xr:uid="{7513ABC2-F4A7-405D-91F2-46753AC8DC0E}"/>
    <hyperlink ref="C75" r:id="rId136" tooltip="Open Prospect Profile" display="https://www.whatifsports.com/hbd/Pages/Popups/ProspectProfile.aspx?pid=13631391" xr:uid="{43E4AD41-AF19-45D5-B622-BD87BDD293F4}"/>
    <hyperlink ref="C182" r:id="rId137" tooltip="Open Prospect Profile" display="https://www.whatifsports.com/hbd/Pages/Popups/ProspectProfile.aspx?pid=13632116" xr:uid="{4735609E-6993-4E40-AEAB-424717F4317E}"/>
    <hyperlink ref="C191" r:id="rId138" tooltip="Open Prospect Profile" display="https://www.whatifsports.com/hbd/Pages/Popups/ProspectProfile.aspx?pid=13632058" xr:uid="{86EC1AFD-AC31-4D9E-B4E8-AFA7FC65EBA2}"/>
    <hyperlink ref="C135" r:id="rId139" tooltip="Open Prospect Profile" display="https://www.whatifsports.com/hbd/Pages/Popups/ProspectProfile.aspx?pid=13632048" xr:uid="{653405E8-C3A5-459F-AFAE-B95AAFA9F0DF}"/>
    <hyperlink ref="C198" r:id="rId140" tooltip="Open Prospect Profile" display="https://www.whatifsports.com/hbd/Pages/Popups/ProspectProfile.aspx?pid=13631952" xr:uid="{4BD65EDE-0EBE-41F5-AA93-2F5178BCEB5F}"/>
    <hyperlink ref="C174" r:id="rId141" tooltip="Open Prospect Profile" display="https://www.whatifsports.com/hbd/Pages/Popups/ProspectProfile.aspx?pid=13631896" xr:uid="{16024D2B-D6B8-4C48-AC1C-1D3B231EE5CF}"/>
    <hyperlink ref="C141" r:id="rId142" tooltip="Open Prospect Profile" display="https://www.whatifsports.com/hbd/Pages/Popups/ProspectProfile.aspx?pid=13631877" xr:uid="{BC03C0B3-AA5A-415B-82F9-7D4EEA0F8960}"/>
    <hyperlink ref="C172" r:id="rId143" tooltip="Open Prospect Profile" display="https://www.whatifsports.com/hbd/Pages/Popups/ProspectProfile.aspx?pid=13631875" xr:uid="{E1473483-FFBE-4F76-B7AC-4E7DA948DA3D}"/>
    <hyperlink ref="C97" r:id="rId144" tooltip="Open Prospect Profile" display="https://www.whatifsports.com/hbd/Pages/Popups/ProspectProfile.aspx?pid=13631796" xr:uid="{7C268873-A2B0-47F9-97D0-113B48540252}"/>
    <hyperlink ref="C88" r:id="rId145" tooltip="Open Prospect Profile" display="https://www.whatifsports.com/hbd/Pages/Popups/ProspectProfile.aspx?pid=13631713" xr:uid="{F2B141C9-DAD2-4526-AF26-D183A8370E80}"/>
    <hyperlink ref="C86" r:id="rId146" tooltip="Open Prospect Profile" display="https://www.whatifsports.com/hbd/Pages/Popups/ProspectProfile.aspx?pid=13631560" xr:uid="{04E4AE96-B589-422D-A935-65FEFA10B6C0}"/>
    <hyperlink ref="C100" r:id="rId147" tooltip="Open Prospect Profile" display="https://www.whatifsports.com/hbd/Pages/Popups/ProspectProfile.aspx?pid=13631518" xr:uid="{7CCAD398-3EFA-4123-9CAC-C343CE59B2B4}"/>
    <hyperlink ref="C94" r:id="rId148" tooltip="Open Prospect Profile" display="https://www.whatifsports.com/hbd/Pages/Popups/ProspectProfile.aspx?pid=13631435" xr:uid="{4D626A90-9838-4C50-80DD-692DC5C92FDF}"/>
    <hyperlink ref="C103" r:id="rId149" tooltip="Open Prospect Profile" display="https://www.whatifsports.com/hbd/Pages/Popups/ProspectProfile.aspx?pid=13631389" xr:uid="{BFE9E197-D3D2-4165-8720-648E386AEE5B}"/>
    <hyperlink ref="C95" r:id="rId150" tooltip="Open Prospect Profile" display="https://www.whatifsports.com/hbd/Pages/Popups/ProspectProfile.aspx?pid=13632013" xr:uid="{CC016384-EF61-4751-BC2D-EC8180BE94BA}"/>
    <hyperlink ref="C81" r:id="rId151" tooltip="Open Prospect Profile" display="https://www.whatifsports.com/hbd/Pages/Popups/ProspectProfile.aspx?pid=13632078" xr:uid="{F9E85675-CBA6-4E75-A78C-A0C702F8B98A}"/>
    <hyperlink ref="C154" r:id="rId152" tooltip="Open Prospect Profile" display="https://www.whatifsports.com/hbd/Pages/Popups/ProspectProfile.aspx?pid=13631910" xr:uid="{F3E1B510-5D7D-43A6-A2B0-8094EBBB2262}"/>
    <hyperlink ref="C96" r:id="rId153" tooltip="Open Prospect Profile" display="https://www.whatifsports.com/hbd/Pages/Popups/ProspectProfile.aspx?pid=13631448" xr:uid="{3603FDCF-92AB-41E6-8D95-125C5D5E376F}"/>
    <hyperlink ref="C99" r:id="rId154" tooltip="Open Prospect Profile" display="https://www.whatifsports.com/hbd/Pages/Popups/ProspectProfile.aspx?pid=13631442" xr:uid="{7E516EF5-BB24-4793-8613-1DAAB74B537E}"/>
    <hyperlink ref="C205" r:id="rId155" tooltip="Open Prospect Profile" display="https://www.whatifsports.com/hbd/Pages/Popups/ProspectProfile.aspx?pid=13632156" xr:uid="{324095E0-70BB-4434-BD46-14386E855C79}"/>
    <hyperlink ref="C92" r:id="rId156" tooltip="Open Prospect Profile" display="https://www.whatifsports.com/hbd/Pages/Popups/ProspectProfile.aspx?pid=13631642" xr:uid="{793A5646-8313-4580-9852-258FBA14AD7A}"/>
    <hyperlink ref="C134" r:id="rId157" tooltip="Open Prospect Profile" display="https://www.whatifsports.com/hbd/Pages/Popups/ProspectProfile.aspx?pid=13631885" xr:uid="{4902EAB9-AAE9-4FA4-9D70-8C637846842A}"/>
    <hyperlink ref="C186" r:id="rId158" tooltip="Open Prospect Profile" display="https://www.whatifsports.com/hbd/Pages/Popups/ProspectProfile.aspx?pid=13632029" xr:uid="{F5C16054-291C-4E04-8C1D-9BD044DAADED}"/>
    <hyperlink ref="C202" r:id="rId159" tooltip="Open Prospect Profile" display="https://www.whatifsports.com/hbd/Pages/Popups/ProspectProfile.aspx?pid=13631996" xr:uid="{758253B5-2B73-4EC5-BA57-4911EBE8080B}"/>
    <hyperlink ref="C173" r:id="rId160" tooltip="Open Prospect Profile" display="https://www.whatifsports.com/hbd/Pages/Popups/ProspectProfile.aspx?pid=13631863" xr:uid="{11BA12EF-8500-41A7-BE44-ABB9F535621E}"/>
    <hyperlink ref="C107" r:id="rId161" tooltip="Open Prospect Profile" display="https://www.whatifsports.com/hbd/Pages/Popups/ProspectProfile.aspx?pid=13631680" xr:uid="{3DB74388-3E73-45DB-A558-30452F4C01B1}"/>
    <hyperlink ref="C105" r:id="rId162" tooltip="Open Prospect Profile" display="https://www.whatifsports.com/hbd/Pages/Popups/ProspectProfile.aspx?pid=13631630" xr:uid="{1D9A57B8-E943-40DA-A5FE-8CAAEAB38AC6}"/>
    <hyperlink ref="C122" r:id="rId163" tooltip="Open Prospect Profile" display="https://www.whatifsports.com/hbd/Pages/Popups/ProspectProfile.aspx?pid=13632115" xr:uid="{E9510F38-8F77-4613-BC2C-8DE1FE21432A}"/>
    <hyperlink ref="C143" r:id="rId164" tooltip="Open Prospect Profile" display="https://www.whatifsports.com/hbd/Pages/Popups/ProspectProfile.aspx?pid=13631994" xr:uid="{5AF551B1-2D79-4AD9-9EB0-A209494C206E}"/>
    <hyperlink ref="C148" r:id="rId165" tooltip="Open Prospect Profile" display="https://www.whatifsports.com/hbd/Pages/Popups/ProspectProfile.aspx?pid=13631871" xr:uid="{C1DB4E56-F589-466F-980C-41D82E7BC82E}"/>
    <hyperlink ref="C120" r:id="rId166" tooltip="Open Prospect Profile" display="https://www.whatifsports.com/hbd/Pages/Popups/ProspectProfile.aspx?pid=13631808" xr:uid="{BCB07A42-F79A-4139-922F-68BD0F40D566}"/>
    <hyperlink ref="C45" r:id="rId167" tooltip="Open Prospect Profile" display="https://www.whatifsports.com/hbd/Pages/Popups/ProspectProfile.aspx?pid=13631601" xr:uid="{FDF74521-11B7-4E76-82EF-62A1778473D9}"/>
    <hyperlink ref="C197" r:id="rId168" tooltip="Open Prospect Profile" display="https://www.whatifsports.com/hbd/Pages/Popups/ProspectProfile.aspx?pid=13631968" xr:uid="{66755ECE-DDE5-45E2-AAF3-225B6A73B32F}"/>
    <hyperlink ref="C165" r:id="rId169" tooltip="Open Prospect Profile" display="https://www.whatifsports.com/hbd/Pages/Popups/ProspectProfile.aspx?pid=13631945" xr:uid="{1546A08C-F8DF-4E16-B655-3C736BABA5C9}"/>
    <hyperlink ref="C187" r:id="rId170" tooltip="Open Prospect Profile" display="https://www.whatifsports.com/hbd/Pages/Popups/ProspectProfile.aspx?pid=13631914" xr:uid="{B5CD952D-EDA7-4581-93E5-C98BB0856477}"/>
    <hyperlink ref="C190" r:id="rId171" tooltip="Open Prospect Profile" display="https://www.whatifsports.com/hbd/Pages/Popups/ProspectProfile.aspx?pid=13632023" xr:uid="{89D4A2DE-584D-4E2B-B934-F4C319EA298C}"/>
    <hyperlink ref="C176" r:id="rId172" tooltip="Open Prospect Profile" display="https://www.whatifsports.com/hbd/Pages/Popups/ProspectProfile.aspx?pid=13631860" xr:uid="{E066B5C8-E274-41C1-9AF1-BC053D8AFD45}"/>
    <hyperlink ref="C62" r:id="rId173" tooltip="Open Prospect Profile" display="https://www.whatifsports.com/hbd/Pages/Popups/ProspectProfile.aspx?pid=13631526" xr:uid="{254F5813-25C9-4854-80BC-214F497D4982}"/>
    <hyperlink ref="C163" r:id="rId174" tooltip="Open Prospect Profile" display="https://www.whatifsports.com/hbd/Pages/Popups/ProspectProfile.aspx?pid=13631876" xr:uid="{AA907DC3-4275-419B-87C9-02C817EC5F99}"/>
    <hyperlink ref="C102" r:id="rId175" tooltip="Open Prospect Profile" display="https://www.whatifsports.com/hbd/Pages/Popups/ProspectProfile.aspx?pid=13631849" xr:uid="{8A786507-6EA5-49C3-A4C4-2392BBEB44A5}"/>
    <hyperlink ref="C74" r:id="rId176" tooltip="Open Prospect Profile" display="https://www.whatifsports.com/hbd/Pages/Popups/ProspectProfile.aspx?pid=13631576" xr:uid="{AF810BF0-89BC-466D-B4BE-B46EBF9BCAB3}"/>
    <hyperlink ref="C101" r:id="rId177" tooltip="Open Prospect Profile" display="https://www.whatifsports.com/hbd/Pages/Popups/ProspectProfile.aspx?pid=13631939" xr:uid="{8EA0B7A5-0032-4844-B64D-E0B59FCDB7F9}"/>
    <hyperlink ref="C188" r:id="rId178" tooltip="Open Prospect Profile" display="https://www.whatifsports.com/hbd/Pages/Popups/ProspectProfile.aspx?pid=13631853" xr:uid="{4FE4A77B-9968-4661-8FD5-A9492EAD8034}"/>
    <hyperlink ref="C146" r:id="rId179" tooltip="Open Prospect Profile" display="https://www.whatifsports.com/hbd/Pages/Popups/ProspectProfile.aspx?pid=13631913" xr:uid="{16EC6AA5-468B-419D-9A8D-5F3DBE9AAF59}"/>
    <hyperlink ref="C207" r:id="rId180" tooltip="Open Prospect Profile" display="https://www.whatifsports.com/hbd/Pages/Popups/ProspectProfile.aspx?pid=13631908" xr:uid="{20DC68A4-5C86-4739-ADE8-EA29E9EA480B}"/>
    <hyperlink ref="C83" r:id="rId181" tooltip="Open Prospect Profile" display="https://www.whatifsports.com/hbd/Pages/Popups/ProspectProfile.aspx?pid=13631703" xr:uid="{56A4C579-2DC2-42DD-8ECB-B300A18D3887}"/>
    <hyperlink ref="C52" r:id="rId182" tooltip="Open Prospect Profile" display="https://www.whatifsports.com/hbd/Pages/Popups/ProspectProfile.aspx?pid=13631610" xr:uid="{A4963E64-33CA-4501-A20D-64557B167E15}"/>
    <hyperlink ref="C150" r:id="rId183" tooltip="Open Prospect Profile" display="https://www.whatifsports.com/hbd/Pages/Popups/ProspectProfile.aspx?pid=13631963" xr:uid="{3DDE4894-D386-466C-B61F-1240127EA799}"/>
    <hyperlink ref="C131" r:id="rId184" tooltip="Open Prospect Profile" display="https://www.whatifsports.com/hbd/Pages/Popups/ProspectProfile.aspx?pid=13631882" xr:uid="{8C887C11-6025-4ABA-8A80-E1CA16099568}"/>
    <hyperlink ref="C127" r:id="rId185" tooltip="Open Prospect Profile" display="https://www.whatifsports.com/hbd/Pages/Popups/ProspectProfile.aspx?pid=13632154" xr:uid="{452D2752-B951-481E-BACE-FD7F7850FCF0}"/>
    <hyperlink ref="C87" r:id="rId186" tooltip="Open Prospect Profile" display="https://www.whatifsports.com/hbd/Pages/Popups/ProspectProfile.aspx?pid=13631636" xr:uid="{884F4EBB-EF79-4D07-A383-77810B4D9F54}"/>
    <hyperlink ref="C160" r:id="rId187" tooltip="Open Prospect Profile" display="https://www.whatifsports.com/hbd/Pages/Popups/ProspectProfile.aspx?pid=13631844" xr:uid="{3617900C-CC33-405B-9D7E-3DEF1B57BD37}"/>
    <hyperlink ref="C29" r:id="rId188" tooltip="Open Prospect Profile" display="https://www.whatifsports.com/hbd/Pages/Popups/ProspectProfile.aspx?pid=13631775" xr:uid="{C87E36E8-4311-4689-A613-864F5D3309E6}"/>
    <hyperlink ref="C38" r:id="rId189" tooltip="Open Prospect Profile" display="https://www.whatifsports.com/hbd/Pages/Popups/ProspectProfile.aspx?pid=13631823" xr:uid="{85ECF1E4-8F95-40D4-B73F-F4178D627E39}"/>
    <hyperlink ref="C42" r:id="rId190" tooltip="Open Prospect Profile" display="https://www.whatifsports.com/hbd/Pages/Popups/ProspectProfile.aspx?pid=13631818" xr:uid="{27D787D1-B1CA-4046-8D12-692D7DCB4FF5}"/>
    <hyperlink ref="C69" r:id="rId191" tooltip="Open Prospect Profile" display="https://www.whatifsports.com/hbd/Pages/Popups/ProspectProfile.aspx?pid=13631814" xr:uid="{9E5A5360-B0D2-45DF-ACC6-6AA199E3831C}"/>
    <hyperlink ref="C89" r:id="rId192" tooltip="Open Prospect Profile" display="https://www.whatifsports.com/hbd/Pages/Popups/ProspectProfile.aspx?pid=13631803" xr:uid="{00FB8A85-B3B8-40CE-A218-F2CEB038A67B}"/>
    <hyperlink ref="C71" r:id="rId193" tooltip="Open Prospect Profile" display="https://www.whatifsports.com/hbd/Pages/Popups/ProspectProfile.aspx?pid=13631792" xr:uid="{56233911-BF63-41FD-968C-4F54AFAD4A1D}"/>
    <hyperlink ref="C65" r:id="rId194" tooltip="Open Prospect Profile" display="https://www.whatifsports.com/hbd/Pages/Popups/ProspectProfile.aspx?pid=13631791" xr:uid="{4041FAD2-C63D-4063-B3D7-D770C56F7CB8}"/>
    <hyperlink ref="C80" r:id="rId195" tooltip="Open Prospect Profile" display="https://www.whatifsports.com/hbd/Pages/Popups/ProspectProfile.aspx?pid=13631789" xr:uid="{1CDB19D4-D09F-48E1-A0C6-29196E257000}"/>
    <hyperlink ref="C37" r:id="rId196" tooltip="Open Prospect Profile" display="https://www.whatifsports.com/hbd/Pages/Popups/ProspectProfile.aspx?pid=13631763" xr:uid="{B368C49F-6B65-43C8-A615-385104F5E831}"/>
    <hyperlink ref="C64" r:id="rId197" tooltip="Open Prospect Profile" display="https://www.whatifsports.com/hbd/Pages/Popups/ProspectProfile.aspx?pid=13631762" xr:uid="{BB745483-2C7A-4A31-8EF3-CB043466DDF6}"/>
    <hyperlink ref="C93" r:id="rId198" tooltip="Open Prospect Profile" display="https://www.whatifsports.com/hbd/Pages/Popups/ProspectProfile.aspx?pid=13631752" xr:uid="{231C177F-084A-4653-8FA5-7A7D0DF1920D}"/>
    <hyperlink ref="C125" r:id="rId199" tooltip="Open Prospect Profile" display="https://www.whatifsports.com/hbd/Pages/Popups/ProspectProfile.aspx?pid=13631802" xr:uid="{7D911FFD-D53F-4A98-9EEB-883E60DBA1CC}"/>
    <hyperlink ref="C111" r:id="rId200" tooltip="Open Prospect Profile" display="https://www.whatifsports.com/hbd/Pages/Popups/ProspectProfile.aspx?pid=13631780" xr:uid="{246805BD-1B23-4EE9-AACF-11E216C0FB19}"/>
    <hyperlink ref="C98" r:id="rId201" tooltip="Open Prospect Profile" display="https://www.whatifsports.com/hbd/Pages/Popups/ProspectProfile.aspx?pid=13631742" xr:uid="{60DEE0F9-4FAA-422D-B038-C4D604BFF839}"/>
    <hyperlink ref="C61" r:id="rId202" tooltip="Open Prospect Profile" display="https://www.whatifsports.com/hbd/Pages/Popups/ProspectProfile.aspx?pid=13631648" xr:uid="{A9C4F3BB-FBE0-4C25-B774-5606CE474296}"/>
    <hyperlink ref="C76" r:id="rId203" tooltip="Open Prospect Profile" display="https://www.whatifsports.com/hbd/Pages/Popups/ProspectProfile.aspx?pid=13631532" xr:uid="{FBA9AEC6-B3FD-4E21-AD5B-5F69D3774F46}"/>
    <hyperlink ref="C91" r:id="rId204" tooltip="Open Prospect Profile" display="https://www.whatifsports.com/hbd/Pages/Popups/ProspectProfile.aspx?pid=13631531" xr:uid="{66CF45C1-C6AB-483B-B080-752A4722615F}"/>
    <hyperlink ref="C117" r:id="rId205" tooltip="Open Prospect Profile" display="https://www.whatifsports.com/hbd/Pages/Popups/ProspectProfile.aspx?pid=13631516" xr:uid="{15F2FF60-5382-4874-A705-EAAE5F9A45A9}"/>
    <hyperlink ref="C78" r:id="rId206" tooltip="Open Prospect Profile" display="https://www.whatifsports.com/hbd/Pages/Popups/ProspectProfile.aspx?pid=13631514" xr:uid="{B32238D6-4EB7-4627-803D-80D2B223213C}"/>
    <hyperlink ref="C77" r:id="rId207" tooltip="Open Prospect Profile" display="https://www.whatifsports.com/hbd/Pages/Popups/ProspectProfile.aspx?pid=13631406" xr:uid="{6A774079-64BE-4005-B2E8-5783CAF12E03}"/>
    <hyperlink ref="Q6" r:id="rId208" display="https://www.whatifsports.com/hbd/Pages/GM/AmateurDraftPlayerPool.aspx" xr:uid="{57ED708C-078C-48BC-AF0F-8295E32235A7}"/>
    <hyperlink ref="R6" r:id="rId209" display="https://www.whatifsports.com/hbd/Pages/GM/AmateurDraftPlayerPool.aspx" xr:uid="{63E85FE0-1B9C-4EE1-B0E3-C10886CA95E9}"/>
    <hyperlink ref="S6" r:id="rId210" display="https://www.whatifsports.com/hbd/Pages/GM/AmateurDraftPlayerPool.aspx" xr:uid="{B8565FBC-36BC-4AA9-A2AB-E3F0B1A7EAD0}"/>
    <hyperlink ref="T6" r:id="rId211" display="https://www.whatifsports.com/hbd/Pages/GM/AmateurDraftPlayerPool.aspx" xr:uid="{3EABDB8B-98E4-4B17-A3C4-1386524FCC42}"/>
    <hyperlink ref="U6" r:id="rId212" display="https://www.whatifsports.com/hbd/Pages/GM/AmateurDraftPlayerPool.aspx" xr:uid="{AAEF880A-45E8-42D4-ABAE-1A86A1950C51}"/>
    <hyperlink ref="V6" r:id="rId213" display="https://www.whatifsports.com/hbd/Pages/GM/AmateurDraftPlayerPool.aspx" xr:uid="{76987DF5-DCEC-430D-B031-E34A324BB1AC}"/>
    <hyperlink ref="R7" r:id="rId214" tooltip="Open Prospect Profile" display="https://www.whatifsports.com/hbd/Pages/Popups/ProspectProfile.aspx?pid=13631431" xr:uid="{2A981F59-0D7F-4A4E-91CC-5B2E0384B8BF}"/>
    <hyperlink ref="R16" r:id="rId215" tooltip="Open Prospect Profile" display="https://www.whatifsports.com/hbd/Pages/Popups/ProspectProfile.aspx?pid=13631837" xr:uid="{5DFDF076-0573-4B25-9BFB-FA683705F1CB}"/>
    <hyperlink ref="R151" r:id="rId216" tooltip="Open Prospect Profile" display="https://www.whatifsports.com/hbd/Pages/Popups/ProspectProfile.aspx?pid=13632168" xr:uid="{25412377-93B9-46D1-A944-04858186313C}"/>
    <hyperlink ref="R10" r:id="rId217" tooltip="Open Prospect Profile" display="https://www.whatifsports.com/hbd/Pages/Popups/ProspectProfile.aspx?pid=13631500" xr:uid="{EE386F17-0D25-4C24-AC8E-BCD3F0D5F8D5}"/>
    <hyperlink ref="R11" r:id="rId218" tooltip="Open Prospect Profile" display="https://www.whatifsports.com/hbd/Pages/Popups/ProspectProfile.aspx?pid=13631732" xr:uid="{F821562C-278F-4739-8A87-7575FF2BFD1C}"/>
    <hyperlink ref="R170" r:id="rId219" tooltip="Open Prospect Profile" display="https://www.whatifsports.com/hbd/Pages/Popups/ProspectProfile.aspx?pid=13632232" xr:uid="{ADD7E9E8-FC81-4754-A986-A74FC015C644}"/>
    <hyperlink ref="R106" r:id="rId220" tooltip="Open Prospect Profile" display="https://www.whatifsports.com/hbd/Pages/Popups/ProspectProfile.aspx?pid=13632221" xr:uid="{A943D78F-8ED6-436E-B669-C72E941E026C}"/>
    <hyperlink ref="R12" r:id="rId221" tooltip="Open Prospect Profile" display="https://www.whatifsports.com/hbd/Pages/Popups/ProspectProfile.aspx?pid=13631506" xr:uid="{C7E6FCE8-A0EB-46B2-B90D-C7249ED39AAB}"/>
    <hyperlink ref="R112" r:id="rId222" tooltip="Open Prospect Profile" display="https://www.whatifsports.com/hbd/Pages/Popups/ProspectProfile.aspx?pid=13632238" xr:uid="{DD6E5E17-9774-41F5-B2FD-2366C017600E}"/>
    <hyperlink ref="R8" r:id="rId223" tooltip="Open Prospect Profile" display="https://www.whatifsports.com/hbd/Pages/Popups/ProspectProfile.aspx?pid=13631433" xr:uid="{1095CCA0-0AD8-4C66-97A7-8BB4543020BF}"/>
    <hyperlink ref="R124" r:id="rId224" tooltip="Open Prospect Profile" display="https://www.whatifsports.com/hbd/Pages/Popups/ProspectProfile.aspx?pid=13632211" xr:uid="{FC9444C6-A378-41E1-B9B7-ADD3C19A279E}"/>
    <hyperlink ref="R20" r:id="rId225" tooltip="Open Prospect Profile" display="https://www.whatifsports.com/hbd/Pages/Popups/ProspectProfile.aspx?pid=13631772" xr:uid="{4A7518B5-9EF0-4CE7-8FA6-8838973A366F}"/>
    <hyperlink ref="R13" r:id="rId226" tooltip="Open Prospect Profile" display="https://www.whatifsports.com/hbd/Pages/Popups/ProspectProfile.aspx?pid=13631714" xr:uid="{19461453-90BA-42B3-ADD8-EFD4BF75FD55}"/>
    <hyperlink ref="R196" r:id="rId227" tooltip="Open Prospect Profile" display="https://www.whatifsports.com/hbd/Pages/Popups/ProspectProfile.aspx?pid=13632205" xr:uid="{D72C4CC1-84F2-45F3-9022-E0D889203A01}"/>
    <hyperlink ref="R15" r:id="rId228" tooltip="Open Prospect Profile" display="https://www.whatifsports.com/hbd/Pages/Popups/ProspectProfile.aspx?pid=13631505" xr:uid="{01313926-E8FD-40E7-BB66-58261E3C4462}"/>
    <hyperlink ref="R159" r:id="rId229" tooltip="Open Prospect Profile" display="https://www.whatifsports.com/hbd/Pages/Popups/ProspectProfile.aspx?pid=13632233" xr:uid="{81CFB134-361C-454F-BAEA-FBE00CE82AF9}"/>
    <hyperlink ref="R130" r:id="rId230" tooltip="Open Prospect Profile" display="https://www.whatifsports.com/hbd/Pages/Popups/ProspectProfile.aspx?pid=13632194" xr:uid="{0B3A2097-8A84-4CD4-9B70-D31C029DB724}"/>
    <hyperlink ref="R14" r:id="rId231" tooltip="Open Prospect Profile" display="https://www.whatifsports.com/hbd/Pages/Popups/ProspectProfile.aspx?pid=13631607" xr:uid="{A404D8D3-F0A5-43F8-91DE-43C30D35F1B3}"/>
    <hyperlink ref="R171" r:id="rId232" tooltip="Open Prospect Profile" display="https://www.whatifsports.com/hbd/Pages/Popups/ProspectProfile.aspx?pid=13632223" xr:uid="{D1A802FF-EFD4-4100-932E-9C05F5A80C26}"/>
    <hyperlink ref="R149" r:id="rId233" tooltip="Open Prospect Profile" display="https://www.whatifsports.com/hbd/Pages/Popups/ProspectProfile.aspx?pid=13632216" xr:uid="{994F1E25-EFBC-4577-828F-88247ED5D6E0}"/>
    <hyperlink ref="R18" r:id="rId234" tooltip="Open Prospect Profile" display="https://www.whatifsports.com/hbd/Pages/Popups/ProspectProfile.aspx?pid=13631677" xr:uid="{06A9A7BA-46AF-4374-A3E1-AD04340A96E5}"/>
    <hyperlink ref="R139" r:id="rId235" tooltip="Open Prospect Profile" display="https://www.whatifsports.com/hbd/Pages/Popups/ProspectProfile.aspx?pid=13632237" xr:uid="{78DB589A-0391-4C62-B282-A49873966A75}"/>
    <hyperlink ref="R185" r:id="rId236" tooltip="Open Prospect Profile" display="https://www.whatifsports.com/hbd/Pages/Popups/ProspectProfile.aspx?pid=13632234" xr:uid="{AA67D40D-CF40-41E7-8A1A-EF028357B44C}"/>
    <hyperlink ref="R110" r:id="rId237" tooltip="Open Prospect Profile" display="https://www.whatifsports.com/hbd/Pages/Popups/ProspectProfile.aspx?pid=13632217" xr:uid="{322306AB-DE06-4E49-8C7F-453EDF6C8196}"/>
    <hyperlink ref="R119" r:id="rId238" tooltip="Open Prospect Profile" display="https://www.whatifsports.com/hbd/Pages/Popups/ProspectProfile.aspx?pid=13632171" xr:uid="{26C74494-2C24-4B67-8C39-23739AD889F0}"/>
    <hyperlink ref="R33" r:id="rId239" tooltip="Open Prospect Profile" display="https://www.whatifsports.com/hbd/Pages/Popups/ProspectProfile.aspx?pid=13631551" xr:uid="{3E467328-81BE-4CED-AA11-DE6A7DF1B130}"/>
    <hyperlink ref="R19" r:id="rId240" tooltip="Open Prospect Profile" display="https://www.whatifsports.com/hbd/Pages/Popups/ProspectProfile.aspx?pid=13631767" xr:uid="{0B7C9747-32A6-4345-BEF7-6AE4202E3971}"/>
    <hyperlink ref="R22" r:id="rId241" tooltip="Open Prospect Profile" display="https://www.whatifsports.com/hbd/Pages/Popups/ProspectProfile.aspx?pid=13631591" xr:uid="{4A4359F1-0494-40A0-AE53-4B34F0ECD602}"/>
    <hyperlink ref="R115" r:id="rId242" tooltip="Open Prospect Profile" display="https://www.whatifsports.com/hbd/Pages/Popups/ProspectProfile.aspx?pid=13632212" xr:uid="{8CD9F490-84EE-4039-9F46-254CA3CCAD60}"/>
    <hyperlink ref="R24" r:id="rId243" tooltip="Open Prospect Profile" display="https://www.whatifsports.com/hbd/Pages/Popups/ProspectProfile.aspx?pid=13631672" xr:uid="{F329184B-EE27-450C-9C9B-652FB969CD85}"/>
    <hyperlink ref="R36" r:id="rId244" tooltip="Open Prospect Profile" display="https://www.whatifsports.com/hbd/Pages/Popups/ProspectProfile.aspx?pid=13631617" xr:uid="{A04FCBBA-28CB-40E8-B6AA-80A656D1F3BC}"/>
    <hyperlink ref="R28" r:id="rId245" tooltip="Open Prospect Profile" display="https://www.whatifsports.com/hbd/Pages/Popups/ProspectProfile.aspx?pid=13631507" xr:uid="{4B5B02E8-B8F5-4E84-959E-29E683093D3F}"/>
    <hyperlink ref="R114" r:id="rId246" tooltip="Open Prospect Profile" display="https://www.whatifsports.com/hbd/Pages/Popups/ProspectProfile.aspx?pid=13632207" xr:uid="{81A39D76-F920-4348-A690-D1BC3B4182CE}"/>
    <hyperlink ref="R21" r:id="rId247" tooltip="Open Prospect Profile" display="https://www.whatifsports.com/hbd/Pages/Popups/ProspectProfile.aspx?pid=13631605" xr:uid="{926DB5E4-75B3-4B50-B7EF-49DA5528F9B7}"/>
    <hyperlink ref="R147" r:id="rId248" tooltip="Open Prospect Profile" display="https://www.whatifsports.com/hbd/Pages/Popups/ProspectProfile.aspx?pid=13632229" xr:uid="{A794EC73-62A8-4ACD-A90E-26D39EDB6C08}"/>
    <hyperlink ref="R25" r:id="rId249" tooltip="Open Prospect Profile" display="https://www.whatifsports.com/hbd/Pages/Popups/ProspectProfile.aspx?pid=13631678" xr:uid="{8B4A2952-CFD2-4EEC-A467-620D0B5369E8}"/>
    <hyperlink ref="R169" r:id="rId250" tooltip="Open Prospect Profile" display="https://www.whatifsports.com/hbd/Pages/Popups/ProspectProfile.aspx?pid=13632197" xr:uid="{868D1A9D-851D-4B60-979E-FBFF1314E20E}"/>
    <hyperlink ref="R164" r:id="rId251" tooltip="Open Prospect Profile" display="https://www.whatifsports.com/hbd/Pages/Popups/ProspectProfile.aspx?pid=13632178" xr:uid="{A0CCE888-8FBF-4219-A0C4-25BA5157DC73}"/>
    <hyperlink ref="R47" r:id="rId252" tooltip="Open Prospect Profile" display="https://www.whatifsports.com/hbd/Pages/Popups/ProspectProfile.aspx?pid=13631839" xr:uid="{BF28F093-D057-49E8-B6E9-D9EF9E2334BA}"/>
    <hyperlink ref="R39" r:id="rId253" tooltip="Open Prospect Profile" display="https://www.whatifsports.com/hbd/Pages/Popups/ProspectProfile.aspx?pid=13631730" xr:uid="{D4FEABFC-4B19-47A1-BF0C-4252EA2321E1}"/>
    <hyperlink ref="R192" r:id="rId254" tooltip="Open Prospect Profile" display="https://www.whatifsports.com/hbd/Pages/Popups/ProspectProfile.aspx?pid=13632199" xr:uid="{D374051A-31E6-496A-87D2-375E4F2A570A}"/>
    <hyperlink ref="R31" r:id="rId255" tooltip="Open Prospect Profile" display="https://www.whatifsports.com/hbd/Pages/Popups/ProspectProfile.aspx?pid=13631833" xr:uid="{1B8472B3-88D1-4318-A034-FF9B66F7FA94}"/>
    <hyperlink ref="R23" r:id="rId256" tooltip="Open Prospect Profile" display="https://www.whatifsports.com/hbd/Pages/Popups/ProspectProfile.aspx?pid=13631673" xr:uid="{80947242-4390-4859-B23A-1209FB7AA740}"/>
    <hyperlink ref="R32" r:id="rId257" tooltip="Open Prospect Profile" display="https://www.whatifsports.com/hbd/Pages/Popups/ProspectProfile.aspx?pid=13631454" xr:uid="{EC9DFB3D-29F6-448E-B894-97B9086A34AD}"/>
    <hyperlink ref="R179" r:id="rId258" tooltip="Open Prospect Profile" display="https://www.whatifsports.com/hbd/Pages/Popups/ProspectProfile.aspx?pid=13632172" xr:uid="{78C2472C-49FA-41AB-B3C1-C85174D55C84}"/>
    <hyperlink ref="R118" r:id="rId259" tooltip="Open Prospect Profile" display="https://www.whatifsports.com/hbd/Pages/Popups/ProspectProfile.aspx?pid=13632087" xr:uid="{980F9269-21A9-4F3A-8923-871AB3297D84}"/>
    <hyperlink ref="R17" r:id="rId260" tooltip="Open Prospect Profile" display="https://www.whatifsports.com/hbd/Pages/Popups/ProspectProfile.aspx?pid=13631674" xr:uid="{D3CF98EA-9B9D-4706-A4B4-3D1D102619E1}"/>
    <hyperlink ref="R9" r:id="rId261" tooltip="Open Prospect Profile" display="https://www.whatifsports.com/hbd/Pages/Popups/ProspectProfile.aspx?pid=13631497" xr:uid="{E0D26498-5E5D-4A19-8B99-24F8022557BD}"/>
    <hyperlink ref="R27" r:id="rId262" tooltip="Open Prospect Profile" display="https://www.whatifsports.com/hbd/Pages/Popups/ProspectProfile.aspx?pid=13631429" xr:uid="{E2ACAFE9-8223-4A37-B739-7C29D620AEBC}"/>
    <hyperlink ref="R177" r:id="rId263" tooltip="Open Prospect Profile" display="https://www.whatifsports.com/hbd/Pages/Popups/ProspectProfile.aspx?pid=13632208" xr:uid="{A1863400-BBBD-4EAB-9B8A-3AA5CADBD154}"/>
    <hyperlink ref="R195" r:id="rId264" tooltip="Open Prospect Profile" display="https://www.whatifsports.com/hbd/Pages/Popups/ProspectProfile.aspx?pid=13632206" xr:uid="{00CDBA6D-9B40-4E3D-9A3B-FAC5A8928DCE}"/>
    <hyperlink ref="R128" r:id="rId265" tooltip="Open Prospect Profile" display="https://www.whatifsports.com/hbd/Pages/Popups/ProspectProfile.aspx?pid=13632169" xr:uid="{60A99088-56C6-4D32-B8E5-33FE22E32141}"/>
    <hyperlink ref="R152" r:id="rId266" tooltip="Open Prospect Profile" display="https://www.whatifsports.com/hbd/Pages/Popups/ProspectProfile.aspx?pid=13632143" xr:uid="{9084210A-F76F-4DAB-B105-CD08FB809E86}"/>
    <hyperlink ref="R116" r:id="rId267" tooltip="Open Prospect Profile" display="https://www.whatifsports.com/hbd/Pages/Popups/ProspectProfile.aspx?pid=13631900" xr:uid="{47784A9C-E0F0-4AC5-AC86-DEF43122F756}"/>
    <hyperlink ref="R35" r:id="rId268" tooltip="Open Prospect Profile" display="https://www.whatifsports.com/hbd/Pages/Popups/ProspectProfile.aspx?pid=13631768" xr:uid="{1BE7F045-15B5-4475-9F48-66DA337AC8FB}"/>
    <hyperlink ref="R34" r:id="rId269" tooltip="Open Prospect Profile" display="https://www.whatifsports.com/hbd/Pages/Popups/ProspectProfile.aspx?pid=13631725" xr:uid="{601D9AC3-47B4-4640-AE11-0543A7389782}"/>
    <hyperlink ref="R48" r:id="rId270" tooltip="Open Prospect Profile" display="https://www.whatifsports.com/hbd/Pages/Popups/ProspectProfile.aspx?pid=13631701" xr:uid="{53586C69-85AE-4C2D-9F37-6CFEB3039025}"/>
    <hyperlink ref="R51" r:id="rId271" tooltip="Open Prospect Profile" display="https://www.whatifsports.com/hbd/Pages/Popups/ProspectProfile.aspx?pid=13631541" xr:uid="{52267A51-890C-4EA6-97FF-A90EF995A796}"/>
    <hyperlink ref="R50" r:id="rId272" tooltip="Open Prospect Profile" display="https://www.whatifsports.com/hbd/Pages/Popups/ProspectProfile.aspx?pid=13631579" xr:uid="{465E8C6E-E4C5-48E0-A0FD-AEAE19F0F7DC}"/>
    <hyperlink ref="R41" r:id="rId273" tooltip="Open Prospect Profile" display="https://www.whatifsports.com/hbd/Pages/Popups/ProspectProfile.aspx?pid=13631552" xr:uid="{0BFBE891-C7C2-4872-BDD7-B359D0FA9D05}"/>
    <hyperlink ref="R126" r:id="rId274" tooltip="Open Prospect Profile" display="https://www.whatifsports.com/hbd/Pages/Popups/ProspectProfile.aspx?pid=13632224" xr:uid="{AF274235-2FF8-4068-8651-142273D5310A}"/>
    <hyperlink ref="R121" r:id="rId275" tooltip="Open Prospect Profile" display="https://www.whatifsports.com/hbd/Pages/Popups/ProspectProfile.aspx?pid=13632130" xr:uid="{2272BD44-861B-437A-AF3C-9213F8104DA4}"/>
    <hyperlink ref="R137" r:id="rId276" tooltip="Open Prospect Profile" display="https://www.whatifsports.com/hbd/Pages/Popups/ProspectProfile.aspx?pid=13632035" xr:uid="{9454800C-64F2-4AD0-81BF-F210D1CF36C5}"/>
    <hyperlink ref="R162" r:id="rId277" tooltip="Open Prospect Profile" display="https://www.whatifsports.com/hbd/Pages/Popups/ProspectProfile.aspx?pid=13632066" xr:uid="{1E9E93FF-ADAA-4F5A-802A-5D3DFFF9CF17}"/>
    <hyperlink ref="R161" r:id="rId278" tooltip="Open Prospect Profile" display="https://www.whatifsports.com/hbd/Pages/Popups/ProspectProfile.aspx?pid=13632052" xr:uid="{1FB62821-F469-45E1-BCD4-1ED666E7EDEB}"/>
    <hyperlink ref="R46" r:id="rId279" tooltip="Open Prospect Profile" display="https://www.whatifsports.com/hbd/Pages/Popups/ProspectProfile.aspx?pid=13631838" xr:uid="{8845BD71-85E4-47EB-97F6-73E49807CF9A}"/>
    <hyperlink ref="R56" r:id="rId280" tooltip="Open Prospect Profile" display="https://www.whatifsports.com/hbd/Pages/Popups/ProspectProfile.aspx?pid=13631718" xr:uid="{D64F63EC-A304-43B7-B5C9-215E31279404}"/>
    <hyperlink ref="R30" r:id="rId281" tooltip="Open Prospect Profile" display="https://www.whatifsports.com/hbd/Pages/Popups/ProspectProfile.aspx?pid=13631585" xr:uid="{E146C47F-016D-4227-A87F-8BC95475D975}"/>
    <hyperlink ref="R44" r:id="rId282" tooltip="Open Prospect Profile" display="https://www.whatifsports.com/hbd/Pages/Popups/ProspectProfile.aspx?pid=13631409" xr:uid="{38ED7A84-6371-49A9-9328-1F02F6D52537}"/>
    <hyperlink ref="R157" r:id="rId283" tooltip="Open Prospect Profile" display="https://www.whatifsports.com/hbd/Pages/Popups/ProspectProfile.aspx?pid=13631852" xr:uid="{657F35A1-1B38-46CA-8A4C-D0A042AF0443}"/>
    <hyperlink ref="R57" r:id="rId284" tooltip="Open Prospect Profile" display="https://www.whatifsports.com/hbd/Pages/Popups/ProspectProfile.aspx?pid=13631699" xr:uid="{604DD50A-DA48-4753-9722-5CC6CBF7BF9C}"/>
    <hyperlink ref="R26" r:id="rId285" tooltip="Open Prospect Profile" display="https://www.whatifsports.com/hbd/Pages/Popups/ProspectProfile.aspx?pid=13631667" xr:uid="{18FBBD90-48A7-456C-9E1B-995B6FC7124D}"/>
    <hyperlink ref="R49" r:id="rId286" tooltip="Open Prospect Profile" display="https://www.whatifsports.com/hbd/Pages/Popups/ProspectProfile.aspx?pid=13631484" xr:uid="{FA446C33-9E35-40DD-BFD3-0B81433208C1}"/>
    <hyperlink ref="R144" r:id="rId287" tooltip="Open Prospect Profile" display="https://www.whatifsports.com/hbd/Pages/Popups/ProspectProfile.aspx?pid=13632075" xr:uid="{9DB2826A-DFD0-46EA-9FF1-BA892BB7F5AD}"/>
    <hyperlink ref="R113" r:id="rId288" tooltip="Open Prospect Profile" display="https://www.whatifsports.com/hbd/Pages/Popups/ProspectProfile.aspx?pid=13631977" xr:uid="{1467A61A-BFD3-4B28-B26A-95C2394F363C}"/>
    <hyperlink ref="R153" r:id="rId289" tooltip="Open Prospect Profile" display="https://www.whatifsports.com/hbd/Pages/Popups/ProspectProfile.aspx?pid=13631972" xr:uid="{98772E55-8B0E-4492-9CA6-A9D6F566F2FC}"/>
    <hyperlink ref="R204" r:id="rId290" tooltip="Open Prospect Profile" display="https://www.whatifsports.com/hbd/Pages/Popups/ProspectProfile.aspx?pid=13631946" xr:uid="{96824AC4-7D33-4428-B61A-0807A537B1DB}"/>
    <hyperlink ref="R59" r:id="rId291" tooltip="Open Prospect Profile" display="https://www.whatifsports.com/hbd/Pages/Popups/ProspectProfile.aspx?pid=13631478" xr:uid="{C59D397D-7C5D-4616-958B-15B4A5284045}"/>
    <hyperlink ref="R175" r:id="rId292" tooltip="Open Prospect Profile" display="https://www.whatifsports.com/hbd/Pages/Popups/ProspectProfile.aspx?pid=13632160" xr:uid="{AEB478E9-7E2B-4F74-9C41-CB384267B17B}"/>
    <hyperlink ref="R66" r:id="rId293" tooltip="Open Prospect Profile" display="https://www.whatifsports.com/hbd/Pages/Popups/ProspectProfile.aspx?pid=13631835" xr:uid="{CA174789-30A1-44B9-AC54-D3847BA0B671}"/>
    <hyperlink ref="R54" r:id="rId294" tooltip="Open Prospect Profile" display="https://www.whatifsports.com/hbd/Pages/Popups/ProspectProfile.aspx?pid=13631567" xr:uid="{A5A3A368-8588-419B-A320-B1BF5A351047}"/>
    <hyperlink ref="R155" r:id="rId295" tooltip="Open Prospect Profile" display="https://www.whatifsports.com/hbd/Pages/Popups/ProspectProfile.aspx?pid=13632099" xr:uid="{17F4F71D-2B2C-4EE8-8F20-5611038CD770}"/>
    <hyperlink ref="R109" r:id="rId296" tooltip="Open Prospect Profile" display="https://www.whatifsports.com/hbd/Pages/Popups/ProspectProfile.aspx?pid=13632030" xr:uid="{C58DED5B-9D42-4E28-BDA3-12C47E7B42FA}"/>
    <hyperlink ref="R55" r:id="rId297" tooltip="Open Prospect Profile" display="https://www.whatifsports.com/hbd/Pages/Popups/ProspectProfile.aspx?pid=13631731" xr:uid="{CD620916-5B22-4CEC-A3BF-747BC63BC013}"/>
    <hyperlink ref="R40" r:id="rId298" tooltip="Open Prospect Profile" display="https://www.whatifsports.com/hbd/Pages/Popups/ProspectProfile.aspx?pid=13631583" xr:uid="{04AED7CC-31F4-42E5-B73C-F60AE3EFEB3E}"/>
    <hyperlink ref="R68" r:id="rId299" tooltip="Open Prospect Profile" display="https://www.whatifsports.com/hbd/Pages/Popups/ProspectProfile.aspx?pid=13631482" xr:uid="{27755CD3-14E4-46BE-A2C7-C2F8FD54894E}"/>
    <hyperlink ref="R184" r:id="rId300" tooltip="Open Prospect Profile" display="https://www.whatifsports.com/hbd/Pages/Popups/ProspectProfile.aspx?pid=13632183" xr:uid="{50051AD2-C9B4-4955-A625-CC81AD436317}"/>
    <hyperlink ref="R142" r:id="rId301" tooltip="Open Prospect Profile" display="https://www.whatifsports.com/hbd/Pages/Popups/ProspectProfile.aspx?pid=13632084" xr:uid="{599F3868-CDB8-4059-B00D-0BEC08878225}"/>
    <hyperlink ref="R193" r:id="rId302" tooltip="Open Prospect Profile" display="https://www.whatifsports.com/hbd/Pages/Popups/ProspectProfile.aspx?pid=13632022" xr:uid="{D05EE85A-EBCD-440E-8B02-BB197BE9927F}"/>
    <hyperlink ref="R58" r:id="rId303" tooltip="Open Prospect Profile" display="https://www.whatifsports.com/hbd/Pages/Popups/ProspectProfile.aspx?pid=13631584" xr:uid="{A2EA1A3B-DCDF-49BF-A367-B6EA29C83341}"/>
    <hyperlink ref="R43" r:id="rId304" tooltip="Open Prospect Profile" display="https://www.whatifsports.com/hbd/Pages/Popups/ProspectProfile.aspx?pid=13631555" xr:uid="{DEAA8063-CCD2-4710-825E-D0260FBD1E4A}"/>
    <hyperlink ref="R123" r:id="rId305" tooltip="Open Prospect Profile" display="https://www.whatifsports.com/hbd/Pages/Popups/ProspectProfile.aspx?pid=13632123" xr:uid="{112BFB27-1CEF-4124-A51B-7B22EBCBD544}"/>
    <hyperlink ref="R132" r:id="rId306" tooltip="Open Prospect Profile" display="https://www.whatifsports.com/hbd/Pages/Popups/ProspectProfile.aspx?pid=13632104" xr:uid="{A334B63D-0229-4963-ABCA-8F6525DD6C51}"/>
    <hyperlink ref="R70" r:id="rId307" tooltip="Open Prospect Profile" display="https://www.whatifsports.com/hbd/Pages/Popups/ProspectProfile.aspx?pid=13631459" xr:uid="{1754C00A-42F8-4D24-BA45-D6C6F5CB6C31}"/>
    <hyperlink ref="R133" r:id="rId308" tooltip="Open Prospect Profile" display="https://www.whatifsports.com/hbd/Pages/Popups/ProspectProfile.aspx?pid=13632001" xr:uid="{BED7FAE6-0BDC-4C16-B019-A1A7B49E7ACA}"/>
    <hyperlink ref="R136" r:id="rId309" tooltip="Open Prospect Profile" display="https://www.whatifsports.com/hbd/Pages/Popups/ProspectProfile.aspx?pid=13631874" xr:uid="{BA433F48-CAD2-413E-81AC-311A73A6288C}"/>
    <hyperlink ref="R73" r:id="rId310" tooltip="Open Prospect Profile" display="https://www.whatifsports.com/hbd/Pages/Popups/ProspectProfile.aspx?pid=13631457" xr:uid="{6E3D5606-3555-47FB-9180-61994085A260}"/>
    <hyperlink ref="R72" r:id="rId311" tooltip="Open Prospect Profile" display="https://www.whatifsports.com/hbd/Pages/Popups/ProspectProfile.aspx?pid=13631635" xr:uid="{43319E2F-E40E-4BCE-99B9-A1937A279E08}"/>
    <hyperlink ref="R183" r:id="rId312" tooltip="Open Prospect Profile" display="https://www.whatifsports.com/hbd/Pages/Popups/ProspectProfile.aspx?pid=13632213" xr:uid="{E1A881DC-895A-4022-A70F-34045E0C6CCF}"/>
    <hyperlink ref="R166" r:id="rId313" tooltip="Open Prospect Profile" display="https://www.whatifsports.com/hbd/Pages/Popups/ProspectProfile.aspx?pid=13632131" xr:uid="{3F9C530E-B240-46EF-A975-DBFF0989B14D}"/>
    <hyperlink ref="R138" r:id="rId314" tooltip="Open Prospect Profile" display="https://www.whatifsports.com/hbd/Pages/Popups/ProspectProfile.aspx?pid=13631989" xr:uid="{83A1811B-8CD9-475F-BF64-9DD474B79C00}"/>
    <hyperlink ref="R108" r:id="rId315" tooltip="Open Prospect Profile" display="https://www.whatifsports.com/hbd/Pages/Popups/ProspectProfile.aspx?pid=13631916" xr:uid="{3ABE34DD-F154-47E5-9404-BBCE83F59D56}"/>
    <hyperlink ref="R79" r:id="rId316" tooltip="Open Prospect Profile" display="https://www.whatifsports.com/hbd/Pages/Popups/ProspectProfile.aspx?pid=13631716" xr:uid="{A459F2B3-0A9C-49A0-8B3F-CBF4B56E4988}"/>
    <hyperlink ref="R85" r:id="rId317" tooltip="Open Prospect Profile" display="https://www.whatifsports.com/hbd/Pages/Popups/ProspectProfile.aspx?pid=13631471" xr:uid="{43EE7227-DC06-4D70-A699-DF25E1433E4D}"/>
    <hyperlink ref="R60" r:id="rId318" tooltip="Open Prospect Profile" display="https://www.whatifsports.com/hbd/Pages/Popups/ProspectProfile.aspx?pid=13631437" xr:uid="{8F5BCC3A-5860-4427-B2F3-A24A1C10AE61}"/>
    <hyperlink ref="R200" r:id="rId319" tooltip="Open Prospect Profile" display="https://www.whatifsports.com/hbd/Pages/Popups/ProspectProfile.aspx?pid=13632236" xr:uid="{2D08CE08-DF0D-4A15-A9F2-25B5952B5520}"/>
    <hyperlink ref="R181" r:id="rId320" tooltip="Open Prospect Profile" display="https://www.whatifsports.com/hbd/Pages/Popups/ProspectProfile.aspx?pid=13631904" xr:uid="{904A353D-A6E7-4983-9A4D-E37A4F0C7FF8}"/>
    <hyperlink ref="R63" r:id="rId321" tooltip="Open Prospect Profile" display="https://www.whatifsports.com/hbd/Pages/Popups/ProspectProfile.aspx?pid=13631468" xr:uid="{3B38C678-87EB-4467-878C-45D1E86A19B5}"/>
    <hyperlink ref="R90" r:id="rId322" tooltip="Open Prospect Profile" display="https://www.whatifsports.com/hbd/Pages/Popups/ProspectProfile.aspx?pid=13631453" xr:uid="{F27ADA15-74AD-4794-8A38-9A6A28A5CE5B}"/>
    <hyperlink ref="R140" r:id="rId323" tooltip="Open Prospect Profile" display="https://www.whatifsports.com/hbd/Pages/Popups/ProspectProfile.aspx?pid=13632204" xr:uid="{01F8E5D2-1332-4775-BB39-66F79E20F060}"/>
    <hyperlink ref="R189" r:id="rId324" tooltip="Open Prospect Profile" display="https://www.whatifsports.com/hbd/Pages/Popups/ProspectProfile.aspx?pid=13632186" xr:uid="{C95CA55F-2AEE-461E-87AC-F70A3CFC12E7}"/>
    <hyperlink ref="R178" r:id="rId325" tooltip="Open Prospect Profile" display="https://www.whatifsports.com/hbd/Pages/Popups/ProspectProfile.aspx?pid=13632149" xr:uid="{34EE698D-A7FF-4877-807F-7F13B3B4597D}"/>
    <hyperlink ref="R201" r:id="rId326" tooltip="Open Prospect Profile" display="https://www.whatifsports.com/hbd/Pages/Popups/ProspectProfile.aspx?pid=13632019" xr:uid="{B724164D-D823-4234-A564-01EA590D013C}"/>
    <hyperlink ref="R104" r:id="rId327" tooltip="Open Prospect Profile" display="https://www.whatifsports.com/hbd/Pages/Popups/ProspectProfile.aspx?pid=13631836" xr:uid="{34561736-687D-4F63-A6A7-4F467DACA77F}"/>
    <hyperlink ref="R167" r:id="rId328" tooltip="Open Prospect Profile" display="https://www.whatifsports.com/hbd/Pages/Popups/ProspectProfile.aspx?pid=13632201" xr:uid="{AE2075C9-C60B-4238-A6BF-936721D9167B}"/>
    <hyperlink ref="R158" r:id="rId329" tooltip="Open Prospect Profile" display="https://www.whatifsports.com/hbd/Pages/Popups/ProspectProfile.aspx?pid=13632085" xr:uid="{FFA7C8E6-6F4C-41A7-A8BD-AA7BD6605F35}"/>
    <hyperlink ref="R206" r:id="rId330" tooltip="Open Prospect Profile" display="https://www.whatifsports.com/hbd/Pages/Popups/ProspectProfile.aspx?pid=13632055" xr:uid="{AAFEC6C9-94BD-4868-9655-3C3C52307C5A}"/>
    <hyperlink ref="R203" r:id="rId331" tooltip="Open Prospect Profile" display="https://www.whatifsports.com/hbd/Pages/Popups/ProspectProfile.aspx?pid=13632036" xr:uid="{C9BAAED5-20BF-4A1C-9269-A5C67D3F2FC1}"/>
    <hyperlink ref="R180" r:id="rId332" tooltip="Open Prospect Profile" display="https://www.whatifsports.com/hbd/Pages/Popups/ProspectProfile.aspx?pid=13631991" xr:uid="{0BC7E8FB-C036-49AD-A242-22873AE22EE3}"/>
    <hyperlink ref="R53" r:id="rId333" tooltip="Open Prospect Profile" display="https://www.whatifsports.com/hbd/Pages/Popups/ProspectProfile.aspx?pid=13631414" xr:uid="{D4890B7B-F9AE-4CFB-8743-54FDDE821CDD}"/>
    <hyperlink ref="R156" r:id="rId334" tooltip="Open Prospect Profile" display="https://www.whatifsports.com/hbd/Pages/Popups/ProspectProfile.aspx?pid=13632107" xr:uid="{8C9E358A-6B84-40DB-9B0C-049386FBC858}"/>
    <hyperlink ref="R168" r:id="rId335" tooltip="Open Prospect Profile" display="https://www.whatifsports.com/hbd/Pages/Popups/ProspectProfile.aspx?pid=13632071" xr:uid="{5BBD12C8-FE23-4824-97CD-AA134C8B15BB}"/>
    <hyperlink ref="R194" r:id="rId336" tooltip="Open Prospect Profile" display="https://www.whatifsports.com/hbd/Pages/Popups/ProspectProfile.aspx?pid=13631926" xr:uid="{E1E5F94A-BCEA-4EF6-8AC2-B0E2495E3D4A}"/>
    <hyperlink ref="R82" r:id="rId337" tooltip="Open Prospect Profile" display="https://www.whatifsports.com/hbd/Pages/Popups/ProspectProfile.aspx?pid=13631698" xr:uid="{E6640EC8-C015-4236-8A68-C173817271B2}"/>
    <hyperlink ref="R129" r:id="rId338" tooltip="Open Prospect Profile" display="https://www.whatifsports.com/hbd/Pages/Popups/ProspectProfile.aspx?pid=13632164" xr:uid="{7FF9A978-56F9-4C14-A6ED-DEF9A5F2DD50}"/>
    <hyperlink ref="R145" r:id="rId339" tooltip="Open Prospect Profile" display="https://www.whatifsports.com/hbd/Pages/Popups/ProspectProfile.aspx?pid=13632113" xr:uid="{B62AFCA4-BF32-42EE-9537-8F5A2FC7382E}"/>
    <hyperlink ref="R199" r:id="rId340" tooltip="Open Prospect Profile" display="https://www.whatifsports.com/hbd/Pages/Popups/ProspectProfile.aspx?pid=13632063" xr:uid="{599D2818-6C4C-4932-AB74-51F434696A4C}"/>
    <hyperlink ref="R67" r:id="rId341" tooltip="Open Prospect Profile" display="https://www.whatifsports.com/hbd/Pages/Popups/ProspectProfile.aspx?pid=13631650" xr:uid="{578FEDF0-37C2-41D5-929E-D9A1AA4D6BC6}"/>
    <hyperlink ref="R84" r:id="rId342" tooltip="Open Prospect Profile" display="https://www.whatifsports.com/hbd/Pages/Popups/ProspectProfile.aspx?pid=13631565" xr:uid="{C2483182-4562-4DCA-8383-70E32C4BFE41}"/>
    <hyperlink ref="R75" r:id="rId343" tooltip="Open Prospect Profile" display="https://www.whatifsports.com/hbd/Pages/Popups/ProspectProfile.aspx?pid=13631391" xr:uid="{133A9896-7135-4ED6-BA22-8D45F05FBA94}"/>
    <hyperlink ref="R182" r:id="rId344" tooltip="Open Prospect Profile" display="https://www.whatifsports.com/hbd/Pages/Popups/ProspectProfile.aspx?pid=13632116" xr:uid="{87878C07-10D8-4527-905D-948EBC7AA867}"/>
    <hyperlink ref="R191" r:id="rId345" tooltip="Open Prospect Profile" display="https://www.whatifsports.com/hbd/Pages/Popups/ProspectProfile.aspx?pid=13632058" xr:uid="{DE924F49-608A-4157-BD5D-A8016C89F505}"/>
    <hyperlink ref="R135" r:id="rId346" tooltip="Open Prospect Profile" display="https://www.whatifsports.com/hbd/Pages/Popups/ProspectProfile.aspx?pid=13632048" xr:uid="{18D2C061-C962-4B55-AF38-FE645EEF00ED}"/>
    <hyperlink ref="R198" r:id="rId347" tooltip="Open Prospect Profile" display="https://www.whatifsports.com/hbd/Pages/Popups/ProspectProfile.aspx?pid=13631952" xr:uid="{0F76BC20-1061-4564-BFC2-CBA3DDE7BCE0}"/>
    <hyperlink ref="R174" r:id="rId348" tooltip="Open Prospect Profile" display="https://www.whatifsports.com/hbd/Pages/Popups/ProspectProfile.aspx?pid=13631896" xr:uid="{417E11E9-D9CC-49C9-A32E-2ED47001BCAC}"/>
    <hyperlink ref="R141" r:id="rId349" tooltip="Open Prospect Profile" display="https://www.whatifsports.com/hbd/Pages/Popups/ProspectProfile.aspx?pid=13631877" xr:uid="{05E3D827-518D-43E9-A79A-1F0A38BDE42C}"/>
    <hyperlink ref="R172" r:id="rId350" tooltip="Open Prospect Profile" display="https://www.whatifsports.com/hbd/Pages/Popups/ProspectProfile.aspx?pid=13631875" xr:uid="{5D5ADDE6-2BAC-439A-92D5-2A6FE09149AD}"/>
    <hyperlink ref="R97" r:id="rId351" tooltip="Open Prospect Profile" display="https://www.whatifsports.com/hbd/Pages/Popups/ProspectProfile.aspx?pid=13631796" xr:uid="{A5E0F9F9-0CB8-459D-92BC-472A6A02236F}"/>
    <hyperlink ref="R88" r:id="rId352" tooltip="Open Prospect Profile" display="https://www.whatifsports.com/hbd/Pages/Popups/ProspectProfile.aspx?pid=13631713" xr:uid="{950EF4D9-DD75-4F5F-86C5-8FAFCBFF9D6C}"/>
    <hyperlink ref="R86" r:id="rId353" tooltip="Open Prospect Profile" display="https://www.whatifsports.com/hbd/Pages/Popups/ProspectProfile.aspx?pid=13631560" xr:uid="{580EC702-CF0B-49B7-AE40-96173C078F75}"/>
    <hyperlink ref="R100" r:id="rId354" tooltip="Open Prospect Profile" display="https://www.whatifsports.com/hbd/Pages/Popups/ProspectProfile.aspx?pid=13631518" xr:uid="{D33EE1E1-46A2-424E-AA8B-D1FAD88D6D4E}"/>
    <hyperlink ref="R94" r:id="rId355" tooltip="Open Prospect Profile" display="https://www.whatifsports.com/hbd/Pages/Popups/ProspectProfile.aspx?pid=13631435" xr:uid="{76E7A192-917B-4948-A7D4-705B5D471090}"/>
    <hyperlink ref="R103" r:id="rId356" tooltip="Open Prospect Profile" display="https://www.whatifsports.com/hbd/Pages/Popups/ProspectProfile.aspx?pid=13631389" xr:uid="{6022F987-5413-4C1A-B8B2-306E459FE5B8}"/>
    <hyperlink ref="R95" r:id="rId357" tooltip="Open Prospect Profile" display="https://www.whatifsports.com/hbd/Pages/Popups/ProspectProfile.aspx?pid=13632013" xr:uid="{3A84BCBE-5D20-45C9-B0B5-ADE76E5EB849}"/>
    <hyperlink ref="R81" r:id="rId358" tooltip="Open Prospect Profile" display="https://www.whatifsports.com/hbd/Pages/Popups/ProspectProfile.aspx?pid=13632078" xr:uid="{6D12EFCE-F523-4AE6-A274-17112D6B2B24}"/>
    <hyperlink ref="R154" r:id="rId359" tooltip="Open Prospect Profile" display="https://www.whatifsports.com/hbd/Pages/Popups/ProspectProfile.aspx?pid=13631910" xr:uid="{4E0764AA-6C47-44A8-8AE2-752B750073EB}"/>
    <hyperlink ref="R96" r:id="rId360" tooltip="Open Prospect Profile" display="https://www.whatifsports.com/hbd/Pages/Popups/ProspectProfile.aspx?pid=13631448" xr:uid="{C22853E1-3396-4138-9E2F-0F7E8563E5C1}"/>
    <hyperlink ref="R99" r:id="rId361" tooltip="Open Prospect Profile" display="https://www.whatifsports.com/hbd/Pages/Popups/ProspectProfile.aspx?pid=13631442" xr:uid="{C2B4B631-3F89-463D-81F0-795DCFA04D37}"/>
    <hyperlink ref="R205" r:id="rId362" tooltip="Open Prospect Profile" display="https://www.whatifsports.com/hbd/Pages/Popups/ProspectProfile.aspx?pid=13632156" xr:uid="{CA0E1DDD-8E49-4C1D-A73F-4E5EDBE6FF54}"/>
    <hyperlink ref="R92" r:id="rId363" tooltip="Open Prospect Profile" display="https://www.whatifsports.com/hbd/Pages/Popups/ProspectProfile.aspx?pid=13631642" xr:uid="{556FD041-738A-4DBB-81C6-B3639591D9D9}"/>
    <hyperlink ref="R134" r:id="rId364" tooltip="Open Prospect Profile" display="https://www.whatifsports.com/hbd/Pages/Popups/ProspectProfile.aspx?pid=13631885" xr:uid="{3D6FA972-668A-46F5-9719-51B1C520763A}"/>
    <hyperlink ref="R186" r:id="rId365" tooltip="Open Prospect Profile" display="https://www.whatifsports.com/hbd/Pages/Popups/ProspectProfile.aspx?pid=13632029" xr:uid="{CD7B85D4-DC7B-450B-BC87-26823AAA1D19}"/>
    <hyperlink ref="R202" r:id="rId366" tooltip="Open Prospect Profile" display="https://www.whatifsports.com/hbd/Pages/Popups/ProspectProfile.aspx?pid=13631996" xr:uid="{85C6AACE-20D5-4088-9FCB-7D0EA4E2E636}"/>
    <hyperlink ref="R173" r:id="rId367" tooltip="Open Prospect Profile" display="https://www.whatifsports.com/hbd/Pages/Popups/ProspectProfile.aspx?pid=13631863" xr:uid="{223CFEC1-F83D-478F-974D-5CA5BDDFEDBD}"/>
    <hyperlink ref="R107" r:id="rId368" tooltip="Open Prospect Profile" display="https://www.whatifsports.com/hbd/Pages/Popups/ProspectProfile.aspx?pid=13631680" xr:uid="{DDECAB8A-0514-40B6-B284-61F2F30C7865}"/>
    <hyperlink ref="R105" r:id="rId369" tooltip="Open Prospect Profile" display="https://www.whatifsports.com/hbd/Pages/Popups/ProspectProfile.aspx?pid=13631630" xr:uid="{3757A36A-5FF7-46A2-99F8-BAD15D797CD4}"/>
    <hyperlink ref="R122" r:id="rId370" tooltip="Open Prospect Profile" display="https://www.whatifsports.com/hbd/Pages/Popups/ProspectProfile.aspx?pid=13632115" xr:uid="{540E7667-3236-4955-B9EC-A9A84156B8F1}"/>
    <hyperlink ref="R143" r:id="rId371" tooltip="Open Prospect Profile" display="https://www.whatifsports.com/hbd/Pages/Popups/ProspectProfile.aspx?pid=13631994" xr:uid="{2193DF93-C016-48AA-8652-9289218CEF3A}"/>
    <hyperlink ref="R148" r:id="rId372" tooltip="Open Prospect Profile" display="https://www.whatifsports.com/hbd/Pages/Popups/ProspectProfile.aspx?pid=13631871" xr:uid="{3329F4E2-19EB-4904-B541-08AF55497CEE}"/>
    <hyperlink ref="R120" r:id="rId373" tooltip="Open Prospect Profile" display="https://www.whatifsports.com/hbd/Pages/Popups/ProspectProfile.aspx?pid=13631808" xr:uid="{5C21F669-A11A-4947-A6AD-31FCF9DE570F}"/>
    <hyperlink ref="R45" r:id="rId374" tooltip="Open Prospect Profile" display="https://www.whatifsports.com/hbd/Pages/Popups/ProspectProfile.aspx?pid=13631601" xr:uid="{53C93723-181F-42A4-B752-D252AC453C31}"/>
    <hyperlink ref="R197" r:id="rId375" tooltip="Open Prospect Profile" display="https://www.whatifsports.com/hbd/Pages/Popups/ProspectProfile.aspx?pid=13631968" xr:uid="{7C899E3A-9548-4C9F-B38D-CC7DBB2D211D}"/>
    <hyperlink ref="R165" r:id="rId376" tooltip="Open Prospect Profile" display="https://www.whatifsports.com/hbd/Pages/Popups/ProspectProfile.aspx?pid=13631945" xr:uid="{20C2AD57-E6F2-45BC-A177-844B219DB728}"/>
    <hyperlink ref="R187" r:id="rId377" tooltip="Open Prospect Profile" display="https://www.whatifsports.com/hbd/Pages/Popups/ProspectProfile.aspx?pid=13631914" xr:uid="{385C020B-7EC9-47DB-A046-5F56E1AF3AC3}"/>
    <hyperlink ref="R190" r:id="rId378" tooltip="Open Prospect Profile" display="https://www.whatifsports.com/hbd/Pages/Popups/ProspectProfile.aspx?pid=13632023" xr:uid="{F0E983A6-2001-444D-B8EA-D9C29B930199}"/>
    <hyperlink ref="R176" r:id="rId379" tooltip="Open Prospect Profile" display="https://www.whatifsports.com/hbd/Pages/Popups/ProspectProfile.aspx?pid=13631860" xr:uid="{EDFAE011-2545-48B2-B601-0821E3D9E077}"/>
    <hyperlink ref="R62" r:id="rId380" tooltip="Open Prospect Profile" display="https://www.whatifsports.com/hbd/Pages/Popups/ProspectProfile.aspx?pid=13631526" xr:uid="{930D42FD-E544-422C-9DE5-50A0E23FF501}"/>
    <hyperlink ref="R163" r:id="rId381" tooltip="Open Prospect Profile" display="https://www.whatifsports.com/hbd/Pages/Popups/ProspectProfile.aspx?pid=13631876" xr:uid="{9581D545-F4DA-46C5-9EC8-3B4B46996B81}"/>
    <hyperlink ref="R102" r:id="rId382" tooltip="Open Prospect Profile" display="https://www.whatifsports.com/hbd/Pages/Popups/ProspectProfile.aspx?pid=13631849" xr:uid="{BA3FD791-21EA-44FC-93FB-1B1B2FD38861}"/>
    <hyperlink ref="R74" r:id="rId383" tooltip="Open Prospect Profile" display="https://www.whatifsports.com/hbd/Pages/Popups/ProspectProfile.aspx?pid=13631576" xr:uid="{0A05B517-E61A-4105-BA64-5BBD577231DE}"/>
    <hyperlink ref="R101" r:id="rId384" tooltip="Open Prospect Profile" display="https://www.whatifsports.com/hbd/Pages/Popups/ProspectProfile.aspx?pid=13631939" xr:uid="{75336824-CDEC-4E51-9194-41A14090E4A3}"/>
    <hyperlink ref="R188" r:id="rId385" tooltip="Open Prospect Profile" display="https://www.whatifsports.com/hbd/Pages/Popups/ProspectProfile.aspx?pid=13631853" xr:uid="{8452D595-CBB4-4211-B5D7-2EC41357F6C2}"/>
    <hyperlink ref="R146" r:id="rId386" tooltip="Open Prospect Profile" display="https://www.whatifsports.com/hbd/Pages/Popups/ProspectProfile.aspx?pid=13631913" xr:uid="{433C01E3-04F9-42A4-B472-F4A25E91EE8C}"/>
    <hyperlink ref="R207" r:id="rId387" tooltip="Open Prospect Profile" display="https://www.whatifsports.com/hbd/Pages/Popups/ProspectProfile.aspx?pid=13631908" xr:uid="{4F476439-EE1B-434D-9629-2CB6EBF57207}"/>
    <hyperlink ref="R83" r:id="rId388" tooltip="Open Prospect Profile" display="https://www.whatifsports.com/hbd/Pages/Popups/ProspectProfile.aspx?pid=13631703" xr:uid="{7B535CF2-6E25-4183-8CC7-B64B25501C75}"/>
    <hyperlink ref="R52" r:id="rId389" tooltip="Open Prospect Profile" display="https://www.whatifsports.com/hbd/Pages/Popups/ProspectProfile.aspx?pid=13631610" xr:uid="{01963827-2D06-441E-8B68-5CBE53C9CD20}"/>
    <hyperlink ref="R150" r:id="rId390" tooltip="Open Prospect Profile" display="https://www.whatifsports.com/hbd/Pages/Popups/ProspectProfile.aspx?pid=13631963" xr:uid="{AFC77A63-06EF-4384-B02C-91586E5AE39F}"/>
    <hyperlink ref="R131" r:id="rId391" tooltip="Open Prospect Profile" display="https://www.whatifsports.com/hbd/Pages/Popups/ProspectProfile.aspx?pid=13631882" xr:uid="{EF87FD3E-6276-41E6-891E-F547151F14B3}"/>
    <hyperlink ref="R127" r:id="rId392" tooltip="Open Prospect Profile" display="https://www.whatifsports.com/hbd/Pages/Popups/ProspectProfile.aspx?pid=13632154" xr:uid="{23817BC4-6B98-4834-A6E5-3BCCE11D7594}"/>
    <hyperlink ref="R87" r:id="rId393" tooltip="Open Prospect Profile" display="https://www.whatifsports.com/hbd/Pages/Popups/ProspectProfile.aspx?pid=13631636" xr:uid="{456807F5-2DBB-4188-8A69-F32AE117062E}"/>
    <hyperlink ref="R160" r:id="rId394" tooltip="Open Prospect Profile" display="https://www.whatifsports.com/hbd/Pages/Popups/ProspectProfile.aspx?pid=13631844" xr:uid="{A507AEC7-E073-416F-A41F-6B9F61B24FD6}"/>
    <hyperlink ref="R29" r:id="rId395" tooltip="Open Prospect Profile" display="https://www.whatifsports.com/hbd/Pages/Popups/ProspectProfile.aspx?pid=13631775" xr:uid="{B5899CFF-5FA3-4022-BEB2-7E5EE7D1FA5C}"/>
    <hyperlink ref="R38" r:id="rId396" tooltip="Open Prospect Profile" display="https://www.whatifsports.com/hbd/Pages/Popups/ProspectProfile.aspx?pid=13631823" xr:uid="{C2F2B576-03B2-4EE8-A552-048C39583014}"/>
    <hyperlink ref="R42" r:id="rId397" tooltip="Open Prospect Profile" display="https://www.whatifsports.com/hbd/Pages/Popups/ProspectProfile.aspx?pid=13631818" xr:uid="{EEC848D3-6049-4350-8E26-7441C0AB6B39}"/>
    <hyperlink ref="R69" r:id="rId398" tooltip="Open Prospect Profile" display="https://www.whatifsports.com/hbd/Pages/Popups/ProspectProfile.aspx?pid=13631814" xr:uid="{DF7410A0-0E8E-45DD-828B-C291FF71F302}"/>
    <hyperlink ref="R89" r:id="rId399" tooltip="Open Prospect Profile" display="https://www.whatifsports.com/hbd/Pages/Popups/ProspectProfile.aspx?pid=13631803" xr:uid="{BF9ED1E0-A0DC-4D5A-915B-014F4166C4D0}"/>
    <hyperlink ref="R71" r:id="rId400" tooltip="Open Prospect Profile" display="https://www.whatifsports.com/hbd/Pages/Popups/ProspectProfile.aspx?pid=13631792" xr:uid="{112E2B92-A03F-4826-84EC-0365654651D3}"/>
    <hyperlink ref="R65" r:id="rId401" tooltip="Open Prospect Profile" display="https://www.whatifsports.com/hbd/Pages/Popups/ProspectProfile.aspx?pid=13631791" xr:uid="{C5C7B744-C3D9-46E7-8796-FA19AD7FE7AE}"/>
    <hyperlink ref="R80" r:id="rId402" tooltip="Open Prospect Profile" display="https://www.whatifsports.com/hbd/Pages/Popups/ProspectProfile.aspx?pid=13631789" xr:uid="{B08D4F95-2286-4BC4-99D4-F324463F78F5}"/>
    <hyperlink ref="R37" r:id="rId403" tooltip="Open Prospect Profile" display="https://www.whatifsports.com/hbd/Pages/Popups/ProspectProfile.aspx?pid=13631763" xr:uid="{1EF8AED3-A0AA-46B8-A226-754AFCFBE461}"/>
    <hyperlink ref="R64" r:id="rId404" tooltip="Open Prospect Profile" display="https://www.whatifsports.com/hbd/Pages/Popups/ProspectProfile.aspx?pid=13631762" xr:uid="{2432B749-8C09-4BB7-8976-A89B7CB0C7EF}"/>
    <hyperlink ref="R93" r:id="rId405" tooltip="Open Prospect Profile" display="https://www.whatifsports.com/hbd/Pages/Popups/ProspectProfile.aspx?pid=13631752" xr:uid="{2FE5C411-6D33-4FDA-9F8D-A36E49018FD9}"/>
    <hyperlink ref="R125" r:id="rId406" tooltip="Open Prospect Profile" display="https://www.whatifsports.com/hbd/Pages/Popups/ProspectProfile.aspx?pid=13631802" xr:uid="{AA07B374-6652-4821-9984-EA28852170CF}"/>
    <hyperlink ref="R111" r:id="rId407" tooltip="Open Prospect Profile" display="https://www.whatifsports.com/hbd/Pages/Popups/ProspectProfile.aspx?pid=13631780" xr:uid="{AAC6A036-CA4E-452C-B540-D4CFF19FF65B}"/>
    <hyperlink ref="R98" r:id="rId408" tooltip="Open Prospect Profile" display="https://www.whatifsports.com/hbd/Pages/Popups/ProspectProfile.aspx?pid=13631742" xr:uid="{73376C23-682B-43FF-A78A-CB359BB522C2}"/>
    <hyperlink ref="R61" r:id="rId409" tooltip="Open Prospect Profile" display="https://www.whatifsports.com/hbd/Pages/Popups/ProspectProfile.aspx?pid=13631648" xr:uid="{63644D13-0347-47DC-8273-DDAE848B4DA9}"/>
    <hyperlink ref="R76" r:id="rId410" tooltip="Open Prospect Profile" display="https://www.whatifsports.com/hbd/Pages/Popups/ProspectProfile.aspx?pid=13631532" xr:uid="{A49F8419-E1D0-4EE5-93F1-78FCBA6CF8F0}"/>
    <hyperlink ref="R91" r:id="rId411" tooltip="Open Prospect Profile" display="https://www.whatifsports.com/hbd/Pages/Popups/ProspectProfile.aspx?pid=13631531" xr:uid="{31FD56AF-F41B-43F7-BD96-696465A86F87}"/>
    <hyperlink ref="R117" r:id="rId412" tooltip="Open Prospect Profile" display="https://www.whatifsports.com/hbd/Pages/Popups/ProspectProfile.aspx?pid=13631516" xr:uid="{C5131ACB-636B-4E71-AD87-453DB38072EE}"/>
    <hyperlink ref="R78" r:id="rId413" tooltip="Open Prospect Profile" display="https://www.whatifsports.com/hbd/Pages/Popups/ProspectProfile.aspx?pid=13631514" xr:uid="{11FC73D5-9283-41EE-A6B5-592315FD7DFF}"/>
    <hyperlink ref="R77" r:id="rId414" tooltip="Open Prospect Profile" display="https://www.whatifsports.com/hbd/Pages/Popups/ProspectProfile.aspx?pid=13631406" xr:uid="{F0E1DB5B-C1B2-4D7F-A1BE-D6F69EE118B0}"/>
  </hyperlinks>
  <pageMargins left="0.7" right="0.7" top="0.75" bottom="0.75" header="0.3" footer="0.3"/>
  <pageSetup orientation="portrait" r:id="rId415"/>
  <drawing r:id="rId41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505"/>
  <sheetViews>
    <sheetView workbookViewId="0"/>
  </sheetViews>
  <sheetFormatPr defaultColWidth="15.6640625" defaultRowHeight="13.5" customHeight="1" x14ac:dyDescent="0.3"/>
  <cols>
    <col min="1" max="1" width="15.6640625" bestFit="1" customWidth="1"/>
    <col min="2" max="2" width="4.88671875" bestFit="1" customWidth="1"/>
    <col min="3" max="3" width="21.5546875" customWidth="1"/>
    <col min="5" max="5" width="4.6640625" bestFit="1" customWidth="1"/>
    <col min="6" max="6" width="6.33203125" bestFit="1" customWidth="1"/>
    <col min="7" max="7" width="4.44140625" bestFit="1" customWidth="1"/>
    <col min="8" max="9" width="4" bestFit="1" customWidth="1"/>
    <col min="10" max="11" width="4.88671875" bestFit="1" customWidth="1"/>
    <col min="12" max="12" width="4" bestFit="1" customWidth="1"/>
    <col min="13" max="16" width="4.88671875" bestFit="1" customWidth="1"/>
    <col min="17" max="17" width="4" bestFit="1" customWidth="1"/>
    <col min="18" max="18" width="4.88671875" bestFit="1" customWidth="1"/>
    <col min="19" max="19" width="4" bestFit="1" customWidth="1"/>
    <col min="20" max="20" width="4.88671875" bestFit="1" customWidth="1"/>
    <col min="21" max="22" width="10" bestFit="1" customWidth="1"/>
    <col min="23" max="23" width="21.5546875" customWidth="1"/>
    <col min="24" max="24" width="11" bestFit="1" customWidth="1"/>
    <col min="25" max="25" width="5.6640625" bestFit="1" customWidth="1"/>
  </cols>
  <sheetData>
    <row r="1" spans="1:25" ht="13.5" customHeight="1" thickBot="1" x14ac:dyDescent="0.35">
      <c r="C1" s="2"/>
      <c r="D1" s="2"/>
      <c r="E1" s="2"/>
      <c r="F1" s="2"/>
      <c r="G1" s="2"/>
      <c r="H1" s="1">
        <v>1</v>
      </c>
      <c r="I1" s="1">
        <v>4</v>
      </c>
      <c r="J1" s="1">
        <v>2</v>
      </c>
      <c r="K1" s="1">
        <v>1</v>
      </c>
      <c r="L1" s="1">
        <v>1.5</v>
      </c>
      <c r="M1" s="1">
        <v>0.2</v>
      </c>
      <c r="N1" s="1">
        <v>0.2</v>
      </c>
      <c r="O1" s="1">
        <v>2</v>
      </c>
      <c r="P1" s="1">
        <v>2</v>
      </c>
      <c r="Q1" s="1">
        <v>1</v>
      </c>
      <c r="R1" s="1">
        <v>0.5</v>
      </c>
      <c r="S1" s="1">
        <v>0.3</v>
      </c>
      <c r="T1" s="4"/>
      <c r="U1" s="22" t="s">
        <v>15</v>
      </c>
      <c r="V1" s="23"/>
      <c r="W1" s="23"/>
      <c r="X1" s="23"/>
    </row>
    <row r="2" spans="1:25" ht="13.5" customHeight="1" thickBot="1" x14ac:dyDescent="0.35">
      <c r="C2" s="2"/>
      <c r="D2" s="2"/>
      <c r="E2" s="2"/>
      <c r="F2" s="2"/>
      <c r="G2" s="2"/>
      <c r="H2" s="24">
        <v>1</v>
      </c>
      <c r="I2" s="25"/>
      <c r="J2" s="24">
        <v>4</v>
      </c>
      <c r="K2" s="26"/>
      <c r="L2" s="26"/>
      <c r="M2" s="26"/>
      <c r="N2" s="25"/>
      <c r="O2" s="26">
        <v>2</v>
      </c>
      <c r="P2" s="26"/>
      <c r="Q2" s="26"/>
      <c r="R2" s="26"/>
      <c r="S2" s="25"/>
      <c r="T2" s="9"/>
    </row>
    <row r="3" spans="1:25" s="11" customFormat="1" ht="13.5" customHeight="1" thickBot="1" x14ac:dyDescent="0.35"/>
    <row r="4" spans="1:25" s="1" customFormat="1" ht="13.5" customHeight="1" thickBot="1" x14ac:dyDescent="0.35">
      <c r="A4" s="6">
        <f>(W4*H$2+U4*J$2+V4*O$2)*100/(W$4*H$2+U$4*J$2+V$4*O$2)</f>
        <v>100</v>
      </c>
      <c r="H4" s="1">
        <v>100</v>
      </c>
      <c r="I4" s="1">
        <v>100</v>
      </c>
      <c r="J4" s="1">
        <v>100</v>
      </c>
      <c r="K4" s="1">
        <v>100</v>
      </c>
      <c r="L4" s="1">
        <v>100</v>
      </c>
      <c r="M4" s="1">
        <v>100</v>
      </c>
      <c r="N4" s="1">
        <v>100</v>
      </c>
      <c r="O4" s="1">
        <v>100</v>
      </c>
      <c r="P4" s="1">
        <v>100</v>
      </c>
      <c r="Q4" s="1">
        <v>100</v>
      </c>
      <c r="R4" s="1">
        <v>100</v>
      </c>
      <c r="S4" s="1">
        <v>100</v>
      </c>
      <c r="T4" s="1">
        <v>100</v>
      </c>
      <c r="U4" s="6">
        <f>J$1*((-2*10^-6)*J4^3+0.00032*J4^2-0.0021*J4)+K$1*((-2*10^-6)*K4^3+0.00032*K4^2-0.0021*K4)+L$1*((-2*10^-6)*L4^3+0.00032*L4^2-0.0021*L4)+M$1*((-2*10^-6)*M4^3+0.00032*M4^2-0.0021*M4)+N$1*((-2*10^-6)*N4^3+0.00032*N4^2-0.0021*N4)</f>
        <v>4.8510000000000018</v>
      </c>
      <c r="V4" s="6">
        <f>O$1*((-2*10^-6)*O4^3+0.00032*O4^2-0.0021*O4)+P$1*((-2*10^-6)*P4^3+0.00032*P4^2-0.0021*P4)+Q$1*((-2*10^-6)*Q4^3+0.00032*Q4^2-0.0021*Q4)+R$1*((-2*10^-6)*R4^3+0.00032*R4^2-0.0021*R4)+S$1*((-2*10^-6)*S4^3+0.00032*S4^2-0.0021*S4)</f>
        <v>5.7420000000000009</v>
      </c>
      <c r="W4" s="6">
        <f>(H$1*H4+I$1*I4)/100</f>
        <v>5</v>
      </c>
      <c r="X4" s="6">
        <f>U4*J$2+V4*O$2+W4*H$2</f>
        <v>35.888000000000005</v>
      </c>
    </row>
    <row r="5" spans="1:25" ht="13.5" customHeight="1" x14ac:dyDescent="0.3">
      <c r="A5" t="s">
        <v>25</v>
      </c>
      <c r="B5" s="14" t="s">
        <v>26</v>
      </c>
      <c r="C5" s="15" t="s">
        <v>0</v>
      </c>
      <c r="D5" s="16" t="s">
        <v>1</v>
      </c>
      <c r="E5" s="16" t="s">
        <v>27</v>
      </c>
      <c r="F5" s="16" t="s">
        <v>28</v>
      </c>
      <c r="G5" s="16" t="s">
        <v>2</v>
      </c>
      <c r="H5" s="17" t="e" vm="15">
        <v>#VALUE!</v>
      </c>
      <c r="I5" s="17" t="e" vm="21">
        <v>#VALUE!</v>
      </c>
      <c r="J5" s="17" t="e" vm="22">
        <v>#VALUE!</v>
      </c>
      <c r="K5" s="17" t="e" vm="23">
        <v>#VALUE!</v>
      </c>
      <c r="L5" s="17" t="e" vm="24">
        <v>#VALUE!</v>
      </c>
      <c r="M5" s="17" t="e" vm="25">
        <v>#VALUE!</v>
      </c>
      <c r="N5" s="17" t="e" vm="26">
        <v>#VALUE!</v>
      </c>
      <c r="O5" s="17" t="e" vm="27">
        <v>#VALUE!</v>
      </c>
      <c r="P5" s="17" t="e" vm="28">
        <v>#VALUE!</v>
      </c>
      <c r="Q5" s="17" t="e" vm="29">
        <v>#VALUE!</v>
      </c>
      <c r="R5" s="17" t="e" vm="30">
        <v>#VALUE!</v>
      </c>
      <c r="S5" s="17" t="e" vm="31">
        <v>#VALUE!</v>
      </c>
      <c r="T5" s="17" t="e" vm="9">
        <v>#VALUE!</v>
      </c>
      <c r="U5" t="s">
        <v>17</v>
      </c>
      <c r="V5" t="s">
        <v>18</v>
      </c>
      <c r="W5" t="s">
        <v>24</v>
      </c>
      <c r="X5" t="s">
        <v>14</v>
      </c>
    </row>
    <row r="6" spans="1:25" ht="13.5" customHeight="1" thickBot="1" x14ac:dyDescent="0.35">
      <c r="A6">
        <f>(W6*H$2+U6*J$2+V6*O$2)*100/(W$4*H$2+U$4*J$2+V$4*O$2)</f>
        <v>82.541492420864927</v>
      </c>
      <c r="B6" s="18">
        <v>3</v>
      </c>
      <c r="C6" s="12" t="s">
        <v>31</v>
      </c>
      <c r="D6" s="19" t="s">
        <v>16</v>
      </c>
      <c r="E6" s="19" t="s">
        <v>19</v>
      </c>
      <c r="F6" s="19" t="s">
        <v>19</v>
      </c>
      <c r="G6" s="19">
        <v>18</v>
      </c>
      <c r="H6" s="19">
        <v>31</v>
      </c>
      <c r="I6" s="19">
        <v>87</v>
      </c>
      <c r="J6" s="19">
        <v>81</v>
      </c>
      <c r="K6" s="19">
        <v>71</v>
      </c>
      <c r="L6" s="19">
        <v>84</v>
      </c>
      <c r="M6" s="19">
        <v>82</v>
      </c>
      <c r="N6" s="19">
        <v>82</v>
      </c>
      <c r="O6" s="19">
        <v>91</v>
      </c>
      <c r="P6" s="19">
        <v>55</v>
      </c>
      <c r="Q6" s="19">
        <v>53</v>
      </c>
      <c r="R6" s="19">
        <v>52</v>
      </c>
      <c r="S6" s="19">
        <v>16</v>
      </c>
      <c r="T6" s="19">
        <v>83</v>
      </c>
      <c r="U6" s="6">
        <f>J$1*((-2*10^-6)*J6^3+0.00032*J6^2-0.0021*J6)+K$1*((-2*10^-6)*K6^3+0.00032*K6^2-0.0021*K6)+L$1*((-2*10^-6)*L6^3+0.00032*L6^2-0.0021*L6)+M$1*((-2*10^-6)*M6^3+0.00032*M6^2-0.0021*M6)+N$1*((-2*10^-6)*N6^3+0.00032*N6^2-0.0021*N6)</f>
        <v>4.1761396000000008</v>
      </c>
      <c r="V6">
        <f>O$1*((-2*10^-6)*N6^3+0.00032*N6^2-0.0021*N6)+P$1*((-2*10^-6)*O6^3+0.00032*O6^2-0.0021*O6)+Q$1*((-2*10^-6)*P6^3+0.00032*P6^2-0.0021*P6)+R$1*((-2*10^-6)*Q6^3+0.00032*Q6^2-0.0021*Q6)+S$1*((-2*10^-6)*R6^3+0.00032*R6^2-0.0021*R6)</f>
        <v>4.5639662000000021</v>
      </c>
      <c r="W6" s="6">
        <f>(H$1*H6+I$1*I6)/100</f>
        <v>3.79</v>
      </c>
      <c r="X6">
        <f>U6*J$2+V6*O$2+W6*H$2</f>
        <v>29.622490800000008</v>
      </c>
      <c r="Y6" t="str">
        <f>IF(AND(I6&gt;50,H6+I6&gt;75),"SP",IF(2*H6+I6&gt;120,"RP","CRAP"))</f>
        <v>SP</v>
      </c>
    </row>
    <row r="7" spans="1:25" ht="13.5" customHeight="1" thickBot="1" x14ac:dyDescent="0.35">
      <c r="A7">
        <f>(W7*H$2+U7*J$2+V7*O$2)*100/(W$4*H$2+U$4*J$2+V$4*O$2)</f>
        <v>81.568003789567555</v>
      </c>
      <c r="B7" s="18">
        <v>7</v>
      </c>
      <c r="C7" s="12" t="s">
        <v>35</v>
      </c>
      <c r="D7" s="19" t="s">
        <v>16</v>
      </c>
      <c r="E7" s="19" t="s">
        <v>19</v>
      </c>
      <c r="F7" s="19" t="s">
        <v>19</v>
      </c>
      <c r="G7" s="19">
        <v>18</v>
      </c>
      <c r="H7" s="19">
        <v>67</v>
      </c>
      <c r="I7" s="19">
        <v>26</v>
      </c>
      <c r="J7" s="19">
        <v>94</v>
      </c>
      <c r="K7" s="19">
        <v>75</v>
      </c>
      <c r="L7" s="19">
        <v>89</v>
      </c>
      <c r="M7" s="19">
        <v>98</v>
      </c>
      <c r="N7" s="19">
        <v>86</v>
      </c>
      <c r="O7" s="19">
        <v>92</v>
      </c>
      <c r="P7" s="19">
        <v>72</v>
      </c>
      <c r="Q7" s="19">
        <v>51</v>
      </c>
      <c r="R7" s="19">
        <v>0</v>
      </c>
      <c r="S7" s="19">
        <v>0</v>
      </c>
      <c r="T7" s="19">
        <v>78</v>
      </c>
      <c r="U7" s="6">
        <f>J$1*((-2*10^-6)*J7^3+0.00032*J7^2-0.0021*J7)+K$1*((-2*10^-6)*K7^3+0.00032*K7^2-0.0021*K7)+L$1*((-2*10^-6)*L7^3+0.00032*L7^2-0.0021*L7)+M$1*((-2*10^-6)*M7^3+0.00032*M7^2-0.0021*M7)+N$1*((-2*10^-6)*N7^3+0.00032*N7^2-0.0021*N7)</f>
        <v>4.5232978000000008</v>
      </c>
      <c r="V7">
        <f>O$1*((-2*10^-6)*N7^3+0.00032*N7^2-0.0021*N7)+P$1*((-2*10^-6)*O7^3+0.00032*O7^2-0.0021*O7)+Q$1*((-2*10^-6)*P7^3+0.00032*P7^2-0.0021*P7)+R$1*((-2*10^-6)*Q7^3+0.00032*Q7^2-0.0021*Q7)+S$1*((-2*10^-6)*R7^3+0.00032*R7^2-0.0021*R7)</f>
        <v>4.7349670000000019</v>
      </c>
      <c r="W7" s="6">
        <f>(H$1*H7+I$1*I7)/100</f>
        <v>1.71</v>
      </c>
      <c r="X7">
        <f>U7*J$2+V7*O$2+W7*H$2</f>
        <v>29.27312520000001</v>
      </c>
      <c r="Y7" t="str">
        <f>IF(AND(I7&gt;50,H7+I7&gt;75),"SP",IF(2*H7+I7&gt;120,"RP","CRAP"))</f>
        <v>RP</v>
      </c>
    </row>
    <row r="8" spans="1:25" ht="13.5" customHeight="1" thickBot="1" x14ac:dyDescent="0.35">
      <c r="A8">
        <f>(W8*H$2+U8*J$2+V8*O$2)*100/(W$4*H$2+U$4*J$2+V$4*O$2)</f>
        <v>80.267563530985299</v>
      </c>
      <c r="B8" s="18">
        <v>9</v>
      </c>
      <c r="C8" s="12" t="s">
        <v>37</v>
      </c>
      <c r="D8" s="19" t="s">
        <v>16</v>
      </c>
      <c r="E8" s="19" t="s">
        <v>19</v>
      </c>
      <c r="F8" s="19" t="s">
        <v>19</v>
      </c>
      <c r="G8" s="19">
        <v>18</v>
      </c>
      <c r="H8" s="19">
        <v>29</v>
      </c>
      <c r="I8" s="19">
        <v>52</v>
      </c>
      <c r="J8" s="19">
        <v>94</v>
      </c>
      <c r="K8" s="19">
        <v>66</v>
      </c>
      <c r="L8" s="19">
        <v>89</v>
      </c>
      <c r="M8" s="19">
        <v>36</v>
      </c>
      <c r="N8" s="19">
        <v>85</v>
      </c>
      <c r="O8" s="19">
        <v>89</v>
      </c>
      <c r="P8" s="19">
        <v>66</v>
      </c>
      <c r="Q8" s="19">
        <v>56</v>
      </c>
      <c r="R8" s="19">
        <v>36</v>
      </c>
      <c r="S8" s="19">
        <v>0</v>
      </c>
      <c r="T8" s="19">
        <v>77</v>
      </c>
      <c r="U8" s="6">
        <f>J$1*((-2*10^-6)*J8^3+0.00032*J8^2-0.0021*J8)+K$1*((-2*10^-6)*K8^3+0.00032*K8^2-0.0021*K8)+L$1*((-2*10^-6)*L8^3+0.00032*L8^2-0.0021*L8)+M$1*((-2*10^-6)*M8^3+0.00032*M8^2-0.0021*M8)+N$1*((-2*10^-6)*N8^3+0.00032*N8^2-0.0021*N8)</f>
        <v>4.2552666000000006</v>
      </c>
      <c r="V8">
        <f>O$1*((-2*10^-6)*N8^3+0.00032*N8^2-0.0021*N8)+P$1*((-2*10^-6)*O8^3+0.00032*O8^2-0.0021*O8)+Q$1*((-2*10^-6)*P8^3+0.00032*P8^2-0.0021*P8)+R$1*((-2*10^-6)*Q8^3+0.00032*Q8^2-0.0021*Q8)+S$1*((-2*10^-6)*R8^3+0.00032*R8^2-0.0021*R8)</f>
        <v>4.7076784000000025</v>
      </c>
      <c r="W8" s="6">
        <f>(H$1*H8+I$1*I8)/100</f>
        <v>2.37</v>
      </c>
      <c r="X8">
        <f>U8*J$2+V8*O$2+W8*H$2</f>
        <v>28.806423200000008</v>
      </c>
      <c r="Y8" t="str">
        <f>IF(AND(I8&gt;50,H8+I8&gt;75),"SP",IF(2*H8+I8&gt;120,"RP","CRAP"))</f>
        <v>SP</v>
      </c>
    </row>
    <row r="9" spans="1:25" ht="13.5" customHeight="1" thickBot="1" x14ac:dyDescent="0.35">
      <c r="A9">
        <f>(W9*H$2+U9*J$2+V9*O$2)*100/(W$4*H$2+U$4*J$2+V$4*O$2)</f>
        <v>77.953217788675872</v>
      </c>
      <c r="B9" s="20">
        <v>20</v>
      </c>
      <c r="C9" s="13" t="s">
        <v>48</v>
      </c>
      <c r="D9" s="21" t="s">
        <v>16</v>
      </c>
      <c r="E9" s="21" t="s">
        <v>19</v>
      </c>
      <c r="F9" s="21" t="s">
        <v>19</v>
      </c>
      <c r="G9" s="21">
        <v>18</v>
      </c>
      <c r="H9" s="21">
        <v>29</v>
      </c>
      <c r="I9" s="21">
        <v>46</v>
      </c>
      <c r="J9" s="21">
        <v>100</v>
      </c>
      <c r="K9" s="21">
        <v>63</v>
      </c>
      <c r="L9" s="21">
        <v>70</v>
      </c>
      <c r="M9" s="21">
        <v>34</v>
      </c>
      <c r="N9" s="21">
        <v>79</v>
      </c>
      <c r="O9" s="21">
        <v>90</v>
      </c>
      <c r="P9" s="21">
        <v>90</v>
      </c>
      <c r="Q9" s="21">
        <v>63</v>
      </c>
      <c r="R9" s="21">
        <v>68</v>
      </c>
      <c r="S9" s="21">
        <v>39</v>
      </c>
      <c r="T9" s="21">
        <v>71</v>
      </c>
      <c r="U9" s="6">
        <f>J$1*((-2*10^-6)*J9^3+0.00032*J9^2-0.0021*J9)+K$1*((-2*10^-6)*K9^3+0.00032*K9^2-0.0021*K9)+L$1*((-2*10^-6)*L9^3+0.00032*L9^2-0.0021*L9)+M$1*((-2*10^-6)*M9^3+0.00032*M9^2-0.0021*M9)+N$1*((-2*10^-6)*N9^3+0.00032*N9^2-0.0021*N9)</f>
        <v>3.933196800000001</v>
      </c>
      <c r="V9">
        <f>O$1*((-2*10^-6)*N9^3+0.00032*N9^2-0.0021*N9)+P$1*((-2*10^-6)*O9^3+0.00032*O9^2-0.0021*O9)+Q$1*((-2*10^-6)*P9^3+0.00032*P9^2-0.0021*P9)+R$1*((-2*10^-6)*Q9^3+0.00032*Q9^2-0.0021*Q9)+S$1*((-2*10^-6)*R9^3+0.00032*R9^2-0.0021*R9)</f>
        <v>5.056531800000001</v>
      </c>
      <c r="W9" s="6">
        <f>(H$1*H9+I$1*I9)/100</f>
        <v>2.13</v>
      </c>
      <c r="X9">
        <f>U9*J$2+V9*O$2+W9*H$2</f>
        <v>27.975850800000007</v>
      </c>
      <c r="Y9" t="str">
        <f>IF(AND(I9&gt;50,H9+I9&gt;75),"SP",IF(2*H9+I9&gt;120,"RP","CRAP"))</f>
        <v>CRAP</v>
      </c>
    </row>
    <row r="10" spans="1:25" ht="13.5" customHeight="1" thickBot="1" x14ac:dyDescent="0.35">
      <c r="A10">
        <f>(W10*H$2+U10*J$2+V10*O$2)*100/(W$4*H$2+U$4*J$2+V$4*O$2)</f>
        <v>77.220737851092295</v>
      </c>
      <c r="B10" s="20">
        <v>6</v>
      </c>
      <c r="C10" s="13" t="s">
        <v>34</v>
      </c>
      <c r="D10" s="21" t="s">
        <v>16</v>
      </c>
      <c r="E10" s="21" t="s">
        <v>19</v>
      </c>
      <c r="F10" s="21" t="s">
        <v>19</v>
      </c>
      <c r="G10" s="21">
        <v>18</v>
      </c>
      <c r="H10" s="21">
        <v>32</v>
      </c>
      <c r="I10" s="21">
        <v>70</v>
      </c>
      <c r="J10" s="21">
        <v>100</v>
      </c>
      <c r="K10" s="21">
        <v>68</v>
      </c>
      <c r="L10" s="21">
        <v>81</v>
      </c>
      <c r="M10" s="21">
        <v>27</v>
      </c>
      <c r="N10" s="21">
        <v>56</v>
      </c>
      <c r="O10" s="21">
        <v>91</v>
      </c>
      <c r="P10" s="21">
        <v>64</v>
      </c>
      <c r="Q10" s="21">
        <v>65</v>
      </c>
      <c r="R10" s="21">
        <v>41</v>
      </c>
      <c r="S10" s="21">
        <v>0</v>
      </c>
      <c r="T10" s="21">
        <v>79</v>
      </c>
      <c r="U10" s="6">
        <f>J$1*((-2*10^-6)*J10^3+0.00032*J10^2-0.0021*J10)+K$1*((-2*10^-6)*K10^3+0.00032*K10^2-0.0021*K10)+L$1*((-2*10^-6)*L10^3+0.00032*L10^2-0.0021*L10)+M$1*((-2*10^-6)*M10^3+0.00032*M10^2-0.0021*M10)+N$1*((-2*10^-6)*N10^3+0.00032*N10^2-0.0021*N10)</f>
        <v>4.122203400000001</v>
      </c>
      <c r="V10">
        <f>O$1*((-2*10^-6)*N10^3+0.00032*N10^2-0.0021*N10)+P$1*((-2*10^-6)*O10^3+0.00032*O10^2-0.0021*O10)+Q$1*((-2*10^-6)*P10^3+0.00032*P10^2-0.0021*P10)+R$1*((-2*10^-6)*Q10^3+0.00032*Q10^2-0.0021*Q10)+S$1*((-2*10^-6)*R10^3+0.00032*R10^2-0.0021*R10)</f>
        <v>4.0520824000000006</v>
      </c>
      <c r="W10" s="6">
        <f>(H$1*H10+I$1*I10)/100</f>
        <v>3.12</v>
      </c>
      <c r="X10">
        <f>U10*J$2+V10*O$2+W10*H$2</f>
        <v>27.712978400000008</v>
      </c>
      <c r="Y10" t="str">
        <f>IF(AND(I10&gt;50,H10+I10&gt;75),"SP",IF(2*H10+I10&gt;120,"RP","CRAP"))</f>
        <v>SP</v>
      </c>
    </row>
    <row r="11" spans="1:25" ht="13.5" customHeight="1" thickBot="1" x14ac:dyDescent="0.35">
      <c r="A11">
        <f>(W11*H$2+U11*J$2+V11*O$2)*100/(W$4*H$2+U$4*J$2+V$4*O$2)</f>
        <v>74.647950289790458</v>
      </c>
      <c r="B11" s="20">
        <v>16</v>
      </c>
      <c r="C11" s="13" t="s">
        <v>44</v>
      </c>
      <c r="D11" s="21" t="s">
        <v>16</v>
      </c>
      <c r="E11" s="21" t="s">
        <v>21</v>
      </c>
      <c r="F11" s="21" t="s">
        <v>20</v>
      </c>
      <c r="G11" s="21">
        <v>18</v>
      </c>
      <c r="H11" s="21">
        <v>27</v>
      </c>
      <c r="I11" s="21">
        <v>85</v>
      </c>
      <c r="J11" s="21">
        <v>93</v>
      </c>
      <c r="K11" s="21">
        <v>67</v>
      </c>
      <c r="L11" s="21">
        <v>43</v>
      </c>
      <c r="M11" s="21">
        <v>38</v>
      </c>
      <c r="N11" s="21">
        <v>82</v>
      </c>
      <c r="O11" s="21">
        <v>81</v>
      </c>
      <c r="P11" s="21">
        <v>71</v>
      </c>
      <c r="Q11" s="21">
        <v>85</v>
      </c>
      <c r="R11" s="21">
        <v>52</v>
      </c>
      <c r="S11" s="21">
        <v>0</v>
      </c>
      <c r="T11" s="21">
        <v>72</v>
      </c>
      <c r="U11" s="6">
        <f>J$1*((-2*10^-6)*J11^3+0.00032*J11^2-0.0021*J11)+K$1*((-2*10^-6)*K11^3+0.00032*K11^2-0.0021*K11)+L$1*((-2*10^-6)*L11^3+0.00032*L11^2-0.0021*L11)+M$1*((-2*10^-6)*M11^3+0.00032*M11^2-0.0021*M11)+N$1*((-2*10^-6)*N11^3+0.00032*N11^2-0.0021*N11)</f>
        <v>3.3649910000000012</v>
      </c>
      <c r="V11">
        <f>O$1*((-2*10^-6)*N11^3+0.00032*N11^2-0.0021*N11)+P$1*((-2*10^-6)*O11^3+0.00032*O11^2-0.0021*O11)+Q$1*((-2*10^-6)*P11^3+0.00032*P11^2-0.0021*P11)+R$1*((-2*10^-6)*Q11^3+0.00032*Q11^2-0.0021*Q11)+S$1*((-2*10^-6)*R11^3+0.00032*R11^2-0.0021*R11)</f>
        <v>4.8298462000000013</v>
      </c>
      <c r="W11" s="6">
        <f>(H$1*H11+I$1*I11)/100</f>
        <v>3.67</v>
      </c>
      <c r="X11">
        <f>U11*J$2+V11*O$2+W11*H$2</f>
        <v>26.789656400000005</v>
      </c>
      <c r="Y11" t="str">
        <f>IF(AND(I11&gt;50,H11+I11&gt;75),"SP",IF(2*H11+I11&gt;120,"RP","CRAP"))</f>
        <v>SP</v>
      </c>
    </row>
    <row r="12" spans="1:25" ht="13.5" customHeight="1" thickBot="1" x14ac:dyDescent="0.35">
      <c r="A12">
        <f>(W12*H$2+U12*J$2+V12*O$2)*100/(W$4*H$2+U$4*J$2+V$4*O$2)</f>
        <v>73.961835711101202</v>
      </c>
      <c r="B12" s="18">
        <v>17</v>
      </c>
      <c r="C12" s="12" t="s">
        <v>45</v>
      </c>
      <c r="D12" s="19" t="s">
        <v>16</v>
      </c>
      <c r="E12" s="19" t="s">
        <v>19</v>
      </c>
      <c r="F12" s="19" t="s">
        <v>19</v>
      </c>
      <c r="G12" s="19">
        <v>18</v>
      </c>
      <c r="H12" s="19">
        <v>24</v>
      </c>
      <c r="I12" s="19">
        <v>88</v>
      </c>
      <c r="J12" s="19">
        <v>76</v>
      </c>
      <c r="K12" s="19">
        <v>43</v>
      </c>
      <c r="L12" s="19">
        <v>70</v>
      </c>
      <c r="M12" s="19">
        <v>28</v>
      </c>
      <c r="N12" s="19">
        <v>81</v>
      </c>
      <c r="O12" s="19">
        <v>86</v>
      </c>
      <c r="P12" s="19">
        <v>79</v>
      </c>
      <c r="Q12" s="19">
        <v>61</v>
      </c>
      <c r="R12" s="19">
        <v>52</v>
      </c>
      <c r="S12" s="19">
        <v>0</v>
      </c>
      <c r="T12" s="19">
        <v>72</v>
      </c>
      <c r="U12" s="6">
        <f>J$1*((-2*10^-6)*J12^3+0.00032*J12^2-0.0021*J12)+K$1*((-2*10^-6)*K12^3+0.00032*K12^2-0.0021*K12)+L$1*((-2*10^-6)*L12^3+0.00032*L12^2-0.0021*L12)+M$1*((-2*10^-6)*M12^3+0.00032*M12^2-0.0021*M12)+N$1*((-2*10^-6)*N12^3+0.00032*N12^2-0.0021*N12)</f>
        <v>3.2693448000000012</v>
      </c>
      <c r="V12">
        <f>O$1*((-2*10^-6)*N12^3+0.00032*N12^2-0.0021*N12)+P$1*((-2*10^-6)*O12^3+0.00032*O12^2-0.0021*O12)+Q$1*((-2*10^-6)*P12^3+0.00032*P12^2-0.0021*P12)+R$1*((-2*10^-6)*Q12^3+0.00032*Q12^2-0.0021*Q12)+S$1*((-2*10^-6)*R12^3+0.00032*R12^2-0.0021*R12)</f>
        <v>4.8530222000000016</v>
      </c>
      <c r="W12" s="6">
        <f>(H$1*H12+I$1*I12)/100</f>
        <v>3.76</v>
      </c>
      <c r="X12">
        <f>U12*J$2+V12*O$2+W12*H$2</f>
        <v>26.543423600000004</v>
      </c>
      <c r="Y12" t="str">
        <f>IF(AND(I12&gt;50,H12+I12&gt;75),"SP",IF(2*H12+I12&gt;120,"RP","CRAP"))</f>
        <v>SP</v>
      </c>
    </row>
    <row r="13" spans="1:25" ht="13.5" customHeight="1" thickBot="1" x14ac:dyDescent="0.35">
      <c r="A13">
        <f>(W13*H$2+U13*J$2+V13*O$2)*100/(W$4*H$2+U$4*J$2+V$4*O$2)</f>
        <v>71.68310633080695</v>
      </c>
      <c r="B13" s="20">
        <v>14</v>
      </c>
      <c r="C13" s="13" t="s">
        <v>42</v>
      </c>
      <c r="D13" s="21" t="s">
        <v>16</v>
      </c>
      <c r="E13" s="21" t="s">
        <v>19</v>
      </c>
      <c r="F13" s="21" t="s">
        <v>19</v>
      </c>
      <c r="G13" s="21">
        <v>18</v>
      </c>
      <c r="H13" s="21">
        <v>23</v>
      </c>
      <c r="I13" s="21">
        <v>92</v>
      </c>
      <c r="J13" s="21">
        <v>55</v>
      </c>
      <c r="K13" s="21">
        <v>74</v>
      </c>
      <c r="L13" s="21">
        <v>79</v>
      </c>
      <c r="M13" s="21">
        <v>43</v>
      </c>
      <c r="N13" s="21">
        <v>73</v>
      </c>
      <c r="O13" s="21">
        <v>81</v>
      </c>
      <c r="P13" s="21">
        <v>60</v>
      </c>
      <c r="Q13" s="21">
        <v>48</v>
      </c>
      <c r="R13" s="21">
        <v>63</v>
      </c>
      <c r="S13" s="21">
        <v>0</v>
      </c>
      <c r="T13" s="21">
        <v>73</v>
      </c>
      <c r="U13" s="6">
        <f>J$1*((-2*10^-6)*J13^3+0.00032*J13^2-0.0021*J13)+K$1*((-2*10^-6)*K13^3+0.00032*K13^2-0.0021*K13)+L$1*((-2*10^-6)*L13^3+0.00032*L13^2-0.0021*L13)+M$1*((-2*10^-6)*M13^3+0.00032*M13^2-0.0021*M13)+N$1*((-2*10^-6)*N13^3+0.00032*N13^2-0.0021*N13)</f>
        <v>3.3169474000000014</v>
      </c>
      <c r="V13">
        <f>O$1*((-2*10^-6)*N13^3+0.00032*N13^2-0.0021*N13)+P$1*((-2*10^-6)*O13^3+0.00032*O13^2-0.0021*O13)+Q$1*((-2*10^-6)*P13^3+0.00032*P13^2-0.0021*P13)+R$1*((-2*10^-6)*Q13^3+0.00032*Q13^2-0.0021*Q13)+S$1*((-2*10^-6)*R13^3+0.00032*R13^2-0.0021*R13)</f>
        <v>4.273921800000001</v>
      </c>
      <c r="W13" s="6">
        <f>(H$1*H13+I$1*I13)/100</f>
        <v>3.91</v>
      </c>
      <c r="X13">
        <f>U13*J$2+V13*O$2+W13*H$2</f>
        <v>25.725633200000008</v>
      </c>
      <c r="Y13" t="str">
        <f>IF(AND(I13&gt;50,H13+I13&gt;75),"SP",IF(2*H13+I13&gt;120,"RP","CRAP"))</f>
        <v>SP</v>
      </c>
    </row>
    <row r="14" spans="1:25" ht="13.5" customHeight="1" thickBot="1" x14ac:dyDescent="0.35">
      <c r="A14">
        <f>(W14*H$2+U14*J$2+V14*O$2)*100/(W$4*H$2+U$4*J$2+V$4*O$2)</f>
        <v>71.611259473918864</v>
      </c>
      <c r="B14" s="18">
        <v>33</v>
      </c>
      <c r="C14" s="12" t="s">
        <v>61</v>
      </c>
      <c r="D14" s="19" t="s">
        <v>16</v>
      </c>
      <c r="E14" s="19" t="s">
        <v>20</v>
      </c>
      <c r="F14" s="19" t="s">
        <v>20</v>
      </c>
      <c r="G14" s="19">
        <v>18</v>
      </c>
      <c r="H14" s="19">
        <v>37</v>
      </c>
      <c r="I14" s="19">
        <v>25</v>
      </c>
      <c r="J14" s="19">
        <v>87</v>
      </c>
      <c r="K14" s="19">
        <v>97</v>
      </c>
      <c r="L14" s="19">
        <v>68</v>
      </c>
      <c r="M14" s="19">
        <v>97</v>
      </c>
      <c r="N14" s="19">
        <v>54</v>
      </c>
      <c r="O14" s="19">
        <v>84</v>
      </c>
      <c r="P14" s="19">
        <v>67</v>
      </c>
      <c r="Q14" s="19">
        <v>60</v>
      </c>
      <c r="R14" s="19">
        <v>0</v>
      </c>
      <c r="S14" s="19">
        <v>0</v>
      </c>
      <c r="T14" s="19">
        <v>66</v>
      </c>
      <c r="U14" s="6">
        <f>J$1*((-2*10^-6)*J14^3+0.00032*J14^2-0.0021*J14)+K$1*((-2*10^-6)*K14^3+0.00032*K14^2-0.0021*K14)+L$1*((-2*10^-6)*L14^3+0.00032*L14^2-0.0021*L14)+M$1*((-2*10^-6)*M14^3+0.00032*M14^2-0.0021*M14)+N$1*((-2*10^-6)*N14^3+0.00032*N14^2-0.0021*N14)</f>
        <v>4.1859312000000006</v>
      </c>
      <c r="V14">
        <f>O$1*((-2*10^-6)*N14^3+0.00032*N14^2-0.0021*N14)+P$1*((-2*10^-6)*O14^3+0.00032*O14^2-0.0021*O14)+Q$1*((-2*10^-6)*P14^3+0.00032*P14^2-0.0021*P14)+R$1*((-2*10^-6)*Q14^3+0.00032*Q14^2-0.0021*Q14)+S$1*((-2*10^-6)*R14^3+0.00032*R14^2-0.0021*R14)</f>
        <v>3.7930620000000013</v>
      </c>
      <c r="W14" s="6">
        <f>(H$1*H14+I$1*I14)/100</f>
        <v>1.37</v>
      </c>
      <c r="X14">
        <f>U14*J$2+V14*O$2+W14*H$2</f>
        <v>25.699848800000005</v>
      </c>
      <c r="Y14" t="str">
        <f>IF(AND(I14&gt;50,H14+I14&gt;75),"SP",IF(2*H14+I14&gt;120,"RP","CRAP"))</f>
        <v>CRAP</v>
      </c>
    </row>
    <row r="15" spans="1:25" ht="13.5" customHeight="1" thickBot="1" x14ac:dyDescent="0.35">
      <c r="A15">
        <f>(W15*H$2+U15*J$2+V15*O$2)*100/(W$4*H$2+U$4*J$2+V$4*O$2)</f>
        <v>71.609286669638877</v>
      </c>
      <c r="B15" s="18">
        <v>11</v>
      </c>
      <c r="C15" s="12" t="s">
        <v>39</v>
      </c>
      <c r="D15" s="19" t="s">
        <v>16</v>
      </c>
      <c r="E15" s="19" t="s">
        <v>19</v>
      </c>
      <c r="F15" s="19" t="s">
        <v>19</v>
      </c>
      <c r="G15" s="19">
        <v>18</v>
      </c>
      <c r="H15" s="19">
        <v>35</v>
      </c>
      <c r="I15" s="19">
        <v>91</v>
      </c>
      <c r="J15" s="19">
        <v>61</v>
      </c>
      <c r="K15" s="19">
        <v>47</v>
      </c>
      <c r="L15" s="19">
        <v>68</v>
      </c>
      <c r="M15" s="19">
        <v>98</v>
      </c>
      <c r="N15" s="19">
        <v>90</v>
      </c>
      <c r="O15" s="19">
        <v>93</v>
      </c>
      <c r="P15" s="19">
        <v>62</v>
      </c>
      <c r="Q15" s="19">
        <v>58</v>
      </c>
      <c r="R15" s="19">
        <v>0</v>
      </c>
      <c r="S15" s="19">
        <v>0</v>
      </c>
      <c r="T15" s="19">
        <v>76</v>
      </c>
      <c r="U15" s="6">
        <f>J$1*((-2*10^-6)*J15^3+0.00032*J15^2-0.0021*J15)+K$1*((-2*10^-6)*K15^3+0.00032*K15^2-0.0021*K15)+L$1*((-2*10^-6)*L15^3+0.00032*L15^2-0.0021*L15)+M$1*((-2*10^-6)*M15^3+0.00032*M15^2-0.0021*M15)+N$1*((-2*10^-6)*N15^3+0.00032*N15^2-0.0021*N15)</f>
        <v>3.065893200000001</v>
      </c>
      <c r="V15">
        <f>O$1*((-2*10^-6)*N15^3+0.00032*N15^2-0.0021*N15)+P$1*((-2*10^-6)*O15^3+0.00032*O15^2-0.0021*O15)+Q$1*((-2*10^-6)*P15^3+0.00032*P15^2-0.0021*P15)+R$1*((-2*10^-6)*Q15^3+0.00032*Q15^2-0.0021*Q15)+S$1*((-2*10^-6)*R15^3+0.00032*R15^2-0.0021*R15)</f>
        <v>4.7227840000000008</v>
      </c>
      <c r="W15" s="6">
        <f>(H$1*H15+I$1*I15)/100</f>
        <v>3.99</v>
      </c>
      <c r="X15">
        <f>U15*J$2+V15*O$2+W15*H$2</f>
        <v>25.699140800000009</v>
      </c>
      <c r="Y15" t="str">
        <f>IF(AND(I15&gt;50,H15+I15&gt;75),"SP",IF(2*H15+I15&gt;120,"RP","CRAP"))</f>
        <v>SP</v>
      </c>
    </row>
    <row r="16" spans="1:25" ht="13.5" customHeight="1" thickBot="1" x14ac:dyDescent="0.35">
      <c r="A16">
        <f>(W16*H$2+U16*J$2+V16*O$2)*100/(W$4*H$2+U$4*J$2+V$4*O$2)</f>
        <v>70.56844293357112</v>
      </c>
      <c r="B16" s="18">
        <v>41</v>
      </c>
      <c r="C16" s="12" t="s">
        <v>69</v>
      </c>
      <c r="D16" s="19" t="s">
        <v>16</v>
      </c>
      <c r="E16" s="19" t="s">
        <v>19</v>
      </c>
      <c r="F16" s="19" t="s">
        <v>19</v>
      </c>
      <c r="G16" s="19">
        <v>18</v>
      </c>
      <c r="H16" s="19">
        <v>47</v>
      </c>
      <c r="I16" s="19">
        <v>35</v>
      </c>
      <c r="J16" s="19">
        <v>93</v>
      </c>
      <c r="K16" s="19">
        <v>59</v>
      </c>
      <c r="L16" s="19">
        <v>58</v>
      </c>
      <c r="M16" s="19">
        <v>12</v>
      </c>
      <c r="N16" s="19">
        <v>84</v>
      </c>
      <c r="O16" s="19">
        <v>87</v>
      </c>
      <c r="P16" s="19">
        <v>73</v>
      </c>
      <c r="Q16" s="19">
        <v>53</v>
      </c>
      <c r="R16" s="19">
        <v>0</v>
      </c>
      <c r="S16" s="19">
        <v>0</v>
      </c>
      <c r="T16" s="19">
        <v>63</v>
      </c>
      <c r="U16" s="6">
        <f>J$1*((-2*10^-6)*J16^3+0.00032*J16^2-0.0021*J16)+K$1*((-2*10^-6)*K16^3+0.00032*K16^2-0.0021*K16)+L$1*((-2*10^-6)*L16^3+0.00032*L16^2-0.0021*L16)+M$1*((-2*10^-6)*M16^3+0.00032*M16^2-0.0021*M16)+N$1*((-2*10^-6)*N16^3+0.00032*N16^2-0.0021*N16)</f>
        <v>3.5359852000000007</v>
      </c>
      <c r="V16">
        <f>O$1*((-2*10^-6)*N16^3+0.00032*N16^2-0.0021*N16)+P$1*((-2*10^-6)*O16^3+0.00032*O16^2-0.0021*O16)+Q$1*((-2*10^-6)*P16^3+0.00032*P16^2-0.0021*P16)+R$1*((-2*10^-6)*Q16^3+0.00032*Q16^2-0.0021*Q16)+S$1*((-2*10^-6)*R16^3+0.00032*R16^2-0.0021*R16)</f>
        <v>4.6558310000000018</v>
      </c>
      <c r="W16" s="6">
        <f>(H$1*H16+I$1*I16)/100</f>
        <v>1.87</v>
      </c>
      <c r="X16">
        <f>U16*J$2+V16*O$2+W16*H$2</f>
        <v>25.325602800000009</v>
      </c>
      <c r="Y16" t="str">
        <f>IF(AND(I16&gt;50,H16+I16&gt;75),"SP",IF(2*H16+I16&gt;120,"RP","CRAP"))</f>
        <v>RP</v>
      </c>
    </row>
    <row r="17" spans="1:25" ht="13.5" customHeight="1" thickBot="1" x14ac:dyDescent="0.35">
      <c r="A17">
        <f>(W17*H$2+U17*J$2+V17*O$2)*100/(W$4*H$2+U$4*J$2+V$4*O$2)</f>
        <v>70.046657378510943</v>
      </c>
      <c r="B17" s="20">
        <v>38</v>
      </c>
      <c r="C17" s="13" t="s">
        <v>66</v>
      </c>
      <c r="D17" s="21" t="s">
        <v>16</v>
      </c>
      <c r="E17" s="21" t="s">
        <v>19</v>
      </c>
      <c r="F17" s="21" t="s">
        <v>19</v>
      </c>
      <c r="G17" s="21">
        <v>18</v>
      </c>
      <c r="H17" s="21">
        <v>22</v>
      </c>
      <c r="I17" s="21">
        <v>51</v>
      </c>
      <c r="J17" s="21">
        <v>82</v>
      </c>
      <c r="K17" s="21">
        <v>60</v>
      </c>
      <c r="L17" s="21">
        <v>70</v>
      </c>
      <c r="M17" s="21">
        <v>87</v>
      </c>
      <c r="N17" s="21">
        <v>62</v>
      </c>
      <c r="O17" s="21">
        <v>91</v>
      </c>
      <c r="P17" s="21">
        <v>54</v>
      </c>
      <c r="Q17" s="21">
        <v>49</v>
      </c>
      <c r="R17" s="21">
        <v>30</v>
      </c>
      <c r="S17" s="21">
        <v>0</v>
      </c>
      <c r="T17" s="21">
        <v>64</v>
      </c>
      <c r="U17" s="6">
        <f>J$1*((-2*10^-6)*J17^3+0.00032*J17^2-0.0021*J17)+K$1*((-2*10^-6)*K17^3+0.00032*K17^2-0.0021*K17)+L$1*((-2*10^-6)*L17^3+0.00032*L17^2-0.0021*L17)+M$1*((-2*10^-6)*M17^3+0.00032*M17^2-0.0021*M17)+N$1*((-2*10^-6)*N17^3+0.00032*N17^2-0.0021*N17)</f>
        <v>3.759107600000001</v>
      </c>
      <c r="V17">
        <f>O$1*((-2*10^-6)*N17^3+0.00032*N17^2-0.0021*N17)+P$1*((-2*10^-6)*O17^3+0.00032*O17^2-0.0021*O17)+Q$1*((-2*10^-6)*P17^3+0.00032*P17^2-0.0021*P17)+R$1*((-2*10^-6)*Q17^3+0.00032*Q17^2-0.0021*Q17)+S$1*((-2*10^-6)*R17^3+0.00032*R17^2-0.0021*R17)</f>
        <v>3.9209570000000005</v>
      </c>
      <c r="W17" s="6">
        <f>(H$1*H17+I$1*I17)/100</f>
        <v>2.2599999999999998</v>
      </c>
      <c r="X17">
        <f>U17*J$2+V17*O$2+W17*H$2</f>
        <v>25.138344400000001</v>
      </c>
      <c r="Y17" t="str">
        <f>IF(AND(I17&gt;50,H17+I17&gt;75),"SP",IF(2*H17+I17&gt;120,"RP","CRAP"))</f>
        <v>CRAP</v>
      </c>
    </row>
    <row r="18" spans="1:25" ht="13.5" customHeight="1" thickBot="1" x14ac:dyDescent="0.35">
      <c r="A18">
        <f>(W18*H$2+U18*J$2+V18*O$2)*100/(W$4*H$2+U$4*J$2+V$4*O$2)</f>
        <v>69.565705528310303</v>
      </c>
      <c r="B18" s="18">
        <v>23</v>
      </c>
      <c r="C18" s="12" t="s">
        <v>51</v>
      </c>
      <c r="D18" s="19" t="s">
        <v>16</v>
      </c>
      <c r="E18" s="19" t="s">
        <v>19</v>
      </c>
      <c r="F18" s="19" t="s">
        <v>19</v>
      </c>
      <c r="G18" s="19">
        <v>18</v>
      </c>
      <c r="H18" s="19">
        <v>24</v>
      </c>
      <c r="I18" s="19">
        <v>82</v>
      </c>
      <c r="J18" s="19">
        <v>61</v>
      </c>
      <c r="K18" s="19">
        <v>52</v>
      </c>
      <c r="L18" s="19">
        <v>66</v>
      </c>
      <c r="M18" s="19">
        <v>58</v>
      </c>
      <c r="N18" s="19">
        <v>78</v>
      </c>
      <c r="O18" s="19">
        <v>81</v>
      </c>
      <c r="P18" s="19">
        <v>79</v>
      </c>
      <c r="Q18" s="19">
        <v>68</v>
      </c>
      <c r="R18" s="19">
        <v>51</v>
      </c>
      <c r="S18" s="19">
        <v>27</v>
      </c>
      <c r="T18" s="19">
        <v>69</v>
      </c>
      <c r="U18" s="6">
        <f>J$1*((-2*10^-6)*J18^3+0.00032*J18^2-0.0021*J18)+K$1*((-2*10^-6)*K18^3+0.00032*K18^2-0.0021*K18)+L$1*((-2*10^-6)*L18^3+0.00032*L18^2-0.0021*L18)+M$1*((-2*10^-6)*M18^3+0.00032*M18^2-0.0021*M18)+N$1*((-2*10^-6)*N18^3+0.00032*N18^2-0.0021*N18)</f>
        <v>2.9923584000000005</v>
      </c>
      <c r="V18">
        <f>O$1*((-2*10^-6)*N18^3+0.00032*N18^2-0.0021*N18)+P$1*((-2*10^-6)*O18^3+0.00032*O18^2-0.0021*O18)+Q$1*((-2*10^-6)*P18^3+0.00032*P18^2-0.0021*P18)+R$1*((-2*10^-6)*Q18^3+0.00032*Q18^2-0.0021*Q18)+S$1*((-2*10^-6)*R18^3+0.00032*R18^2-0.0021*R18)</f>
        <v>4.7381534000000016</v>
      </c>
      <c r="W18" s="6">
        <f>(H$1*H18+I$1*I18)/100</f>
        <v>3.52</v>
      </c>
      <c r="X18">
        <f>U18*J$2+V18*O$2+W18*H$2</f>
        <v>24.965740400000005</v>
      </c>
      <c r="Y18" t="str">
        <f>IF(AND(I18&gt;50,H18+I18&gt;75),"SP",IF(2*H18+I18&gt;120,"RP","CRAP"))</f>
        <v>SP</v>
      </c>
    </row>
    <row r="19" spans="1:25" ht="13.5" customHeight="1" thickBot="1" x14ac:dyDescent="0.35">
      <c r="A19">
        <f>(W19*H$2+U19*J$2+V19*O$2)*100/(W$4*H$2+U$4*J$2+V$4*O$2)</f>
        <v>69.002756353098533</v>
      </c>
      <c r="B19" s="18">
        <v>19</v>
      </c>
      <c r="C19" s="12" t="s">
        <v>47</v>
      </c>
      <c r="D19" s="19" t="s">
        <v>16</v>
      </c>
      <c r="E19" s="19" t="s">
        <v>19</v>
      </c>
      <c r="F19" s="19" t="s">
        <v>19</v>
      </c>
      <c r="G19" s="19">
        <v>18</v>
      </c>
      <c r="H19" s="19">
        <v>31</v>
      </c>
      <c r="I19" s="19">
        <v>81</v>
      </c>
      <c r="J19" s="19">
        <v>65</v>
      </c>
      <c r="K19" s="19">
        <v>61</v>
      </c>
      <c r="L19" s="19">
        <v>73</v>
      </c>
      <c r="M19" s="19">
        <v>96</v>
      </c>
      <c r="N19" s="19">
        <v>61</v>
      </c>
      <c r="O19" s="19">
        <v>65</v>
      </c>
      <c r="P19" s="19">
        <v>74</v>
      </c>
      <c r="Q19" s="19">
        <v>68</v>
      </c>
      <c r="R19" s="19">
        <v>37</v>
      </c>
      <c r="S19" s="19">
        <v>0</v>
      </c>
      <c r="T19" s="19">
        <v>71</v>
      </c>
      <c r="U19" s="6">
        <f>J$1*((-2*10^-6)*J19^3+0.00032*J19^2-0.0021*J19)+K$1*((-2*10^-6)*K19^3+0.00032*K19^2-0.0021*K19)+L$1*((-2*10^-6)*L19^3+0.00032*L19^2-0.0021*L19)+M$1*((-2*10^-6)*M19^3+0.00032*M19^2-0.0021*M19)+N$1*((-2*10^-6)*N19^3+0.00032*N19^2-0.0021*N19)</f>
        <v>3.4194182000000004</v>
      </c>
      <c r="V19">
        <f>O$1*((-2*10^-6)*N19^3+0.00032*N19^2-0.0021*N19)+P$1*((-2*10^-6)*O19^3+0.00032*O19^2-0.0021*O19)+Q$1*((-2*10^-6)*P19^3+0.00032*P19^2-0.0021*P19)+R$1*((-2*10^-6)*Q19^3+0.00032*Q19^2-0.0021*Q19)+S$1*((-2*10^-6)*R19^3+0.00032*R19^2-0.0021*R19)</f>
        <v>3.7680182000000011</v>
      </c>
      <c r="W19" s="6">
        <f>(H$1*H19+I$1*I19)/100</f>
        <v>3.55</v>
      </c>
      <c r="X19">
        <f>U19*J$2+V19*O$2+W19*H$2</f>
        <v>24.763709200000005</v>
      </c>
      <c r="Y19" t="str">
        <f>IF(AND(I19&gt;50,H19+I19&gt;75),"SP",IF(2*H19+I19&gt;120,"RP","CRAP"))</f>
        <v>SP</v>
      </c>
    </row>
    <row r="20" spans="1:25" ht="13.5" customHeight="1" thickBot="1" x14ac:dyDescent="0.35">
      <c r="A20">
        <f>(W20*H$2+U20*J$2+V20*O$2)*100/(W$4*H$2+U$4*J$2+V$4*O$2)</f>
        <v>65.368213330361129</v>
      </c>
      <c r="B20" s="20">
        <v>24</v>
      </c>
      <c r="C20" s="13" t="s">
        <v>52</v>
      </c>
      <c r="D20" s="21" t="s">
        <v>16</v>
      </c>
      <c r="E20" s="21" t="s">
        <v>20</v>
      </c>
      <c r="F20" s="21" t="s">
        <v>20</v>
      </c>
      <c r="G20" s="21">
        <v>18</v>
      </c>
      <c r="H20" s="21">
        <v>48</v>
      </c>
      <c r="I20" s="21">
        <v>47</v>
      </c>
      <c r="J20" s="21">
        <v>87</v>
      </c>
      <c r="K20" s="21">
        <v>66</v>
      </c>
      <c r="L20" s="21">
        <v>41</v>
      </c>
      <c r="M20" s="21">
        <v>88</v>
      </c>
      <c r="N20" s="21">
        <v>69</v>
      </c>
      <c r="O20" s="21">
        <v>68</v>
      </c>
      <c r="P20" s="21">
        <v>77</v>
      </c>
      <c r="Q20" s="21">
        <v>49</v>
      </c>
      <c r="R20" s="21">
        <v>0</v>
      </c>
      <c r="S20" s="21">
        <v>0</v>
      </c>
      <c r="T20" s="21">
        <v>69</v>
      </c>
      <c r="U20" s="6">
        <f>J$1*((-2*10^-6)*J20^3+0.00032*J20^2-0.0021*J20)+K$1*((-2*10^-6)*K20^3+0.00032*K20^2-0.0021*K20)+L$1*((-2*10^-6)*L20^3+0.00032*L20^2-0.0021*L20)+M$1*((-2*10^-6)*M20^3+0.00032*M20^2-0.0021*M20)+N$1*((-2*10^-6)*N20^3+0.00032*N20^2-0.0021*N20)</f>
        <v>3.326430600000001</v>
      </c>
      <c r="V20">
        <f>O$1*((-2*10^-6)*N20^3+0.00032*N20^2-0.0021*N20)+P$1*((-2*10^-6)*O20^3+0.00032*O20^2-0.0021*O20)+Q$1*((-2*10^-6)*P20^3+0.00032*P20^2-0.0021*P20)+R$1*((-2*10^-6)*Q20^3+0.00032*Q20^2-0.0021*Q20)+S$1*((-2*10^-6)*R20^3+0.00032*R20^2-0.0021*R20)</f>
        <v>3.8968110000000009</v>
      </c>
      <c r="W20" s="6">
        <f>(H$1*H20+I$1*I20)/100</f>
        <v>2.36</v>
      </c>
      <c r="X20">
        <f>U20*J$2+V20*O$2+W20*H$2</f>
        <v>23.459344400000006</v>
      </c>
      <c r="Y20" t="str">
        <f>IF(AND(I20&gt;50,H20+I20&gt;75),"SP",IF(2*H20+I20&gt;120,"RP","CRAP"))</f>
        <v>RP</v>
      </c>
    </row>
    <row r="21" spans="1:25" ht="13.5" customHeight="1" thickBot="1" x14ac:dyDescent="0.35">
      <c r="A21">
        <f>(W21*H$2+U21*J$2+V21*O$2)*100/(W$4*H$2+U$4*J$2+V$4*O$2)</f>
        <v>64.622646009808292</v>
      </c>
      <c r="B21" s="18">
        <v>115</v>
      </c>
      <c r="C21" s="12" t="s">
        <v>143</v>
      </c>
      <c r="D21" s="19" t="s">
        <v>16</v>
      </c>
      <c r="E21" s="19" t="s">
        <v>20</v>
      </c>
      <c r="F21" s="19" t="s">
        <v>20</v>
      </c>
      <c r="G21" s="19">
        <v>21</v>
      </c>
      <c r="H21" s="19">
        <v>8</v>
      </c>
      <c r="I21" s="19">
        <v>82</v>
      </c>
      <c r="J21" s="19">
        <v>65</v>
      </c>
      <c r="K21" s="19">
        <v>83</v>
      </c>
      <c r="L21" s="19">
        <v>62</v>
      </c>
      <c r="M21" s="19">
        <v>37</v>
      </c>
      <c r="N21" s="19">
        <v>58</v>
      </c>
      <c r="O21" s="19">
        <v>52</v>
      </c>
      <c r="P21" s="19">
        <v>81</v>
      </c>
      <c r="Q21" s="19">
        <v>32</v>
      </c>
      <c r="R21" s="19">
        <v>74</v>
      </c>
      <c r="S21" s="19">
        <v>54</v>
      </c>
      <c r="T21" s="19">
        <v>63</v>
      </c>
      <c r="U21" s="6">
        <f>J$1*((-2*10^-6)*J21^3+0.00032*J21^2-0.0021*J21)+K$1*((-2*10^-6)*K21^3+0.00032*K21^2-0.0021*K21)+L$1*((-2*10^-6)*L21^3+0.00032*L21^2-0.0021*L21)+M$1*((-2*10^-6)*M21^3+0.00032*M21^2-0.0021*M21)+N$1*((-2*10^-6)*N21^3+0.00032*N21^2-0.0021*N21)</f>
        <v>3.3186480000000005</v>
      </c>
      <c r="V21">
        <f>O$1*((-2*10^-6)*N21^3+0.00032*N21^2-0.0021*N21)+P$1*((-2*10^-6)*O21^3+0.00032*O21^2-0.0021*O21)+Q$1*((-2*10^-6)*P21^3+0.00032*P21^2-0.0021*P21)+R$1*((-2*10^-6)*Q21^3+0.00032*Q21^2-0.0021*Q21)+S$1*((-2*10^-6)*R21^3+0.00032*R21^2-0.0021*R21)</f>
        <v>3.2785916000000013</v>
      </c>
      <c r="W21" s="6">
        <f>(H$1*H21+I$1*I21)/100</f>
        <v>3.36</v>
      </c>
      <c r="X21">
        <f>U21*J$2+V21*O$2+W21*H$2</f>
        <v>23.191775200000002</v>
      </c>
      <c r="Y21" t="str">
        <f>IF(AND(I21&gt;50,H21+I21&gt;75),"SP",IF(2*H21+I21&gt;120,"RP","CRAP"))</f>
        <v>SP</v>
      </c>
    </row>
    <row r="22" spans="1:25" ht="13.5" customHeight="1" thickBot="1" x14ac:dyDescent="0.35">
      <c r="A22">
        <f>(W22*H$2+U22*J$2+V22*O$2)*100/(W$4*H$2+U$4*J$2+V$4*O$2)</f>
        <v>64.253484172982624</v>
      </c>
      <c r="B22" s="18">
        <v>125</v>
      </c>
      <c r="C22" s="12" t="s">
        <v>153</v>
      </c>
      <c r="D22" s="19" t="s">
        <v>16</v>
      </c>
      <c r="E22" s="19" t="s">
        <v>20</v>
      </c>
      <c r="F22" s="19" t="s">
        <v>20</v>
      </c>
      <c r="G22" s="19">
        <v>18</v>
      </c>
      <c r="H22" s="19">
        <v>0</v>
      </c>
      <c r="I22" s="19">
        <v>61</v>
      </c>
      <c r="J22" s="19">
        <v>73</v>
      </c>
      <c r="K22" s="19">
        <v>55</v>
      </c>
      <c r="L22" s="19">
        <v>56</v>
      </c>
      <c r="M22" s="19">
        <v>73</v>
      </c>
      <c r="N22" s="19">
        <v>69</v>
      </c>
      <c r="O22" s="19">
        <v>88</v>
      </c>
      <c r="P22" s="19">
        <v>53</v>
      </c>
      <c r="Q22" s="19">
        <v>44</v>
      </c>
      <c r="R22" s="19">
        <v>0</v>
      </c>
      <c r="S22" s="19">
        <v>0</v>
      </c>
      <c r="T22" s="19">
        <v>45</v>
      </c>
      <c r="U22" s="6">
        <f>J$1*((-2*10^-6)*J22^3+0.00032*J22^2-0.0021*J22)+K$1*((-2*10^-6)*K22^3+0.00032*K22^2-0.0021*K22)+L$1*((-2*10^-6)*L22^3+0.00032*L22^2-0.0021*L22)+M$1*((-2*10^-6)*M22^3+0.00032*M22^2-0.0021*M22)+N$1*((-2*10^-6)*N22^3+0.00032*N22^2-0.0021*N22)</f>
        <v>3.1687836000000011</v>
      </c>
      <c r="V22">
        <f>O$1*((-2*10^-6)*N22^3+0.00032*N22^2-0.0021*N22)+P$1*((-2*10^-6)*O22^3+0.00032*O22^2-0.0021*O22)+Q$1*((-2*10^-6)*P22^3+0.00032*P22^2-0.0021*P22)+R$1*((-2*10^-6)*Q22^3+0.00032*Q22^2-0.0021*Q22)+S$1*((-2*10^-6)*R22^3+0.00032*R22^2-0.0021*R22)</f>
        <v>3.9720780000000016</v>
      </c>
      <c r="W22" s="6">
        <f>(H$1*H22+I$1*I22)/100</f>
        <v>2.44</v>
      </c>
      <c r="X22">
        <f>U22*J$2+V22*O$2+W22*H$2</f>
        <v>23.059290400000009</v>
      </c>
      <c r="Y22" t="str">
        <f>IF(AND(I22&gt;50,H22+I22&gt;75),"SP",IF(2*H22+I22&gt;120,"RP","CRAP"))</f>
        <v>CRAP</v>
      </c>
    </row>
    <row r="23" spans="1:25" ht="13.5" customHeight="1" thickBot="1" x14ac:dyDescent="0.35">
      <c r="A23">
        <f>(W23*H$2+U23*J$2+V23*O$2)*100/(W$4*H$2+U$4*J$2+V$4*O$2)</f>
        <v>63.209742532322778</v>
      </c>
      <c r="B23" s="18">
        <v>25</v>
      </c>
      <c r="C23" s="12" t="s">
        <v>53</v>
      </c>
      <c r="D23" s="19" t="s">
        <v>16</v>
      </c>
      <c r="E23" s="19" t="s">
        <v>21</v>
      </c>
      <c r="F23" s="19" t="s">
        <v>19</v>
      </c>
      <c r="G23" s="19">
        <v>18</v>
      </c>
      <c r="H23" s="19">
        <v>32</v>
      </c>
      <c r="I23" s="19">
        <v>74</v>
      </c>
      <c r="J23" s="19">
        <v>62</v>
      </c>
      <c r="K23" s="19">
        <v>57</v>
      </c>
      <c r="L23" s="19">
        <v>64</v>
      </c>
      <c r="M23" s="19">
        <v>90</v>
      </c>
      <c r="N23" s="19">
        <v>63</v>
      </c>
      <c r="O23" s="19">
        <v>76</v>
      </c>
      <c r="P23" s="19">
        <v>45</v>
      </c>
      <c r="Q23" s="19">
        <v>43</v>
      </c>
      <c r="R23" s="19">
        <v>38</v>
      </c>
      <c r="S23" s="19">
        <v>0</v>
      </c>
      <c r="T23" s="19">
        <v>69</v>
      </c>
      <c r="U23" s="6">
        <f>J$1*((-2*10^-6)*J23^3+0.00032*J23^2-0.0021*J23)+K$1*((-2*10^-6)*K23^3+0.00032*K23^2-0.0021*K23)+L$1*((-2*10^-6)*L23^3+0.00032*L23^2-0.0021*L23)+M$1*((-2*10^-6)*M23^3+0.00032*M23^2-0.0021*M23)+N$1*((-2*10^-6)*N23^3+0.00032*N23^2-0.0021*N23)</f>
        <v>3.0906272000000006</v>
      </c>
      <c r="V23">
        <f>O$1*((-2*10^-6)*N23^3+0.00032*N23^2-0.0021*N23)+P$1*((-2*10^-6)*O23^3+0.00032*O23^2-0.0021*O23)+Q$1*((-2*10^-6)*P23^3+0.00032*P23^2-0.0021*P23)+R$1*((-2*10^-6)*Q23^3+0.00032*Q23^2-0.0021*Q23)+S$1*((-2*10^-6)*R23^3+0.00032*R23^2-0.0021*R23)</f>
        <v>3.5211018000000007</v>
      </c>
      <c r="W23" s="6">
        <f>(H$1*H23+I$1*I23)/100</f>
        <v>3.28</v>
      </c>
      <c r="X23">
        <f>U23*J$2+V23*O$2+W23*H$2</f>
        <v>22.684712400000006</v>
      </c>
      <c r="Y23" t="str">
        <f>IF(AND(I23&gt;50,H23+I23&gt;75),"SP",IF(2*H23+I23&gt;120,"RP","CRAP"))</f>
        <v>SP</v>
      </c>
    </row>
    <row r="24" spans="1:25" ht="13.5" customHeight="1" thickBot="1" x14ac:dyDescent="0.35">
      <c r="A24">
        <f>(W24*H$2+U24*J$2+V24*O$2)*100/(W$4*H$2+U$4*J$2+V$4*O$2)</f>
        <v>63.058211101203753</v>
      </c>
      <c r="B24" s="18">
        <v>29</v>
      </c>
      <c r="C24" s="12" t="s">
        <v>57</v>
      </c>
      <c r="D24" s="19" t="s">
        <v>16</v>
      </c>
      <c r="E24" s="19" t="s">
        <v>21</v>
      </c>
      <c r="F24" s="19" t="s">
        <v>20</v>
      </c>
      <c r="G24" s="19">
        <v>18</v>
      </c>
      <c r="H24" s="19">
        <v>31</v>
      </c>
      <c r="I24" s="19">
        <v>55</v>
      </c>
      <c r="J24" s="19">
        <v>97</v>
      </c>
      <c r="K24" s="19">
        <v>60</v>
      </c>
      <c r="L24" s="19">
        <v>38</v>
      </c>
      <c r="M24" s="19">
        <v>88</v>
      </c>
      <c r="N24" s="19">
        <v>44</v>
      </c>
      <c r="O24" s="19">
        <v>88</v>
      </c>
      <c r="P24" s="19">
        <v>67</v>
      </c>
      <c r="Q24" s="19">
        <v>41</v>
      </c>
      <c r="R24" s="19">
        <v>62</v>
      </c>
      <c r="S24" s="19">
        <v>0</v>
      </c>
      <c r="T24" s="19">
        <v>67</v>
      </c>
      <c r="U24" s="6">
        <f>J$1*((-2*10^-6)*J24^3+0.00032*J24^2-0.0021*J24)+K$1*((-2*10^-6)*K24^3+0.00032*K24^2-0.0021*K24)+L$1*((-2*10^-6)*L24^3+0.00032*L24^2-0.0021*L24)+M$1*((-2*10^-6)*M24^3+0.00032*M24^2-0.0021*M24)+N$1*((-2*10^-6)*N24^3+0.00032*N24^2-0.0021*N24)</f>
        <v>3.223889600000001</v>
      </c>
      <c r="V24">
        <f>O$1*((-2*10^-6)*N24^3+0.00032*N24^2-0.0021*N24)+P$1*((-2*10^-6)*O24^3+0.00032*O24^2-0.0021*O24)+Q$1*((-2*10^-6)*P24^3+0.00032*P24^2-0.0021*P24)+R$1*((-2*10^-6)*Q24^3+0.00032*Q24^2-0.0021*Q24)+S$1*((-2*10^-6)*R24^3+0.00032*R24^2-0.0021*R24)</f>
        <v>3.6123862000000013</v>
      </c>
      <c r="W24" s="6">
        <f>(H$1*H24+I$1*I24)/100</f>
        <v>2.5099999999999998</v>
      </c>
      <c r="X24">
        <f>U24*J$2+V24*O$2+W24*H$2</f>
        <v>22.630330800000003</v>
      </c>
      <c r="Y24" t="str">
        <f>IF(AND(I24&gt;50,H24+I24&gt;75),"SP",IF(2*H24+I24&gt;120,"RP","CRAP"))</f>
        <v>SP</v>
      </c>
    </row>
    <row r="25" spans="1:25" ht="13.5" customHeight="1" thickBot="1" x14ac:dyDescent="0.35">
      <c r="A25">
        <f>(W25*H$2+U25*J$2+V25*O$2)*100/(W$4*H$2+U$4*J$2+V$4*O$2)</f>
        <v>63.056706419973253</v>
      </c>
      <c r="B25" s="18">
        <v>51</v>
      </c>
      <c r="C25" s="12" t="s">
        <v>79</v>
      </c>
      <c r="D25" s="19" t="s">
        <v>16</v>
      </c>
      <c r="E25" s="19" t="s">
        <v>21</v>
      </c>
      <c r="F25" s="19" t="s">
        <v>19</v>
      </c>
      <c r="G25" s="19">
        <v>18</v>
      </c>
      <c r="H25" s="19">
        <v>16</v>
      </c>
      <c r="I25" s="19">
        <v>66</v>
      </c>
      <c r="J25" s="19">
        <v>52</v>
      </c>
      <c r="K25" s="19">
        <v>58</v>
      </c>
      <c r="L25" s="19">
        <v>71</v>
      </c>
      <c r="M25" s="19">
        <v>32</v>
      </c>
      <c r="N25" s="19">
        <v>73</v>
      </c>
      <c r="O25" s="19">
        <v>85</v>
      </c>
      <c r="P25" s="19">
        <v>54</v>
      </c>
      <c r="Q25" s="19">
        <v>60</v>
      </c>
      <c r="R25" s="19">
        <v>41</v>
      </c>
      <c r="S25" s="19">
        <v>0</v>
      </c>
      <c r="T25" s="19">
        <v>61</v>
      </c>
      <c r="U25" s="6">
        <f>J$1*((-2*10^-6)*J25^3+0.00032*J25^2-0.0021*J25)+K$1*((-2*10^-6)*K25^3+0.00032*K25^2-0.0021*K25)+L$1*((-2*10^-6)*L25^3+0.00032*L25^2-0.0021*L25)+M$1*((-2*10^-6)*M25^3+0.00032*M25^2-0.0021*M25)+N$1*((-2*10^-6)*N25^3+0.00032*N25^2-0.0021*N25)</f>
        <v>2.8302590000000007</v>
      </c>
      <c r="V25">
        <f>O$1*((-2*10^-6)*N25^3+0.00032*N25^2-0.0021*N25)+P$1*((-2*10^-6)*O25^3+0.00032*O25^2-0.0021*O25)+Q$1*((-2*10^-6)*P25^3+0.00032*P25^2-0.0021*P25)+R$1*((-2*10^-6)*Q25^3+0.00032*Q25^2-0.0021*Q25)+S$1*((-2*10^-6)*R25^3+0.00032*R25^2-0.0021*R25)</f>
        <v>4.254377400000001</v>
      </c>
      <c r="W25" s="6">
        <f>(H$1*H25+I$1*I25)/100</f>
        <v>2.8</v>
      </c>
      <c r="X25">
        <f>U25*J$2+V25*O$2+W25*H$2</f>
        <v>22.629790800000006</v>
      </c>
      <c r="Y25" t="str">
        <f>IF(AND(I25&gt;50,H25+I25&gt;75),"SP",IF(2*H25+I25&gt;120,"RP","CRAP"))</f>
        <v>SP</v>
      </c>
    </row>
    <row r="26" spans="1:25" ht="13.5" customHeight="1" thickBot="1" x14ac:dyDescent="0.35">
      <c r="A26">
        <f>(W26*H$2+U26*J$2+V26*O$2)*100/(W$4*H$2+U$4*J$2+V$4*O$2)</f>
        <v>62.356393223361579</v>
      </c>
      <c r="B26" s="20">
        <v>122</v>
      </c>
      <c r="C26" s="13" t="s">
        <v>150</v>
      </c>
      <c r="D26" s="21" t="s">
        <v>16</v>
      </c>
      <c r="E26" s="21" t="s">
        <v>21</v>
      </c>
      <c r="F26" s="21" t="s">
        <v>20</v>
      </c>
      <c r="G26" s="21">
        <v>19</v>
      </c>
      <c r="H26" s="21">
        <v>14</v>
      </c>
      <c r="I26" s="21">
        <v>84</v>
      </c>
      <c r="J26" s="21">
        <v>100</v>
      </c>
      <c r="K26" s="21">
        <v>68</v>
      </c>
      <c r="L26" s="21">
        <v>44</v>
      </c>
      <c r="M26" s="21">
        <v>36</v>
      </c>
      <c r="N26" s="21">
        <v>55</v>
      </c>
      <c r="O26" s="21">
        <v>49</v>
      </c>
      <c r="P26" s="21">
        <v>56</v>
      </c>
      <c r="Q26" s="21">
        <v>28</v>
      </c>
      <c r="R26" s="21">
        <v>60</v>
      </c>
      <c r="S26" s="21">
        <v>0</v>
      </c>
      <c r="T26" s="21">
        <v>62</v>
      </c>
      <c r="U26" s="6">
        <f>J$1*((-2*10^-6)*J26^3+0.00032*J26^2-0.0021*J26)+K$1*((-2*10^-6)*K26^3+0.00032*K26^2-0.0021*K26)+L$1*((-2*10^-6)*L26^3+0.00032*L26^2-0.0021*L26)+M$1*((-2*10^-6)*M26^3+0.00032*M26^2-0.0021*M26)+N$1*((-2*10^-6)*N26^3+0.00032*N26^2-0.0021*N26)</f>
        <v>3.3762556000000012</v>
      </c>
      <c r="V26">
        <f>O$1*((-2*10^-6)*N26^3+0.00032*N26^2-0.0021*N26)+P$1*((-2*10^-6)*O26^3+0.00032*O26^2-0.0021*O26)+Q$1*((-2*10^-6)*P26^3+0.00032*P26^2-0.0021*P26)+R$1*((-2*10^-6)*Q26^3+0.00032*Q26^2-0.0021*Q26)+S$1*((-2*10^-6)*R26^3+0.00032*R26^2-0.0021*R26)</f>
        <v>2.6867200000000007</v>
      </c>
      <c r="W26" s="6">
        <f>(H$1*H26+I$1*I26)/100</f>
        <v>3.5</v>
      </c>
      <c r="X26">
        <f>U26*J$2+V26*O$2+W26*H$2</f>
        <v>22.378462400000007</v>
      </c>
      <c r="Y26" t="str">
        <f>IF(AND(I26&gt;50,H26+I26&gt;75),"SP",IF(2*H26+I26&gt;120,"RP","CRAP"))</f>
        <v>SP</v>
      </c>
    </row>
    <row r="27" spans="1:25" ht="13.5" customHeight="1" thickBot="1" x14ac:dyDescent="0.35">
      <c r="A27">
        <f>(W27*H$2+U27*J$2+V27*O$2)*100/(W$4*H$2+U$4*J$2+V$4*O$2)</f>
        <v>61.806821221578261</v>
      </c>
      <c r="B27" s="20">
        <v>64</v>
      </c>
      <c r="C27" s="13" t="s">
        <v>92</v>
      </c>
      <c r="D27" s="21" t="s">
        <v>16</v>
      </c>
      <c r="E27" s="21" t="s">
        <v>20</v>
      </c>
      <c r="F27" s="21" t="s">
        <v>20</v>
      </c>
      <c r="G27" s="21">
        <v>18</v>
      </c>
      <c r="H27" s="21">
        <v>41</v>
      </c>
      <c r="I27" s="21">
        <v>37</v>
      </c>
      <c r="J27" s="21">
        <v>85</v>
      </c>
      <c r="K27" s="21">
        <v>45</v>
      </c>
      <c r="L27" s="21">
        <v>31</v>
      </c>
      <c r="M27" s="21">
        <v>83</v>
      </c>
      <c r="N27" s="21">
        <v>82</v>
      </c>
      <c r="O27" s="21">
        <v>91</v>
      </c>
      <c r="P27" s="21">
        <v>73</v>
      </c>
      <c r="Q27" s="21">
        <v>32</v>
      </c>
      <c r="R27" s="21">
        <v>0</v>
      </c>
      <c r="S27" s="21">
        <v>0</v>
      </c>
      <c r="T27" s="21">
        <v>58</v>
      </c>
      <c r="U27" s="6">
        <f>J$1*((-2*10^-6)*J27^3+0.00032*J27^2-0.0021*J27)+K$1*((-2*10^-6)*K27^3+0.00032*K27^2-0.0021*K27)+L$1*((-2*10^-6)*L27^3+0.00032*L27^2-0.0021*L27)+M$1*((-2*10^-6)*M27^3+0.00032*M27^2-0.0021*M27)+N$1*((-2*10^-6)*N27^3+0.00032*N27^2-0.0021*N27)</f>
        <v>2.8086770000000012</v>
      </c>
      <c r="V27">
        <f>O$1*((-2*10^-6)*N27^3+0.00032*N27^2-0.0021*N27)+P$1*((-2*10^-6)*O27^3+0.00032*O27^2-0.0021*O27)+Q$1*((-2*10^-6)*P27^3+0.00032*P27^2-0.0021*P27)+R$1*((-2*10^-6)*Q27^3+0.00032*Q27^2-0.0021*Q27)+S$1*((-2*10^-6)*R27^3+0.00032*R27^2-0.0021*R27)</f>
        <v>4.5282620000000016</v>
      </c>
      <c r="W27" s="6">
        <f>(H$1*H27+I$1*I27)/100</f>
        <v>1.89</v>
      </c>
      <c r="X27">
        <f>U27*J$2+V27*O$2+W27*H$2</f>
        <v>22.181232000000008</v>
      </c>
      <c r="Y27" t="str">
        <f>IF(AND(I27&gt;50,H27+I27&gt;75),"SP",IF(2*H27+I27&gt;120,"RP","CRAP"))</f>
        <v>CRAP</v>
      </c>
    </row>
    <row r="28" spans="1:25" ht="13.5" customHeight="1" thickBot="1" x14ac:dyDescent="0.35">
      <c r="A28">
        <f>(W28*H$2+U28*J$2+V28*O$2)*100/(W$4*H$2+U$4*J$2+V$4*O$2)</f>
        <v>61.533165403477504</v>
      </c>
      <c r="B28" s="18">
        <v>35</v>
      </c>
      <c r="C28" s="12" t="s">
        <v>63</v>
      </c>
      <c r="D28" s="19" t="s">
        <v>16</v>
      </c>
      <c r="E28" s="19" t="s">
        <v>20</v>
      </c>
      <c r="F28" s="19" t="s">
        <v>20</v>
      </c>
      <c r="G28" s="19">
        <v>18</v>
      </c>
      <c r="H28" s="19">
        <v>78</v>
      </c>
      <c r="I28" s="19">
        <v>32</v>
      </c>
      <c r="J28" s="19">
        <v>91</v>
      </c>
      <c r="K28" s="19">
        <v>63</v>
      </c>
      <c r="L28" s="19">
        <v>38</v>
      </c>
      <c r="M28" s="19">
        <v>84</v>
      </c>
      <c r="N28" s="19">
        <v>48</v>
      </c>
      <c r="O28" s="19">
        <v>98</v>
      </c>
      <c r="P28" s="19">
        <v>74</v>
      </c>
      <c r="Q28" s="19">
        <v>0</v>
      </c>
      <c r="R28" s="19">
        <v>0</v>
      </c>
      <c r="S28" s="19">
        <v>0</v>
      </c>
      <c r="T28" s="19">
        <v>65</v>
      </c>
      <c r="U28" s="6">
        <f>J$1*((-2*10^-6)*J28^3+0.00032*J28^2-0.0021*J28)+K$1*((-2*10^-6)*K28^3+0.00032*K28^2-0.0021*K28)+L$1*((-2*10^-6)*L28^3+0.00032*L28^2-0.0021*L28)+M$1*((-2*10^-6)*M28^3+0.00032*M28^2-0.0021*M28)+N$1*((-2*10^-6)*N28^3+0.00032*N28^2-0.0021*N28)</f>
        <v>3.212127600000001</v>
      </c>
      <c r="V28">
        <f>O$1*((-2*10^-6)*N28^3+0.00032*N28^2-0.0021*N28)+P$1*((-2*10^-6)*O28^3+0.00032*O28^2-0.0021*O28)+Q$1*((-2*10^-6)*P28^3+0.00032*P28^2-0.0021*P28)+R$1*((-2*10^-6)*Q28^3+0.00032*Q28^2-0.0021*Q28)+S$1*((-2*10^-6)*R28^3+0.00032*R28^2-0.0021*R28)</f>
        <v>3.5872560000000018</v>
      </c>
      <c r="W28" s="6">
        <f>(H$1*H28+I$1*I28)/100</f>
        <v>2.06</v>
      </c>
      <c r="X28">
        <f>U28*J$2+V28*O$2+W28*H$2</f>
        <v>22.083022400000008</v>
      </c>
      <c r="Y28" t="str">
        <f>IF(AND(I28&gt;50,H28+I28&gt;75),"SP",IF(2*H28+I28&gt;120,"RP","CRAP"))</f>
        <v>RP</v>
      </c>
    </row>
    <row r="29" spans="1:25" ht="13.5" customHeight="1" thickBot="1" x14ac:dyDescent="0.35">
      <c r="A29">
        <f>(W29*H$2+U29*J$2+V29*O$2)*100/(W$4*H$2+U$4*J$2+V$4*O$2)</f>
        <v>60.929419304502893</v>
      </c>
      <c r="B29" s="20">
        <v>54</v>
      </c>
      <c r="C29" s="13" t="s">
        <v>82</v>
      </c>
      <c r="D29" s="21" t="s">
        <v>16</v>
      </c>
      <c r="E29" s="21" t="s">
        <v>20</v>
      </c>
      <c r="F29" s="21" t="s">
        <v>20</v>
      </c>
      <c r="G29" s="21">
        <v>18</v>
      </c>
      <c r="H29" s="21">
        <v>30</v>
      </c>
      <c r="I29" s="21">
        <v>98</v>
      </c>
      <c r="J29" s="21">
        <v>85</v>
      </c>
      <c r="K29" s="21">
        <v>37</v>
      </c>
      <c r="L29" s="21">
        <v>25</v>
      </c>
      <c r="M29" s="21">
        <v>82</v>
      </c>
      <c r="N29" s="21">
        <v>75</v>
      </c>
      <c r="O29" s="21">
        <v>66</v>
      </c>
      <c r="P29" s="21">
        <v>53</v>
      </c>
      <c r="Q29" s="21">
        <v>36</v>
      </c>
      <c r="R29" s="21">
        <v>41</v>
      </c>
      <c r="S29" s="21">
        <v>20</v>
      </c>
      <c r="T29" s="21">
        <v>61</v>
      </c>
      <c r="U29" s="6">
        <f>J$1*((-2*10^-6)*J29^3+0.00032*J29^2-0.0021*J29)+K$1*((-2*10^-6)*K29^3+0.00032*K29^2-0.0021*K29)+L$1*((-2*10^-6)*L29^3+0.00032*L29^2-0.0021*L29)+M$1*((-2*10^-6)*M29^3+0.00032*M29^2-0.0021*M29)+N$1*((-2*10^-6)*N29^3+0.00032*N29^2-0.0021*N29)</f>
        <v>2.579047800000001</v>
      </c>
      <c r="V29">
        <f>O$1*((-2*10^-6)*N29^3+0.00032*N29^2-0.0021*N29)+P$1*((-2*10^-6)*O29^3+0.00032*O29^2-0.0021*O29)+Q$1*((-2*10^-6)*P29^3+0.00032*P29^2-0.0021*P29)+R$1*((-2*10^-6)*Q29^3+0.00032*Q29^2-0.0021*Q29)+S$1*((-2*10^-6)*R29^3+0.00032*R29^2-0.0021*R29)</f>
        <v>3.6650794000000007</v>
      </c>
      <c r="W29" s="6">
        <f>(H$1*H29+I$1*I29)/100</f>
        <v>4.22</v>
      </c>
      <c r="X29">
        <f>U29*J$2+V29*O$2+W29*H$2</f>
        <v>21.866350000000004</v>
      </c>
      <c r="Y29" t="str">
        <f>IF(AND(I29&gt;50,H29+I29&gt;75),"SP",IF(2*H29+I29&gt;120,"RP","CRAP"))</f>
        <v>SP</v>
      </c>
    </row>
    <row r="30" spans="1:25" ht="13.5" customHeight="1" thickBot="1" x14ac:dyDescent="0.35">
      <c r="A30">
        <f>(W30*H$2+U30*J$2+V30*O$2)*100/(W$4*H$2+U$4*J$2+V$4*O$2)</f>
        <v>59.558185465893906</v>
      </c>
      <c r="B30" s="18">
        <v>61</v>
      </c>
      <c r="C30" s="12" t="s">
        <v>89</v>
      </c>
      <c r="D30" s="19" t="s">
        <v>16</v>
      </c>
      <c r="E30" s="19" t="s">
        <v>20</v>
      </c>
      <c r="F30" s="19" t="s">
        <v>20</v>
      </c>
      <c r="G30" s="19">
        <v>18</v>
      </c>
      <c r="H30" s="19">
        <v>50</v>
      </c>
      <c r="I30" s="19">
        <v>26</v>
      </c>
      <c r="J30" s="19">
        <v>63</v>
      </c>
      <c r="K30" s="19">
        <v>61</v>
      </c>
      <c r="L30" s="19">
        <v>53</v>
      </c>
      <c r="M30" s="19">
        <v>80</v>
      </c>
      <c r="N30" s="19">
        <v>59</v>
      </c>
      <c r="O30" s="19">
        <v>87</v>
      </c>
      <c r="P30" s="19">
        <v>71</v>
      </c>
      <c r="Q30" s="19">
        <v>68</v>
      </c>
      <c r="R30" s="19">
        <v>0</v>
      </c>
      <c r="S30" s="19">
        <v>0</v>
      </c>
      <c r="T30" s="19">
        <v>59</v>
      </c>
      <c r="U30" s="6">
        <f>J$1*((-2*10^-6)*J30^3+0.00032*J30^2-0.0021*J30)+K$1*((-2*10^-6)*K30^3+0.00032*K30^2-0.0021*K30)+L$1*((-2*10^-6)*L30^3+0.00032*L30^2-0.0021*L30)+M$1*((-2*10^-6)*M30^3+0.00032*M30^2-0.0021*M30)+N$1*((-2*10^-6)*N30^3+0.00032*N30^2-0.0021*N30)</f>
        <v>2.9058214000000011</v>
      </c>
      <c r="V30">
        <f>O$1*((-2*10^-6)*N30^3+0.00032*N30^2-0.0021*N30)+P$1*((-2*10^-6)*O30^3+0.00032*O30^2-0.0021*O30)+Q$1*((-2*10^-6)*P30^3+0.00032*P30^2-0.0021*P30)+R$1*((-2*10^-6)*Q30^3+0.00032*Q30^2-0.0021*Q30)+S$1*((-2*10^-6)*R30^3+0.00032*R30^2-0.0021*R30)</f>
        <v>4.1054780000000015</v>
      </c>
      <c r="W30" s="6">
        <f>(H$1*H30+I$1*I30)/100</f>
        <v>1.54</v>
      </c>
      <c r="X30">
        <f>U30*J$2+V30*O$2+W30*H$2</f>
        <v>21.374241600000005</v>
      </c>
      <c r="Y30" t="str">
        <f>IF(AND(I30&gt;50,H30+I30&gt;75),"SP",IF(2*H30+I30&gt;120,"RP","CRAP"))</f>
        <v>RP</v>
      </c>
    </row>
    <row r="31" spans="1:25" ht="13.5" customHeight="1" thickBot="1" x14ac:dyDescent="0.35">
      <c r="A31">
        <f>(W31*H$2+U31*J$2+V31*O$2)*100/(W$4*H$2+U$4*J$2+V$4*O$2)</f>
        <v>59.448422871154712</v>
      </c>
      <c r="B31" s="20">
        <v>62</v>
      </c>
      <c r="C31" s="13" t="s">
        <v>90</v>
      </c>
      <c r="D31" s="21" t="s">
        <v>16</v>
      </c>
      <c r="E31" s="21" t="s">
        <v>19</v>
      </c>
      <c r="F31" s="21" t="s">
        <v>19</v>
      </c>
      <c r="G31" s="21">
        <v>18</v>
      </c>
      <c r="H31" s="21">
        <v>20</v>
      </c>
      <c r="I31" s="21">
        <v>86</v>
      </c>
      <c r="J31" s="21">
        <v>84</v>
      </c>
      <c r="K31" s="21">
        <v>37</v>
      </c>
      <c r="L31" s="21">
        <v>29</v>
      </c>
      <c r="M31" s="21">
        <v>89</v>
      </c>
      <c r="N31" s="21">
        <v>63</v>
      </c>
      <c r="O31" s="21">
        <v>70</v>
      </c>
      <c r="P31" s="21">
        <v>62</v>
      </c>
      <c r="Q31" s="21">
        <v>39</v>
      </c>
      <c r="R31" s="21">
        <v>48</v>
      </c>
      <c r="S31" s="21">
        <v>15</v>
      </c>
      <c r="T31" s="21">
        <v>59</v>
      </c>
      <c r="U31" s="6">
        <f>J$1*((-2*10^-6)*J31^3+0.00032*J31^2-0.0021*J31)+K$1*((-2*10^-6)*K31^3+0.00032*K31^2-0.0021*K31)+L$1*((-2*10^-6)*L31^3+0.00032*L31^2-0.0021*L31)+M$1*((-2*10^-6)*M31^3+0.00032*M31^2-0.0021*M31)+N$1*((-2*10^-6)*N31^3+0.00032*N31^2-0.0021*N31)</f>
        <v>2.6055746000000011</v>
      </c>
      <c r="V31">
        <f>O$1*((-2*10^-6)*N31^3+0.00032*N31^2-0.0021*N31)+P$1*((-2*10^-6)*O31^3+0.00032*O31^2-0.0021*O31)+Q$1*((-2*10^-6)*P31^3+0.00032*P31^2-0.0021*P31)+R$1*((-2*10^-6)*Q31^3+0.00032*Q31^2-0.0021*Q31)+S$1*((-2*10^-6)*R31^3+0.00032*R31^2-0.0021*R31)</f>
        <v>3.6362758000000008</v>
      </c>
      <c r="W31" s="6">
        <f>(H$1*H31+I$1*I31)/100</f>
        <v>3.64</v>
      </c>
      <c r="X31">
        <f>U31*J$2+V31*O$2+W31*H$2</f>
        <v>21.334850000000007</v>
      </c>
      <c r="Y31" t="str">
        <f>IF(AND(I31&gt;50,H31+I31&gt;75),"SP",IF(2*H31+I31&gt;120,"RP","CRAP"))</f>
        <v>SP</v>
      </c>
    </row>
    <row r="32" spans="1:25" ht="13.5" customHeight="1" thickBot="1" x14ac:dyDescent="0.35">
      <c r="A32">
        <f>(W32*H$2+U32*J$2+V32*O$2)*100/(W$4*H$2+U$4*J$2+V$4*O$2)</f>
        <v>58.63294694605441</v>
      </c>
      <c r="B32" s="20">
        <v>52</v>
      </c>
      <c r="C32" s="13" t="s">
        <v>80</v>
      </c>
      <c r="D32" s="21" t="s">
        <v>16</v>
      </c>
      <c r="E32" s="21" t="s">
        <v>20</v>
      </c>
      <c r="F32" s="21" t="s">
        <v>20</v>
      </c>
      <c r="G32" s="21">
        <v>18</v>
      </c>
      <c r="H32" s="21">
        <v>51</v>
      </c>
      <c r="I32" s="21">
        <v>31</v>
      </c>
      <c r="J32" s="21">
        <v>63</v>
      </c>
      <c r="K32" s="21">
        <v>74</v>
      </c>
      <c r="L32" s="21">
        <v>43</v>
      </c>
      <c r="M32" s="21">
        <v>84</v>
      </c>
      <c r="N32" s="21">
        <v>56</v>
      </c>
      <c r="O32" s="21">
        <v>89</v>
      </c>
      <c r="P32" s="21">
        <v>63</v>
      </c>
      <c r="Q32" s="21">
        <v>66</v>
      </c>
      <c r="R32" s="21">
        <v>0</v>
      </c>
      <c r="S32" s="21">
        <v>0</v>
      </c>
      <c r="T32" s="21">
        <v>61</v>
      </c>
      <c r="U32" s="6">
        <f>J$1*((-2*10^-6)*J32^3+0.00032*J32^2-0.0021*J32)+K$1*((-2*10^-6)*K32^3+0.00032*K32^2-0.0021*K32)+L$1*((-2*10^-6)*L32^3+0.00032*L32^2-0.0021*L32)+M$1*((-2*10^-6)*M32^3+0.00032*M32^2-0.0021*M32)+N$1*((-2*10^-6)*N32^3+0.00032*N32^2-0.0021*N32)</f>
        <v>2.8615530000000011</v>
      </c>
      <c r="V32">
        <f>O$1*((-2*10^-6)*N32^3+0.00032*N32^2-0.0021*N32)+P$1*((-2*10^-6)*O32^3+0.00032*O32^2-0.0021*O32)+Q$1*((-2*10^-6)*P32^3+0.00032*P32^2-0.0021*P32)+R$1*((-2*10^-6)*Q32^3+0.00032*Q32^2-0.0021*Q32)+S$1*((-2*10^-6)*R32^3+0.00032*R32^2-0.0021*R32)</f>
        <v>3.9229900000000009</v>
      </c>
      <c r="W32" s="6">
        <f>(H$1*H32+I$1*I32)/100</f>
        <v>1.75</v>
      </c>
      <c r="X32">
        <f>U32*J$2+V32*O$2+W32*H$2</f>
        <v>21.042192000000007</v>
      </c>
      <c r="Y32" t="str">
        <f>IF(AND(I32&gt;50,H32+I32&gt;75),"SP",IF(2*H32+I32&gt;120,"RP","CRAP"))</f>
        <v>RP</v>
      </c>
    </row>
    <row r="33" spans="1:25" ht="13.5" customHeight="1" thickBot="1" x14ac:dyDescent="0.35">
      <c r="A33">
        <f>(W33*H$2+U33*J$2+V33*O$2)*100/(W$4*H$2+U$4*J$2+V$4*O$2)</f>
        <v>58.416095630851537</v>
      </c>
      <c r="B33" s="18">
        <v>77</v>
      </c>
      <c r="C33" s="12" t="s">
        <v>105</v>
      </c>
      <c r="D33" s="19" t="s">
        <v>16</v>
      </c>
      <c r="E33" s="19" t="s">
        <v>19</v>
      </c>
      <c r="F33" s="19" t="s">
        <v>19</v>
      </c>
      <c r="G33" s="19">
        <v>18</v>
      </c>
      <c r="H33" s="19">
        <v>25</v>
      </c>
      <c r="I33" s="19">
        <v>100</v>
      </c>
      <c r="J33" s="19">
        <v>74</v>
      </c>
      <c r="K33" s="19">
        <v>31</v>
      </c>
      <c r="L33" s="19">
        <v>29</v>
      </c>
      <c r="M33" s="19">
        <v>70</v>
      </c>
      <c r="N33" s="19">
        <v>63</v>
      </c>
      <c r="O33" s="19">
        <v>78</v>
      </c>
      <c r="P33" s="19">
        <v>59</v>
      </c>
      <c r="Q33" s="19">
        <v>46</v>
      </c>
      <c r="R33" s="19">
        <v>43</v>
      </c>
      <c r="S33" s="19">
        <v>0</v>
      </c>
      <c r="T33" s="19">
        <v>56</v>
      </c>
      <c r="U33" s="6">
        <f>J$1*((-2*10^-6)*J33^3+0.00032*J33^2-0.0021*J33)+K$1*((-2*10^-6)*K33^3+0.00032*K33^2-0.0021*K33)+L$1*((-2*10^-6)*L33^3+0.00032*L33^2-0.0021*L33)+M$1*((-2*10^-6)*M33^3+0.00032*M33^2-0.0021*M33)+N$1*((-2*10^-6)*N33^3+0.00032*N33^2-0.0021*N33)</f>
        <v>2.2694822000000006</v>
      </c>
      <c r="V33">
        <f>O$1*((-2*10^-6)*N33^3+0.00032*N33^2-0.0021*N33)+P$1*((-2*10^-6)*O33^3+0.00032*O33^2-0.0021*O33)+Q$1*((-2*10^-6)*P33^3+0.00032*P33^2-0.0021*P33)+R$1*((-2*10^-6)*Q33^3+0.00032*Q33^2-0.0021*Q33)+S$1*((-2*10^-6)*R33^3+0.00032*R33^2-0.0021*R33)</f>
        <v>3.8182198000000009</v>
      </c>
      <c r="W33" s="6">
        <f>(H$1*H33+I$1*I33)/100</f>
        <v>4.25</v>
      </c>
      <c r="X33">
        <f>U33*J$2+V33*O$2+W33*H$2</f>
        <v>20.964368400000005</v>
      </c>
      <c r="Y33" t="str">
        <f>IF(AND(I33&gt;50,H33+I33&gt;75),"SP",IF(2*H33+I33&gt;120,"RP","CRAP"))</f>
        <v>SP</v>
      </c>
    </row>
    <row r="34" spans="1:25" ht="13.5" customHeight="1" thickBot="1" x14ac:dyDescent="0.35">
      <c r="A34">
        <f>(W34*H$2+U34*J$2+V34*O$2)*100/(W$4*H$2+U$4*J$2+V$4*O$2)</f>
        <v>58.332648238965682</v>
      </c>
      <c r="B34" s="20">
        <v>82</v>
      </c>
      <c r="C34" s="13" t="s">
        <v>110</v>
      </c>
      <c r="D34" s="21" t="s">
        <v>16</v>
      </c>
      <c r="E34" s="21" t="s">
        <v>20</v>
      </c>
      <c r="F34" s="21" t="s">
        <v>20</v>
      </c>
      <c r="G34" s="21">
        <v>18</v>
      </c>
      <c r="H34" s="21">
        <v>75</v>
      </c>
      <c r="I34" s="21">
        <v>26</v>
      </c>
      <c r="J34" s="21">
        <v>83</v>
      </c>
      <c r="K34" s="21">
        <v>47</v>
      </c>
      <c r="L34" s="21">
        <v>26</v>
      </c>
      <c r="M34" s="21">
        <v>31</v>
      </c>
      <c r="N34" s="21">
        <v>86</v>
      </c>
      <c r="O34" s="21">
        <v>79</v>
      </c>
      <c r="P34" s="21">
        <v>66</v>
      </c>
      <c r="Q34" s="21">
        <v>48</v>
      </c>
      <c r="R34" s="21">
        <v>0</v>
      </c>
      <c r="S34" s="21">
        <v>0</v>
      </c>
      <c r="T34" s="21">
        <v>54</v>
      </c>
      <c r="U34" s="6">
        <f>J$1*((-2*10^-6)*J34^3+0.00032*J34^2-0.0021*J34)+K$1*((-2*10^-6)*K34^3+0.00032*K34^2-0.0021*K34)+L$1*((-2*10^-6)*L34^3+0.00032*L34^2-0.0021*L34)+M$1*((-2*10^-6)*M34^3+0.00032*M34^2-0.0021*M34)+N$1*((-2*10^-6)*N34^3+0.00032*N34^2-0.0021*N34)</f>
        <v>2.5829672000000015</v>
      </c>
      <c r="V34">
        <f>O$1*((-2*10^-6)*N34^3+0.00032*N34^2-0.0021*N34)+P$1*((-2*10^-6)*O34^3+0.00032*O34^2-0.0021*O34)+Q$1*((-2*10^-6)*P34^3+0.00032*P34^2-0.0021*P34)+R$1*((-2*10^-6)*Q34^3+0.00032*Q34^2-0.0021*Q34)+S$1*((-2*10^-6)*R34^3+0.00032*R34^2-0.0021*R34)</f>
        <v>4.4062760000000019</v>
      </c>
      <c r="W34" s="6">
        <f>(H$1*H34+I$1*I34)/100</f>
        <v>1.79</v>
      </c>
      <c r="X34">
        <f>U34*J$2+V34*O$2+W34*H$2</f>
        <v>20.934420800000009</v>
      </c>
      <c r="Y34" t="str">
        <f>IF(AND(I34&gt;50,H34+I34&gt;75),"SP",IF(2*H34+I34&gt;120,"RP","CRAP"))</f>
        <v>RP</v>
      </c>
    </row>
    <row r="35" spans="1:25" ht="13.5" customHeight="1" thickBot="1" x14ac:dyDescent="0.35">
      <c r="A35">
        <f>(W35*H$2+U35*J$2+V35*O$2)*100/(W$4*H$2+U$4*J$2+V$4*O$2)</f>
        <v>58.332613687026303</v>
      </c>
      <c r="B35" s="18">
        <v>45</v>
      </c>
      <c r="C35" s="12" t="s">
        <v>73</v>
      </c>
      <c r="D35" s="19" t="s">
        <v>16</v>
      </c>
      <c r="E35" s="19" t="s">
        <v>20</v>
      </c>
      <c r="F35" s="19" t="s">
        <v>20</v>
      </c>
      <c r="G35" s="19">
        <v>18</v>
      </c>
      <c r="H35" s="19">
        <v>30</v>
      </c>
      <c r="I35" s="19">
        <v>87</v>
      </c>
      <c r="J35" s="19">
        <v>54</v>
      </c>
      <c r="K35" s="19">
        <v>53</v>
      </c>
      <c r="L35" s="19">
        <v>32</v>
      </c>
      <c r="M35" s="19">
        <v>85</v>
      </c>
      <c r="N35" s="19">
        <v>81</v>
      </c>
      <c r="O35" s="19">
        <v>83</v>
      </c>
      <c r="P35" s="19">
        <v>62</v>
      </c>
      <c r="Q35" s="19">
        <v>30</v>
      </c>
      <c r="R35" s="19">
        <v>35</v>
      </c>
      <c r="S35" s="19">
        <v>24</v>
      </c>
      <c r="T35" s="19">
        <v>62</v>
      </c>
      <c r="U35" s="6">
        <f>J$1*((-2*10^-6)*J35^3+0.00032*J35^2-0.0021*J35)+K$1*((-2*10^-6)*K35^3+0.00032*K35^2-0.0021*K35)+L$1*((-2*10^-6)*L35^3+0.00032*L35^2-0.0021*L35)+M$1*((-2*10^-6)*M35^3+0.00032*M35^2-0.0021*M35)+N$1*((-2*10^-6)*N35^3+0.00032*N35^2-0.0021*N35)</f>
        <v>2.1461836000000005</v>
      </c>
      <c r="V35">
        <f>O$1*((-2*10^-6)*N35^3+0.00032*N35^2-0.0021*N35)+P$1*((-2*10^-6)*O35^3+0.00032*O35^2-0.0021*O35)+Q$1*((-2*10^-6)*P35^3+0.00032*P35^2-0.0021*P35)+R$1*((-2*10^-6)*Q35^3+0.00032*Q35^2-0.0021*Q35)+S$1*((-2*10^-6)*R35^3+0.00032*R35^2-0.0021*R35)</f>
        <v>4.2848370000000005</v>
      </c>
      <c r="W35" s="6">
        <f>(H$1*H35+I$1*I35)/100</f>
        <v>3.78</v>
      </c>
      <c r="X35">
        <f>U35*J$2+V35*O$2+W35*H$2</f>
        <v>20.934408400000002</v>
      </c>
      <c r="Y35" t="str">
        <f>IF(AND(I35&gt;50,H35+I35&gt;75),"SP",IF(2*H35+I35&gt;120,"RP","CRAP"))</f>
        <v>SP</v>
      </c>
    </row>
    <row r="36" spans="1:25" ht="13.5" customHeight="1" thickBot="1" x14ac:dyDescent="0.35">
      <c r="A36">
        <f>(W36*H$2+U36*J$2+V36*O$2)*100/(W$4*H$2+U$4*J$2+V$4*O$2)</f>
        <v>57.509884083816317</v>
      </c>
      <c r="B36" s="18">
        <v>131</v>
      </c>
      <c r="C36" s="12" t="s">
        <v>159</v>
      </c>
      <c r="D36" s="19" t="s">
        <v>16</v>
      </c>
      <c r="E36" s="19" t="s">
        <v>19</v>
      </c>
      <c r="F36" s="19" t="s">
        <v>19</v>
      </c>
      <c r="G36" s="19">
        <v>22</v>
      </c>
      <c r="H36" s="19">
        <v>87</v>
      </c>
      <c r="I36" s="19">
        <v>25</v>
      </c>
      <c r="J36" s="19">
        <v>96</v>
      </c>
      <c r="K36" s="19">
        <v>49</v>
      </c>
      <c r="L36" s="19">
        <v>32</v>
      </c>
      <c r="M36" s="19">
        <v>92</v>
      </c>
      <c r="N36" s="19">
        <v>70</v>
      </c>
      <c r="O36" s="19">
        <v>56</v>
      </c>
      <c r="P36" s="19">
        <v>76</v>
      </c>
      <c r="Q36" s="19">
        <v>0</v>
      </c>
      <c r="R36" s="19">
        <v>0</v>
      </c>
      <c r="S36" s="19">
        <v>0</v>
      </c>
      <c r="T36" s="19">
        <v>60</v>
      </c>
      <c r="U36" s="6">
        <f>J$1*((-2*10^-6)*J36^3+0.00032*J36^2-0.0021*J36)+K$1*((-2*10^-6)*K36^3+0.00032*K36^2-0.0021*K36)+L$1*((-2*10^-6)*L36^3+0.00032*L36^2-0.0021*L36)+M$1*((-2*10^-6)*M36^3+0.00032*M36^2-0.0021*M36)+N$1*((-2*10^-6)*N36^3+0.00032*N36^2-0.0021*N36)</f>
        <v>3.0172148000000005</v>
      </c>
      <c r="V36">
        <f>O$1*((-2*10^-6)*N36^3+0.00032*N36^2-0.0021*N36)+P$1*((-2*10^-6)*O36^3+0.00032*O36^2-0.0021*O36)+Q$1*((-2*10^-6)*P36^3+0.00032*P36^2-0.0021*P36)+R$1*((-2*10^-6)*Q36^3+0.00032*Q36^2-0.0021*Q36)+S$1*((-2*10^-6)*R36^3+0.00032*R36^2-0.0021*R36)</f>
        <v>3.3501440000000011</v>
      </c>
      <c r="W36" s="6">
        <f>(H$1*H36+I$1*I36)/100</f>
        <v>1.87</v>
      </c>
      <c r="X36">
        <f>U36*J$2+V36*O$2+W36*H$2</f>
        <v>20.639147200000007</v>
      </c>
      <c r="Y36" t="str">
        <f>IF(AND(I36&gt;50,H36+I36&gt;75),"SP",IF(2*H36+I36&gt;120,"RP","CRAP"))</f>
        <v>RP</v>
      </c>
    </row>
    <row r="37" spans="1:25" ht="13.5" customHeight="1" thickBot="1" x14ac:dyDescent="0.35">
      <c r="A37">
        <f>(W37*H$2+U37*J$2+V37*O$2)*100/(W$4*H$2+U$4*J$2+V$4*O$2)</f>
        <v>57.265981943825238</v>
      </c>
      <c r="B37" s="18">
        <v>87</v>
      </c>
      <c r="C37" s="12" t="s">
        <v>115</v>
      </c>
      <c r="D37" s="19" t="s">
        <v>16</v>
      </c>
      <c r="E37" s="19" t="s">
        <v>19</v>
      </c>
      <c r="F37" s="19" t="s">
        <v>19</v>
      </c>
      <c r="G37" s="19">
        <v>18</v>
      </c>
      <c r="H37" s="19">
        <v>38</v>
      </c>
      <c r="I37" s="19">
        <v>29</v>
      </c>
      <c r="J37" s="19">
        <v>87</v>
      </c>
      <c r="K37" s="19">
        <v>43</v>
      </c>
      <c r="L37" s="19">
        <v>44</v>
      </c>
      <c r="M37" s="19">
        <v>80</v>
      </c>
      <c r="N37" s="19">
        <v>59</v>
      </c>
      <c r="O37" s="19">
        <v>64</v>
      </c>
      <c r="P37" s="19">
        <v>70</v>
      </c>
      <c r="Q37" s="19">
        <v>59</v>
      </c>
      <c r="R37" s="19">
        <v>0</v>
      </c>
      <c r="S37" s="19">
        <v>0</v>
      </c>
      <c r="T37" s="19">
        <v>53</v>
      </c>
      <c r="U37" s="6">
        <f>J$1*((-2*10^-6)*J37^3+0.00032*J37^2-0.0021*J37)+K$1*((-2*10^-6)*K37^3+0.00032*K37^2-0.0021*K37)+L$1*((-2*10^-6)*L37^3+0.00032*L37^2-0.0021*L37)+M$1*((-2*10^-6)*M37^3+0.00032*M37^2-0.0021*M37)+N$1*((-2*10^-6)*N37^3+0.00032*N37^2-0.0021*N37)</f>
        <v>3.0092944000000013</v>
      </c>
      <c r="V37">
        <f>O$1*((-2*10^-6)*N37^3+0.00032*N37^2-0.0021*N37)+P$1*((-2*10^-6)*O37^3+0.00032*O37^2-0.0021*O37)+Q$1*((-2*10^-6)*P37^3+0.00032*P37^2-0.0021*P37)+R$1*((-2*10^-6)*Q37^3+0.00032*Q37^2-0.0021*Q37)+S$1*((-2*10^-6)*R37^3+0.00032*R37^2-0.0021*R37)</f>
        <v>3.4872190000000005</v>
      </c>
      <c r="W37" s="6">
        <f>(H$1*H37+I$1*I37)/100</f>
        <v>1.54</v>
      </c>
      <c r="X37">
        <f>U37*J$2+V37*O$2+W37*H$2</f>
        <v>20.551615600000005</v>
      </c>
      <c r="Y37" t="str">
        <f>IF(AND(I37&gt;50,H37+I37&gt;75),"SP",IF(2*H37+I37&gt;120,"RP","CRAP"))</f>
        <v>CRAP</v>
      </c>
    </row>
    <row r="38" spans="1:25" ht="13.5" customHeight="1" thickBot="1" x14ac:dyDescent="0.35">
      <c r="A38">
        <f>(W38*H$2+U38*J$2+V38*O$2)*100/(W$4*H$2+U$4*J$2+V$4*O$2)</f>
        <v>56.878909942041915</v>
      </c>
      <c r="B38" s="20">
        <v>118</v>
      </c>
      <c r="C38" s="13" t="s">
        <v>146</v>
      </c>
      <c r="D38" s="21" t="s">
        <v>16</v>
      </c>
      <c r="E38" s="21" t="s">
        <v>19</v>
      </c>
      <c r="F38" s="21" t="s">
        <v>19</v>
      </c>
      <c r="G38" s="21">
        <v>22</v>
      </c>
      <c r="H38" s="21">
        <v>37</v>
      </c>
      <c r="I38" s="21">
        <v>84</v>
      </c>
      <c r="J38" s="21">
        <v>66</v>
      </c>
      <c r="K38" s="21">
        <v>52</v>
      </c>
      <c r="L38" s="21">
        <v>28</v>
      </c>
      <c r="M38" s="21">
        <v>72</v>
      </c>
      <c r="N38" s="21">
        <v>79</v>
      </c>
      <c r="O38" s="21">
        <v>56</v>
      </c>
      <c r="P38" s="21">
        <v>72</v>
      </c>
      <c r="Q38" s="21">
        <v>23</v>
      </c>
      <c r="R38" s="21">
        <v>17</v>
      </c>
      <c r="S38" s="21">
        <v>0</v>
      </c>
      <c r="T38" s="21">
        <v>63</v>
      </c>
      <c r="U38" s="6">
        <f>J$1*((-2*10^-6)*J38^3+0.00032*J38^2-0.0021*J38)+K$1*((-2*10^-6)*K38^3+0.00032*K38^2-0.0021*K38)+L$1*((-2*10^-6)*L38^3+0.00032*L38^2-0.0021*L38)+M$1*((-2*10^-6)*M38^3+0.00032*M38^2-0.0021*M38)+N$1*((-2*10^-6)*N38^3+0.00032*N38^2-0.0021*N38)</f>
        <v>2.3790492000000008</v>
      </c>
      <c r="V38">
        <f>O$1*((-2*10^-6)*N38^3+0.00032*N38^2-0.0021*N38)+P$1*((-2*10^-6)*O38^3+0.00032*O38^2-0.0021*O38)+Q$1*((-2*10^-6)*P38^3+0.00032*P38^2-0.0021*P38)+R$1*((-2*10^-6)*Q38^3+0.00032*Q38^2-0.0021*Q38)+S$1*((-2*10^-6)*R38^3+0.00032*R38^2-0.0021*R38)</f>
        <v>3.583253200000001</v>
      </c>
      <c r="W38" s="6">
        <f>(H$1*H38+I$1*I38)/100</f>
        <v>3.73</v>
      </c>
      <c r="X38">
        <f>U38*J$2+V38*O$2+W38*H$2</f>
        <v>20.412703200000006</v>
      </c>
      <c r="Y38" t="str">
        <f>IF(AND(I38&gt;50,H38+I38&gt;75),"SP",IF(2*H38+I38&gt;120,"RP","CRAP"))</f>
        <v>SP</v>
      </c>
    </row>
    <row r="39" spans="1:25" ht="13.5" customHeight="1" thickBot="1" x14ac:dyDescent="0.35">
      <c r="A39">
        <f>(W39*H$2+U39*J$2+V39*O$2)*100/(W$4*H$2+U$4*J$2+V$4*O$2)</f>
        <v>56.399411502452089</v>
      </c>
      <c r="B39" s="18">
        <v>111</v>
      </c>
      <c r="C39" s="12" t="s">
        <v>139</v>
      </c>
      <c r="D39" s="19" t="s">
        <v>16</v>
      </c>
      <c r="E39" s="19" t="s">
        <v>20</v>
      </c>
      <c r="F39" s="19" t="s">
        <v>20</v>
      </c>
      <c r="G39" s="19">
        <v>18</v>
      </c>
      <c r="H39" s="19">
        <v>33</v>
      </c>
      <c r="I39" s="19">
        <v>27</v>
      </c>
      <c r="J39" s="19">
        <v>64</v>
      </c>
      <c r="K39" s="19">
        <v>65</v>
      </c>
      <c r="L39" s="19">
        <v>44</v>
      </c>
      <c r="M39" s="19">
        <v>33</v>
      </c>
      <c r="N39" s="19">
        <v>68</v>
      </c>
      <c r="O39" s="19">
        <v>83</v>
      </c>
      <c r="P39" s="19">
        <v>55</v>
      </c>
      <c r="Q39" s="19">
        <v>47</v>
      </c>
      <c r="R39" s="19">
        <v>49</v>
      </c>
      <c r="S39" s="19">
        <v>38</v>
      </c>
      <c r="T39" s="19">
        <v>48</v>
      </c>
      <c r="U39" s="6">
        <f>J$1*((-2*10^-6)*J39^3+0.00032*J39^2-0.0021*J39)+K$1*((-2*10^-6)*K39^3+0.00032*K39^2-0.0021*K39)+L$1*((-2*10^-6)*L39^3+0.00032*L39^2-0.0021*L39)+M$1*((-2*10^-6)*M39^3+0.00032*M39^2-0.0021*M39)+N$1*((-2*10^-6)*N39^3+0.00032*N39^2-0.0021*N39)</f>
        <v>2.688506400000001</v>
      </c>
      <c r="V39">
        <f>O$1*((-2*10^-6)*N39^3+0.00032*N39^2-0.0021*N39)+P$1*((-2*10^-6)*O39^3+0.00032*O39^2-0.0021*O39)+Q$1*((-2*10^-6)*P39^3+0.00032*P39^2-0.0021*P39)+R$1*((-2*10^-6)*Q39^3+0.00032*Q39^2-0.0021*Q39)+S$1*((-2*10^-6)*R39^3+0.00032*R39^2-0.0021*R39)</f>
        <v>4.0382976000000017</v>
      </c>
      <c r="W39" s="6">
        <f>(H$1*H39+I$1*I39)/100</f>
        <v>1.41</v>
      </c>
      <c r="X39">
        <f>U39*J$2+V39*O$2+W39*H$2</f>
        <v>20.240620800000006</v>
      </c>
      <c r="Y39" t="str">
        <f>IF(AND(I39&gt;50,H39+I39&gt;75),"SP",IF(2*H39+I39&gt;120,"RP","CRAP"))</f>
        <v>CRAP</v>
      </c>
    </row>
    <row r="40" spans="1:25" ht="13.5" customHeight="1" thickBot="1" x14ac:dyDescent="0.35">
      <c r="A40">
        <f>(W40*H$2+U40*J$2+V40*O$2)*100/(W$4*H$2+U$4*J$2+V$4*O$2)</f>
        <v>55.911192599197506</v>
      </c>
      <c r="B40" s="20">
        <v>92</v>
      </c>
      <c r="C40" s="13" t="s">
        <v>120</v>
      </c>
      <c r="D40" s="21" t="s">
        <v>16</v>
      </c>
      <c r="E40" s="21" t="s">
        <v>19</v>
      </c>
      <c r="F40" s="21" t="s">
        <v>19</v>
      </c>
      <c r="G40" s="21">
        <v>18</v>
      </c>
      <c r="H40" s="21">
        <v>94</v>
      </c>
      <c r="I40" s="21">
        <v>19</v>
      </c>
      <c r="J40" s="21">
        <v>89</v>
      </c>
      <c r="K40" s="21">
        <v>24</v>
      </c>
      <c r="L40" s="21">
        <v>34</v>
      </c>
      <c r="M40" s="21">
        <v>38</v>
      </c>
      <c r="N40" s="21">
        <v>80</v>
      </c>
      <c r="O40" s="21">
        <v>76</v>
      </c>
      <c r="P40" s="21">
        <v>73</v>
      </c>
      <c r="Q40" s="21">
        <v>0</v>
      </c>
      <c r="R40" s="21">
        <v>0</v>
      </c>
      <c r="S40" s="21">
        <v>0</v>
      </c>
      <c r="T40" s="21">
        <v>52</v>
      </c>
      <c r="U40" s="6">
        <f>J$1*((-2*10^-6)*J40^3+0.00032*J40^2-0.0021*J40)+K$1*((-2*10^-6)*K40^3+0.00032*K40^2-0.0021*K40)+L$1*((-2*10^-6)*L40^3+0.00032*L40^2-0.0021*L40)+M$1*((-2*10^-6)*M40^3+0.00032*M40^2-0.0021*M40)+N$1*((-2*10^-6)*N40^3+0.00032*N40^2-0.0021*N40)</f>
        <v>2.5376112000000006</v>
      </c>
      <c r="V40">
        <f>O$1*((-2*10^-6)*N40^3+0.00032*N40^2-0.0021*N40)+P$1*((-2*10^-6)*O40^3+0.00032*O40^2-0.0021*O40)+Q$1*((-2*10^-6)*P40^3+0.00032*P40^2-0.0021*P40)+R$1*((-2*10^-6)*Q40^3+0.00032*Q40^2-0.0021*Q40)+S$1*((-2*10^-6)*R40^3+0.00032*R40^2-0.0021*R40)</f>
        <v>4.107482000000001</v>
      </c>
      <c r="W40" s="6">
        <f>(H$1*H40+I$1*I40)/100</f>
        <v>1.7</v>
      </c>
      <c r="X40">
        <f>U40*J$2+V40*O$2+W40*H$2</f>
        <v>20.065408800000004</v>
      </c>
      <c r="Y40" t="str">
        <f>IF(AND(I40&gt;50,H40+I40&gt;75),"SP",IF(2*H40+I40&gt;120,"RP","CRAP"))</f>
        <v>RP</v>
      </c>
    </row>
    <row r="41" spans="1:25" ht="13.5" customHeight="1" thickBot="1" x14ac:dyDescent="0.35">
      <c r="A41">
        <f>(W41*H$2+U41*J$2+V41*O$2)*100/(W$4*H$2+U$4*J$2+V$4*O$2)</f>
        <v>55.724925323227822</v>
      </c>
      <c r="B41" s="18">
        <v>53</v>
      </c>
      <c r="C41" s="12" t="s">
        <v>81</v>
      </c>
      <c r="D41" s="19" t="s">
        <v>16</v>
      </c>
      <c r="E41" s="19" t="s">
        <v>19</v>
      </c>
      <c r="F41" s="19" t="s">
        <v>19</v>
      </c>
      <c r="G41" s="19">
        <v>18</v>
      </c>
      <c r="H41" s="19">
        <v>28</v>
      </c>
      <c r="I41" s="19">
        <v>68</v>
      </c>
      <c r="J41" s="19">
        <v>74</v>
      </c>
      <c r="K41" s="19">
        <v>50</v>
      </c>
      <c r="L41" s="19">
        <v>60</v>
      </c>
      <c r="M41" s="19">
        <v>42</v>
      </c>
      <c r="N41" s="19">
        <v>30</v>
      </c>
      <c r="O41" s="19">
        <v>65</v>
      </c>
      <c r="P41" s="19">
        <v>60</v>
      </c>
      <c r="Q41" s="19">
        <v>44</v>
      </c>
      <c r="R41" s="19">
        <v>25</v>
      </c>
      <c r="S41" s="19">
        <v>0</v>
      </c>
      <c r="T41" s="19">
        <v>61</v>
      </c>
      <c r="U41" s="6">
        <f>J$1*((-2*10^-6)*J41^3+0.00032*J41^2-0.0021*J41)+K$1*((-2*10^-6)*K41^3+0.00032*K41^2-0.0021*K41)+L$1*((-2*10^-6)*L41^3+0.00032*L41^2-0.0021*L41)+M$1*((-2*10^-6)*M41^3+0.00032*M41^2-0.0021*M41)+N$1*((-2*10^-6)*N41^3+0.00032*N41^2-0.0021*N41)</f>
        <v>3.0087648000000007</v>
      </c>
      <c r="V41">
        <f>O$1*((-2*10^-6)*N41^3+0.00032*N41^2-0.0021*N41)+P$1*((-2*10^-6)*O41^3+0.00032*O41^2-0.0021*O41)+Q$1*((-2*10^-6)*P41^3+0.00032*P41^2-0.0021*P41)+R$1*((-2*10^-6)*Q41^3+0.00032*Q41^2-0.0021*Q41)+S$1*((-2*10^-6)*R41^3+0.00032*R41^2-0.0021*R41)</f>
        <v>2.4817510000000005</v>
      </c>
      <c r="W41" s="6">
        <f>(H$1*H41+I$1*I41)/100</f>
        <v>3</v>
      </c>
      <c r="X41">
        <f>U41*J$2+V41*O$2+W41*H$2</f>
        <v>19.998561200000005</v>
      </c>
      <c r="Y41" t="str">
        <f>IF(AND(I41&gt;50,H41+I41&gt;75),"SP",IF(2*H41+I41&gt;120,"RP","CRAP"))</f>
        <v>SP</v>
      </c>
    </row>
    <row r="42" spans="1:25" ht="13.5" customHeight="1" thickBot="1" x14ac:dyDescent="0.35">
      <c r="A42">
        <f>(W42*H$2+U42*J$2+V42*O$2)*100/(W$4*H$2+U$4*J$2+V$4*O$2)</f>
        <v>55.418584485064642</v>
      </c>
      <c r="B42" s="18">
        <v>179</v>
      </c>
      <c r="C42" s="12" t="s">
        <v>207</v>
      </c>
      <c r="D42" s="19" t="s">
        <v>16</v>
      </c>
      <c r="E42" s="19" t="s">
        <v>19</v>
      </c>
      <c r="F42" s="19" t="s">
        <v>19</v>
      </c>
      <c r="G42" s="19">
        <v>20</v>
      </c>
      <c r="H42" s="19">
        <v>29</v>
      </c>
      <c r="I42" s="19">
        <v>8</v>
      </c>
      <c r="J42" s="19">
        <v>49</v>
      </c>
      <c r="K42" s="19">
        <v>45</v>
      </c>
      <c r="L42" s="19">
        <v>73</v>
      </c>
      <c r="M42" s="19">
        <v>37</v>
      </c>
      <c r="N42" s="19">
        <v>100</v>
      </c>
      <c r="O42" s="19">
        <v>100</v>
      </c>
      <c r="P42" s="19">
        <v>39</v>
      </c>
      <c r="Q42" s="19">
        <v>19</v>
      </c>
      <c r="R42" s="19">
        <v>37</v>
      </c>
      <c r="S42" s="19">
        <v>0</v>
      </c>
      <c r="T42" s="19">
        <v>39</v>
      </c>
      <c r="U42" s="6">
        <f>J$1*((-2*10^-6)*J42^3+0.00032*J42^2-0.0021*J42)+K$1*((-2*10^-6)*K42^3+0.00032*K42^2-0.0021*K42)+L$1*((-2*10^-6)*L42^3+0.00032*L42^2-0.0021*L42)+M$1*((-2*10^-6)*M42^3+0.00032*M42^2-0.0021*M42)+N$1*((-2*10^-6)*N42^3+0.00032*N42^2-0.0021*N42)</f>
        <v>2.6422278000000001</v>
      </c>
      <c r="V42">
        <f>O$1*((-2*10^-6)*N42^3+0.00032*N42^2-0.0021*N42)+P$1*((-2*10^-6)*O42^3+0.00032*O42^2-0.0021*O42)+Q$1*((-2*10^-6)*P42^3+0.00032*P42^2-0.0021*P42)+R$1*((-2*10^-6)*Q42^3+0.00032*Q42^2-0.0021*Q42)+S$1*((-2*10^-6)*R42^3+0.00032*R42^2-0.0021*R42)</f>
        <v>4.3548552000000011</v>
      </c>
      <c r="W42" s="6">
        <f>(H$1*H42+I$1*I42)/100</f>
        <v>0.61</v>
      </c>
      <c r="X42">
        <f>U42*J$2+V42*O$2+W42*H$2</f>
        <v>19.8886216</v>
      </c>
      <c r="Y42" t="str">
        <f>IF(AND(I42&gt;50,H42+I42&gt;75),"SP",IF(2*H42+I42&gt;120,"RP","CRAP"))</f>
        <v>CRAP</v>
      </c>
    </row>
    <row r="43" spans="1:25" ht="13.5" customHeight="1" thickBot="1" x14ac:dyDescent="0.35">
      <c r="A43">
        <f>(W43*H$2+U43*J$2+V43*O$2)*100/(W$4*H$2+U$4*J$2+V$4*O$2)</f>
        <v>54.874962104324567</v>
      </c>
      <c r="B43" s="20">
        <v>22</v>
      </c>
      <c r="C43" s="13" t="s">
        <v>50</v>
      </c>
      <c r="D43" s="21" t="s">
        <v>16</v>
      </c>
      <c r="E43" s="21" t="s">
        <v>21</v>
      </c>
      <c r="F43" s="21" t="s">
        <v>20</v>
      </c>
      <c r="G43" s="21">
        <v>18</v>
      </c>
      <c r="H43" s="21">
        <v>80</v>
      </c>
      <c r="I43" s="21">
        <v>41</v>
      </c>
      <c r="J43" s="21">
        <v>47</v>
      </c>
      <c r="K43" s="21">
        <v>74</v>
      </c>
      <c r="L43" s="21">
        <v>54</v>
      </c>
      <c r="M43" s="21">
        <v>95</v>
      </c>
      <c r="N43" s="21">
        <v>51</v>
      </c>
      <c r="O43" s="21">
        <v>73</v>
      </c>
      <c r="P43" s="21">
        <v>84</v>
      </c>
      <c r="Q43" s="21">
        <v>0</v>
      </c>
      <c r="R43" s="21">
        <v>0</v>
      </c>
      <c r="S43" s="21">
        <v>0</v>
      </c>
      <c r="T43" s="21">
        <v>69</v>
      </c>
      <c r="U43" s="6">
        <f>J$1*((-2*10^-6)*J43^3+0.00032*J43^2-0.0021*J43)+K$1*((-2*10^-6)*K43^3+0.00032*K43^2-0.0021*K43)+L$1*((-2*10^-6)*L43^3+0.00032*L43^2-0.0021*L43)+M$1*((-2*10^-6)*M43^3+0.00032*M43^2-0.0021*M43)+N$1*((-2*10^-6)*N43^3+0.00032*N43^2-0.0021*N43)</f>
        <v>2.6314616000000002</v>
      </c>
      <c r="V43">
        <f>O$1*((-2*10^-6)*N43^3+0.00032*N43^2-0.0021*N43)+P$1*((-2*10^-6)*O43^3+0.00032*O43^2-0.0021*O43)+Q$1*((-2*10^-6)*P43^3+0.00032*P43^2-0.0021*P43)+R$1*((-2*10^-6)*Q43^3+0.00032*Q43^2-0.0021*Q43)+S$1*((-2*10^-6)*R43^3+0.00032*R43^2-0.0021*R43)</f>
        <v>3.3638400000000006</v>
      </c>
      <c r="W43" s="6">
        <f>(H$1*H43+I$1*I43)/100</f>
        <v>2.44</v>
      </c>
      <c r="X43">
        <f>U43*J$2+V43*O$2+W43*H$2</f>
        <v>19.693526400000003</v>
      </c>
      <c r="Y43" t="str">
        <f>IF(AND(I43&gt;50,H43+I43&gt;75),"SP",IF(2*H43+I43&gt;120,"RP","CRAP"))</f>
        <v>RP</v>
      </c>
    </row>
    <row r="44" spans="1:25" ht="13.5" customHeight="1" thickBot="1" x14ac:dyDescent="0.35">
      <c r="A44">
        <f>(W44*H$2+U44*J$2+V44*O$2)*100/(W$4*H$2+U$4*J$2+V$4*O$2)</f>
        <v>54.753956754346852</v>
      </c>
      <c r="B44" s="18">
        <v>63</v>
      </c>
      <c r="C44" s="12" t="s">
        <v>91</v>
      </c>
      <c r="D44" s="19" t="s">
        <v>16</v>
      </c>
      <c r="E44" s="19" t="s">
        <v>20</v>
      </c>
      <c r="F44" s="19" t="s">
        <v>20</v>
      </c>
      <c r="G44" s="19">
        <v>18</v>
      </c>
      <c r="H44" s="19">
        <v>38</v>
      </c>
      <c r="I44" s="19">
        <v>66</v>
      </c>
      <c r="J44" s="19">
        <v>89</v>
      </c>
      <c r="K44" s="19">
        <v>39</v>
      </c>
      <c r="L44" s="19">
        <v>35</v>
      </c>
      <c r="M44" s="19">
        <v>36</v>
      </c>
      <c r="N44" s="19">
        <v>44</v>
      </c>
      <c r="O44" s="19">
        <v>72</v>
      </c>
      <c r="P44" s="19">
        <v>52</v>
      </c>
      <c r="Q44" s="19">
        <v>48</v>
      </c>
      <c r="R44" s="19">
        <v>50</v>
      </c>
      <c r="S44" s="19">
        <v>0</v>
      </c>
      <c r="T44" s="19">
        <v>59</v>
      </c>
      <c r="U44" s="6">
        <f>J$1*((-2*10^-6)*J44^3+0.00032*J44^2-0.0021*J44)+K$1*((-2*10^-6)*K44^3+0.00032*K44^2-0.0021*K44)+L$1*((-2*10^-6)*L44^3+0.00032*L44^2-0.0021*L44)+M$1*((-2*10^-6)*M44^3+0.00032*M44^2-0.0021*M44)+N$1*((-2*10^-6)*N44^3+0.00032*N44^2-0.0021*N44)</f>
        <v>2.6315830000000004</v>
      </c>
      <c r="V44">
        <f>O$1*((-2*10^-6)*N44^3+0.00032*N44^2-0.0021*N44)+P$1*((-2*10^-6)*O44^3+0.00032*O44^2-0.0021*O44)+Q$1*((-2*10^-6)*P44^3+0.00032*P44^2-0.0021*P44)+R$1*((-2*10^-6)*Q44^3+0.00032*Q44^2-0.0021*Q44)+S$1*((-2*10^-6)*R44^3+0.00032*R44^2-0.0021*R44)</f>
        <v>3.0518840000000007</v>
      </c>
      <c r="W44" s="6">
        <f>(H$1*H44+I$1*I44)/100</f>
        <v>3.02</v>
      </c>
      <c r="X44">
        <f>U44*J$2+V44*O$2+W44*H$2</f>
        <v>19.650100000000002</v>
      </c>
      <c r="Y44" t="str">
        <f>IF(AND(I44&gt;50,H44+I44&gt;75),"SP",IF(2*H44+I44&gt;120,"RP","CRAP"))</f>
        <v>SP</v>
      </c>
    </row>
    <row r="45" spans="1:25" ht="13.5" customHeight="1" thickBot="1" x14ac:dyDescent="0.35">
      <c r="A45">
        <f>(W45*H$2+U45*J$2+V45*O$2)*100/(W$4*H$2+U$4*J$2+V$4*O$2)</f>
        <v>54.53907044137317</v>
      </c>
      <c r="B45" s="20">
        <v>112</v>
      </c>
      <c r="C45" s="13" t="s">
        <v>140</v>
      </c>
      <c r="D45" s="21" t="s">
        <v>16</v>
      </c>
      <c r="E45" s="21" t="s">
        <v>20</v>
      </c>
      <c r="F45" s="21" t="s">
        <v>20</v>
      </c>
      <c r="G45" s="21">
        <v>18</v>
      </c>
      <c r="H45" s="21">
        <v>43</v>
      </c>
      <c r="I45" s="21">
        <v>24</v>
      </c>
      <c r="J45" s="21">
        <v>69</v>
      </c>
      <c r="K45" s="21">
        <v>58</v>
      </c>
      <c r="L45" s="21">
        <v>32</v>
      </c>
      <c r="M45" s="21">
        <v>20</v>
      </c>
      <c r="N45" s="21">
        <v>76</v>
      </c>
      <c r="O45" s="21">
        <v>78</v>
      </c>
      <c r="P45" s="21">
        <v>57</v>
      </c>
      <c r="Q45" s="21">
        <v>46</v>
      </c>
      <c r="R45" s="21">
        <v>44</v>
      </c>
      <c r="S45" s="21">
        <v>0</v>
      </c>
      <c r="T45" s="21">
        <v>48</v>
      </c>
      <c r="U45" s="6">
        <f>J$1*((-2*10^-6)*J45^3+0.00032*J45^2-0.0021*J45)+K$1*((-2*10^-6)*K45^3+0.00032*K45^2-0.0021*K45)+L$1*((-2*10^-6)*L45^3+0.00032*L45^2-0.0021*L45)+M$1*((-2*10^-6)*M45^3+0.00032*M45^2-0.0021*M45)+N$1*((-2*10^-6)*N45^3+0.00032*N45^2-0.0021*N45)</f>
        <v>2.4762296000000004</v>
      </c>
      <c r="V45">
        <f>O$1*((-2*10^-6)*N45^3+0.00032*N45^2-0.0021*N45)+P$1*((-2*10^-6)*O45^3+0.00032*O45^2-0.0021*O45)+Q$1*((-2*10^-6)*P45^3+0.00032*P45^2-0.0021*P45)+R$1*((-2*10^-6)*Q45^3+0.00032*Q45^2-0.0021*Q45)+S$1*((-2*10^-6)*R45^3+0.00032*R45^2-0.0021*R45)</f>
        <v>4.1390316000000009</v>
      </c>
      <c r="W45" s="6">
        <f>(H$1*H45+I$1*I45)/100</f>
        <v>1.39</v>
      </c>
      <c r="X45">
        <f>U45*J$2+V45*O$2+W45*H$2</f>
        <v>19.572981600000006</v>
      </c>
      <c r="Y45" t="str">
        <f>IF(AND(I45&gt;50,H45+I45&gt;75),"SP",IF(2*H45+I45&gt;120,"RP","CRAP"))</f>
        <v>CRAP</v>
      </c>
    </row>
    <row r="46" spans="1:25" ht="13.5" customHeight="1" thickBot="1" x14ac:dyDescent="0.35">
      <c r="A46">
        <f>(W46*H$2+U46*J$2+V46*O$2)*100/(W$4*H$2+U$4*J$2+V$4*O$2)</f>
        <v>54.506777753009359</v>
      </c>
      <c r="B46" s="18">
        <v>145</v>
      </c>
      <c r="C46" s="12" t="s">
        <v>173</v>
      </c>
      <c r="D46" s="19" t="s">
        <v>16</v>
      </c>
      <c r="E46" s="19" t="s">
        <v>20</v>
      </c>
      <c r="F46" s="19" t="s">
        <v>20</v>
      </c>
      <c r="G46" s="19">
        <v>21</v>
      </c>
      <c r="H46" s="19">
        <v>64</v>
      </c>
      <c r="I46" s="19">
        <v>36</v>
      </c>
      <c r="J46" s="19">
        <v>84</v>
      </c>
      <c r="K46" s="19">
        <v>21</v>
      </c>
      <c r="L46" s="19">
        <v>58</v>
      </c>
      <c r="M46" s="19">
        <v>51</v>
      </c>
      <c r="N46" s="19">
        <v>60</v>
      </c>
      <c r="O46" s="19">
        <v>47</v>
      </c>
      <c r="P46" s="19">
        <v>80</v>
      </c>
      <c r="Q46" s="19">
        <v>21</v>
      </c>
      <c r="R46" s="19">
        <v>0</v>
      </c>
      <c r="S46" s="19">
        <v>0</v>
      </c>
      <c r="T46" s="19">
        <v>58</v>
      </c>
      <c r="U46" s="6">
        <f>J$1*((-2*10^-6)*J46^3+0.00032*J46^2-0.0021*J46)+K$1*((-2*10^-6)*K46^3+0.00032*K46^2-0.0021*K46)+L$1*((-2*10^-6)*L46^3+0.00032*L46^2-0.0021*L46)+M$1*((-2*10^-6)*M46^3+0.00032*M46^2-0.0021*M46)+N$1*((-2*10^-6)*N46^3+0.00032*N46^2-0.0021*N46)</f>
        <v>2.9281896000000009</v>
      </c>
      <c r="V46">
        <f>O$1*((-2*10^-6)*N46^3+0.00032*N46^2-0.0021*N46)+P$1*((-2*10^-6)*O46^3+0.00032*O46^2-0.0021*O46)+Q$1*((-2*10^-6)*P46^3+0.00032*P46^2-0.0021*P46)+R$1*((-2*10^-6)*Q46^3+0.00032*Q46^2-0.0021*Q46)+S$1*((-2*10^-6)*R46^3+0.00032*R46^2-0.0021*R46)</f>
        <v>2.8843170000000002</v>
      </c>
      <c r="W46" s="6">
        <f>(H$1*H46+I$1*I46)/100</f>
        <v>2.08</v>
      </c>
      <c r="X46">
        <f>U46*J$2+V46*O$2+W46*H$2</f>
        <v>19.561392400000003</v>
      </c>
      <c r="Y46" t="str">
        <f>IF(AND(I46&gt;50,H46+I46&gt;75),"SP",IF(2*H46+I46&gt;120,"RP","CRAP"))</f>
        <v>RP</v>
      </c>
    </row>
    <row r="47" spans="1:25" ht="13.5" customHeight="1" thickBot="1" x14ac:dyDescent="0.35">
      <c r="A47">
        <f>(W47*H$2+U47*J$2+V47*O$2)*100/(W$4*H$2+U$4*J$2+V$4*O$2)</f>
        <v>54.456707534551938</v>
      </c>
      <c r="B47" s="20">
        <v>46</v>
      </c>
      <c r="C47" s="13" t="s">
        <v>74</v>
      </c>
      <c r="D47" s="21" t="s">
        <v>16</v>
      </c>
      <c r="E47" s="21" t="s">
        <v>19</v>
      </c>
      <c r="F47" s="21" t="s">
        <v>19</v>
      </c>
      <c r="G47" s="21">
        <v>18</v>
      </c>
      <c r="H47" s="21">
        <v>71</v>
      </c>
      <c r="I47" s="21">
        <v>46</v>
      </c>
      <c r="J47" s="21">
        <v>80</v>
      </c>
      <c r="K47" s="21">
        <v>38</v>
      </c>
      <c r="L47" s="21">
        <v>37</v>
      </c>
      <c r="M47" s="21">
        <v>85</v>
      </c>
      <c r="N47" s="21">
        <v>67</v>
      </c>
      <c r="O47" s="21">
        <v>61</v>
      </c>
      <c r="P47" s="21">
        <v>54</v>
      </c>
      <c r="Q47" s="21">
        <v>0</v>
      </c>
      <c r="R47" s="21">
        <v>0</v>
      </c>
      <c r="S47" s="21">
        <v>0</v>
      </c>
      <c r="T47" s="21">
        <v>62</v>
      </c>
      <c r="U47" s="6">
        <f>J$1*((-2*10^-6)*J47^3+0.00032*J47^2-0.0021*J47)+K$1*((-2*10^-6)*K47^3+0.00032*K47^2-0.0021*K47)+L$1*((-2*10^-6)*L47^3+0.00032*L47^2-0.0021*L47)+M$1*((-2*10^-6)*M47^3+0.00032*M47^2-0.0021*M47)+N$1*((-2*10^-6)*N47^3+0.00032*N47^2-0.0021*N47)</f>
        <v>2.6930478000000004</v>
      </c>
      <c r="V47">
        <f>O$1*((-2*10^-6)*N47^3+0.00032*N47^2-0.0021*N47)+P$1*((-2*10^-6)*O47^3+0.00032*O47^2-0.0021*O47)+Q$1*((-2*10^-6)*P47^3+0.00032*P47^2-0.0021*P47)+R$1*((-2*10^-6)*Q47^3+0.00032*Q47^2-0.0021*Q47)+S$1*((-2*10^-6)*R47^3+0.00032*R47^2-0.0021*R47)</f>
        <v>3.1106160000000003</v>
      </c>
      <c r="W47" s="6">
        <f>(H$1*H47+I$1*I47)/100</f>
        <v>2.5499999999999998</v>
      </c>
      <c r="X47">
        <f>U47*J$2+V47*O$2+W47*H$2</f>
        <v>19.543423200000003</v>
      </c>
      <c r="Y47" t="str">
        <f>IF(AND(I47&gt;50,H47+I47&gt;75),"SP",IF(2*H47+I47&gt;120,"RP","CRAP"))</f>
        <v>RP</v>
      </c>
    </row>
    <row r="48" spans="1:25" ht="13.5" customHeight="1" thickBot="1" x14ac:dyDescent="0.35">
      <c r="A48">
        <f>(W48*H$2+U48*J$2+V48*O$2)*100/(W$4*H$2+U$4*J$2+V$4*O$2)</f>
        <v>54.272016272848873</v>
      </c>
      <c r="B48" s="18">
        <v>37</v>
      </c>
      <c r="C48" s="12" t="s">
        <v>65</v>
      </c>
      <c r="D48" s="19" t="s">
        <v>16</v>
      </c>
      <c r="E48" s="19" t="s">
        <v>20</v>
      </c>
      <c r="F48" s="19" t="s">
        <v>20</v>
      </c>
      <c r="G48" s="19">
        <v>18</v>
      </c>
      <c r="H48" s="19">
        <v>36</v>
      </c>
      <c r="I48" s="19">
        <v>76</v>
      </c>
      <c r="J48" s="19">
        <v>26</v>
      </c>
      <c r="K48" s="19">
        <v>66</v>
      </c>
      <c r="L48" s="19">
        <v>53</v>
      </c>
      <c r="M48" s="19">
        <v>49</v>
      </c>
      <c r="N48" s="19">
        <v>79</v>
      </c>
      <c r="O48" s="19">
        <v>75</v>
      </c>
      <c r="P48" s="19">
        <v>72</v>
      </c>
      <c r="Q48" s="19">
        <v>39</v>
      </c>
      <c r="R48" s="19">
        <v>0</v>
      </c>
      <c r="S48" s="19">
        <v>0</v>
      </c>
      <c r="T48" s="19">
        <v>64</v>
      </c>
      <c r="U48" s="6">
        <f>J$1*((-2*10^-6)*J48^3+0.00032*J48^2-0.0021*J48)+K$1*((-2*10^-6)*K48^3+0.00032*K48^2-0.0021*K48)+L$1*((-2*10^-6)*L48^3+0.00032*L48^2-0.0021*L48)+M$1*((-2*10^-6)*M48^3+0.00032*M48^2-0.0021*M48)+N$1*((-2*10^-6)*N48^3+0.00032*N48^2-0.0021*N48)</f>
        <v>1.9232558000000006</v>
      </c>
      <c r="V48">
        <f>O$1*((-2*10^-6)*N48^3+0.00032*N48^2-0.0021*N48)+P$1*((-2*10^-6)*O48^3+0.00032*O48^2-0.0021*O48)+Q$1*((-2*10^-6)*P48^3+0.00032*P48^2-0.0021*P48)+R$1*((-2*10^-6)*Q48^3+0.00032*Q48^2-0.0021*Q48)+S$1*((-2*10^-6)*R48^3+0.00032*R48^2-0.0021*R48)</f>
        <v>4.1920590000000013</v>
      </c>
      <c r="W48" s="6">
        <f>(H$1*H48+I$1*I48)/100</f>
        <v>3.4</v>
      </c>
      <c r="X48">
        <f>U48*J$2+V48*O$2+W48*H$2</f>
        <v>19.477141200000005</v>
      </c>
      <c r="Y48" t="str">
        <f>IF(AND(I48&gt;50,H48+I48&gt;75),"SP",IF(2*H48+I48&gt;120,"RP","CRAP"))</f>
        <v>SP</v>
      </c>
    </row>
    <row r="49" spans="1:25" ht="13.5" customHeight="1" thickBot="1" x14ac:dyDescent="0.35">
      <c r="A49">
        <f>(W49*H$2+U49*J$2+V49*O$2)*100/(W$4*H$2+U$4*J$2+V$4*O$2)</f>
        <v>53.966501337494435</v>
      </c>
      <c r="B49" s="18">
        <v>65</v>
      </c>
      <c r="C49" s="12" t="s">
        <v>93</v>
      </c>
      <c r="D49" s="19" t="s">
        <v>16</v>
      </c>
      <c r="E49" s="19" t="s">
        <v>20</v>
      </c>
      <c r="F49" s="19" t="s">
        <v>20</v>
      </c>
      <c r="G49" s="19">
        <v>18</v>
      </c>
      <c r="H49" s="19">
        <v>35</v>
      </c>
      <c r="I49" s="19">
        <v>95</v>
      </c>
      <c r="J49" s="19">
        <v>89</v>
      </c>
      <c r="K49" s="19">
        <v>34</v>
      </c>
      <c r="L49" s="19">
        <v>22</v>
      </c>
      <c r="M49" s="19">
        <v>47</v>
      </c>
      <c r="N49" s="19">
        <v>53</v>
      </c>
      <c r="O49" s="19">
        <v>64</v>
      </c>
      <c r="P49" s="19">
        <v>46</v>
      </c>
      <c r="Q49" s="19">
        <v>37</v>
      </c>
      <c r="R49" s="19">
        <v>0</v>
      </c>
      <c r="S49" s="19">
        <v>0</v>
      </c>
      <c r="T49" s="19">
        <v>58</v>
      </c>
      <c r="U49" s="6">
        <f>J$1*((-2*10^-6)*J49^3+0.00032*J49^2-0.0021*J49)+K$1*((-2*10^-6)*K49^3+0.00032*K49^2-0.0021*K49)+L$1*((-2*10^-6)*L49^3+0.00032*L49^2-0.0021*L49)+M$1*((-2*10^-6)*M49^3+0.00032*M49^2-0.0021*M49)+N$1*((-2*10^-6)*N49^3+0.00032*N49^2-0.0021*N49)</f>
        <v>2.4048240000000005</v>
      </c>
      <c r="V49">
        <f>O$1*((-2*10^-6)*N49^3+0.00032*N49^2-0.0021*N49)+P$1*((-2*10^-6)*O49^3+0.00032*O49^2-0.0021*O49)+Q$1*((-2*10^-6)*P49^3+0.00032*P49^2-0.0021*P49)+R$1*((-2*10^-6)*Q49^3+0.00032*Q49^2-0.0021*Q49)+S$1*((-2*10^-6)*R49^3+0.00032*R49^2-0.0021*R49)</f>
        <v>2.7991010000000007</v>
      </c>
      <c r="W49" s="6">
        <f>(H$1*H49+I$1*I49)/100</f>
        <v>4.1500000000000004</v>
      </c>
      <c r="X49">
        <f>U49*J$2+V49*O$2+W49*H$2</f>
        <v>19.367498000000005</v>
      </c>
      <c r="Y49" t="str">
        <f>IF(AND(I49&gt;50,H49+I49&gt;75),"SP",IF(2*H49+I49&gt;120,"RP","CRAP"))</f>
        <v>SP</v>
      </c>
    </row>
    <row r="50" spans="1:25" ht="13.5" customHeight="1" thickBot="1" x14ac:dyDescent="0.35">
      <c r="A50">
        <f>(W50*H$2+U50*J$2+V50*O$2)*100/(W$4*H$2+U$4*J$2+V$4*O$2)</f>
        <v>53.643328131966122</v>
      </c>
      <c r="B50" s="18">
        <v>83</v>
      </c>
      <c r="C50" s="12" t="s">
        <v>111</v>
      </c>
      <c r="D50" s="19" t="s">
        <v>16</v>
      </c>
      <c r="E50" s="19" t="s">
        <v>19</v>
      </c>
      <c r="F50" s="19" t="s">
        <v>19</v>
      </c>
      <c r="G50" s="19">
        <v>18</v>
      </c>
      <c r="H50" s="19">
        <v>87</v>
      </c>
      <c r="I50" s="19">
        <v>27</v>
      </c>
      <c r="J50" s="19">
        <v>82</v>
      </c>
      <c r="K50" s="19">
        <v>33</v>
      </c>
      <c r="L50" s="19">
        <v>27</v>
      </c>
      <c r="M50" s="19">
        <v>86</v>
      </c>
      <c r="N50" s="19">
        <v>77</v>
      </c>
      <c r="O50" s="19">
        <v>69</v>
      </c>
      <c r="P50" s="19">
        <v>56</v>
      </c>
      <c r="Q50" s="19">
        <v>0</v>
      </c>
      <c r="R50" s="19">
        <v>0</v>
      </c>
      <c r="S50" s="19">
        <v>0</v>
      </c>
      <c r="T50" s="19">
        <v>54</v>
      </c>
      <c r="U50" s="6">
        <f>J$1*((-2*10^-6)*J50^3+0.00032*J50^2-0.0021*J50)+K$1*((-2*10^-6)*K50^3+0.00032*K50^2-0.0021*K50)+L$1*((-2*10^-6)*L50^3+0.00032*L50^2-0.0021*L50)+M$1*((-2*10^-6)*M50^3+0.00032*M50^2-0.0021*M50)+N$1*((-2*10^-6)*N50^3+0.00032*N50^2-0.0021*N50)</f>
        <v>2.5139194000000007</v>
      </c>
      <c r="V50">
        <f>O$1*((-2*10^-6)*N50^3+0.00032*N50^2-0.0021*N50)+P$1*((-2*10^-6)*O50^3+0.00032*O50^2-0.0021*O50)+Q$1*((-2*10^-6)*P50^3+0.00032*P50^2-0.0021*P50)+R$1*((-2*10^-6)*Q50^3+0.00032*Q50^2-0.0021*Q50)+S$1*((-2*10^-6)*R50^3+0.00032*R50^2-0.0021*R50)</f>
        <v>3.6229200000000006</v>
      </c>
      <c r="W50" s="6">
        <f>(H$1*H50+I$1*I50)/100</f>
        <v>1.95</v>
      </c>
      <c r="X50">
        <f>U50*J$2+V50*O$2+W50*H$2</f>
        <v>19.251517600000003</v>
      </c>
      <c r="Y50" t="str">
        <f>IF(AND(I50&gt;50,H50+I50&gt;75),"SP",IF(2*H50+I50&gt;120,"RP","CRAP"))</f>
        <v>RP</v>
      </c>
    </row>
    <row r="51" spans="1:25" ht="13.5" customHeight="1" thickBot="1" x14ac:dyDescent="0.35">
      <c r="A51">
        <f>(W51*H$2+U51*J$2+V51*O$2)*100/(W$4*H$2+U$4*J$2+V$4*O$2)</f>
        <v>53.496647347302726</v>
      </c>
      <c r="B51" s="18">
        <v>75</v>
      </c>
      <c r="C51" s="12" t="s">
        <v>103</v>
      </c>
      <c r="D51" s="19" t="s">
        <v>16</v>
      </c>
      <c r="E51" s="19" t="s">
        <v>20</v>
      </c>
      <c r="F51" s="19" t="s">
        <v>20</v>
      </c>
      <c r="G51" s="19">
        <v>18</v>
      </c>
      <c r="H51" s="19">
        <v>82</v>
      </c>
      <c r="I51" s="19">
        <v>38</v>
      </c>
      <c r="J51" s="19">
        <v>83</v>
      </c>
      <c r="K51" s="19">
        <v>35</v>
      </c>
      <c r="L51" s="19">
        <v>15</v>
      </c>
      <c r="M51" s="19">
        <v>91</v>
      </c>
      <c r="N51" s="19">
        <v>76</v>
      </c>
      <c r="O51" s="19">
        <v>70</v>
      </c>
      <c r="P51" s="19">
        <v>55</v>
      </c>
      <c r="Q51" s="19">
        <v>0</v>
      </c>
      <c r="R51" s="19">
        <v>0</v>
      </c>
      <c r="S51" s="19">
        <v>0</v>
      </c>
      <c r="T51" s="19">
        <v>56</v>
      </c>
      <c r="U51" s="6">
        <f>J$1*((-2*10^-6)*J51^3+0.00032*J51^2-0.0021*J51)+K$1*((-2*10^-6)*K51^3+0.00032*K51^2-0.0021*K51)+L$1*((-2*10^-6)*L51^3+0.00032*L51^2-0.0021*L51)+M$1*((-2*10^-6)*M51^3+0.00032*M51^2-0.0021*M51)+N$1*((-2*10^-6)*N51^3+0.00032*N51^2-0.0021*N51)</f>
        <v>2.4090762000000008</v>
      </c>
      <c r="V51">
        <f>O$1*((-2*10^-6)*N51^3+0.00032*N51^2-0.0021*N51)+P$1*((-2*10^-6)*O51^3+0.00032*O51^2-0.0021*O51)+Q$1*((-2*10^-6)*P51^3+0.00032*P51^2-0.0021*P51)+R$1*((-2*10^-6)*Q51^3+0.00032*Q51^2-0.0021*Q51)+S$1*((-2*10^-6)*R51^3+0.00032*R51^2-0.0021*R51)</f>
        <v>3.6112860000000007</v>
      </c>
      <c r="W51" s="6">
        <f>(H$1*H51+I$1*I51)/100</f>
        <v>2.34</v>
      </c>
      <c r="X51">
        <f>U51*J$2+V51*O$2+W51*H$2</f>
        <v>19.198876800000004</v>
      </c>
      <c r="Y51" t="str">
        <f>IF(AND(I51&gt;50,H51+I51&gt;75),"SP",IF(2*H51+I51&gt;120,"RP","CRAP"))</f>
        <v>RP</v>
      </c>
    </row>
    <row r="52" spans="1:25" ht="13.5" customHeight="1" thickBot="1" x14ac:dyDescent="0.35">
      <c r="A52">
        <f>(W52*H$2+U52*J$2+V52*O$2)*100/(W$4*H$2+U$4*J$2+V$4*O$2)</f>
        <v>53.294757021845754</v>
      </c>
      <c r="B52" s="20">
        <v>76</v>
      </c>
      <c r="C52" s="13" t="s">
        <v>104</v>
      </c>
      <c r="D52" s="21" t="s">
        <v>16</v>
      </c>
      <c r="E52" s="21" t="s">
        <v>19</v>
      </c>
      <c r="F52" s="21" t="s">
        <v>19</v>
      </c>
      <c r="G52" s="21">
        <v>18</v>
      </c>
      <c r="H52" s="21">
        <v>55</v>
      </c>
      <c r="I52" s="21">
        <v>46</v>
      </c>
      <c r="J52" s="21">
        <v>86</v>
      </c>
      <c r="K52" s="21">
        <v>31</v>
      </c>
      <c r="L52" s="21">
        <v>25</v>
      </c>
      <c r="M52" s="21">
        <v>36</v>
      </c>
      <c r="N52" s="21">
        <v>75</v>
      </c>
      <c r="O52" s="21">
        <v>71</v>
      </c>
      <c r="P52" s="21">
        <v>47</v>
      </c>
      <c r="Q52" s="21">
        <v>30</v>
      </c>
      <c r="R52" s="21">
        <v>0</v>
      </c>
      <c r="S52" s="21">
        <v>0</v>
      </c>
      <c r="T52" s="21">
        <v>56</v>
      </c>
      <c r="U52" s="6">
        <f>J$1*((-2*10^-6)*J52^3+0.00032*J52^2-0.0021*J52)+K$1*((-2*10^-6)*K52^3+0.00032*K52^2-0.0021*K52)+L$1*((-2*10^-6)*L52^3+0.00032*L52^2-0.0021*L52)+M$1*((-2*10^-6)*M52^3+0.00032*M52^2-0.0021*M52)+N$1*((-2*10^-6)*N52^3+0.00032*N52^2-0.0021*N52)</f>
        <v>2.394140600000001</v>
      </c>
      <c r="V52">
        <f>O$1*((-2*10^-6)*N52^3+0.00032*N52^2-0.0021*N52)+P$1*((-2*10^-6)*O52^3+0.00032*O52^2-0.0021*O52)+Q$1*((-2*10^-6)*P52^3+0.00032*P52^2-0.0021*P52)+R$1*((-2*10^-6)*Q52^3+0.00032*Q52^2-0.0021*Q52)+S$1*((-2*10^-6)*R52^3+0.00032*R52^2-0.0021*R52)</f>
        <v>3.5799300000000005</v>
      </c>
      <c r="W52" s="6">
        <f>(H$1*H52+I$1*I52)/100</f>
        <v>2.39</v>
      </c>
      <c r="X52">
        <f>U52*J$2+V52*O$2+W52*H$2</f>
        <v>19.126422400000006</v>
      </c>
      <c r="Y52" t="str">
        <f>IF(AND(I52&gt;50,H52+I52&gt;75),"SP",IF(2*H52+I52&gt;120,"RP","CRAP"))</f>
        <v>RP</v>
      </c>
    </row>
    <row r="53" spans="1:25" ht="13.5" customHeight="1" thickBot="1" x14ac:dyDescent="0.35">
      <c r="A53">
        <f>(W53*H$2+U53*J$2+V53*O$2)*100/(W$4*H$2+U$4*J$2+V$4*O$2)</f>
        <v>53.188687026304059</v>
      </c>
      <c r="B53" s="18">
        <v>79</v>
      </c>
      <c r="C53" s="12" t="s">
        <v>107</v>
      </c>
      <c r="D53" s="19" t="s">
        <v>16</v>
      </c>
      <c r="E53" s="19" t="s">
        <v>21</v>
      </c>
      <c r="F53" s="19" t="s">
        <v>19</v>
      </c>
      <c r="G53" s="19">
        <v>18</v>
      </c>
      <c r="H53" s="19">
        <v>39</v>
      </c>
      <c r="I53" s="19">
        <v>32</v>
      </c>
      <c r="J53" s="19">
        <v>39</v>
      </c>
      <c r="K53" s="19">
        <v>57</v>
      </c>
      <c r="L53" s="19">
        <v>68</v>
      </c>
      <c r="M53" s="19">
        <v>52</v>
      </c>
      <c r="N53" s="19">
        <v>88</v>
      </c>
      <c r="O53" s="19">
        <v>60</v>
      </c>
      <c r="P53" s="19">
        <v>50</v>
      </c>
      <c r="Q53" s="19">
        <v>37</v>
      </c>
      <c r="R53" s="19">
        <v>55</v>
      </c>
      <c r="S53" s="19">
        <v>28</v>
      </c>
      <c r="T53" s="19">
        <v>55</v>
      </c>
      <c r="U53" s="6">
        <f>J$1*((-2*10^-6)*J53^3+0.00032*J53^2-0.0021*J53)+K$1*((-2*10^-6)*K53^3+0.00032*K53^2-0.0021*K53)+L$1*((-2*10^-6)*L53^3+0.00032*L53^2-0.0021*L53)+M$1*((-2*10^-6)*M53^3+0.00032*M53^2-0.0021*M53)+N$1*((-2*10^-6)*N53^3+0.00032*N53^2-0.0021*N53)</f>
        <v>2.4650220000000003</v>
      </c>
      <c r="V53">
        <f>O$1*((-2*10^-6)*N53^3+0.00032*N53^2-0.0021*N53)+P$1*((-2*10^-6)*O53^3+0.00032*O53^2-0.0021*O53)+Q$1*((-2*10^-6)*P53^3+0.00032*P53^2-0.0021*P53)+R$1*((-2*10^-6)*Q53^3+0.00032*Q53^2-0.0021*Q53)+S$1*((-2*10^-6)*R53^3+0.00032*R53^2-0.0021*R53)</f>
        <v>3.7791340000000009</v>
      </c>
      <c r="W53" s="6">
        <f>(H$1*H53+I$1*I53)/100</f>
        <v>1.67</v>
      </c>
      <c r="X53">
        <f>U53*J$2+V53*O$2+W53*H$2</f>
        <v>19.088356000000005</v>
      </c>
      <c r="Y53" t="str">
        <f>IF(AND(I53&gt;50,H53+I53&gt;75),"SP",IF(2*H53+I53&gt;120,"RP","CRAP"))</f>
        <v>CRAP</v>
      </c>
    </row>
    <row r="54" spans="1:25" ht="13.5" customHeight="1" thickBot="1" x14ac:dyDescent="0.35">
      <c r="A54">
        <f>(W54*H$2+U54*J$2+V54*O$2)*100/(W$4*H$2+U$4*J$2+V$4*O$2)</f>
        <v>52.960757913508701</v>
      </c>
      <c r="B54" s="20">
        <v>88</v>
      </c>
      <c r="C54" s="13" t="s">
        <v>116</v>
      </c>
      <c r="D54" s="21" t="s">
        <v>16</v>
      </c>
      <c r="E54" s="21" t="s">
        <v>19</v>
      </c>
      <c r="F54" s="21" t="s">
        <v>19</v>
      </c>
      <c r="G54" s="21">
        <v>18</v>
      </c>
      <c r="H54" s="21">
        <v>25</v>
      </c>
      <c r="I54" s="21">
        <v>47</v>
      </c>
      <c r="J54" s="21">
        <v>71</v>
      </c>
      <c r="K54" s="21">
        <v>38</v>
      </c>
      <c r="L54" s="21">
        <v>48</v>
      </c>
      <c r="M54" s="21">
        <v>29</v>
      </c>
      <c r="N54" s="21">
        <v>55</v>
      </c>
      <c r="O54" s="21">
        <v>68</v>
      </c>
      <c r="P54" s="21">
        <v>60</v>
      </c>
      <c r="Q54" s="21">
        <v>56</v>
      </c>
      <c r="R54" s="21">
        <v>34</v>
      </c>
      <c r="S54" s="21">
        <v>0</v>
      </c>
      <c r="T54" s="21">
        <v>53</v>
      </c>
      <c r="U54" s="6">
        <f>J$1*((-2*10^-6)*J54^3+0.00032*J54^2-0.0021*J54)+K$1*((-2*10^-6)*K54^3+0.00032*K54^2-0.0021*K54)+L$1*((-2*10^-6)*L54^3+0.00032*L54^2-0.0021*L54)+M$1*((-2*10^-6)*M54^3+0.00032*M54^2-0.0021*M54)+N$1*((-2*10^-6)*N54^3+0.00032*N54^2-0.0021*N54)</f>
        <v>2.5277144000000011</v>
      </c>
      <c r="V54">
        <f>O$1*((-2*10^-6)*N54^3+0.00032*N54^2-0.0021*N54)+P$1*((-2*10^-6)*O54^3+0.00032*O54^2-0.0021*O54)+Q$1*((-2*10^-6)*P54^3+0.00032*P54^2-0.0021*P54)+R$1*((-2*10^-6)*Q54^3+0.00032*Q54^2-0.0021*Q54)+S$1*((-2*10^-6)*R54^3+0.00032*R54^2-0.0021*R54)</f>
        <v>3.382849600000001</v>
      </c>
      <c r="W54" s="6">
        <f>(H$1*H54+I$1*I54)/100</f>
        <v>2.13</v>
      </c>
      <c r="X54">
        <f>U54*J$2+V54*O$2+W54*H$2</f>
        <v>19.006556800000006</v>
      </c>
      <c r="Y54" t="str">
        <f>IF(AND(I54&gt;50,H54+I54&gt;75),"SP",IF(2*H54+I54&gt;120,"RP","CRAP"))</f>
        <v>CRAP</v>
      </c>
    </row>
    <row r="55" spans="1:25" ht="13.5" customHeight="1" thickBot="1" x14ac:dyDescent="0.35">
      <c r="A55">
        <f>(W55*H$2+U55*J$2+V55*O$2)*100/(W$4*H$2+U$4*J$2+V$4*O$2)</f>
        <v>52.445459206419983</v>
      </c>
      <c r="B55" s="20">
        <v>168</v>
      </c>
      <c r="C55" s="13" t="s">
        <v>196</v>
      </c>
      <c r="D55" s="21" t="s">
        <v>16</v>
      </c>
      <c r="E55" s="21" t="s">
        <v>20</v>
      </c>
      <c r="F55" s="21" t="s">
        <v>20</v>
      </c>
      <c r="G55" s="21">
        <v>22</v>
      </c>
      <c r="H55" s="21">
        <v>41</v>
      </c>
      <c r="I55" s="21">
        <v>22</v>
      </c>
      <c r="J55" s="21">
        <v>78</v>
      </c>
      <c r="K55" s="21">
        <v>59</v>
      </c>
      <c r="L55" s="21">
        <v>31</v>
      </c>
      <c r="M55" s="21">
        <v>44</v>
      </c>
      <c r="N55" s="21">
        <v>78</v>
      </c>
      <c r="O55" s="21">
        <v>49</v>
      </c>
      <c r="P55" s="21">
        <v>68</v>
      </c>
      <c r="Q55" s="21">
        <v>13</v>
      </c>
      <c r="R55" s="21">
        <v>5</v>
      </c>
      <c r="S55" s="21">
        <v>0</v>
      </c>
      <c r="T55" s="21">
        <v>49</v>
      </c>
      <c r="U55" s="6">
        <f>J$1*((-2*10^-6)*J55^3+0.00032*J55^2-0.0021*J55)+K$1*((-2*10^-6)*K55^3+0.00032*K55^2-0.0021*K55)+L$1*((-2*10^-6)*L55^3+0.00032*L55^2-0.0021*L55)+M$1*((-2*10^-6)*M55^3+0.00032*M55^2-0.0021*M55)+N$1*((-2*10^-6)*N55^3+0.00032*N55^2-0.0021*N55)</f>
        <v>2.7596166000000006</v>
      </c>
      <c r="V55">
        <f>O$1*((-2*10^-6)*N55^3+0.00032*N55^2-0.0021*N55)+P$1*((-2*10^-6)*O55^3+0.00032*O55^2-0.0021*O55)+Q$1*((-2*10^-6)*P55^3+0.00032*P55^2-0.0021*P55)+R$1*((-2*10^-6)*Q55^3+0.00032*Q55^2-0.0021*Q55)+S$1*((-2*10^-6)*R55^3+0.00032*R55^2-0.0021*R55)</f>
        <v>3.2465800000000011</v>
      </c>
      <c r="W55" s="6">
        <f>(H$1*H55+I$1*I55)/100</f>
        <v>1.29</v>
      </c>
      <c r="X55">
        <f>U55*J$2+V55*O$2+W55*H$2</f>
        <v>18.821626400000003</v>
      </c>
      <c r="Y55" t="str">
        <f>IF(AND(I55&gt;50,H55+I55&gt;75),"SP",IF(2*H55+I55&gt;120,"RP","CRAP"))</f>
        <v>CRAP</v>
      </c>
    </row>
    <row r="56" spans="1:25" ht="13.5" customHeight="1" thickBot="1" x14ac:dyDescent="0.35">
      <c r="A56">
        <f>(W56*H$2+U56*J$2+V56*O$2)*100/(W$4*H$2+U$4*J$2+V$4*O$2)</f>
        <v>52.062222469906374</v>
      </c>
      <c r="B56" s="20">
        <v>50</v>
      </c>
      <c r="C56" s="13" t="s">
        <v>78</v>
      </c>
      <c r="D56" s="21" t="s">
        <v>16</v>
      </c>
      <c r="E56" s="21" t="s">
        <v>21</v>
      </c>
      <c r="F56" s="21" t="s">
        <v>19</v>
      </c>
      <c r="G56" s="21">
        <v>18</v>
      </c>
      <c r="H56" s="21">
        <v>34</v>
      </c>
      <c r="I56" s="21">
        <v>71</v>
      </c>
      <c r="J56" s="21">
        <v>40</v>
      </c>
      <c r="K56" s="21">
        <v>44</v>
      </c>
      <c r="L56" s="21">
        <v>74</v>
      </c>
      <c r="M56" s="21">
        <v>46</v>
      </c>
      <c r="N56" s="21">
        <v>35</v>
      </c>
      <c r="O56" s="21">
        <v>97</v>
      </c>
      <c r="P56" s="21">
        <v>65</v>
      </c>
      <c r="Q56" s="21">
        <v>38</v>
      </c>
      <c r="R56" s="21">
        <v>0</v>
      </c>
      <c r="S56" s="21">
        <v>0</v>
      </c>
      <c r="T56" s="21">
        <v>61</v>
      </c>
      <c r="U56" s="6">
        <f>J$1*((-2*10^-6)*J56^3+0.00032*J56^2-0.0021*J56)+K$1*((-2*10^-6)*K56^3+0.00032*K56^2-0.0021*K56)+L$1*((-2*10^-6)*L56^3+0.00032*L56^2-0.0021*L56)+M$1*((-2*10^-6)*M56^3+0.00032*M56^2-0.0021*M56)+N$1*((-2*10^-6)*N56^3+0.00032*N56^2-0.0021*N56)</f>
        <v>2.2601796000000003</v>
      </c>
      <c r="V56">
        <f>O$1*((-2*10^-6)*N56^3+0.00032*N56^2-0.0021*N56)+P$1*((-2*10^-6)*O56^3+0.00032*O56^2-0.0021*O56)+Q$1*((-2*10^-6)*P56^3+0.00032*P56^2-0.0021*P56)+R$1*((-2*10^-6)*Q56^3+0.00032*Q56^2-0.0021*Q56)+S$1*((-2*10^-6)*R56^3+0.00032*R56^2-0.0021*R56)</f>
        <v>3.2316860000000007</v>
      </c>
      <c r="W56" s="6">
        <f>(H$1*H56+I$1*I56)/100</f>
        <v>3.18</v>
      </c>
      <c r="X56">
        <f>U56*J$2+V56*O$2+W56*H$2</f>
        <v>18.684090400000002</v>
      </c>
      <c r="Y56" t="str">
        <f>IF(AND(I56&gt;50,H56+I56&gt;75),"SP",IF(2*H56+I56&gt;120,"RP","CRAP"))</f>
        <v>SP</v>
      </c>
    </row>
    <row r="57" spans="1:25" ht="13.5" customHeight="1" thickBot="1" x14ac:dyDescent="0.35">
      <c r="A57">
        <f>(W57*H$2+U57*J$2+V57*O$2)*100/(W$4*H$2+U$4*J$2+V$4*O$2)</f>
        <v>51.167394115024521</v>
      </c>
      <c r="B57" s="20">
        <v>70</v>
      </c>
      <c r="C57" s="13" t="s">
        <v>98</v>
      </c>
      <c r="D57" s="21" t="s">
        <v>16</v>
      </c>
      <c r="E57" s="21" t="s">
        <v>19</v>
      </c>
      <c r="F57" s="21" t="s">
        <v>19</v>
      </c>
      <c r="G57" s="21">
        <v>18</v>
      </c>
      <c r="H57" s="21">
        <v>38</v>
      </c>
      <c r="I57" s="21">
        <v>88</v>
      </c>
      <c r="J57" s="21">
        <v>84</v>
      </c>
      <c r="K57" s="21">
        <v>30</v>
      </c>
      <c r="L57" s="21">
        <v>21</v>
      </c>
      <c r="M57" s="21">
        <v>76</v>
      </c>
      <c r="N57" s="21">
        <v>49</v>
      </c>
      <c r="O57" s="21">
        <v>61</v>
      </c>
      <c r="P57" s="21">
        <v>46</v>
      </c>
      <c r="Q57" s="21">
        <v>27</v>
      </c>
      <c r="R57" s="21">
        <v>27</v>
      </c>
      <c r="S57" s="21">
        <v>0</v>
      </c>
      <c r="T57" s="21">
        <v>57</v>
      </c>
      <c r="U57" s="6">
        <f>J$1*((-2*10^-6)*J57^3+0.00032*J57^2-0.0021*J57)+K$1*((-2*10^-6)*K57^3+0.00032*K57^2-0.0021*K57)+L$1*((-2*10^-6)*L57^3+0.00032*L57^2-0.0021*L57)+M$1*((-2*10^-6)*M57^3+0.00032*M57^2-0.0021*M57)+N$1*((-2*10^-6)*N57^3+0.00032*N57^2-0.0021*N57)</f>
        <v>2.3291490000000006</v>
      </c>
      <c r="V57">
        <f>O$1*((-2*10^-6)*N57^3+0.00032*N57^2-0.0021*N57)+P$1*((-2*10^-6)*O57^3+0.00032*O57^2-0.0021*O57)+Q$1*((-2*10^-6)*P57^3+0.00032*P57^2-0.0021*P57)+R$1*((-2*10^-6)*Q57^3+0.00032*Q57^2-0.0021*Q57)+S$1*((-2*10^-6)*R57^3+0.00032*R57^2-0.0021*R57)</f>
        <v>2.5731792000000002</v>
      </c>
      <c r="W57" s="6">
        <f>(H$1*H57+I$1*I57)/100</f>
        <v>3.9</v>
      </c>
      <c r="X57">
        <f>U57*J$2+V57*O$2+W57*H$2</f>
        <v>18.362954400000003</v>
      </c>
      <c r="Y57" t="str">
        <f>IF(AND(I57&gt;50,H57+I57&gt;75),"SP",IF(2*H57+I57&gt;120,"RP","CRAP"))</f>
        <v>SP</v>
      </c>
    </row>
    <row r="58" spans="1:25" ht="13.5" customHeight="1" thickBot="1" x14ac:dyDescent="0.35">
      <c r="A58">
        <f>(W58*H$2+U58*J$2+V58*O$2)*100/(W$4*H$2+U$4*J$2+V$4*O$2)</f>
        <v>50.765401248328132</v>
      </c>
      <c r="B58" s="18">
        <v>159</v>
      </c>
      <c r="C58" s="12" t="s">
        <v>187</v>
      </c>
      <c r="D58" s="19" t="s">
        <v>16</v>
      </c>
      <c r="E58" s="19" t="s">
        <v>19</v>
      </c>
      <c r="F58" s="19" t="s">
        <v>19</v>
      </c>
      <c r="G58" s="19">
        <v>19</v>
      </c>
      <c r="H58" s="19">
        <v>60</v>
      </c>
      <c r="I58" s="19">
        <v>33</v>
      </c>
      <c r="J58" s="19">
        <v>93</v>
      </c>
      <c r="K58" s="19">
        <v>40</v>
      </c>
      <c r="L58" s="19">
        <v>28</v>
      </c>
      <c r="M58" s="19">
        <v>75</v>
      </c>
      <c r="N58" s="19">
        <v>52</v>
      </c>
      <c r="O58" s="19">
        <v>56</v>
      </c>
      <c r="P58" s="19">
        <v>69</v>
      </c>
      <c r="Q58" s="19">
        <v>0</v>
      </c>
      <c r="R58" s="19">
        <v>0</v>
      </c>
      <c r="S58" s="19">
        <v>0</v>
      </c>
      <c r="T58" s="19">
        <v>53</v>
      </c>
      <c r="U58" s="6">
        <f>J$1*((-2*10^-6)*J58^3+0.00032*J58^2-0.0021*J58)+K$1*((-2*10^-6)*K58^3+0.00032*K58^2-0.0021*K58)+L$1*((-2*10^-6)*L58^3+0.00032*L58^2-0.0021*L58)+M$1*((-2*10^-6)*M58^3+0.00032*M58^2-0.0021*M58)+N$1*((-2*10^-6)*N58^3+0.00032*N58^2-0.0021*N58)</f>
        <v>2.7043188000000002</v>
      </c>
      <c r="V58">
        <f>O$1*((-2*10^-6)*N58^3+0.00032*N58^2-0.0021*N58)+P$1*((-2*10^-6)*O58^3+0.00032*O58^2-0.0021*O58)+Q$1*((-2*10^-6)*P58^3+0.00032*P58^2-0.0021*P58)+R$1*((-2*10^-6)*Q58^3+0.00032*Q58^2-0.0021*Q58)+S$1*((-2*10^-6)*R58^3+0.00032*R58^2-0.0021*R58)</f>
        <v>2.7407060000000008</v>
      </c>
      <c r="W58" s="6">
        <f>(H$1*H58+I$1*I58)/100</f>
        <v>1.92</v>
      </c>
      <c r="X58">
        <f>U58*J$2+V58*O$2+W58*H$2</f>
        <v>18.218687200000005</v>
      </c>
      <c r="Y58" t="str">
        <f>IF(AND(I58&gt;50,H58+I58&gt;75),"SP",IF(2*H58+I58&gt;120,"RP","CRAP"))</f>
        <v>RP</v>
      </c>
    </row>
    <row r="59" spans="1:25" ht="13.5" customHeight="1" thickBot="1" x14ac:dyDescent="0.35">
      <c r="A59">
        <f>(W59*H$2+U59*J$2+V59*O$2)*100/(W$4*H$2+U$4*J$2+V$4*O$2)</f>
        <v>50.692318323673653</v>
      </c>
      <c r="B59" s="18">
        <v>107</v>
      </c>
      <c r="C59" s="12" t="s">
        <v>135</v>
      </c>
      <c r="D59" s="19" t="s">
        <v>16</v>
      </c>
      <c r="E59" s="19" t="s">
        <v>19</v>
      </c>
      <c r="F59" s="19" t="s">
        <v>19</v>
      </c>
      <c r="G59" s="19">
        <v>18</v>
      </c>
      <c r="H59" s="19">
        <v>29</v>
      </c>
      <c r="I59" s="19">
        <v>81</v>
      </c>
      <c r="J59" s="19">
        <v>74</v>
      </c>
      <c r="K59" s="19">
        <v>15</v>
      </c>
      <c r="L59" s="19">
        <v>31</v>
      </c>
      <c r="M59" s="19">
        <v>34</v>
      </c>
      <c r="N59" s="19">
        <v>50</v>
      </c>
      <c r="O59" s="19">
        <v>74</v>
      </c>
      <c r="P59" s="19">
        <v>61</v>
      </c>
      <c r="Q59" s="19">
        <v>40</v>
      </c>
      <c r="R59" s="19">
        <v>38</v>
      </c>
      <c r="S59" s="19">
        <v>27</v>
      </c>
      <c r="T59" s="19">
        <v>49</v>
      </c>
      <c r="U59" s="6">
        <f>J$1*((-2*10^-6)*J59^3+0.00032*J59^2-0.0021*J59)+K$1*((-2*10^-6)*K59^3+0.00032*K59^2-0.0021*K59)+L$1*((-2*10^-6)*L59^3+0.00032*L59^2-0.0021*L59)+M$1*((-2*10^-6)*M59^3+0.00032*M59^2-0.0021*M59)+N$1*((-2*10^-6)*N59^3+0.00032*N59^2-0.0021*N59)</f>
        <v>2.0139334000000004</v>
      </c>
      <c r="V59">
        <f>O$1*((-2*10^-6)*N59^3+0.00032*N59^2-0.0021*N59)+P$1*((-2*10^-6)*O59^3+0.00032*O59^2-0.0021*O59)+Q$1*((-2*10^-6)*P59^3+0.00032*P59^2-0.0021*P59)+R$1*((-2*10^-6)*Q59^3+0.00032*Q59^2-0.0021*Q59)+S$1*((-2*10^-6)*R59^3+0.00032*R59^2-0.0021*R59)</f>
        <v>3.3033628000000004</v>
      </c>
      <c r="W59" s="6">
        <f>(H$1*H59+I$1*I59)/100</f>
        <v>3.53</v>
      </c>
      <c r="X59">
        <f>U59*J$2+V59*O$2+W59*H$2</f>
        <v>18.192459200000002</v>
      </c>
      <c r="Y59" t="str">
        <f>IF(AND(I59&gt;50,H59+I59&gt;75),"SP",IF(2*H59+I59&gt;120,"RP","CRAP"))</f>
        <v>SP</v>
      </c>
    </row>
    <row r="60" spans="1:25" ht="13.5" customHeight="1" thickBot="1" x14ac:dyDescent="0.35">
      <c r="A60">
        <f>(W60*H$2+U60*J$2+V60*O$2)*100/(W$4*H$2+U$4*J$2+V$4*O$2)</f>
        <v>50.572032991529206</v>
      </c>
      <c r="B60" s="18">
        <v>95</v>
      </c>
      <c r="C60" s="12" t="s">
        <v>123</v>
      </c>
      <c r="D60" s="19" t="s">
        <v>16</v>
      </c>
      <c r="E60" s="19" t="s">
        <v>20</v>
      </c>
      <c r="F60" s="19" t="s">
        <v>20</v>
      </c>
      <c r="G60" s="19">
        <v>18</v>
      </c>
      <c r="H60" s="19">
        <v>81</v>
      </c>
      <c r="I60" s="19">
        <v>22</v>
      </c>
      <c r="J60" s="19">
        <v>84</v>
      </c>
      <c r="K60" s="19">
        <v>34</v>
      </c>
      <c r="L60" s="19">
        <v>32</v>
      </c>
      <c r="M60" s="19">
        <v>47</v>
      </c>
      <c r="N60" s="19">
        <v>50</v>
      </c>
      <c r="O60" s="19">
        <v>80</v>
      </c>
      <c r="P60" s="19">
        <v>66</v>
      </c>
      <c r="Q60" s="19">
        <v>0</v>
      </c>
      <c r="R60" s="19">
        <v>0</v>
      </c>
      <c r="S60" s="19">
        <v>0</v>
      </c>
      <c r="T60" s="19">
        <v>51</v>
      </c>
      <c r="U60" s="6">
        <f>J$1*((-2*10^-6)*J60^3+0.00032*J60^2-0.0021*J60)+K$1*((-2*10^-6)*K60^3+0.00032*K60^2-0.0021*K60)+L$1*((-2*10^-6)*L60^3+0.00032*L60^2-0.0021*L60)+M$1*((-2*10^-6)*M60^3+0.00032*M60^2-0.0021*M60)+N$1*((-2*10^-6)*N60^3+0.00032*N60^2-0.0021*N60)</f>
        <v>2.4736588000000008</v>
      </c>
      <c r="V60">
        <f>O$1*((-2*10^-6)*N60^3+0.00032*N60^2-0.0021*N60)+P$1*((-2*10^-6)*O60^3+0.00032*O60^2-0.0021*O60)+Q$1*((-2*10^-6)*P60^3+0.00032*P60^2-0.0021*P60)+R$1*((-2*10^-6)*Q60^3+0.00032*Q60^2-0.0021*Q60)+S$1*((-2*10^-6)*R60^3+0.00032*R60^2-0.0021*R60)</f>
        <v>3.2823280000000006</v>
      </c>
      <c r="W60" s="6">
        <f>(H$1*H60+I$1*I60)/100</f>
        <v>1.69</v>
      </c>
      <c r="X60">
        <f>U60*J$2+V60*O$2+W60*H$2</f>
        <v>18.149291200000004</v>
      </c>
      <c r="Y60" t="str">
        <f>IF(AND(I60&gt;50,H60+I60&gt;75),"SP",IF(2*H60+I60&gt;120,"RP","CRAP"))</f>
        <v>RP</v>
      </c>
    </row>
    <row r="61" spans="1:25" ht="13.5" customHeight="1" thickBot="1" x14ac:dyDescent="0.35">
      <c r="A61">
        <f>(W61*H$2+U61*J$2+V61*O$2)*100/(W$4*H$2+U$4*J$2+V$4*O$2)</f>
        <v>49.005469237628184</v>
      </c>
      <c r="B61" s="20">
        <v>102</v>
      </c>
      <c r="C61" s="13" t="s">
        <v>130</v>
      </c>
      <c r="D61" s="21" t="s">
        <v>16</v>
      </c>
      <c r="E61" s="21" t="s">
        <v>20</v>
      </c>
      <c r="F61" s="21" t="s">
        <v>20</v>
      </c>
      <c r="G61" s="21">
        <v>18</v>
      </c>
      <c r="H61" s="21">
        <v>63</v>
      </c>
      <c r="I61" s="21">
        <v>19</v>
      </c>
      <c r="J61" s="21">
        <v>83</v>
      </c>
      <c r="K61" s="21">
        <v>41</v>
      </c>
      <c r="L61" s="21">
        <v>32</v>
      </c>
      <c r="M61" s="21">
        <v>81</v>
      </c>
      <c r="N61" s="21">
        <v>36</v>
      </c>
      <c r="O61" s="21">
        <v>82</v>
      </c>
      <c r="P61" s="21">
        <v>55</v>
      </c>
      <c r="Q61" s="21">
        <v>37</v>
      </c>
      <c r="R61" s="21">
        <v>0</v>
      </c>
      <c r="S61" s="21">
        <v>0</v>
      </c>
      <c r="T61" s="21">
        <v>50</v>
      </c>
      <c r="U61" s="6">
        <f>J$1*((-2*10^-6)*J61^3+0.00032*J61^2-0.0021*J61)+K$1*((-2*10^-6)*K61^3+0.00032*K61^2-0.0021*K61)+L$1*((-2*10^-6)*L61^3+0.00032*L61^2-0.0021*L61)+M$1*((-2*10^-6)*M61^3+0.00032*M61^2-0.0021*M61)+N$1*((-2*10^-6)*N61^3+0.00032*N61^2-0.0021*N61)</f>
        <v>2.6020752000000011</v>
      </c>
      <c r="V61">
        <f>O$1*((-2*10^-6)*N61^3+0.00032*N61^2-0.0021*N61)+P$1*((-2*10^-6)*O61^3+0.00032*O61^2-0.0021*O61)+Q$1*((-2*10^-6)*P61^3+0.00032*P61^2-0.0021*P61)+R$1*((-2*10^-6)*Q61^3+0.00032*Q61^2-0.0021*Q61)+S$1*((-2*10^-6)*R61^3+0.00032*R61^2-0.0021*R61)</f>
        <v>2.8943910000000006</v>
      </c>
      <c r="W61" s="6">
        <f>(H$1*H61+I$1*I61)/100</f>
        <v>1.39</v>
      </c>
      <c r="X61">
        <f>U61*J$2+V61*O$2+W61*H$2</f>
        <v>17.587082800000005</v>
      </c>
      <c r="Y61" t="str">
        <f>IF(AND(I61&gt;50,H61+I61&gt;75),"SP",IF(2*H61+I61&gt;120,"RP","CRAP"))</f>
        <v>RP</v>
      </c>
    </row>
    <row r="62" spans="1:25" ht="13.5" customHeight="1" thickBot="1" x14ac:dyDescent="0.35">
      <c r="A62">
        <f>(W62*H$2+U62*J$2+V62*O$2)*100/(W$4*H$2+U$4*J$2+V$4*O$2)</f>
        <v>48.625576237182351</v>
      </c>
      <c r="B62" s="20">
        <v>74</v>
      </c>
      <c r="C62" s="13" t="s">
        <v>102</v>
      </c>
      <c r="D62" s="21" t="s">
        <v>16</v>
      </c>
      <c r="E62" s="21" t="s">
        <v>19</v>
      </c>
      <c r="F62" s="21" t="s">
        <v>19</v>
      </c>
      <c r="G62" s="21">
        <v>18</v>
      </c>
      <c r="H62" s="21">
        <v>30</v>
      </c>
      <c r="I62" s="21">
        <v>69</v>
      </c>
      <c r="J62" s="21">
        <v>57</v>
      </c>
      <c r="K62" s="21">
        <v>37</v>
      </c>
      <c r="L62" s="21">
        <v>42</v>
      </c>
      <c r="M62" s="21">
        <v>79</v>
      </c>
      <c r="N62" s="21">
        <v>42</v>
      </c>
      <c r="O62" s="21">
        <v>64</v>
      </c>
      <c r="P62" s="21">
        <v>79</v>
      </c>
      <c r="Q62" s="21">
        <v>40</v>
      </c>
      <c r="R62" s="21">
        <v>35</v>
      </c>
      <c r="S62" s="21">
        <v>0</v>
      </c>
      <c r="T62" s="21">
        <v>56</v>
      </c>
      <c r="U62" s="6">
        <f>J$1*((-2*10^-6)*J62^3+0.00032*J62^2-0.0021*J62)+K$1*((-2*10^-6)*K62^3+0.00032*K62^2-0.0021*K62)+L$1*((-2*10^-6)*L62^3+0.00032*L62^2-0.0021*L62)+M$1*((-2*10^-6)*M62^3+0.00032*M62^2-0.0021*M62)+N$1*((-2*10^-6)*N62^3+0.00032*N62^2-0.0021*N62)</f>
        <v>2.0850672000000006</v>
      </c>
      <c r="V62">
        <f>O$1*((-2*10^-6)*N62^3+0.00032*N62^2-0.0021*N62)+P$1*((-2*10^-6)*O62^3+0.00032*O62^2-0.0021*O62)+Q$1*((-2*10^-6)*P62^3+0.00032*P62^2-0.0021*P62)+R$1*((-2*10^-6)*Q62^3+0.00032*Q62^2-0.0021*Q62)+S$1*((-2*10^-6)*R62^3+0.00032*R62^2-0.0021*R62)</f>
        <v>3.0252390000000005</v>
      </c>
      <c r="W62" s="6">
        <f>(H$1*H62+I$1*I62)/100</f>
        <v>3.06</v>
      </c>
      <c r="X62">
        <f>U62*J$2+V62*O$2+W62*H$2</f>
        <v>17.450746800000001</v>
      </c>
      <c r="Y62" t="str">
        <f>IF(AND(I62&gt;50,H62+I62&gt;75),"SP",IF(2*H62+I62&gt;120,"RP","CRAP"))</f>
        <v>SP</v>
      </c>
    </row>
    <row r="63" spans="1:25" ht="13.5" customHeight="1" thickBot="1" x14ac:dyDescent="0.35">
      <c r="A63">
        <f>(W63*H$2+U63*J$2+V63*O$2)*100/(W$4*H$2+U$4*J$2+V$4*O$2)</f>
        <v>48.618775078020505</v>
      </c>
      <c r="B63" s="20">
        <v>126</v>
      </c>
      <c r="C63" s="13" t="s">
        <v>154</v>
      </c>
      <c r="D63" s="21" t="s">
        <v>16</v>
      </c>
      <c r="E63" s="21" t="s">
        <v>19</v>
      </c>
      <c r="F63" s="21" t="s">
        <v>19</v>
      </c>
      <c r="G63" s="21">
        <v>18</v>
      </c>
      <c r="H63" s="21">
        <v>36</v>
      </c>
      <c r="I63" s="21">
        <v>24</v>
      </c>
      <c r="J63" s="21">
        <v>81</v>
      </c>
      <c r="K63" s="21">
        <v>34</v>
      </c>
      <c r="L63" s="21">
        <v>36</v>
      </c>
      <c r="M63" s="21">
        <v>58</v>
      </c>
      <c r="N63" s="21">
        <v>52</v>
      </c>
      <c r="O63" s="21">
        <v>62</v>
      </c>
      <c r="P63" s="21">
        <v>53</v>
      </c>
      <c r="Q63" s="21">
        <v>48</v>
      </c>
      <c r="R63" s="21">
        <v>45</v>
      </c>
      <c r="S63" s="21">
        <v>31</v>
      </c>
      <c r="T63" s="21">
        <v>45</v>
      </c>
      <c r="U63" s="6">
        <f>J$1*((-2*10^-6)*J63^3+0.00032*J63^2-0.0021*J63)+K$1*((-2*10^-6)*K63^3+0.00032*K63^2-0.0021*K63)+L$1*((-2*10^-6)*L63^3+0.00032*L63^2-0.0021*L63)+M$1*((-2*10^-6)*M63^3+0.00032*M63^2-0.0021*M63)+N$1*((-2*10^-6)*N63^3+0.00032*N63^2-0.0021*N63)</f>
        <v>2.5295640000000001</v>
      </c>
      <c r="V63">
        <f>O$1*((-2*10^-6)*N63^3+0.00032*N63^2-0.0021*N63)+P$1*((-2*10^-6)*O63^3+0.00032*O63^2-0.0021*O63)+Q$1*((-2*10^-6)*P63^3+0.00032*P63^2-0.0021*P63)+R$1*((-2*10^-6)*Q63^3+0.00032*Q63^2-0.0021*Q63)+S$1*((-2*10^-6)*R63^3+0.00032*R63^2-0.0021*R63)</f>
        <v>3.0050250000000007</v>
      </c>
      <c r="W63" s="6">
        <f>(H$1*H63+I$1*I63)/100</f>
        <v>1.32</v>
      </c>
      <c r="X63">
        <f>U63*J$2+V63*O$2+W63*H$2</f>
        <v>17.448306000000002</v>
      </c>
      <c r="Y63" t="str">
        <f>IF(AND(I63&gt;50,H63+I63&gt;75),"SP",IF(2*H63+I63&gt;120,"RP","CRAP"))</f>
        <v>CRAP</v>
      </c>
    </row>
    <row r="64" spans="1:25" ht="13.5" customHeight="1" thickBot="1" x14ac:dyDescent="0.35">
      <c r="A64">
        <f>(W64*H$2+U64*J$2+V64*O$2)*100/(W$4*H$2+U$4*J$2+V$4*O$2)</f>
        <v>48.457117699509595</v>
      </c>
      <c r="B64" s="18">
        <v>99</v>
      </c>
      <c r="C64" s="12" t="s">
        <v>127</v>
      </c>
      <c r="D64" s="19" t="s">
        <v>16</v>
      </c>
      <c r="E64" s="19" t="s">
        <v>19</v>
      </c>
      <c r="F64" s="19" t="s">
        <v>19</v>
      </c>
      <c r="G64" s="19">
        <v>18</v>
      </c>
      <c r="H64" s="19">
        <v>86</v>
      </c>
      <c r="I64" s="19">
        <v>22</v>
      </c>
      <c r="J64" s="19">
        <v>42</v>
      </c>
      <c r="K64" s="19">
        <v>34</v>
      </c>
      <c r="L64" s="19">
        <v>36</v>
      </c>
      <c r="M64" s="19">
        <v>58</v>
      </c>
      <c r="N64" s="19">
        <v>84</v>
      </c>
      <c r="O64" s="19">
        <v>85</v>
      </c>
      <c r="P64" s="19">
        <v>77</v>
      </c>
      <c r="Q64" s="19">
        <v>64</v>
      </c>
      <c r="R64" s="19">
        <v>0</v>
      </c>
      <c r="S64" s="19">
        <v>0</v>
      </c>
      <c r="T64" s="19">
        <v>50</v>
      </c>
      <c r="U64" s="6">
        <f>J$1*((-2*10^-6)*J64^3+0.00032*J64^2-0.0021*J64)+K$1*((-2*10^-6)*K64^3+0.00032*K64^2-0.0021*K64)+L$1*((-2*10^-6)*L64^3+0.00032*L64^2-0.0021*L64)+M$1*((-2*10^-6)*M64^3+0.00032*M64^2-0.0021*M64)+N$1*((-2*10^-6)*N64^3+0.00032*N64^2-0.0021*N64)</f>
        <v>1.5369456000000001</v>
      </c>
      <c r="V64">
        <f>O$1*((-2*10^-6)*N64^3+0.00032*N64^2-0.0021*N64)+P$1*((-2*10^-6)*O64^3+0.00032*O64^2-0.0021*O64)+Q$1*((-2*10^-6)*P64^3+0.00032*P64^2-0.0021*P64)+R$1*((-2*10^-6)*Q64^3+0.00032*Q64^2-0.0021*Q64)+S$1*((-2*10^-6)*R64^3+0.00032*R64^2-0.0021*R64)</f>
        <v>4.7512540000000021</v>
      </c>
      <c r="W64" s="6">
        <f>(H$1*H64+I$1*I64)/100</f>
        <v>1.74</v>
      </c>
      <c r="X64">
        <f>U64*J$2+V64*O$2+W64*H$2</f>
        <v>17.390290400000005</v>
      </c>
      <c r="Y64" t="str">
        <f>IF(AND(I64&gt;50,H64+I64&gt;75),"SP",IF(2*H64+I64&gt;120,"RP","CRAP"))</f>
        <v>RP</v>
      </c>
    </row>
    <row r="65" spans="1:25" ht="13.5" customHeight="1" thickBot="1" x14ac:dyDescent="0.35">
      <c r="A65">
        <f>(W65*H$2+U65*J$2+V65*O$2)*100/(W$4*H$2+U$4*J$2+V$4*O$2)</f>
        <v>48.219830584039244</v>
      </c>
      <c r="B65" s="18">
        <v>123</v>
      </c>
      <c r="C65" s="12" t="s">
        <v>151</v>
      </c>
      <c r="D65" s="19" t="s">
        <v>16</v>
      </c>
      <c r="E65" s="19" t="s">
        <v>19</v>
      </c>
      <c r="F65" s="19" t="s">
        <v>19</v>
      </c>
      <c r="G65" s="19">
        <v>18</v>
      </c>
      <c r="H65" s="19">
        <v>39</v>
      </c>
      <c r="I65" s="19">
        <v>31</v>
      </c>
      <c r="J65" s="19">
        <v>86</v>
      </c>
      <c r="K65" s="19">
        <v>30</v>
      </c>
      <c r="L65" s="19">
        <v>35</v>
      </c>
      <c r="M65" s="19">
        <v>25</v>
      </c>
      <c r="N65" s="19">
        <v>43</v>
      </c>
      <c r="O65" s="19">
        <v>79</v>
      </c>
      <c r="P65" s="19">
        <v>51</v>
      </c>
      <c r="Q65" s="19">
        <v>36</v>
      </c>
      <c r="R65" s="19">
        <v>0</v>
      </c>
      <c r="S65" s="19">
        <v>0</v>
      </c>
      <c r="T65" s="19">
        <v>46</v>
      </c>
      <c r="U65" s="6">
        <f>J$1*((-2*10^-6)*J65^3+0.00032*J65^2-0.0021*J65)+K$1*((-2*10^-6)*K65^3+0.00032*K65^2-0.0021*K65)+L$1*((-2*10^-6)*L65^3+0.00032*L65^2-0.0021*L65)+M$1*((-2*10^-6)*M65^3+0.00032*M65^2-0.0021*M65)+N$1*((-2*10^-6)*N65^3+0.00032*N65^2-0.0021*N65)</f>
        <v>2.439864200000001</v>
      </c>
      <c r="V65">
        <f>O$1*((-2*10^-6)*N65^3+0.00032*N65^2-0.0021*N65)+P$1*((-2*10^-6)*O65^3+0.00032*O65^2-0.0021*O65)+Q$1*((-2*10^-6)*P65^3+0.00032*P65^2-0.0021*P65)+R$1*((-2*10^-6)*Q65^3+0.00032*Q65^2-0.0021*Q65)+S$1*((-2*10^-6)*R65^3+0.00032*R65^2-0.0021*R65)</f>
        <v>2.9578380000000011</v>
      </c>
      <c r="W65" s="6">
        <f>(H$1*H65+I$1*I65)/100</f>
        <v>1.63</v>
      </c>
      <c r="X65">
        <f>U65*J$2+V65*O$2+W65*H$2</f>
        <v>17.305132800000006</v>
      </c>
      <c r="Y65" t="str">
        <f>IF(AND(I65&gt;50,H65+I65&gt;75),"SP",IF(2*H65+I65&gt;120,"RP","CRAP"))</f>
        <v>CRAP</v>
      </c>
    </row>
    <row r="66" spans="1:25" ht="13.5" customHeight="1" thickBot="1" x14ac:dyDescent="0.35">
      <c r="A66">
        <f>(W66*H$2+U66*J$2+V66*O$2)*100/(W$4*H$2+U$4*J$2+V$4*O$2)</f>
        <v>48.058529870708874</v>
      </c>
      <c r="B66" s="18">
        <v>101</v>
      </c>
      <c r="C66" s="12" t="s">
        <v>129</v>
      </c>
      <c r="D66" s="19" t="s">
        <v>16</v>
      </c>
      <c r="E66" s="19" t="s">
        <v>19</v>
      </c>
      <c r="F66" s="19" t="s">
        <v>19</v>
      </c>
      <c r="G66" s="19">
        <v>18</v>
      </c>
      <c r="H66" s="19">
        <v>19</v>
      </c>
      <c r="I66" s="19">
        <v>61</v>
      </c>
      <c r="J66" s="19">
        <v>61</v>
      </c>
      <c r="K66" s="19">
        <v>37</v>
      </c>
      <c r="L66" s="19">
        <v>27</v>
      </c>
      <c r="M66" s="19">
        <v>74</v>
      </c>
      <c r="N66" s="19">
        <v>53</v>
      </c>
      <c r="O66" s="19">
        <v>70</v>
      </c>
      <c r="P66" s="19">
        <v>66</v>
      </c>
      <c r="Q66" s="19">
        <v>51</v>
      </c>
      <c r="R66" s="19">
        <v>36</v>
      </c>
      <c r="S66" s="19">
        <v>31</v>
      </c>
      <c r="T66" s="19">
        <v>50</v>
      </c>
      <c r="U66" s="6">
        <f>J$1*((-2*10^-6)*J66^3+0.00032*J66^2-0.0021*J66)+K$1*((-2*10^-6)*K66^3+0.00032*K66^2-0.0021*K66)+L$1*((-2*10^-6)*L66^3+0.00032*L66^2-0.0021*L66)+M$1*((-2*10^-6)*M66^3+0.00032*M66^2-0.0021*M66)+N$1*((-2*10^-6)*N66^3+0.00032*N66^2-0.0021*N66)</f>
        <v>1.9374706000000002</v>
      </c>
      <c r="V66">
        <f>O$1*((-2*10^-6)*N66^3+0.00032*N66^2-0.0021*N66)+P$1*((-2*10^-6)*O66^3+0.00032*O66^2-0.0021*O66)+Q$1*((-2*10^-6)*P66^3+0.00032*P66^2-0.0021*P66)+R$1*((-2*10^-6)*Q66^3+0.00032*Q66^2-0.0021*Q66)+S$1*((-2*10^-6)*R66^3+0.00032*R66^2-0.0021*R66)</f>
        <v>3.4336814000000007</v>
      </c>
      <c r="W66" s="6">
        <f>(H$1*H66+I$1*I66)/100</f>
        <v>2.63</v>
      </c>
      <c r="X66">
        <f>U66*J$2+V66*O$2+W66*H$2</f>
        <v>17.247245200000002</v>
      </c>
      <c r="Y66" t="str">
        <f>IF(AND(I66&gt;50,H66+I66&gt;75),"SP",IF(2*H66+I66&gt;120,"RP","CRAP"))</f>
        <v>SP</v>
      </c>
    </row>
    <row r="67" spans="1:25" ht="13.5" customHeight="1" thickBot="1" x14ac:dyDescent="0.35">
      <c r="A67">
        <f>(W67*H$2+U67*J$2+V67*O$2)*100/(W$4*H$2+U$4*J$2+V$4*O$2)</f>
        <v>47.945071333036111</v>
      </c>
      <c r="B67" s="20">
        <v>144</v>
      </c>
      <c r="C67" s="13" t="s">
        <v>172</v>
      </c>
      <c r="D67" s="21" t="s">
        <v>16</v>
      </c>
      <c r="E67" s="21" t="s">
        <v>19</v>
      </c>
      <c r="F67" s="21" t="s">
        <v>19</v>
      </c>
      <c r="G67" s="21">
        <v>22</v>
      </c>
      <c r="H67" s="21">
        <v>37</v>
      </c>
      <c r="I67" s="21">
        <v>70</v>
      </c>
      <c r="J67" s="21">
        <v>59</v>
      </c>
      <c r="K67" s="21">
        <v>72</v>
      </c>
      <c r="L67" s="21">
        <v>33</v>
      </c>
      <c r="M67" s="21">
        <v>53</v>
      </c>
      <c r="N67" s="21">
        <v>35</v>
      </c>
      <c r="O67" s="21">
        <v>49</v>
      </c>
      <c r="P67" s="21">
        <v>62</v>
      </c>
      <c r="Q67" s="21">
        <v>63</v>
      </c>
      <c r="R67" s="21">
        <v>7</v>
      </c>
      <c r="S67" s="21">
        <v>0</v>
      </c>
      <c r="T67" s="21">
        <v>59</v>
      </c>
      <c r="U67" s="6">
        <f>J$1*((-2*10^-6)*J67^3+0.00032*J67^2-0.0021*J67)+K$1*((-2*10^-6)*K67^3+0.00032*K67^2-0.0021*K67)+L$1*((-2*10^-6)*L67^3+0.00032*L67^2-0.0021*L67)+M$1*((-2*10^-6)*M67^3+0.00032*M67^2-0.0021*M67)+N$1*((-2*10^-6)*N67^3+0.00032*N67^2-0.0021*N67)</f>
        <v>2.3751822000000002</v>
      </c>
      <c r="V67">
        <f>O$1*((-2*10^-6)*N67^3+0.00032*N67^2-0.0021*N67)+P$1*((-2*10^-6)*O67^3+0.00032*O67^2-0.0021*O67)+Q$1*((-2*10^-6)*P67^3+0.00032*P67^2-0.0021*P67)+R$1*((-2*10^-6)*Q67^3+0.00032*Q67^2-0.0021*Q67)+S$1*((-2*10^-6)*R67^3+0.00032*R67^2-0.0021*R67)</f>
        <v>2.2678992000000004</v>
      </c>
      <c r="W67" s="6">
        <f>(H$1*H67+I$1*I67)/100</f>
        <v>3.17</v>
      </c>
      <c r="X67">
        <f>U67*J$2+V67*O$2+W67*H$2</f>
        <v>17.206527200000004</v>
      </c>
      <c r="Y67" t="str">
        <f>IF(AND(I67&gt;50,H67+I67&gt;75),"SP",IF(2*H67+I67&gt;120,"RP","CRAP"))</f>
        <v>SP</v>
      </c>
    </row>
    <row r="68" spans="1:25" ht="13.5" customHeight="1" thickBot="1" x14ac:dyDescent="0.35">
      <c r="A68">
        <f>(W68*H$2+U68*J$2+V68*O$2)*100/(W$4*H$2+U$4*J$2+V$4*O$2)</f>
        <v>47.789295586268381</v>
      </c>
      <c r="B68" s="18">
        <v>135</v>
      </c>
      <c r="C68" s="12" t="s">
        <v>163</v>
      </c>
      <c r="D68" s="19" t="s">
        <v>16</v>
      </c>
      <c r="E68" s="19" t="s">
        <v>20</v>
      </c>
      <c r="F68" s="19" t="s">
        <v>20</v>
      </c>
      <c r="G68" s="19">
        <v>18</v>
      </c>
      <c r="H68" s="19">
        <v>33</v>
      </c>
      <c r="I68" s="19">
        <v>28</v>
      </c>
      <c r="J68" s="19">
        <v>89</v>
      </c>
      <c r="K68" s="19">
        <v>38</v>
      </c>
      <c r="L68" s="19">
        <v>31</v>
      </c>
      <c r="M68" s="19">
        <v>35</v>
      </c>
      <c r="N68" s="19">
        <v>41</v>
      </c>
      <c r="O68" s="19">
        <v>68</v>
      </c>
      <c r="P68" s="19">
        <v>57</v>
      </c>
      <c r="Q68" s="19">
        <v>46</v>
      </c>
      <c r="R68" s="19">
        <v>0</v>
      </c>
      <c r="S68" s="19">
        <v>0</v>
      </c>
      <c r="T68" s="19">
        <v>44</v>
      </c>
      <c r="U68" s="6">
        <f>J$1*((-2*10^-6)*J68^3+0.00032*J68^2-0.0021*J68)+K$1*((-2*10^-6)*K68^3+0.00032*K68^2-0.0021*K68)+L$1*((-2*10^-6)*L68^3+0.00032*L68^2-0.0021*L68)+M$1*((-2*10^-6)*M68^3+0.00032*M68^2-0.0021*M68)+N$1*((-2*10^-6)*N68^3+0.00032*N68^2-0.0021*N68)</f>
        <v>2.5319026</v>
      </c>
      <c r="V68">
        <f>O$1*((-2*10^-6)*N68^3+0.00032*N68^2-0.0021*N68)+P$1*((-2*10^-6)*O68^3+0.00032*O68^2-0.0021*O68)+Q$1*((-2*10^-6)*P68^3+0.00032*P68^2-0.0021*P68)+R$1*((-2*10^-6)*Q68^3+0.00032*Q68^2-0.0021*Q68)+S$1*((-2*10^-6)*R68^3+0.00032*R68^2-0.0021*R68)</f>
        <v>2.7865060000000006</v>
      </c>
      <c r="W68" s="6">
        <f>(H$1*H68+I$1*I68)/100</f>
        <v>1.45</v>
      </c>
      <c r="X68">
        <f>U68*J$2+V68*O$2+W68*H$2</f>
        <v>17.1506224</v>
      </c>
      <c r="Y68" t="str">
        <f>IF(AND(I68&gt;50,H68+I68&gt;75),"SP",IF(2*H68+I68&gt;120,"RP","CRAP"))</f>
        <v>CRAP</v>
      </c>
    </row>
    <row r="69" spans="1:25" ht="13.5" customHeight="1" thickBot="1" x14ac:dyDescent="0.35">
      <c r="A69">
        <f>(W69*H$2+U69*J$2+V69*O$2)*100/(W$4*H$2+U$4*J$2+V$4*O$2)</f>
        <v>47.57503343736068</v>
      </c>
      <c r="B69" s="20">
        <v>110</v>
      </c>
      <c r="C69" s="13" t="s">
        <v>138</v>
      </c>
      <c r="D69" s="21" t="s">
        <v>16</v>
      </c>
      <c r="E69" s="21" t="s">
        <v>20</v>
      </c>
      <c r="F69" s="21" t="s">
        <v>20</v>
      </c>
      <c r="G69" s="21">
        <v>18</v>
      </c>
      <c r="H69" s="21">
        <v>48</v>
      </c>
      <c r="I69" s="21">
        <v>25</v>
      </c>
      <c r="J69" s="21">
        <v>53</v>
      </c>
      <c r="K69" s="21">
        <v>37</v>
      </c>
      <c r="L69" s="21">
        <v>38</v>
      </c>
      <c r="M69" s="21">
        <v>37</v>
      </c>
      <c r="N69" s="21">
        <v>68</v>
      </c>
      <c r="O69" s="21">
        <v>82</v>
      </c>
      <c r="P69" s="21">
        <v>68</v>
      </c>
      <c r="Q69" s="21">
        <v>52</v>
      </c>
      <c r="R69" s="21">
        <v>0</v>
      </c>
      <c r="S69" s="21">
        <v>0</v>
      </c>
      <c r="T69" s="21">
        <v>48</v>
      </c>
      <c r="U69" s="6">
        <f>J$1*((-2*10^-6)*J69^3+0.00032*J69^2-0.0021*J69)+K$1*((-2*10^-6)*K69^3+0.00032*K69^2-0.0021*K69)+L$1*((-2*10^-6)*L69^3+0.00032*L69^2-0.0021*L69)+M$1*((-2*10^-6)*M69^3+0.00032*M69^2-0.0021*M69)+N$1*((-2*10^-6)*N69^3+0.00032*N69^2-0.0021*N69)</f>
        <v>1.8409480000000003</v>
      </c>
      <c r="V69">
        <f>O$1*((-2*10^-6)*N69^3+0.00032*N69^2-0.0021*N69)+P$1*((-2*10^-6)*O69^3+0.00032*O69^2-0.0021*O69)+Q$1*((-2*10^-6)*P69^3+0.00032*P69^2-0.0021*P69)+R$1*((-2*10^-6)*Q69^3+0.00032*Q69^2-0.0021*Q69)+S$1*((-2*10^-6)*R69^3+0.00032*R69^2-0.0021*R69)</f>
        <v>4.1149680000000011</v>
      </c>
      <c r="W69" s="6">
        <f>(H$1*H69+I$1*I69)/100</f>
        <v>1.48</v>
      </c>
      <c r="X69">
        <f>U69*J$2+V69*O$2+W69*H$2</f>
        <v>17.073728000000003</v>
      </c>
      <c r="Y69" t="str">
        <f>IF(AND(I69&gt;50,H69+I69&gt;75),"SP",IF(2*H69+I69&gt;120,"RP","CRAP"))</f>
        <v>RP</v>
      </c>
    </row>
    <row r="70" spans="1:25" ht="13.5" customHeight="1" thickBot="1" x14ac:dyDescent="0.35">
      <c r="A70">
        <f>(W70*H$2+U70*J$2+V70*O$2)*100/(W$4*H$2+U$4*J$2+V$4*O$2)</f>
        <v>46.910683236736517</v>
      </c>
      <c r="B70" s="18">
        <v>121</v>
      </c>
      <c r="C70" s="12" t="s">
        <v>149</v>
      </c>
      <c r="D70" s="19" t="s">
        <v>16</v>
      </c>
      <c r="E70" s="19" t="s">
        <v>19</v>
      </c>
      <c r="F70" s="19" t="s">
        <v>19</v>
      </c>
      <c r="G70" s="19">
        <v>18</v>
      </c>
      <c r="H70" s="19">
        <v>60</v>
      </c>
      <c r="I70" s="19">
        <v>20</v>
      </c>
      <c r="J70" s="19">
        <v>63</v>
      </c>
      <c r="K70" s="19">
        <v>42</v>
      </c>
      <c r="L70" s="19">
        <v>36</v>
      </c>
      <c r="M70" s="19">
        <v>50</v>
      </c>
      <c r="N70" s="19">
        <v>60</v>
      </c>
      <c r="O70" s="19">
        <v>66</v>
      </c>
      <c r="P70" s="19">
        <v>64</v>
      </c>
      <c r="Q70" s="19">
        <v>41</v>
      </c>
      <c r="R70" s="19">
        <v>0</v>
      </c>
      <c r="S70" s="19">
        <v>0</v>
      </c>
      <c r="T70" s="19">
        <v>46</v>
      </c>
      <c r="U70" s="6">
        <f>J$1*((-2*10^-6)*J70^3+0.00032*J70^2-0.0021*J70)+K$1*((-2*10^-6)*K70^3+0.00032*K70^2-0.0021*K70)+L$1*((-2*10^-6)*L70^3+0.00032*L70^2-0.0021*L70)+M$1*((-2*10^-6)*M70^3+0.00032*M70^2-0.0021*M70)+N$1*((-2*10^-6)*N70^3+0.00032*N70^2-0.0021*N70)</f>
        <v>2.1799880000000007</v>
      </c>
      <c r="V70">
        <f>O$1*((-2*10^-6)*N70^3+0.00032*N70^2-0.0021*N70)+P$1*((-2*10^-6)*O70^3+0.00032*O70^2-0.0021*O70)+Q$1*((-2*10^-6)*P70^3+0.00032*P70^2-0.0021*P70)+R$1*((-2*10^-6)*Q70^3+0.00032*Q70^2-0.0021*Q70)+S$1*((-2*10^-6)*R70^3+0.00032*R70^2-0.0021*R70)</f>
        <v>3.3576770000000002</v>
      </c>
      <c r="W70" s="6">
        <f>(H$1*H70+I$1*I70)/100</f>
        <v>1.4</v>
      </c>
      <c r="X70">
        <f>U70*J$2+V70*O$2+W70*H$2</f>
        <v>16.835306000000003</v>
      </c>
      <c r="Y70" t="str">
        <f>IF(AND(I70&gt;50,H70+I70&gt;75),"SP",IF(2*H70+I70&gt;120,"RP","CRAP"))</f>
        <v>RP</v>
      </c>
    </row>
    <row r="71" spans="1:25" ht="13.5" customHeight="1" thickBot="1" x14ac:dyDescent="0.35">
      <c r="A71">
        <f>(W71*H$2+U71*J$2+V71*O$2)*100/(W$4*H$2+U$4*J$2+V$4*O$2)</f>
        <v>46.543952296032096</v>
      </c>
      <c r="B71" s="18">
        <v>113</v>
      </c>
      <c r="C71" s="12" t="s">
        <v>141</v>
      </c>
      <c r="D71" s="19" t="s">
        <v>16</v>
      </c>
      <c r="E71" s="19" t="s">
        <v>20</v>
      </c>
      <c r="F71" s="19" t="s">
        <v>20</v>
      </c>
      <c r="G71" s="19">
        <v>18</v>
      </c>
      <c r="H71" s="19">
        <v>35</v>
      </c>
      <c r="I71" s="19">
        <v>62</v>
      </c>
      <c r="J71" s="19">
        <v>70</v>
      </c>
      <c r="K71" s="19">
        <v>32</v>
      </c>
      <c r="L71" s="19">
        <v>20</v>
      </c>
      <c r="M71" s="19">
        <v>37</v>
      </c>
      <c r="N71" s="19">
        <v>49</v>
      </c>
      <c r="O71" s="19">
        <v>69</v>
      </c>
      <c r="P71" s="19">
        <v>61</v>
      </c>
      <c r="Q71" s="19">
        <v>45</v>
      </c>
      <c r="R71" s="19">
        <v>21</v>
      </c>
      <c r="S71" s="19">
        <v>0</v>
      </c>
      <c r="T71" s="19">
        <v>48</v>
      </c>
      <c r="U71" s="6">
        <f>J$1*((-2*10^-6)*J71^3+0.00032*J71^2-0.0021*J71)+K$1*((-2*10^-6)*K71^3+0.00032*K71^2-0.0021*K71)+L$1*((-2*10^-6)*L71^3+0.00032*L71^2-0.0021*L71)+M$1*((-2*10^-6)*M71^3+0.00032*M71^2-0.0021*M71)+N$1*((-2*10^-6)*N71^3+0.00032*N71^2-0.0021*N71)</f>
        <v>1.9077832000000003</v>
      </c>
      <c r="V71">
        <f>O$1*((-2*10^-6)*N71^3+0.00032*N71^2-0.0021*N71)+P$1*((-2*10^-6)*O71^3+0.00032*O71^2-0.0021*O71)+Q$1*((-2*10^-6)*P71^3+0.00032*P71^2-0.0021*P71)+R$1*((-2*10^-6)*Q71^3+0.00032*Q71^2-0.0021*Q71)+S$1*((-2*10^-6)*R71^3+0.00032*R71^2-0.0021*R71)</f>
        <v>3.1212804000000003</v>
      </c>
      <c r="W71" s="6">
        <f>(H$1*H71+I$1*I71)/100</f>
        <v>2.83</v>
      </c>
      <c r="X71">
        <f>U71*J$2+V71*O$2+W71*H$2</f>
        <v>16.703693600000001</v>
      </c>
      <c r="Y71" t="str">
        <f>IF(AND(I71&gt;50,H71+I71&gt;75),"SP",IF(2*H71+I71&gt;120,"RP","CRAP"))</f>
        <v>SP</v>
      </c>
    </row>
    <row r="72" spans="1:25" ht="13.5" customHeight="1" thickBot="1" x14ac:dyDescent="0.35">
      <c r="A72">
        <f>(W72*H$2+U72*J$2+V72*O$2)*100/(W$4*H$2+U$4*J$2+V$4*O$2)</f>
        <v>46.532864467231377</v>
      </c>
      <c r="B72" s="18">
        <v>157</v>
      </c>
      <c r="C72" s="12" t="s">
        <v>185</v>
      </c>
      <c r="D72" s="19" t="s">
        <v>16</v>
      </c>
      <c r="E72" s="19" t="s">
        <v>21</v>
      </c>
      <c r="F72" s="19" t="s">
        <v>19</v>
      </c>
      <c r="G72" s="19">
        <v>19</v>
      </c>
      <c r="H72" s="19">
        <v>21</v>
      </c>
      <c r="I72" s="19">
        <v>83</v>
      </c>
      <c r="J72" s="19">
        <v>33</v>
      </c>
      <c r="K72" s="19">
        <v>36</v>
      </c>
      <c r="L72" s="19">
        <v>45</v>
      </c>
      <c r="M72" s="19">
        <v>66</v>
      </c>
      <c r="N72" s="19">
        <v>61</v>
      </c>
      <c r="O72" s="19">
        <v>78</v>
      </c>
      <c r="P72" s="19">
        <v>43</v>
      </c>
      <c r="Q72" s="19">
        <v>61</v>
      </c>
      <c r="R72" s="19">
        <v>43</v>
      </c>
      <c r="S72" s="19">
        <v>0</v>
      </c>
      <c r="T72" s="19">
        <v>53</v>
      </c>
      <c r="U72" s="6">
        <f>J$1*((-2*10^-6)*J72^3+0.00032*J72^2-0.0021*J72)+K$1*((-2*10^-6)*K72^3+0.00032*K72^2-0.0021*K72)+L$1*((-2*10^-6)*L72^3+0.00032*L72^2-0.0021*L72)+M$1*((-2*10^-6)*M72^3+0.00032*M72^2-0.0021*M72)+N$1*((-2*10^-6)*N72^3+0.00032*N72^2-0.0021*N72)</f>
        <v>1.4750922</v>
      </c>
      <c r="V72">
        <f>O$1*((-2*10^-6)*N72^3+0.00032*N72^2-0.0021*N72)+P$1*((-2*10^-6)*O72^3+0.00032*O72^2-0.0021*O72)+Q$1*((-2*10^-6)*P72^3+0.00032*P72^2-0.0021*P72)+R$1*((-2*10^-6)*Q72^3+0.00032*Q72^2-0.0021*Q72)+S$1*((-2*10^-6)*R72^3+0.00032*R72^2-0.0021*R72)</f>
        <v>3.634672800000001</v>
      </c>
      <c r="W72" s="6">
        <f>(H$1*H72+I$1*I72)/100</f>
        <v>3.53</v>
      </c>
      <c r="X72">
        <f>U72*J$2+V72*O$2+W72*H$2</f>
        <v>16.699714400000001</v>
      </c>
      <c r="Y72" t="str">
        <f>IF(AND(I72&gt;50,H72+I72&gt;75),"SP",IF(2*H72+I72&gt;120,"RP","CRAP"))</f>
        <v>SP</v>
      </c>
    </row>
    <row r="73" spans="1:25" ht="13.5" customHeight="1" thickBot="1" x14ac:dyDescent="0.35">
      <c r="A73">
        <f>(W73*H$2+U73*J$2+V73*O$2)*100/(W$4*H$2+U$4*J$2+V$4*O$2)</f>
        <v>45.026502452073125</v>
      </c>
      <c r="B73" s="20">
        <v>158</v>
      </c>
      <c r="C73" s="13" t="s">
        <v>186</v>
      </c>
      <c r="D73" s="21" t="s">
        <v>16</v>
      </c>
      <c r="E73" s="21" t="s">
        <v>21</v>
      </c>
      <c r="F73" s="21" t="s">
        <v>19</v>
      </c>
      <c r="G73" s="21">
        <v>18</v>
      </c>
      <c r="H73" s="21">
        <v>71</v>
      </c>
      <c r="I73" s="21">
        <v>11</v>
      </c>
      <c r="J73" s="21">
        <v>65</v>
      </c>
      <c r="K73" s="21">
        <v>14</v>
      </c>
      <c r="L73" s="21">
        <v>24</v>
      </c>
      <c r="M73" s="21">
        <v>71</v>
      </c>
      <c r="N73" s="21">
        <v>78</v>
      </c>
      <c r="O73" s="21">
        <v>70</v>
      </c>
      <c r="P73" s="21">
        <v>67</v>
      </c>
      <c r="Q73" s="21">
        <v>0</v>
      </c>
      <c r="R73" s="21">
        <v>0</v>
      </c>
      <c r="S73" s="21">
        <v>0</v>
      </c>
      <c r="T73" s="21">
        <v>39</v>
      </c>
      <c r="U73" s="6">
        <f>J$1*((-2*10^-6)*J73^3+0.00032*J73^2-0.0021*J73)+K$1*((-2*10^-6)*K73^3+0.00032*K73^2-0.0021*K73)+L$1*((-2*10^-6)*L73^3+0.00032*L73^2-0.0021*L73)+M$1*((-2*10^-6)*M73^3+0.00032*M73^2-0.0021*M73)+N$1*((-2*10^-6)*N73^3+0.00032*N73^2-0.0021*N73)</f>
        <v>1.8361748000000004</v>
      </c>
      <c r="V73">
        <f>O$1*((-2*10^-6)*N73^3+0.00032*N73^2-0.0021*N73)+P$1*((-2*10^-6)*O73^3+0.00032*O73^2-0.0021*O73)+Q$1*((-2*10^-6)*P73^3+0.00032*P73^2-0.0021*P73)+R$1*((-2*10^-6)*Q73^3+0.00032*Q73^2-0.0021*Q73)+S$1*((-2*10^-6)*R73^3+0.00032*R73^2-0.0021*R73)</f>
        <v>3.8322060000000011</v>
      </c>
      <c r="W73" s="6">
        <f>(H$1*H73+I$1*I73)/100</f>
        <v>1.1499999999999999</v>
      </c>
      <c r="X73">
        <f>U73*J$2+V73*O$2+W73*H$2</f>
        <v>16.159111200000002</v>
      </c>
      <c r="Y73" t="str">
        <f>IF(AND(I73&gt;50,H73+I73&gt;75),"SP",IF(2*H73+I73&gt;120,"RP","CRAP"))</f>
        <v>RP</v>
      </c>
    </row>
    <row r="74" spans="1:25" ht="13.5" customHeight="1" thickBot="1" x14ac:dyDescent="0.35">
      <c r="A74">
        <f>(W74*H$2+U74*J$2+V74*O$2)*100/(W$4*H$2+U$4*J$2+V$4*O$2)</f>
        <v>44.991502452073121</v>
      </c>
      <c r="B74" s="20">
        <v>134</v>
      </c>
      <c r="C74" s="13" t="s">
        <v>162</v>
      </c>
      <c r="D74" s="21" t="s">
        <v>16</v>
      </c>
      <c r="E74" s="21" t="s">
        <v>20</v>
      </c>
      <c r="F74" s="21" t="s">
        <v>20</v>
      </c>
      <c r="G74" s="21">
        <v>18</v>
      </c>
      <c r="H74" s="21">
        <v>39</v>
      </c>
      <c r="I74" s="21">
        <v>49</v>
      </c>
      <c r="J74" s="21">
        <v>56</v>
      </c>
      <c r="K74" s="21">
        <v>32</v>
      </c>
      <c r="L74" s="21">
        <v>14</v>
      </c>
      <c r="M74" s="21">
        <v>30</v>
      </c>
      <c r="N74" s="21">
        <v>82</v>
      </c>
      <c r="O74" s="21">
        <v>79</v>
      </c>
      <c r="P74" s="21">
        <v>42</v>
      </c>
      <c r="Q74" s="21">
        <v>26</v>
      </c>
      <c r="R74" s="21">
        <v>24</v>
      </c>
      <c r="S74" s="21">
        <v>23</v>
      </c>
      <c r="T74" s="21">
        <v>44</v>
      </c>
      <c r="U74" s="6">
        <f>J$1*((-2*10^-6)*J74^3+0.00032*J74^2-0.0021*J74)+K$1*((-2*10^-6)*K74^3+0.00032*K74^2-0.0021*K74)+L$1*((-2*10^-6)*L74^3+0.00032*L74^2-0.0021*L74)+M$1*((-2*10^-6)*M74^3+0.00032*M74^2-0.0021*M74)+N$1*((-2*10^-6)*N74^3+0.00032*N74^2-0.0021*N74)</f>
        <v>1.5156168000000005</v>
      </c>
      <c r="V74">
        <f>O$1*((-2*10^-6)*N74^3+0.00032*N74^2-0.0021*N74)+P$1*((-2*10^-6)*O74^3+0.00032*O74^2-0.0021*O74)+Q$1*((-2*10^-6)*P74^3+0.00032*P74^2-0.0021*P74)+R$1*((-2*10^-6)*Q74^3+0.00032*Q74^2-0.0021*Q74)+S$1*((-2*10^-6)*R74^3+0.00032*R74^2-0.0021*R74)</f>
        <v>3.8670416000000012</v>
      </c>
      <c r="W74" s="6">
        <f>(H$1*H74+I$1*I74)/100</f>
        <v>2.35</v>
      </c>
      <c r="X74">
        <f>U74*J$2+V74*O$2+W74*H$2</f>
        <v>16.146550400000006</v>
      </c>
      <c r="Y74" t="str">
        <f>IF(AND(I74&gt;50,H74+I74&gt;75),"SP",IF(2*H74+I74&gt;120,"RP","CRAP"))</f>
        <v>RP</v>
      </c>
    </row>
    <row r="75" spans="1:25" ht="13.5" customHeight="1" thickBot="1" x14ac:dyDescent="0.35">
      <c r="A75">
        <f>(W75*H$2+U75*J$2+V75*O$2)*100/(W$4*H$2+U$4*J$2+V$4*O$2)</f>
        <v>44.990882746321894</v>
      </c>
      <c r="B75" s="18">
        <v>93</v>
      </c>
      <c r="C75" s="12" t="s">
        <v>121</v>
      </c>
      <c r="D75" s="19" t="s">
        <v>16</v>
      </c>
      <c r="E75" s="19" t="s">
        <v>20</v>
      </c>
      <c r="F75" s="19" t="s">
        <v>20</v>
      </c>
      <c r="G75" s="19">
        <v>18</v>
      </c>
      <c r="H75" s="19">
        <v>64</v>
      </c>
      <c r="I75" s="19">
        <v>43</v>
      </c>
      <c r="J75" s="19">
        <v>48</v>
      </c>
      <c r="K75" s="19">
        <v>31</v>
      </c>
      <c r="L75" s="19">
        <v>37</v>
      </c>
      <c r="M75" s="19">
        <v>29</v>
      </c>
      <c r="N75" s="19">
        <v>66</v>
      </c>
      <c r="O75" s="19">
        <v>73</v>
      </c>
      <c r="P75" s="19">
        <v>65</v>
      </c>
      <c r="Q75" s="19">
        <v>44</v>
      </c>
      <c r="R75" s="19">
        <v>0</v>
      </c>
      <c r="S75" s="19">
        <v>0</v>
      </c>
      <c r="T75" s="19">
        <v>52</v>
      </c>
      <c r="U75" s="6">
        <f>J$1*((-2*10^-6)*J75^3+0.00032*J75^2-0.0021*J75)+K$1*((-2*10^-6)*K75^3+0.00032*K75^2-0.0021*K75)+L$1*((-2*10^-6)*L75^3+0.00032*L75^2-0.0021*L75)+M$1*((-2*10^-6)*M75^3+0.00032*M75^2-0.0021*M75)+N$1*((-2*10^-6)*N75^3+0.00032*N75^2-0.0021*N75)</f>
        <v>1.5699950000000003</v>
      </c>
      <c r="V75">
        <f>O$1*((-2*10^-6)*N75^3+0.00032*N75^2-0.0021*N75)+P$1*((-2*10^-6)*O75^3+0.00032*O75^2-0.0021*O75)+Q$1*((-2*10^-6)*P75^3+0.00032*P75^2-0.0021*P75)+R$1*((-2*10^-6)*Q75^3+0.00032*Q75^2-0.0021*Q75)+S$1*((-2*10^-6)*R75^3+0.00032*R75^2-0.0021*R75)</f>
        <v>3.7531740000000009</v>
      </c>
      <c r="W75" s="6">
        <f>(H$1*H75+I$1*I75)/100</f>
        <v>2.36</v>
      </c>
      <c r="X75">
        <f>U75*J$2+V75*O$2+W75*H$2</f>
        <v>16.146328000000004</v>
      </c>
      <c r="Y75" t="str">
        <f>IF(AND(I75&gt;50,H75+I75&gt;75),"SP",IF(2*H75+I75&gt;120,"RP","CRAP"))</f>
        <v>RP</v>
      </c>
    </row>
    <row r="76" spans="1:25" ht="13.5" customHeight="1" thickBot="1" x14ac:dyDescent="0.35">
      <c r="A76">
        <f>(W76*H$2+U76*J$2+V76*O$2)*100/(W$4*H$2+U$4*J$2+V$4*O$2)</f>
        <v>44.563207757467687</v>
      </c>
      <c r="B76" s="20">
        <v>96</v>
      </c>
      <c r="C76" s="13" t="s">
        <v>124</v>
      </c>
      <c r="D76" s="21" t="s">
        <v>16</v>
      </c>
      <c r="E76" s="21" t="s">
        <v>20</v>
      </c>
      <c r="F76" s="21" t="s">
        <v>20</v>
      </c>
      <c r="G76" s="21">
        <v>18</v>
      </c>
      <c r="H76" s="21">
        <v>54</v>
      </c>
      <c r="I76" s="21">
        <v>48</v>
      </c>
      <c r="J76" s="21">
        <v>73</v>
      </c>
      <c r="K76" s="21">
        <v>23</v>
      </c>
      <c r="L76" s="21">
        <v>31</v>
      </c>
      <c r="M76" s="21">
        <v>74</v>
      </c>
      <c r="N76" s="21">
        <v>31</v>
      </c>
      <c r="O76" s="21">
        <v>67</v>
      </c>
      <c r="P76" s="21">
        <v>60</v>
      </c>
      <c r="Q76" s="21">
        <v>46</v>
      </c>
      <c r="R76" s="21">
        <v>0</v>
      </c>
      <c r="S76" s="21">
        <v>0</v>
      </c>
      <c r="T76" s="21">
        <v>51</v>
      </c>
      <c r="U76" s="6">
        <f>J$1*((-2*10^-6)*J76^3+0.00032*J76^2-0.0021*J76)+K$1*((-2*10^-6)*K76^3+0.00032*K76^2-0.0021*K76)+L$1*((-2*10^-6)*L76^3+0.00032*L76^2-0.0021*L76)+M$1*((-2*10^-6)*M76^3+0.00032*M76^2-0.0021*M76)+N$1*((-2*10^-6)*N76^3+0.00032*N76^2-0.0021*N76)</f>
        <v>2.1126570000000005</v>
      </c>
      <c r="V76">
        <f>O$1*((-2*10^-6)*N76^3+0.00032*N76^2-0.0021*N76)+P$1*((-2*10^-6)*O76^3+0.00032*O76^2-0.0021*O76)+Q$1*((-2*10^-6)*P76^3+0.00032*P76^2-0.0021*P76)+R$1*((-2*10^-6)*Q76^3+0.00032*Q76^2-0.0021*Q76)+S$1*((-2*10^-6)*R76^3+0.00032*R76^2-0.0021*R76)</f>
        <v>2.5411080000000008</v>
      </c>
      <c r="W76" s="6">
        <f>(H$1*H76+I$1*I76)/100</f>
        <v>2.46</v>
      </c>
      <c r="X76">
        <f>U76*J$2+V76*O$2+W76*H$2</f>
        <v>15.992844000000005</v>
      </c>
      <c r="Y76" t="str">
        <f>IF(AND(I76&gt;50,H76+I76&gt;75),"SP",IF(2*H76+I76&gt;120,"RP","CRAP"))</f>
        <v>RP</v>
      </c>
    </row>
    <row r="77" spans="1:25" ht="13.5" customHeight="1" thickBot="1" x14ac:dyDescent="0.35">
      <c r="A77">
        <f>(W77*H$2+U77*J$2+V77*O$2)*100/(W$4*H$2+U$4*J$2+V$4*O$2)</f>
        <v>44.170235176103432</v>
      </c>
      <c r="B77" s="18">
        <v>127</v>
      </c>
      <c r="C77" s="12" t="s">
        <v>155</v>
      </c>
      <c r="D77" s="19" t="s">
        <v>16</v>
      </c>
      <c r="E77" s="19" t="s">
        <v>19</v>
      </c>
      <c r="F77" s="19" t="s">
        <v>19</v>
      </c>
      <c r="G77" s="19">
        <v>18</v>
      </c>
      <c r="H77" s="19">
        <v>25</v>
      </c>
      <c r="I77" s="19">
        <v>64</v>
      </c>
      <c r="J77" s="19">
        <v>56</v>
      </c>
      <c r="K77" s="19">
        <v>18</v>
      </c>
      <c r="L77" s="19">
        <v>24</v>
      </c>
      <c r="M77" s="19">
        <v>36</v>
      </c>
      <c r="N77" s="19">
        <v>74</v>
      </c>
      <c r="O77" s="19">
        <v>56</v>
      </c>
      <c r="P77" s="19">
        <v>64</v>
      </c>
      <c r="Q77" s="19">
        <v>38</v>
      </c>
      <c r="R77" s="19">
        <v>45</v>
      </c>
      <c r="S77" s="19">
        <v>0</v>
      </c>
      <c r="T77" s="19">
        <v>45</v>
      </c>
      <c r="U77" s="6">
        <f>J$1*((-2*10^-6)*J77^3+0.00032*J77^2-0.0021*J77)+K$1*((-2*10^-6)*K77^3+0.00032*K77^2-0.0021*K77)+L$1*((-2*10^-6)*L77^3+0.00032*L77^2-0.0021*L77)+M$1*((-2*10^-6)*M77^3+0.00032*M77^2-0.0021*M77)+N$1*((-2*10^-6)*N77^3+0.00032*N77^2-0.0021*N77)</f>
        <v>1.4894560000000003</v>
      </c>
      <c r="V77">
        <f>O$1*((-2*10^-6)*N77^3+0.00032*N77^2-0.0021*N77)+P$1*((-2*10^-6)*O77^3+0.00032*O77^2-0.0021*O77)+Q$1*((-2*10^-6)*P77^3+0.00032*P77^2-0.0021*P77)+R$1*((-2*10^-6)*Q77^3+0.00032*Q77^2-0.0021*Q77)+S$1*((-2*10^-6)*R77^3+0.00032*R77^2-0.0021*R77)</f>
        <v>3.5419950000000004</v>
      </c>
      <c r="W77" s="6">
        <f>(H$1*H77+I$1*I77)/100</f>
        <v>2.81</v>
      </c>
      <c r="X77">
        <f>U77*J$2+V77*O$2+W77*H$2</f>
        <v>15.851814000000003</v>
      </c>
      <c r="Y77" t="str">
        <f>IF(AND(I77&gt;50,H77+I77&gt;75),"SP",IF(2*H77+I77&gt;120,"RP","CRAP"))</f>
        <v>SP</v>
      </c>
    </row>
    <row r="78" spans="1:25" ht="13.5" customHeight="1" thickBot="1" x14ac:dyDescent="0.35">
      <c r="A78">
        <f>(W78*H$2+U78*J$2+V78*O$2)*100/(W$4*H$2+U$4*J$2+V$4*O$2)</f>
        <v>44.106794471689703</v>
      </c>
      <c r="B78" s="20">
        <v>132</v>
      </c>
      <c r="C78" s="13" t="s">
        <v>160</v>
      </c>
      <c r="D78" s="21" t="s">
        <v>16</v>
      </c>
      <c r="E78" s="21" t="s">
        <v>19</v>
      </c>
      <c r="F78" s="21" t="s">
        <v>19</v>
      </c>
      <c r="G78" s="21">
        <v>18</v>
      </c>
      <c r="H78" s="21">
        <v>77</v>
      </c>
      <c r="I78" s="21">
        <v>18</v>
      </c>
      <c r="J78" s="21">
        <v>43</v>
      </c>
      <c r="K78" s="21">
        <v>20</v>
      </c>
      <c r="L78" s="21">
        <v>42</v>
      </c>
      <c r="M78" s="21">
        <v>71</v>
      </c>
      <c r="N78" s="21">
        <v>85</v>
      </c>
      <c r="O78" s="21">
        <v>89</v>
      </c>
      <c r="P78" s="21">
        <v>42</v>
      </c>
      <c r="Q78" s="21">
        <v>0</v>
      </c>
      <c r="R78" s="21">
        <v>0</v>
      </c>
      <c r="S78" s="21">
        <v>0</v>
      </c>
      <c r="T78" s="21">
        <v>44</v>
      </c>
      <c r="U78" s="6">
        <f>J$1*((-2*10^-6)*J78^3+0.00032*J78^2-0.0021*J78)+K$1*((-2*10^-6)*K78^3+0.00032*K78^2-0.0021*K78)+L$1*((-2*10^-6)*L78^3+0.00032*L78^2-0.0021*L78)+M$1*((-2*10^-6)*M78^3+0.00032*M78^2-0.0021*M78)+N$1*((-2*10^-6)*N78^3+0.00032*N78^2-0.0021*N78)</f>
        <v>1.5775776000000004</v>
      </c>
      <c r="V78">
        <f>O$1*((-2*10^-6)*N78^3+0.00032*N78^2-0.0021*N78)+P$1*((-2*10^-6)*O78^3+0.00032*O78^2-0.0021*O78)+Q$1*((-2*10^-6)*P78^3+0.00032*P78^2-0.0021*P78)+R$1*((-2*10^-6)*Q78^3+0.00032*Q78^2-0.0021*Q78)+S$1*((-2*10^-6)*R78^3+0.00032*R78^2-0.0021*R78)</f>
        <v>4.014368000000001</v>
      </c>
      <c r="W78" s="6">
        <f>(H$1*H78+I$1*I78)/100</f>
        <v>1.49</v>
      </c>
      <c r="X78">
        <f>U78*J$2+V78*O$2+W78*H$2</f>
        <v>15.829046400000005</v>
      </c>
      <c r="Y78" t="str">
        <f>IF(AND(I78&gt;50,H78+I78&gt;75),"SP",IF(2*H78+I78&gt;120,"RP","CRAP"))</f>
        <v>RP</v>
      </c>
    </row>
    <row r="79" spans="1:25" ht="13.5" customHeight="1" thickBot="1" x14ac:dyDescent="0.35">
      <c r="A79">
        <f>(W79*H$2+U79*J$2+V79*O$2)*100/(W$4*H$2+U$4*J$2+V$4*O$2)</f>
        <v>43.502985956308514</v>
      </c>
      <c r="B79" s="18">
        <v>119</v>
      </c>
      <c r="C79" s="12" t="s">
        <v>147</v>
      </c>
      <c r="D79" s="19" t="s">
        <v>16</v>
      </c>
      <c r="E79" s="19" t="s">
        <v>19</v>
      </c>
      <c r="F79" s="19" t="s">
        <v>19</v>
      </c>
      <c r="G79" s="19">
        <v>18</v>
      </c>
      <c r="H79" s="19">
        <v>28</v>
      </c>
      <c r="I79" s="19">
        <v>59</v>
      </c>
      <c r="J79" s="19">
        <v>58</v>
      </c>
      <c r="K79" s="19">
        <v>24</v>
      </c>
      <c r="L79" s="19">
        <v>27</v>
      </c>
      <c r="M79" s="19">
        <v>30</v>
      </c>
      <c r="N79" s="19">
        <v>56</v>
      </c>
      <c r="O79" s="19">
        <v>74</v>
      </c>
      <c r="P79" s="19">
        <v>47</v>
      </c>
      <c r="Q79" s="19">
        <v>40</v>
      </c>
      <c r="R79" s="19">
        <v>49</v>
      </c>
      <c r="S79" s="19">
        <v>0</v>
      </c>
      <c r="T79" s="19">
        <v>47</v>
      </c>
      <c r="U79" s="6">
        <f>J$1*((-2*10^-6)*J79^3+0.00032*J79^2-0.0021*J79)+K$1*((-2*10^-6)*K79^3+0.00032*K79^2-0.0021*K79)+L$1*((-2*10^-6)*L79^3+0.00032*L79^2-0.0021*L79)+M$1*((-2*10^-6)*M79^3+0.00032*M79^2-0.0021*M79)+N$1*((-2*10^-6)*N79^3+0.00032*N79^2-0.0021*N79)</f>
        <v>1.5821426000000003</v>
      </c>
      <c r="V79">
        <f>O$1*((-2*10^-6)*N79^3+0.00032*N79^2-0.0021*N79)+P$1*((-2*10^-6)*O79^3+0.00032*O79^2-0.0021*O79)+Q$1*((-2*10^-6)*P79^3+0.00032*P79^2-0.0021*P79)+R$1*((-2*10^-6)*Q79^3+0.00032*Q79^2-0.0021*Q79)+S$1*((-2*10^-6)*R79^3+0.00032*R79^2-0.0021*R79)</f>
        <v>3.3218906000000006</v>
      </c>
      <c r="W79" s="6">
        <f>(H$1*H79+I$1*I79)/100</f>
        <v>2.64</v>
      </c>
      <c r="X79">
        <f>U79*J$2+V79*O$2+W79*H$2</f>
        <v>15.612351600000004</v>
      </c>
      <c r="Y79" t="str">
        <f>IF(AND(I79&gt;50,H79+I79&gt;75),"SP",IF(2*H79+I79&gt;120,"RP","CRAP"))</f>
        <v>SP</v>
      </c>
    </row>
    <row r="80" spans="1:25" ht="13.5" customHeight="1" thickBot="1" x14ac:dyDescent="0.35">
      <c r="A80">
        <f>(W80*H$2+U80*J$2+V80*O$2)*100/(W$4*H$2+U$4*J$2+V$4*O$2)</f>
        <v>43.499501783325904</v>
      </c>
      <c r="B80" s="18">
        <v>117</v>
      </c>
      <c r="C80" s="12" t="s">
        <v>145</v>
      </c>
      <c r="D80" s="19" t="s">
        <v>16</v>
      </c>
      <c r="E80" s="19" t="s">
        <v>21</v>
      </c>
      <c r="F80" s="19" t="s">
        <v>20</v>
      </c>
      <c r="G80" s="19">
        <v>18</v>
      </c>
      <c r="H80" s="19">
        <v>27</v>
      </c>
      <c r="I80" s="19">
        <v>86</v>
      </c>
      <c r="J80" s="19">
        <v>52</v>
      </c>
      <c r="K80" s="19">
        <v>34</v>
      </c>
      <c r="L80" s="19">
        <v>29</v>
      </c>
      <c r="M80" s="19">
        <v>56</v>
      </c>
      <c r="N80" s="19">
        <v>40</v>
      </c>
      <c r="O80" s="19">
        <v>65</v>
      </c>
      <c r="P80" s="19">
        <v>60</v>
      </c>
      <c r="Q80" s="19">
        <v>44</v>
      </c>
      <c r="R80" s="19">
        <v>41</v>
      </c>
      <c r="S80" s="19">
        <v>0</v>
      </c>
      <c r="T80" s="19">
        <v>47</v>
      </c>
      <c r="U80" s="6">
        <f>J$1*((-2*10^-6)*J80^3+0.00032*J80^2-0.0021*J80)+K$1*((-2*10^-6)*K80^3+0.00032*K80^2-0.0021*K80)+L$1*((-2*10^-6)*L80^3+0.00032*L80^2-0.0021*L80)+M$1*((-2*10^-6)*M80^3+0.00032*M80^2-0.0021*M80)+N$1*((-2*10^-6)*N80^3+0.00032*N80^2-0.0021*N80)</f>
        <v>1.5757406000000005</v>
      </c>
      <c r="V80">
        <f>O$1*((-2*10^-6)*N80^3+0.00032*N80^2-0.0021*N80)+P$1*((-2*10^-6)*O80^3+0.00032*O80^2-0.0021*O80)+Q$1*((-2*10^-6)*P80^3+0.00032*P80^2-0.0021*P80)+R$1*((-2*10^-6)*Q80^3+0.00032*Q80^2-0.0021*Q80)+S$1*((-2*10^-6)*R80^3+0.00032*R80^2-0.0021*R80)</f>
        <v>2.7990694000000005</v>
      </c>
      <c r="W80" s="6">
        <f>(H$1*H80+I$1*I80)/100</f>
        <v>3.71</v>
      </c>
      <c r="X80">
        <f>U80*J$2+V80*O$2+W80*H$2</f>
        <v>15.611101200000004</v>
      </c>
      <c r="Y80" t="str">
        <f>IF(AND(I80&gt;50,H80+I80&gt;75),"SP",IF(2*H80+I80&gt;120,"RP","CRAP"))</f>
        <v>SP</v>
      </c>
    </row>
    <row r="81" spans="1:25" ht="13.5" customHeight="1" thickBot="1" x14ac:dyDescent="0.35">
      <c r="A81">
        <f>(W81*H$2+U81*J$2+V81*O$2)*100/(W$4*H$2+U$4*J$2+V$4*O$2)</f>
        <v>43.263918858671417</v>
      </c>
      <c r="B81" s="18">
        <v>89</v>
      </c>
      <c r="C81" s="12" t="s">
        <v>117</v>
      </c>
      <c r="D81" s="19" t="s">
        <v>16</v>
      </c>
      <c r="E81" s="19" t="s">
        <v>20</v>
      </c>
      <c r="F81" s="19" t="s">
        <v>20</v>
      </c>
      <c r="G81" s="19">
        <v>18</v>
      </c>
      <c r="H81" s="19">
        <v>26</v>
      </c>
      <c r="I81" s="19">
        <v>84</v>
      </c>
      <c r="J81" s="19">
        <v>45</v>
      </c>
      <c r="K81" s="19">
        <v>47</v>
      </c>
      <c r="L81" s="19">
        <v>37</v>
      </c>
      <c r="M81" s="19">
        <v>75</v>
      </c>
      <c r="N81" s="19">
        <v>35</v>
      </c>
      <c r="O81" s="19">
        <v>69</v>
      </c>
      <c r="P81" s="19">
        <v>47</v>
      </c>
      <c r="Q81" s="19">
        <v>38</v>
      </c>
      <c r="R81" s="19">
        <v>24</v>
      </c>
      <c r="S81" s="19">
        <v>0</v>
      </c>
      <c r="T81" s="19">
        <v>53</v>
      </c>
      <c r="U81" s="6">
        <f>J$1*((-2*10^-6)*J81^3+0.00032*J81^2-0.0021*J81)+K$1*((-2*10^-6)*K81^3+0.00032*K81^2-0.0021*K81)+L$1*((-2*10^-6)*L81^3+0.00032*L81^2-0.0021*L81)+M$1*((-2*10^-6)*M81^3+0.00032*M81^2-0.0021*M81)+N$1*((-2*10^-6)*N81^3+0.00032*N81^2-0.0021*N81)</f>
        <v>1.7379450000000003</v>
      </c>
      <c r="V81">
        <f>O$1*((-2*10^-6)*N81^3+0.00032*N81^2-0.0021*N81)+P$1*((-2*10^-6)*O81^3+0.00032*O81^2-0.0021*O81)+Q$1*((-2*10^-6)*P81^3+0.00032*P81^2-0.0021*P81)+R$1*((-2*10^-6)*Q81^3+0.00032*Q81^2-0.0021*Q81)+S$1*((-2*10^-6)*R81^3+0.00032*R81^2-0.0021*R81)</f>
        <v>2.4773876000000006</v>
      </c>
      <c r="W81" s="6">
        <f>(H$1*H81+I$1*I81)/100</f>
        <v>3.62</v>
      </c>
      <c r="X81">
        <f>U81*J$2+V81*O$2+W81*H$2</f>
        <v>15.526555200000004</v>
      </c>
      <c r="Y81" t="str">
        <f>IF(AND(I81&gt;50,H81+I81&gt;75),"SP",IF(2*H81+I81&gt;120,"RP","CRAP"))</f>
        <v>SP</v>
      </c>
    </row>
    <row r="82" spans="1:25" ht="13.5" customHeight="1" thickBot="1" x14ac:dyDescent="0.35">
      <c r="A82">
        <f>(W82*H$2+U82*J$2+V82*O$2)*100/(W$4*H$2+U$4*J$2+V$4*O$2)</f>
        <v>42.857300490414623</v>
      </c>
      <c r="B82" s="18">
        <v>165</v>
      </c>
      <c r="C82" s="12" t="s">
        <v>193</v>
      </c>
      <c r="D82" s="19" t="s">
        <v>16</v>
      </c>
      <c r="E82" s="19" t="s">
        <v>20</v>
      </c>
      <c r="F82" s="19" t="s">
        <v>20</v>
      </c>
      <c r="G82" s="19">
        <v>21</v>
      </c>
      <c r="H82" s="19">
        <v>36</v>
      </c>
      <c r="I82" s="19">
        <v>74</v>
      </c>
      <c r="J82" s="19">
        <v>34</v>
      </c>
      <c r="K82" s="19">
        <v>68</v>
      </c>
      <c r="L82" s="19">
        <v>25</v>
      </c>
      <c r="M82" s="19">
        <v>11</v>
      </c>
      <c r="N82" s="19">
        <v>62</v>
      </c>
      <c r="O82" s="19">
        <v>50</v>
      </c>
      <c r="P82" s="19">
        <v>70</v>
      </c>
      <c r="Q82" s="19">
        <v>55</v>
      </c>
      <c r="R82" s="19">
        <v>7</v>
      </c>
      <c r="S82" s="19">
        <v>0</v>
      </c>
      <c r="T82" s="19">
        <v>51</v>
      </c>
      <c r="U82" s="6">
        <f>J$1*((-2*10^-6)*J82^3+0.00032*J82^2-0.0021*J82)+K$1*((-2*10^-6)*K82^3+0.00032*K82^2-0.0021*K82)+L$1*((-2*10^-6)*L82^3+0.00032*L82^2-0.0021*L82)+M$1*((-2*10^-6)*M82^3+0.00032*M82^2-0.0021*M82)+N$1*((-2*10^-6)*N82^3+0.00032*N82^2-0.0021*N82)</f>
        <v>1.4494514000000001</v>
      </c>
      <c r="V82">
        <f>O$1*((-2*10^-6)*N82^3+0.00032*N82^2-0.0021*N82)+P$1*((-2*10^-6)*O82^3+0.00032*O82^2-0.0021*O82)+Q$1*((-2*10^-6)*P82^3+0.00032*P82^2-0.0021*P82)+R$1*((-2*10^-6)*Q82^3+0.00032*Q82^2-0.0021*Q82)+S$1*((-2*10^-6)*R82^3+0.00032*R82^2-0.0021*R82)</f>
        <v>3.1314112000000009</v>
      </c>
      <c r="W82" s="6">
        <f>(H$1*H82+I$1*I82)/100</f>
        <v>3.32</v>
      </c>
      <c r="X82">
        <f>U82*J$2+V82*O$2+W82*H$2</f>
        <v>15.380628000000002</v>
      </c>
      <c r="Y82" t="str">
        <f>IF(AND(I82&gt;50,H82+I82&gt;75),"SP",IF(2*H82+I82&gt;120,"RP","CRAP"))</f>
        <v>SP</v>
      </c>
    </row>
    <row r="83" spans="1:25" ht="13.5" customHeight="1" thickBot="1" x14ac:dyDescent="0.35">
      <c r="A83">
        <f>(W83*H$2+U83*J$2+V83*O$2)*100/(W$4*H$2+U$4*J$2+V$4*O$2)</f>
        <v>42.436833481943822</v>
      </c>
      <c r="B83" s="20">
        <v>100</v>
      </c>
      <c r="C83" s="13" t="s">
        <v>128</v>
      </c>
      <c r="D83" s="21" t="s">
        <v>16</v>
      </c>
      <c r="E83" s="21" t="s">
        <v>20</v>
      </c>
      <c r="F83" s="21" t="s">
        <v>20</v>
      </c>
      <c r="G83" s="21">
        <v>18</v>
      </c>
      <c r="H83" s="21">
        <v>30</v>
      </c>
      <c r="I83" s="21">
        <v>65</v>
      </c>
      <c r="J83" s="21">
        <v>72</v>
      </c>
      <c r="K83" s="21">
        <v>36</v>
      </c>
      <c r="L83" s="21">
        <v>32</v>
      </c>
      <c r="M83" s="21">
        <v>25</v>
      </c>
      <c r="N83" s="21">
        <v>16</v>
      </c>
      <c r="O83" s="21">
        <v>64</v>
      </c>
      <c r="P83" s="21">
        <v>50</v>
      </c>
      <c r="Q83" s="21">
        <v>28</v>
      </c>
      <c r="R83" s="21">
        <v>37</v>
      </c>
      <c r="S83" s="21">
        <v>0</v>
      </c>
      <c r="T83" s="21">
        <v>50</v>
      </c>
      <c r="U83" s="6">
        <f>J$1*((-2*10^-6)*J83^3+0.00032*J83^2-0.0021*J83)+K$1*((-2*10^-6)*K83^3+0.00032*K83^2-0.0021*K83)+L$1*((-2*10^-6)*L83^3+0.00032*L83^2-0.0021*L83)+M$1*((-2*10^-6)*M83^3+0.00032*M83^2-0.0021*M83)+N$1*((-2*10^-6)*N83^3+0.00032*N83^2-0.0021*N83)</f>
        <v>2.0918676000000005</v>
      </c>
      <c r="V83">
        <f>O$1*((-2*10^-6)*N83^3+0.00032*N83^2-0.0021*N83)+P$1*((-2*10^-6)*O83^3+0.00032*O83^2-0.0021*O83)+Q$1*((-2*10^-6)*P83^3+0.00032*P83^2-0.0021*P83)+R$1*((-2*10^-6)*Q83^3+0.00032*Q83^2-0.0021*Q83)+S$1*((-2*10^-6)*R83^3+0.00032*R83^2-0.0021*R83)</f>
        <v>1.9811302000000004</v>
      </c>
      <c r="W83" s="6">
        <f>(H$1*H83+I$1*I83)/100</f>
        <v>2.9</v>
      </c>
      <c r="X83">
        <f>U83*J$2+V83*O$2+W83*H$2</f>
        <v>15.229730800000004</v>
      </c>
      <c r="Y83" t="str">
        <f>IF(AND(I83&gt;50,H83+I83&gt;75),"SP",IF(2*H83+I83&gt;120,"RP","CRAP"))</f>
        <v>SP</v>
      </c>
    </row>
    <row r="84" spans="1:25" ht="13.5" customHeight="1" thickBot="1" x14ac:dyDescent="0.35">
      <c r="A84">
        <f>(W84*H$2+U84*J$2+V84*O$2)*100/(W$4*H$2+U$4*J$2+V$4*O$2)</f>
        <v>42.359028087382981</v>
      </c>
      <c r="B84" s="18">
        <v>151</v>
      </c>
      <c r="C84" s="12" t="s">
        <v>179</v>
      </c>
      <c r="D84" s="19" t="s">
        <v>16</v>
      </c>
      <c r="E84" s="19" t="s">
        <v>20</v>
      </c>
      <c r="F84" s="19" t="s">
        <v>20</v>
      </c>
      <c r="G84" s="19">
        <v>18</v>
      </c>
      <c r="H84" s="19">
        <v>69</v>
      </c>
      <c r="I84" s="19">
        <v>15</v>
      </c>
      <c r="J84" s="19">
        <v>74</v>
      </c>
      <c r="K84" s="19">
        <v>28</v>
      </c>
      <c r="L84" s="19">
        <v>23</v>
      </c>
      <c r="M84" s="19">
        <v>86</v>
      </c>
      <c r="N84" s="19">
        <v>54</v>
      </c>
      <c r="O84" s="19">
        <v>63</v>
      </c>
      <c r="P84" s="19">
        <v>45</v>
      </c>
      <c r="Q84" s="19">
        <v>0</v>
      </c>
      <c r="R84" s="19">
        <v>0</v>
      </c>
      <c r="S84" s="19">
        <v>0</v>
      </c>
      <c r="T84" s="19">
        <v>41</v>
      </c>
      <c r="U84" s="6">
        <f>J$1*((-2*10^-6)*J84^3+0.00032*J84^2-0.0021*J84)+K$1*((-2*10^-6)*K84^3+0.00032*K84^2-0.0021*K84)+L$1*((-2*10^-6)*L84^3+0.00032*L84^2-0.0021*L84)+M$1*((-2*10^-6)*M84^3+0.00032*M84^2-0.0021*M84)+N$1*((-2*10^-6)*N84^3+0.00032*N84^2-0.0021*N84)</f>
        <v>2.149849000000001</v>
      </c>
      <c r="V84">
        <f>O$1*((-2*10^-6)*N84^3+0.00032*N84^2-0.0021*N84)+P$1*((-2*10^-6)*O84^3+0.00032*O84^2-0.0021*O84)+Q$1*((-2*10^-6)*P84^3+0.00032*P84^2-0.0021*P84)+R$1*((-2*10^-6)*Q84^3+0.00032*Q84^2-0.0021*Q84)+S$1*((-2*10^-6)*R84^3+0.00032*R84^2-0.0021*R84)</f>
        <v>2.6562060000000005</v>
      </c>
      <c r="W84" s="6">
        <f>(H$1*H84+I$1*I84)/100</f>
        <v>1.29</v>
      </c>
      <c r="X84">
        <f>U84*J$2+V84*O$2+W84*H$2</f>
        <v>15.201808000000003</v>
      </c>
      <c r="Y84" t="str">
        <f>IF(AND(I84&gt;50,H84+I84&gt;75),"SP",IF(2*H84+I84&gt;120,"RP","CRAP"))</f>
        <v>RP</v>
      </c>
    </row>
    <row r="85" spans="1:25" ht="13.5" customHeight="1" thickBot="1" x14ac:dyDescent="0.35">
      <c r="A85">
        <f>(W85*H$2+U85*J$2+V85*O$2)*100/(W$4*H$2+U$4*J$2+V$4*O$2)</f>
        <v>41.758397235844853</v>
      </c>
      <c r="B85" s="20">
        <v>106</v>
      </c>
      <c r="C85" s="13" t="s">
        <v>134</v>
      </c>
      <c r="D85" s="21" t="s">
        <v>16</v>
      </c>
      <c r="E85" s="21" t="s">
        <v>21</v>
      </c>
      <c r="F85" s="21" t="s">
        <v>20</v>
      </c>
      <c r="G85" s="21">
        <v>18</v>
      </c>
      <c r="H85" s="21">
        <v>58</v>
      </c>
      <c r="I85" s="21">
        <v>37</v>
      </c>
      <c r="J85" s="21">
        <v>53</v>
      </c>
      <c r="K85" s="21">
        <v>48</v>
      </c>
      <c r="L85" s="21">
        <v>35</v>
      </c>
      <c r="M85" s="21">
        <v>46</v>
      </c>
      <c r="N85" s="21">
        <v>32</v>
      </c>
      <c r="O85" s="21">
        <v>72</v>
      </c>
      <c r="P85" s="21">
        <v>64</v>
      </c>
      <c r="Q85" s="21">
        <v>44</v>
      </c>
      <c r="R85" s="21">
        <v>0</v>
      </c>
      <c r="S85" s="21">
        <v>0</v>
      </c>
      <c r="T85" s="21">
        <v>49</v>
      </c>
      <c r="U85" s="6">
        <f>J$1*((-2*10^-6)*J85^3+0.00032*J85^2-0.0021*J85)+K$1*((-2*10^-6)*K85^3+0.00032*K85^2-0.0021*K85)+L$1*((-2*10^-6)*L85^3+0.00032*L85^2-0.0021*L85)+M$1*((-2*10^-6)*M85^3+0.00032*M85^2-0.0021*M85)+N$1*((-2*10^-6)*N85^3+0.00032*N85^2-0.0021*N85)</f>
        <v>1.8602314000000002</v>
      </c>
      <c r="V85">
        <f>O$1*((-2*10^-6)*N85^3+0.00032*N85^2-0.0021*N85)+P$1*((-2*10^-6)*O85^3+0.00032*O85^2-0.0021*O85)+Q$1*((-2*10^-6)*P85^3+0.00032*P85^2-0.0021*P85)+R$1*((-2*10^-6)*Q85^3+0.00032*Q85^2-0.0021*Q85)+S$1*((-2*10^-6)*R85^3+0.00032*R85^2-0.0021*R85)</f>
        <v>2.7426640000000009</v>
      </c>
      <c r="W85" s="6">
        <f>(H$1*H85+I$1*I85)/100</f>
        <v>2.06</v>
      </c>
      <c r="X85">
        <f>U85*J$2+V85*O$2+W85*H$2</f>
        <v>14.986253600000003</v>
      </c>
      <c r="Y85" t="str">
        <f>IF(AND(I85&gt;50,H85+I85&gt;75),"SP",IF(2*H85+I85&gt;120,"RP","CRAP"))</f>
        <v>RP</v>
      </c>
    </row>
    <row r="86" spans="1:25" ht="13.5" customHeight="1" thickBot="1" x14ac:dyDescent="0.35">
      <c r="A86">
        <f>(W86*H$2+U86*J$2+V86*O$2)*100/(W$4*H$2+U$4*J$2+V$4*O$2)</f>
        <v>39.921876950512711</v>
      </c>
      <c r="B86" s="18">
        <v>133</v>
      </c>
      <c r="C86" s="12" t="s">
        <v>161</v>
      </c>
      <c r="D86" s="19" t="s">
        <v>16</v>
      </c>
      <c r="E86" s="19" t="s">
        <v>19</v>
      </c>
      <c r="F86" s="19" t="s">
        <v>19</v>
      </c>
      <c r="G86" s="19">
        <v>18</v>
      </c>
      <c r="H86" s="19">
        <v>45</v>
      </c>
      <c r="I86" s="19">
        <v>30</v>
      </c>
      <c r="J86" s="19">
        <v>29</v>
      </c>
      <c r="K86" s="19">
        <v>28</v>
      </c>
      <c r="L86" s="19">
        <v>38</v>
      </c>
      <c r="M86" s="19">
        <v>91</v>
      </c>
      <c r="N86" s="19">
        <v>88</v>
      </c>
      <c r="O86" s="19">
        <v>72</v>
      </c>
      <c r="P86" s="19">
        <v>42</v>
      </c>
      <c r="Q86" s="19">
        <v>36</v>
      </c>
      <c r="R86" s="19">
        <v>0</v>
      </c>
      <c r="S86" s="19">
        <v>0</v>
      </c>
      <c r="T86" s="19">
        <v>44</v>
      </c>
      <c r="U86" s="6">
        <f>J$1*((-2*10^-6)*J86^3+0.00032*J86^2-0.0021*J86)+K$1*((-2*10^-6)*K86^3+0.00032*K86^2-0.0021*K86)+L$1*((-2*10^-6)*L86^3+0.00032*L86^2-0.0021*L86)+M$1*((-2*10^-6)*M86^3+0.00032*M86^2-0.0021*M86)+N$1*((-2*10^-6)*N86^3+0.00032*N86^2-0.0021*N86)</f>
        <v>1.2522668000000003</v>
      </c>
      <c r="V86">
        <f>O$1*((-2*10^-6)*N86^3+0.00032*N86^2-0.0021*N86)+P$1*((-2*10^-6)*O86^3+0.00032*O86^2-0.0021*O86)+Q$1*((-2*10^-6)*P86^3+0.00032*P86^2-0.0021*P86)+R$1*((-2*10^-6)*Q86^3+0.00032*Q86^2-0.0021*Q86)+S$1*((-2*10^-6)*R86^3+0.00032*R86^2-0.0021*R86)</f>
        <v>3.8340480000000015</v>
      </c>
      <c r="W86" s="6">
        <f>(H$1*H86+I$1*I86)/100</f>
        <v>1.65</v>
      </c>
      <c r="X86">
        <f>U86*J$2+V86*O$2+W86*H$2</f>
        <v>14.327163200000005</v>
      </c>
      <c r="Y86" t="str">
        <f>IF(AND(I86&gt;50,H86+I86&gt;75),"SP",IF(2*H86+I86&gt;120,"RP","CRAP"))</f>
        <v>CRAP</v>
      </c>
    </row>
    <row r="87" spans="1:25" ht="13.5" customHeight="1" thickBot="1" x14ac:dyDescent="0.35">
      <c r="A87">
        <f>(W87*H$2+U87*J$2+V87*O$2)*100/(W$4*H$2+U$4*J$2+V$4*O$2)</f>
        <v>37.763499777084263</v>
      </c>
      <c r="B87" s="20">
        <v>152</v>
      </c>
      <c r="C87" s="13" t="s">
        <v>180</v>
      </c>
      <c r="D87" s="21" t="s">
        <v>16</v>
      </c>
      <c r="E87" s="21" t="s">
        <v>20</v>
      </c>
      <c r="F87" s="21" t="s">
        <v>20</v>
      </c>
      <c r="G87" s="21">
        <v>18</v>
      </c>
      <c r="H87" s="21">
        <v>22</v>
      </c>
      <c r="I87" s="21">
        <v>74</v>
      </c>
      <c r="J87" s="21">
        <v>41</v>
      </c>
      <c r="K87" s="21">
        <v>32</v>
      </c>
      <c r="L87" s="21">
        <v>15</v>
      </c>
      <c r="M87" s="21">
        <v>37</v>
      </c>
      <c r="N87" s="21">
        <v>56</v>
      </c>
      <c r="O87" s="21">
        <v>65</v>
      </c>
      <c r="P87" s="21">
        <v>53</v>
      </c>
      <c r="Q87" s="21">
        <v>42</v>
      </c>
      <c r="R87" s="21">
        <v>34</v>
      </c>
      <c r="S87" s="21">
        <v>25</v>
      </c>
      <c r="T87" s="21">
        <v>40</v>
      </c>
      <c r="U87" s="6">
        <f>J$1*((-2*10^-6)*J87^3+0.00032*J87^2-0.0021*J87)+K$1*((-2*10^-6)*K87^3+0.00032*K87^2-0.0021*K87)+L$1*((-2*10^-6)*L87^3+0.00032*L87^2-0.0021*L87)+M$1*((-2*10^-6)*M87^3+0.00032*M87^2-0.0021*M87)+N$1*((-2*10^-6)*N87^3+0.00032*N87^2-0.0021*N87)</f>
        <v>1.0322774000000003</v>
      </c>
      <c r="V87">
        <f>O$1*((-2*10^-6)*N87^3+0.00032*N87^2-0.0021*N87)+P$1*((-2*10^-6)*O87^3+0.00032*O87^2-0.0021*O87)+Q$1*((-2*10^-6)*P87^3+0.00032*P87^2-0.0021*P87)+R$1*((-2*10^-6)*Q87^3+0.00032*Q87^2-0.0021*Q87)+S$1*((-2*10^-6)*R87^3+0.00032*R87^2-0.0021*R87)</f>
        <v>3.1217276000000007</v>
      </c>
      <c r="W87" s="6">
        <f>(H$1*H87+I$1*I87)/100</f>
        <v>3.18</v>
      </c>
      <c r="X87">
        <f>U87*J$2+V87*O$2+W87*H$2</f>
        <v>13.552564800000003</v>
      </c>
      <c r="Y87" t="str">
        <f>IF(AND(I87&gt;50,H87+I87&gt;75),"SP",IF(2*H87+I87&gt;120,"RP","CRAP"))</f>
        <v>SP</v>
      </c>
    </row>
    <row r="88" spans="1:25" ht="13.5" customHeight="1" thickBot="1" x14ac:dyDescent="0.35">
      <c r="A88">
        <f>(W88*H$2+U88*J$2+V88*O$2)*100/(W$4*H$2+U$4*J$2+V$4*O$2)</f>
        <v>37.239436023183245</v>
      </c>
      <c r="B88" s="20">
        <v>116</v>
      </c>
      <c r="C88" s="13" t="s">
        <v>144</v>
      </c>
      <c r="D88" s="21" t="s">
        <v>16</v>
      </c>
      <c r="E88" s="21" t="s">
        <v>20</v>
      </c>
      <c r="F88" s="21" t="s">
        <v>20</v>
      </c>
      <c r="G88" s="21">
        <v>18</v>
      </c>
      <c r="H88" s="21">
        <v>72</v>
      </c>
      <c r="I88" s="21">
        <v>27</v>
      </c>
      <c r="J88" s="21">
        <v>44</v>
      </c>
      <c r="K88" s="21">
        <v>44</v>
      </c>
      <c r="L88" s="21">
        <v>44</v>
      </c>
      <c r="M88" s="21">
        <v>79</v>
      </c>
      <c r="N88" s="21">
        <v>12</v>
      </c>
      <c r="O88" s="21">
        <v>70</v>
      </c>
      <c r="P88" s="21">
        <v>69</v>
      </c>
      <c r="Q88" s="21">
        <v>0</v>
      </c>
      <c r="R88" s="21">
        <v>0</v>
      </c>
      <c r="S88" s="21">
        <v>0</v>
      </c>
      <c r="T88" s="21">
        <v>47</v>
      </c>
      <c r="U88" s="6">
        <f>J$1*((-2*10^-6)*J88^3+0.00032*J88^2-0.0021*J88)+K$1*((-2*10^-6)*K88^3+0.00032*K88^2-0.0021*K88)+L$1*((-2*10^-6)*L88^3+0.00032*L88^2-0.0021*L88)+M$1*((-2*10^-6)*M88^3+0.00032*M88^2-0.0021*M88)+N$1*((-2*10^-6)*N88^3+0.00032*N88^2-0.0021*N88)</f>
        <v>1.7778972000000006</v>
      </c>
      <c r="V88">
        <f>O$1*((-2*10^-6)*N88^3+0.00032*N88^2-0.0021*N88)+P$1*((-2*10^-6)*O88^3+0.00032*O88^2-0.0021*O88)+Q$1*((-2*10^-6)*P88^3+0.00032*P88^2-0.0021*P88)+R$1*((-2*10^-6)*Q88^3+0.00032*Q88^2-0.0021*Q88)+S$1*((-2*10^-6)*R88^3+0.00032*R88^2-0.0021*R88)</f>
        <v>2.2264500000000003</v>
      </c>
      <c r="W88" s="6">
        <f>(H$1*H88+I$1*I88)/100</f>
        <v>1.8</v>
      </c>
      <c r="X88">
        <f>U88*J$2+V88*O$2+W88*H$2</f>
        <v>13.364488800000004</v>
      </c>
      <c r="Y88" t="str">
        <f>IF(AND(I88&gt;50,H88+I88&gt;75),"SP",IF(2*H88+I88&gt;120,"RP","CRAP"))</f>
        <v>RP</v>
      </c>
    </row>
    <row r="89" spans="1:25" ht="13.5" customHeight="1" thickBot="1" x14ac:dyDescent="0.35">
      <c r="A89">
        <f>(W89*H$2+U89*J$2+V89*O$2)*100/(W$4*H$2+U$4*J$2+V$4*O$2)</f>
        <v>36.796627284886313</v>
      </c>
      <c r="B89" s="20">
        <v>146</v>
      </c>
      <c r="C89" s="13" t="s">
        <v>174</v>
      </c>
      <c r="D89" s="21" t="s">
        <v>16</v>
      </c>
      <c r="E89" s="21" t="s">
        <v>19</v>
      </c>
      <c r="F89" s="21" t="s">
        <v>19</v>
      </c>
      <c r="G89" s="21">
        <v>18</v>
      </c>
      <c r="H89" s="21">
        <v>76</v>
      </c>
      <c r="I89" s="21">
        <v>20</v>
      </c>
      <c r="J89" s="21">
        <v>47</v>
      </c>
      <c r="K89" s="21">
        <v>30</v>
      </c>
      <c r="L89" s="21">
        <v>28</v>
      </c>
      <c r="M89" s="21">
        <v>75</v>
      </c>
      <c r="N89" s="21">
        <v>54</v>
      </c>
      <c r="O89" s="21">
        <v>69</v>
      </c>
      <c r="P89" s="21">
        <v>51</v>
      </c>
      <c r="Q89" s="21">
        <v>0</v>
      </c>
      <c r="R89" s="21">
        <v>0</v>
      </c>
      <c r="S89" s="21">
        <v>0</v>
      </c>
      <c r="T89" s="21">
        <v>43</v>
      </c>
      <c r="U89" s="6">
        <f>J$1*((-2*10^-6)*J89^3+0.00032*J89^2-0.0021*J89)+K$1*((-2*10^-6)*K89^3+0.00032*K89^2-0.0021*K89)+L$1*((-2*10^-6)*L89^3+0.00032*L89^2-0.0021*L89)+M$1*((-2*10^-6)*M89^3+0.00032*M89^2-0.0021*M89)+N$1*((-2*10^-6)*N89^3+0.00032*N89^2-0.0021*N89)</f>
        <v>1.4550404000000003</v>
      </c>
      <c r="V89">
        <f>O$1*((-2*10^-6)*N89^3+0.00032*N89^2-0.0021*N89)+P$1*((-2*10^-6)*O89^3+0.00032*O89^2-0.0021*O89)+Q$1*((-2*10^-6)*P89^3+0.00032*P89^2-0.0021*P89)+R$1*((-2*10^-6)*Q89^3+0.00032*Q89^2-0.0021*Q89)+S$1*((-2*10^-6)*R89^3+0.00032*R89^2-0.0021*R89)</f>
        <v>2.9127060000000009</v>
      </c>
      <c r="W89" s="6">
        <f>(H$1*H89+I$1*I89)/100</f>
        <v>1.56</v>
      </c>
      <c r="X89">
        <f>U89*J$2+V89*O$2+W89*H$2</f>
        <v>13.205573600000003</v>
      </c>
      <c r="Y89" t="str">
        <f>IF(AND(I89&gt;50,H89+I89&gt;75),"SP",IF(2*H89+I89&gt;120,"RP","CRAP"))</f>
        <v>RP</v>
      </c>
    </row>
    <row r="90" spans="1:25" ht="13.5" customHeight="1" thickBot="1" x14ac:dyDescent="0.35">
      <c r="A90">
        <f>(W90*H$2+U90*J$2+V90*O$2)*100/(W$4*H$2+U$4*J$2+V$4*O$2)</f>
        <v>36.588528756130188</v>
      </c>
      <c r="B90" s="18">
        <v>137</v>
      </c>
      <c r="C90" s="12" t="s">
        <v>165</v>
      </c>
      <c r="D90" s="19" t="s">
        <v>16</v>
      </c>
      <c r="E90" s="19" t="s">
        <v>19</v>
      </c>
      <c r="F90" s="19" t="s">
        <v>19</v>
      </c>
      <c r="G90" s="19">
        <v>18</v>
      </c>
      <c r="H90" s="19">
        <v>34</v>
      </c>
      <c r="I90" s="19">
        <v>63</v>
      </c>
      <c r="J90" s="19">
        <v>63</v>
      </c>
      <c r="K90" s="19">
        <v>15</v>
      </c>
      <c r="L90" s="19">
        <v>22</v>
      </c>
      <c r="M90" s="19">
        <v>69</v>
      </c>
      <c r="N90" s="19">
        <v>19</v>
      </c>
      <c r="O90" s="19">
        <v>63</v>
      </c>
      <c r="P90" s="19">
        <v>50</v>
      </c>
      <c r="Q90" s="19">
        <v>32</v>
      </c>
      <c r="R90" s="19">
        <v>0</v>
      </c>
      <c r="S90" s="19">
        <v>0</v>
      </c>
      <c r="T90" s="19">
        <v>44</v>
      </c>
      <c r="U90" s="6">
        <f>J$1*((-2*10^-6)*J90^3+0.00032*J90^2-0.0021*J90)+K$1*((-2*10^-6)*K90^3+0.00032*K90^2-0.0021*K90)+L$1*((-2*10^-6)*L90^3+0.00032*L90^2-0.0021*L90)+M$1*((-2*10^-6)*M90^3+0.00032*M90^2-0.0021*M90)+N$1*((-2*10^-6)*N90^3+0.00032*N90^2-0.0021*N90)</f>
        <v>1.5968988000000004</v>
      </c>
      <c r="V90">
        <f>O$1*((-2*10^-6)*N90^3+0.00032*N90^2-0.0021*N90)+P$1*((-2*10^-6)*O90^3+0.00032*O90^2-0.0021*O90)+Q$1*((-2*10^-6)*P90^3+0.00032*P90^2-0.0021*P90)+R$1*((-2*10^-6)*Q90^3+0.00032*Q90^2-0.0021*Q90)+S$1*((-2*10^-6)*R90^3+0.00032*R90^2-0.0021*R90)</f>
        <v>1.9416480000000005</v>
      </c>
      <c r="W90" s="6">
        <f>(H$1*H90+I$1*I90)/100</f>
        <v>2.86</v>
      </c>
      <c r="X90">
        <f>U90*J$2+V90*O$2+W90*H$2</f>
        <v>13.130891200000002</v>
      </c>
      <c r="Y90" t="str">
        <f>IF(AND(I90&gt;50,H90+I90&gt;75),"SP",IF(2*H90+I90&gt;120,"RP","CRAP"))</f>
        <v>SP</v>
      </c>
    </row>
    <row r="91" spans="1:25" ht="13.5" customHeight="1" thickBot="1" x14ac:dyDescent="0.35">
      <c r="A91">
        <f>(W91*H$2+U91*J$2+V91*O$2)*100/(W$4*H$2+U$4*J$2+V$4*O$2)</f>
        <v>34.537125501560411</v>
      </c>
      <c r="B91" s="20">
        <v>136</v>
      </c>
      <c r="C91" s="13" t="s">
        <v>164</v>
      </c>
      <c r="D91" s="21" t="s">
        <v>16</v>
      </c>
      <c r="E91" s="21" t="s">
        <v>20</v>
      </c>
      <c r="F91" s="21" t="s">
        <v>20</v>
      </c>
      <c r="G91" s="21">
        <v>18</v>
      </c>
      <c r="H91" s="21">
        <v>32</v>
      </c>
      <c r="I91" s="21">
        <v>64</v>
      </c>
      <c r="J91" s="21">
        <v>50</v>
      </c>
      <c r="K91" s="21">
        <v>35</v>
      </c>
      <c r="L91" s="21">
        <v>18</v>
      </c>
      <c r="M91" s="21">
        <v>79</v>
      </c>
      <c r="N91" s="21">
        <v>20</v>
      </c>
      <c r="O91" s="21">
        <v>56</v>
      </c>
      <c r="P91" s="21">
        <v>62</v>
      </c>
      <c r="Q91" s="21">
        <v>37</v>
      </c>
      <c r="R91" s="21">
        <v>20</v>
      </c>
      <c r="S91" s="21">
        <v>21</v>
      </c>
      <c r="T91" s="21">
        <v>44</v>
      </c>
      <c r="U91" s="6">
        <f>J$1*((-2*10^-6)*J91^3+0.00032*J91^2-0.0021*J91)+K$1*((-2*10^-6)*K91^3+0.00032*K91^2-0.0021*K91)+L$1*((-2*10^-6)*L91^3+0.00032*L91^2-0.0021*L91)+M$1*((-2*10^-6)*M91^3+0.00032*M91^2-0.0021*M91)+N$1*((-2*10^-6)*N91^3+0.00032*N91^2-0.0021*N91)</f>
        <v>1.3871024000000001</v>
      </c>
      <c r="V91">
        <f>O$1*((-2*10^-6)*N91^3+0.00032*N91^2-0.0021*N91)+P$1*((-2*10^-6)*O91^3+0.00032*O91^2-0.0021*O91)+Q$1*((-2*10^-6)*P91^3+0.00032*P91^2-0.0021*P91)+R$1*((-2*10^-6)*Q91^3+0.00032*Q91^2-0.0021*Q91)+S$1*((-2*10^-6)*R91^3+0.00032*R91^2-0.0021*R91)</f>
        <v>1.9831370000000001</v>
      </c>
      <c r="W91" s="6">
        <f>(H$1*H91+I$1*I91)/100</f>
        <v>2.88</v>
      </c>
      <c r="X91">
        <f>U91*J$2+V91*O$2+W91*H$2</f>
        <v>12.3946836</v>
      </c>
      <c r="Y91" t="str">
        <f>IF(AND(I91&gt;50,H91+I91&gt;75),"SP",IF(2*H91+I91&gt;120,"RP","CRAP"))</f>
        <v>SP</v>
      </c>
    </row>
    <row r="92" spans="1:25" ht="13.5" customHeight="1" thickBot="1" x14ac:dyDescent="0.35">
      <c r="A92">
        <f>(W92*H$2+U92*J$2+V92*O$2)*100/(W$4*H$2+U$4*J$2+V$4*O$2)</f>
        <v>34.34920641997325</v>
      </c>
      <c r="B92" s="20">
        <v>162</v>
      </c>
      <c r="C92" s="13" t="s">
        <v>190</v>
      </c>
      <c r="D92" s="21" t="s">
        <v>16</v>
      </c>
      <c r="E92" s="21" t="s">
        <v>21</v>
      </c>
      <c r="F92" s="21" t="s">
        <v>19</v>
      </c>
      <c r="G92" s="21">
        <v>18</v>
      </c>
      <c r="H92" s="21">
        <v>53</v>
      </c>
      <c r="I92" s="21">
        <v>22</v>
      </c>
      <c r="J92" s="21">
        <v>42</v>
      </c>
      <c r="K92" s="21">
        <v>25</v>
      </c>
      <c r="L92" s="21">
        <v>37</v>
      </c>
      <c r="M92" s="21">
        <v>75</v>
      </c>
      <c r="N92" s="21">
        <v>47</v>
      </c>
      <c r="O92" s="21">
        <v>65</v>
      </c>
      <c r="P92" s="21">
        <v>51</v>
      </c>
      <c r="Q92" s="21">
        <v>26</v>
      </c>
      <c r="R92" s="21">
        <v>0</v>
      </c>
      <c r="S92" s="21">
        <v>0</v>
      </c>
      <c r="T92" s="21">
        <v>38</v>
      </c>
      <c r="U92" s="6">
        <f>J$1*((-2*10^-6)*J92^3+0.00032*J92^2-0.0021*J92)+K$1*((-2*10^-6)*K92^3+0.00032*K92^2-0.0021*K92)+L$1*((-2*10^-6)*L92^3+0.00032*L92^2-0.0021*L92)+M$1*((-2*10^-6)*M92^3+0.00032*M92^2-0.0021*M92)+N$1*((-2*10^-6)*N92^3+0.00032*N92^2-0.0021*N92)</f>
        <v>1.4009258000000004</v>
      </c>
      <c r="V92">
        <f>O$1*((-2*10^-6)*N92^3+0.00032*N92^2-0.0021*N92)+P$1*((-2*10^-6)*O92^3+0.00032*O92^2-0.0021*O92)+Q$1*((-2*10^-6)*P92^3+0.00032*P92^2-0.0021*P92)+R$1*((-2*10^-6)*Q92^3+0.00032*Q92^2-0.0021*Q92)+S$1*((-2*10^-6)*R92^3+0.00032*R92^2-0.0021*R92)</f>
        <v>2.6567700000000003</v>
      </c>
      <c r="W92" s="6">
        <f>(H$1*H92+I$1*I92)/100</f>
        <v>1.41</v>
      </c>
      <c r="X92">
        <f>U92*J$2+V92*O$2+W92*H$2</f>
        <v>12.327243200000002</v>
      </c>
      <c r="Y92" t="str">
        <f>IF(AND(I92&gt;50,H92+I92&gt;75),"SP",IF(2*H92+I92&gt;120,"RP","CRAP"))</f>
        <v>RP</v>
      </c>
    </row>
    <row r="93" spans="1:25" ht="13.5" customHeight="1" thickBot="1" x14ac:dyDescent="0.35">
      <c r="A93">
        <f>(W93*H$2+U93*J$2+V93*O$2)*100/(W$4*H$2+U$4*J$2+V$4*O$2)</f>
        <v>34.195941818992424</v>
      </c>
      <c r="B93" s="18">
        <v>153</v>
      </c>
      <c r="C93" s="12" t="s">
        <v>181</v>
      </c>
      <c r="D93" s="19" t="s">
        <v>16</v>
      </c>
      <c r="E93" s="19" t="s">
        <v>19</v>
      </c>
      <c r="F93" s="19" t="s">
        <v>19</v>
      </c>
      <c r="G93" s="19">
        <v>18</v>
      </c>
      <c r="H93" s="19">
        <v>29</v>
      </c>
      <c r="I93" s="19">
        <v>67</v>
      </c>
      <c r="J93" s="19">
        <v>11</v>
      </c>
      <c r="K93" s="19">
        <v>26</v>
      </c>
      <c r="L93" s="19">
        <v>24</v>
      </c>
      <c r="M93" s="19">
        <v>33</v>
      </c>
      <c r="N93" s="19">
        <v>70</v>
      </c>
      <c r="O93" s="19">
        <v>71</v>
      </c>
      <c r="P93" s="19">
        <v>52</v>
      </c>
      <c r="Q93" s="19">
        <v>43</v>
      </c>
      <c r="R93" s="19">
        <v>26</v>
      </c>
      <c r="S93" s="19">
        <v>0</v>
      </c>
      <c r="T93" s="19">
        <v>40</v>
      </c>
      <c r="U93" s="6">
        <f>J$1*((-2*10^-6)*J93^3+0.00032*J93^2-0.0021*J93)+K$1*((-2*10^-6)*K93^3+0.00032*K93^2-0.0021*K93)+L$1*((-2*10^-6)*L93^3+0.00032*L93^2-0.0021*L93)+M$1*((-2*10^-6)*M93^3+0.00032*M93^2-0.0021*M93)+N$1*((-2*10^-6)*N93^3+0.00032*N93^2-0.0021*N93)</f>
        <v>0.50035320000000005</v>
      </c>
      <c r="V93">
        <f>O$1*((-2*10^-6)*N93^3+0.00032*N93^2-0.0021*N93)+P$1*((-2*10^-6)*O93^3+0.00032*O93^2-0.0021*O93)+Q$1*((-2*10^-6)*P93^3+0.00032*P93^2-0.0021*P93)+R$1*((-2*10^-6)*Q93^3+0.00032*Q93^2-0.0021*Q93)+S$1*((-2*10^-6)*R93^3+0.00032*R93^2-0.0021*R93)</f>
        <v>3.6504134000000006</v>
      </c>
      <c r="W93" s="6">
        <f>(H$1*H93+I$1*I93)/100</f>
        <v>2.97</v>
      </c>
      <c r="X93">
        <f>U93*J$2+V93*O$2+W93*H$2</f>
        <v>12.272239600000002</v>
      </c>
      <c r="Y93" t="str">
        <f>IF(AND(I93&gt;50,H93+I93&gt;75),"SP",IF(2*H93+I93&gt;120,"RP","CRAP"))</f>
        <v>SP</v>
      </c>
    </row>
    <row r="94" spans="1:25" ht="13.5" customHeight="1" thickBot="1" x14ac:dyDescent="0.35">
      <c r="A94">
        <f>(W94*H$2+U94*J$2+V94*O$2)*100/(W$4*H$2+U$4*J$2+V$4*O$2)</f>
        <v>34.101054391440044</v>
      </c>
      <c r="B94" s="20">
        <v>164</v>
      </c>
      <c r="C94" s="13" t="s">
        <v>192</v>
      </c>
      <c r="D94" s="21" t="s">
        <v>16</v>
      </c>
      <c r="E94" s="21" t="s">
        <v>19</v>
      </c>
      <c r="F94" s="21" t="s">
        <v>19</v>
      </c>
      <c r="G94" s="21">
        <v>18</v>
      </c>
      <c r="H94" s="21">
        <v>43</v>
      </c>
      <c r="I94" s="21">
        <v>40</v>
      </c>
      <c r="J94" s="21">
        <v>32</v>
      </c>
      <c r="K94" s="21">
        <v>13</v>
      </c>
      <c r="L94" s="21">
        <v>28</v>
      </c>
      <c r="M94" s="21">
        <v>72</v>
      </c>
      <c r="N94" s="21">
        <v>72</v>
      </c>
      <c r="O94" s="21">
        <v>71</v>
      </c>
      <c r="P94" s="21">
        <v>33</v>
      </c>
      <c r="Q94" s="21">
        <v>0</v>
      </c>
      <c r="R94" s="21">
        <v>0</v>
      </c>
      <c r="S94" s="21">
        <v>0</v>
      </c>
      <c r="T94" s="21">
        <v>38</v>
      </c>
      <c r="U94" s="6">
        <f>J$1*((-2*10^-6)*J94^3+0.00032*J94^2-0.0021*J94)+K$1*((-2*10^-6)*K94^3+0.00032*K94^2-0.0021*K94)+L$1*((-2*10^-6)*L94^3+0.00032*L94^2-0.0021*L94)+M$1*((-2*10^-6)*M94^3+0.00032*M94^2-0.0021*M94)+N$1*((-2*10^-6)*N94^3+0.00032*N94^2-0.0021*N94)</f>
        <v>0.93901160000000039</v>
      </c>
      <c r="V94">
        <f>O$1*((-2*10^-6)*N94^3+0.00032*N94^2-0.0021*N94)+P$1*((-2*10^-6)*O94^3+0.00032*O94^2-0.0021*O94)+Q$1*((-2*10^-6)*P94^3+0.00032*P94^2-0.0021*P94)+R$1*((-2*10^-6)*Q94^3+0.00032*Q94^2-0.0021*Q94)+S$1*((-2*10^-6)*R94^3+0.00032*R94^2-0.0021*R94)</f>
        <v>3.2260700000000009</v>
      </c>
      <c r="W94" s="6">
        <f>(H$1*H94+I$1*I94)/100</f>
        <v>2.0299999999999998</v>
      </c>
      <c r="X94">
        <f>U94*J$2+V94*O$2+W94*H$2</f>
        <v>12.238186400000002</v>
      </c>
      <c r="Y94" t="str">
        <f>IF(AND(I94&gt;50,H94+I94&gt;75),"SP",IF(2*H94+I94&gt;120,"RP","CRAP"))</f>
        <v>RP</v>
      </c>
    </row>
    <row r="95" spans="1:25" ht="13.5" customHeight="1" thickBot="1" x14ac:dyDescent="0.35">
      <c r="A95">
        <f>(W95*H$2+U95*J$2+V95*O$2)*100/(W$4*H$2+U$4*J$2+V$4*O$2)</f>
        <v>33.777789790459209</v>
      </c>
      <c r="B95" s="20">
        <v>178</v>
      </c>
      <c r="C95" s="13" t="s">
        <v>206</v>
      </c>
      <c r="D95" s="21" t="s">
        <v>16</v>
      </c>
      <c r="E95" s="21" t="s">
        <v>20</v>
      </c>
      <c r="F95" s="21" t="s">
        <v>20</v>
      </c>
      <c r="G95" s="21">
        <v>22</v>
      </c>
      <c r="H95" s="21">
        <v>29</v>
      </c>
      <c r="I95" s="21">
        <v>45</v>
      </c>
      <c r="J95" s="21">
        <v>44</v>
      </c>
      <c r="K95" s="21">
        <v>51</v>
      </c>
      <c r="L95" s="21">
        <v>32</v>
      </c>
      <c r="M95" s="21">
        <v>26</v>
      </c>
      <c r="N95" s="21">
        <v>33</v>
      </c>
      <c r="O95" s="21">
        <v>68</v>
      </c>
      <c r="P95" s="21">
        <v>17</v>
      </c>
      <c r="Q95" s="21">
        <v>28</v>
      </c>
      <c r="R95" s="21">
        <v>5</v>
      </c>
      <c r="S95" s="21">
        <v>0</v>
      </c>
      <c r="T95" s="21">
        <v>42</v>
      </c>
      <c r="U95" s="6">
        <f>J$1*((-2*10^-6)*J95^3+0.00032*J95^2-0.0021*J95)+K$1*((-2*10^-6)*K95^3+0.00032*K95^2-0.0021*K95)+L$1*((-2*10^-6)*L95^3+0.00032*L95^2-0.0021*L95)+M$1*((-2*10^-6)*M95^3+0.00032*M95^2-0.0021*M95)+N$1*((-2*10^-6)*N95^3+0.00032*N95^2-0.0021*N95)</f>
        <v>1.5326128000000008</v>
      </c>
      <c r="V95">
        <f>O$1*((-2*10^-6)*N95^3+0.00032*N95^2-0.0021*N95)+P$1*((-2*10^-6)*O95^3+0.00032*O95^2-0.0021*O95)+Q$1*((-2*10^-6)*P95^3+0.00032*P95^2-0.0021*P95)+R$1*((-2*10^-6)*Q95^3+0.00032*Q95^2-0.0021*Q95)+S$1*((-2*10^-6)*R95^3+0.00032*R95^2-0.0021*R95)</f>
        <v>1.9508610000000002</v>
      </c>
      <c r="W95" s="6">
        <f>(H$1*H95+I$1*I95)/100</f>
        <v>2.09</v>
      </c>
      <c r="X95">
        <f>U95*J$2+V95*O$2+W95*H$2</f>
        <v>12.122173200000002</v>
      </c>
      <c r="Y95" t="str">
        <f>IF(AND(I95&gt;50,H95+I95&gt;75),"SP",IF(2*H95+I95&gt;120,"RP","CRAP"))</f>
        <v>CRAP</v>
      </c>
    </row>
    <row r="96" spans="1:25" ht="13.5" customHeight="1" thickBot="1" x14ac:dyDescent="0.35">
      <c r="A96">
        <f>(W96*H$2+U96*J$2+V96*O$2)*100/(W$4*H$2+U$4*J$2+V$4*O$2)</f>
        <v>33.774074899687925</v>
      </c>
      <c r="B96" s="18">
        <v>149</v>
      </c>
      <c r="C96" s="12" t="s">
        <v>177</v>
      </c>
      <c r="D96" s="19" t="s">
        <v>16</v>
      </c>
      <c r="E96" s="19" t="s">
        <v>21</v>
      </c>
      <c r="F96" s="19" t="s">
        <v>19</v>
      </c>
      <c r="G96" s="19">
        <v>18</v>
      </c>
      <c r="H96" s="19">
        <v>37</v>
      </c>
      <c r="I96" s="19">
        <v>31</v>
      </c>
      <c r="J96" s="19">
        <v>36</v>
      </c>
      <c r="K96" s="19">
        <v>38</v>
      </c>
      <c r="L96" s="19">
        <v>44</v>
      </c>
      <c r="M96" s="19">
        <v>63</v>
      </c>
      <c r="N96" s="19">
        <v>22</v>
      </c>
      <c r="O96" s="19">
        <v>81</v>
      </c>
      <c r="P96" s="19">
        <v>48</v>
      </c>
      <c r="Q96" s="19">
        <v>22</v>
      </c>
      <c r="R96" s="19">
        <v>0</v>
      </c>
      <c r="S96" s="19">
        <v>0</v>
      </c>
      <c r="T96" s="19">
        <v>42</v>
      </c>
      <c r="U96" s="6">
        <f>J$1*((-2*10^-6)*J96^3+0.00032*J96^2-0.0021*J96)+K$1*((-2*10^-6)*K96^3+0.00032*K96^2-0.0021*K96)+L$1*((-2*10^-6)*L96^3+0.00032*L96^2-0.0021*L96)+M$1*((-2*10^-6)*M96^3+0.00032*M96^2-0.0021*M96)+N$1*((-2*10^-6)*N96^3+0.00032*N96^2-0.0021*N96)</f>
        <v>1.4442940000000006</v>
      </c>
      <c r="V96">
        <f>O$1*((-2*10^-6)*N96^3+0.00032*N96^2-0.0021*N96)+P$1*((-2*10^-6)*O96^3+0.00032*O96^2-0.0021*O96)+Q$1*((-2*10^-6)*P96^3+0.00032*P96^2-0.0021*P96)+R$1*((-2*10^-6)*Q96^3+0.00032*Q96^2-0.0021*Q96)+S$1*((-2*10^-6)*R96^3+0.00032*R96^2-0.0021*R96)</f>
        <v>2.3668320000000005</v>
      </c>
      <c r="W96" s="6">
        <f>(H$1*H96+I$1*I96)/100</f>
        <v>1.61</v>
      </c>
      <c r="X96">
        <f>U96*J$2+V96*O$2+W96*H$2</f>
        <v>12.120840000000003</v>
      </c>
      <c r="Y96" t="str">
        <f>IF(AND(I96&gt;50,H96+I96&gt;75),"SP",IF(2*H96+I96&gt;120,"RP","CRAP"))</f>
        <v>CRAP</v>
      </c>
    </row>
    <row r="97" spans="1:25" ht="13.5" customHeight="1" thickBot="1" x14ac:dyDescent="0.35">
      <c r="A97">
        <f>(W97*H$2+U97*J$2+V97*O$2)*100/(W$4*H$2+U$4*J$2+V$4*O$2)</f>
        <v>33.659768167632642</v>
      </c>
      <c r="B97" s="18">
        <v>181</v>
      </c>
      <c r="C97" s="12" t="s">
        <v>209</v>
      </c>
      <c r="D97" s="19" t="s">
        <v>16</v>
      </c>
      <c r="E97" s="19" t="s">
        <v>19</v>
      </c>
      <c r="F97" s="19" t="s">
        <v>19</v>
      </c>
      <c r="G97" s="19">
        <v>22</v>
      </c>
      <c r="H97" s="19">
        <v>33</v>
      </c>
      <c r="I97" s="19">
        <v>26</v>
      </c>
      <c r="J97" s="19">
        <v>18</v>
      </c>
      <c r="K97" s="19">
        <v>13</v>
      </c>
      <c r="L97" s="19">
        <v>40</v>
      </c>
      <c r="M97" s="19">
        <v>76</v>
      </c>
      <c r="N97" s="19">
        <v>74</v>
      </c>
      <c r="O97" s="19">
        <v>84</v>
      </c>
      <c r="P97" s="19">
        <v>22</v>
      </c>
      <c r="Q97" s="19">
        <v>16</v>
      </c>
      <c r="R97" s="19">
        <v>38</v>
      </c>
      <c r="S97" s="19">
        <v>8</v>
      </c>
      <c r="T97" s="19">
        <v>34</v>
      </c>
      <c r="U97" s="6">
        <f>J$1*((-2*10^-6)*J97^3+0.00032*J97^2-0.0021*J97)+K$1*((-2*10^-6)*K97^3+0.00032*K97^2-0.0021*K97)+L$1*((-2*10^-6)*L97^3+0.00032*L97^2-0.0021*L97)+M$1*((-2*10^-6)*M97^3+0.00032*M97^2-0.0021*M97)+N$1*((-2*10^-6)*N97^3+0.00032*N97^2-0.0021*N97)</f>
        <v>0.90026600000000023</v>
      </c>
      <c r="V97">
        <f>O$1*((-2*10^-6)*N97^3+0.00032*N97^2-0.0021*N97)+P$1*((-2*10^-6)*O97^3+0.00032*O97^2-0.0021*O97)+Q$1*((-2*10^-6)*P97^3+0.00032*P97^2-0.0021*P97)+R$1*((-2*10^-6)*Q97^3+0.00032*Q97^2-0.0021*Q97)+S$1*((-2*10^-6)*R97^3+0.00032*R97^2-0.0021*R97)</f>
        <v>3.5543768000000013</v>
      </c>
      <c r="W97" s="6">
        <f>(H$1*H97+I$1*I97)/100</f>
        <v>1.37</v>
      </c>
      <c r="X97">
        <f>U97*J$2+V97*O$2+W97*H$2</f>
        <v>12.079817600000005</v>
      </c>
      <c r="Y97" t="str">
        <f>IF(AND(I97&gt;50,H97+I97&gt;75),"SP",IF(2*H97+I97&gt;120,"RP","CRAP"))</f>
        <v>CRAP</v>
      </c>
    </row>
    <row r="98" spans="1:25" ht="13.5" customHeight="1" thickBot="1" x14ac:dyDescent="0.35">
      <c r="A98">
        <f>(W98*H$2+U98*J$2+V98*O$2)*100/(W$4*H$2+U$4*J$2+V$4*O$2)</f>
        <v>33.094220909496208</v>
      </c>
      <c r="B98" s="18">
        <v>177</v>
      </c>
      <c r="C98" s="12" t="s">
        <v>205</v>
      </c>
      <c r="D98" s="19" t="s">
        <v>16</v>
      </c>
      <c r="E98" s="19" t="s">
        <v>19</v>
      </c>
      <c r="F98" s="19" t="s">
        <v>19</v>
      </c>
      <c r="G98" s="19">
        <v>21</v>
      </c>
      <c r="H98" s="19">
        <v>39</v>
      </c>
      <c r="I98" s="19">
        <v>72</v>
      </c>
      <c r="J98" s="19">
        <v>16</v>
      </c>
      <c r="K98" s="19">
        <v>53</v>
      </c>
      <c r="L98" s="19">
        <v>15</v>
      </c>
      <c r="M98" s="19">
        <v>15</v>
      </c>
      <c r="N98" s="19">
        <v>65</v>
      </c>
      <c r="O98" s="19">
        <v>46</v>
      </c>
      <c r="P98" s="19">
        <v>48</v>
      </c>
      <c r="Q98" s="19">
        <v>54</v>
      </c>
      <c r="R98" s="19">
        <v>15</v>
      </c>
      <c r="S98" s="19">
        <v>0</v>
      </c>
      <c r="T98" s="19">
        <v>42</v>
      </c>
      <c r="U98" s="6">
        <f>J$1*((-2*10^-6)*J98^3+0.00032*J98^2-0.0021*J98)+K$1*((-2*10^-6)*K98^3+0.00032*K98^2-0.0021*K98)+L$1*((-2*10^-6)*L98^3+0.00032*L98^2-0.0021*L98)+M$1*((-2*10^-6)*M98^3+0.00032*M98^2-0.0021*M98)+N$1*((-2*10^-6)*N98^3+0.00032*N98^2-0.0021*N98)</f>
        <v>0.76070700000000024</v>
      </c>
      <c r="V98">
        <f>O$1*((-2*10^-6)*N98^3+0.00032*N98^2-0.0021*N98)+P$1*((-2*10^-6)*O98^3+0.00032*O98^2-0.0021*O98)+Q$1*((-2*10^-6)*P98^3+0.00032*P98^2-0.0021*P98)+R$1*((-2*10^-6)*Q98^3+0.00032*Q98^2-0.0021*Q98)+S$1*((-2*10^-6)*R98^3+0.00032*R98^2-0.0021*R98)</f>
        <v>2.7820130000000005</v>
      </c>
      <c r="W98" s="6">
        <f>(H$1*H98+I$1*I98)/100</f>
        <v>3.27</v>
      </c>
      <c r="X98">
        <f>U98*J$2+V98*O$2+W98*H$2</f>
        <v>11.876854000000002</v>
      </c>
      <c r="Y98" t="str">
        <f>IF(AND(I98&gt;50,H98+I98&gt;75),"SP",IF(2*H98+I98&gt;120,"RP","CRAP"))</f>
        <v>SP</v>
      </c>
    </row>
    <row r="99" spans="1:25" ht="13.5" customHeight="1" thickBot="1" x14ac:dyDescent="0.35">
      <c r="A99">
        <f>(W99*H$2+U99*J$2+V99*O$2)*100/(W$4*H$2+U$4*J$2+V$4*O$2)</f>
        <v>32.027376281765498</v>
      </c>
      <c r="B99" s="18">
        <v>169</v>
      </c>
      <c r="C99" s="12" t="s">
        <v>197</v>
      </c>
      <c r="D99" s="19" t="s">
        <v>16</v>
      </c>
      <c r="E99" s="19" t="s">
        <v>19</v>
      </c>
      <c r="F99" s="19" t="s">
        <v>19</v>
      </c>
      <c r="G99" s="19">
        <v>22</v>
      </c>
      <c r="H99" s="19">
        <v>92</v>
      </c>
      <c r="I99" s="19">
        <v>45</v>
      </c>
      <c r="J99" s="19">
        <v>45</v>
      </c>
      <c r="K99" s="19">
        <v>30</v>
      </c>
      <c r="L99" s="19">
        <v>12</v>
      </c>
      <c r="M99" s="19">
        <v>57</v>
      </c>
      <c r="N99" s="19">
        <v>44</v>
      </c>
      <c r="O99" s="19">
        <v>38</v>
      </c>
      <c r="P99" s="19">
        <v>83</v>
      </c>
      <c r="Q99" s="19">
        <v>0</v>
      </c>
      <c r="R99" s="19">
        <v>0</v>
      </c>
      <c r="S99" s="19">
        <v>0</v>
      </c>
      <c r="T99" s="19">
        <v>49</v>
      </c>
      <c r="U99" s="6">
        <f>J$1*((-2*10^-6)*J99^3+0.00032*J99^2-0.0021*J99)+K$1*((-2*10^-6)*K99^3+0.00032*K99^2-0.0021*K99)+L$1*((-2*10^-6)*L99^3+0.00032*L99^2-0.0021*L99)+M$1*((-2*10^-6)*M99^3+0.00032*M99^2-0.0021*M99)+N$1*((-2*10^-6)*N99^3+0.00032*N99^2-0.0021*N99)</f>
        <v>1.1209052000000002</v>
      </c>
      <c r="V99">
        <f>O$1*((-2*10^-6)*N99^3+0.00032*N99^2-0.0021*N99)+P$1*((-2*10^-6)*O99^3+0.00032*O99^2-0.0021*O99)+Q$1*((-2*10^-6)*P99^3+0.00032*P99^2-0.0021*P99)+R$1*((-2*10^-6)*Q99^3+0.00032*Q99^2-0.0021*Q99)+S$1*((-2*10^-6)*R99^3+0.00032*R99^2-0.0021*R99)</f>
        <v>2.1451820000000006</v>
      </c>
      <c r="W99" s="6">
        <f>(H$1*H99+I$1*I99)/100</f>
        <v>2.72</v>
      </c>
      <c r="X99">
        <f>U99*J$2+V99*O$2+W99*H$2</f>
        <v>11.493984800000002</v>
      </c>
      <c r="Y99" t="str">
        <f>IF(AND(I99&gt;50,H99+I99&gt;75),"SP",IF(2*H99+I99&gt;120,"RP","CRAP"))</f>
        <v>RP</v>
      </c>
    </row>
    <row r="100" spans="1:25" ht="13.5" customHeight="1" thickBot="1" x14ac:dyDescent="0.35">
      <c r="A100">
        <f>(W100*H$2+U100*J$2+V100*O$2)*100/(W$4*H$2+U$4*J$2+V$4*O$2)</f>
        <v>31.092769728042803</v>
      </c>
      <c r="B100" s="18">
        <v>173</v>
      </c>
      <c r="C100" s="12" t="s">
        <v>201</v>
      </c>
      <c r="D100" s="19" t="s">
        <v>16</v>
      </c>
      <c r="E100" s="19" t="s">
        <v>20</v>
      </c>
      <c r="F100" s="19" t="s">
        <v>20</v>
      </c>
      <c r="G100" s="19">
        <v>18</v>
      </c>
      <c r="H100" s="19">
        <v>49</v>
      </c>
      <c r="I100" s="19">
        <v>19</v>
      </c>
      <c r="J100" s="19">
        <v>33</v>
      </c>
      <c r="K100" s="19">
        <v>19</v>
      </c>
      <c r="L100" s="19">
        <v>12</v>
      </c>
      <c r="M100" s="19">
        <v>38</v>
      </c>
      <c r="N100" s="19">
        <v>91</v>
      </c>
      <c r="O100" s="19">
        <v>53</v>
      </c>
      <c r="P100" s="19">
        <v>51</v>
      </c>
      <c r="Q100" s="19">
        <v>35</v>
      </c>
      <c r="R100" s="19">
        <v>0</v>
      </c>
      <c r="S100" s="19">
        <v>0</v>
      </c>
      <c r="T100" s="19">
        <v>33</v>
      </c>
      <c r="U100" s="6">
        <f>J$1*((-2*10^-6)*J100^3+0.00032*J100^2-0.0021*J100)+K$1*((-2*10^-6)*K100^3+0.00032*K100^2-0.0021*K100)+L$1*((-2*10^-6)*L100^3+0.00032*L100^2-0.0021*L100)+M$1*((-2*10^-6)*M100^3+0.00032*M100^2-0.0021*M100)+N$1*((-2*10^-6)*N100^3+0.00032*N100^2-0.0021*N100)</f>
        <v>0.74749280000000007</v>
      </c>
      <c r="V100">
        <f>O$1*((-2*10^-6)*N100^3+0.00032*N100^2-0.0021*N100)+P$1*((-2*10^-6)*O100^3+0.00032*O100^2-0.0021*O100)+Q$1*((-2*10^-6)*P100^3+0.00032*P100^2-0.0021*P100)+R$1*((-2*10^-6)*Q100^3+0.00032*Q100^2-0.0021*Q100)+S$1*((-2*10^-6)*R100^3+0.00032*R100^2-0.0021*R100)</f>
        <v>3.4593010000000008</v>
      </c>
      <c r="W100" s="6">
        <f>(H$1*H100+I$1*I100)/100</f>
        <v>1.25</v>
      </c>
      <c r="X100">
        <f>U100*J$2+V100*O$2+W100*H$2</f>
        <v>11.158573200000003</v>
      </c>
      <c r="Y100" t="str">
        <f>IF(AND(I100&gt;50,H100+I100&gt;75),"SP",IF(2*H100+I100&gt;120,"RP","CRAP"))</f>
        <v>CRAP</v>
      </c>
    </row>
    <row r="101" spans="1:25" ht="13.5" customHeight="1" thickBot="1" x14ac:dyDescent="0.35">
      <c r="A101">
        <f>(W101*H$2+U101*J$2+V101*O$2)*100/(W$4*H$2+U$4*J$2+V$4*O$2)</f>
        <v>30.800993089612124</v>
      </c>
      <c r="B101" s="18">
        <v>163</v>
      </c>
      <c r="C101" s="12" t="s">
        <v>191</v>
      </c>
      <c r="D101" s="19" t="s">
        <v>16</v>
      </c>
      <c r="E101" s="19" t="s">
        <v>19</v>
      </c>
      <c r="F101" s="19" t="s">
        <v>19</v>
      </c>
      <c r="G101" s="19">
        <v>18</v>
      </c>
      <c r="H101" s="19">
        <v>75</v>
      </c>
      <c r="I101" s="19">
        <v>28</v>
      </c>
      <c r="J101" s="19">
        <v>51</v>
      </c>
      <c r="K101" s="19">
        <v>23</v>
      </c>
      <c r="L101" s="19">
        <v>29</v>
      </c>
      <c r="M101" s="19">
        <v>37</v>
      </c>
      <c r="N101" s="19">
        <v>12</v>
      </c>
      <c r="O101" s="19">
        <v>66</v>
      </c>
      <c r="P101" s="19">
        <v>50</v>
      </c>
      <c r="Q101" s="19">
        <v>37</v>
      </c>
      <c r="R101" s="19">
        <v>0</v>
      </c>
      <c r="S101" s="19">
        <v>0</v>
      </c>
      <c r="T101" s="19">
        <v>38</v>
      </c>
      <c r="U101" s="6">
        <f>J$1*((-2*10^-6)*J101^3+0.00032*J101^2-0.0021*J101)+K$1*((-2*10^-6)*K101^3+0.00032*K101^2-0.0021*K101)+L$1*((-2*10^-6)*L101^3+0.00032*L101^2-0.0021*L101)+M$1*((-2*10^-6)*M101^3+0.00032*M101^2-0.0021*M101)+N$1*((-2*10^-6)*N101^3+0.00032*N101^2-0.0021*N101)</f>
        <v>1.3109446000000002</v>
      </c>
      <c r="V101">
        <f>O$1*((-2*10^-6)*N101^3+0.00032*N101^2-0.0021*N101)+P$1*((-2*10^-6)*O101^3+0.00032*O101^2-0.0021*O101)+Q$1*((-2*10^-6)*P101^3+0.00032*P101^2-0.0021*P101)+R$1*((-2*10^-6)*Q101^3+0.00032*Q101^2-0.0021*Q101)+S$1*((-2*10^-6)*R101^3+0.00032*R101^2-0.0021*R101)</f>
        <v>1.9700410000000002</v>
      </c>
      <c r="W101" s="6">
        <f>(H$1*H101+I$1*I101)/100</f>
        <v>1.87</v>
      </c>
      <c r="X101">
        <f>U101*J$2+V101*O$2+W101*H$2</f>
        <v>11.053860400000001</v>
      </c>
      <c r="Y101" t="str">
        <f>IF(AND(I101&gt;50,H101+I101&gt;75),"SP",IF(2*H101+I101&gt;120,"RP","CRAP"))</f>
        <v>RP</v>
      </c>
    </row>
    <row r="102" spans="1:25" ht="13.5" customHeight="1" thickBot="1" x14ac:dyDescent="0.35">
      <c r="A102">
        <f>(W102*H$2+U102*J$2+V102*O$2)*100/(W$4*H$2+U$4*J$2+V$4*O$2)</f>
        <v>28.678660276415517</v>
      </c>
      <c r="B102" s="20">
        <v>154</v>
      </c>
      <c r="C102" s="13" t="s">
        <v>182</v>
      </c>
      <c r="D102" s="21" t="s">
        <v>16</v>
      </c>
      <c r="E102" s="21" t="s">
        <v>21</v>
      </c>
      <c r="F102" s="21" t="s">
        <v>19</v>
      </c>
      <c r="G102" s="21">
        <v>18</v>
      </c>
      <c r="H102" s="21">
        <v>87</v>
      </c>
      <c r="I102" s="21">
        <v>40</v>
      </c>
      <c r="J102" s="21">
        <v>42</v>
      </c>
      <c r="K102" s="21">
        <v>17</v>
      </c>
      <c r="L102" s="21">
        <v>15</v>
      </c>
      <c r="M102" s="21">
        <v>82</v>
      </c>
      <c r="N102" s="21">
        <v>26</v>
      </c>
      <c r="O102" s="21">
        <v>64</v>
      </c>
      <c r="P102" s="21">
        <v>50</v>
      </c>
      <c r="Q102" s="21">
        <v>0</v>
      </c>
      <c r="R102" s="21">
        <v>0</v>
      </c>
      <c r="S102" s="21">
        <v>0</v>
      </c>
      <c r="T102" s="21">
        <v>40</v>
      </c>
      <c r="U102" s="6">
        <f>J$1*((-2*10^-6)*J102^3+0.00032*J102^2-0.0021*J102)+K$1*((-2*10^-6)*K102^3+0.00032*K102^2-0.0021*K102)+L$1*((-2*10^-6)*L102^3+0.00032*L102^2-0.0021*L102)+M$1*((-2*10^-6)*M102^3+0.00032*M102^2-0.0021*M102)+N$1*((-2*10^-6)*N102^3+0.00032*N102^2-0.0021*N102)</f>
        <v>0.95444940000000045</v>
      </c>
      <c r="V102">
        <f>O$1*((-2*10^-6)*N102^3+0.00032*N102^2-0.0021*N102)+P$1*((-2*10^-6)*O102^3+0.00032*O102^2-0.0021*O102)+Q$1*((-2*10^-6)*P102^3+0.00032*P102^2-0.0021*P102)+R$1*((-2*10^-6)*Q102^3+0.00032*Q102^2-0.0021*Q102)+S$1*((-2*10^-6)*R102^3+0.00032*R102^2-0.0021*R102)</f>
        <v>2.0022000000000002</v>
      </c>
      <c r="W102" s="6">
        <f>(H$1*H102+I$1*I102)/100</f>
        <v>2.4700000000000002</v>
      </c>
      <c r="X102">
        <f>U102*J$2+V102*O$2+W102*H$2</f>
        <v>10.292197600000003</v>
      </c>
      <c r="Y102" t="str">
        <f>IF(AND(I102&gt;50,H102+I102&gt;75),"SP",IF(2*H102+I102&gt;120,"RP","CRAP"))</f>
        <v>RP</v>
      </c>
    </row>
    <row r="103" spans="1:25" ht="13.5" customHeight="1" thickBot="1" x14ac:dyDescent="0.35">
      <c r="A103">
        <f>(W103*H$2+U103*J$2+V103*O$2)*100/(W$4*H$2+U$4*J$2+V$4*O$2)</f>
        <v>28.604378065091399</v>
      </c>
      <c r="B103" s="18">
        <v>171</v>
      </c>
      <c r="C103" s="12" t="s">
        <v>199</v>
      </c>
      <c r="D103" s="19" t="s">
        <v>16</v>
      </c>
      <c r="E103" s="19" t="s">
        <v>21</v>
      </c>
      <c r="F103" s="19" t="s">
        <v>20</v>
      </c>
      <c r="G103" s="19">
        <v>21</v>
      </c>
      <c r="H103" s="19">
        <v>66</v>
      </c>
      <c r="I103" s="19">
        <v>36</v>
      </c>
      <c r="J103" s="19">
        <v>36</v>
      </c>
      <c r="K103" s="19">
        <v>43</v>
      </c>
      <c r="L103" s="19">
        <v>21</v>
      </c>
      <c r="M103" s="19">
        <v>63</v>
      </c>
      <c r="N103" s="19">
        <v>21</v>
      </c>
      <c r="O103" s="19">
        <v>48</v>
      </c>
      <c r="P103" s="19">
        <v>85</v>
      </c>
      <c r="Q103" s="19">
        <v>0</v>
      </c>
      <c r="R103" s="19">
        <v>0</v>
      </c>
      <c r="S103" s="19">
        <v>0</v>
      </c>
      <c r="T103" s="19">
        <v>47</v>
      </c>
      <c r="U103" s="6">
        <f>J$1*((-2*10^-6)*J103^3+0.00032*J103^2-0.0021*J103)+K$1*((-2*10^-6)*K103^3+0.00032*K103^2-0.0021*K103)+L$1*((-2*10^-6)*L103^3+0.00032*L103^2-0.0021*L103)+M$1*((-2*10^-6)*M103^3+0.00032*M103^2-0.0021*M103)+N$1*((-2*10^-6)*N103^3+0.00032*N103^2-0.0021*N103)</f>
        <v>1.0949658000000004</v>
      </c>
      <c r="V103">
        <f>O$1*((-2*10^-6)*N103^3+0.00032*N103^2-0.0021*N103)+P$1*((-2*10^-6)*O103^3+0.00032*O103^2-0.0021*O103)+Q$1*((-2*10^-6)*P103^3+0.00032*P103^2-0.0021*P103)+R$1*((-2*10^-6)*Q103^3+0.00032*Q103^2-0.0021*Q103)+S$1*((-2*10^-6)*R103^3+0.00032*R103^2-0.0021*R103)</f>
        <v>1.8928380000000007</v>
      </c>
      <c r="W103" s="6">
        <f>(H$1*H103+I$1*I103)/100</f>
        <v>2.1</v>
      </c>
      <c r="X103">
        <f>U103*J$2+V103*O$2+W103*H$2</f>
        <v>10.265539200000003</v>
      </c>
      <c r="Y103" t="str">
        <f>IF(AND(I103&gt;50,H103+I103&gt;75),"SP",IF(2*H103+I103&gt;120,"RP","CRAP"))</f>
        <v>RP</v>
      </c>
    </row>
    <row r="104" spans="1:25" ht="13.5" customHeight="1" thickBot="1" x14ac:dyDescent="0.35">
      <c r="A104">
        <f>(W104*H$2+U104*J$2+V104*O$2)*100/(W$4*H$2+U$4*J$2+V$4*O$2)</f>
        <v>27.011966116807848</v>
      </c>
      <c r="B104" s="20">
        <v>166</v>
      </c>
      <c r="C104" s="13" t="s">
        <v>194</v>
      </c>
      <c r="D104" s="21" t="s">
        <v>16</v>
      </c>
      <c r="E104" s="21" t="s">
        <v>19</v>
      </c>
      <c r="F104" s="21" t="s">
        <v>19</v>
      </c>
      <c r="G104" s="21">
        <v>18</v>
      </c>
      <c r="H104" s="21">
        <v>60</v>
      </c>
      <c r="I104" s="21">
        <v>26</v>
      </c>
      <c r="J104" s="21">
        <v>16</v>
      </c>
      <c r="K104" s="21">
        <v>33</v>
      </c>
      <c r="L104" s="21">
        <v>30</v>
      </c>
      <c r="M104" s="21">
        <v>75</v>
      </c>
      <c r="N104" s="21">
        <v>46</v>
      </c>
      <c r="O104" s="21">
        <v>58</v>
      </c>
      <c r="P104" s="21">
        <v>58</v>
      </c>
      <c r="Q104" s="21">
        <v>0</v>
      </c>
      <c r="R104" s="21">
        <v>0</v>
      </c>
      <c r="S104" s="21">
        <v>0</v>
      </c>
      <c r="T104" s="21">
        <v>37</v>
      </c>
      <c r="U104" s="6">
        <f>J$1*((-2*10^-6)*J104^3+0.00032*J104^2-0.0021*J104)+K$1*((-2*10^-6)*K104^3+0.00032*K104^2-0.0021*K104)+L$1*((-2*10^-6)*L104^3+0.00032*L104^2-0.0021*L104)+M$1*((-2*10^-6)*M104^3+0.00032*M104^2-0.0021*M104)+N$1*((-2*10^-6)*N104^3+0.00032*N104^2-0.0021*N104)</f>
        <v>0.78098160000000016</v>
      </c>
      <c r="V104">
        <f>O$1*((-2*10^-6)*N104^3+0.00032*N104^2-0.0021*N104)+P$1*((-2*10^-6)*O104^3+0.00032*O104^2-0.0021*O104)+Q$1*((-2*10^-6)*P104^3+0.00032*P104^2-0.0021*P104)+R$1*((-2*10^-6)*Q104^3+0.00032*Q104^2-0.0021*Q104)+S$1*((-2*10^-6)*R104^3+0.00032*R104^2-0.0021*R104)</f>
        <v>2.4650640000000008</v>
      </c>
      <c r="W104" s="6">
        <f>(H$1*H104+I$1*I104)/100</f>
        <v>1.64</v>
      </c>
      <c r="X104">
        <f>U104*J$2+V104*O$2+W104*H$2</f>
        <v>9.6940544000000024</v>
      </c>
      <c r="Y104" t="str">
        <f>IF(AND(I104&gt;50,H104+I104&gt;75),"SP",IF(2*H104+I104&gt;120,"RP","CRAP"))</f>
        <v>RP</v>
      </c>
    </row>
    <row r="105" spans="1:25" ht="13.5" customHeight="1" thickBot="1" x14ac:dyDescent="0.35">
      <c r="A105">
        <f>(W105*H$2+U105*J$2+V105*O$2)*100/(W$4*H$2+U$4*J$2+V$4*O$2)</f>
        <v>26.848016049933126</v>
      </c>
      <c r="B105" s="20">
        <v>172</v>
      </c>
      <c r="C105" s="13" t="s">
        <v>200</v>
      </c>
      <c r="D105" s="21" t="s">
        <v>16</v>
      </c>
      <c r="E105" s="21" t="s">
        <v>19</v>
      </c>
      <c r="F105" s="21" t="s">
        <v>19</v>
      </c>
      <c r="G105" s="21">
        <v>18</v>
      </c>
      <c r="H105" s="21">
        <v>76</v>
      </c>
      <c r="I105" s="21">
        <v>38</v>
      </c>
      <c r="J105" s="21">
        <v>27</v>
      </c>
      <c r="K105" s="21">
        <v>10</v>
      </c>
      <c r="L105" s="21">
        <v>15</v>
      </c>
      <c r="M105" s="21">
        <v>72</v>
      </c>
      <c r="N105" s="21">
        <v>53</v>
      </c>
      <c r="O105" s="21">
        <v>58</v>
      </c>
      <c r="P105" s="21">
        <v>47</v>
      </c>
      <c r="Q105" s="21">
        <v>0</v>
      </c>
      <c r="R105" s="21">
        <v>0</v>
      </c>
      <c r="S105" s="21">
        <v>0</v>
      </c>
      <c r="T105" s="21">
        <v>35</v>
      </c>
      <c r="U105" s="6">
        <f>J$1*((-2*10^-6)*J105^3+0.00032*J105^2-0.0021*J105)+K$1*((-2*10^-6)*K105^3+0.00032*K105^2-0.0021*K105)+L$1*((-2*10^-6)*L105^3+0.00032*L105^2-0.0021*L105)+M$1*((-2*10^-6)*M105^3+0.00032*M105^2-0.0021*M105)+N$1*((-2*10^-6)*N105^3+0.00032*N105^2-0.0021*N105)</f>
        <v>0.58425500000000019</v>
      </c>
      <c r="V105">
        <f>O$1*((-2*10^-6)*N105^3+0.00032*N105^2-0.0021*N105)+P$1*((-2*10^-6)*O105^3+0.00032*O105^2-0.0021*O105)+Q$1*((-2*10^-6)*P105^3+0.00032*P105^2-0.0021*P105)+R$1*((-2*10^-6)*Q105^3+0.00032*Q105^2-0.0021*Q105)+S$1*((-2*10^-6)*R105^3+0.00032*R105^2-0.0021*R105)</f>
        <v>2.5090980000000007</v>
      </c>
      <c r="W105" s="6">
        <f>(H$1*H105+I$1*I105)/100</f>
        <v>2.2799999999999998</v>
      </c>
      <c r="X105">
        <f>U105*J$2+V105*O$2+W105*H$2</f>
        <v>9.6352160000000016</v>
      </c>
      <c r="Y105" t="str">
        <f>IF(AND(I105&gt;50,H105+I105&gt;75),"SP",IF(2*H105+I105&gt;120,"RP","CRAP"))</f>
        <v>RP</v>
      </c>
    </row>
    <row r="106" spans="1:25" ht="13.5" customHeight="1" thickBot="1" x14ac:dyDescent="0.35">
      <c r="A106">
        <f>(W106*H$2+U106*J$2+V106*O$2)*100/(W$4*H$2+U$4*J$2+V$4*O$2)</f>
        <v>26.771963887650468</v>
      </c>
      <c r="B106" s="20">
        <v>174</v>
      </c>
      <c r="C106" s="13" t="s">
        <v>202</v>
      </c>
      <c r="D106" s="21" t="s">
        <v>16</v>
      </c>
      <c r="E106" s="21" t="s">
        <v>19</v>
      </c>
      <c r="F106" s="21" t="s">
        <v>19</v>
      </c>
      <c r="G106" s="21">
        <v>18</v>
      </c>
      <c r="H106" s="21">
        <v>47</v>
      </c>
      <c r="I106" s="21">
        <v>20</v>
      </c>
      <c r="J106" s="21">
        <v>46</v>
      </c>
      <c r="K106" s="21">
        <v>15</v>
      </c>
      <c r="L106" s="21">
        <v>32</v>
      </c>
      <c r="M106" s="21">
        <v>36</v>
      </c>
      <c r="N106" s="21">
        <v>25</v>
      </c>
      <c r="O106" s="21">
        <v>62</v>
      </c>
      <c r="P106" s="21">
        <v>39</v>
      </c>
      <c r="Q106" s="21">
        <v>26</v>
      </c>
      <c r="R106" s="21">
        <v>0</v>
      </c>
      <c r="S106" s="21">
        <v>0</v>
      </c>
      <c r="T106" s="21">
        <v>32</v>
      </c>
      <c r="U106" s="6">
        <f>J$1*((-2*10^-6)*J106^3+0.00032*J106^2-0.0021*J106)+K$1*((-2*10^-6)*K106^3+0.00032*K106^2-0.0021*K106)+L$1*((-2*10^-6)*L106^3+0.00032*L106^2-0.0021*L106)+M$1*((-2*10^-6)*M106^3+0.00032*M106^2-0.0021*M106)+N$1*((-2*10^-6)*N106^3+0.00032*N106^2-0.0021*N106)</f>
        <v>1.1702736</v>
      </c>
      <c r="V106">
        <f>O$1*((-2*10^-6)*N106^3+0.00032*N106^2-0.0021*N106)+P$1*((-2*10^-6)*O106^3+0.00032*O106^2-0.0021*O106)+Q$1*((-2*10^-6)*P106^3+0.00032*P106^2-0.0021*P106)+R$1*((-2*10^-6)*Q106^3+0.00032*Q106^2-0.0021*Q106)+S$1*((-2*10^-6)*R106^3+0.00032*R106^2-0.0021*R106)</f>
        <v>1.8284140000000004</v>
      </c>
      <c r="W106" s="6">
        <f>(H$1*H106+I$1*I106)/100</f>
        <v>1.27</v>
      </c>
      <c r="X106">
        <f>U106*J$2+V106*O$2+W106*H$2</f>
        <v>9.6079223999999996</v>
      </c>
      <c r="Y106" t="str">
        <f>IF(AND(I106&gt;50,H106+I106&gt;75),"SP",IF(2*H106+I106&gt;120,"RP","CRAP"))</f>
        <v>CRAP</v>
      </c>
    </row>
    <row r="107" spans="1:25" ht="13.5" customHeight="1" thickBot="1" x14ac:dyDescent="0.35">
      <c r="A107">
        <f>(W107*H$2+U107*J$2+V107*O$2)*100/(W$4*H$2+U$4*J$2+V$4*O$2)</f>
        <v>26.709534106107895</v>
      </c>
      <c r="B107" s="20">
        <v>170</v>
      </c>
      <c r="C107" s="13" t="s">
        <v>198</v>
      </c>
      <c r="D107" s="21" t="s">
        <v>10</v>
      </c>
      <c r="E107" s="21" t="s">
        <v>20</v>
      </c>
      <c r="F107" s="21" t="s">
        <v>19</v>
      </c>
      <c r="G107" s="21">
        <v>21</v>
      </c>
      <c r="H107" s="21">
        <v>100</v>
      </c>
      <c r="I107" s="21">
        <v>39</v>
      </c>
      <c r="J107" s="21">
        <v>27</v>
      </c>
      <c r="K107" s="21">
        <v>44</v>
      </c>
      <c r="L107" s="21">
        <v>19</v>
      </c>
      <c r="M107" s="21">
        <v>11</v>
      </c>
      <c r="N107" s="21">
        <v>52</v>
      </c>
      <c r="O107" s="21">
        <v>51</v>
      </c>
      <c r="P107" s="21">
        <v>0</v>
      </c>
      <c r="Q107" s="21">
        <v>0</v>
      </c>
      <c r="R107" s="21">
        <v>0</v>
      </c>
      <c r="S107" s="21">
        <v>0</v>
      </c>
      <c r="T107" s="21">
        <v>49</v>
      </c>
      <c r="U107" s="6">
        <f>J$1*((-2*10^-6)*J107^3+0.00032*J107^2-0.0021*J107)+K$1*((-2*10^-6)*K107^3+0.00032*K107^2-0.0021*K107)+L$1*((-2*10^-6)*L107^3+0.00032*L107^2-0.0021*L107)+M$1*((-2*10^-6)*M107^3+0.00032*M107^2-0.0021*M107)+N$1*((-2*10^-6)*N107^3+0.00032*N107^2-0.0021*N107)</f>
        <v>0.82159740000000037</v>
      </c>
      <c r="V107">
        <f>O$1*((-2*10^-6)*N107^3+0.00032*N107^2-0.0021*N107)+P$1*((-2*10^-6)*O107^3+0.00032*O107^2-0.0021*O107)+Q$1*((-2*10^-6)*P107^3+0.00032*P107^2-0.0021*P107)+R$1*((-2*10^-6)*Q107^3+0.00032*Q107^2-0.0021*Q107)+S$1*((-2*10^-6)*R107^3+0.00032*R107^2-0.0021*R107)</f>
        <v>1.8695640000000004</v>
      </c>
      <c r="W107" s="6">
        <f>(H$1*H107+I$1*I107)/100</f>
        <v>2.56</v>
      </c>
      <c r="X107">
        <f>U107*J$2+V107*O$2+W107*H$2</f>
        <v>9.5855176000000029</v>
      </c>
      <c r="Y107" t="str">
        <f>IF(AND(I107&gt;50,H107+I107&gt;75),"SP",IF(2*H107+I107&gt;120,"RP","CRAP"))</f>
        <v>RP</v>
      </c>
    </row>
    <row r="108" spans="1:25" ht="13.5" customHeight="1" thickBot="1" x14ac:dyDescent="0.35">
      <c r="A108">
        <f>(W108*H$2+U108*J$2+V108*O$2)*100/(W$4*H$2+U$4*J$2+V$4*O$2)</f>
        <v>24.617775300936245</v>
      </c>
      <c r="B108" s="18">
        <v>167</v>
      </c>
      <c r="C108" s="12" t="s">
        <v>195</v>
      </c>
      <c r="D108" s="19" t="s">
        <v>9</v>
      </c>
      <c r="E108" s="19" t="s">
        <v>19</v>
      </c>
      <c r="F108" s="19" t="s">
        <v>19</v>
      </c>
      <c r="G108" s="19">
        <v>21</v>
      </c>
      <c r="H108" s="19">
        <v>98</v>
      </c>
      <c r="I108" s="19">
        <v>28</v>
      </c>
      <c r="J108" s="19">
        <v>38</v>
      </c>
      <c r="K108" s="19">
        <v>47</v>
      </c>
      <c r="L108" s="19">
        <v>22</v>
      </c>
      <c r="M108" s="19">
        <v>19</v>
      </c>
      <c r="N108" s="19">
        <v>49</v>
      </c>
      <c r="O108" s="19">
        <v>21</v>
      </c>
      <c r="P108" s="19">
        <v>0</v>
      </c>
      <c r="Q108" s="19">
        <v>0</v>
      </c>
      <c r="R108" s="19">
        <v>0</v>
      </c>
      <c r="S108" s="19">
        <v>0</v>
      </c>
      <c r="T108" s="19">
        <v>51</v>
      </c>
      <c r="U108" s="6">
        <f>J$1*((-2*10^-6)*J108^3+0.00032*J108^2-0.0021*J108)+K$1*((-2*10^-6)*K108^3+0.00032*K108^2-0.0021*K108)+L$1*((-2*10^-6)*L108^3+0.00032*L108^2-0.0021*L108)+M$1*((-2*10^-6)*M108^3+0.00032*M108^2-0.0021*M108)+N$1*((-2*10^-6)*N108^3+0.00032*N108^2-0.0021*N108)</f>
        <v>1.1750868000000003</v>
      </c>
      <c r="V108">
        <f>O$1*((-2*10^-6)*N108^3+0.00032*N108^2-0.0021*N108)+P$1*((-2*10^-6)*O108^3+0.00032*O108^2-0.0021*O108)+Q$1*((-2*10^-6)*P108^3+0.00032*P108^2-0.0021*P108)+R$1*((-2*10^-6)*Q108^3+0.00032*Q108^2-0.0021*Q108)+S$1*((-2*10^-6)*R108^3+0.00032*R108^2-0.0021*R108)</f>
        <v>1.0172400000000004</v>
      </c>
      <c r="W108" s="6">
        <f>(H$1*H108+I$1*I108)/100</f>
        <v>2.1</v>
      </c>
      <c r="X108">
        <f>U108*J$2+V108*O$2+W108*H$2</f>
        <v>8.8348272000000012</v>
      </c>
      <c r="Y108" t="str">
        <f>IF(AND(I108&gt;50,H108+I108&gt;75),"SP",IF(2*H108+I108&gt;120,"RP","CRAP"))</f>
        <v>RP</v>
      </c>
    </row>
    <row r="109" spans="1:25" ht="13.5" customHeight="1" thickBot="1" x14ac:dyDescent="0.35">
      <c r="A109">
        <f>(W109*H$2+U109*J$2+V109*O$2)*100/(W$4*H$2+U$4*J$2+V$4*O$2)</f>
        <v>24.600561747659388</v>
      </c>
      <c r="B109" s="18">
        <v>5</v>
      </c>
      <c r="C109" s="12" t="s">
        <v>33</v>
      </c>
      <c r="D109" s="19" t="s">
        <v>6</v>
      </c>
      <c r="E109" s="19" t="s">
        <v>19</v>
      </c>
      <c r="F109" s="19" t="s">
        <v>19</v>
      </c>
      <c r="G109" s="19">
        <v>18</v>
      </c>
      <c r="H109" s="19">
        <v>90</v>
      </c>
      <c r="I109" s="19">
        <v>20</v>
      </c>
      <c r="J109" s="19">
        <v>41</v>
      </c>
      <c r="K109" s="19">
        <v>24</v>
      </c>
      <c r="L109" s="19">
        <v>18</v>
      </c>
      <c r="M109" s="19">
        <v>2</v>
      </c>
      <c r="N109" s="19">
        <v>51</v>
      </c>
      <c r="O109" s="19">
        <v>48</v>
      </c>
      <c r="P109" s="19">
        <v>0</v>
      </c>
      <c r="Q109" s="19">
        <v>0</v>
      </c>
      <c r="R109" s="19">
        <v>0</v>
      </c>
      <c r="S109" s="19">
        <v>0</v>
      </c>
      <c r="T109" s="19">
        <v>81</v>
      </c>
      <c r="U109" s="6">
        <f>J$1*((-2*10^-6)*J109^3+0.00032*J109^2-0.0021*J109)+K$1*((-2*10^-6)*K109^3+0.00032*K109^2-0.0021*K109)+L$1*((-2*10^-6)*L109^3+0.00032*L109^2-0.0021*L109)+M$1*((-2*10^-6)*M109^3+0.00032*M109^2-0.0021*M109)+N$1*((-2*10^-6)*N109^3+0.00032*N109^2-0.0021*N109)</f>
        <v>0.90694840000000021</v>
      </c>
      <c r="V109">
        <f>O$1*((-2*10^-6)*N109^3+0.00032*N109^2-0.0021*N109)+P$1*((-2*10^-6)*O109^3+0.00032*O109^2-0.0021*O109)+Q$1*((-2*10^-6)*P109^3+0.00032*P109^2-0.0021*P109)+R$1*((-2*10^-6)*Q109^3+0.00032*Q109^2-0.0021*Q109)+S$1*((-2*10^-6)*R109^3+0.00032*R109^2-0.0021*R109)</f>
        <v>1.7504280000000003</v>
      </c>
      <c r="W109" s="6">
        <f>(H$1*H109+I$1*I109)/100</f>
        <v>1.7</v>
      </c>
      <c r="X109">
        <f>U109*J$2+V109*O$2+W109*H$2</f>
        <v>8.8286496000000003</v>
      </c>
      <c r="Y109" t="str">
        <f>IF(AND(I109&gt;50,H109+I109&gt;75),"SP",IF(2*H109+I109&gt;120,"RP","CRAP"))</f>
        <v>RP</v>
      </c>
    </row>
    <row r="110" spans="1:25" ht="13.5" customHeight="1" thickBot="1" x14ac:dyDescent="0.35">
      <c r="A110">
        <f>(W110*H$2+U110*J$2+V110*O$2)*100/(W$4*H$2+U$4*J$2+V$4*O$2)</f>
        <v>22.280900579580919</v>
      </c>
      <c r="B110" s="20">
        <v>180</v>
      </c>
      <c r="C110" s="13" t="s">
        <v>208</v>
      </c>
      <c r="D110" s="21" t="s">
        <v>9</v>
      </c>
      <c r="E110" s="21" t="s">
        <v>19</v>
      </c>
      <c r="F110" s="21" t="s">
        <v>19</v>
      </c>
      <c r="G110" s="21">
        <v>21</v>
      </c>
      <c r="H110" s="21">
        <v>88</v>
      </c>
      <c r="I110" s="21">
        <v>29</v>
      </c>
      <c r="J110" s="21">
        <v>27</v>
      </c>
      <c r="K110" s="21">
        <v>27</v>
      </c>
      <c r="L110" s="21">
        <v>0</v>
      </c>
      <c r="M110" s="21">
        <v>11</v>
      </c>
      <c r="N110" s="21">
        <v>57</v>
      </c>
      <c r="O110" s="21">
        <v>48</v>
      </c>
      <c r="P110" s="21">
        <v>0</v>
      </c>
      <c r="Q110" s="21">
        <v>0</v>
      </c>
      <c r="R110" s="21">
        <v>0</v>
      </c>
      <c r="S110" s="21">
        <v>0</v>
      </c>
      <c r="T110" s="21">
        <v>39</v>
      </c>
      <c r="U110" s="6">
        <f>J$1*((-2*10^-6)*J110^3+0.00032*J110^2-0.0021*J110)+K$1*((-2*10^-6)*K110^3+0.00032*K110^2-0.0021*K110)+L$1*((-2*10^-6)*L110^3+0.00032*L110^2-0.0021*L110)+M$1*((-2*10^-6)*M110^3+0.00032*M110^2-0.0021*M110)+N$1*((-2*10^-6)*N110^3+0.00032*N110^2-0.0021*N110)</f>
        <v>0.52415240000000018</v>
      </c>
      <c r="V110">
        <f>O$1*((-2*10^-6)*N110^3+0.00032*N110^2-0.0021*N110)+P$1*((-2*10^-6)*O110^3+0.00032*O110^2-0.0021*O110)+Q$1*((-2*10^-6)*P110^3+0.00032*P110^2-0.0021*P110)+R$1*((-2*10^-6)*Q110^3+0.00032*Q110^2-0.0021*Q110)+S$1*((-2*10^-6)*R110^3+0.00032*R110^2-0.0021*R110)</f>
        <v>1.9297800000000005</v>
      </c>
      <c r="W110" s="6">
        <f>(H$1*H110+I$1*I110)/100</f>
        <v>2.04</v>
      </c>
      <c r="X110">
        <f>U110*J$2+V110*O$2+W110*H$2</f>
        <v>7.9961696000000018</v>
      </c>
      <c r="Y110" t="str">
        <f>IF(AND(I110&gt;50,H110+I110&gt;75),"SP",IF(2*H110+I110&gt;120,"RP","CRAP"))</f>
        <v>RP</v>
      </c>
    </row>
    <row r="111" spans="1:25" ht="13.5" customHeight="1" thickBot="1" x14ac:dyDescent="0.35">
      <c r="A111">
        <f>(W111*H$2+U111*J$2+V111*O$2)*100/(W$4*H$2+U$4*J$2+V$4*O$2)</f>
        <v>21.707576905929557</v>
      </c>
      <c r="B111" s="20">
        <v>36</v>
      </c>
      <c r="C111" s="13" t="s">
        <v>64</v>
      </c>
      <c r="D111" s="21" t="s">
        <v>8</v>
      </c>
      <c r="E111" s="21" t="s">
        <v>20</v>
      </c>
      <c r="F111" s="21" t="s">
        <v>19</v>
      </c>
      <c r="G111" s="21">
        <v>18</v>
      </c>
      <c r="H111" s="21">
        <v>84</v>
      </c>
      <c r="I111" s="21">
        <v>47</v>
      </c>
      <c r="J111" s="21">
        <v>18</v>
      </c>
      <c r="K111" s="21">
        <v>15</v>
      </c>
      <c r="L111" s="21">
        <v>29</v>
      </c>
      <c r="M111" s="21">
        <v>0</v>
      </c>
      <c r="N111" s="21">
        <v>27</v>
      </c>
      <c r="O111" s="21">
        <v>69</v>
      </c>
      <c r="P111" s="21">
        <v>0</v>
      </c>
      <c r="Q111" s="21">
        <v>0</v>
      </c>
      <c r="R111" s="21">
        <v>0</v>
      </c>
      <c r="S111" s="21">
        <v>0</v>
      </c>
      <c r="T111" s="21">
        <v>65</v>
      </c>
      <c r="U111" s="6">
        <f>J$1*((-2*10^-6)*J111^3+0.00032*J111^2-0.0021*J111)+K$1*((-2*10^-6)*K111^3+0.00032*K111^2-0.0021*K111)+L$1*((-2*10^-6)*L111^3+0.00032*L111^2-0.0021*L111)+M$1*((-2*10^-6)*M111^3+0.00032*M111^2-0.0021*M111)+N$1*((-2*10^-6)*N111^3+0.00032*N111^2-0.0021*N111)</f>
        <v>0.40878780000000003</v>
      </c>
      <c r="V111">
        <f>O$1*((-2*10^-6)*N111^3+0.00032*N111^2-0.0021*N111)+P$1*((-2*10^-6)*O111^3+0.00032*O111^2-0.0021*O111)+Q$1*((-2*10^-6)*P111^3+0.00032*P111^2-0.0021*P111)+R$1*((-2*10^-6)*Q111^3+0.00032*Q111^2-0.0021*Q111)+S$1*((-2*10^-6)*R111^3+0.00032*R111^2-0.0021*R111)</f>
        <v>1.7176320000000005</v>
      </c>
      <c r="W111" s="6">
        <f>(H$1*H111+I$1*I111)/100</f>
        <v>2.72</v>
      </c>
      <c r="X111">
        <f>U111*J$2+V111*O$2+W111*H$2</f>
        <v>7.7904152000000018</v>
      </c>
      <c r="Y111" t="str">
        <f>IF(AND(I111&gt;50,H111+I111&gt;75),"SP",IF(2*H111+I111&gt;120,"RP","CRAP"))</f>
        <v>RP</v>
      </c>
    </row>
    <row r="112" spans="1:25" ht="13.5" customHeight="1" thickBot="1" x14ac:dyDescent="0.35">
      <c r="A112">
        <f>(W112*H$2+U112*J$2+V112*O$2)*100/(W$4*H$2+U$4*J$2+V$4*O$2)</f>
        <v>21.506203744984397</v>
      </c>
      <c r="B112" s="18">
        <v>147</v>
      </c>
      <c r="C112" s="12" t="s">
        <v>175</v>
      </c>
      <c r="D112" s="19" t="s">
        <v>9</v>
      </c>
      <c r="E112" s="19" t="s">
        <v>19</v>
      </c>
      <c r="F112" s="19" t="s">
        <v>19</v>
      </c>
      <c r="G112" s="19">
        <v>18</v>
      </c>
      <c r="H112" s="19">
        <v>95</v>
      </c>
      <c r="I112" s="19">
        <v>28</v>
      </c>
      <c r="J112" s="19">
        <v>28</v>
      </c>
      <c r="K112" s="19">
        <v>9</v>
      </c>
      <c r="L112" s="19">
        <v>27</v>
      </c>
      <c r="M112" s="19">
        <v>2</v>
      </c>
      <c r="N112" s="19">
        <v>37</v>
      </c>
      <c r="O112" s="19">
        <v>60</v>
      </c>
      <c r="P112" s="19">
        <v>0</v>
      </c>
      <c r="Q112" s="19">
        <v>0</v>
      </c>
      <c r="R112" s="19">
        <v>0</v>
      </c>
      <c r="S112" s="19">
        <v>0</v>
      </c>
      <c r="T112" s="19">
        <v>43</v>
      </c>
      <c r="U112" s="6">
        <f>J$1*((-2*10^-6)*J112^3+0.00032*J112^2-0.0021*J112)+K$1*((-2*10^-6)*K112^3+0.00032*K112^2-0.0021*K112)+L$1*((-2*10^-6)*L112^3+0.00032*L112^2-0.0021*L112)+M$1*((-2*10^-6)*M112^3+0.00032*M112^2-0.0021*M112)+N$1*((-2*10^-6)*N112^3+0.00032*N112^2-0.0021*N112)</f>
        <v>0.5589626000000002</v>
      </c>
      <c r="V112">
        <f>O$1*((-2*10^-6)*N112^3+0.00032*N112^2-0.0021*N112)+P$1*((-2*10^-6)*O112^3+0.00032*O112^2-0.0021*O112)+Q$1*((-2*10^-6)*P112^3+0.00032*P112^2-0.0021*P112)+R$1*((-2*10^-6)*Q112^3+0.00032*Q112^2-0.0021*Q112)+S$1*((-2*10^-6)*R112^3+0.00032*R112^2-0.0021*R112)</f>
        <v>1.7061480000000004</v>
      </c>
      <c r="W112" s="6">
        <f>(H$1*H112+I$1*I112)/100</f>
        <v>2.0699999999999998</v>
      </c>
      <c r="X112">
        <f>U112*J$2+V112*O$2+W112*H$2</f>
        <v>7.718146400000002</v>
      </c>
      <c r="Y112" t="str">
        <f>IF(AND(I112&gt;50,H112+I112&gt;75),"SP",IF(2*H112+I112&gt;120,"RP","CRAP"))</f>
        <v>RP</v>
      </c>
    </row>
    <row r="113" spans="1:25" ht="13.5" customHeight="1" thickBot="1" x14ac:dyDescent="0.35">
      <c r="A113">
        <f>(W113*H$2+U113*J$2+V113*O$2)*100/(W$4*H$2+U$4*J$2+V$4*O$2)</f>
        <v>21.370610789121713</v>
      </c>
      <c r="B113" s="18">
        <v>81</v>
      </c>
      <c r="C113" s="12" t="s">
        <v>109</v>
      </c>
      <c r="D113" s="19" t="s">
        <v>3</v>
      </c>
      <c r="E113" s="19" t="s">
        <v>21</v>
      </c>
      <c r="F113" s="19" t="s">
        <v>19</v>
      </c>
      <c r="G113" s="19">
        <v>18</v>
      </c>
      <c r="H113" s="19">
        <v>90</v>
      </c>
      <c r="I113" s="19">
        <v>33</v>
      </c>
      <c r="J113" s="19">
        <v>16</v>
      </c>
      <c r="K113" s="19">
        <v>7</v>
      </c>
      <c r="L113" s="19">
        <v>0</v>
      </c>
      <c r="M113" s="19">
        <v>22</v>
      </c>
      <c r="N113" s="19">
        <v>49</v>
      </c>
      <c r="O113" s="19">
        <v>71</v>
      </c>
      <c r="P113" s="19">
        <v>0</v>
      </c>
      <c r="Q113" s="19">
        <v>0</v>
      </c>
      <c r="R113" s="19">
        <v>0</v>
      </c>
      <c r="S113" s="19">
        <v>0</v>
      </c>
      <c r="T113" s="19">
        <v>55</v>
      </c>
      <c r="U113" s="6">
        <f>J$1*((-2*10^-6)*J113^3+0.00032*J113^2-0.0021*J113)+K$1*((-2*10^-6)*K113^3+0.00032*K113^2-0.0021*K113)+L$1*((-2*10^-6)*L113^3+0.00032*L113^2-0.0021*L113)+M$1*((-2*10^-6)*M113^3+0.00032*M113^2-0.0021*M113)+N$1*((-2*10^-6)*N113^3+0.00032*N113^2-0.0021*N113)</f>
        <v>0.18405120000000003</v>
      </c>
      <c r="V113">
        <f>O$1*((-2*10^-6)*N113^3+0.00032*N113^2-0.0021*N113)+P$1*((-2*10^-6)*O113^3+0.00032*O113^2-0.0021*O113)+Q$1*((-2*10^-6)*P113^3+0.00032*P113^2-0.0021*P113)+R$1*((-2*10^-6)*Q113^3+0.00032*Q113^2-0.0021*Q113)+S$1*((-2*10^-6)*R113^3+0.00032*R113^2-0.0021*R113)</f>
        <v>2.3566400000000005</v>
      </c>
      <c r="W113" s="6">
        <f>(H$1*H113+I$1*I113)/100</f>
        <v>2.2200000000000002</v>
      </c>
      <c r="X113">
        <f>U113*J$2+V113*O$2+W113*H$2</f>
        <v>7.6694848000000011</v>
      </c>
      <c r="Y113" t="str">
        <f>IF(AND(I113&gt;50,H113+I113&gt;75),"SP",IF(2*H113+I113&gt;120,"RP","CRAP"))</f>
        <v>RP</v>
      </c>
    </row>
    <row r="114" spans="1:25" ht="13.5" customHeight="1" thickBot="1" x14ac:dyDescent="0.35">
      <c r="A114">
        <f>(W114*H$2+U114*J$2+V114*O$2)*100/(W$4*H$2+U$4*J$2+V$4*O$2)</f>
        <v>21.074130628622381</v>
      </c>
      <c r="B114" s="20">
        <v>30</v>
      </c>
      <c r="C114" s="13" t="s">
        <v>58</v>
      </c>
      <c r="D114" s="21" t="s">
        <v>8</v>
      </c>
      <c r="E114" s="21" t="s">
        <v>19</v>
      </c>
      <c r="F114" s="21" t="s">
        <v>19</v>
      </c>
      <c r="G114" s="21">
        <v>18</v>
      </c>
      <c r="H114" s="21">
        <v>84</v>
      </c>
      <c r="I114" s="21">
        <v>33</v>
      </c>
      <c r="J114" s="21">
        <v>30</v>
      </c>
      <c r="K114" s="21">
        <v>15</v>
      </c>
      <c r="L114" s="21">
        <v>5</v>
      </c>
      <c r="M114" s="21">
        <v>0</v>
      </c>
      <c r="N114" s="21">
        <v>30</v>
      </c>
      <c r="O114" s="21">
        <v>73</v>
      </c>
      <c r="P114" s="21">
        <v>0</v>
      </c>
      <c r="Q114" s="21">
        <v>0</v>
      </c>
      <c r="R114" s="21">
        <v>0</v>
      </c>
      <c r="S114" s="21">
        <v>0</v>
      </c>
      <c r="T114" s="21">
        <v>67</v>
      </c>
      <c r="U114" s="6">
        <f>J$1*((-2*10^-6)*J114^3+0.00032*J114^2-0.0021*J114)+K$1*((-2*10^-6)*K114^3+0.00032*K114^2-0.0021*K114)+L$1*((-2*10^-6)*L114^3+0.00032*L114^2-0.0021*L114)+M$1*((-2*10^-6)*M114^3+0.00032*M114^2-0.0021*M114)+N$1*((-2*10^-6)*N114^3+0.00032*N114^2-0.0021*N114)</f>
        <v>0.4058250000000001</v>
      </c>
      <c r="V114">
        <f>O$1*((-2*10^-6)*N114^3+0.00032*N114^2-0.0021*N114)+P$1*((-2*10^-6)*O114^3+0.00032*O114^2-0.0021*O114)+Q$1*((-2*10^-6)*P114^3+0.00032*P114^2-0.0021*P114)+R$1*((-2*10^-6)*Q114^3+0.00032*Q114^2-0.0021*Q114)+S$1*((-2*10^-6)*R114^3+0.00032*R114^2-0.0021*R114)</f>
        <v>1.8898920000000003</v>
      </c>
      <c r="W114" s="6">
        <f>(H$1*H114+I$1*I114)/100</f>
        <v>2.16</v>
      </c>
      <c r="X114">
        <f>U114*J$2+V114*O$2+W114*H$2</f>
        <v>7.5630840000000017</v>
      </c>
      <c r="Y114" t="str">
        <f>IF(AND(I114&gt;50,H114+I114&gt;75),"SP",IF(2*H114+I114&gt;120,"RP","CRAP"))</f>
        <v>RP</v>
      </c>
    </row>
    <row r="115" spans="1:25" ht="13.5" customHeight="1" thickBot="1" x14ac:dyDescent="0.35">
      <c r="A115">
        <f>(W115*H$2+U115*J$2+V115*O$2)*100/(W$4*H$2+U$4*J$2+V$4*O$2)</f>
        <v>20.775873829692383</v>
      </c>
      <c r="B115" s="20">
        <v>68</v>
      </c>
      <c r="C115" s="13" t="s">
        <v>96</v>
      </c>
      <c r="D115" s="21" t="s">
        <v>7</v>
      </c>
      <c r="E115" s="21" t="s">
        <v>19</v>
      </c>
      <c r="F115" s="21" t="s">
        <v>19</v>
      </c>
      <c r="G115" s="21">
        <v>20</v>
      </c>
      <c r="H115" s="21">
        <v>83</v>
      </c>
      <c r="I115" s="21">
        <v>20</v>
      </c>
      <c r="J115" s="21">
        <v>13</v>
      </c>
      <c r="K115" s="21">
        <v>6</v>
      </c>
      <c r="L115" s="21">
        <v>1</v>
      </c>
      <c r="M115" s="21">
        <v>0</v>
      </c>
      <c r="N115" s="21">
        <v>44</v>
      </c>
      <c r="O115" s="21">
        <v>99</v>
      </c>
      <c r="P115" s="21">
        <v>0</v>
      </c>
      <c r="Q115" s="21">
        <v>0</v>
      </c>
      <c r="R115" s="21">
        <v>0</v>
      </c>
      <c r="S115" s="21">
        <v>0</v>
      </c>
      <c r="T115" s="21">
        <v>66</v>
      </c>
      <c r="U115" s="6">
        <f>J$1*((-2*10^-6)*J115^3+0.00032*J115^2-0.0021*J115)+K$1*((-2*10^-6)*K115^3+0.00032*K115^2-0.0021*K115)+L$1*((-2*10^-6)*L115^3+0.00032*L115^2-0.0021*L115)+M$1*((-2*10^-6)*M115^3+0.00032*M115^2-0.0021*M115)+N$1*((-2*10^-6)*N115^3+0.00032*N115^2-0.0021*N115)</f>
        <v>0.11193740000000002</v>
      </c>
      <c r="V115">
        <f>O$1*((-2*10^-6)*N115^3+0.00032*N115^2-0.0021*N115)+P$1*((-2*10^-6)*O115^3+0.00032*O115^2-0.0021*O115)+Q$1*((-2*10^-6)*P115^3+0.00032*P115^2-0.0021*P115)+R$1*((-2*10^-6)*Q115^3+0.00032*Q115^2-0.0021*Q115)+S$1*((-2*10^-6)*R115^3+0.00032*R115^2-0.0021*R115)</f>
        <v>2.6891480000000016</v>
      </c>
      <c r="W115" s="6">
        <f>(H$1*H115+I$1*I115)/100</f>
        <v>1.63</v>
      </c>
      <c r="X115">
        <f>U115*J$2+V115*O$2+W115*H$2</f>
        <v>7.456045600000003</v>
      </c>
      <c r="Y115" t="str">
        <f>IF(AND(I115&gt;50,H115+I115&gt;75),"SP",IF(2*H115+I115&gt;120,"RP","CRAP"))</f>
        <v>RP</v>
      </c>
    </row>
    <row r="116" spans="1:25" ht="13.5" customHeight="1" thickBot="1" x14ac:dyDescent="0.35">
      <c r="A116">
        <f>(W116*H$2+U116*J$2+V116*O$2)*100/(W$4*H$2+U$4*J$2+V$4*O$2)</f>
        <v>20.108637984841732</v>
      </c>
      <c r="B116" s="20">
        <v>200</v>
      </c>
      <c r="C116" s="13" t="s">
        <v>228</v>
      </c>
      <c r="D116" s="21" t="s">
        <v>4</v>
      </c>
      <c r="E116" s="21" t="s">
        <v>20</v>
      </c>
      <c r="F116" s="21" t="s">
        <v>20</v>
      </c>
      <c r="G116" s="21">
        <v>22</v>
      </c>
      <c r="H116" s="21">
        <v>75</v>
      </c>
      <c r="I116" s="21">
        <v>8</v>
      </c>
      <c r="J116" s="21">
        <v>0</v>
      </c>
      <c r="K116" s="21">
        <v>16</v>
      </c>
      <c r="L116" s="21">
        <v>39</v>
      </c>
      <c r="M116" s="21">
        <v>20</v>
      </c>
      <c r="N116" s="21">
        <v>35</v>
      </c>
      <c r="O116" s="21">
        <v>73</v>
      </c>
      <c r="P116" s="21">
        <v>0</v>
      </c>
      <c r="Q116" s="21">
        <v>0</v>
      </c>
      <c r="R116" s="21">
        <v>0</v>
      </c>
      <c r="S116" s="21">
        <v>0</v>
      </c>
      <c r="T116" s="21">
        <v>42</v>
      </c>
      <c r="U116" s="6">
        <f>J$1*((-2*10^-6)*J116^3+0.00032*J116^2-0.0021*J116)+K$1*((-2*10^-6)*K116^3+0.00032*K116^2-0.0021*K116)+L$1*((-2*10^-6)*L116^3+0.00032*L116^2-0.0021*L116)+M$1*((-2*10^-6)*M116^3+0.00032*M116^2-0.0021*M116)+N$1*((-2*10^-6)*N116^3+0.00032*N116^2-0.0021*N116)</f>
        <v>0.52995100000000006</v>
      </c>
      <c r="V116">
        <f>O$1*((-2*10^-6)*N116^3+0.00032*N116^2-0.0021*N116)+P$1*((-2*10^-6)*O116^3+0.00032*O116^2-0.0021*O116)+Q$1*((-2*10^-6)*P116^3+0.00032*P116^2-0.0021*P116)+R$1*((-2*10^-6)*Q116^3+0.00032*Q116^2-0.0021*Q116)+S$1*((-2*10^-6)*R116^3+0.00032*R116^2-0.0021*R116)</f>
        <v>2.0133920000000005</v>
      </c>
      <c r="W116" s="6">
        <f>(H$1*H116+I$1*I116)/100</f>
        <v>1.07</v>
      </c>
      <c r="X116">
        <f>U116*J$2+V116*O$2+W116*H$2</f>
        <v>7.2165880000000016</v>
      </c>
      <c r="Y116" t="str">
        <f>IF(AND(I116&gt;50,H116+I116&gt;75),"SP",IF(2*H116+I116&gt;120,"RP","CRAP"))</f>
        <v>RP</v>
      </c>
    </row>
    <row r="117" spans="1:25" ht="13.5" customHeight="1" thickBot="1" x14ac:dyDescent="0.35">
      <c r="A117">
        <f>(W117*H$2+U117*J$2+V117*O$2)*100/(W$4*H$2+U$4*J$2+V$4*O$2)</f>
        <v>19.851700847079805</v>
      </c>
      <c r="B117" s="18">
        <v>1</v>
      </c>
      <c r="C117" s="12" t="s">
        <v>29</v>
      </c>
      <c r="D117" s="19" t="s">
        <v>10</v>
      </c>
      <c r="E117" s="19" t="s">
        <v>21</v>
      </c>
      <c r="F117" s="19" t="s">
        <v>19</v>
      </c>
      <c r="G117" s="19">
        <v>18</v>
      </c>
      <c r="H117" s="19">
        <v>90</v>
      </c>
      <c r="I117" s="19">
        <v>10</v>
      </c>
      <c r="J117" s="19">
        <v>11</v>
      </c>
      <c r="K117" s="19">
        <v>10</v>
      </c>
      <c r="L117" s="19">
        <v>11</v>
      </c>
      <c r="M117" s="19">
        <v>17</v>
      </c>
      <c r="N117" s="19">
        <v>52</v>
      </c>
      <c r="O117" s="19">
        <v>77</v>
      </c>
      <c r="P117" s="19">
        <v>0</v>
      </c>
      <c r="Q117" s="19">
        <v>0</v>
      </c>
      <c r="R117" s="19">
        <v>0</v>
      </c>
      <c r="S117" s="19">
        <v>0</v>
      </c>
      <c r="T117" s="19">
        <v>88</v>
      </c>
      <c r="U117" s="6">
        <f>J$1*((-2*10^-6)*J117^3+0.00032*J117^2-0.0021*J117)+K$1*((-2*10^-6)*K117^3+0.00032*K117^2-0.0021*K117)+L$1*((-2*10^-6)*L117^3+0.00032*L117^2-0.0021*L117)+M$1*((-2*10^-6)*M117^3+0.00032*M117^2-0.0021*M117)+N$1*((-2*10^-6)*N117^3+0.00032*N117^2-0.0021*N117)</f>
        <v>0.15871660000000007</v>
      </c>
      <c r="V117">
        <f>O$1*((-2*10^-6)*N117^3+0.00032*N117^2-0.0021*N117)+P$1*((-2*10^-6)*O117^3+0.00032*O117^2-0.0021*O117)+Q$1*((-2*10^-6)*P117^3+0.00032*P117^2-0.0021*P117)+R$1*((-2*10^-6)*Q117^3+0.00032*Q117^2-0.0021*Q117)+S$1*((-2*10^-6)*R117^3+0.00032*R117^2-0.0021*R117)</f>
        <v>2.5947560000000007</v>
      </c>
      <c r="W117" s="6">
        <f>(H$1*H117+I$1*I117)/100</f>
        <v>1.3</v>
      </c>
      <c r="X117">
        <f>U117*J$2+V117*O$2+W117*H$2</f>
        <v>7.1243784000000012</v>
      </c>
      <c r="Y117" t="str">
        <f>IF(AND(I117&gt;50,H117+I117&gt;75),"SP",IF(2*H117+I117&gt;120,"RP","CRAP"))</f>
        <v>RP</v>
      </c>
    </row>
    <row r="118" spans="1:25" ht="13.5" customHeight="1" thickBot="1" x14ac:dyDescent="0.35">
      <c r="A118">
        <f>(W118*H$2+U118*J$2+V118*O$2)*100/(W$4*H$2+U$4*J$2+V$4*O$2)</f>
        <v>19.798553276861348</v>
      </c>
      <c r="B118" s="18">
        <v>47</v>
      </c>
      <c r="C118" s="12" t="s">
        <v>75</v>
      </c>
      <c r="D118" s="19" t="s">
        <v>5</v>
      </c>
      <c r="E118" s="19" t="s">
        <v>19</v>
      </c>
      <c r="F118" s="19" t="s">
        <v>19</v>
      </c>
      <c r="G118" s="19">
        <v>18</v>
      </c>
      <c r="H118" s="19">
        <v>76</v>
      </c>
      <c r="I118" s="19">
        <v>30</v>
      </c>
      <c r="J118" s="19">
        <v>26</v>
      </c>
      <c r="K118" s="19">
        <v>0</v>
      </c>
      <c r="L118" s="19">
        <v>1</v>
      </c>
      <c r="M118" s="19">
        <v>10</v>
      </c>
      <c r="N118" s="19">
        <v>43</v>
      </c>
      <c r="O118" s="19">
        <v>62</v>
      </c>
      <c r="P118" s="19">
        <v>0</v>
      </c>
      <c r="Q118" s="19">
        <v>0</v>
      </c>
      <c r="R118" s="19">
        <v>0</v>
      </c>
      <c r="S118" s="19">
        <v>0</v>
      </c>
      <c r="T118" s="19">
        <v>62</v>
      </c>
      <c r="U118" s="6">
        <f>J$1*((-2*10^-6)*J118^3+0.00032*J118^2-0.0021*J118)+K$1*((-2*10^-6)*K118^3+0.00032*K118^2-0.0021*K118)+L$1*((-2*10^-6)*L118^3+0.00032*L118^2-0.0021*L118)+M$1*((-2*10^-6)*M118^3+0.00032*M118^2-0.0021*M118)+N$1*((-2*10^-6)*N118^3+0.00032*N118^2-0.0021*N118)</f>
        <v>0.32073620000000008</v>
      </c>
      <c r="V118">
        <f>O$1*((-2*10^-6)*N118^3+0.00032*N118^2-0.0021*N118)+P$1*((-2*10^-6)*O118^3+0.00032*O118^2-0.0021*O118)+Q$1*((-2*10^-6)*P118^3+0.00032*P118^2-0.0021*P118)+R$1*((-2*10^-6)*Q118^3+0.00032*Q118^2-0.0021*Q118)+S$1*((-2*10^-6)*R118^3+0.00032*R118^2-0.0021*R118)</f>
        <v>1.9311800000000003</v>
      </c>
      <c r="W118" s="6">
        <f>(H$1*H118+I$1*I118)/100</f>
        <v>1.96</v>
      </c>
      <c r="X118">
        <f>U118*J$2+V118*O$2+W118*H$2</f>
        <v>7.1053048000000008</v>
      </c>
      <c r="Y118" t="str">
        <f>IF(AND(I118&gt;50,H118+I118&gt;75),"SP",IF(2*H118+I118&gt;120,"RP","CRAP"))</f>
        <v>RP</v>
      </c>
    </row>
    <row r="119" spans="1:25" ht="13.5" customHeight="1" thickBot="1" x14ac:dyDescent="0.35">
      <c r="A119">
        <f>(W119*H$2+U119*J$2+V119*O$2)*100/(W$4*H$2+U$4*J$2+V$4*O$2)</f>
        <v>19.734308961212665</v>
      </c>
      <c r="B119" s="18">
        <v>69</v>
      </c>
      <c r="C119" s="12" t="s">
        <v>97</v>
      </c>
      <c r="D119" s="19" t="s">
        <v>10</v>
      </c>
      <c r="E119" s="19" t="s">
        <v>19</v>
      </c>
      <c r="F119" s="19" t="s">
        <v>19</v>
      </c>
      <c r="G119" s="19">
        <v>18</v>
      </c>
      <c r="H119" s="19">
        <v>77</v>
      </c>
      <c r="I119" s="19">
        <v>30</v>
      </c>
      <c r="J119" s="19">
        <v>7</v>
      </c>
      <c r="K119" s="19">
        <v>11</v>
      </c>
      <c r="L119" s="19">
        <v>3</v>
      </c>
      <c r="M119" s="19">
        <v>13</v>
      </c>
      <c r="N119" s="19">
        <v>40</v>
      </c>
      <c r="O119" s="19">
        <v>85</v>
      </c>
      <c r="P119" s="19">
        <v>0</v>
      </c>
      <c r="Q119" s="19">
        <v>0</v>
      </c>
      <c r="R119" s="19">
        <v>0</v>
      </c>
      <c r="S119" s="19">
        <v>0</v>
      </c>
      <c r="T119" s="19">
        <v>58</v>
      </c>
      <c r="U119" s="6">
        <f>J$1*((-2*10^-6)*J119^3+0.00032*J119^2-0.0021*J119)+K$1*((-2*10^-6)*K119^3+0.00032*K119^2-0.0021*K119)+L$1*((-2*10^-6)*L119^3+0.00032*L119^2-0.0021*L119)+M$1*((-2*10^-6)*M119^3+0.00032*M119^2-0.0021*M119)+N$1*((-2*10^-6)*N119^3+0.00032*N119^2-0.0021*N119)</f>
        <v>7.2812200000000021E-2</v>
      </c>
      <c r="V119">
        <f>O$1*((-2*10^-6)*N119^3+0.00032*N119^2-0.0021*N119)+P$1*((-2*10^-6)*O119^3+0.00032*O119^2-0.0021*O119)+Q$1*((-2*10^-6)*P119^3+0.00032*P119^2-0.0021*P119)+R$1*((-2*10^-6)*Q119^3+0.00032*Q119^2-0.0021*Q119)+S$1*((-2*10^-6)*R119^3+0.00032*R119^2-0.0021*R119)</f>
        <v>2.4105000000000008</v>
      </c>
      <c r="W119" s="6">
        <f>(H$1*H119+I$1*I119)/100</f>
        <v>1.97</v>
      </c>
      <c r="X119">
        <f>U119*J$2+V119*O$2+W119*H$2</f>
        <v>7.0822488000000012</v>
      </c>
      <c r="Y119" t="str">
        <f>IF(AND(I119&gt;50,H119+I119&gt;75),"SP",IF(2*H119+I119&gt;120,"RP","CRAP"))</f>
        <v>RP</v>
      </c>
    </row>
    <row r="120" spans="1:25" ht="13.5" customHeight="1" thickBot="1" x14ac:dyDescent="0.35">
      <c r="A120">
        <f>(W120*H$2+U120*J$2+V120*O$2)*100/(W$4*H$2+U$4*J$2+V$4*O$2)</f>
        <v>19.539612126616142</v>
      </c>
      <c r="B120" s="20">
        <v>130</v>
      </c>
      <c r="C120" s="13" t="s">
        <v>158</v>
      </c>
      <c r="D120" s="21" t="s">
        <v>6</v>
      </c>
      <c r="E120" s="21" t="s">
        <v>19</v>
      </c>
      <c r="F120" s="21" t="s">
        <v>19</v>
      </c>
      <c r="G120" s="21">
        <v>18</v>
      </c>
      <c r="H120" s="21">
        <v>86</v>
      </c>
      <c r="I120" s="21">
        <v>25</v>
      </c>
      <c r="J120" s="21">
        <v>23</v>
      </c>
      <c r="K120" s="21">
        <v>4</v>
      </c>
      <c r="L120" s="21">
        <v>6</v>
      </c>
      <c r="M120" s="21">
        <v>18</v>
      </c>
      <c r="N120" s="21">
        <v>57</v>
      </c>
      <c r="O120" s="21">
        <v>49</v>
      </c>
      <c r="P120" s="21">
        <v>0</v>
      </c>
      <c r="Q120" s="21">
        <v>0</v>
      </c>
      <c r="R120" s="21">
        <v>0</v>
      </c>
      <c r="S120" s="21">
        <v>0</v>
      </c>
      <c r="T120" s="21">
        <v>45</v>
      </c>
      <c r="U120" s="6">
        <f>J$1*((-2*10^-6)*J120^3+0.00032*J120^2-0.0021*J120)+K$1*((-2*10^-6)*K120^3+0.00032*K120^2-0.0021*K120)+L$1*((-2*10^-6)*L120^3+0.00032*L120^2-0.0021*L120)+M$1*((-2*10^-6)*M120^3+0.00032*M120^2-0.0021*M120)+N$1*((-2*10^-6)*N120^3+0.00032*N120^2-0.0021*N120)</f>
        <v>0.3083780000000001</v>
      </c>
      <c r="V120">
        <f>O$1*((-2*10^-6)*N120^3+0.00032*N120^2-0.0021*N120)+P$1*((-2*10^-6)*O120^3+0.00032*O120^2-0.0021*O120)+Q$1*((-2*10^-6)*P120^3+0.00032*P120^2-0.0021*P120)+R$1*((-2*10^-6)*Q120^3+0.00032*Q120^2-0.0021*Q120)+S$1*((-2*10^-6)*R120^3+0.00032*R120^2-0.0021*R120)</f>
        <v>1.9594320000000005</v>
      </c>
      <c r="W120" s="6">
        <f>(H$1*H120+I$1*I120)/100</f>
        <v>1.86</v>
      </c>
      <c r="X120">
        <f>U120*J$2+V120*O$2+W120*H$2</f>
        <v>7.0123760000000015</v>
      </c>
      <c r="Y120" t="str">
        <f>IF(AND(I120&gt;50,H120+I120&gt;75),"SP",IF(2*H120+I120&gt;120,"RP","CRAP"))</f>
        <v>RP</v>
      </c>
    </row>
    <row r="121" spans="1:25" ht="13.5" customHeight="1" thickBot="1" x14ac:dyDescent="0.35">
      <c r="A121">
        <f>(W121*H$2+U121*J$2+V121*O$2)*100/(W$4*H$2+U$4*J$2+V$4*O$2)</f>
        <v>19.533930004458316</v>
      </c>
      <c r="B121" s="20">
        <v>188</v>
      </c>
      <c r="C121" s="13" t="s">
        <v>216</v>
      </c>
      <c r="D121" s="21" t="s">
        <v>4</v>
      </c>
      <c r="E121" s="21" t="s">
        <v>21</v>
      </c>
      <c r="F121" s="21" t="s">
        <v>19</v>
      </c>
      <c r="G121" s="21">
        <v>18</v>
      </c>
      <c r="H121" s="21">
        <v>79</v>
      </c>
      <c r="I121" s="21">
        <v>30</v>
      </c>
      <c r="J121" s="21">
        <v>9</v>
      </c>
      <c r="K121" s="21">
        <v>9</v>
      </c>
      <c r="L121" s="21">
        <v>13</v>
      </c>
      <c r="M121" s="21">
        <v>18</v>
      </c>
      <c r="N121" s="21">
        <v>40</v>
      </c>
      <c r="O121" s="21">
        <v>78</v>
      </c>
      <c r="P121" s="21">
        <v>0</v>
      </c>
      <c r="Q121" s="21">
        <v>0</v>
      </c>
      <c r="R121" s="21">
        <v>0</v>
      </c>
      <c r="S121" s="21">
        <v>0</v>
      </c>
      <c r="T121" s="21">
        <v>53</v>
      </c>
      <c r="U121" s="6">
        <f>J$1*((-2*10^-6)*J121^3+0.00032*J121^2-0.0021*J121)+K$1*((-2*10^-6)*K121^3+0.00032*K121^2-0.0021*K121)+L$1*((-2*10^-6)*L121^3+0.00032*L121^2-0.0021*L121)+M$1*((-2*10^-6)*M121^3+0.00032*M121^2-0.0021*M121)+N$1*((-2*10^-6)*N121^3+0.00032*N121^2-0.0021*N121)</f>
        <v>0.12110820000000003</v>
      </c>
      <c r="V121">
        <f>O$1*((-2*10^-6)*N121^3+0.00032*N121^2-0.0021*N121)+P$1*((-2*10^-6)*O121^3+0.00032*O121^2-0.0021*O121)+Q$1*((-2*10^-6)*P121^3+0.00032*P121^2-0.0021*P121)+R$1*((-2*10^-6)*Q121^3+0.00032*Q121^2-0.0021*Q121)+S$1*((-2*10^-6)*R121^3+0.00032*R121^2-0.0021*R121)</f>
        <v>2.2679520000000006</v>
      </c>
      <c r="W121" s="6">
        <f>(H$1*H121+I$1*I121)/100</f>
        <v>1.99</v>
      </c>
      <c r="X121">
        <f>U121*J$2+V121*O$2+W121*H$2</f>
        <v>7.0103368000000019</v>
      </c>
      <c r="Y121" t="str">
        <f>IF(AND(I121&gt;50,H121+I121&gt;75),"SP",IF(2*H121+I121&gt;120,"RP","CRAP"))</f>
        <v>RP</v>
      </c>
    </row>
    <row r="122" spans="1:25" ht="13.5" customHeight="1" thickBot="1" x14ac:dyDescent="0.35">
      <c r="A122">
        <f>(W122*H$2+U122*J$2+V122*O$2)*100/(W$4*H$2+U$4*J$2+V$4*O$2)</f>
        <v>19.314469460543915</v>
      </c>
      <c r="B122" s="18">
        <v>21</v>
      </c>
      <c r="C122" s="12" t="s">
        <v>49</v>
      </c>
      <c r="D122" s="19" t="s">
        <v>3</v>
      </c>
      <c r="E122" s="19" t="s">
        <v>19</v>
      </c>
      <c r="F122" s="19" t="s">
        <v>19</v>
      </c>
      <c r="G122" s="19">
        <v>18</v>
      </c>
      <c r="H122" s="19">
        <v>96</v>
      </c>
      <c r="I122" s="19">
        <v>31</v>
      </c>
      <c r="J122" s="19">
        <v>21</v>
      </c>
      <c r="K122" s="19">
        <v>29</v>
      </c>
      <c r="L122" s="19">
        <v>19</v>
      </c>
      <c r="M122" s="19">
        <v>13</v>
      </c>
      <c r="N122" s="19">
        <v>35</v>
      </c>
      <c r="O122" s="19">
        <v>53</v>
      </c>
      <c r="P122" s="19">
        <v>0</v>
      </c>
      <c r="Q122" s="19">
        <v>0</v>
      </c>
      <c r="R122" s="19">
        <v>0</v>
      </c>
      <c r="S122" s="19">
        <v>0</v>
      </c>
      <c r="T122" s="19">
        <v>70</v>
      </c>
      <c r="U122" s="6">
        <f>J$1*((-2*10^-6)*J122^3+0.00032*J122^2-0.0021*J122)+K$1*((-2*10^-6)*K122^3+0.00032*K122^2-0.0021*K122)+L$1*((-2*10^-6)*L122^3+0.00032*L122^2-0.0021*L122)+M$1*((-2*10^-6)*M122^3+0.00032*M122^2-0.0021*M122)+N$1*((-2*10^-6)*N122^3+0.00032*N122^2-0.0021*N122)</f>
        <v>0.46031820000000012</v>
      </c>
      <c r="V122">
        <f>O$1*((-2*10^-6)*N122^3+0.00032*N122^2-0.0021*N122)+P$1*((-2*10^-6)*O122^3+0.00032*O122^2-0.0021*O122)+Q$1*((-2*10^-6)*P122^3+0.00032*P122^2-0.0021*P122)+R$1*((-2*10^-6)*Q122^3+0.00032*Q122^2-0.0021*Q122)+S$1*((-2*10^-6)*R122^3+0.00032*R122^2-0.0021*R122)</f>
        <v>1.4451520000000002</v>
      </c>
      <c r="W122" s="6">
        <f>(H$1*H122+I$1*I122)/100</f>
        <v>2.2000000000000002</v>
      </c>
      <c r="X122">
        <f>U122*J$2+V122*O$2+W122*H$2</f>
        <v>6.9315768000000011</v>
      </c>
      <c r="Y122" t="str">
        <f>IF(AND(I122&gt;50,H122+I122&gt;75),"SP",IF(2*H122+I122&gt;120,"RP","CRAP"))</f>
        <v>RP</v>
      </c>
    </row>
    <row r="123" spans="1:25" ht="13.5" customHeight="1" thickBot="1" x14ac:dyDescent="0.35">
      <c r="A123">
        <f>(W123*H$2+U123*J$2+V123*O$2)*100/(W$4*H$2+U$4*J$2+V$4*O$2)</f>
        <v>19.006382077574674</v>
      </c>
      <c r="B123" s="18">
        <v>185</v>
      </c>
      <c r="C123" s="12" t="s">
        <v>213</v>
      </c>
      <c r="D123" s="19" t="s">
        <v>4</v>
      </c>
      <c r="E123" s="19" t="s">
        <v>19</v>
      </c>
      <c r="F123" s="19" t="s">
        <v>19</v>
      </c>
      <c r="G123" s="19">
        <v>18</v>
      </c>
      <c r="H123" s="19">
        <v>61</v>
      </c>
      <c r="I123" s="19">
        <v>36</v>
      </c>
      <c r="J123" s="19">
        <v>3</v>
      </c>
      <c r="K123" s="19">
        <v>16</v>
      </c>
      <c r="L123" s="19">
        <v>29</v>
      </c>
      <c r="M123" s="19">
        <v>15</v>
      </c>
      <c r="N123" s="19">
        <v>31</v>
      </c>
      <c r="O123" s="19">
        <v>67</v>
      </c>
      <c r="P123" s="19">
        <v>0</v>
      </c>
      <c r="Q123" s="19">
        <v>0</v>
      </c>
      <c r="R123" s="19">
        <v>0</v>
      </c>
      <c r="S123" s="19">
        <v>0</v>
      </c>
      <c r="T123" s="19">
        <v>46</v>
      </c>
      <c r="U123" s="6">
        <f>J$1*((-2*10^-6)*J123^3+0.00032*J123^2-0.0021*J123)+K$1*((-2*10^-6)*K123^3+0.00032*K123^2-0.0021*K123)+L$1*((-2*10^-6)*L123^3+0.00032*L123^2-0.0021*L123)+M$1*((-2*10^-6)*M123^3+0.00032*M123^2-0.0021*M123)+N$1*((-2*10^-6)*N123^3+0.00032*N123^2-0.0021*N123)</f>
        <v>0.31566060000000007</v>
      </c>
      <c r="V123">
        <f>O$1*((-2*10^-6)*N123^3+0.00032*N123^2-0.0021*N123)+P$1*((-2*10^-6)*O123^3+0.00032*O123^2-0.0021*O123)+Q$1*((-2*10^-6)*P123^3+0.00032*P123^2-0.0021*P123)+R$1*((-2*10^-6)*Q123^3+0.00032*Q123^2-0.0021*Q123)+S$1*((-2*10^-6)*R123^3+0.00032*R123^2-0.0021*R123)</f>
        <v>1.7541840000000004</v>
      </c>
      <c r="W123" s="6">
        <f>(H$1*H123+I$1*I123)/100</f>
        <v>2.0499999999999998</v>
      </c>
      <c r="X123">
        <f>U123*J$2+V123*O$2+W123*H$2</f>
        <v>6.8210104000000014</v>
      </c>
      <c r="Y123" t="str">
        <f>IF(AND(I123&gt;50,H123+I123&gt;75),"SP",IF(2*H123+I123&gt;120,"RP","CRAP"))</f>
        <v>RP</v>
      </c>
    </row>
    <row r="124" spans="1:25" ht="13.5" customHeight="1" thickBot="1" x14ac:dyDescent="0.35">
      <c r="A124">
        <f>(W124*H$2+U124*J$2+V124*O$2)*100/(W$4*H$2+U$4*J$2+V$4*O$2)</f>
        <v>18.949966562639325</v>
      </c>
      <c r="B124" s="20">
        <v>124</v>
      </c>
      <c r="C124" s="13" t="s">
        <v>152</v>
      </c>
      <c r="D124" s="21" t="s">
        <v>8</v>
      </c>
      <c r="E124" s="21" t="s">
        <v>20</v>
      </c>
      <c r="F124" s="21" t="s">
        <v>19</v>
      </c>
      <c r="G124" s="21">
        <v>18</v>
      </c>
      <c r="H124" s="21">
        <v>86</v>
      </c>
      <c r="I124" s="21">
        <v>15</v>
      </c>
      <c r="J124" s="21">
        <v>0</v>
      </c>
      <c r="K124" s="21">
        <v>7</v>
      </c>
      <c r="L124" s="21">
        <v>21</v>
      </c>
      <c r="M124" s="21">
        <v>5</v>
      </c>
      <c r="N124" s="21">
        <v>55</v>
      </c>
      <c r="O124" s="21">
        <v>60</v>
      </c>
      <c r="P124" s="21">
        <v>0</v>
      </c>
      <c r="Q124" s="21">
        <v>0</v>
      </c>
      <c r="R124" s="21">
        <v>0</v>
      </c>
      <c r="S124" s="21">
        <v>0</v>
      </c>
      <c r="T124" s="21">
        <v>46</v>
      </c>
      <c r="U124" s="6">
        <f>J$1*((-2*10^-6)*J124^3+0.00032*J124^2-0.0021*J124)+K$1*((-2*10^-6)*K124^3+0.00032*K124^2-0.0021*K124)+L$1*((-2*10^-6)*L124^3+0.00032*L124^2-0.0021*L124)+M$1*((-2*10^-6)*M124^3+0.00032*M124^2-0.0021*M124)+N$1*((-2*10^-6)*N124^3+0.00032*N124^2-0.0021*N124)</f>
        <v>0.22144100000000011</v>
      </c>
      <c r="V124">
        <f>O$1*((-2*10^-6)*N124^3+0.00032*N124^2-0.0021*N124)+P$1*((-2*10^-6)*O124^3+0.00032*O124^2-0.0021*O124)+Q$1*((-2*10^-6)*P124^3+0.00032*P124^2-0.0021*P124)+R$1*((-2*10^-6)*Q124^3+0.00032*Q124^2-0.0021*Q124)+S$1*((-2*10^-6)*R124^3+0.00032*R124^2-0.0021*R124)</f>
        <v>2.2275000000000009</v>
      </c>
      <c r="W124" s="6">
        <f>(H$1*H124+I$1*I124)/100</f>
        <v>1.46</v>
      </c>
      <c r="X124">
        <f>U124*J$2+V124*O$2+W124*H$2</f>
        <v>6.8007640000000018</v>
      </c>
      <c r="Y124" t="str">
        <f>IF(AND(I124&gt;50,H124+I124&gt;75),"SP",IF(2*H124+I124&gt;120,"RP","CRAP"))</f>
        <v>RP</v>
      </c>
    </row>
    <row r="125" spans="1:25" ht="13.5" customHeight="1" thickBot="1" x14ac:dyDescent="0.35">
      <c r="A125">
        <f>(W125*H$2+U125*J$2+V125*O$2)*100/(W$4*H$2+U$4*J$2+V$4*O$2)</f>
        <v>18.560421310744541</v>
      </c>
      <c r="B125" s="18">
        <v>59</v>
      </c>
      <c r="C125" s="12" t="s">
        <v>87</v>
      </c>
      <c r="D125" s="19" t="s">
        <v>8</v>
      </c>
      <c r="E125" s="19" t="s">
        <v>20</v>
      </c>
      <c r="F125" s="19" t="s">
        <v>19</v>
      </c>
      <c r="G125" s="19">
        <v>18</v>
      </c>
      <c r="H125" s="19">
        <v>95</v>
      </c>
      <c r="I125" s="19">
        <v>14</v>
      </c>
      <c r="J125" s="19">
        <v>7</v>
      </c>
      <c r="K125" s="19">
        <v>24</v>
      </c>
      <c r="L125" s="19">
        <v>17</v>
      </c>
      <c r="M125" s="19">
        <v>0</v>
      </c>
      <c r="N125" s="19">
        <v>30</v>
      </c>
      <c r="O125" s="19">
        <v>85</v>
      </c>
      <c r="P125" s="19">
        <v>0</v>
      </c>
      <c r="Q125" s="19">
        <v>0</v>
      </c>
      <c r="R125" s="19">
        <v>0</v>
      </c>
      <c r="S125" s="19">
        <v>0</v>
      </c>
      <c r="T125" s="19">
        <v>60</v>
      </c>
      <c r="U125" s="6">
        <f>J$1*((-2*10^-6)*J125^3+0.00032*J125^2-0.0021*J125)+K$1*((-2*10^-6)*K125^3+0.00032*K125^2-0.0021*K125)+L$1*((-2*10^-6)*L125^3+0.00032*L125^2-0.0021*L125)+M$1*((-2*10^-6)*M125^3+0.00032*M125^2-0.0021*M125)+N$1*((-2*10^-6)*N125^3+0.00032*N125^2-0.0021*N125)</f>
        <v>0.21149100000000004</v>
      </c>
      <c r="V125">
        <f>O$1*((-2*10^-6)*N125^3+0.00032*N125^2-0.0021*N125)+P$1*((-2*10^-6)*O125^3+0.00032*O125^2-0.0021*O125)+Q$1*((-2*10^-6)*P125^3+0.00032*P125^2-0.0021*P125)+R$1*((-2*10^-6)*Q125^3+0.00032*Q125^2-0.0021*Q125)+S$1*((-2*10^-6)*R125^3+0.00032*R125^2-0.0021*R125)</f>
        <v>2.1525000000000007</v>
      </c>
      <c r="W125" s="6">
        <f>(H$1*H125+I$1*I125)/100</f>
        <v>1.51</v>
      </c>
      <c r="X125">
        <f>U125*J$2+V125*O$2+W125*H$2</f>
        <v>6.6609640000000017</v>
      </c>
      <c r="Y125" t="str">
        <f>IF(AND(I125&gt;50,H125+I125&gt;75),"SP",IF(2*H125+I125&gt;120,"RP","CRAP"))</f>
        <v>RP</v>
      </c>
    </row>
    <row r="126" spans="1:25" ht="13.5" customHeight="1" thickBot="1" x14ac:dyDescent="0.35">
      <c r="A126">
        <f>(W126*H$2+U126*J$2+V126*O$2)*100/(W$4*H$2+U$4*J$2+V$4*O$2)</f>
        <v>18.22502897904592</v>
      </c>
      <c r="B126" s="20">
        <v>98</v>
      </c>
      <c r="C126" s="13" t="s">
        <v>126</v>
      </c>
      <c r="D126" s="21" t="s">
        <v>7</v>
      </c>
      <c r="E126" s="21" t="s">
        <v>20</v>
      </c>
      <c r="F126" s="21" t="s">
        <v>19</v>
      </c>
      <c r="G126" s="21">
        <v>19</v>
      </c>
      <c r="H126" s="21">
        <v>76</v>
      </c>
      <c r="I126" s="21">
        <v>30</v>
      </c>
      <c r="J126" s="21">
        <v>2</v>
      </c>
      <c r="K126" s="21">
        <v>24</v>
      </c>
      <c r="L126" s="21">
        <v>22</v>
      </c>
      <c r="M126" s="21">
        <v>2</v>
      </c>
      <c r="N126" s="21">
        <v>32</v>
      </c>
      <c r="O126" s="21">
        <v>66</v>
      </c>
      <c r="P126" s="21">
        <v>0</v>
      </c>
      <c r="Q126" s="21">
        <v>0</v>
      </c>
      <c r="R126" s="21">
        <v>0</v>
      </c>
      <c r="S126" s="21">
        <v>0</v>
      </c>
      <c r="T126" s="21">
        <v>58</v>
      </c>
      <c r="U126" s="6">
        <f>J$1*((-2*10^-6)*J126^3+0.00032*J126^2-0.0021*J126)+K$1*((-2*10^-6)*K126^3+0.00032*K126^2-0.0021*K126)+L$1*((-2*10^-6)*L126^3+0.00032*L126^2-0.0021*L126)+M$1*((-2*10^-6)*M126^3+0.00032*M126^2-0.0021*M126)+N$1*((-2*10^-6)*N126^3+0.00032*N126^2-0.0021*N126)</f>
        <v>0.26987760000000005</v>
      </c>
      <c r="V126">
        <f>O$1*((-2*10^-6)*N126^3+0.00032*N126^2-0.0021*N126)+P$1*((-2*10^-6)*O126^3+0.00032*O126^2-0.0021*O126)+Q$1*((-2*10^-6)*P126^3+0.00032*P126^2-0.0021*P126)+R$1*((-2*10^-6)*Q126^3+0.00032*Q126^2-0.0021*Q126)+S$1*((-2*10^-6)*R126^3+0.00032*R126^2-0.0021*R126)</f>
        <v>1.7505440000000001</v>
      </c>
      <c r="W126" s="6">
        <f>(H$1*H126+I$1*I126)/100</f>
        <v>1.96</v>
      </c>
      <c r="X126">
        <f>U126*J$2+V126*O$2+W126*H$2</f>
        <v>6.5405984000000004</v>
      </c>
      <c r="Y126" t="str">
        <f>IF(AND(I126&gt;50,H126+I126&gt;75),"SP",IF(2*H126+I126&gt;120,"RP","CRAP"))</f>
        <v>RP</v>
      </c>
    </row>
    <row r="127" spans="1:25" ht="13.5" customHeight="1" thickBot="1" x14ac:dyDescent="0.35">
      <c r="A127">
        <f>(W127*H$2+U127*J$2+V127*O$2)*100/(W$4*H$2+U$4*J$2+V$4*O$2)</f>
        <v>18.008368256798931</v>
      </c>
      <c r="B127" s="20">
        <v>90</v>
      </c>
      <c r="C127" s="13" t="s">
        <v>118</v>
      </c>
      <c r="D127" s="21" t="s">
        <v>5</v>
      </c>
      <c r="E127" s="21" t="s">
        <v>19</v>
      </c>
      <c r="F127" s="21" t="s">
        <v>19</v>
      </c>
      <c r="G127" s="21">
        <v>18</v>
      </c>
      <c r="H127" s="21">
        <v>87</v>
      </c>
      <c r="I127" s="21">
        <v>43</v>
      </c>
      <c r="J127" s="21">
        <v>13</v>
      </c>
      <c r="K127" s="21">
        <v>0</v>
      </c>
      <c r="L127" s="21">
        <v>6</v>
      </c>
      <c r="M127" s="21">
        <v>6</v>
      </c>
      <c r="N127" s="21">
        <v>28</v>
      </c>
      <c r="O127" s="21">
        <v>71</v>
      </c>
      <c r="P127" s="21">
        <v>0</v>
      </c>
      <c r="Q127" s="21">
        <v>0</v>
      </c>
      <c r="R127" s="21">
        <v>0</v>
      </c>
      <c r="S127" s="21">
        <v>0</v>
      </c>
      <c r="T127" s="21">
        <v>53</v>
      </c>
      <c r="U127" s="6">
        <f>J$1*((-2*10^-6)*J127^3+0.00032*J127^2-0.0021*J127)+K$1*((-2*10^-6)*K127^3+0.00032*K127^2-0.0021*K127)+L$1*((-2*10^-6)*L127^3+0.00032*L127^2-0.0021*L127)+M$1*((-2*10^-6)*M127^3+0.00032*M127^2-0.0021*M127)+N$1*((-2*10^-6)*N127^3+0.00032*N127^2-0.0021*N127)</f>
        <v>7.183680000000002E-2</v>
      </c>
      <c r="V127">
        <f>O$1*((-2*10^-6)*N127^3+0.00032*N127^2-0.0021*N127)+P$1*((-2*10^-6)*O127^3+0.00032*O127^2-0.0021*O127)+Q$1*((-2*10^-6)*P127^3+0.00032*P127^2-0.0021*P127)+R$1*((-2*10^-6)*Q127^3+0.00032*Q127^2-0.0021*Q127)+S$1*((-2*10^-6)*R127^3+0.00032*R127^2-0.0021*R127)</f>
        <v>1.7927480000000005</v>
      </c>
      <c r="W127" s="6">
        <f>(H$1*H127+I$1*I127)/100</f>
        <v>2.59</v>
      </c>
      <c r="X127">
        <f>U127*J$2+V127*O$2+W127*H$2</f>
        <v>6.4628432000000009</v>
      </c>
      <c r="Y127" t="str">
        <f>IF(AND(I127&gt;50,H127+I127&gt;75),"SP",IF(2*H127+I127&gt;120,"RP","CRAP"))</f>
        <v>RP</v>
      </c>
    </row>
    <row r="128" spans="1:25" ht="13.5" customHeight="1" thickBot="1" x14ac:dyDescent="0.35">
      <c r="A128">
        <f>(W128*H$2+U128*J$2+V128*O$2)*100/(W$4*H$2+U$4*J$2+V$4*O$2)</f>
        <v>17.552068658047258</v>
      </c>
      <c r="B128" s="18">
        <v>129</v>
      </c>
      <c r="C128" s="12" t="s">
        <v>157</v>
      </c>
      <c r="D128" s="19" t="s">
        <v>10</v>
      </c>
      <c r="E128" s="19" t="s">
        <v>19</v>
      </c>
      <c r="F128" s="19" t="s">
        <v>19</v>
      </c>
      <c r="G128" s="19">
        <v>18</v>
      </c>
      <c r="H128" s="19">
        <v>84</v>
      </c>
      <c r="I128" s="19">
        <v>22</v>
      </c>
      <c r="J128" s="19">
        <v>6</v>
      </c>
      <c r="K128" s="19">
        <v>10</v>
      </c>
      <c r="L128" s="19">
        <v>14</v>
      </c>
      <c r="M128" s="19">
        <v>1</v>
      </c>
      <c r="N128" s="19">
        <v>25</v>
      </c>
      <c r="O128" s="19">
        <v>92</v>
      </c>
      <c r="P128" s="19">
        <v>0</v>
      </c>
      <c r="Q128" s="19">
        <v>0</v>
      </c>
      <c r="R128" s="19">
        <v>0</v>
      </c>
      <c r="S128" s="19">
        <v>0</v>
      </c>
      <c r="T128" s="19">
        <v>45</v>
      </c>
      <c r="U128" s="6">
        <f>J$1*((-2*10^-6)*J128^3+0.00032*J128^2-0.0021*J128)+K$1*((-2*10^-6)*K128^3+0.00032*K128^2-0.0021*K128)+L$1*((-2*10^-6)*L128^3+0.00032*L128^2-0.0021*L128)+M$1*((-2*10^-6)*M128^3+0.00032*M128^2-0.0021*M128)+N$1*((-2*10^-6)*N128^3+0.00032*N128^2-0.0021*N128)</f>
        <v>7.061760000000003E-2</v>
      </c>
      <c r="V128">
        <f>O$1*((-2*10^-6)*N128^3+0.00032*N128^2-0.0021*N128)+P$1*((-2*10^-6)*O128^3+0.00032*O128^2-0.0021*O128)+Q$1*((-2*10^-6)*P128^3+0.00032*P128^2-0.0021*P128)+R$1*((-2*10^-6)*Q128^3+0.00032*Q128^2-0.0021*Q128)+S$1*((-2*10^-6)*R128^3+0.00032*R128^2-0.0021*R128)</f>
        <v>2.1483080000000006</v>
      </c>
      <c r="W128" s="6">
        <f>(H$1*H128+I$1*I128)/100</f>
        <v>1.72</v>
      </c>
      <c r="X128">
        <f>U128*J$2+V128*O$2+W128*H$2</f>
        <v>6.2990864000000011</v>
      </c>
      <c r="Y128" t="str">
        <f>IF(AND(I128&gt;50,H128+I128&gt;75),"SP",IF(2*H128+I128&gt;120,"RP","CRAP"))</f>
        <v>RP</v>
      </c>
    </row>
    <row r="129" spans="1:25" ht="13.5" customHeight="1" thickBot="1" x14ac:dyDescent="0.35">
      <c r="A129">
        <f>(W129*H$2+U129*J$2+V129*O$2)*100/(W$4*H$2+U$4*J$2+V$4*O$2)</f>
        <v>17.530528310298706</v>
      </c>
      <c r="B129" s="20">
        <v>8</v>
      </c>
      <c r="C129" s="13" t="s">
        <v>36</v>
      </c>
      <c r="D129" s="21" t="s">
        <v>8</v>
      </c>
      <c r="E129" s="21" t="s">
        <v>19</v>
      </c>
      <c r="F129" s="21" t="s">
        <v>19</v>
      </c>
      <c r="G129" s="21">
        <v>18</v>
      </c>
      <c r="H129" s="21">
        <v>96</v>
      </c>
      <c r="I129" s="21">
        <v>35</v>
      </c>
      <c r="J129" s="21">
        <v>18</v>
      </c>
      <c r="K129" s="21">
        <v>8</v>
      </c>
      <c r="L129" s="21">
        <v>5</v>
      </c>
      <c r="M129" s="21">
        <v>8</v>
      </c>
      <c r="N129" s="21">
        <v>37</v>
      </c>
      <c r="O129" s="21">
        <v>58</v>
      </c>
      <c r="P129" s="21">
        <v>0</v>
      </c>
      <c r="Q129" s="21">
        <v>0</v>
      </c>
      <c r="R129" s="21">
        <v>0</v>
      </c>
      <c r="S129" s="21">
        <v>0</v>
      </c>
      <c r="T129" s="21">
        <v>78</v>
      </c>
      <c r="U129" s="6">
        <f>J$1*((-2*10^-6)*J129^3+0.00032*J129^2-0.0021*J129)+K$1*((-2*10^-6)*K129^3+0.00032*K129^2-0.0021*K129)+L$1*((-2*10^-6)*L129^3+0.00032*L129^2-0.0021*L129)+M$1*((-2*10^-6)*M129^3+0.00032*M129^2-0.0021*M129)+N$1*((-2*10^-6)*N129^3+0.00032*N129^2-0.0021*N129)</f>
        <v>0.15930900000000003</v>
      </c>
      <c r="V129">
        <f>O$1*((-2*10^-6)*N129^3+0.00032*N129^2-0.0021*N129)+P$1*((-2*10^-6)*O129^3+0.00032*O129^2-0.0021*O129)+Q$1*((-2*10^-6)*P129^3+0.00032*P129^2-0.0021*P129)+R$1*((-2*10^-6)*Q129^3+0.00032*Q129^2-0.0021*Q129)+S$1*((-2*10^-6)*R129^3+0.00032*R129^2-0.0021*R129)</f>
        <v>1.6470600000000004</v>
      </c>
      <c r="W129" s="6">
        <f>(H$1*H129+I$1*I129)/100</f>
        <v>2.36</v>
      </c>
      <c r="X129">
        <f>U129*J$2+V129*O$2+W129*H$2</f>
        <v>6.2913560000000004</v>
      </c>
      <c r="Y129" t="str">
        <f>IF(AND(I129&gt;50,H129+I129&gt;75),"SP",IF(2*H129+I129&gt;120,"RP","CRAP"))</f>
        <v>RP</v>
      </c>
    </row>
    <row r="130" spans="1:25" ht="13.5" customHeight="1" thickBot="1" x14ac:dyDescent="0.35">
      <c r="A130">
        <f>(W130*H$2+U130*J$2+V130*O$2)*100/(W$4*H$2+U$4*J$2+V$4*O$2)</f>
        <v>17.48432456531431</v>
      </c>
      <c r="B130" s="18">
        <v>189</v>
      </c>
      <c r="C130" s="12" t="s">
        <v>217</v>
      </c>
      <c r="D130" s="19" t="s">
        <v>4</v>
      </c>
      <c r="E130" s="19" t="s">
        <v>19</v>
      </c>
      <c r="F130" s="19" t="s">
        <v>19</v>
      </c>
      <c r="G130" s="19">
        <v>18</v>
      </c>
      <c r="H130" s="19">
        <v>95</v>
      </c>
      <c r="I130" s="19">
        <v>30</v>
      </c>
      <c r="J130" s="19">
        <v>19</v>
      </c>
      <c r="K130" s="19">
        <v>7</v>
      </c>
      <c r="L130" s="19">
        <v>0</v>
      </c>
      <c r="M130" s="19">
        <v>12</v>
      </c>
      <c r="N130" s="19">
        <v>22</v>
      </c>
      <c r="O130" s="19">
        <v>75</v>
      </c>
      <c r="P130" s="19">
        <v>0</v>
      </c>
      <c r="Q130" s="19">
        <v>0</v>
      </c>
      <c r="R130" s="19">
        <v>0</v>
      </c>
      <c r="S130" s="19">
        <v>0</v>
      </c>
      <c r="T130" s="19">
        <v>53</v>
      </c>
      <c r="U130" s="6">
        <f>J$1*((-2*10^-6)*J130^3+0.00032*J130^2-0.0021*J130)+K$1*((-2*10^-6)*K130^3+0.00032*K130^2-0.0021*K130)+L$1*((-2*10^-6)*L130^3+0.00032*L130^2-0.0021*L130)+M$1*((-2*10^-6)*M130^3+0.00032*M130^2-0.0021*M130)+N$1*((-2*10^-6)*N130^3+0.00032*N130^2-0.0021*N130)</f>
        <v>0.14505960000000007</v>
      </c>
      <c r="V130">
        <f>O$1*((-2*10^-6)*N130^3+0.00032*N130^2-0.0021*N130)+P$1*((-2*10^-6)*O130^3+0.00032*O130^2-0.0021*O130)+Q$1*((-2*10^-6)*P130^3+0.00032*P130^2-0.0021*P130)+R$1*((-2*10^-6)*Q130^3+0.00032*Q130^2-0.0021*Q130)+S$1*((-2*10^-6)*R130^3+0.00032*R130^2-0.0021*R130)</f>
        <v>1.7722680000000002</v>
      </c>
      <c r="W130" s="6">
        <f>(H$1*H130+I$1*I130)/100</f>
        <v>2.15</v>
      </c>
      <c r="X130">
        <f>U130*J$2+V130*O$2+W130*H$2</f>
        <v>6.2747744000000001</v>
      </c>
      <c r="Y130" t="str">
        <f>IF(AND(I130&gt;50,H130+I130&gt;75),"SP",IF(2*H130+I130&gt;120,"RP","CRAP"))</f>
        <v>RP</v>
      </c>
    </row>
    <row r="131" spans="1:25" ht="13.5" customHeight="1" thickBot="1" x14ac:dyDescent="0.35">
      <c r="A131">
        <f>(W131*H$2+U131*J$2+V131*O$2)*100/(W$4*H$2+U$4*J$2+V$4*O$2)</f>
        <v>17.319458314757018</v>
      </c>
      <c r="B131" s="18">
        <v>15</v>
      </c>
      <c r="C131" s="12" t="s">
        <v>43</v>
      </c>
      <c r="D131" s="19" t="s">
        <v>7</v>
      </c>
      <c r="E131" s="19" t="s">
        <v>19</v>
      </c>
      <c r="F131" s="19" t="s">
        <v>19</v>
      </c>
      <c r="G131" s="19">
        <v>20</v>
      </c>
      <c r="H131" s="19">
        <v>98</v>
      </c>
      <c r="I131" s="19">
        <v>45</v>
      </c>
      <c r="J131" s="19">
        <v>17</v>
      </c>
      <c r="K131" s="19">
        <v>7</v>
      </c>
      <c r="L131" s="19">
        <v>3</v>
      </c>
      <c r="M131" s="19">
        <v>4</v>
      </c>
      <c r="N131" s="19">
        <v>29</v>
      </c>
      <c r="O131" s="19">
        <v>59</v>
      </c>
      <c r="P131" s="19">
        <v>0</v>
      </c>
      <c r="Q131" s="19">
        <v>0</v>
      </c>
      <c r="R131" s="19">
        <v>0</v>
      </c>
      <c r="S131" s="19">
        <v>0</v>
      </c>
      <c r="T131" s="19">
        <v>82</v>
      </c>
      <c r="U131" s="6">
        <f>J$1*((-2*10^-6)*J131^3+0.00032*J131^2-0.0021*J131)+K$1*((-2*10^-6)*K131^3+0.00032*K131^2-0.0021*K131)+L$1*((-2*10^-6)*L131^3+0.00032*L131^2-0.0021*L131)+M$1*((-2*10^-6)*M131^3+0.00032*M131^2-0.0021*M131)+N$1*((-2*10^-6)*N131^3+0.00032*N131^2-0.0021*N131)</f>
        <v>0.12019780000000002</v>
      </c>
      <c r="V131">
        <f>O$1*((-2*10^-6)*N131^3+0.00032*N131^2-0.0021*N131)+P$1*((-2*10^-6)*O131^3+0.00032*O131^2-0.0021*O131)+Q$1*((-2*10^-6)*P131^3+0.00032*P131^2-0.0021*P131)+R$1*((-2*10^-6)*Q131^3+0.00032*Q131^2-0.0021*Q131)+S$1*((-2*10^-6)*R131^3+0.00032*R131^2-0.0021*R131)</f>
        <v>1.4774080000000001</v>
      </c>
      <c r="W131" s="6">
        <f>(H$1*H131+I$1*I131)/100</f>
        <v>2.78</v>
      </c>
      <c r="X131">
        <f>U131*J$2+V131*O$2+W131*H$2</f>
        <v>6.2156072</v>
      </c>
      <c r="Y131" t="str">
        <f>IF(AND(I131&gt;50,H131+I131&gt;75),"SP",IF(2*H131+I131&gt;120,"RP","CRAP"))</f>
        <v>RP</v>
      </c>
    </row>
    <row r="132" spans="1:25" ht="13.5" customHeight="1" thickBot="1" x14ac:dyDescent="0.35">
      <c r="A132">
        <f>(W132*H$2+U132*J$2+V132*O$2)*100/(W$4*H$2+U$4*J$2+V$4*O$2)</f>
        <v>17.126651805617474</v>
      </c>
      <c r="B132" s="20">
        <v>10</v>
      </c>
      <c r="C132" s="13" t="s">
        <v>38</v>
      </c>
      <c r="D132" s="21" t="s">
        <v>10</v>
      </c>
      <c r="E132" s="21" t="s">
        <v>21</v>
      </c>
      <c r="F132" s="21" t="s">
        <v>20</v>
      </c>
      <c r="G132" s="21">
        <v>18</v>
      </c>
      <c r="H132" s="21">
        <v>81</v>
      </c>
      <c r="I132" s="21">
        <v>21</v>
      </c>
      <c r="J132" s="21">
        <v>3</v>
      </c>
      <c r="K132" s="21">
        <v>0</v>
      </c>
      <c r="L132" s="21">
        <v>0</v>
      </c>
      <c r="M132" s="21">
        <v>26</v>
      </c>
      <c r="N132" s="21">
        <v>36</v>
      </c>
      <c r="O132" s="21">
        <v>76</v>
      </c>
      <c r="P132" s="21">
        <v>0</v>
      </c>
      <c r="Q132" s="21">
        <v>0</v>
      </c>
      <c r="R132" s="21">
        <v>0</v>
      </c>
      <c r="S132" s="21">
        <v>0</v>
      </c>
      <c r="T132" s="21">
        <v>77</v>
      </c>
      <c r="U132" s="6">
        <f>J$1*((-2*10^-6)*J132^3+0.00032*J132^2-0.0021*J132)+K$1*((-2*10^-6)*K132^3+0.00032*K132^2-0.0021*K132)+L$1*((-2*10^-6)*L132^3+0.00032*L132^2-0.0021*L132)+M$1*((-2*10^-6)*M132^3+0.00032*M132^2-0.0021*M132)+N$1*((-2*10^-6)*N132^3+0.00032*N132^2-0.0021*N132)</f>
        <v>6.7527200000000009E-2</v>
      </c>
      <c r="V132">
        <f>O$1*((-2*10^-6)*N132^3+0.00032*N132^2-0.0021*N132)+P$1*((-2*10^-6)*O132^3+0.00032*O132^2-0.0021*O132)+Q$1*((-2*10^-6)*P132^3+0.00032*P132^2-0.0021*P132)+R$1*((-2*10^-6)*Q132^3+0.00032*Q132^2-0.0021*Q132)+S$1*((-2*10^-6)*R132^3+0.00032*R132^2-0.0021*R132)</f>
        <v>2.1131520000000004</v>
      </c>
      <c r="W132" s="6">
        <f>(H$1*H132+I$1*I132)/100</f>
        <v>1.65</v>
      </c>
      <c r="X132">
        <f>U132*J$2+V132*O$2+W132*H$2</f>
        <v>6.1464128000000002</v>
      </c>
      <c r="Y132" t="str">
        <f>IF(AND(I132&gt;50,H132+I132&gt;75),"SP",IF(2*H132+I132&gt;120,"RP","CRAP"))</f>
        <v>RP</v>
      </c>
    </row>
    <row r="133" spans="1:25" ht="13.5" customHeight="1" thickBot="1" x14ac:dyDescent="0.35">
      <c r="A133">
        <f>(W133*H$2+U133*J$2+V133*O$2)*100/(W$4*H$2+U$4*J$2+V$4*O$2)</f>
        <v>17.117378510922869</v>
      </c>
      <c r="B133" s="20">
        <v>198</v>
      </c>
      <c r="C133" s="13" t="s">
        <v>226</v>
      </c>
      <c r="D133" s="21" t="s">
        <v>4</v>
      </c>
      <c r="E133" s="21" t="s">
        <v>19</v>
      </c>
      <c r="F133" s="21" t="s">
        <v>19</v>
      </c>
      <c r="G133" s="21">
        <v>21</v>
      </c>
      <c r="H133" s="21">
        <v>83</v>
      </c>
      <c r="I133" s="21">
        <v>41</v>
      </c>
      <c r="J133" s="21">
        <v>22</v>
      </c>
      <c r="K133" s="21">
        <v>34</v>
      </c>
      <c r="L133" s="21">
        <v>22</v>
      </c>
      <c r="M133" s="21">
        <v>13</v>
      </c>
      <c r="N133" s="21">
        <v>30</v>
      </c>
      <c r="O133" s="21">
        <v>31</v>
      </c>
      <c r="P133" s="21">
        <v>0</v>
      </c>
      <c r="Q133" s="21">
        <v>0</v>
      </c>
      <c r="R133" s="21">
        <v>0</v>
      </c>
      <c r="S133" s="21">
        <v>0</v>
      </c>
      <c r="T133" s="21">
        <v>45</v>
      </c>
      <c r="U133" s="6">
        <f>J$1*((-2*10^-6)*J133^3+0.00032*J133^2-0.0021*J133)+K$1*((-2*10^-6)*K133^3+0.00032*K133^2-0.0021*K133)+L$1*((-2*10^-6)*L133^3+0.00032*L133^2-0.0021*L133)+M$1*((-2*10^-6)*M133^3+0.00032*M133^2-0.0021*M133)+N$1*((-2*10^-6)*N133^3+0.00032*N133^2-0.0021*N133)</f>
        <v>0.56443320000000008</v>
      </c>
      <c r="V133">
        <f>O$1*((-2*10^-6)*N133^3+0.00032*N133^2-0.0021*N133)+P$1*((-2*10^-6)*O133^3+0.00032*O133^2-0.0021*O133)+Q$1*((-2*10^-6)*P133^3+0.00032*P133^2-0.0021*P133)+R$1*((-2*10^-6)*Q133^3+0.00032*Q133^2-0.0021*Q133)+S$1*((-2*10^-6)*R133^3+0.00032*R133^2-0.0021*R133)</f>
        <v>0.70767600000000019</v>
      </c>
      <c r="W133" s="6">
        <f>(H$1*H133+I$1*I133)/100</f>
        <v>2.4700000000000002</v>
      </c>
      <c r="X133">
        <f>U133*J$2+V133*O$2+W133*H$2</f>
        <v>6.1430848000000005</v>
      </c>
      <c r="Y133" t="str">
        <f>IF(AND(I133&gt;50,H133+I133&gt;75),"SP",IF(2*H133+I133&gt;120,"RP","CRAP"))</f>
        <v>RP</v>
      </c>
    </row>
    <row r="134" spans="1:25" ht="13.5" customHeight="1" thickBot="1" x14ac:dyDescent="0.35">
      <c r="A134">
        <f>(W134*H$2+U134*J$2+V134*O$2)*100/(W$4*H$2+U$4*J$2+V$4*O$2)</f>
        <v>17.110838163174321</v>
      </c>
      <c r="B134" s="20">
        <v>60</v>
      </c>
      <c r="C134" s="13" t="s">
        <v>88</v>
      </c>
      <c r="D134" s="21" t="s">
        <v>6</v>
      </c>
      <c r="E134" s="21" t="s">
        <v>21</v>
      </c>
      <c r="F134" s="21" t="s">
        <v>19</v>
      </c>
      <c r="G134" s="21">
        <v>18</v>
      </c>
      <c r="H134" s="21">
        <v>86</v>
      </c>
      <c r="I134" s="21">
        <v>45</v>
      </c>
      <c r="J134" s="21">
        <v>7</v>
      </c>
      <c r="K134" s="21">
        <v>6</v>
      </c>
      <c r="L134" s="21">
        <v>0</v>
      </c>
      <c r="M134" s="21">
        <v>5</v>
      </c>
      <c r="N134" s="21">
        <v>29</v>
      </c>
      <c r="O134" s="21">
        <v>66</v>
      </c>
      <c r="P134" s="21">
        <v>0</v>
      </c>
      <c r="Q134" s="21">
        <v>0</v>
      </c>
      <c r="R134" s="21">
        <v>0</v>
      </c>
      <c r="S134" s="21">
        <v>0</v>
      </c>
      <c r="T134" s="21">
        <v>60</v>
      </c>
      <c r="U134" s="6">
        <f>J$1*((-2*10^-6)*J134^3+0.00032*J134^2-0.0021*J134)+K$1*((-2*10^-6)*K134^3+0.00032*K134^2-0.0021*K134)+L$1*((-2*10^-6)*L134^3+0.00032*L134^2-0.0021*L134)+M$1*((-2*10^-6)*M134^3+0.00032*M134^2-0.0021*M134)+N$1*((-2*10^-6)*N134^3+0.00032*N134^2-0.0021*N134)</f>
        <v>3.0414400000000015E-2</v>
      </c>
      <c r="V134">
        <f>O$1*((-2*10^-6)*N134^3+0.00032*N134^2-0.0021*N134)+P$1*((-2*10^-6)*O134^3+0.00032*O134^2-0.0021*O134)+Q$1*((-2*10^-6)*P134^3+0.00032*P134^2-0.0021*P134)+R$1*((-2*10^-6)*Q134^3+0.00032*Q134^2-0.0021*Q134)+S$1*((-2*10^-6)*R134^3+0.00032*R134^2-0.0021*R134)</f>
        <v>1.6795400000000003</v>
      </c>
      <c r="W134" s="6">
        <f>(H$1*H134+I$1*I134)/100</f>
        <v>2.66</v>
      </c>
      <c r="X134">
        <f>U134*J$2+V134*O$2+W134*H$2</f>
        <v>6.1407376000000014</v>
      </c>
      <c r="Y134" t="str">
        <f>IF(AND(I134&gt;50,H134+I134&gt;75),"SP",IF(2*H134+I134&gt;120,"RP","CRAP"))</f>
        <v>RP</v>
      </c>
    </row>
    <row r="135" spans="1:25" ht="13.5" customHeight="1" thickBot="1" x14ac:dyDescent="0.35">
      <c r="A135">
        <f>(W135*H$2+U135*J$2+V135*O$2)*100/(W$4*H$2+U$4*J$2+V$4*O$2)</f>
        <v>16.986375390102541</v>
      </c>
      <c r="B135" s="20">
        <v>4</v>
      </c>
      <c r="C135" s="13" t="s">
        <v>32</v>
      </c>
      <c r="D135" s="21" t="s">
        <v>8</v>
      </c>
      <c r="E135" s="21" t="s">
        <v>19</v>
      </c>
      <c r="F135" s="21" t="s">
        <v>19</v>
      </c>
      <c r="G135" s="21">
        <v>18</v>
      </c>
      <c r="H135" s="21">
        <v>90</v>
      </c>
      <c r="I135" s="21">
        <v>30</v>
      </c>
      <c r="J135" s="21">
        <v>17</v>
      </c>
      <c r="K135" s="21">
        <v>7</v>
      </c>
      <c r="L135" s="21">
        <v>0</v>
      </c>
      <c r="M135" s="21">
        <v>25</v>
      </c>
      <c r="N135" s="21">
        <v>41</v>
      </c>
      <c r="O135" s="21">
        <v>54</v>
      </c>
      <c r="P135" s="21">
        <v>0</v>
      </c>
      <c r="Q135" s="21">
        <v>0</v>
      </c>
      <c r="R135" s="21">
        <v>0</v>
      </c>
      <c r="S135" s="21">
        <v>0</v>
      </c>
      <c r="T135" s="21">
        <v>83</v>
      </c>
      <c r="U135" s="6">
        <f>J$1*((-2*10^-6)*J135^3+0.00032*J135^2-0.0021*J135)+K$1*((-2*10^-6)*K135^3+0.00032*K135^2-0.0021*K135)+L$1*((-2*10^-6)*L135^3+0.00032*L135^2-0.0021*L135)+M$1*((-2*10^-6)*M135^3+0.00032*M135^2-0.0021*M135)+N$1*((-2*10^-6)*N135^3+0.00032*N135^2-0.0021*N135)</f>
        <v>0.18024760000000004</v>
      </c>
      <c r="V135">
        <f>O$1*((-2*10^-6)*N135^3+0.00032*N135^2-0.0021*N135)+P$1*((-2*10^-6)*O135^3+0.00032*O135^2-0.0021*O135)+Q$1*((-2*10^-6)*P135^3+0.00032*P135^2-0.0021*P135)+R$1*((-2*10^-6)*Q135^3+0.00032*Q135^2-0.0021*Q135)+S$1*((-2*10^-6)*R135^3+0.00032*R135^2-0.0021*R135)</f>
        <v>1.6375400000000004</v>
      </c>
      <c r="W135" s="6">
        <f>(H$1*H135+I$1*I135)/100</f>
        <v>2.1</v>
      </c>
      <c r="X135">
        <f>U135*J$2+V135*O$2+W135*H$2</f>
        <v>6.0960704000000012</v>
      </c>
      <c r="Y135" t="str">
        <f>IF(AND(I135&gt;50,H135+I135&gt;75),"SP",IF(2*H135+I135&gt;120,"RP","CRAP"))</f>
        <v>RP</v>
      </c>
    </row>
    <row r="136" spans="1:25" ht="13.5" customHeight="1" thickBot="1" x14ac:dyDescent="0.35">
      <c r="A136">
        <f>(W136*H$2+U136*J$2+V136*O$2)*100/(W$4*H$2+U$4*J$2+V$4*O$2)</f>
        <v>16.935728934462773</v>
      </c>
      <c r="B136" s="18">
        <v>39</v>
      </c>
      <c r="C136" s="12" t="s">
        <v>67</v>
      </c>
      <c r="D136" s="19" t="s">
        <v>7</v>
      </c>
      <c r="E136" s="19" t="s">
        <v>19</v>
      </c>
      <c r="F136" s="19" t="s">
        <v>19</v>
      </c>
      <c r="G136" s="19">
        <v>18</v>
      </c>
      <c r="H136" s="19">
        <v>68</v>
      </c>
      <c r="I136" s="19">
        <v>24</v>
      </c>
      <c r="J136" s="19">
        <v>26</v>
      </c>
      <c r="K136" s="19">
        <v>11</v>
      </c>
      <c r="L136" s="19">
        <v>0</v>
      </c>
      <c r="M136" s="19">
        <v>4</v>
      </c>
      <c r="N136" s="19">
        <v>28</v>
      </c>
      <c r="O136" s="19">
        <v>65</v>
      </c>
      <c r="P136" s="19">
        <v>0</v>
      </c>
      <c r="Q136" s="19">
        <v>0</v>
      </c>
      <c r="R136" s="19">
        <v>0</v>
      </c>
      <c r="S136" s="19">
        <v>0</v>
      </c>
      <c r="T136" s="19">
        <v>57</v>
      </c>
      <c r="U136" s="6">
        <f>J$1*((-2*10^-6)*J136^3+0.00032*J136^2-0.0021*J136)+K$1*((-2*10^-6)*K136^3+0.00032*K136^2-0.0021*K136)+L$1*((-2*10^-6)*L136^3+0.00032*L136^2-0.0021*L136)+M$1*((-2*10^-6)*M136^3+0.00032*M136^2-0.0021*M136)+N$1*((-2*10^-6)*N136^3+0.00032*N136^2-0.0021*N136)</f>
        <v>0.29504760000000008</v>
      </c>
      <c r="V136">
        <f>O$1*((-2*10^-6)*N136^3+0.00032*N136^2-0.0021*N136)+P$1*((-2*10^-6)*O136^3+0.00032*O136^2-0.0021*O136)+Q$1*((-2*10^-6)*P136^3+0.00032*P136^2-0.0021*P136)+R$1*((-2*10^-6)*Q136^3+0.00032*Q136^2-0.0021*Q136)+S$1*((-2*10^-6)*R136^3+0.00032*R136^2-0.0021*R136)</f>
        <v>1.6288520000000004</v>
      </c>
      <c r="W136" s="6">
        <f>(H$1*H136+I$1*I136)/100</f>
        <v>1.64</v>
      </c>
      <c r="X136">
        <f>U136*J$2+V136*O$2+W136*H$2</f>
        <v>6.0778944000000008</v>
      </c>
      <c r="Y136" t="str">
        <f>IF(AND(I136&gt;50,H136+I136&gt;75),"SP",IF(2*H136+I136&gt;120,"RP","CRAP"))</f>
        <v>RP</v>
      </c>
    </row>
    <row r="137" spans="1:25" ht="13.5" customHeight="1" thickBot="1" x14ac:dyDescent="0.35">
      <c r="A137">
        <f>(W137*H$2+U137*J$2+V137*O$2)*100/(W$4*H$2+U$4*J$2+V$4*O$2)</f>
        <v>16.792186803388322</v>
      </c>
      <c r="B137" s="20">
        <v>28</v>
      </c>
      <c r="C137" s="13" t="s">
        <v>56</v>
      </c>
      <c r="D137" s="21" t="s">
        <v>8</v>
      </c>
      <c r="E137" s="21" t="s">
        <v>21</v>
      </c>
      <c r="F137" s="21" t="s">
        <v>19</v>
      </c>
      <c r="G137" s="21">
        <v>18</v>
      </c>
      <c r="H137" s="21">
        <v>83</v>
      </c>
      <c r="I137" s="21">
        <v>27</v>
      </c>
      <c r="J137" s="21">
        <v>0</v>
      </c>
      <c r="K137" s="21">
        <v>12</v>
      </c>
      <c r="L137" s="21">
        <v>17</v>
      </c>
      <c r="M137" s="21">
        <v>26</v>
      </c>
      <c r="N137" s="21">
        <v>34</v>
      </c>
      <c r="O137" s="21">
        <v>64</v>
      </c>
      <c r="P137" s="21">
        <v>0</v>
      </c>
      <c r="Q137" s="21">
        <v>0</v>
      </c>
      <c r="R137" s="21">
        <v>0</v>
      </c>
      <c r="S137" s="21">
        <v>0</v>
      </c>
      <c r="T137" s="21">
        <v>68</v>
      </c>
      <c r="U137" s="6">
        <f>J$1*((-2*10^-6)*J137^3+0.00032*J137^2-0.0021*J137)+K$1*((-2*10^-6)*K137^3+0.00032*K137^2-0.0021*K137)+L$1*((-2*10^-6)*L137^3+0.00032*L137^2-0.0021*L137)+M$1*((-2*10^-6)*M137^3+0.00032*M137^2-0.0021*M137)+N$1*((-2*10^-6)*N137^3+0.00032*N137^2-0.0021*N137)</f>
        <v>0.15715100000000004</v>
      </c>
      <c r="V137">
        <f>O$1*((-2*10^-6)*N137^3+0.00032*N137^2-0.0021*N137)+P$1*((-2*10^-6)*O137^3+0.00032*O137^2-0.0021*O137)+Q$1*((-2*10^-6)*P137^3+0.00032*P137^2-0.0021*P137)+R$1*((-2*10^-6)*Q137^3+0.00032*Q137^2-0.0021*Q137)+S$1*((-2*10^-6)*R137^3+0.00032*R137^2-0.0021*R137)</f>
        <v>1.7438880000000003</v>
      </c>
      <c r="W137" s="6">
        <f>(H$1*H137+I$1*I137)/100</f>
        <v>1.91</v>
      </c>
      <c r="X137">
        <f>U137*J$2+V137*O$2+W137*H$2</f>
        <v>6.0263800000000014</v>
      </c>
      <c r="Y137" t="str">
        <f>IF(AND(I137&gt;50,H137+I137&gt;75),"SP",IF(2*H137+I137&gt;120,"RP","CRAP"))</f>
        <v>RP</v>
      </c>
    </row>
    <row r="138" spans="1:25" ht="13.5" customHeight="1" thickBot="1" x14ac:dyDescent="0.35">
      <c r="A138">
        <f>(W138*H$2+U138*J$2+V138*O$2)*100/(W$4*H$2+U$4*J$2+V$4*O$2)</f>
        <v>16.636424431564866</v>
      </c>
      <c r="B138" s="20">
        <v>94</v>
      </c>
      <c r="C138" s="13" t="s">
        <v>122</v>
      </c>
      <c r="D138" s="21" t="s">
        <v>6</v>
      </c>
      <c r="E138" s="21" t="s">
        <v>20</v>
      </c>
      <c r="F138" s="21" t="s">
        <v>20</v>
      </c>
      <c r="G138" s="21">
        <v>18</v>
      </c>
      <c r="H138" s="21">
        <v>94</v>
      </c>
      <c r="I138" s="21">
        <v>28</v>
      </c>
      <c r="J138" s="21">
        <v>22</v>
      </c>
      <c r="K138" s="21">
        <v>5</v>
      </c>
      <c r="L138" s="21">
        <v>0</v>
      </c>
      <c r="M138" s="21">
        <v>0</v>
      </c>
      <c r="N138" s="21">
        <v>20</v>
      </c>
      <c r="O138" s="21">
        <v>69</v>
      </c>
      <c r="P138" s="21">
        <v>0</v>
      </c>
      <c r="Q138" s="21">
        <v>0</v>
      </c>
      <c r="R138" s="21">
        <v>0</v>
      </c>
      <c r="S138" s="21">
        <v>0</v>
      </c>
      <c r="T138" s="21">
        <v>52</v>
      </c>
      <c r="U138" s="6">
        <f>J$1*((-2*10^-6)*J138^3+0.00032*J138^2-0.0021*J138)+K$1*((-2*10^-6)*K138^3+0.00032*K138^2-0.0021*K138)+L$1*((-2*10^-6)*L138^3+0.00032*L138^2-0.0021*L138)+M$1*((-2*10^-6)*M138^3+0.00032*M138^2-0.0021*M138)+N$1*((-2*10^-6)*N138^3+0.00032*N138^2-0.0021*N138)</f>
        <v>0.18601800000000004</v>
      </c>
      <c r="V138">
        <f>O$1*((-2*10^-6)*N138^3+0.00032*N138^2-0.0021*N138)+P$1*((-2*10^-6)*O138^3+0.00032*O138^2-0.0021*O138)+Q$1*((-2*10^-6)*P138^3+0.00032*P138^2-0.0021*P138)+R$1*((-2*10^-6)*Q138^3+0.00032*Q138^2-0.0021*Q138)+S$1*((-2*10^-6)*R138^3+0.00032*R138^2-0.0021*R138)</f>
        <v>1.5832040000000003</v>
      </c>
      <c r="W138" s="6">
        <f>(H$1*H138+I$1*I138)/100</f>
        <v>2.06</v>
      </c>
      <c r="X138">
        <f>U138*J$2+V138*O$2+W138*H$2</f>
        <v>5.9704800000000002</v>
      </c>
      <c r="Y138" t="str">
        <f>IF(AND(I138&gt;50,H138+I138&gt;75),"SP",IF(2*H138+I138&gt;120,"RP","CRAP"))</f>
        <v>RP</v>
      </c>
    </row>
    <row r="139" spans="1:25" ht="13.5" customHeight="1" thickBot="1" x14ac:dyDescent="0.35">
      <c r="A139">
        <f>(W139*H$2+U139*J$2+V139*O$2)*100/(W$4*H$2+U$4*J$2+V$4*O$2)</f>
        <v>16.580352206865804</v>
      </c>
      <c r="B139" s="18">
        <v>103</v>
      </c>
      <c r="C139" s="12" t="s">
        <v>131</v>
      </c>
      <c r="D139" s="19" t="s">
        <v>9</v>
      </c>
      <c r="E139" s="19" t="s">
        <v>19</v>
      </c>
      <c r="F139" s="19" t="s">
        <v>19</v>
      </c>
      <c r="G139" s="19">
        <v>18</v>
      </c>
      <c r="H139" s="19">
        <v>82</v>
      </c>
      <c r="I139" s="19">
        <v>31</v>
      </c>
      <c r="J139" s="19">
        <v>15</v>
      </c>
      <c r="K139" s="19">
        <v>19</v>
      </c>
      <c r="L139" s="19">
        <v>20</v>
      </c>
      <c r="M139" s="19">
        <v>0</v>
      </c>
      <c r="N139" s="19">
        <v>8</v>
      </c>
      <c r="O139" s="19">
        <v>70</v>
      </c>
      <c r="P139" s="19">
        <v>0</v>
      </c>
      <c r="Q139" s="19">
        <v>0</v>
      </c>
      <c r="R139" s="19">
        <v>0</v>
      </c>
      <c r="S139" s="19">
        <v>0</v>
      </c>
      <c r="T139" s="19">
        <v>50</v>
      </c>
      <c r="U139" s="6">
        <f>J$1*((-2*10^-6)*J139^3+0.00032*J139^2-0.0021*J139)+K$1*((-2*10^-6)*K139^3+0.00032*K139^2-0.0021*K139)+L$1*((-2*10^-6)*L139^3+0.00032*L139^2-0.0021*L139)+M$1*((-2*10^-6)*M139^3+0.00032*M139^2-0.0021*M139)+N$1*((-2*10^-6)*N139^3+0.00032*N139^2-0.0021*N139)</f>
        <v>0.23493320000000004</v>
      </c>
      <c r="V139">
        <f>O$1*((-2*10^-6)*N139^3+0.00032*N139^2-0.0021*N139)+P$1*((-2*10^-6)*O139^3+0.00032*O139^2-0.0021*O139)+Q$1*((-2*10^-6)*P139^3+0.00032*P139^2-0.0021*P139)+R$1*((-2*10^-6)*Q139^3+0.00032*Q139^2-0.0021*Q139)+S$1*((-2*10^-6)*R139^3+0.00032*R139^2-0.0021*R139)</f>
        <v>1.4753120000000002</v>
      </c>
      <c r="W139" s="6">
        <f>(H$1*H139+I$1*I139)/100</f>
        <v>2.06</v>
      </c>
      <c r="X139">
        <f>U139*J$2+V139*O$2+W139*H$2</f>
        <v>5.9503568000000007</v>
      </c>
      <c r="Y139" t="str">
        <f>IF(AND(I139&gt;50,H139+I139&gt;75),"SP",IF(2*H139+I139&gt;120,"RP","CRAP"))</f>
        <v>RP</v>
      </c>
    </row>
    <row r="140" spans="1:25" ht="13.5" customHeight="1" thickBot="1" x14ac:dyDescent="0.35">
      <c r="A140">
        <f>(W140*H$2+U140*J$2+V140*O$2)*100/(W$4*H$2+U$4*J$2+V$4*O$2)</f>
        <v>16.564266607222471</v>
      </c>
      <c r="B140" s="18">
        <v>201</v>
      </c>
      <c r="C140" s="12" t="s">
        <v>229</v>
      </c>
      <c r="D140" s="19" t="s">
        <v>4</v>
      </c>
      <c r="E140" s="19" t="s">
        <v>20</v>
      </c>
      <c r="F140" s="19" t="s">
        <v>20</v>
      </c>
      <c r="G140" s="19">
        <v>18</v>
      </c>
      <c r="H140" s="19">
        <v>79</v>
      </c>
      <c r="I140" s="19">
        <v>33</v>
      </c>
      <c r="J140" s="19">
        <v>12</v>
      </c>
      <c r="K140" s="19">
        <v>22</v>
      </c>
      <c r="L140" s="19">
        <v>16</v>
      </c>
      <c r="M140" s="19">
        <v>23</v>
      </c>
      <c r="N140" s="19">
        <v>22</v>
      </c>
      <c r="O140" s="19">
        <v>64</v>
      </c>
      <c r="P140" s="19">
        <v>0</v>
      </c>
      <c r="Q140" s="19">
        <v>0</v>
      </c>
      <c r="R140" s="19">
        <v>0</v>
      </c>
      <c r="S140" s="19">
        <v>0</v>
      </c>
      <c r="T140" s="19">
        <v>42</v>
      </c>
      <c r="U140" s="6">
        <f>J$1*((-2*10^-6)*J140^3+0.00032*J140^2-0.0021*J140)+K$1*((-2*10^-6)*K140^3+0.00032*K140^2-0.0021*K140)+L$1*((-2*10^-6)*L140^3+0.00032*L140^2-0.0021*L140)+M$1*((-2*10^-6)*M140^3+0.00032*M140^2-0.0021*M140)+N$1*((-2*10^-6)*N140^3+0.00032*N140^2-0.0021*N140)</f>
        <v>0.21923000000000004</v>
      </c>
      <c r="V140">
        <f>O$1*((-2*10^-6)*N140^3+0.00032*N140^2-0.0021*N140)+P$1*((-2*10^-6)*O140^3+0.00032*O140^2-0.0021*O140)+Q$1*((-2*10^-6)*P140^3+0.00032*P140^2-0.0021*P140)+R$1*((-2*10^-6)*Q140^3+0.00032*Q140^2-0.0021*Q140)+S$1*((-2*10^-6)*R140^3+0.00032*R140^2-0.0021*R140)</f>
        <v>1.4788320000000004</v>
      </c>
      <c r="W140" s="6">
        <f>(H$1*H140+I$1*I140)/100</f>
        <v>2.11</v>
      </c>
      <c r="X140">
        <f>U140*J$2+V140*O$2+W140*H$2</f>
        <v>5.9445840000000008</v>
      </c>
      <c r="Y140" t="str">
        <f>IF(AND(I140&gt;50,H140+I140&gt;75),"SP",IF(2*H140+I140&gt;120,"RP","CRAP"))</f>
        <v>RP</v>
      </c>
    </row>
    <row r="141" spans="1:25" ht="13.5" customHeight="1" thickBot="1" x14ac:dyDescent="0.35">
      <c r="A141">
        <f>(W141*H$2+U141*J$2+V141*O$2)*100/(W$4*H$2+U$4*J$2+V$4*O$2)</f>
        <v>16.437249219794918</v>
      </c>
      <c r="B141" s="18">
        <v>57</v>
      </c>
      <c r="C141" s="12" t="s">
        <v>85</v>
      </c>
      <c r="D141" s="19" t="s">
        <v>6</v>
      </c>
      <c r="E141" s="19" t="s">
        <v>19</v>
      </c>
      <c r="F141" s="19" t="s">
        <v>19</v>
      </c>
      <c r="G141" s="19">
        <v>18</v>
      </c>
      <c r="H141" s="19">
        <v>85</v>
      </c>
      <c r="I141" s="19">
        <v>29</v>
      </c>
      <c r="J141" s="19">
        <v>13</v>
      </c>
      <c r="K141" s="19">
        <v>18</v>
      </c>
      <c r="L141" s="19">
        <v>26</v>
      </c>
      <c r="M141" s="19">
        <v>13</v>
      </c>
      <c r="N141" s="19">
        <v>32</v>
      </c>
      <c r="O141" s="19">
        <v>50</v>
      </c>
      <c r="P141" s="19">
        <v>0</v>
      </c>
      <c r="Q141" s="19">
        <v>0</v>
      </c>
      <c r="R141" s="19">
        <v>0</v>
      </c>
      <c r="S141" s="19">
        <v>0</v>
      </c>
      <c r="T141" s="19">
        <v>61</v>
      </c>
      <c r="U141" s="6">
        <f>J$1*((-2*10^-6)*J141^3+0.00032*J141^2-0.0021*J141)+K$1*((-2*10^-6)*K141^3+0.00032*K141^2-0.0021*K141)+L$1*((-2*10^-6)*L141^3+0.00032*L141^2-0.0021*L141)+M$1*((-2*10^-6)*M141^3+0.00032*M141^2-0.0021*M141)+N$1*((-2*10^-6)*N141^3+0.00032*N141^2-0.0021*N141)</f>
        <v>0.3323060000000001</v>
      </c>
      <c r="V141">
        <f>O$1*((-2*10^-6)*N141^3+0.00032*N141^2-0.0021*N141)+P$1*((-2*10^-6)*O141^3+0.00032*O141^2-0.0021*O141)+Q$1*((-2*10^-6)*P141^3+0.00032*P141^2-0.0021*P141)+R$1*((-2*10^-6)*Q141^3+0.00032*Q141^2-0.0021*Q141)+S$1*((-2*10^-6)*R141^3+0.00032*R141^2-0.0021*R141)</f>
        <v>1.2798880000000001</v>
      </c>
      <c r="W141" s="6">
        <f>(H$1*H141+I$1*I141)/100</f>
        <v>2.0099999999999998</v>
      </c>
      <c r="X141">
        <f>U141*J$2+V141*O$2+W141*H$2</f>
        <v>5.8990000000000009</v>
      </c>
      <c r="Y141" t="str">
        <f>IF(AND(I141&gt;50,H141+I141&gt;75),"SP",IF(2*H141+I141&gt;120,"RP","CRAP"))</f>
        <v>RP</v>
      </c>
    </row>
    <row r="142" spans="1:25" ht="13.5" customHeight="1" thickBot="1" x14ac:dyDescent="0.35">
      <c r="A142">
        <f>(W142*H$2+U142*J$2+V142*O$2)*100/(W$4*H$2+U$4*J$2+V$4*O$2)</f>
        <v>16.437004012483278</v>
      </c>
      <c r="B142" s="20">
        <v>18</v>
      </c>
      <c r="C142" s="13" t="s">
        <v>46</v>
      </c>
      <c r="D142" s="21" t="s">
        <v>3</v>
      </c>
      <c r="E142" s="21" t="s">
        <v>19</v>
      </c>
      <c r="F142" s="21" t="s">
        <v>19</v>
      </c>
      <c r="G142" s="21">
        <v>18</v>
      </c>
      <c r="H142" s="21">
        <v>100</v>
      </c>
      <c r="I142" s="21">
        <v>45</v>
      </c>
      <c r="J142" s="21">
        <v>7</v>
      </c>
      <c r="K142" s="21">
        <v>7</v>
      </c>
      <c r="L142" s="21">
        <v>0</v>
      </c>
      <c r="M142" s="21">
        <v>8</v>
      </c>
      <c r="N142" s="21">
        <v>27</v>
      </c>
      <c r="O142" s="21">
        <v>61</v>
      </c>
      <c r="P142" s="21">
        <v>0</v>
      </c>
      <c r="Q142" s="21">
        <v>0</v>
      </c>
      <c r="R142" s="21">
        <v>0</v>
      </c>
      <c r="S142" s="21">
        <v>0</v>
      </c>
      <c r="T142" s="21">
        <v>72</v>
      </c>
      <c r="U142" s="6">
        <f>J$1*((-2*10^-6)*J142^3+0.00032*J142^2-0.0021*J142)+K$1*((-2*10^-6)*K142^3+0.00032*K142^2-0.0021*K142)+L$1*((-2*10^-6)*L142^3+0.00032*L142^2-0.0021*L142)+M$1*((-2*10^-6)*M142^3+0.00032*M142^2-0.0021*M142)+N$1*((-2*10^-6)*N142^3+0.00032*N142^2-0.0021*N142)</f>
        <v>2.8856000000000021E-2</v>
      </c>
      <c r="V142">
        <f>O$1*((-2*10^-6)*N142^3+0.00032*N142^2-0.0021*N142)+P$1*((-2*10^-6)*O142^3+0.00032*O142^2-0.0021*O142)+Q$1*((-2*10^-6)*P142^3+0.00032*P142^2-0.0021*P142)+R$1*((-2*10^-6)*Q142^3+0.00032*Q142^2-0.0021*Q142)+S$1*((-2*10^-6)*R142^3+0.00032*R142^2-0.0021*R142)</f>
        <v>1.4917440000000002</v>
      </c>
      <c r="W142" s="6">
        <f>(H$1*H142+I$1*I142)/100</f>
        <v>2.8</v>
      </c>
      <c r="X142">
        <f>U142*J$2+V142*O$2+W142*H$2</f>
        <v>5.8989120000000002</v>
      </c>
      <c r="Y142" t="str">
        <f>IF(AND(I142&gt;50,H142+I142&gt;75),"SP",IF(2*H142+I142&gt;120,"RP","CRAP"))</f>
        <v>RP</v>
      </c>
    </row>
    <row r="143" spans="1:25" ht="13.5" customHeight="1" thickBot="1" x14ac:dyDescent="0.35">
      <c r="A143">
        <f>(W143*H$2+U143*J$2+V143*O$2)*100/(W$4*H$2+U$4*J$2+V$4*O$2)</f>
        <v>16.168622380740079</v>
      </c>
      <c r="B143" s="18">
        <v>85</v>
      </c>
      <c r="C143" s="12" t="s">
        <v>113</v>
      </c>
      <c r="D143" s="19" t="s">
        <v>8</v>
      </c>
      <c r="E143" s="19" t="s">
        <v>19</v>
      </c>
      <c r="F143" s="19" t="s">
        <v>19</v>
      </c>
      <c r="G143" s="19">
        <v>18</v>
      </c>
      <c r="H143" s="19">
        <v>98</v>
      </c>
      <c r="I143" s="19">
        <v>28</v>
      </c>
      <c r="J143" s="19">
        <v>27</v>
      </c>
      <c r="K143" s="19">
        <v>0</v>
      </c>
      <c r="L143" s="19">
        <v>0</v>
      </c>
      <c r="M143" s="19">
        <v>21</v>
      </c>
      <c r="N143" s="19">
        <v>13</v>
      </c>
      <c r="O143" s="19">
        <v>61</v>
      </c>
      <c r="P143" s="19">
        <v>0</v>
      </c>
      <c r="Q143" s="19">
        <v>0</v>
      </c>
      <c r="R143" s="19">
        <v>0</v>
      </c>
      <c r="S143" s="19">
        <v>0</v>
      </c>
      <c r="T143" s="19">
        <v>54</v>
      </c>
      <c r="U143" s="6">
        <f>J$1*((-2*10^-6)*J143^3+0.00032*J143^2-0.0021*J143)+K$1*((-2*10^-6)*K143^3+0.00032*K143^2-0.0021*K143)+L$1*((-2*10^-6)*L143^3+0.00032*L143^2-0.0021*L143)+M$1*((-2*10^-6)*M143^3+0.00032*M143^2-0.0021*M143)+N$1*((-2*10^-6)*N143^3+0.00032*N143^2-0.0021*N143)</f>
        <v>0.29460480000000006</v>
      </c>
      <c r="V143">
        <f>O$1*((-2*10^-6)*N143^3+0.00032*N143^2-0.0021*N143)+P$1*((-2*10^-6)*O143^3+0.00032*O143^2-0.0021*O143)+Q$1*((-2*10^-6)*P143^3+0.00032*P143^2-0.0021*P143)+R$1*((-2*10^-6)*Q143^3+0.00032*Q143^2-0.0021*Q143)+S$1*((-2*10^-6)*R143^3+0.00032*R143^2-0.0021*R143)</f>
        <v>1.2620880000000001</v>
      </c>
      <c r="W143" s="6">
        <f>(H$1*H143+I$1*I143)/100</f>
        <v>2.1</v>
      </c>
      <c r="X143">
        <f>U143*J$2+V143*O$2+W143*H$2</f>
        <v>5.8025952000000007</v>
      </c>
      <c r="Y143" t="str">
        <f>IF(AND(I143&gt;50,H143+I143&gt;75),"SP",IF(2*H143+I143&gt;120,"RP","CRAP"))</f>
        <v>RP</v>
      </c>
    </row>
    <row r="144" spans="1:25" ht="13.5" customHeight="1" thickBot="1" x14ac:dyDescent="0.35">
      <c r="A144">
        <f>(W144*H$2+U144*J$2+V144*O$2)*100/(W$4*H$2+U$4*J$2+V$4*O$2)</f>
        <v>16.028807400802499</v>
      </c>
      <c r="B144" s="20">
        <v>66</v>
      </c>
      <c r="C144" s="13" t="s">
        <v>94</v>
      </c>
      <c r="D144" s="21" t="s">
        <v>7</v>
      </c>
      <c r="E144" s="21" t="s">
        <v>19</v>
      </c>
      <c r="F144" s="21" t="s">
        <v>19</v>
      </c>
      <c r="G144" s="21">
        <v>18</v>
      </c>
      <c r="H144" s="21">
        <v>75</v>
      </c>
      <c r="I144" s="21">
        <v>21</v>
      </c>
      <c r="J144" s="21">
        <v>18</v>
      </c>
      <c r="K144" s="21">
        <v>3</v>
      </c>
      <c r="L144" s="21">
        <v>15</v>
      </c>
      <c r="M144" s="21">
        <v>4</v>
      </c>
      <c r="N144" s="21">
        <v>43</v>
      </c>
      <c r="O144" s="21">
        <v>52</v>
      </c>
      <c r="P144" s="21">
        <v>0</v>
      </c>
      <c r="Q144" s="21">
        <v>0</v>
      </c>
      <c r="R144" s="21">
        <v>0</v>
      </c>
      <c r="S144" s="21">
        <v>0</v>
      </c>
      <c r="T144" s="21">
        <v>58</v>
      </c>
      <c r="U144" s="6">
        <f>J$1*((-2*10^-6)*J144^3+0.00032*J144^2-0.0021*J144)+K$1*((-2*10^-6)*K144^3+0.00032*K144^2-0.0021*K144)+L$1*((-2*10^-6)*L144^3+0.00032*L144^2-0.0021*L144)+M$1*((-2*10^-6)*M144^3+0.00032*M144^2-0.0021*M144)+N$1*((-2*10^-6)*N144^3+0.00032*N144^2-0.0021*N144)</f>
        <v>0.22337460000000003</v>
      </c>
      <c r="V144">
        <f>O$1*((-2*10^-6)*N144^3+0.00032*N144^2-0.0021*N144)+P$1*((-2*10^-6)*O144^3+0.00032*O144^2-0.0021*O144)+Q$1*((-2*10^-6)*P144^3+0.00032*P144^2-0.0021*P144)+R$1*((-2*10^-6)*Q144^3+0.00032*Q144^2-0.0021*Q144)+S$1*((-2*10^-6)*R144^3+0.00032*R144^2-0.0021*R144)</f>
        <v>1.6344600000000007</v>
      </c>
      <c r="W144" s="6">
        <f>(H$1*H144+I$1*I144)/100</f>
        <v>1.59</v>
      </c>
      <c r="X144">
        <f>U144*J$2+V144*O$2+W144*H$2</f>
        <v>5.7524184000000016</v>
      </c>
      <c r="Y144" t="str">
        <f>IF(AND(I144&gt;50,H144+I144&gt;75),"SP",IF(2*H144+I144&gt;120,"RP","CRAP"))</f>
        <v>RP</v>
      </c>
    </row>
    <row r="145" spans="1:25" ht="13.5" customHeight="1" thickBot="1" x14ac:dyDescent="0.35">
      <c r="A145">
        <f>(W145*H$2+U145*J$2+V145*O$2)*100/(W$4*H$2+U$4*J$2+V$4*O$2)</f>
        <v>16.020443602318323</v>
      </c>
      <c r="B145" s="20">
        <v>80</v>
      </c>
      <c r="C145" s="13" t="s">
        <v>108</v>
      </c>
      <c r="D145" s="21" t="s">
        <v>7</v>
      </c>
      <c r="E145" s="21" t="s">
        <v>21</v>
      </c>
      <c r="F145" s="21" t="s">
        <v>19</v>
      </c>
      <c r="G145" s="21">
        <v>18</v>
      </c>
      <c r="H145" s="21">
        <v>79</v>
      </c>
      <c r="I145" s="21">
        <v>7</v>
      </c>
      <c r="J145" s="21">
        <v>6</v>
      </c>
      <c r="K145" s="21">
        <v>27</v>
      </c>
      <c r="L145" s="21">
        <v>35</v>
      </c>
      <c r="M145" s="21">
        <v>16</v>
      </c>
      <c r="N145" s="21">
        <v>6</v>
      </c>
      <c r="O145" s="21">
        <v>66</v>
      </c>
      <c r="P145" s="21">
        <v>0</v>
      </c>
      <c r="Q145" s="21">
        <v>0</v>
      </c>
      <c r="R145" s="21">
        <v>0</v>
      </c>
      <c r="S145" s="21">
        <v>0</v>
      </c>
      <c r="T145" s="21">
        <v>50</v>
      </c>
      <c r="U145" s="6">
        <f>J$1*((-2*10^-6)*J145^3+0.00032*J145^2-0.0021*J145)+K$1*((-2*10^-6)*K145^3+0.00032*K145^2-0.0021*K145)+L$1*((-2*10^-6)*L145^3+0.00032*L145^2-0.0021*L145)+M$1*((-2*10^-6)*M145^3+0.00032*M145^2-0.0021*M145)+N$1*((-2*10^-6)*N145^3+0.00032*N145^2-0.0021*N145)</f>
        <v>0.49103820000000009</v>
      </c>
      <c r="V145">
        <f>O$1*((-2*10^-6)*N145^3+0.00032*N145^2-0.0021*N145)+P$1*((-2*10^-6)*O145^3+0.00032*O145^2-0.0021*O145)+Q$1*((-2*10^-6)*P145^3+0.00032*P145^2-0.0021*P145)+R$1*((-2*10^-6)*Q145^3+0.00032*Q145^2-0.0021*Q145)+S$1*((-2*10^-6)*R145^3+0.00032*R145^2-0.0021*R145)</f>
        <v>1.3576320000000002</v>
      </c>
      <c r="W145" s="6">
        <f>(H$1*H145+I$1*I145)/100</f>
        <v>1.07</v>
      </c>
      <c r="X145">
        <f>U145*J$2+V145*O$2+W145*H$2</f>
        <v>5.7494168000000005</v>
      </c>
      <c r="Y145" t="str">
        <f>IF(AND(I145&gt;50,H145+I145&gt;75),"SP",IF(2*H145+I145&gt;120,"RP","CRAP"))</f>
        <v>RP</v>
      </c>
    </row>
    <row r="146" spans="1:25" ht="13.5" customHeight="1" thickBot="1" x14ac:dyDescent="0.35">
      <c r="A146">
        <f>(W146*H$2+U146*J$2+V146*O$2)*100/(W$4*H$2+U$4*J$2+V$4*O$2)</f>
        <v>15.937139991083368</v>
      </c>
      <c r="B146" s="18">
        <v>161</v>
      </c>
      <c r="C146" s="12" t="s">
        <v>189</v>
      </c>
      <c r="D146" s="19" t="s">
        <v>8</v>
      </c>
      <c r="E146" s="19" t="s">
        <v>21</v>
      </c>
      <c r="F146" s="19" t="s">
        <v>19</v>
      </c>
      <c r="G146" s="19">
        <v>21</v>
      </c>
      <c r="H146" s="19">
        <v>70</v>
      </c>
      <c r="I146" s="19">
        <v>39</v>
      </c>
      <c r="J146" s="19">
        <v>22</v>
      </c>
      <c r="K146" s="19">
        <v>33</v>
      </c>
      <c r="L146" s="19">
        <v>21</v>
      </c>
      <c r="M146" s="19">
        <v>0</v>
      </c>
      <c r="N146" s="19">
        <v>18</v>
      </c>
      <c r="O146" s="19">
        <v>40</v>
      </c>
      <c r="P146" s="19">
        <v>0</v>
      </c>
      <c r="Q146" s="19">
        <v>0</v>
      </c>
      <c r="R146" s="19">
        <v>0</v>
      </c>
      <c r="S146" s="19">
        <v>0</v>
      </c>
      <c r="T146" s="19">
        <v>53</v>
      </c>
      <c r="U146" s="6">
        <f>J$1*((-2*10^-6)*J146^3+0.00032*J146^2-0.0021*J146)+K$1*((-2*10^-6)*K146^3+0.00032*K146^2-0.0021*K146)+L$1*((-2*10^-6)*L146^3+0.00032*L146^2-0.0021*L146)+M$1*((-2*10^-6)*M146^3+0.00032*M146^2-0.0021*M146)+N$1*((-2*10^-6)*N146^3+0.00032*N146^2-0.0021*N146)</f>
        <v>0.51066420000000012</v>
      </c>
      <c r="V146">
        <f>O$1*((-2*10^-6)*N146^3+0.00032*N146^2-0.0021*N146)+P$1*((-2*10^-6)*O146^3+0.00032*O146^2-0.0021*O146)+Q$1*((-2*10^-6)*P146^3+0.00032*P146^2-0.0021*P146)+R$1*((-2*10^-6)*Q146^3+0.00032*Q146^2-0.0021*Q146)+S$1*((-2*10^-6)*R146^3+0.00032*R146^2-0.0021*R146)</f>
        <v>0.70843200000000017</v>
      </c>
      <c r="W146" s="6">
        <f>(H$1*H146+I$1*I146)/100</f>
        <v>2.2599999999999998</v>
      </c>
      <c r="X146">
        <f>U146*J$2+V146*O$2+W146*H$2</f>
        <v>5.7195208000000006</v>
      </c>
      <c r="Y146" t="str">
        <f>IF(AND(I146&gt;50,H146+I146&gt;75),"SP",IF(2*H146+I146&gt;120,"RP","CRAP"))</f>
        <v>RP</v>
      </c>
    </row>
    <row r="147" spans="1:25" ht="13.5" customHeight="1" thickBot="1" x14ac:dyDescent="0.35">
      <c r="A147">
        <f>(W147*H$2+U147*J$2+V147*O$2)*100/(W$4*H$2+U$4*J$2+V$4*O$2)</f>
        <v>15.891337494427107</v>
      </c>
      <c r="B147" s="18">
        <v>31</v>
      </c>
      <c r="C147" s="12" t="s">
        <v>59</v>
      </c>
      <c r="D147" s="19" t="s">
        <v>3</v>
      </c>
      <c r="E147" s="19" t="s">
        <v>19</v>
      </c>
      <c r="F147" s="19" t="s">
        <v>19</v>
      </c>
      <c r="G147" s="19">
        <v>18</v>
      </c>
      <c r="H147" s="19">
        <v>93</v>
      </c>
      <c r="I147" s="19">
        <v>11</v>
      </c>
      <c r="J147" s="19">
        <v>21</v>
      </c>
      <c r="K147" s="19">
        <v>11</v>
      </c>
      <c r="L147" s="19">
        <v>0</v>
      </c>
      <c r="M147" s="19">
        <v>4</v>
      </c>
      <c r="N147" s="19">
        <v>24</v>
      </c>
      <c r="O147" s="19">
        <v>74</v>
      </c>
      <c r="P147" s="19">
        <v>0</v>
      </c>
      <c r="Q147" s="19">
        <v>0</v>
      </c>
      <c r="R147" s="19">
        <v>0</v>
      </c>
      <c r="S147" s="19">
        <v>0</v>
      </c>
      <c r="T147" s="19">
        <v>67</v>
      </c>
      <c r="U147" s="6">
        <f>J$1*((-2*10^-6)*J147^3+0.00032*J147^2-0.0021*J147)+K$1*((-2*10^-6)*K147^3+0.00032*K147^2-0.0021*K147)+L$1*((-2*10^-6)*L147^3+0.00032*L147^2-0.0021*L147)+M$1*((-2*10^-6)*M147^3+0.00032*M147^2-0.0021*M147)+N$1*((-2*10^-6)*N147^3+0.00032*N147^2-0.0021*N147)</f>
        <v>0.19052680000000005</v>
      </c>
      <c r="V147">
        <f>O$1*((-2*10^-6)*N147^3+0.00032*N147^2-0.0021*N147)+P$1*((-2*10^-6)*O147^3+0.00032*O147^2-0.0021*O147)+Q$1*((-2*10^-6)*P147^3+0.00032*P147^2-0.0021*P147)+R$1*((-2*10^-6)*Q147^3+0.00032*Q147^2-0.0021*Q147)+S$1*((-2*10^-6)*R147^3+0.00032*R147^2-0.0021*R147)</f>
        <v>1.7854880000000004</v>
      </c>
      <c r="W147" s="6">
        <f>(H$1*H147+I$1*I147)/100</f>
        <v>1.37</v>
      </c>
      <c r="X147">
        <f>U147*J$2+V147*O$2+W147*H$2</f>
        <v>5.7030832000000009</v>
      </c>
      <c r="Y147" t="str">
        <f>IF(AND(I147&gt;50,H147+I147&gt;75),"SP",IF(2*H147+I147&gt;120,"RP","CRAP"))</f>
        <v>RP</v>
      </c>
    </row>
    <row r="148" spans="1:25" ht="13.5" customHeight="1" thickBot="1" x14ac:dyDescent="0.35">
      <c r="A148">
        <f>(W148*H$2+U148*J$2+V148*O$2)*100/(W$4*H$2+U$4*J$2+V$4*O$2)</f>
        <v>15.875474810521618</v>
      </c>
      <c r="B148" s="20">
        <v>42</v>
      </c>
      <c r="C148" s="13" t="s">
        <v>70</v>
      </c>
      <c r="D148" s="21" t="s">
        <v>7</v>
      </c>
      <c r="E148" s="21" t="s">
        <v>19</v>
      </c>
      <c r="F148" s="21" t="s">
        <v>19</v>
      </c>
      <c r="G148" s="21">
        <v>18</v>
      </c>
      <c r="H148" s="21">
        <v>79</v>
      </c>
      <c r="I148" s="21">
        <v>32</v>
      </c>
      <c r="J148" s="21">
        <v>9</v>
      </c>
      <c r="K148" s="21">
        <v>0</v>
      </c>
      <c r="L148" s="21">
        <v>0</v>
      </c>
      <c r="M148" s="21">
        <v>16</v>
      </c>
      <c r="N148" s="21">
        <v>25</v>
      </c>
      <c r="O148" s="21">
        <v>71</v>
      </c>
      <c r="P148" s="21">
        <v>0</v>
      </c>
      <c r="Q148" s="21">
        <v>0</v>
      </c>
      <c r="R148" s="21">
        <v>0</v>
      </c>
      <c r="S148" s="21">
        <v>0</v>
      </c>
      <c r="T148" s="21">
        <v>61</v>
      </c>
      <c r="U148" s="6">
        <f>J$1*((-2*10^-6)*J148^3+0.00032*J148^2-0.0021*J148)+K$1*((-2*10^-6)*K148^3+0.00032*K148^2-0.0021*K148)+L$1*((-2*10^-6)*L148^3+0.00032*L148^2-0.0021*L148)+M$1*((-2*10^-6)*M148^3+0.00032*M148^2-0.0021*M148)+N$1*((-2*10^-6)*N148^3+0.00032*N148^2-0.0021*N148)</f>
        <v>4.239960000000001E-2</v>
      </c>
      <c r="V148">
        <f>O$1*((-2*10^-6)*N148^3+0.00032*N148^2-0.0021*N148)+P$1*((-2*10^-6)*O148^3+0.00032*O148^2-0.0021*O148)+Q$1*((-2*10^-6)*P148^3+0.00032*P148^2-0.0021*P148)+R$1*((-2*10^-6)*Q148^3+0.00032*Q148^2-0.0021*Q148)+S$1*((-2*10^-6)*R148^3+0.00032*R148^2-0.0021*R148)</f>
        <v>1.7288960000000002</v>
      </c>
      <c r="W148" s="6">
        <f>(H$1*H148+I$1*I148)/100</f>
        <v>2.0699999999999998</v>
      </c>
      <c r="X148">
        <f>U148*J$2+V148*O$2+W148*H$2</f>
        <v>5.6973903999999997</v>
      </c>
      <c r="Y148" t="str">
        <f>IF(AND(I148&gt;50,H148+I148&gt;75),"SP",IF(2*H148+I148&gt;120,"RP","CRAP"))</f>
        <v>RP</v>
      </c>
    </row>
    <row r="149" spans="1:25" ht="13.5" customHeight="1" thickBot="1" x14ac:dyDescent="0.35">
      <c r="A149">
        <f>(W149*H$2+U149*J$2+V149*O$2)*100/(W$4*H$2+U$4*J$2+V$4*O$2)</f>
        <v>15.864271065537228</v>
      </c>
      <c r="B149" s="18">
        <v>187</v>
      </c>
      <c r="C149" s="12" t="s">
        <v>215</v>
      </c>
      <c r="D149" s="19" t="s">
        <v>4</v>
      </c>
      <c r="E149" s="19" t="s">
        <v>19</v>
      </c>
      <c r="F149" s="19" t="s">
        <v>19</v>
      </c>
      <c r="G149" s="19">
        <v>18</v>
      </c>
      <c r="H149" s="19">
        <v>79</v>
      </c>
      <c r="I149" s="19">
        <v>19</v>
      </c>
      <c r="J149" s="19">
        <v>15</v>
      </c>
      <c r="K149" s="19">
        <v>25</v>
      </c>
      <c r="L149" s="19">
        <v>18</v>
      </c>
      <c r="M149" s="19">
        <v>9</v>
      </c>
      <c r="N149" s="19">
        <v>30</v>
      </c>
      <c r="O149" s="19">
        <v>58</v>
      </c>
      <c r="P149" s="19">
        <v>0</v>
      </c>
      <c r="Q149" s="19">
        <v>0</v>
      </c>
      <c r="R149" s="19">
        <v>0</v>
      </c>
      <c r="S149" s="19">
        <v>0</v>
      </c>
      <c r="T149" s="19">
        <v>51</v>
      </c>
      <c r="U149" s="6">
        <f>J$1*((-2*10^-6)*J149^3+0.00032*J149^2-0.0021*J149)+K$1*((-2*10^-6)*K149^3+0.00032*K149^2-0.0021*K149)+L$1*((-2*10^-6)*L149^3+0.00032*L149^2-0.0021*L149)+M$1*((-2*10^-6)*M149^3+0.00032*M149^2-0.0021*M149)+N$1*((-2*10^-6)*N149^3+0.00032*N149^2-0.0021*N149)</f>
        <v>0.30038640000000005</v>
      </c>
      <c r="V149">
        <f>O$1*((-2*10^-6)*N149^3+0.00032*N149^2-0.0021*N149)+P$1*((-2*10^-6)*O149^3+0.00032*O149^2-0.0021*O149)+Q$1*((-2*10^-6)*P149^3+0.00032*P149^2-0.0021*P149)+R$1*((-2*10^-6)*Q149^3+0.00032*Q149^2-0.0021*Q149)+S$1*((-2*10^-6)*R149^3+0.00032*R149^2-0.0021*R149)</f>
        <v>1.4709120000000004</v>
      </c>
      <c r="W149" s="6">
        <f>(H$1*H149+I$1*I149)/100</f>
        <v>1.55</v>
      </c>
      <c r="X149">
        <f>U149*J$2+V149*O$2+W149*H$2</f>
        <v>5.6933696000000014</v>
      </c>
      <c r="Y149" t="str">
        <f>IF(AND(I149&gt;50,H149+I149&gt;75),"SP",IF(2*H149+I149&gt;120,"RP","CRAP"))</f>
        <v>RP</v>
      </c>
    </row>
    <row r="150" spans="1:25" ht="13.5" customHeight="1" thickBot="1" x14ac:dyDescent="0.35">
      <c r="A150">
        <f>(W150*H$2+U150*J$2+V150*O$2)*100/(W$4*H$2+U$4*J$2+V$4*O$2)</f>
        <v>15.749950958537671</v>
      </c>
      <c r="B150" s="20">
        <v>32</v>
      </c>
      <c r="C150" s="13" t="s">
        <v>60</v>
      </c>
      <c r="D150" s="21" t="s">
        <v>8</v>
      </c>
      <c r="E150" s="21" t="s">
        <v>21</v>
      </c>
      <c r="F150" s="21" t="s">
        <v>19</v>
      </c>
      <c r="G150" s="21">
        <v>18</v>
      </c>
      <c r="H150" s="21">
        <v>86</v>
      </c>
      <c r="I150" s="21">
        <v>38</v>
      </c>
      <c r="J150" s="21">
        <v>8</v>
      </c>
      <c r="K150" s="21">
        <v>20</v>
      </c>
      <c r="L150" s="21">
        <v>12</v>
      </c>
      <c r="M150" s="21">
        <v>28</v>
      </c>
      <c r="N150" s="21">
        <v>9</v>
      </c>
      <c r="O150" s="21">
        <v>66</v>
      </c>
      <c r="P150" s="21">
        <v>0</v>
      </c>
      <c r="Q150" s="21">
        <v>0</v>
      </c>
      <c r="R150" s="21">
        <v>0</v>
      </c>
      <c r="S150" s="21">
        <v>0</v>
      </c>
      <c r="T150" s="21">
        <v>67</v>
      </c>
      <c r="U150" s="6">
        <f>J$1*((-2*10^-6)*J150^3+0.00032*J150^2-0.0021*J150)+K$1*((-2*10^-6)*K150^3+0.00032*K150^2-0.0021*K150)+L$1*((-2*10^-6)*L150^3+0.00032*L150^2-0.0021*L150)+M$1*((-2*10^-6)*M150^3+0.00032*M150^2-0.0021*M150)+N$1*((-2*10^-6)*N150^3+0.00032*N150^2-0.0021*N150)</f>
        <v>0.13219560000000005</v>
      </c>
      <c r="V150">
        <f>O$1*((-2*10^-6)*N150^3+0.00032*N150^2-0.0021*N150)+P$1*((-2*10^-6)*O150^3+0.00032*O150^2-0.0021*O150)+Q$1*((-2*10^-6)*P150^3+0.00032*P150^2-0.0021*P150)+R$1*((-2*10^-6)*Q150^3+0.00032*Q150^2-0.0021*Q150)+S$1*((-2*10^-6)*R150^3+0.00032*R150^2-0.0021*R150)</f>
        <v>1.37178</v>
      </c>
      <c r="W150" s="6">
        <f>(H$1*H150+I$1*I150)/100</f>
        <v>2.38</v>
      </c>
      <c r="X150">
        <f>U150*J$2+V150*O$2+W150*H$2</f>
        <v>5.6523424000000002</v>
      </c>
      <c r="Y150" t="str">
        <f>IF(AND(I150&gt;50,H150+I150&gt;75),"SP",IF(2*H150+I150&gt;120,"RP","CRAP"))</f>
        <v>RP</v>
      </c>
    </row>
    <row r="151" spans="1:25" ht="13.5" customHeight="1" thickBot="1" x14ac:dyDescent="0.35">
      <c r="A151">
        <f>(W151*H$2+U151*J$2+V151*O$2)*100/(W$4*H$2+U$4*J$2+V$4*O$2)</f>
        <v>15.683729380294249</v>
      </c>
      <c r="B151" s="20">
        <v>44</v>
      </c>
      <c r="C151" s="13" t="s">
        <v>72</v>
      </c>
      <c r="D151" s="21" t="s">
        <v>8</v>
      </c>
      <c r="E151" s="21" t="s">
        <v>19</v>
      </c>
      <c r="F151" s="21" t="s">
        <v>19</v>
      </c>
      <c r="G151" s="21">
        <v>18</v>
      </c>
      <c r="H151" s="21">
        <v>77</v>
      </c>
      <c r="I151" s="21">
        <v>40</v>
      </c>
      <c r="J151" s="21">
        <v>14</v>
      </c>
      <c r="K151" s="21">
        <v>9</v>
      </c>
      <c r="L151" s="21">
        <v>25</v>
      </c>
      <c r="M151" s="21">
        <v>4</v>
      </c>
      <c r="N151" s="21">
        <v>22</v>
      </c>
      <c r="O151" s="21">
        <v>52</v>
      </c>
      <c r="P151" s="21">
        <v>0</v>
      </c>
      <c r="Q151" s="21">
        <v>0</v>
      </c>
      <c r="R151" s="21">
        <v>0</v>
      </c>
      <c r="S151" s="21">
        <v>0</v>
      </c>
      <c r="T151" s="21">
        <v>63</v>
      </c>
      <c r="U151" s="6">
        <f>J$1*((-2*10^-6)*J151^3+0.00032*J151^2-0.0021*J151)+K$1*((-2*10^-6)*K151^3+0.00032*K151^2-0.0021*K151)+L$1*((-2*10^-6)*L151^3+0.00032*L151^2-0.0021*L151)+M$1*((-2*10^-6)*M151^3+0.00032*M151^2-0.0021*M151)+N$1*((-2*10^-6)*N151^3+0.00032*N151^2-0.0021*N151)</f>
        <v>0.25239620000000007</v>
      </c>
      <c r="V151">
        <f>O$1*((-2*10^-6)*N151^3+0.00032*N151^2-0.0021*N151)+P$1*((-2*10^-6)*O151^3+0.00032*O151^2-0.0021*O151)+Q$1*((-2*10^-6)*P151^3+0.00032*P151^2-0.0021*P151)+R$1*((-2*10^-6)*Q151^3+0.00032*Q151^2-0.0021*Q151)+S$1*((-2*10^-6)*R151^3+0.00032*R151^2-0.0021*R151)</f>
        <v>1.1244960000000004</v>
      </c>
      <c r="W151" s="6">
        <f>(H$1*H151+I$1*I151)/100</f>
        <v>2.37</v>
      </c>
      <c r="X151">
        <f>U151*J$2+V151*O$2+W151*H$2</f>
        <v>5.6285768000000012</v>
      </c>
      <c r="Y151" t="str">
        <f>IF(AND(I151&gt;50,H151+I151&gt;75),"SP",IF(2*H151+I151&gt;120,"RP","CRAP"))</f>
        <v>RP</v>
      </c>
    </row>
    <row r="152" spans="1:25" ht="13.5" customHeight="1" thickBot="1" x14ac:dyDescent="0.35">
      <c r="A152">
        <f>(W152*H$2+U152*J$2+V152*O$2)*100/(W$4*H$2+U$4*J$2+V$4*O$2)</f>
        <v>15.680568435131518</v>
      </c>
      <c r="B152" s="20">
        <v>40</v>
      </c>
      <c r="C152" s="13" t="s">
        <v>68</v>
      </c>
      <c r="D152" s="21" t="s">
        <v>8</v>
      </c>
      <c r="E152" s="21" t="s">
        <v>19</v>
      </c>
      <c r="F152" s="21" t="s">
        <v>19</v>
      </c>
      <c r="G152" s="21">
        <v>18</v>
      </c>
      <c r="H152" s="21">
        <v>69</v>
      </c>
      <c r="I152" s="21">
        <v>11</v>
      </c>
      <c r="J152" s="21">
        <v>13</v>
      </c>
      <c r="K152" s="21">
        <v>29</v>
      </c>
      <c r="L152" s="21">
        <v>23</v>
      </c>
      <c r="M152" s="21">
        <v>21</v>
      </c>
      <c r="N152" s="21">
        <v>45</v>
      </c>
      <c r="O152" s="21">
        <v>41</v>
      </c>
      <c r="P152" s="21">
        <v>0</v>
      </c>
      <c r="Q152" s="21">
        <v>0</v>
      </c>
      <c r="R152" s="21">
        <v>0</v>
      </c>
      <c r="S152" s="21">
        <v>0</v>
      </c>
      <c r="T152" s="21">
        <v>64</v>
      </c>
      <c r="U152" s="6">
        <f>J$1*((-2*10^-6)*J152^3+0.00032*J152^2-0.0021*J152)+K$1*((-2*10^-6)*K152^3+0.00032*K152^2-0.0021*K152)+L$1*((-2*10^-6)*L152^3+0.00032*L152^2-0.0021*L152)+M$1*((-2*10^-6)*M152^3+0.00032*M152^2-0.0021*M152)+N$1*((-2*10^-6)*N152^3+0.00032*N152^2-0.0021*N152)</f>
        <v>0.43913260000000004</v>
      </c>
      <c r="V152">
        <f>O$1*((-2*10^-6)*N152^3+0.00032*N152^2-0.0021*N152)+P$1*((-2*10^-6)*O152^3+0.00032*O152^2-0.0021*O152)+Q$1*((-2*10^-6)*P152^3+0.00032*P152^2-0.0021*P152)+R$1*((-2*10^-6)*Q152^3+0.00032*Q152^2-0.0021*Q152)+S$1*((-2*10^-6)*R152^3+0.00032*R152^2-0.0021*R152)</f>
        <v>1.3704559999999999</v>
      </c>
      <c r="W152" s="6">
        <f>(H$1*H152+I$1*I152)/100</f>
        <v>1.1299999999999999</v>
      </c>
      <c r="X152">
        <f>U152*J$2+V152*O$2+W152*H$2</f>
        <v>5.6274423999999996</v>
      </c>
      <c r="Y152" t="str">
        <f>IF(AND(I152&gt;50,H152+I152&gt;75),"SP",IF(2*H152+I152&gt;120,"RP","CRAP"))</f>
        <v>RP</v>
      </c>
    </row>
    <row r="153" spans="1:25" ht="13.5" customHeight="1" thickBot="1" x14ac:dyDescent="0.35">
      <c r="A153">
        <f>(W153*H$2+U153*J$2+V153*O$2)*100/(W$4*H$2+U$4*J$2+V$4*O$2)</f>
        <v>15.590289790459208</v>
      </c>
      <c r="B153" s="20">
        <v>34</v>
      </c>
      <c r="C153" s="13" t="s">
        <v>62</v>
      </c>
      <c r="D153" s="21" t="s">
        <v>3</v>
      </c>
      <c r="E153" s="21" t="s">
        <v>19</v>
      </c>
      <c r="F153" s="21" t="s">
        <v>19</v>
      </c>
      <c r="G153" s="21">
        <v>18</v>
      </c>
      <c r="H153" s="21">
        <v>84</v>
      </c>
      <c r="I153" s="21">
        <v>33</v>
      </c>
      <c r="J153" s="21">
        <v>11</v>
      </c>
      <c r="K153" s="21">
        <v>8</v>
      </c>
      <c r="L153" s="21">
        <v>10</v>
      </c>
      <c r="M153" s="21">
        <v>0</v>
      </c>
      <c r="N153" s="21">
        <v>27</v>
      </c>
      <c r="O153" s="21">
        <v>64</v>
      </c>
      <c r="P153" s="21">
        <v>0</v>
      </c>
      <c r="Q153" s="21">
        <v>0</v>
      </c>
      <c r="R153" s="21">
        <v>0</v>
      </c>
      <c r="S153" s="21">
        <v>0</v>
      </c>
      <c r="T153" s="21">
        <v>66</v>
      </c>
      <c r="U153" s="6">
        <f>J$1*((-2*10^-6)*J153^3+0.00032*J153^2-0.0021*J153)+K$1*((-2*10^-6)*K153^3+0.00032*K153^2-0.0021*K153)+L$1*((-2*10^-6)*L153^3+0.00032*L153^2-0.0021*L153)+M$1*((-2*10^-6)*M153^3+0.00032*M153^2-0.0021*M153)+N$1*((-2*10^-6)*N153^3+0.00032*N153^2-0.0021*N153)</f>
        <v>6.9514800000000029E-2</v>
      </c>
      <c r="V153">
        <f>O$1*((-2*10^-6)*N153^3+0.00032*N153^2-0.0021*N153)+P$1*((-2*10^-6)*O153^3+0.00032*O153^2-0.0021*O153)+Q$1*((-2*10^-6)*P153^3+0.00032*P153^2-0.0021*P153)+R$1*((-2*10^-6)*Q153^3+0.00032*Q153^2-0.0021*Q153)+S$1*((-2*10^-6)*R153^3+0.00032*R153^2-0.0021*R153)</f>
        <v>1.5784920000000005</v>
      </c>
      <c r="W153" s="6">
        <f>(H$1*H153+I$1*I153)/100</f>
        <v>2.16</v>
      </c>
      <c r="X153">
        <f>U153*J$2+V153*O$2+W153*H$2</f>
        <v>5.595043200000001</v>
      </c>
      <c r="Y153" t="str">
        <f>IF(AND(I153&gt;50,H153+I153&gt;75),"SP",IF(2*H153+I153&gt;120,"RP","CRAP"))</f>
        <v>RP</v>
      </c>
    </row>
    <row r="154" spans="1:25" ht="13.5" customHeight="1" thickBot="1" x14ac:dyDescent="0.35">
      <c r="A154">
        <f>(W154*H$2+U154*J$2+V154*O$2)*100/(W$4*H$2+U$4*J$2+V$4*O$2)</f>
        <v>15.560512706197057</v>
      </c>
      <c r="B154" s="20">
        <v>150</v>
      </c>
      <c r="C154" s="13" t="s">
        <v>178</v>
      </c>
      <c r="D154" s="21" t="s">
        <v>6</v>
      </c>
      <c r="E154" s="21" t="s">
        <v>19</v>
      </c>
      <c r="F154" s="21" t="s">
        <v>19</v>
      </c>
      <c r="G154" s="21">
        <v>18</v>
      </c>
      <c r="H154" s="21">
        <v>92</v>
      </c>
      <c r="I154" s="21">
        <v>25</v>
      </c>
      <c r="J154" s="21">
        <v>26</v>
      </c>
      <c r="K154" s="21">
        <v>16</v>
      </c>
      <c r="L154" s="21">
        <v>8</v>
      </c>
      <c r="M154" s="21">
        <v>13</v>
      </c>
      <c r="N154" s="21">
        <v>25</v>
      </c>
      <c r="O154" s="21">
        <v>52</v>
      </c>
      <c r="P154" s="21">
        <v>0</v>
      </c>
      <c r="Q154" s="21">
        <v>0</v>
      </c>
      <c r="R154" s="21">
        <v>0</v>
      </c>
      <c r="S154" s="21">
        <v>0</v>
      </c>
      <c r="T154" s="21">
        <v>42</v>
      </c>
      <c r="U154" s="6">
        <f>J$1*((-2*10^-6)*J154^3+0.00032*J154^2-0.0021*J154)+K$1*((-2*10^-6)*K154^3+0.00032*K154^2-0.0021*K154)+L$1*((-2*10^-6)*L154^3+0.00032*L154^2-0.0021*L154)+M$1*((-2*10^-6)*M154^3+0.00032*M154^2-0.0021*M154)+N$1*((-2*10^-6)*N154^3+0.00032*N154^2-0.0021*N154)</f>
        <v>0.32497520000000002</v>
      </c>
      <c r="V154">
        <f>O$1*((-2*10^-6)*N154^3+0.00032*N154^2-0.0021*N154)+P$1*((-2*10^-6)*O154^3+0.00032*O154^2-0.0021*O154)+Q$1*((-2*10^-6)*P154^3+0.00032*P154^2-0.0021*P154)+R$1*((-2*10^-6)*Q154^3+0.00032*Q154^2-0.0021*Q154)+S$1*((-2*10^-6)*R154^3+0.00032*R154^2-0.0021*R154)</f>
        <v>1.1822280000000003</v>
      </c>
      <c r="W154" s="6">
        <f>(H$1*H154+I$1*I154)/100</f>
        <v>1.92</v>
      </c>
      <c r="X154">
        <f>U154*J$2+V154*O$2+W154*H$2</f>
        <v>5.5843568000000001</v>
      </c>
      <c r="Y154" t="str">
        <f>IF(AND(I154&gt;50,H154+I154&gt;75),"SP",IF(2*H154+I154&gt;120,"RP","CRAP"))</f>
        <v>RP</v>
      </c>
    </row>
    <row r="155" spans="1:25" ht="13.5" customHeight="1" thickBot="1" x14ac:dyDescent="0.35">
      <c r="A155">
        <f>(W155*H$2+U155*J$2+V155*O$2)*100/(W$4*H$2+U$4*J$2+V$4*O$2)</f>
        <v>15.515060187249221</v>
      </c>
      <c r="B155" s="18">
        <v>71</v>
      </c>
      <c r="C155" s="12" t="s">
        <v>99</v>
      </c>
      <c r="D155" s="19" t="s">
        <v>6</v>
      </c>
      <c r="E155" s="19" t="s">
        <v>19</v>
      </c>
      <c r="F155" s="19" t="s">
        <v>19</v>
      </c>
      <c r="G155" s="19">
        <v>18</v>
      </c>
      <c r="H155" s="19">
        <v>93</v>
      </c>
      <c r="I155" s="19">
        <v>13</v>
      </c>
      <c r="J155" s="19">
        <v>19</v>
      </c>
      <c r="K155" s="19">
        <v>16</v>
      </c>
      <c r="L155" s="19">
        <v>8</v>
      </c>
      <c r="M155" s="19">
        <v>9</v>
      </c>
      <c r="N155" s="19">
        <v>37</v>
      </c>
      <c r="O155" s="19">
        <v>57</v>
      </c>
      <c r="P155" s="19">
        <v>0</v>
      </c>
      <c r="Q155" s="19">
        <v>0</v>
      </c>
      <c r="R155" s="19">
        <v>0</v>
      </c>
      <c r="S155" s="19">
        <v>0</v>
      </c>
      <c r="T155" s="19">
        <v>57</v>
      </c>
      <c r="U155" s="6">
        <f>J$1*((-2*10^-6)*J155^3+0.00032*J155^2-0.0021*J155)+K$1*((-2*10^-6)*K155^3+0.00032*K155^2-0.0021*K155)+L$1*((-2*10^-6)*L155^3+0.00032*L155^2-0.0021*L155)+M$1*((-2*10^-6)*M155^3+0.00032*M155^2-0.0021*M155)+N$1*((-2*10^-6)*N155^3+0.00032*N155^2-0.0021*N155)</f>
        <v>0.22084320000000007</v>
      </c>
      <c r="V155">
        <f>O$1*((-2*10^-6)*N155^3+0.00032*N155^2-0.0021*N155)+P$1*((-2*10^-6)*O155^3+0.00032*O155^2-0.0021*O155)+Q$1*((-2*10^-6)*P155^3+0.00032*P155^2-0.0021*P155)+R$1*((-2*10^-6)*Q155^3+0.00032*Q155^2-0.0021*Q155)+S$1*((-2*10^-6)*R155^3+0.00032*R155^2-0.0021*R155)</f>
        <v>1.6173360000000003</v>
      </c>
      <c r="W155" s="6">
        <f>(H$1*H155+I$1*I155)/100</f>
        <v>1.45</v>
      </c>
      <c r="X155">
        <f>U155*J$2+V155*O$2+W155*H$2</f>
        <v>5.5680448000000009</v>
      </c>
      <c r="Y155" t="str">
        <f>IF(AND(I155&gt;50,H155+I155&gt;75),"SP",IF(2*H155+I155&gt;120,"RP","CRAP"))</f>
        <v>RP</v>
      </c>
    </row>
    <row r="156" spans="1:25" ht="13.5" customHeight="1" thickBot="1" x14ac:dyDescent="0.35">
      <c r="A156">
        <f>(W156*H$2+U156*J$2+V156*O$2)*100/(W$4*H$2+U$4*J$2+V$4*O$2)</f>
        <v>15.493970129291124</v>
      </c>
      <c r="B156" s="18">
        <v>141</v>
      </c>
      <c r="C156" s="12" t="s">
        <v>169</v>
      </c>
      <c r="D156" s="19" t="s">
        <v>9</v>
      </c>
      <c r="E156" s="19" t="s">
        <v>20</v>
      </c>
      <c r="F156" s="19" t="s">
        <v>20</v>
      </c>
      <c r="G156" s="19">
        <v>18</v>
      </c>
      <c r="H156" s="19">
        <v>91</v>
      </c>
      <c r="I156" s="19">
        <v>10</v>
      </c>
      <c r="J156" s="19">
        <v>16</v>
      </c>
      <c r="K156" s="19">
        <v>2</v>
      </c>
      <c r="L156" s="19">
        <v>13</v>
      </c>
      <c r="M156" s="19">
        <v>1</v>
      </c>
      <c r="N156" s="19">
        <v>39</v>
      </c>
      <c r="O156" s="19">
        <v>61</v>
      </c>
      <c r="P156" s="19">
        <v>0</v>
      </c>
      <c r="Q156" s="19">
        <v>0</v>
      </c>
      <c r="R156" s="19">
        <v>0</v>
      </c>
      <c r="S156" s="19">
        <v>0</v>
      </c>
      <c r="T156" s="19">
        <v>44</v>
      </c>
      <c r="U156" s="6">
        <f>J$1*((-2*10^-6)*J156^3+0.00032*J156^2-0.0021*J156)+K$1*((-2*10^-6)*K156^3+0.00032*K156^2-0.0021*K156)+L$1*((-2*10^-6)*L156^3+0.00032*L156^2-0.0021*L156)+M$1*((-2*10^-6)*M156^3+0.00032*M156^2-0.0021*M156)+N$1*((-2*10^-6)*N156^3+0.00032*N156^2-0.0021*N156)</f>
        <v>0.16777900000000004</v>
      </c>
      <c r="V156">
        <f>O$1*((-2*10^-6)*N156^3+0.00032*N156^2-0.0021*N156)+P$1*((-2*10^-6)*O156^3+0.00032*O156^2-0.0021*O156)+Q$1*((-2*10^-6)*P156^3+0.00032*P156^2-0.0021*P156)+R$1*((-2*10^-6)*Q156^3+0.00032*Q156^2-0.0021*Q156)+S$1*((-2*10^-6)*R156^3+0.00032*R156^2-0.0021*R156)</f>
        <v>1.7896800000000002</v>
      </c>
      <c r="W156" s="6">
        <f>(H$1*H156+I$1*I156)/100</f>
        <v>1.31</v>
      </c>
      <c r="X156">
        <f>U156*J$2+V156*O$2+W156*H$2</f>
        <v>5.5604760000000013</v>
      </c>
      <c r="Y156" t="str">
        <f>IF(AND(I156&gt;50,H156+I156&gt;75),"SP",IF(2*H156+I156&gt;120,"RP","CRAP"))</f>
        <v>RP</v>
      </c>
    </row>
    <row r="157" spans="1:25" ht="13.5" customHeight="1" thickBot="1" x14ac:dyDescent="0.35">
      <c r="A157">
        <f>(W157*H$2+U157*J$2+V157*O$2)*100/(W$4*H$2+U$4*J$2+V$4*O$2)</f>
        <v>15.208497547926884</v>
      </c>
      <c r="B157" s="20">
        <v>192</v>
      </c>
      <c r="C157" s="13" t="s">
        <v>220</v>
      </c>
      <c r="D157" s="21" t="s">
        <v>4</v>
      </c>
      <c r="E157" s="21" t="s">
        <v>19</v>
      </c>
      <c r="F157" s="21" t="s">
        <v>19</v>
      </c>
      <c r="G157" s="21">
        <v>18</v>
      </c>
      <c r="H157" s="21">
        <v>88</v>
      </c>
      <c r="I157" s="21">
        <v>27</v>
      </c>
      <c r="J157" s="21">
        <v>7</v>
      </c>
      <c r="K157" s="21">
        <v>20</v>
      </c>
      <c r="L157" s="21">
        <v>16</v>
      </c>
      <c r="M157" s="21">
        <v>13</v>
      </c>
      <c r="N157" s="21">
        <v>58</v>
      </c>
      <c r="O157" s="21">
        <v>19</v>
      </c>
      <c r="P157" s="21">
        <v>0</v>
      </c>
      <c r="Q157" s="21">
        <v>0</v>
      </c>
      <c r="R157" s="21">
        <v>0</v>
      </c>
      <c r="S157" s="21">
        <v>0</v>
      </c>
      <c r="T157" s="21">
        <v>50</v>
      </c>
      <c r="U157" s="6">
        <f>J$1*((-2*10^-6)*J157^3+0.00032*J157^2-0.0021*J157)+K$1*((-2*10^-6)*K157^3+0.00032*K157^2-0.0021*K157)+L$1*((-2*10^-6)*L157^3+0.00032*L157^2-0.0021*L157)+M$1*((-2*10^-6)*M157^3+0.00032*M157^2-0.0021*M157)+N$1*((-2*10^-6)*N157^3+0.00032*N157^2-0.0021*N157)</f>
        <v>0.24814840000000005</v>
      </c>
      <c r="V157">
        <f>O$1*((-2*10^-6)*N157^3+0.00032*N157^2-0.0021*N157)+P$1*((-2*10^-6)*O157^3+0.00032*O157^2-0.0021*O157)+Q$1*((-2*10^-6)*P157^3+0.00032*P157^2-0.0021*P157)+R$1*((-2*10^-6)*Q157^3+0.00032*Q157^2-0.0021*Q157)+S$1*((-2*10^-6)*R157^3+0.00032*R157^2-0.0021*R157)</f>
        <v>1.2527160000000004</v>
      </c>
      <c r="W157" s="6">
        <f>(H$1*H157+I$1*I157)/100</f>
        <v>1.96</v>
      </c>
      <c r="X157">
        <f>U157*J$2+V157*O$2+W157*H$2</f>
        <v>5.4580256000000009</v>
      </c>
      <c r="Y157" t="str">
        <f>IF(AND(I157&gt;50,H157+I157&gt;75),"SP",IF(2*H157+I157&gt;120,"RP","CRAP"))</f>
        <v>RP</v>
      </c>
    </row>
    <row r="158" spans="1:25" ht="13.5" customHeight="1" thickBot="1" x14ac:dyDescent="0.35">
      <c r="A158">
        <f>(W158*H$2+U158*J$2+V158*O$2)*100/(W$4*H$2+U$4*J$2+V$4*O$2)</f>
        <v>15.184034774855107</v>
      </c>
      <c r="B158" s="20">
        <v>184</v>
      </c>
      <c r="C158" s="13" t="s">
        <v>212</v>
      </c>
      <c r="D158" s="21" t="s">
        <v>4</v>
      </c>
      <c r="E158" s="21" t="s">
        <v>19</v>
      </c>
      <c r="F158" s="21" t="s">
        <v>19</v>
      </c>
      <c r="G158" s="21">
        <v>22</v>
      </c>
      <c r="H158" s="21">
        <v>91</v>
      </c>
      <c r="I158" s="21">
        <v>19</v>
      </c>
      <c r="J158" s="21">
        <v>22</v>
      </c>
      <c r="K158" s="21">
        <v>0</v>
      </c>
      <c r="L158" s="21">
        <v>28</v>
      </c>
      <c r="M158" s="21">
        <v>0</v>
      </c>
      <c r="N158" s="21">
        <v>6</v>
      </c>
      <c r="O158" s="21">
        <v>57</v>
      </c>
      <c r="P158" s="21">
        <v>0</v>
      </c>
      <c r="Q158" s="21">
        <v>0</v>
      </c>
      <c r="R158" s="21">
        <v>0</v>
      </c>
      <c r="S158" s="21">
        <v>0</v>
      </c>
      <c r="T158" s="21">
        <v>59</v>
      </c>
      <c r="U158" s="6">
        <f>J$1*((-2*10^-6)*J158^3+0.00032*J158^2-0.0021*J158)+K$1*((-2*10^-6)*K158^3+0.00032*K158^2-0.0021*K158)+L$1*((-2*10^-6)*L158^3+0.00032*L158^2-0.0021*L158)+M$1*((-2*10^-6)*M158^3+0.00032*M158^2-0.0021*M158)+N$1*((-2*10^-6)*N158^3+0.00032*N158^2-0.0021*N158)</f>
        <v>0.39672960000000013</v>
      </c>
      <c r="V158">
        <f>O$1*((-2*10^-6)*N158^3+0.00032*N158^2-0.0021*N158)+P$1*((-2*10^-6)*O158^3+0.00032*O158^2-0.0021*O158)+Q$1*((-2*10^-6)*P158^3+0.00032*P158^2-0.0021*P158)+R$1*((-2*10^-6)*Q158^3+0.00032*Q158^2-0.0021*Q158)+S$1*((-2*10^-6)*R158^3+0.00032*R158^2-0.0021*R158)</f>
        <v>1.0961640000000004</v>
      </c>
      <c r="W158" s="6">
        <f>(H$1*H158+I$1*I158)/100</f>
        <v>1.67</v>
      </c>
      <c r="X158">
        <f>U158*J$2+V158*O$2+W158*H$2</f>
        <v>5.4492464000000016</v>
      </c>
      <c r="Y158" t="str">
        <f>IF(AND(I158&gt;50,H158+I158&gt;75),"SP",IF(2*H158+I158&gt;120,"RP","CRAP"))</f>
        <v>RP</v>
      </c>
    </row>
    <row r="159" spans="1:25" ht="13.5" customHeight="1" thickBot="1" x14ac:dyDescent="0.35">
      <c r="A159">
        <f>(W159*H$2+U159*J$2+V159*O$2)*100/(W$4*H$2+U$4*J$2+V$4*O$2)</f>
        <v>15.183963441818992</v>
      </c>
      <c r="B159" s="18">
        <v>27</v>
      </c>
      <c r="C159" s="12" t="s">
        <v>55</v>
      </c>
      <c r="D159" s="19" t="s">
        <v>9</v>
      </c>
      <c r="E159" s="19" t="s">
        <v>19</v>
      </c>
      <c r="F159" s="19" t="s">
        <v>19</v>
      </c>
      <c r="G159" s="19">
        <v>18</v>
      </c>
      <c r="H159" s="19">
        <v>85</v>
      </c>
      <c r="I159" s="19">
        <v>36</v>
      </c>
      <c r="J159" s="19">
        <v>23</v>
      </c>
      <c r="K159" s="19">
        <v>24</v>
      </c>
      <c r="L159" s="19">
        <v>16</v>
      </c>
      <c r="M159" s="19">
        <v>21</v>
      </c>
      <c r="N159" s="19">
        <v>31</v>
      </c>
      <c r="O159" s="19">
        <v>32</v>
      </c>
      <c r="P159" s="19">
        <v>0</v>
      </c>
      <c r="Q159" s="19">
        <v>0</v>
      </c>
      <c r="R159" s="19">
        <v>0</v>
      </c>
      <c r="S159" s="19">
        <v>0</v>
      </c>
      <c r="T159" s="19">
        <v>68</v>
      </c>
      <c r="U159" s="6">
        <f>J$1*((-2*10^-6)*J159^3+0.00032*J159^2-0.0021*J159)+K$1*((-2*10^-6)*K159^3+0.00032*K159^2-0.0021*K159)+L$1*((-2*10^-6)*L159^3+0.00032*L159^2-0.0021*L159)+M$1*((-2*10^-6)*M159^3+0.00032*M159^2-0.0021*M159)+N$1*((-2*10^-6)*N159^3+0.00032*N159^2-0.0021*N159)</f>
        <v>0.41202320000000003</v>
      </c>
      <c r="V159">
        <f>O$1*((-2*10^-6)*N159^3+0.00032*N159^2-0.0021*N159)+P$1*((-2*10^-6)*O159^3+0.00032*O159^2-0.0021*O159)+Q$1*((-2*10^-6)*P159^3+0.00032*P159^2-0.0021*P159)+R$1*((-2*10^-6)*Q159^3+0.00032*Q159^2-0.0021*Q159)+S$1*((-2*10^-6)*R159^3+0.00032*R159^2-0.0021*R159)</f>
        <v>0.75556400000000012</v>
      </c>
      <c r="W159" s="6">
        <f>(H$1*H159+I$1*I159)/100</f>
        <v>2.29</v>
      </c>
      <c r="X159">
        <f>U159*J$2+V159*O$2+W159*H$2</f>
        <v>5.4492208000000009</v>
      </c>
      <c r="Y159" t="str">
        <f>IF(AND(I159&gt;50,H159+I159&gt;75),"SP",IF(2*H159+I159&gt;120,"RP","CRAP"))</f>
        <v>RP</v>
      </c>
    </row>
    <row r="160" spans="1:25" ht="13.5" customHeight="1" thickBot="1" x14ac:dyDescent="0.35">
      <c r="A160">
        <f>(W160*H$2+U160*J$2+V160*O$2)*100/(W$4*H$2+U$4*J$2+V$4*O$2)</f>
        <v>14.993517610343291</v>
      </c>
      <c r="B160" s="20">
        <v>156</v>
      </c>
      <c r="C160" s="13" t="s">
        <v>184</v>
      </c>
      <c r="D160" s="21" t="s">
        <v>9</v>
      </c>
      <c r="E160" s="21" t="s">
        <v>21</v>
      </c>
      <c r="F160" s="21" t="s">
        <v>19</v>
      </c>
      <c r="G160" s="21">
        <v>18</v>
      </c>
      <c r="H160" s="21">
        <v>81</v>
      </c>
      <c r="I160" s="21">
        <v>14</v>
      </c>
      <c r="J160" s="21">
        <v>13</v>
      </c>
      <c r="K160" s="21">
        <v>17</v>
      </c>
      <c r="L160" s="21">
        <v>12</v>
      </c>
      <c r="M160" s="21">
        <v>15</v>
      </c>
      <c r="N160" s="21">
        <v>39</v>
      </c>
      <c r="O160" s="21">
        <v>56</v>
      </c>
      <c r="P160" s="21">
        <v>0</v>
      </c>
      <c r="Q160" s="21">
        <v>0</v>
      </c>
      <c r="R160" s="21">
        <v>0</v>
      </c>
      <c r="S160" s="21">
        <v>0</v>
      </c>
      <c r="T160" s="21">
        <v>40</v>
      </c>
      <c r="U160" s="6">
        <f>J$1*((-2*10^-6)*J160^3+0.00032*J160^2-0.0021*J160)+K$1*((-2*10^-6)*K160^3+0.00032*K160^2-0.0021*K160)+L$1*((-2*10^-6)*L160^3+0.00032*L160^2-0.0021*L160)+M$1*((-2*10^-6)*M160^3+0.00032*M160^2-0.0021*M160)+N$1*((-2*10^-6)*N160^3+0.00032*N160^2-0.0021*N160)</f>
        <v>0.18184840000000005</v>
      </c>
      <c r="V160">
        <f>O$1*((-2*10^-6)*N160^3+0.00032*N160^2-0.0021*N160)+P$1*((-2*10^-6)*O160^3+0.00032*O160^2-0.0021*O160)+Q$1*((-2*10^-6)*P160^3+0.00032*P160^2-0.0021*P160)+R$1*((-2*10^-6)*Q160^3+0.00032*Q160^2-0.0021*Q160)+S$1*((-2*10^-6)*R160^3+0.00032*R160^2-0.0021*R160)</f>
        <v>1.6417400000000004</v>
      </c>
      <c r="W160" s="6">
        <f>(H$1*H160+I$1*I160)/100</f>
        <v>1.37</v>
      </c>
      <c r="X160">
        <f>U160*J$2+V160*O$2+W160*H$2</f>
        <v>5.380873600000001</v>
      </c>
      <c r="Y160" t="str">
        <f>IF(AND(I160&gt;50,H160+I160&gt;75),"SP",IF(2*H160+I160&gt;120,"RP","CRAP"))</f>
        <v>RP</v>
      </c>
    </row>
    <row r="161" spans="1:25" ht="13.5" customHeight="1" thickBot="1" x14ac:dyDescent="0.35">
      <c r="A161">
        <f>(W161*H$2+U161*J$2+V161*O$2)*100/(W$4*H$2+U$4*J$2+V$4*O$2)</f>
        <v>14.832349531876948</v>
      </c>
      <c r="B161" s="20">
        <v>114</v>
      </c>
      <c r="C161" s="13" t="s">
        <v>142</v>
      </c>
      <c r="D161" s="21" t="s">
        <v>7</v>
      </c>
      <c r="E161" s="21" t="s">
        <v>19</v>
      </c>
      <c r="F161" s="21" t="s">
        <v>19</v>
      </c>
      <c r="G161" s="21">
        <v>18</v>
      </c>
      <c r="H161" s="21">
        <v>72</v>
      </c>
      <c r="I161" s="21">
        <v>8</v>
      </c>
      <c r="J161" s="21">
        <v>5</v>
      </c>
      <c r="K161" s="21">
        <v>12</v>
      </c>
      <c r="L161" s="21">
        <v>10</v>
      </c>
      <c r="M161" s="21">
        <v>11</v>
      </c>
      <c r="N161" s="21">
        <v>22</v>
      </c>
      <c r="O161" s="21">
        <v>89</v>
      </c>
      <c r="P161" s="21">
        <v>0</v>
      </c>
      <c r="Q161" s="21">
        <v>0</v>
      </c>
      <c r="R161" s="21">
        <v>0</v>
      </c>
      <c r="S161" s="21">
        <v>0</v>
      </c>
      <c r="T161" s="21">
        <v>43</v>
      </c>
      <c r="U161" s="6">
        <f>J$1*((-2*10^-6)*J161^3+0.00032*J161^2-0.0021*J161)+K$1*((-2*10^-6)*K161^3+0.00032*K161^2-0.0021*K161)+L$1*((-2*10^-6)*L161^3+0.00032*L161^2-0.0021*L161)+M$1*((-2*10^-6)*M161^3+0.00032*M161^2-0.0021*M161)+N$1*((-2*10^-6)*N161^3+0.00032*N161^2-0.0021*N161)</f>
        <v>4.5492400000000016E-2</v>
      </c>
      <c r="V161">
        <f>O$1*((-2*10^-6)*N161^3+0.00032*N161^2-0.0021*N161)+P$1*((-2*10^-6)*O161^3+0.00032*O161^2-0.0021*O161)+Q$1*((-2*10^-6)*P161^3+0.00032*P161^2-0.0021*P161)+R$1*((-2*10^-6)*Q161^3+0.00032*Q161^2-0.0021*Q161)+S$1*((-2*10^-6)*R161^3+0.00032*R161^2-0.0021*R161)</f>
        <v>2.0505320000000005</v>
      </c>
      <c r="W161" s="6">
        <f>(H$1*H161+I$1*I161)/100</f>
        <v>1.04</v>
      </c>
      <c r="X161">
        <f>U161*J$2+V161*O$2+W161*H$2</f>
        <v>5.3230336000000014</v>
      </c>
      <c r="Y161" t="str">
        <f>IF(AND(I161&gt;50,H161+I161&gt;75),"SP",IF(2*H161+I161&gt;120,"RP","CRAP"))</f>
        <v>RP</v>
      </c>
    </row>
    <row r="162" spans="1:25" ht="13.5" customHeight="1" thickBot="1" x14ac:dyDescent="0.35">
      <c r="A162">
        <f>(W162*H$2+U162*J$2+V162*O$2)*100/(W$4*H$2+U$4*J$2+V$4*O$2)</f>
        <v>14.822741863575567</v>
      </c>
      <c r="B162" s="18">
        <v>49</v>
      </c>
      <c r="C162" s="12" t="s">
        <v>77</v>
      </c>
      <c r="D162" s="19" t="s">
        <v>10</v>
      </c>
      <c r="E162" s="19" t="s">
        <v>21</v>
      </c>
      <c r="F162" s="19" t="s">
        <v>20</v>
      </c>
      <c r="G162" s="19">
        <v>18</v>
      </c>
      <c r="H162" s="19">
        <v>75</v>
      </c>
      <c r="I162" s="19">
        <v>17</v>
      </c>
      <c r="J162" s="19">
        <v>22</v>
      </c>
      <c r="K162" s="19">
        <v>17</v>
      </c>
      <c r="L162" s="19">
        <v>4</v>
      </c>
      <c r="M162" s="19">
        <v>0</v>
      </c>
      <c r="N162" s="19">
        <v>29</v>
      </c>
      <c r="O162" s="19">
        <v>58</v>
      </c>
      <c r="P162" s="19">
        <v>0</v>
      </c>
      <c r="Q162" s="19">
        <v>0</v>
      </c>
      <c r="R162" s="19">
        <v>0</v>
      </c>
      <c r="S162" s="19">
        <v>0</v>
      </c>
      <c r="T162" s="19">
        <v>62</v>
      </c>
      <c r="U162" s="6">
        <f>J$1*((-2*10^-6)*J162^3+0.00032*J162^2-0.0021*J162)+K$1*((-2*10^-6)*K162^3+0.00032*K162^2-0.0021*K162)+L$1*((-2*10^-6)*L162^3+0.00032*L162^2-0.0021*L162)+M$1*((-2*10^-6)*M162^3+0.00032*M162^2-0.0021*M162)+N$1*((-2*10^-6)*N162^3+0.00032*N162^2-0.0021*N162)</f>
        <v>0.24849840000000004</v>
      </c>
      <c r="V162">
        <f>O$1*((-2*10^-6)*N162^3+0.00032*N162^2-0.0021*N162)+P$1*((-2*10^-6)*O162^3+0.00032*O162^2-0.0021*O162)+Q$1*((-2*10^-6)*P162^3+0.00032*P162^2-0.0021*P162)+R$1*((-2*10^-6)*Q162^3+0.00032*Q162^2-0.0021*Q162)+S$1*((-2*10^-6)*R162^3+0.00032*R162^2-0.0021*R162)</f>
        <v>1.4477960000000003</v>
      </c>
      <c r="W162" s="6">
        <f>(H$1*H162+I$1*I162)/100</f>
        <v>1.43</v>
      </c>
      <c r="X162">
        <f>U162*J$2+V162*O$2+W162*H$2</f>
        <v>5.3195856000000008</v>
      </c>
      <c r="Y162" t="str">
        <f>IF(AND(I162&gt;50,H162+I162&gt;75),"SP",IF(2*H162+I162&gt;120,"RP","CRAP"))</f>
        <v>RP</v>
      </c>
    </row>
    <row r="163" spans="1:25" ht="13.5" customHeight="1" thickBot="1" x14ac:dyDescent="0.35">
      <c r="A163">
        <f>(W163*H$2+U163*J$2+V163*O$2)*100/(W$4*H$2+U$4*J$2+V$4*O$2)</f>
        <v>14.765945162728491</v>
      </c>
      <c r="B163" s="18">
        <v>155</v>
      </c>
      <c r="C163" s="12" t="s">
        <v>183</v>
      </c>
      <c r="D163" s="19" t="s">
        <v>6</v>
      </c>
      <c r="E163" s="19" t="s">
        <v>19</v>
      </c>
      <c r="F163" s="19" t="s">
        <v>19</v>
      </c>
      <c r="G163" s="19">
        <v>18</v>
      </c>
      <c r="H163" s="19">
        <v>87</v>
      </c>
      <c r="I163" s="19">
        <v>12</v>
      </c>
      <c r="J163" s="19">
        <v>9</v>
      </c>
      <c r="K163" s="19">
        <v>26</v>
      </c>
      <c r="L163" s="19">
        <v>19</v>
      </c>
      <c r="M163" s="19">
        <v>11</v>
      </c>
      <c r="N163" s="19">
        <v>35</v>
      </c>
      <c r="O163" s="19">
        <v>52</v>
      </c>
      <c r="P163" s="19">
        <v>0</v>
      </c>
      <c r="Q163" s="19">
        <v>0</v>
      </c>
      <c r="R163" s="19">
        <v>0</v>
      </c>
      <c r="S163" s="19">
        <v>0</v>
      </c>
      <c r="T163" s="19">
        <v>40</v>
      </c>
      <c r="U163" s="6">
        <f>J$1*((-2*10^-6)*J163^3+0.00032*J163^2-0.0021*J163)+K$1*((-2*10^-6)*K163^3+0.00032*K163^2-0.0021*K163)+L$1*((-2*10^-6)*L163^3+0.00032*L163^2-0.0021*L163)+M$1*((-2*10^-6)*M163^3+0.00032*M163^2-0.0021*M163)+N$1*((-2*10^-6)*N163^3+0.00032*N163^2-0.0021*N163)</f>
        <v>0.27968660000000006</v>
      </c>
      <c r="V163">
        <f>O$1*((-2*10^-6)*N163^3+0.00032*N163^2-0.0021*N163)+P$1*((-2*10^-6)*O163^3+0.00032*O163^2-0.0021*O163)+Q$1*((-2*10^-6)*P163^3+0.00032*P163^2-0.0021*P163)+R$1*((-2*10^-6)*Q163^3+0.00032*Q163^2-0.0021*Q163)+S$1*((-2*10^-6)*R163^3+0.00032*R163^2-0.0021*R163)</f>
        <v>1.4152280000000004</v>
      </c>
      <c r="W163" s="6">
        <f>(H$1*H163+I$1*I163)/100</f>
        <v>1.35</v>
      </c>
      <c r="X163">
        <f>U163*J$2+V163*O$2+W163*H$2</f>
        <v>5.2992024000000004</v>
      </c>
      <c r="Y163" t="str">
        <f>IF(AND(I163&gt;50,H163+I163&gt;75),"SP",IF(2*H163+I163&gt;120,"RP","CRAP"))</f>
        <v>RP</v>
      </c>
    </row>
    <row r="164" spans="1:25" ht="13.5" customHeight="1" thickBot="1" x14ac:dyDescent="0.35">
      <c r="A164">
        <f>(W164*H$2+U164*J$2+V164*O$2)*100/(W$4*H$2+U$4*J$2+V$4*O$2)</f>
        <v>14.720060187249219</v>
      </c>
      <c r="B164" s="18">
        <v>197</v>
      </c>
      <c r="C164" s="12" t="s">
        <v>225</v>
      </c>
      <c r="D164" s="19" t="s">
        <v>4</v>
      </c>
      <c r="E164" s="19" t="s">
        <v>19</v>
      </c>
      <c r="F164" s="19" t="s">
        <v>19</v>
      </c>
      <c r="G164" s="19">
        <v>19</v>
      </c>
      <c r="H164" s="19">
        <v>70</v>
      </c>
      <c r="I164" s="19">
        <v>29</v>
      </c>
      <c r="J164" s="19">
        <v>3</v>
      </c>
      <c r="K164" s="19">
        <v>36</v>
      </c>
      <c r="L164" s="19">
        <v>29</v>
      </c>
      <c r="M164" s="19">
        <v>0</v>
      </c>
      <c r="N164" s="19">
        <v>12</v>
      </c>
      <c r="O164" s="19">
        <v>44</v>
      </c>
      <c r="P164" s="19">
        <v>0</v>
      </c>
      <c r="Q164" s="19">
        <v>0</v>
      </c>
      <c r="R164" s="19">
        <v>0</v>
      </c>
      <c r="S164" s="19">
        <v>0</v>
      </c>
      <c r="T164" s="19">
        <v>46</v>
      </c>
      <c r="U164" s="6">
        <f>J$1*((-2*10^-6)*J164^3+0.00032*J164^2-0.0021*J164)+K$1*((-2*10^-6)*K164^3+0.00032*K164^2-0.0021*K164)+L$1*((-2*10^-6)*L164^3+0.00032*L164^2-0.0021*L164)+M$1*((-2*10^-6)*M164^3+0.00032*M164^2-0.0021*M164)+N$1*((-2*10^-6)*N164^3+0.00032*N164^2-0.0021*N164)</f>
        <v>0.4815078000000001</v>
      </c>
      <c r="V164">
        <f>O$1*((-2*10^-6)*N164^3+0.00032*N164^2-0.0021*N164)+P$1*((-2*10^-6)*O164^3+0.00032*O164^2-0.0021*O164)+Q$1*((-2*10^-6)*P164^3+0.00032*P164^2-0.0021*P164)+R$1*((-2*10^-6)*Q164^3+0.00032*Q164^2-0.0021*Q164)+S$1*((-2*10^-6)*R164^3+0.00032*R164^2-0.0021*R164)</f>
        <v>0.74835200000000024</v>
      </c>
      <c r="W164" s="6">
        <f>(H$1*H164+I$1*I164)/100</f>
        <v>1.86</v>
      </c>
      <c r="X164">
        <f>U164*J$2+V164*O$2+W164*H$2</f>
        <v>5.2827352000000012</v>
      </c>
      <c r="Y164" t="str">
        <f>IF(AND(I164&gt;50,H164+I164&gt;75),"SP",IF(2*H164+I164&gt;120,"RP","CRAP"))</f>
        <v>RP</v>
      </c>
    </row>
    <row r="165" spans="1:25" ht="13.5" customHeight="1" thickBot="1" x14ac:dyDescent="0.35">
      <c r="A165">
        <f>(W165*H$2+U165*J$2+V165*O$2)*100/(W$4*H$2+U$4*J$2+V$4*O$2)</f>
        <v>14.715173874275521</v>
      </c>
      <c r="B165" s="18">
        <v>55</v>
      </c>
      <c r="C165" s="12" t="s">
        <v>83</v>
      </c>
      <c r="D165" s="19" t="s">
        <v>9</v>
      </c>
      <c r="E165" s="19" t="s">
        <v>20</v>
      </c>
      <c r="F165" s="19" t="s">
        <v>20</v>
      </c>
      <c r="G165" s="19">
        <v>18</v>
      </c>
      <c r="H165" s="19">
        <v>85</v>
      </c>
      <c r="I165" s="19">
        <v>13</v>
      </c>
      <c r="J165" s="19">
        <v>10</v>
      </c>
      <c r="K165" s="19">
        <v>17</v>
      </c>
      <c r="L165" s="19">
        <v>23</v>
      </c>
      <c r="M165" s="19">
        <v>3</v>
      </c>
      <c r="N165" s="19">
        <v>33</v>
      </c>
      <c r="O165" s="19">
        <v>55</v>
      </c>
      <c r="P165" s="19">
        <v>0</v>
      </c>
      <c r="Q165" s="19">
        <v>0</v>
      </c>
      <c r="R165" s="19">
        <v>0</v>
      </c>
      <c r="S165" s="19">
        <v>0</v>
      </c>
      <c r="T165" s="19">
        <v>61</v>
      </c>
      <c r="U165" s="6">
        <f>J$1*((-2*10^-6)*J165^3+0.00032*J165^2-0.0021*J165)+K$1*((-2*10^-6)*K165^3+0.00032*K165^2-0.0021*K165)+L$1*((-2*10^-6)*L165^3+0.00032*L165^2-0.0021*L165)+M$1*((-2*10^-6)*M165^3+0.00032*M165^2-0.0021*M165)+N$1*((-2*10^-6)*N165^3+0.00032*N165^2-0.0021*N165)</f>
        <v>0.25068940000000006</v>
      </c>
      <c r="V165">
        <f>O$1*((-2*10^-6)*N165^3+0.00032*N165^2-0.0021*N165)+P$1*((-2*10^-6)*O165^3+0.00032*O165^2-0.0021*O165)+Q$1*((-2*10^-6)*P165^3+0.00032*P165^2-0.0021*P165)+R$1*((-2*10^-6)*Q165^3+0.00032*Q165^2-0.0021*Q165)+S$1*((-2*10^-6)*R165^3+0.00032*R165^2-0.0021*R165)</f>
        <v>1.4541120000000003</v>
      </c>
      <c r="W165" s="6">
        <f>(H$1*H165+I$1*I165)/100</f>
        <v>1.37</v>
      </c>
      <c r="X165">
        <f>U165*J$2+V165*O$2+W165*H$2</f>
        <v>5.2809816000000005</v>
      </c>
      <c r="Y165" t="str">
        <f>IF(AND(I165&gt;50,H165+I165&gt;75),"SP",IF(2*H165+I165&gt;120,"RP","CRAP"))</f>
        <v>RP</v>
      </c>
    </row>
    <row r="166" spans="1:25" ht="13.5" customHeight="1" thickBot="1" x14ac:dyDescent="0.35">
      <c r="A166">
        <f>(W166*H$2+U166*J$2+V166*O$2)*100/(W$4*H$2+U$4*J$2+V$4*O$2)</f>
        <v>14.714779313419527</v>
      </c>
      <c r="B166" s="18">
        <v>193</v>
      </c>
      <c r="C166" s="12" t="s">
        <v>221</v>
      </c>
      <c r="D166" s="19" t="s">
        <v>4</v>
      </c>
      <c r="E166" s="19" t="s">
        <v>19</v>
      </c>
      <c r="F166" s="19" t="s">
        <v>19</v>
      </c>
      <c r="G166" s="19">
        <v>18</v>
      </c>
      <c r="H166" s="19">
        <v>73</v>
      </c>
      <c r="I166" s="19">
        <v>11</v>
      </c>
      <c r="J166" s="19">
        <v>7</v>
      </c>
      <c r="K166" s="19">
        <v>19</v>
      </c>
      <c r="L166" s="19">
        <v>10</v>
      </c>
      <c r="M166" s="19">
        <v>1</v>
      </c>
      <c r="N166" s="19">
        <v>39</v>
      </c>
      <c r="O166" s="19">
        <v>61</v>
      </c>
      <c r="P166" s="19">
        <v>0</v>
      </c>
      <c r="Q166" s="19">
        <v>0</v>
      </c>
      <c r="R166" s="19">
        <v>0</v>
      </c>
      <c r="S166" s="19">
        <v>0</v>
      </c>
      <c r="T166" s="19">
        <v>38</v>
      </c>
      <c r="U166" s="6">
        <f>J$1*((-2*10^-6)*J166^3+0.00032*J166^2-0.0021*J166)+K$1*((-2*10^-6)*K166^3+0.00032*K166^2-0.0021*K166)+L$1*((-2*10^-6)*L166^3+0.00032*L166^2-0.0021*L166)+M$1*((-2*10^-6)*M166^3+0.00032*M166^2-0.0021*M166)+N$1*((-2*10^-6)*N166^3+0.00032*N166^2-0.0021*N166)</f>
        <v>0.13287000000000004</v>
      </c>
      <c r="V166">
        <f>O$1*((-2*10^-6)*N166^3+0.00032*N166^2-0.0021*N166)+P$1*((-2*10^-6)*O166^3+0.00032*O166^2-0.0021*O166)+Q$1*((-2*10^-6)*P166^3+0.00032*P166^2-0.0021*P166)+R$1*((-2*10^-6)*Q166^3+0.00032*Q166^2-0.0021*Q166)+S$1*((-2*10^-6)*R166^3+0.00032*R166^2-0.0021*R166)</f>
        <v>1.7896800000000002</v>
      </c>
      <c r="W166" s="6">
        <f>(H$1*H166+I$1*I166)/100</f>
        <v>1.17</v>
      </c>
      <c r="X166">
        <f>U166*J$2+V166*O$2+W166*H$2</f>
        <v>5.2808400000000004</v>
      </c>
      <c r="Y166" t="str">
        <f>IF(AND(I166&gt;50,H166+I166&gt;75),"SP",IF(2*H166+I166&gt;120,"RP","CRAP"))</f>
        <v>RP</v>
      </c>
    </row>
    <row r="167" spans="1:25" ht="13.5" customHeight="1" thickBot="1" x14ac:dyDescent="0.35">
      <c r="A167">
        <f>(W167*H$2+U167*J$2+V167*O$2)*100/(W$4*H$2+U$4*J$2+V$4*O$2)</f>
        <v>14.674921979491749</v>
      </c>
      <c r="B167" s="18">
        <v>143</v>
      </c>
      <c r="C167" s="12" t="s">
        <v>171</v>
      </c>
      <c r="D167" s="19" t="s">
        <v>9</v>
      </c>
      <c r="E167" s="19" t="s">
        <v>19</v>
      </c>
      <c r="F167" s="19" t="s">
        <v>19</v>
      </c>
      <c r="G167" s="19">
        <v>18</v>
      </c>
      <c r="H167" s="19">
        <v>88</v>
      </c>
      <c r="I167" s="19">
        <v>7</v>
      </c>
      <c r="J167" s="19">
        <v>7</v>
      </c>
      <c r="K167" s="19">
        <v>8</v>
      </c>
      <c r="L167" s="19">
        <v>0</v>
      </c>
      <c r="M167" s="19">
        <v>1</v>
      </c>
      <c r="N167" s="19">
        <v>39</v>
      </c>
      <c r="O167" s="19">
        <v>66</v>
      </c>
      <c r="P167" s="19">
        <v>0</v>
      </c>
      <c r="Q167" s="19">
        <v>0</v>
      </c>
      <c r="R167" s="19">
        <v>0</v>
      </c>
      <c r="S167" s="19">
        <v>0</v>
      </c>
      <c r="T167" s="19">
        <v>44</v>
      </c>
      <c r="U167" s="6">
        <f>J$1*((-2*10^-6)*J167^3+0.00032*J167^2-0.0021*J167)+K$1*((-2*10^-6)*K167^3+0.00032*K167^2-0.0021*K167)+L$1*((-2*10^-6)*L167^3+0.00032*L167^2-0.0021*L167)+M$1*((-2*10^-6)*M167^3+0.00032*M167^2-0.0021*M167)+N$1*((-2*10^-6)*N167^3+0.00032*N167^2-0.0021*N167)</f>
        <v>6.0124000000000025E-2</v>
      </c>
      <c r="V167">
        <f>O$1*((-2*10^-6)*N167^3+0.00032*N167^2-0.0021*N167)+P$1*((-2*10^-6)*O167^3+0.00032*O167^2-0.0021*O167)+Q$1*((-2*10^-6)*P167^3+0.00032*P167^2-0.0021*P167)+R$1*((-2*10^-6)*Q167^3+0.00032*Q167^2-0.0021*Q167)+S$1*((-2*10^-6)*R167^3+0.00032*R167^2-0.0021*R167)</f>
        <v>1.9330200000000002</v>
      </c>
      <c r="W167" s="6">
        <f>(H$1*H167+I$1*I167)/100</f>
        <v>1.1599999999999999</v>
      </c>
      <c r="X167">
        <f>U167*J$2+V167*O$2+W167*H$2</f>
        <v>5.2665360000000003</v>
      </c>
      <c r="Y167" t="str">
        <f>IF(AND(I167&gt;50,H167+I167&gt;75),"SP",IF(2*H167+I167&gt;120,"RP","CRAP"))</f>
        <v>RP</v>
      </c>
    </row>
    <row r="168" spans="1:25" ht="13.5" customHeight="1" thickBot="1" x14ac:dyDescent="0.35">
      <c r="A168">
        <f>(W168*H$2+U168*J$2+V168*O$2)*100/(W$4*H$2+U$4*J$2+V$4*O$2)</f>
        <v>14.671604993312528</v>
      </c>
      <c r="B168" s="20">
        <v>72</v>
      </c>
      <c r="C168" s="13" t="s">
        <v>100</v>
      </c>
      <c r="D168" s="21" t="s">
        <v>5</v>
      </c>
      <c r="E168" s="21" t="s">
        <v>19</v>
      </c>
      <c r="F168" s="21" t="s">
        <v>19</v>
      </c>
      <c r="G168" s="21">
        <v>18</v>
      </c>
      <c r="H168" s="21">
        <v>79</v>
      </c>
      <c r="I168" s="21">
        <v>28</v>
      </c>
      <c r="J168" s="21">
        <v>8</v>
      </c>
      <c r="K168" s="21">
        <v>7</v>
      </c>
      <c r="L168" s="21">
        <v>0</v>
      </c>
      <c r="M168" s="21">
        <v>11</v>
      </c>
      <c r="N168" s="21">
        <v>37</v>
      </c>
      <c r="O168" s="21">
        <v>55</v>
      </c>
      <c r="P168" s="21">
        <v>0</v>
      </c>
      <c r="Q168" s="21">
        <v>0</v>
      </c>
      <c r="R168" s="21">
        <v>0</v>
      </c>
      <c r="S168" s="21">
        <v>0</v>
      </c>
      <c r="T168" s="21">
        <v>57</v>
      </c>
      <c r="U168" s="6">
        <f>J$1*((-2*10^-6)*J168^3+0.00032*J168^2-0.0021*J168)+K$1*((-2*10^-6)*K168^3+0.00032*K168^2-0.0021*K168)+L$1*((-2*10^-6)*L168^3+0.00032*L168^2-0.0021*L168)+M$1*((-2*10^-6)*M168^3+0.00032*M168^2-0.0021*M168)+N$1*((-2*10^-6)*N168^3+0.00032*N168^2-0.0021*N168)</f>
        <v>6.0012400000000021E-2</v>
      </c>
      <c r="V168">
        <f>O$1*((-2*10^-6)*N168^3+0.00032*N168^2-0.0021*N168)+P$1*((-2*10^-6)*O168^3+0.00032*O168^2-0.0021*O168)+Q$1*((-2*10^-6)*P168^3+0.00032*P168^2-0.0021*P168)+R$1*((-2*10^-6)*Q168^3+0.00032*Q168^2-0.0021*Q168)+S$1*((-2*10^-6)*R168^3+0.00032*R168^2-0.0021*R168)</f>
        <v>1.5576480000000004</v>
      </c>
      <c r="W168" s="6">
        <f>(H$1*H168+I$1*I168)/100</f>
        <v>1.91</v>
      </c>
      <c r="X168">
        <f>U168*J$2+V168*O$2+W168*H$2</f>
        <v>5.2653456000000007</v>
      </c>
      <c r="Y168" t="str">
        <f>IF(AND(I168&gt;50,H168+I168&gt;75),"SP",IF(2*H168+I168&gt;120,"RP","CRAP"))</f>
        <v>RP</v>
      </c>
    </row>
    <row r="169" spans="1:25" ht="13.5" customHeight="1" thickBot="1" x14ac:dyDescent="0.35">
      <c r="A169">
        <f>(W169*H$2+U169*J$2+V169*O$2)*100/(W$4*H$2+U$4*J$2+V$4*O$2)</f>
        <v>14.663299152920198</v>
      </c>
      <c r="B169" s="20">
        <v>140</v>
      </c>
      <c r="C169" s="13" t="s">
        <v>168</v>
      </c>
      <c r="D169" s="21" t="s">
        <v>10</v>
      </c>
      <c r="E169" s="21" t="s">
        <v>19</v>
      </c>
      <c r="F169" s="21" t="s">
        <v>19</v>
      </c>
      <c r="G169" s="21">
        <v>18</v>
      </c>
      <c r="H169" s="21">
        <v>79</v>
      </c>
      <c r="I169" s="21">
        <v>29</v>
      </c>
      <c r="J169" s="21">
        <v>17</v>
      </c>
      <c r="K169" s="21">
        <v>8</v>
      </c>
      <c r="L169" s="21">
        <v>0</v>
      </c>
      <c r="M169" s="21">
        <v>1</v>
      </c>
      <c r="N169" s="21">
        <v>21</v>
      </c>
      <c r="O169" s="21">
        <v>63</v>
      </c>
      <c r="P169" s="21">
        <v>0</v>
      </c>
      <c r="Q169" s="21">
        <v>0</v>
      </c>
      <c r="R169" s="21">
        <v>0</v>
      </c>
      <c r="S169" s="21">
        <v>0</v>
      </c>
      <c r="T169" s="21">
        <v>44</v>
      </c>
      <c r="U169" s="6">
        <f>J$1*((-2*10^-6)*J169^3+0.00032*J169^2-0.0021*J169)+K$1*((-2*10^-6)*K169^3+0.00032*K169^2-0.0021*K169)+L$1*((-2*10^-6)*L169^3+0.00032*L169^2-0.0021*L169)+M$1*((-2*10^-6)*M169^3+0.00032*M169^2-0.0021*M169)+N$1*((-2*10^-6)*N169^3+0.00032*N169^2-0.0021*N169)</f>
        <v>0.11190720000000003</v>
      </c>
      <c r="V169">
        <f>O$1*((-2*10^-6)*N169^3+0.00032*N169^2-0.0021*N169)+P$1*((-2*10^-6)*O169^3+0.00032*O169^2-0.0021*O169)+Q$1*((-2*10^-6)*P169^3+0.00032*P169^2-0.0021*P169)+R$1*((-2*10^-6)*Q169^3+0.00032*Q169^2-0.0021*Q169)+S$1*((-2*10^-6)*R169^3+0.00032*R169^2-0.0021*R169)</f>
        <v>1.4323680000000005</v>
      </c>
      <c r="W169" s="6">
        <f>(H$1*H169+I$1*I169)/100</f>
        <v>1.95</v>
      </c>
      <c r="X169">
        <f>U169*J$2+V169*O$2+W169*H$2</f>
        <v>5.2623648000000012</v>
      </c>
      <c r="Y169" t="str">
        <f>IF(AND(I169&gt;50,H169+I169&gt;75),"SP",IF(2*H169+I169&gt;120,"RP","CRAP"))</f>
        <v>RP</v>
      </c>
    </row>
    <row r="170" spans="1:25" ht="13.5" customHeight="1" thickBot="1" x14ac:dyDescent="0.35">
      <c r="A170">
        <f>(W170*H$2+U170*J$2+V170*O$2)*100/(W$4*H$2+U$4*J$2+V$4*O$2)</f>
        <v>14.633566651805616</v>
      </c>
      <c r="B170" s="20">
        <v>190</v>
      </c>
      <c r="C170" s="13" t="s">
        <v>218</v>
      </c>
      <c r="D170" s="21" t="s">
        <v>4</v>
      </c>
      <c r="E170" s="21" t="s">
        <v>20</v>
      </c>
      <c r="F170" s="21" t="s">
        <v>20</v>
      </c>
      <c r="G170" s="21">
        <v>18</v>
      </c>
      <c r="H170" s="21">
        <v>80</v>
      </c>
      <c r="I170" s="21">
        <v>34</v>
      </c>
      <c r="J170" s="21">
        <v>2</v>
      </c>
      <c r="K170" s="21">
        <v>0</v>
      </c>
      <c r="L170" s="21">
        <v>0</v>
      </c>
      <c r="M170" s="21">
        <v>10</v>
      </c>
      <c r="N170" s="21">
        <v>46</v>
      </c>
      <c r="O170" s="21">
        <v>41</v>
      </c>
      <c r="P170" s="21">
        <v>0</v>
      </c>
      <c r="Q170" s="21">
        <v>0</v>
      </c>
      <c r="R170" s="21">
        <v>0</v>
      </c>
      <c r="S170" s="21">
        <v>0</v>
      </c>
      <c r="T170" s="21">
        <v>58</v>
      </c>
      <c r="U170" s="6">
        <f>J$1*((-2*10^-6)*J170^3+0.00032*J170^2-0.0021*J170)+K$1*((-2*10^-6)*K170^3+0.00032*K170^2-0.0021*K170)+L$1*((-2*10^-6)*L170^3+0.00032*L170^2-0.0021*L170)+M$1*((-2*10^-6)*M170^3+0.00032*M170^2-0.0021*M170)+N$1*((-2*10^-6)*N170^3+0.00032*N170^2-0.0021*N170)</f>
        <v>7.3097600000000026E-2</v>
      </c>
      <c r="V170">
        <f>O$1*((-2*10^-6)*N170^3+0.00032*N170^2-0.0021*N170)+P$1*((-2*10^-6)*O170^3+0.00032*O170^2-0.0021*O170)+Q$1*((-2*10^-6)*P170^3+0.00032*P170^2-0.0021*P170)+R$1*((-2*10^-6)*Q170^3+0.00032*Q170^2-0.0021*Q170)+S$1*((-2*10^-6)*R170^3+0.00032*R170^2-0.0021*R170)</f>
        <v>1.3996520000000001</v>
      </c>
      <c r="W170" s="6">
        <f>(H$1*H170+I$1*I170)/100</f>
        <v>2.16</v>
      </c>
      <c r="X170">
        <f>U170*J$2+V170*O$2+W170*H$2</f>
        <v>5.2516943999999999</v>
      </c>
      <c r="Y170" t="str">
        <f>IF(AND(I170&gt;50,H170+I170&gt;75),"SP",IF(2*H170+I170&gt;120,"RP","CRAP"))</f>
        <v>RP</v>
      </c>
    </row>
    <row r="171" spans="1:25" ht="13.5" customHeight="1" thickBot="1" x14ac:dyDescent="0.35">
      <c r="A171">
        <f>(W171*H$2+U171*J$2+V171*O$2)*100/(W$4*H$2+U$4*J$2+V$4*O$2)</f>
        <v>14.606564868479714</v>
      </c>
      <c r="B171" s="20">
        <v>194</v>
      </c>
      <c r="C171" s="13" t="s">
        <v>222</v>
      </c>
      <c r="D171" s="21" t="s">
        <v>4</v>
      </c>
      <c r="E171" s="21" t="s">
        <v>20</v>
      </c>
      <c r="F171" s="21" t="s">
        <v>19</v>
      </c>
      <c r="G171" s="21">
        <v>18</v>
      </c>
      <c r="H171" s="21">
        <v>84</v>
      </c>
      <c r="I171" s="21">
        <v>21</v>
      </c>
      <c r="J171" s="21">
        <v>22</v>
      </c>
      <c r="K171" s="21">
        <v>13</v>
      </c>
      <c r="L171" s="21">
        <v>7</v>
      </c>
      <c r="M171" s="21">
        <v>17</v>
      </c>
      <c r="N171" s="21">
        <v>8</v>
      </c>
      <c r="O171" s="21">
        <v>66</v>
      </c>
      <c r="P171" s="21">
        <v>0</v>
      </c>
      <c r="Q171" s="21">
        <v>0</v>
      </c>
      <c r="R171" s="21">
        <v>0</v>
      </c>
      <c r="S171" s="21">
        <v>0</v>
      </c>
      <c r="T171" s="21">
        <v>43</v>
      </c>
      <c r="U171" s="6">
        <f>J$1*((-2*10^-6)*J171^3+0.00032*J171^2-0.0021*J171)+K$1*((-2*10^-6)*K171^3+0.00032*K171^2-0.0021*K171)+L$1*((-2*10^-6)*L171^3+0.00032*L171^2-0.0021*L171)+M$1*((-2*10^-6)*M171^3+0.00032*M171^2-0.0021*M171)+N$1*((-2*10^-6)*N171^3+0.00032*N171^2-0.0021*N171)</f>
        <v>0.20751700000000006</v>
      </c>
      <c r="V171">
        <f>O$1*((-2*10^-6)*N171^3+0.00032*N171^2-0.0021*N171)+P$1*((-2*10^-6)*O171^3+0.00032*O171^2-0.0021*O171)+Q$1*((-2*10^-6)*P171^3+0.00032*P171^2-0.0021*P171)+R$1*((-2*10^-6)*Q171^3+0.00032*Q171^2-0.0021*Q171)+S$1*((-2*10^-6)*R171^3+0.00032*R171^2-0.0021*R171)</f>
        <v>1.3659680000000001</v>
      </c>
      <c r="W171" s="6">
        <f>(H$1*H171+I$1*I171)/100</f>
        <v>1.68</v>
      </c>
      <c r="X171">
        <f>U171*J$2+V171*O$2+W171*H$2</f>
        <v>5.2420040000000006</v>
      </c>
      <c r="Y171" t="str">
        <f>IF(AND(I171&gt;50,H171+I171&gt;75),"SP",IF(2*H171+I171&gt;120,"RP","CRAP"))</f>
        <v>RP</v>
      </c>
    </row>
    <row r="172" spans="1:25" ht="13.5" customHeight="1" thickBot="1" x14ac:dyDescent="0.35">
      <c r="A172">
        <f>(W172*H$2+U172*J$2+V172*O$2)*100/(W$4*H$2+U$4*J$2+V$4*O$2)</f>
        <v>14.447534551939368</v>
      </c>
      <c r="B172" s="20">
        <v>104</v>
      </c>
      <c r="C172" s="13" t="s">
        <v>132</v>
      </c>
      <c r="D172" s="21" t="s">
        <v>8</v>
      </c>
      <c r="E172" s="21" t="s">
        <v>19</v>
      </c>
      <c r="F172" s="21" t="s">
        <v>19</v>
      </c>
      <c r="G172" s="21">
        <v>18</v>
      </c>
      <c r="H172" s="21">
        <v>83</v>
      </c>
      <c r="I172" s="21">
        <v>17</v>
      </c>
      <c r="J172" s="21">
        <v>5</v>
      </c>
      <c r="K172" s="21">
        <v>7</v>
      </c>
      <c r="L172" s="21">
        <v>10</v>
      </c>
      <c r="M172" s="21">
        <v>32</v>
      </c>
      <c r="N172" s="21">
        <v>30</v>
      </c>
      <c r="O172" s="21">
        <v>65</v>
      </c>
      <c r="P172" s="21">
        <v>0</v>
      </c>
      <c r="Q172" s="21">
        <v>0</v>
      </c>
      <c r="R172" s="21">
        <v>0</v>
      </c>
      <c r="S172" s="21">
        <v>0</v>
      </c>
      <c r="T172" s="21">
        <v>50</v>
      </c>
      <c r="U172" s="6">
        <f>J$1*((-2*10^-6)*J172^3+0.00032*J172^2-0.0021*J172)+K$1*((-2*10^-6)*K172^3+0.00032*K172^2-0.0021*K172)+L$1*((-2*10^-6)*L172^3+0.00032*L172^2-0.0021*L172)+M$1*((-2*10^-6)*M172^3+0.00032*M172^2-0.0021*M172)+N$1*((-2*10^-6)*N172^3+0.00032*N172^2-0.0021*N172)</f>
        <v>8.1482800000000036E-2</v>
      </c>
      <c r="V172">
        <f>O$1*((-2*10^-6)*N172^3+0.00032*N172^2-0.0021*N172)+P$1*((-2*10^-6)*O172^3+0.00032*O172^2-0.0021*O172)+Q$1*((-2*10^-6)*P172^3+0.00032*P172^2-0.0021*P172)+R$1*((-2*10^-6)*Q172^3+0.00032*Q172^2-0.0021*Q172)+S$1*((-2*10^-6)*R172^3+0.00032*R172^2-0.0021*R172)</f>
        <v>1.6745000000000003</v>
      </c>
      <c r="W172" s="6">
        <f>(H$1*H172+I$1*I172)/100</f>
        <v>1.51</v>
      </c>
      <c r="X172">
        <f>U172*J$2+V172*O$2+W172*H$2</f>
        <v>5.1849312000000012</v>
      </c>
      <c r="Y172" t="str">
        <f>IF(AND(I172&gt;50,H172+I172&gt;75),"SP",IF(2*H172+I172&gt;120,"RP","CRAP"))</f>
        <v>RP</v>
      </c>
    </row>
    <row r="173" spans="1:25" ht="13.5" customHeight="1" thickBot="1" x14ac:dyDescent="0.35">
      <c r="A173">
        <f>(W173*H$2+U173*J$2+V173*O$2)*100/(W$4*H$2+U$4*J$2+V$4*O$2)</f>
        <v>14.283205528310301</v>
      </c>
      <c r="B173" s="20">
        <v>48</v>
      </c>
      <c r="C173" s="13" t="s">
        <v>76</v>
      </c>
      <c r="D173" s="21" t="s">
        <v>5</v>
      </c>
      <c r="E173" s="21" t="s">
        <v>19</v>
      </c>
      <c r="F173" s="21" t="s">
        <v>19</v>
      </c>
      <c r="G173" s="21">
        <v>21</v>
      </c>
      <c r="H173" s="21">
        <v>100</v>
      </c>
      <c r="I173" s="21">
        <v>12</v>
      </c>
      <c r="J173" s="21">
        <v>27</v>
      </c>
      <c r="K173" s="21">
        <v>15</v>
      </c>
      <c r="L173" s="21">
        <v>18</v>
      </c>
      <c r="M173" s="21">
        <v>0</v>
      </c>
      <c r="N173" s="21">
        <v>38</v>
      </c>
      <c r="O173" s="21">
        <v>32</v>
      </c>
      <c r="P173" s="21">
        <v>0</v>
      </c>
      <c r="Q173" s="21">
        <v>0</v>
      </c>
      <c r="R173" s="21">
        <v>0</v>
      </c>
      <c r="S173" s="21">
        <v>0</v>
      </c>
      <c r="T173" s="21">
        <v>83</v>
      </c>
      <c r="U173" s="6">
        <f>J$1*((-2*10^-6)*J173^3+0.00032*J173^2-0.0021*J173)+K$1*((-2*10^-6)*K173^3+0.00032*K173^2-0.0021*K173)+L$1*((-2*10^-6)*L173^3+0.00032*L173^2-0.0021*L173)+M$1*((-2*10^-6)*M173^3+0.00032*M173^2-0.0021*M173)+N$1*((-2*10^-6)*N173^3+0.00032*N173^2-0.0021*N173)</f>
        <v>0.4440092000000001</v>
      </c>
      <c r="V173">
        <f>O$1*((-2*10^-6)*N173^3+0.00032*N173^2-0.0021*N173)+P$1*((-2*10^-6)*O173^3+0.00032*O173^2-0.0021*O173)+Q$1*((-2*10^-6)*P173^3+0.00032*P173^2-0.0021*P173)+R$1*((-2*10^-6)*Q173^3+0.00032*Q173^2-0.0021*Q173)+S$1*((-2*10^-6)*R173^3+0.00032*R173^2-0.0021*R173)</f>
        <v>0.93496000000000024</v>
      </c>
      <c r="W173" s="6">
        <f>(H$1*H173+I$1*I173)/100</f>
        <v>1.48</v>
      </c>
      <c r="X173">
        <f>U173*J$2+V173*O$2+W173*H$2</f>
        <v>5.1259568000000009</v>
      </c>
      <c r="Y173" t="str">
        <f>IF(AND(I173&gt;50,H173+I173&gt;75),"SP",IF(2*H173+I173&gt;120,"RP","CRAP"))</f>
        <v>RP</v>
      </c>
    </row>
    <row r="174" spans="1:25" ht="13.5" customHeight="1" thickBot="1" x14ac:dyDescent="0.35">
      <c r="A174">
        <f>(W174*H$2+U174*J$2+V174*O$2)*100/(W$4*H$2+U$4*J$2+V$4*O$2)</f>
        <v>14.167162282657159</v>
      </c>
      <c r="B174" s="20">
        <v>120</v>
      </c>
      <c r="C174" s="13" t="s">
        <v>148</v>
      </c>
      <c r="D174" s="21" t="s">
        <v>9</v>
      </c>
      <c r="E174" s="21" t="s">
        <v>21</v>
      </c>
      <c r="F174" s="21" t="s">
        <v>20</v>
      </c>
      <c r="G174" s="21">
        <v>18</v>
      </c>
      <c r="H174" s="21">
        <v>83</v>
      </c>
      <c r="I174" s="21">
        <v>18</v>
      </c>
      <c r="J174" s="21">
        <v>0</v>
      </c>
      <c r="K174" s="21">
        <v>20</v>
      </c>
      <c r="L174" s="21">
        <v>21</v>
      </c>
      <c r="M174" s="21">
        <v>10</v>
      </c>
      <c r="N174" s="21">
        <v>17</v>
      </c>
      <c r="O174" s="21">
        <v>63</v>
      </c>
      <c r="P174" s="21">
        <v>0</v>
      </c>
      <c r="Q174" s="21">
        <v>0</v>
      </c>
      <c r="R174" s="21">
        <v>0</v>
      </c>
      <c r="S174" s="21">
        <v>0</v>
      </c>
      <c r="T174" s="21">
        <v>47</v>
      </c>
      <c r="U174" s="6">
        <f>J$1*((-2*10^-6)*J174^3+0.00032*J174^2-0.0021*J174)+K$1*((-2*10^-6)*K174^3+0.00032*K174^2-0.0021*K174)+L$1*((-2*10^-6)*L174^3+0.00032*L174^2-0.0021*L174)+M$1*((-2*10^-6)*M174^3+0.00032*M174^2-0.0021*M174)+N$1*((-2*10^-6)*N174^3+0.00032*N174^2-0.0021*N174)</f>
        <v>0.19893780000000005</v>
      </c>
      <c r="V174">
        <f>O$1*((-2*10^-6)*N174^3+0.00032*N174^2-0.0021*N174)+P$1*((-2*10^-6)*O174^3+0.00032*O174^2-0.0021*O174)+Q$1*((-2*10^-6)*P174^3+0.00032*P174^2-0.0021*P174)+R$1*((-2*10^-6)*Q174^3+0.00032*Q174^2-0.0021*Q174)+S$1*((-2*10^-6)*R174^3+0.00032*R174^2-0.0021*R174)</f>
        <v>1.3692800000000005</v>
      </c>
      <c r="W174" s="6">
        <f>(H$1*H174+I$1*I174)/100</f>
        <v>1.55</v>
      </c>
      <c r="X174">
        <f>U174*J$2+V174*O$2+W174*H$2</f>
        <v>5.084311200000001</v>
      </c>
      <c r="Y174" t="str">
        <f>IF(AND(I174&gt;50,H174+I174&gt;75),"SP",IF(2*H174+I174&gt;120,"RP","CRAP"))</f>
        <v>RP</v>
      </c>
    </row>
    <row r="175" spans="1:25" ht="13.5" customHeight="1" thickBot="1" x14ac:dyDescent="0.35">
      <c r="A175">
        <f>(W175*H$2+U175*J$2+V175*O$2)*100/(W$4*H$2+U$4*J$2+V$4*O$2)</f>
        <v>14.083588943379402</v>
      </c>
      <c r="B175" s="20">
        <v>148</v>
      </c>
      <c r="C175" s="13" t="s">
        <v>176</v>
      </c>
      <c r="D175" s="21" t="s">
        <v>9</v>
      </c>
      <c r="E175" s="21" t="s">
        <v>19</v>
      </c>
      <c r="F175" s="21" t="s">
        <v>19</v>
      </c>
      <c r="G175" s="21">
        <v>18</v>
      </c>
      <c r="H175" s="21">
        <v>92</v>
      </c>
      <c r="I175" s="21">
        <v>35</v>
      </c>
      <c r="J175" s="21">
        <v>14</v>
      </c>
      <c r="K175" s="21">
        <v>16</v>
      </c>
      <c r="L175" s="21">
        <v>8</v>
      </c>
      <c r="M175" s="21">
        <v>10</v>
      </c>
      <c r="N175" s="21">
        <v>26</v>
      </c>
      <c r="O175" s="21">
        <v>49</v>
      </c>
      <c r="P175" s="21">
        <v>0</v>
      </c>
      <c r="Q175" s="21">
        <v>0</v>
      </c>
      <c r="R175" s="21">
        <v>0</v>
      </c>
      <c r="S175" s="21">
        <v>0</v>
      </c>
      <c r="T175" s="21">
        <v>43</v>
      </c>
      <c r="U175" s="6">
        <f>J$1*((-2*10^-6)*J175^3+0.00032*J175^2-0.0021*J175)+K$1*((-2*10^-6)*K175^3+0.00032*K175^2-0.0021*K175)+L$1*((-2*10^-6)*L175^3+0.00032*L175^2-0.0021*L175)+M$1*((-2*10^-6)*M175^3+0.00032*M175^2-0.0021*M175)+N$1*((-2*10^-6)*N175^3+0.00032*N175^2-0.0021*N175)</f>
        <v>0.12688960000000005</v>
      </c>
      <c r="V175">
        <f>O$1*((-2*10^-6)*N175^3+0.00032*N175^2-0.0021*N175)+P$1*((-2*10^-6)*O175^3+0.00032*O175^2-0.0021*O175)+Q$1*((-2*10^-6)*P175^3+0.00032*P175^2-0.0021*P175)+R$1*((-2*10^-6)*Q175^3+0.00032*Q175^2-0.0021*Q175)+S$1*((-2*10^-6)*R175^3+0.00032*R175^2-0.0021*R175)</f>
        <v>1.1133800000000003</v>
      </c>
      <c r="W175" s="6">
        <f>(H$1*H175+I$1*I175)/100</f>
        <v>2.3199999999999998</v>
      </c>
      <c r="X175">
        <f>U175*J$2+V175*O$2+W175*H$2</f>
        <v>5.0543184000000005</v>
      </c>
      <c r="Y175" t="str">
        <f>IF(AND(I175&gt;50,H175+I175&gt;75),"SP",IF(2*H175+I175&gt;120,"RP","CRAP"))</f>
        <v>RP</v>
      </c>
    </row>
    <row r="176" spans="1:25" ht="13.5" customHeight="1" thickBot="1" x14ac:dyDescent="0.35">
      <c r="A176">
        <f>(W176*H$2+U176*J$2+V176*O$2)*100/(W$4*H$2+U$4*J$2+V$4*O$2)</f>
        <v>14.061422202407494</v>
      </c>
      <c r="B176" s="20">
        <v>128</v>
      </c>
      <c r="C176" s="13" t="s">
        <v>156</v>
      </c>
      <c r="D176" s="21" t="s">
        <v>10</v>
      </c>
      <c r="E176" s="21" t="s">
        <v>19</v>
      </c>
      <c r="F176" s="21" t="s">
        <v>19</v>
      </c>
      <c r="G176" s="21">
        <v>18</v>
      </c>
      <c r="H176" s="21">
        <v>91</v>
      </c>
      <c r="I176" s="21">
        <v>20</v>
      </c>
      <c r="J176" s="21">
        <v>3</v>
      </c>
      <c r="K176" s="21">
        <v>12</v>
      </c>
      <c r="L176" s="21">
        <v>4</v>
      </c>
      <c r="M176" s="21">
        <v>11</v>
      </c>
      <c r="N176" s="21">
        <v>43</v>
      </c>
      <c r="O176" s="21">
        <v>48</v>
      </c>
      <c r="P176" s="21">
        <v>0</v>
      </c>
      <c r="Q176" s="21">
        <v>0</v>
      </c>
      <c r="R176" s="21">
        <v>0</v>
      </c>
      <c r="S176" s="21">
        <v>0</v>
      </c>
      <c r="T176" s="21">
        <v>45</v>
      </c>
      <c r="U176" s="6">
        <f>J$1*((-2*10^-6)*J176^3+0.00032*J176^2-0.0021*J176)+K$1*((-2*10^-6)*K176^3+0.00032*K176^2-0.0021*K176)+L$1*((-2*10^-6)*L176^3+0.00032*L176^2-0.0021*L176)+M$1*((-2*10^-6)*M176^3+0.00032*M176^2-0.0021*M176)+N$1*((-2*10^-6)*N176^3+0.00032*N176^2-0.0021*N176)</f>
        <v>7.6428800000000033E-2</v>
      </c>
      <c r="V176">
        <f>O$1*((-2*10^-6)*N176^3+0.00032*N176^2-0.0021*N176)+P$1*((-2*10^-6)*O176^3+0.00032*O176^2-0.0021*O176)+Q$1*((-2*10^-6)*P176^3+0.00032*P176^2-0.0021*P176)+R$1*((-2*10^-6)*Q176^3+0.00032*Q176^2-0.0021*Q176)+S$1*((-2*10^-6)*R176^3+0.00032*R176^2-0.0021*R176)</f>
        <v>1.5153240000000006</v>
      </c>
      <c r="W176" s="6">
        <f>(H$1*H176+I$1*I176)/100</f>
        <v>1.71</v>
      </c>
      <c r="X176">
        <f>U176*J$2+V176*O$2+W176*H$2</f>
        <v>5.0463632000000018</v>
      </c>
      <c r="Y176" t="str">
        <f>IF(AND(I176&gt;50,H176+I176&gt;75),"SP",IF(2*H176+I176&gt;120,"RP","CRAP"))</f>
        <v>RP</v>
      </c>
    </row>
    <row r="177" spans="1:25" ht="13.5" customHeight="1" thickBot="1" x14ac:dyDescent="0.35">
      <c r="A177">
        <f>(W177*H$2+U177*J$2+V177*O$2)*100/(W$4*H$2+U$4*J$2+V$4*O$2)</f>
        <v>13.999313419527418</v>
      </c>
      <c r="B177" s="20">
        <v>160</v>
      </c>
      <c r="C177" s="13" t="s">
        <v>188</v>
      </c>
      <c r="D177" s="21" t="s">
        <v>7</v>
      </c>
      <c r="E177" s="21" t="s">
        <v>20</v>
      </c>
      <c r="F177" s="21" t="s">
        <v>19</v>
      </c>
      <c r="G177" s="21">
        <v>18</v>
      </c>
      <c r="H177" s="21">
        <v>77</v>
      </c>
      <c r="I177" s="21">
        <v>25</v>
      </c>
      <c r="J177" s="21">
        <v>0</v>
      </c>
      <c r="K177" s="21">
        <v>0</v>
      </c>
      <c r="L177" s="21">
        <v>8</v>
      </c>
      <c r="M177" s="21">
        <v>3</v>
      </c>
      <c r="N177" s="21">
        <v>23</v>
      </c>
      <c r="O177" s="21">
        <v>67</v>
      </c>
      <c r="P177" s="21">
        <v>0</v>
      </c>
      <c r="Q177" s="21">
        <v>0</v>
      </c>
      <c r="R177" s="21">
        <v>0</v>
      </c>
      <c r="S177" s="21">
        <v>0</v>
      </c>
      <c r="T177" s="21">
        <v>37</v>
      </c>
      <c r="U177" s="6">
        <f>J$1*((-2*10^-6)*J177^3+0.00032*J177^2-0.0021*J177)+K$1*((-2*10^-6)*K177^3+0.00032*K177^2-0.0021*K177)+L$1*((-2*10^-6)*L177^3+0.00032*L177^2-0.0021*L177)+M$1*((-2*10^-6)*M177^3+0.00032*M177^2-0.0021*M177)+N$1*((-2*10^-6)*N177^3+0.00032*N177^2-0.0021*N177)</f>
        <v>2.2618400000000007E-2</v>
      </c>
      <c r="V177">
        <f>O$1*((-2*10^-6)*N177^3+0.00032*N177^2-0.0021*N177)+P$1*((-2*10^-6)*O177^3+0.00032*O177^2-0.0021*O177)+Q$1*((-2*10^-6)*P177^3+0.00032*P177^2-0.0021*P177)+R$1*((-2*10^-6)*Q177^3+0.00032*Q177^2-0.0021*Q177)+S$1*((-2*10^-6)*R177^3+0.00032*R177^2-0.0021*R177)</f>
        <v>1.5818000000000003</v>
      </c>
      <c r="W177" s="6">
        <f>(H$1*H177+I$1*I177)/100</f>
        <v>1.77</v>
      </c>
      <c r="X177">
        <f>U177*J$2+V177*O$2+W177*H$2</f>
        <v>5.0240736000000012</v>
      </c>
      <c r="Y177" t="str">
        <f>IF(AND(I177&gt;50,H177+I177&gt;75),"SP",IF(2*H177+I177&gt;120,"RP","CRAP"))</f>
        <v>RP</v>
      </c>
    </row>
    <row r="178" spans="1:25" ht="13.5" customHeight="1" thickBot="1" x14ac:dyDescent="0.35">
      <c r="A178">
        <f>(W178*H$2+U178*J$2+V178*O$2)*100/(W$4*H$2+U$4*J$2+V$4*O$2)</f>
        <v>13.995519393669191</v>
      </c>
      <c r="B178" s="18">
        <v>191</v>
      </c>
      <c r="C178" s="12" t="s">
        <v>219</v>
      </c>
      <c r="D178" s="19" t="s">
        <v>4</v>
      </c>
      <c r="E178" s="19" t="s">
        <v>20</v>
      </c>
      <c r="F178" s="19" t="s">
        <v>20</v>
      </c>
      <c r="G178" s="19">
        <v>18</v>
      </c>
      <c r="H178" s="19">
        <v>100</v>
      </c>
      <c r="I178" s="19">
        <v>33</v>
      </c>
      <c r="J178" s="19">
        <v>30</v>
      </c>
      <c r="K178" s="19">
        <v>9</v>
      </c>
      <c r="L178" s="19">
        <v>0</v>
      </c>
      <c r="M178" s="19">
        <v>16</v>
      </c>
      <c r="N178" s="19">
        <v>19</v>
      </c>
      <c r="O178" s="19">
        <v>36</v>
      </c>
      <c r="P178" s="19">
        <v>0</v>
      </c>
      <c r="Q178" s="19">
        <v>0</v>
      </c>
      <c r="R178" s="19">
        <v>0</v>
      </c>
      <c r="S178" s="19">
        <v>0</v>
      </c>
      <c r="T178" s="19">
        <v>55</v>
      </c>
      <c r="U178" s="6">
        <f>J$1*((-2*10^-6)*J178^3+0.00032*J178^2-0.0021*J178)+K$1*((-2*10^-6)*K178^3+0.00032*K178^2-0.0021*K178)+L$1*((-2*10^-6)*L178^3+0.00032*L178^2-0.0021*L178)+M$1*((-2*10^-6)*M178^3+0.00032*M178^2-0.0021*M178)+N$1*((-2*10^-6)*N178^3+0.00032*N178^2-0.0021*N178)</f>
        <v>0.36796800000000013</v>
      </c>
      <c r="V178">
        <f>O$1*((-2*10^-6)*N178^3+0.00032*N178^2-0.0021*N178)+P$1*((-2*10^-6)*O178^3+0.00032*O178^2-0.0021*O178)+Q$1*((-2*10^-6)*P178^3+0.00032*P178^2-0.0021*P178)+R$1*((-2*10^-6)*Q178^3+0.00032*Q178^2-0.0021*Q178)+S$1*((-2*10^-6)*R178^3+0.00032*R178^2-0.0021*R178)</f>
        <v>0.61542000000000008</v>
      </c>
      <c r="W178" s="6">
        <f>(H$1*H178+I$1*I178)/100</f>
        <v>2.3199999999999998</v>
      </c>
      <c r="X178">
        <f>U178*J$2+V178*O$2+W178*H$2</f>
        <v>5.0227120000000003</v>
      </c>
      <c r="Y178" t="str">
        <f>IF(AND(I178&gt;50,H178+I178&gt;75),"SP",IF(2*H178+I178&gt;120,"RP","CRAP"))</f>
        <v>RP</v>
      </c>
    </row>
    <row r="179" spans="1:25" ht="13.5" customHeight="1" thickBot="1" x14ac:dyDescent="0.35">
      <c r="A179">
        <f>(W179*H$2+U179*J$2+V179*O$2)*100/(W$4*H$2+U$4*J$2+V$4*O$2)</f>
        <v>13.7910164957646</v>
      </c>
      <c r="B179" s="20">
        <v>196</v>
      </c>
      <c r="C179" s="13" t="s">
        <v>224</v>
      </c>
      <c r="D179" s="21" t="s">
        <v>4</v>
      </c>
      <c r="E179" s="21" t="s">
        <v>19</v>
      </c>
      <c r="F179" s="21" t="s">
        <v>19</v>
      </c>
      <c r="G179" s="21">
        <v>21</v>
      </c>
      <c r="H179" s="21">
        <v>95</v>
      </c>
      <c r="I179" s="21">
        <v>29</v>
      </c>
      <c r="J179" s="21">
        <v>28</v>
      </c>
      <c r="K179" s="21">
        <v>0</v>
      </c>
      <c r="L179" s="21">
        <v>28</v>
      </c>
      <c r="M179" s="21">
        <v>3</v>
      </c>
      <c r="N179" s="21">
        <v>12</v>
      </c>
      <c r="O179" s="21">
        <v>30</v>
      </c>
      <c r="P179" s="21">
        <v>0</v>
      </c>
      <c r="Q179" s="21">
        <v>0</v>
      </c>
      <c r="R179" s="21">
        <v>0</v>
      </c>
      <c r="S179" s="21">
        <v>0</v>
      </c>
      <c r="T179" s="21">
        <v>50</v>
      </c>
      <c r="U179" s="6">
        <f>J$1*((-2*10^-6)*J179^3+0.00032*J179^2-0.0021*J179)+K$1*((-2*10^-6)*K179^3+0.00032*K179^2-0.0021*K179)+L$1*((-2*10^-6)*L179^3+0.00032*L179^2-0.0021*L179)+M$1*((-2*10^-6)*M179^3+0.00032*M179^2-0.0021*M179)+N$1*((-2*10^-6)*N179^3+0.00032*N179^2-0.0021*N179)</f>
        <v>0.52140600000000015</v>
      </c>
      <c r="V179">
        <f>O$1*((-2*10^-6)*N179^3+0.00032*N179^2-0.0021*N179)+P$1*((-2*10^-6)*O179^3+0.00032*O179^2-0.0021*O179)+Q$1*((-2*10^-6)*P179^3+0.00032*P179^2-0.0021*P179)+R$1*((-2*10^-6)*Q179^3+0.00032*Q179^2-0.0021*Q179)+S$1*((-2*10^-6)*R179^3+0.00032*R179^2-0.0021*R179)</f>
        <v>0.37684800000000007</v>
      </c>
      <c r="W179" s="6">
        <f>(H$1*H179+I$1*I179)/100</f>
        <v>2.11</v>
      </c>
      <c r="X179">
        <f>U179*J$2+V179*O$2+W179*H$2</f>
        <v>4.9493200000000002</v>
      </c>
      <c r="Y179" t="str">
        <f>IF(AND(I179&gt;50,H179+I179&gt;75),"SP",IF(2*H179+I179&gt;120,"RP","CRAP"))</f>
        <v>RP</v>
      </c>
    </row>
    <row r="180" spans="1:25" ht="13.5" customHeight="1" thickBot="1" x14ac:dyDescent="0.35">
      <c r="A180">
        <f>(W180*H$2+U180*J$2+V180*O$2)*100/(W$4*H$2+U$4*J$2+V$4*O$2)</f>
        <v>13.657367365135979</v>
      </c>
      <c r="B180" s="20">
        <v>138</v>
      </c>
      <c r="C180" s="13" t="s">
        <v>166</v>
      </c>
      <c r="D180" s="21" t="s">
        <v>7</v>
      </c>
      <c r="E180" s="21" t="s">
        <v>19</v>
      </c>
      <c r="F180" s="21" t="s">
        <v>19</v>
      </c>
      <c r="G180" s="21">
        <v>18</v>
      </c>
      <c r="H180" s="21">
        <v>90</v>
      </c>
      <c r="I180" s="21">
        <v>29</v>
      </c>
      <c r="J180" s="21">
        <v>20</v>
      </c>
      <c r="K180" s="21">
        <v>7</v>
      </c>
      <c r="L180" s="21">
        <v>3</v>
      </c>
      <c r="M180" s="21">
        <v>0</v>
      </c>
      <c r="N180" s="21">
        <v>10</v>
      </c>
      <c r="O180" s="21">
        <v>58</v>
      </c>
      <c r="P180" s="21">
        <v>0</v>
      </c>
      <c r="Q180" s="21">
        <v>0</v>
      </c>
      <c r="R180" s="21">
        <v>0</v>
      </c>
      <c r="S180" s="21">
        <v>0</v>
      </c>
      <c r="T180" s="21">
        <v>45</v>
      </c>
      <c r="U180" s="6">
        <f>J$1*((-2*10^-6)*J180^3+0.00032*J180^2-0.0021*J180)+K$1*((-2*10^-6)*K180^3+0.00032*K180^2-0.0021*K180)+L$1*((-2*10^-6)*L180^3+0.00032*L180^2-0.0021*L180)+M$1*((-2*10^-6)*M180^3+0.00032*M180^2-0.0021*M180)+N$1*((-2*10^-6)*N180^3+0.00032*N180^2-0.0021*N180)</f>
        <v>0.13688300000000003</v>
      </c>
      <c r="V180">
        <f>O$1*((-2*10^-6)*N180^3+0.00032*N180^2-0.0021*N180)+P$1*((-2*10^-6)*O180^3+0.00032*O180^2-0.0021*O180)+Q$1*((-2*10^-6)*P180^3+0.00032*P180^2-0.0021*P180)+R$1*((-2*10^-6)*Q180^3+0.00032*Q180^2-0.0021*Q180)+S$1*((-2*10^-6)*R180^3+0.00032*R180^2-0.0021*R180)</f>
        <v>1.1469120000000004</v>
      </c>
      <c r="W180" s="6">
        <f>(H$1*H180+I$1*I180)/100</f>
        <v>2.06</v>
      </c>
      <c r="X180">
        <f>U180*J$2+V180*O$2+W180*H$2</f>
        <v>4.9013560000000016</v>
      </c>
      <c r="Y180" t="str">
        <f>IF(AND(I180&gt;50,H180+I180&gt;75),"SP",IF(2*H180+I180&gt;120,"RP","CRAP"))</f>
        <v>RP</v>
      </c>
    </row>
    <row r="181" spans="1:25" ht="13.5" customHeight="1" thickBot="1" x14ac:dyDescent="0.35">
      <c r="A181">
        <f>(W181*H$2+U181*J$2+V181*O$2)*100/(W$4*H$2+U$4*J$2+V$4*O$2)</f>
        <v>13.639567543468571</v>
      </c>
      <c r="B181" s="20">
        <v>108</v>
      </c>
      <c r="C181" s="13" t="s">
        <v>136</v>
      </c>
      <c r="D181" s="21" t="s">
        <v>6</v>
      </c>
      <c r="E181" s="21" t="s">
        <v>20</v>
      </c>
      <c r="F181" s="21" t="s">
        <v>20</v>
      </c>
      <c r="G181" s="21">
        <v>18</v>
      </c>
      <c r="H181" s="21">
        <v>80</v>
      </c>
      <c r="I181" s="21">
        <v>17</v>
      </c>
      <c r="J181" s="21">
        <v>12</v>
      </c>
      <c r="K181" s="21">
        <v>0</v>
      </c>
      <c r="L181" s="21">
        <v>8</v>
      </c>
      <c r="M181" s="21">
        <v>2</v>
      </c>
      <c r="N181" s="21">
        <v>28</v>
      </c>
      <c r="O181" s="21">
        <v>63</v>
      </c>
      <c r="P181" s="21">
        <v>0</v>
      </c>
      <c r="Q181" s="21">
        <v>0</v>
      </c>
      <c r="R181" s="21">
        <v>0</v>
      </c>
      <c r="S181" s="21">
        <v>0</v>
      </c>
      <c r="T181" s="21">
        <v>49</v>
      </c>
      <c r="U181" s="6">
        <f>J$1*((-2*10^-6)*J181^3+0.00032*J181^2-0.0021*J181)+K$1*((-2*10^-6)*K181^3+0.00032*K181^2-0.0021*K181)+L$1*((-2*10^-6)*L181^3+0.00032*L181^2-0.0021*L181)+M$1*((-2*10^-6)*M181^3+0.00032*M181^2-0.0021*M181)+N$1*((-2*10^-6)*N181^3+0.00032*N181^2-0.0021*N181)</f>
        <v>6.7880000000000024E-2</v>
      </c>
      <c r="V181">
        <f>O$1*((-2*10^-6)*N181^3+0.00032*N181^2-0.0021*N181)+P$1*((-2*10^-6)*O181^3+0.00032*O181^2-0.0021*O181)+Q$1*((-2*10^-6)*P181^3+0.00032*P181^2-0.0021*P181)+R$1*((-2*10^-6)*Q181^3+0.00032*Q181^2-0.0021*Q181)+S$1*((-2*10^-6)*R181^3+0.00032*R181^2-0.0021*R181)</f>
        <v>1.5717240000000006</v>
      </c>
      <c r="W181" s="6">
        <f>(H$1*H181+I$1*I181)/100</f>
        <v>1.48</v>
      </c>
      <c r="X181">
        <f>U181*J$2+V181*O$2+W181*H$2</f>
        <v>4.8949680000000013</v>
      </c>
      <c r="Y181" t="str">
        <f>IF(AND(I181&gt;50,H181+I181&gt;75),"SP",IF(2*H181+I181&gt;120,"RP","CRAP"))</f>
        <v>RP</v>
      </c>
    </row>
    <row r="182" spans="1:25" ht="13.5" customHeight="1" thickBot="1" x14ac:dyDescent="0.35">
      <c r="A182">
        <f>(W182*H$2+U182*J$2+V182*O$2)*100/(W$4*H$2+U$4*J$2+V$4*O$2)</f>
        <v>13.250514935354433</v>
      </c>
      <c r="B182" s="18">
        <v>67</v>
      </c>
      <c r="C182" s="12" t="s">
        <v>95</v>
      </c>
      <c r="D182" s="19" t="s">
        <v>9</v>
      </c>
      <c r="E182" s="19" t="s">
        <v>20</v>
      </c>
      <c r="F182" s="19" t="s">
        <v>19</v>
      </c>
      <c r="G182" s="19">
        <v>18</v>
      </c>
      <c r="H182" s="19">
        <v>84</v>
      </c>
      <c r="I182" s="19">
        <v>37</v>
      </c>
      <c r="J182" s="19">
        <v>0</v>
      </c>
      <c r="K182" s="19">
        <v>0</v>
      </c>
      <c r="L182" s="19">
        <v>11</v>
      </c>
      <c r="M182" s="19">
        <v>3</v>
      </c>
      <c r="N182" s="19">
        <v>15</v>
      </c>
      <c r="O182" s="19">
        <v>57</v>
      </c>
      <c r="P182" s="19">
        <v>0</v>
      </c>
      <c r="Q182" s="19">
        <v>0</v>
      </c>
      <c r="R182" s="19">
        <v>0</v>
      </c>
      <c r="S182" s="19">
        <v>0</v>
      </c>
      <c r="T182" s="19">
        <v>58</v>
      </c>
      <c r="U182" s="6">
        <f>J$1*((-2*10^-6)*J182^3+0.00032*J182^2-0.0021*J182)+K$1*((-2*10^-6)*K182^3+0.00032*K182^2-0.0021*K182)+L$1*((-2*10^-6)*L182^3+0.00032*L182^2-0.0021*L182)+M$1*((-2*10^-6)*M182^3+0.00032*M182^2-0.0021*M182)+N$1*((-2*10^-6)*N182^3+0.00032*N182^2-0.0021*N182)</f>
        <v>2.5492200000000013E-2</v>
      </c>
      <c r="V182">
        <f>O$1*((-2*10^-6)*N182^3+0.00032*N182^2-0.0021*N182)+P$1*((-2*10^-6)*O182^3+0.00032*O182^2-0.0021*O182)+Q$1*((-2*10^-6)*P182^3+0.00032*P182^2-0.0021*P182)+R$1*((-2*10^-6)*Q182^3+0.00032*Q182^2-0.0021*Q182)+S$1*((-2*10^-6)*R182^3+0.00032*R182^2-0.0021*R182)</f>
        <v>1.1666880000000002</v>
      </c>
      <c r="W182" s="6">
        <f>(H$1*H182+I$1*I182)/100</f>
        <v>2.3199999999999998</v>
      </c>
      <c r="X182">
        <f>U182*J$2+V182*O$2+W182*H$2</f>
        <v>4.7553447999999996</v>
      </c>
      <c r="Y182" t="str">
        <f>IF(AND(I182&gt;50,H182+I182&gt;75),"SP",IF(2*H182+I182&gt;120,"RP","CRAP"))</f>
        <v>RP</v>
      </c>
    </row>
    <row r="183" spans="1:25" ht="13.5" customHeight="1" thickBot="1" x14ac:dyDescent="0.35">
      <c r="A183">
        <f>(W183*H$2+U183*J$2+V183*O$2)*100/(W$4*H$2+U$4*J$2+V$4*O$2)</f>
        <v>12.943760588497547</v>
      </c>
      <c r="B183" s="18">
        <v>43</v>
      </c>
      <c r="C183" s="12" t="s">
        <v>71</v>
      </c>
      <c r="D183" s="19" t="s">
        <v>8</v>
      </c>
      <c r="E183" s="19" t="s">
        <v>19</v>
      </c>
      <c r="F183" s="19" t="s">
        <v>19</v>
      </c>
      <c r="G183" s="19">
        <v>18</v>
      </c>
      <c r="H183" s="19">
        <v>73</v>
      </c>
      <c r="I183" s="19">
        <v>30</v>
      </c>
      <c r="J183" s="19">
        <v>8</v>
      </c>
      <c r="K183" s="19">
        <v>6</v>
      </c>
      <c r="L183" s="19">
        <v>5</v>
      </c>
      <c r="M183" s="19">
        <v>3</v>
      </c>
      <c r="N183" s="19">
        <v>35</v>
      </c>
      <c r="O183" s="19">
        <v>47</v>
      </c>
      <c r="P183" s="19">
        <v>0</v>
      </c>
      <c r="Q183" s="19">
        <v>0</v>
      </c>
      <c r="R183" s="19">
        <v>0</v>
      </c>
      <c r="S183" s="19">
        <v>0</v>
      </c>
      <c r="T183" s="19">
        <v>63</v>
      </c>
      <c r="U183" s="6">
        <f>J$1*((-2*10^-6)*J183^3+0.00032*J183^2-0.0021*J183)+K$1*((-2*10^-6)*K183^3+0.00032*K183^2-0.0021*K183)+L$1*((-2*10^-6)*L183^3+0.00032*L183^2-0.0021*L183)+M$1*((-2*10^-6)*M183^3+0.00032*M183^2-0.0021*M183)+N$1*((-2*10^-6)*N183^3+0.00032*N183^2-0.0021*N183)</f>
        <v>4.5530200000000014E-2</v>
      </c>
      <c r="V183">
        <f>O$1*((-2*10^-6)*N183^3+0.00032*N183^2-0.0021*N183)+P$1*((-2*10^-6)*O183^3+0.00032*O183^2-0.0021*O183)+Q$1*((-2*10^-6)*P183^3+0.00032*P183^2-0.0021*P183)+R$1*((-2*10^-6)*Q183^3+0.00032*Q183^2-0.0021*Q183)+S$1*((-2*10^-6)*R183^3+0.00032*R183^2-0.0021*R183)</f>
        <v>1.2665680000000001</v>
      </c>
      <c r="W183" s="6">
        <f>(H$1*H183+I$1*I183)/100</f>
        <v>1.93</v>
      </c>
      <c r="X183">
        <f>U183*J$2+V183*O$2+W183*H$2</f>
        <v>4.6452568000000003</v>
      </c>
      <c r="Y183" t="str">
        <f>IF(AND(I183&gt;50,H183+I183&gt;75),"SP",IF(2*H183+I183&gt;120,"RP","CRAP"))</f>
        <v>RP</v>
      </c>
    </row>
    <row r="184" spans="1:25" ht="13.5" customHeight="1" thickBot="1" x14ac:dyDescent="0.35">
      <c r="A184">
        <f>(W184*H$2+U184*J$2+V184*O$2)*100/(W$4*H$2+U$4*J$2+V$4*O$2)</f>
        <v>12.908218903254571</v>
      </c>
      <c r="B184" s="20">
        <v>176</v>
      </c>
      <c r="C184" s="13" t="s">
        <v>204</v>
      </c>
      <c r="D184" s="21" t="s">
        <v>8</v>
      </c>
      <c r="E184" s="21" t="s">
        <v>19</v>
      </c>
      <c r="F184" s="21" t="s">
        <v>19</v>
      </c>
      <c r="G184" s="21">
        <v>21</v>
      </c>
      <c r="H184" s="21">
        <v>54</v>
      </c>
      <c r="I184" s="21">
        <v>29</v>
      </c>
      <c r="J184" s="21">
        <v>4</v>
      </c>
      <c r="K184" s="21">
        <v>29</v>
      </c>
      <c r="L184" s="21">
        <v>3</v>
      </c>
      <c r="M184" s="21">
        <v>24</v>
      </c>
      <c r="N184" s="21">
        <v>0</v>
      </c>
      <c r="O184" s="21">
        <v>58</v>
      </c>
      <c r="P184" s="21">
        <v>0</v>
      </c>
      <c r="Q184" s="21">
        <v>0</v>
      </c>
      <c r="R184" s="21">
        <v>0</v>
      </c>
      <c r="S184" s="21">
        <v>0</v>
      </c>
      <c r="T184" s="21">
        <v>44</v>
      </c>
      <c r="U184" s="6">
        <f>J$1*((-2*10^-6)*J184^3+0.00032*J184^2-0.0021*J184)+K$1*((-2*10^-6)*K184^3+0.00032*K184^2-0.0021*K184)+L$1*((-2*10^-6)*L184^3+0.00032*L184^2-0.0021*L184)+M$1*((-2*10^-6)*M184^3+0.00032*M184^2-0.0021*M184)+N$1*((-2*10^-6)*N184^3+0.00032*N184^2-0.0021*N184)</f>
        <v>0.16866940000000005</v>
      </c>
      <c r="V184">
        <f>O$1*((-2*10^-6)*N184^3+0.00032*N184^2-0.0021*N184)+P$1*((-2*10^-6)*O184^3+0.00032*O184^2-0.0021*O184)+Q$1*((-2*10^-6)*P184^3+0.00032*P184^2-0.0021*P184)+R$1*((-2*10^-6)*Q184^3+0.00032*Q184^2-0.0021*Q184)+S$1*((-2*10^-6)*R184^3+0.00032*R184^2-0.0021*R184)</f>
        <v>1.1289120000000004</v>
      </c>
      <c r="W184" s="6">
        <f>(H$1*H184+I$1*I184)/100</f>
        <v>1.7</v>
      </c>
      <c r="X184">
        <f>U184*J$2+V184*O$2+W184*H$2</f>
        <v>4.6325016000000012</v>
      </c>
      <c r="Y184" t="str">
        <f>IF(AND(I184&gt;50,H184+I184&gt;75),"SP",IF(2*H184+I184&gt;120,"RP","CRAP"))</f>
        <v>RP</v>
      </c>
    </row>
    <row r="185" spans="1:25" ht="13.5" customHeight="1" thickBot="1" x14ac:dyDescent="0.35">
      <c r="A185">
        <f>(W185*H$2+U185*J$2+V185*O$2)*100/(W$4*H$2+U$4*J$2+V$4*O$2)</f>
        <v>12.695568435131518</v>
      </c>
      <c r="B185" s="20">
        <v>2</v>
      </c>
      <c r="C185" s="13" t="s">
        <v>30</v>
      </c>
      <c r="D185" s="21" t="s">
        <v>7</v>
      </c>
      <c r="E185" s="21" t="s">
        <v>19</v>
      </c>
      <c r="F185" s="21" t="s">
        <v>19</v>
      </c>
      <c r="G185" s="21">
        <v>18</v>
      </c>
      <c r="H185" s="21">
        <v>100</v>
      </c>
      <c r="I185" s="21">
        <v>31</v>
      </c>
      <c r="J185" s="21">
        <v>15</v>
      </c>
      <c r="K185" s="21">
        <v>9</v>
      </c>
      <c r="L185" s="21">
        <v>0</v>
      </c>
      <c r="M185" s="21">
        <v>14</v>
      </c>
      <c r="N185" s="21">
        <v>15</v>
      </c>
      <c r="O185" s="21">
        <v>51</v>
      </c>
      <c r="P185" s="21">
        <v>0</v>
      </c>
      <c r="Q185" s="21">
        <v>0</v>
      </c>
      <c r="R185" s="21">
        <v>0</v>
      </c>
      <c r="S185" s="21">
        <v>0</v>
      </c>
      <c r="T185" s="21">
        <v>80</v>
      </c>
      <c r="U185" s="6">
        <f>J$1*((-2*10^-6)*J185^3+0.00032*J185^2-0.0021*J185)+K$1*((-2*10^-6)*K185^3+0.00032*K185^2-0.0021*K185)+L$1*((-2*10^-6)*L185^3+0.00032*L185^2-0.0021*L185)+M$1*((-2*10^-6)*M185^3+0.00032*M185^2-0.0021*M185)+N$1*((-2*10^-6)*N185^3+0.00032*N185^2-0.0021*N185)</f>
        <v>8.5378400000000007E-2</v>
      </c>
      <c r="V185">
        <f>O$1*((-2*10^-6)*N185^3+0.00032*N185^2-0.0021*N185)+P$1*((-2*10^-6)*O185^3+0.00032*O185^2-0.0021*O185)+Q$1*((-2*10^-6)*P185^3+0.00032*P185^2-0.0021*P185)+R$1*((-2*10^-6)*Q185^3+0.00032*Q185^2-0.0021*Q185)+S$1*((-2*10^-6)*R185^3+0.00032*R185^2-0.0021*R185)</f>
        <v>0.9873360000000001</v>
      </c>
      <c r="W185" s="6">
        <f>(H$1*H185+I$1*I185)/100</f>
        <v>2.2400000000000002</v>
      </c>
      <c r="X185">
        <f>U185*J$2+V185*O$2+W185*H$2</f>
        <v>4.5561856000000009</v>
      </c>
      <c r="Y185" t="str">
        <f>IF(AND(I185&gt;50,H185+I185&gt;75),"SP",IF(2*H185+I185&gt;120,"RP","CRAP"))</f>
        <v>RP</v>
      </c>
    </row>
    <row r="186" spans="1:25" ht="13.5" customHeight="1" thickBot="1" x14ac:dyDescent="0.35">
      <c r="A186">
        <f>(W186*H$2+U186*J$2+V186*O$2)*100/(W$4*H$2+U$4*J$2+V$4*O$2)</f>
        <v>12.55121266161391</v>
      </c>
      <c r="B186" s="20">
        <v>56</v>
      </c>
      <c r="C186" s="13" t="s">
        <v>84</v>
      </c>
      <c r="D186" s="21" t="s">
        <v>6</v>
      </c>
      <c r="E186" s="21" t="s">
        <v>19</v>
      </c>
      <c r="F186" s="21" t="s">
        <v>19</v>
      </c>
      <c r="G186" s="21">
        <v>18</v>
      </c>
      <c r="H186" s="21">
        <v>89</v>
      </c>
      <c r="I186" s="21">
        <v>22</v>
      </c>
      <c r="J186" s="21">
        <v>12</v>
      </c>
      <c r="K186" s="21">
        <v>9</v>
      </c>
      <c r="L186" s="21">
        <v>14</v>
      </c>
      <c r="M186" s="21">
        <v>15</v>
      </c>
      <c r="N186" s="21">
        <v>22</v>
      </c>
      <c r="O186" s="21">
        <v>53</v>
      </c>
      <c r="P186" s="21">
        <v>0</v>
      </c>
      <c r="Q186" s="21">
        <v>0</v>
      </c>
      <c r="R186" s="21">
        <v>0</v>
      </c>
      <c r="S186" s="21">
        <v>0</v>
      </c>
      <c r="T186" s="21">
        <v>61</v>
      </c>
      <c r="U186" s="6">
        <f>J$1*((-2*10^-6)*J186^3+0.00032*J186^2-0.0021*J186)+K$1*((-2*10^-6)*K186^3+0.00032*K186^2-0.0021*K186)+L$1*((-2*10^-6)*L186^3+0.00032*L186^2-0.0021*L186)+M$1*((-2*10^-6)*M186^3+0.00032*M186^2-0.0021*M186)+N$1*((-2*10^-6)*N186^3+0.00032*N186^2-0.0021*N186)</f>
        <v>0.10638480000000003</v>
      </c>
      <c r="V186">
        <f>O$1*((-2*10^-6)*N186^3+0.00032*N186^2-0.0021*N186)+P$1*((-2*10^-6)*O186^3+0.00032*O186^2-0.0021*O186)+Q$1*((-2*10^-6)*P186^3+0.00032*P186^2-0.0021*P186)+R$1*((-2*10^-6)*Q186^3+0.00032*Q186^2-0.0021*Q186)+S$1*((-2*10^-6)*R186^3+0.00032*R186^2-0.0021*R186)</f>
        <v>1.1544200000000004</v>
      </c>
      <c r="W186" s="6">
        <f>(H$1*H186+I$1*I186)/100</f>
        <v>1.77</v>
      </c>
      <c r="X186">
        <f>U186*J$2+V186*O$2+W186*H$2</f>
        <v>4.5043792000000007</v>
      </c>
      <c r="Y186" t="str">
        <f>IF(AND(I186&gt;50,H186+I186&gt;75),"SP",IF(2*H186+I186&gt;120,"RP","CRAP"))</f>
        <v>RP</v>
      </c>
    </row>
    <row r="187" spans="1:25" ht="13.5" customHeight="1" thickBot="1" x14ac:dyDescent="0.35">
      <c r="A187">
        <f>(W187*H$2+U187*J$2+V187*O$2)*100/(W$4*H$2+U$4*J$2+V$4*O$2)</f>
        <v>12.489050378956755</v>
      </c>
      <c r="B187" s="18">
        <v>97</v>
      </c>
      <c r="C187" s="12" t="s">
        <v>125</v>
      </c>
      <c r="D187" s="19" t="s">
        <v>8</v>
      </c>
      <c r="E187" s="19" t="s">
        <v>19</v>
      </c>
      <c r="F187" s="19" t="s">
        <v>19</v>
      </c>
      <c r="G187" s="19">
        <v>18</v>
      </c>
      <c r="H187" s="19">
        <v>85</v>
      </c>
      <c r="I187" s="19">
        <v>40</v>
      </c>
      <c r="J187" s="19">
        <v>7</v>
      </c>
      <c r="K187" s="19">
        <v>22</v>
      </c>
      <c r="L187" s="19">
        <v>14</v>
      </c>
      <c r="M187" s="19">
        <v>5</v>
      </c>
      <c r="N187" s="19">
        <v>31</v>
      </c>
      <c r="O187" s="19">
        <v>29</v>
      </c>
      <c r="P187" s="19">
        <v>0</v>
      </c>
      <c r="Q187" s="19">
        <v>0</v>
      </c>
      <c r="R187" s="19">
        <v>0</v>
      </c>
      <c r="S187" s="19">
        <v>0</v>
      </c>
      <c r="T187" s="19">
        <v>51</v>
      </c>
      <c r="U187" s="6">
        <f>J$1*((-2*10^-6)*J187^3+0.00032*J187^2-0.0021*J187)+K$1*((-2*10^-6)*K187^3+0.00032*K187^2-0.0021*K187)+L$1*((-2*10^-6)*L187^3+0.00032*L187^2-0.0021*L187)+M$1*((-2*10^-6)*M187^3+0.00032*M187^2-0.0021*M187)+N$1*((-2*10^-6)*N187^3+0.00032*N187^2-0.0021*N187)</f>
        <v>0.16573760000000007</v>
      </c>
      <c r="V187">
        <f>O$1*((-2*10^-6)*N187^3+0.00032*N187^2-0.0021*N187)+P$1*((-2*10^-6)*O187^3+0.00032*O187^2-0.0021*O187)+Q$1*((-2*10^-6)*P187^3+0.00032*P187^2-0.0021*P187)+R$1*((-2*10^-6)*Q187^3+0.00032*Q187^2-0.0021*Q187)+S$1*((-2*10^-6)*R187^3+0.00032*R187^2-0.0021*R187)</f>
        <v>0.68456000000000006</v>
      </c>
      <c r="W187" s="6">
        <f>(H$1*H187+I$1*I187)/100</f>
        <v>2.4500000000000002</v>
      </c>
      <c r="X187">
        <f>U187*J$2+V187*O$2+W187*H$2</f>
        <v>4.4820704000000005</v>
      </c>
      <c r="Y187" t="str">
        <f>IF(AND(I187&gt;50,H187+I187&gt;75),"SP",IF(2*H187+I187&gt;120,"RP","CRAP"))</f>
        <v>RP</v>
      </c>
    </row>
    <row r="188" spans="1:25" ht="13.5" customHeight="1" thickBot="1" x14ac:dyDescent="0.35">
      <c r="A188">
        <f>(W188*H$2+U188*J$2+V188*O$2)*100/(W$4*H$2+U$4*J$2+V$4*O$2)</f>
        <v>12.402503343736067</v>
      </c>
      <c r="B188" s="20">
        <v>182</v>
      </c>
      <c r="C188" s="13" t="s">
        <v>210</v>
      </c>
      <c r="D188" s="21" t="s">
        <v>4</v>
      </c>
      <c r="E188" s="21" t="s">
        <v>21</v>
      </c>
      <c r="F188" s="21" t="s">
        <v>19</v>
      </c>
      <c r="G188" s="21">
        <v>18</v>
      </c>
      <c r="H188" s="21">
        <v>100</v>
      </c>
      <c r="I188" s="21">
        <v>4</v>
      </c>
      <c r="J188" s="21">
        <v>14</v>
      </c>
      <c r="K188" s="21">
        <v>22</v>
      </c>
      <c r="L188" s="21">
        <v>29</v>
      </c>
      <c r="M188" s="21">
        <v>11</v>
      </c>
      <c r="N188" s="21">
        <v>30</v>
      </c>
      <c r="O188" s="21">
        <v>35</v>
      </c>
      <c r="P188" s="21">
        <v>0</v>
      </c>
      <c r="Q188" s="21">
        <v>0</v>
      </c>
      <c r="R188" s="21">
        <v>0</v>
      </c>
      <c r="S188" s="21">
        <v>0</v>
      </c>
      <c r="T188" s="21">
        <v>62</v>
      </c>
      <c r="U188" s="6">
        <f>J$1*((-2*10^-6)*J188^3+0.00032*J188^2-0.0021*J188)+K$1*((-2*10^-6)*K188^3+0.00032*K188^2-0.0021*K188)+L$1*((-2*10^-6)*L188^3+0.00032*L188^2-0.0021*L188)+M$1*((-2*10^-6)*M188^3+0.00032*M188^2-0.0021*M188)+N$1*((-2*10^-6)*N188^3+0.00032*N188^2-0.0021*N188)</f>
        <v>0.41900260000000011</v>
      </c>
      <c r="V188">
        <f>O$1*((-2*10^-6)*N188^3+0.00032*N188^2-0.0021*N188)+P$1*((-2*10^-6)*O188^3+0.00032*O188^2-0.0021*O188)+Q$1*((-2*10^-6)*P188^3+0.00032*P188^2-0.0021*P188)+R$1*((-2*10^-6)*Q188^3+0.00032*Q188^2-0.0021*Q188)+S$1*((-2*10^-6)*R188^3+0.00032*R188^2-0.0021*R188)</f>
        <v>0.80750000000000011</v>
      </c>
      <c r="W188" s="6">
        <f>(H$1*H188+I$1*I188)/100</f>
        <v>1.1599999999999999</v>
      </c>
      <c r="X188">
        <f>U188*J$2+V188*O$2+W188*H$2</f>
        <v>4.4510104000000004</v>
      </c>
      <c r="Y188" t="str">
        <f>IF(AND(I188&gt;50,H188+I188&gt;75),"SP",IF(2*H188+I188&gt;120,"RP","CRAP"))</f>
        <v>RP</v>
      </c>
    </row>
    <row r="189" spans="1:25" ht="13.5" customHeight="1" thickBot="1" x14ac:dyDescent="0.35">
      <c r="A189">
        <f>(W189*H$2+U189*J$2+V189*O$2)*100/(W$4*H$2+U$4*J$2+V$4*O$2)</f>
        <v>12.27769282211324</v>
      </c>
      <c r="B189" s="20">
        <v>26</v>
      </c>
      <c r="C189" s="13" t="s">
        <v>54</v>
      </c>
      <c r="D189" s="21" t="s">
        <v>6</v>
      </c>
      <c r="E189" s="21" t="s">
        <v>21</v>
      </c>
      <c r="F189" s="21" t="s">
        <v>20</v>
      </c>
      <c r="G189" s="21">
        <v>18</v>
      </c>
      <c r="H189" s="21">
        <v>93</v>
      </c>
      <c r="I189" s="21">
        <v>14</v>
      </c>
      <c r="J189" s="21">
        <v>6</v>
      </c>
      <c r="K189" s="21">
        <v>20</v>
      </c>
      <c r="L189" s="21">
        <v>19</v>
      </c>
      <c r="M189" s="21">
        <v>14</v>
      </c>
      <c r="N189" s="21">
        <v>28</v>
      </c>
      <c r="O189" s="21">
        <v>46</v>
      </c>
      <c r="P189" s="21">
        <v>0</v>
      </c>
      <c r="Q189" s="21">
        <v>0</v>
      </c>
      <c r="R189" s="21">
        <v>0</v>
      </c>
      <c r="S189" s="21">
        <v>0</v>
      </c>
      <c r="T189" s="21">
        <v>69</v>
      </c>
      <c r="U189" s="6">
        <f>J$1*((-2*10^-6)*J189^3+0.00032*J189^2-0.0021*J189)+K$1*((-2*10^-6)*K189^3+0.00032*K189^2-0.0021*K189)+L$1*((-2*10^-6)*L189^3+0.00032*L189^2-0.0021*L189)+M$1*((-2*10^-6)*M189^3+0.00032*M189^2-0.0021*M189)+N$1*((-2*10^-6)*N189^3+0.00032*N189^2-0.0021*N189)</f>
        <v>0.19503060000000005</v>
      </c>
      <c r="V189">
        <f>O$1*((-2*10^-6)*N189^3+0.00032*N189^2-0.0021*N189)+P$1*((-2*10^-6)*O189^3+0.00032*O189^2-0.0021*O189)+Q$1*((-2*10^-6)*P189^3+0.00032*P189^2-0.0021*P189)+R$1*((-2*10^-6)*Q189^3+0.00032*Q189^2-0.0021*Q189)+S$1*((-2*10^-6)*R189^3+0.00032*R189^2-0.0021*R189)</f>
        <v>1.0680480000000003</v>
      </c>
      <c r="W189" s="6">
        <f>(H$1*H189+I$1*I189)/100</f>
        <v>1.49</v>
      </c>
      <c r="X189">
        <f>U189*J$2+V189*O$2+W189*H$2</f>
        <v>4.4062184000000011</v>
      </c>
      <c r="Y189" t="str">
        <f>IF(AND(I189&gt;50,H189+I189&gt;75),"SP",IF(2*H189+I189&gt;120,"RP","CRAP"))</f>
        <v>RP</v>
      </c>
    </row>
    <row r="190" spans="1:25" ht="13.5" customHeight="1" thickBot="1" x14ac:dyDescent="0.35">
      <c r="A190">
        <f>(W190*H$2+U190*J$2+V190*O$2)*100/(W$4*H$2+U$4*J$2+V$4*O$2)</f>
        <v>12.179005795809186</v>
      </c>
      <c r="B190" s="18">
        <v>109</v>
      </c>
      <c r="C190" s="12" t="s">
        <v>137</v>
      </c>
      <c r="D190" s="19" t="s">
        <v>6</v>
      </c>
      <c r="E190" s="19" t="s">
        <v>19</v>
      </c>
      <c r="F190" s="19" t="s">
        <v>19</v>
      </c>
      <c r="G190" s="19">
        <v>18</v>
      </c>
      <c r="H190" s="19">
        <v>81</v>
      </c>
      <c r="I190" s="19">
        <v>23</v>
      </c>
      <c r="J190" s="19">
        <v>5</v>
      </c>
      <c r="K190" s="19">
        <v>3</v>
      </c>
      <c r="L190" s="19">
        <v>4</v>
      </c>
      <c r="M190" s="19">
        <v>16</v>
      </c>
      <c r="N190" s="19">
        <v>42</v>
      </c>
      <c r="O190" s="19">
        <v>38</v>
      </c>
      <c r="P190" s="19">
        <v>0</v>
      </c>
      <c r="Q190" s="19">
        <v>0</v>
      </c>
      <c r="R190" s="19">
        <v>0</v>
      </c>
      <c r="S190" s="19">
        <v>0</v>
      </c>
      <c r="T190" s="19">
        <v>49</v>
      </c>
      <c r="U190" s="6">
        <f>J$1*((-2*10^-6)*J190^3+0.00032*J190^2-0.0021*J190)+K$1*((-2*10^-6)*K190^3+0.00032*K190^2-0.0021*K190)+L$1*((-2*10^-6)*L190^3+0.00032*L190^2-0.0021*L190)+M$1*((-2*10^-6)*M190^3+0.00032*M190^2-0.0021*M190)+N$1*((-2*10^-6)*N190^3+0.00032*N190^2-0.0021*N190)</f>
        <v>5.9560400000000027E-2</v>
      </c>
      <c r="V190">
        <f>O$1*((-2*10^-6)*N190^3+0.00032*N190^2-0.0021*N190)+P$1*((-2*10^-6)*O190^3+0.00032*O190^2-0.0021*O190)+Q$1*((-2*10^-6)*P190^3+0.00032*P190^2-0.0021*P190)+R$1*((-2*10^-6)*Q190^3+0.00032*Q190^2-0.0021*Q190)+S$1*((-2*10^-6)*R190^3+0.00032*R190^2-0.0021*R190)</f>
        <v>1.2012800000000003</v>
      </c>
      <c r="W190" s="6">
        <f>(H$1*H190+I$1*I190)/100</f>
        <v>1.73</v>
      </c>
      <c r="X190">
        <f>U190*J$2+V190*O$2+W190*H$2</f>
        <v>4.370801600000001</v>
      </c>
      <c r="Y190" t="str">
        <f>IF(AND(I190&gt;50,H190+I190&gt;75),"SP",IF(2*H190+I190&gt;120,"RP","CRAP"))</f>
        <v>RP</v>
      </c>
    </row>
    <row r="191" spans="1:25" ht="13.5" customHeight="1" thickBot="1" x14ac:dyDescent="0.35">
      <c r="A191">
        <f>(W191*H$2+U191*J$2+V191*O$2)*100/(W$4*H$2+U$4*J$2+V$4*O$2)</f>
        <v>12.014690147124387</v>
      </c>
      <c r="B191" s="20">
        <v>86</v>
      </c>
      <c r="C191" s="13" t="s">
        <v>114</v>
      </c>
      <c r="D191" s="21" t="s">
        <v>6</v>
      </c>
      <c r="E191" s="21" t="s">
        <v>19</v>
      </c>
      <c r="F191" s="21" t="s">
        <v>19</v>
      </c>
      <c r="G191" s="21">
        <v>18</v>
      </c>
      <c r="H191" s="21">
        <v>85</v>
      </c>
      <c r="I191" s="21">
        <v>28</v>
      </c>
      <c r="J191" s="21">
        <v>16</v>
      </c>
      <c r="K191" s="21">
        <v>5</v>
      </c>
      <c r="L191" s="21">
        <v>0</v>
      </c>
      <c r="M191" s="21">
        <v>4</v>
      </c>
      <c r="N191" s="21">
        <v>26</v>
      </c>
      <c r="O191" s="21">
        <v>44</v>
      </c>
      <c r="P191" s="21">
        <v>0</v>
      </c>
      <c r="Q191" s="21">
        <v>0</v>
      </c>
      <c r="R191" s="21">
        <v>0</v>
      </c>
      <c r="S191" s="21">
        <v>0</v>
      </c>
      <c r="T191" s="21">
        <v>54</v>
      </c>
      <c r="U191" s="6">
        <f>J$1*((-2*10^-6)*J191^3+0.00032*J191^2-0.0021*J191)+K$1*((-2*10^-6)*K191^3+0.00032*K191^2-0.0021*K191)+L$1*((-2*10^-6)*L191^3+0.00032*L191^2-0.0021*L191)+M$1*((-2*10^-6)*M191^3+0.00032*M191^2-0.0021*M191)+N$1*((-2*10^-6)*N191^3+0.00032*N191^2-0.0021*N191)</f>
        <v>0.10213800000000001</v>
      </c>
      <c r="V191">
        <f>O$1*((-2*10^-6)*N191^3+0.00032*N191^2-0.0021*N191)+P$1*((-2*10^-6)*O191^3+0.00032*O191^2-0.0021*O191)+Q$1*((-2*10^-6)*P191^3+0.00032*P191^2-0.0021*P191)+R$1*((-2*10^-6)*Q191^3+0.00032*Q191^2-0.0021*Q191)+S$1*((-2*10^-6)*R191^3+0.00032*R191^2-0.0021*R191)</f>
        <v>0.96664000000000028</v>
      </c>
      <c r="W191" s="6">
        <f>(H$1*H191+I$1*I191)/100</f>
        <v>1.97</v>
      </c>
      <c r="X191">
        <f>U191*J$2+V191*O$2+W191*H$2</f>
        <v>4.3118320000000008</v>
      </c>
      <c r="Y191" t="str">
        <f>IF(AND(I191&gt;50,H191+I191&gt;75),"SP",IF(2*H191+I191&gt;120,"RP","CRAP"))</f>
        <v>RP</v>
      </c>
    </row>
    <row r="192" spans="1:25" ht="13.5" customHeight="1" thickBot="1" x14ac:dyDescent="0.35">
      <c r="A192">
        <f>(W192*H$2+U192*J$2+V192*O$2)*100/(W$4*H$2+U$4*J$2+V$4*O$2)</f>
        <v>11.906752117699508</v>
      </c>
      <c r="B192" s="18">
        <v>199</v>
      </c>
      <c r="C192" s="12" t="s">
        <v>227</v>
      </c>
      <c r="D192" s="19" t="s">
        <v>4</v>
      </c>
      <c r="E192" s="19" t="s">
        <v>20</v>
      </c>
      <c r="F192" s="19" t="s">
        <v>20</v>
      </c>
      <c r="G192" s="19">
        <v>18</v>
      </c>
      <c r="H192" s="19">
        <v>81</v>
      </c>
      <c r="I192" s="19">
        <v>26</v>
      </c>
      <c r="J192" s="19">
        <v>10</v>
      </c>
      <c r="K192" s="19">
        <v>7</v>
      </c>
      <c r="L192" s="19">
        <v>3</v>
      </c>
      <c r="M192" s="19">
        <v>2</v>
      </c>
      <c r="N192" s="19">
        <v>35</v>
      </c>
      <c r="O192" s="19">
        <v>41</v>
      </c>
      <c r="P192" s="19">
        <v>0</v>
      </c>
      <c r="Q192" s="19">
        <v>0</v>
      </c>
      <c r="R192" s="19">
        <v>0</v>
      </c>
      <c r="S192" s="19">
        <v>0</v>
      </c>
      <c r="T192" s="19">
        <v>38</v>
      </c>
      <c r="U192" s="6">
        <f>J$1*((-2*10^-6)*J192^3+0.00032*J192^2-0.0021*J192)+K$1*((-2*10^-6)*K192^3+0.00032*K192^2-0.0021*K192)+L$1*((-2*10^-6)*L192^3+0.00032*L192^2-0.0021*L192)+M$1*((-2*10^-6)*M192^3+0.00032*M192^2-0.0021*M192)+N$1*((-2*10^-6)*N192^3+0.00032*N192^2-0.0021*N192)</f>
        <v>5.9045800000000009E-2</v>
      </c>
      <c r="V192">
        <f>O$1*((-2*10^-6)*N192^3+0.00032*N192^2-0.0021*N192)+P$1*((-2*10^-6)*O192^3+0.00032*O192^2-0.0021*O192)+Q$1*((-2*10^-6)*P192^3+0.00032*P192^2-0.0021*P192)+R$1*((-2*10^-6)*Q192^3+0.00032*Q192^2-0.0021*Q192)+S$1*((-2*10^-6)*R192^3+0.00032*R192^2-0.0021*R192)</f>
        <v>1.0934560000000002</v>
      </c>
      <c r="W192" s="6">
        <f>(H$1*H192+I$1*I192)/100</f>
        <v>1.85</v>
      </c>
      <c r="X192">
        <f>U192*J$2+V192*O$2+W192*H$2</f>
        <v>4.2730952000000002</v>
      </c>
      <c r="Y192" t="str">
        <f>IF(AND(I192&gt;50,H192+I192&gt;75),"SP",IF(2*H192+I192&gt;120,"RP","CRAP"))</f>
        <v>RP</v>
      </c>
    </row>
    <row r="193" spans="1:25" ht="13.5" customHeight="1" thickBot="1" x14ac:dyDescent="0.35">
      <c r="A193">
        <f>(W193*H$2+U193*J$2+V193*O$2)*100/(W$4*H$2+U$4*J$2+V$4*O$2)</f>
        <v>11.615202853321444</v>
      </c>
      <c r="B193" s="18">
        <v>175</v>
      </c>
      <c r="C193" s="12" t="s">
        <v>203</v>
      </c>
      <c r="D193" s="19" t="s">
        <v>10</v>
      </c>
      <c r="E193" s="19" t="s">
        <v>20</v>
      </c>
      <c r="F193" s="19" t="s">
        <v>19</v>
      </c>
      <c r="G193" s="19">
        <v>22</v>
      </c>
      <c r="H193" s="19">
        <v>100</v>
      </c>
      <c r="I193" s="19">
        <v>21</v>
      </c>
      <c r="J193" s="19">
        <v>0</v>
      </c>
      <c r="K193" s="19">
        <v>41</v>
      </c>
      <c r="L193" s="19">
        <v>4</v>
      </c>
      <c r="M193" s="19">
        <v>0</v>
      </c>
      <c r="N193" s="19">
        <v>15</v>
      </c>
      <c r="O193" s="19">
        <v>35</v>
      </c>
      <c r="P193" s="19">
        <v>0</v>
      </c>
      <c r="Q193" s="19">
        <v>0</v>
      </c>
      <c r="R193" s="19">
        <v>0</v>
      </c>
      <c r="S193" s="19">
        <v>0</v>
      </c>
      <c r="T193" s="19">
        <v>44</v>
      </c>
      <c r="U193" s="6">
        <f>J$1*((-2*10^-6)*J193^3+0.00032*J193^2-0.0021*J193)+K$1*((-2*10^-6)*K193^3+0.00032*K193^2-0.0021*K193)+L$1*((-2*10^-6)*L193^3+0.00032*L193^2-0.0021*L193)+M$1*((-2*10^-6)*M193^3+0.00032*M193^2-0.0021*M193)+N$1*((-2*10^-6)*N193^3+0.00032*N193^2-0.0021*N193)</f>
        <v>0.31561600000000001</v>
      </c>
      <c r="V193">
        <f>O$1*((-2*10^-6)*N193^3+0.00032*N193^2-0.0021*N193)+P$1*((-2*10^-6)*O193^3+0.00032*O193^2-0.0021*O193)+Q$1*((-2*10^-6)*P193^3+0.00032*P193^2-0.0021*P193)+R$1*((-2*10^-6)*Q193^3+0.00032*Q193^2-0.0021*Q193)+S$1*((-2*10^-6)*R193^3+0.00032*R193^2-0.0021*R193)</f>
        <v>0.53300000000000003</v>
      </c>
      <c r="W193" s="6">
        <f>(H$1*H193+I$1*I193)/100</f>
        <v>1.84</v>
      </c>
      <c r="X193">
        <f>U193*J$2+V193*O$2+W193*H$2</f>
        <v>4.1684640000000002</v>
      </c>
      <c r="Y193" t="str">
        <f>IF(AND(I193&gt;50,H193+I193&gt;75),"SP",IF(2*H193+I193&gt;120,"RP","CRAP"))</f>
        <v>RP</v>
      </c>
    </row>
    <row r="194" spans="1:25" ht="13.5" customHeight="1" thickBot="1" x14ac:dyDescent="0.35">
      <c r="A194">
        <f>(W194*H$2+U194*J$2+V194*O$2)*100/(W$4*H$2+U$4*J$2+V$4*O$2)</f>
        <v>11.35785777975925</v>
      </c>
      <c r="B194" s="20">
        <v>78</v>
      </c>
      <c r="C194" s="13" t="s">
        <v>106</v>
      </c>
      <c r="D194" s="21" t="s">
        <v>6</v>
      </c>
      <c r="E194" s="21" t="s">
        <v>19</v>
      </c>
      <c r="F194" s="21" t="s">
        <v>19</v>
      </c>
      <c r="G194" s="21">
        <v>18</v>
      </c>
      <c r="H194" s="21">
        <v>82</v>
      </c>
      <c r="I194" s="21">
        <v>25</v>
      </c>
      <c r="J194" s="21">
        <v>12</v>
      </c>
      <c r="K194" s="21">
        <v>0</v>
      </c>
      <c r="L194" s="21">
        <v>5</v>
      </c>
      <c r="M194" s="21">
        <v>0</v>
      </c>
      <c r="N194" s="21">
        <v>30</v>
      </c>
      <c r="O194" s="21">
        <v>42</v>
      </c>
      <c r="P194" s="21">
        <v>0</v>
      </c>
      <c r="Q194" s="21">
        <v>0</v>
      </c>
      <c r="R194" s="21">
        <v>0</v>
      </c>
      <c r="S194" s="21">
        <v>0</v>
      </c>
      <c r="T194" s="21">
        <v>56</v>
      </c>
      <c r="U194" s="6">
        <f>J$1*((-2*10^-6)*J194^3+0.00032*J194^2-0.0021*J194)+K$1*((-2*10^-6)*K194^3+0.00032*K194^2-0.0021*K194)+L$1*((-2*10^-6)*L194^3+0.00032*L194^2-0.0021*L194)+M$1*((-2*10^-6)*M194^3+0.00032*M194^2-0.0021*M194)+N$1*((-2*10^-6)*N194^3+0.00032*N194^2-0.0021*N194)</f>
        <v>6.4923000000000008E-2</v>
      </c>
      <c r="V194">
        <f>O$1*((-2*10^-6)*N194^3+0.00032*N194^2-0.0021*N194)+P$1*((-2*10^-6)*O194^3+0.00032*O194^2-0.0021*O194)+Q$1*((-2*10^-6)*P194^3+0.00032*P194^2-0.0021*P194)+R$1*((-2*10^-6)*Q194^3+0.00032*Q194^2-0.0021*Q194)+S$1*((-2*10^-6)*R194^3+0.00032*R194^2-0.0021*R194)</f>
        <v>0.99820800000000032</v>
      </c>
      <c r="W194" s="6">
        <f>(H$1*H194+I$1*I194)/100</f>
        <v>1.82</v>
      </c>
      <c r="X194">
        <f>U194*J$2+V194*O$2+W194*H$2</f>
        <v>4.0761080000000005</v>
      </c>
      <c r="Y194" t="str">
        <f>IF(AND(I194&gt;50,H194+I194&gt;75),"SP",IF(2*H194+I194&gt;120,"RP","CRAP"))</f>
        <v>RP</v>
      </c>
    </row>
    <row r="195" spans="1:25" ht="13.5" customHeight="1" thickBot="1" x14ac:dyDescent="0.35">
      <c r="A195">
        <f>(W195*H$2+U195*J$2+V195*O$2)*100/(W$4*H$2+U$4*J$2+V$4*O$2)</f>
        <v>11.343927775300935</v>
      </c>
      <c r="B195" s="20">
        <v>84</v>
      </c>
      <c r="C195" s="13" t="s">
        <v>112</v>
      </c>
      <c r="D195" s="21" t="s">
        <v>8</v>
      </c>
      <c r="E195" s="21" t="s">
        <v>19</v>
      </c>
      <c r="F195" s="21" t="s">
        <v>19</v>
      </c>
      <c r="G195" s="21">
        <v>18</v>
      </c>
      <c r="H195" s="21">
        <v>77</v>
      </c>
      <c r="I195" s="21">
        <v>33</v>
      </c>
      <c r="J195" s="21">
        <v>0</v>
      </c>
      <c r="K195" s="21">
        <v>3</v>
      </c>
      <c r="L195" s="21">
        <v>4</v>
      </c>
      <c r="M195" s="21">
        <v>23</v>
      </c>
      <c r="N195" s="21">
        <v>20</v>
      </c>
      <c r="O195" s="21">
        <v>47</v>
      </c>
      <c r="P195" s="21">
        <v>0</v>
      </c>
      <c r="Q195" s="21">
        <v>0</v>
      </c>
      <c r="R195" s="21">
        <v>0</v>
      </c>
      <c r="S195" s="21">
        <v>0</v>
      </c>
      <c r="T195" s="21">
        <v>54</v>
      </c>
      <c r="U195" s="6">
        <f>J$1*((-2*10^-6)*J195^3+0.00032*J195^2-0.0021*J195)+K$1*((-2*10^-6)*K195^3+0.00032*K195^2-0.0021*K195)+L$1*((-2*10^-6)*L195^3+0.00032*L195^2-0.0021*L195)+M$1*((-2*10^-6)*M195^3+0.00032*M195^2-0.0021*M195)+N$1*((-2*10^-6)*N195^3+0.00032*N195^2-0.0021*N195)</f>
        <v>2.4743200000000007E-2</v>
      </c>
      <c r="V195">
        <f>O$1*((-2*10^-6)*N195^3+0.00032*N195^2-0.0021*N195)+P$1*((-2*10^-6)*O195^3+0.00032*O195^2-0.0021*O195)+Q$1*((-2*10^-6)*P195^3+0.00032*P195^2-0.0021*P195)+R$1*((-2*10^-6)*Q195^3+0.00032*Q195^2-0.0021*Q195)+S$1*((-2*10^-6)*R195^3+0.00032*R195^2-0.0021*R195)</f>
        <v>0.94106800000000013</v>
      </c>
      <c r="W195" s="6">
        <f>(H$1*H195+I$1*I195)/100</f>
        <v>2.09</v>
      </c>
      <c r="X195">
        <f>U195*J$2+V195*O$2+W195*H$2</f>
        <v>4.0711088000000002</v>
      </c>
      <c r="Y195" t="str">
        <f>IF(AND(I195&gt;50,H195+I195&gt;75),"SP",IF(2*H195+I195&gt;120,"RP","CRAP"))</f>
        <v>RP</v>
      </c>
    </row>
    <row r="196" spans="1:25" ht="13.5" customHeight="1" thickBot="1" x14ac:dyDescent="0.35">
      <c r="A196">
        <f>(W196*H$2+U196*J$2+V196*O$2)*100/(W$4*H$2+U$4*J$2+V$4*O$2)</f>
        <v>11.294128399465002</v>
      </c>
      <c r="B196" s="18">
        <v>139</v>
      </c>
      <c r="C196" s="12" t="s">
        <v>167</v>
      </c>
      <c r="D196" s="19" t="s">
        <v>8</v>
      </c>
      <c r="E196" s="19" t="s">
        <v>19</v>
      </c>
      <c r="F196" s="19" t="s">
        <v>19</v>
      </c>
      <c r="G196" s="19">
        <v>18</v>
      </c>
      <c r="H196" s="19">
        <v>76</v>
      </c>
      <c r="I196" s="19">
        <v>31</v>
      </c>
      <c r="J196" s="19">
        <v>3</v>
      </c>
      <c r="K196" s="19">
        <v>9</v>
      </c>
      <c r="L196" s="19">
        <v>8</v>
      </c>
      <c r="M196" s="19">
        <v>23</v>
      </c>
      <c r="N196" s="19">
        <v>30</v>
      </c>
      <c r="O196" s="19">
        <v>39</v>
      </c>
      <c r="P196" s="19">
        <v>0</v>
      </c>
      <c r="Q196" s="19">
        <v>0</v>
      </c>
      <c r="R196" s="19">
        <v>0</v>
      </c>
      <c r="S196" s="19">
        <v>0</v>
      </c>
      <c r="T196" s="19">
        <v>44</v>
      </c>
      <c r="U196" s="6">
        <f>J$1*((-2*10^-6)*J196^3+0.00032*J196^2-0.0021*J196)+K$1*((-2*10^-6)*K196^3+0.00032*K196^2-0.0021*K196)+L$1*((-2*10^-6)*L196^3+0.00032*L196^2-0.0021*L196)+M$1*((-2*10^-6)*M196^3+0.00032*M196^2-0.0021*M196)+N$1*((-2*10^-6)*N196^3+0.00032*N196^2-0.0021*N196)</f>
        <v>5.6127200000000016E-2</v>
      </c>
      <c r="V196">
        <f>O$1*((-2*10^-6)*N196^3+0.00032*N196^2-0.0021*N196)+P$1*((-2*10^-6)*O196^3+0.00032*O196^2-0.0021*O196)+Q$1*((-2*10^-6)*P196^3+0.00032*P196^2-0.0021*P196)+R$1*((-2*10^-6)*Q196^3+0.00032*Q196^2-0.0021*Q196)+S$1*((-2*10^-6)*R196^3+0.00032*R196^2-0.0021*R196)</f>
        <v>0.91436400000000018</v>
      </c>
      <c r="W196" s="6">
        <f>(H$1*H196+I$1*I196)/100</f>
        <v>2</v>
      </c>
      <c r="X196">
        <f>U196*J$2+V196*O$2+W196*H$2</f>
        <v>4.0532368000000005</v>
      </c>
      <c r="Y196" t="str">
        <f>IF(AND(I196&gt;50,H196+I196&gt;75),"SP",IF(2*H196+I196&gt;120,"RP","CRAP"))</f>
        <v>RP</v>
      </c>
    </row>
    <row r="197" spans="1:25" ht="13.5" customHeight="1" thickBot="1" x14ac:dyDescent="0.35">
      <c r="A197">
        <f>(W197*H$2+U197*J$2+V197*O$2)*100/(W$4*H$2+U$4*J$2+V$4*O$2)</f>
        <v>11.10943156486848</v>
      </c>
      <c r="B197" s="20">
        <v>58</v>
      </c>
      <c r="C197" s="13" t="s">
        <v>86</v>
      </c>
      <c r="D197" s="21" t="s">
        <v>6</v>
      </c>
      <c r="E197" s="21" t="s">
        <v>20</v>
      </c>
      <c r="F197" s="21" t="s">
        <v>20</v>
      </c>
      <c r="G197" s="21">
        <v>18</v>
      </c>
      <c r="H197" s="21">
        <v>75</v>
      </c>
      <c r="I197" s="21">
        <v>28</v>
      </c>
      <c r="J197" s="21">
        <v>6</v>
      </c>
      <c r="K197" s="21">
        <v>8</v>
      </c>
      <c r="L197" s="21">
        <v>7</v>
      </c>
      <c r="M197" s="21">
        <v>25</v>
      </c>
      <c r="N197" s="21">
        <v>28</v>
      </c>
      <c r="O197" s="21">
        <v>42</v>
      </c>
      <c r="P197" s="21">
        <v>0</v>
      </c>
      <c r="Q197" s="21">
        <v>0</v>
      </c>
      <c r="R197" s="21">
        <v>0</v>
      </c>
      <c r="S197" s="21">
        <v>0</v>
      </c>
      <c r="T197" s="21">
        <v>61</v>
      </c>
      <c r="U197" s="6">
        <f>J$1*((-2*10^-6)*J197^3+0.00032*J197^2-0.0021*J197)+K$1*((-2*10^-6)*K197^3+0.00032*K197^2-0.0021*K197)+L$1*((-2*10^-6)*L197^3+0.00032*L197^2-0.0021*L197)+M$1*((-2*10^-6)*M197^3+0.00032*M197^2-0.0021*M197)+N$1*((-2*10^-6)*N197^3+0.00032*N197^2-0.0021*N197)</f>
        <v>5.2958200000000032E-2</v>
      </c>
      <c r="V197">
        <f>O$1*((-2*10^-6)*N197^3+0.00032*N197^2-0.0021*N197)+P$1*((-2*10^-6)*O197^3+0.00032*O197^2-0.0021*O197)+Q$1*((-2*10^-6)*P197^3+0.00032*P197^2-0.0021*P197)+R$1*((-2*10^-6)*Q197^3+0.00032*Q197^2-0.0021*Q197)+S$1*((-2*10^-6)*R197^3+0.00032*R197^2-0.0021*R197)</f>
        <v>0.9525600000000003</v>
      </c>
      <c r="W197" s="6">
        <f>(H$1*H197+I$1*I197)/100</f>
        <v>1.87</v>
      </c>
      <c r="X197">
        <f>U197*J$2+V197*O$2+W197*H$2</f>
        <v>3.986952800000001</v>
      </c>
      <c r="Y197" t="str">
        <f>IF(AND(I197&gt;50,H197+I197&gt;75),"SP",IF(2*H197+I197&gt;120,"RP","CRAP"))</f>
        <v>RP</v>
      </c>
    </row>
    <row r="198" spans="1:25" ht="13.5" customHeight="1" thickBot="1" x14ac:dyDescent="0.35">
      <c r="A198">
        <f>(W198*H$2+U198*J$2+V198*O$2)*100/(W$4*H$2+U$4*J$2+V$4*O$2)</f>
        <v>10.977648238965671</v>
      </c>
      <c r="B198" s="20">
        <v>186</v>
      </c>
      <c r="C198" s="13" t="s">
        <v>214</v>
      </c>
      <c r="D198" s="21" t="s">
        <v>4</v>
      </c>
      <c r="E198" s="21" t="s">
        <v>19</v>
      </c>
      <c r="F198" s="21" t="s">
        <v>19</v>
      </c>
      <c r="G198" s="21">
        <v>18</v>
      </c>
      <c r="H198" s="21">
        <v>81</v>
      </c>
      <c r="I198" s="21">
        <v>11</v>
      </c>
      <c r="J198" s="21">
        <v>17</v>
      </c>
      <c r="K198" s="21">
        <v>5</v>
      </c>
      <c r="L198" s="21">
        <v>3</v>
      </c>
      <c r="M198" s="21">
        <v>8</v>
      </c>
      <c r="N198" s="21">
        <v>9</v>
      </c>
      <c r="O198" s="21">
        <v>59</v>
      </c>
      <c r="P198" s="21">
        <v>0</v>
      </c>
      <c r="Q198" s="21">
        <v>0</v>
      </c>
      <c r="R198" s="21">
        <v>0</v>
      </c>
      <c r="S198" s="21">
        <v>0</v>
      </c>
      <c r="T198" s="21">
        <v>47</v>
      </c>
      <c r="U198" s="6">
        <f>J$1*((-2*10^-6)*J198^3+0.00032*J198^2-0.0021*J198)+K$1*((-2*10^-6)*K198^3+0.00032*K198^2-0.0021*K198)+L$1*((-2*10^-6)*L198^3+0.00032*L198^2-0.0021*L198)+M$1*((-2*10^-6)*M198^3+0.00032*M198^2-0.0021*M198)+N$1*((-2*10^-6)*N198^3+0.00032*N198^2-0.0021*N198)</f>
        <v>8.7590600000000018E-2</v>
      </c>
      <c r="V198">
        <f>O$1*((-2*10^-6)*N198^3+0.00032*N198^2-0.0021*N198)+P$1*((-2*10^-6)*O198^3+0.00032*O198^2-0.0021*O198)+Q$1*((-2*10^-6)*P198^3+0.00032*P198^2-0.0021*P198)+R$1*((-2*10^-6)*Q198^3+0.00032*Q198^2-0.0021*Q198)+S$1*((-2*10^-6)*R198^3+0.00032*R198^2-0.0021*R198)</f>
        <v>1.169648</v>
      </c>
      <c r="W198" s="6">
        <f>(H$1*H198+I$1*I198)/100</f>
        <v>1.25</v>
      </c>
      <c r="X198">
        <f>U198*J$2+V198*O$2+W198*H$2</f>
        <v>3.9396583999999999</v>
      </c>
      <c r="Y198" t="str">
        <f>IF(AND(I198&gt;50,H198+I198&gt;75),"SP",IF(2*H198+I198&gt;120,"RP","CRAP"))</f>
        <v>RP</v>
      </c>
    </row>
    <row r="199" spans="1:25" ht="13.5" customHeight="1" thickBot="1" x14ac:dyDescent="0.35">
      <c r="A199">
        <f>(W199*H$2+U199*J$2+V199*O$2)*100/(W$4*H$2+U$4*J$2+V$4*O$2)</f>
        <v>10.587741863575568</v>
      </c>
      <c r="B199" s="18">
        <v>73</v>
      </c>
      <c r="C199" s="12" t="s">
        <v>101</v>
      </c>
      <c r="D199" s="19" t="s">
        <v>6</v>
      </c>
      <c r="E199" s="19" t="s">
        <v>20</v>
      </c>
      <c r="F199" s="19" t="s">
        <v>20</v>
      </c>
      <c r="G199" s="19">
        <v>18</v>
      </c>
      <c r="H199" s="19">
        <v>81</v>
      </c>
      <c r="I199" s="19">
        <v>19</v>
      </c>
      <c r="J199" s="19">
        <v>10</v>
      </c>
      <c r="K199" s="19">
        <v>3</v>
      </c>
      <c r="L199" s="19">
        <v>9</v>
      </c>
      <c r="M199" s="19">
        <v>0</v>
      </c>
      <c r="N199" s="19">
        <v>28</v>
      </c>
      <c r="O199" s="19">
        <v>44</v>
      </c>
      <c r="P199" s="19">
        <v>0</v>
      </c>
      <c r="Q199" s="19">
        <v>0</v>
      </c>
      <c r="R199" s="19">
        <v>0</v>
      </c>
      <c r="S199" s="19">
        <v>0</v>
      </c>
      <c r="T199" s="19">
        <v>57</v>
      </c>
      <c r="U199" s="6">
        <f>J$1*((-2*10^-6)*J199^3+0.00032*J199^2-0.0021*J199)+K$1*((-2*10^-6)*K199^3+0.00032*K199^2-0.0021*K199)+L$1*((-2*10^-6)*L199^3+0.00032*L199^2-0.0021*L199)+M$1*((-2*10^-6)*M199^3+0.00032*M199^2-0.0021*M199)+N$1*((-2*10^-6)*N199^3+0.00032*N199^2-0.0021*N199)</f>
        <v>5.2504200000000015E-2</v>
      </c>
      <c r="V199">
        <f>O$1*((-2*10^-6)*N199^3+0.00032*N199^2-0.0021*N199)+P$1*((-2*10^-6)*O199^3+0.00032*O199^2-0.0021*O199)+Q$1*((-2*10^-6)*P199^3+0.00032*P199^2-0.0021*P199)+R$1*((-2*10^-6)*Q199^3+0.00032*Q199^2-0.0021*Q199)+S$1*((-2*10^-6)*R199^3+0.00032*R199^2-0.0021*R199)</f>
        <v>1.0098560000000003</v>
      </c>
      <c r="W199" s="6">
        <f>(H$1*H199+I$1*I199)/100</f>
        <v>1.57</v>
      </c>
      <c r="X199">
        <f>U199*J$2+V199*O$2+W199*H$2</f>
        <v>3.7997288000000005</v>
      </c>
      <c r="Y199" t="str">
        <f>IF(AND(I199&gt;50,H199+I199&gt;75),"SP",IF(2*H199+I199&gt;120,"RP","CRAP"))</f>
        <v>RP</v>
      </c>
    </row>
    <row r="200" spans="1:25" ht="13.5" customHeight="1" thickBot="1" x14ac:dyDescent="0.35">
      <c r="A200">
        <f>(W200*H$2+U200*J$2+V200*O$2)*100/(W$4*H$2+U$4*J$2+V$4*O$2)</f>
        <v>10.277456531431119</v>
      </c>
      <c r="B200" s="18">
        <v>183</v>
      </c>
      <c r="C200" s="12" t="s">
        <v>211</v>
      </c>
      <c r="D200" s="19" t="s">
        <v>4</v>
      </c>
      <c r="E200" s="19" t="s">
        <v>19</v>
      </c>
      <c r="F200" s="19" t="s">
        <v>19</v>
      </c>
      <c r="G200" s="19">
        <v>18</v>
      </c>
      <c r="H200" s="19">
        <v>77</v>
      </c>
      <c r="I200" s="19">
        <v>25</v>
      </c>
      <c r="J200" s="19">
        <v>2</v>
      </c>
      <c r="K200" s="19">
        <v>6</v>
      </c>
      <c r="L200" s="19">
        <v>5</v>
      </c>
      <c r="M200" s="19">
        <v>24</v>
      </c>
      <c r="N200" s="19">
        <v>20</v>
      </c>
      <c r="O200" s="19">
        <v>46</v>
      </c>
      <c r="P200" s="19">
        <v>0</v>
      </c>
      <c r="Q200" s="19">
        <v>0</v>
      </c>
      <c r="R200" s="19">
        <v>0</v>
      </c>
      <c r="S200" s="19">
        <v>0</v>
      </c>
      <c r="T200" s="19">
        <v>60</v>
      </c>
      <c r="U200" s="6">
        <f>J$1*((-2*10^-6)*J200^3+0.00032*J200^2-0.0021*J200)+K$1*((-2*10^-6)*K200^3+0.00032*K200^2-0.0021*K200)+L$1*((-2*10^-6)*L200^3+0.00032*L200^2-0.0021*L200)+M$1*((-2*10^-6)*M200^3+0.00032*M200^2-0.0021*M200)+N$1*((-2*10^-6)*N200^3+0.00032*N200^2-0.0021*N200)</f>
        <v>2.3745400000000007E-2</v>
      </c>
      <c r="V200">
        <f>O$1*((-2*10^-6)*N200^3+0.00032*N200^2-0.0021*N200)+P$1*((-2*10^-6)*O200^3+0.00032*O200^2-0.0021*O200)+Q$1*((-2*10^-6)*P200^3+0.00032*P200^2-0.0021*P200)+R$1*((-2*10^-6)*Q200^3+0.00032*Q200^2-0.0021*Q200)+S$1*((-2*10^-6)*R200^3+0.00032*R200^2-0.0021*R200)</f>
        <v>0.91169600000000017</v>
      </c>
      <c r="W200" s="6">
        <f>(H$1*H200+I$1*I200)/100</f>
        <v>1.77</v>
      </c>
      <c r="X200">
        <f>U200*J$2+V200*O$2+W200*H$2</f>
        <v>3.6883736000000003</v>
      </c>
      <c r="Y200" t="str">
        <f>IF(AND(I200&gt;50,H200+I200&gt;75),"SP",IF(2*H200+I200&gt;120,"RP","CRAP"))</f>
        <v>RP</v>
      </c>
    </row>
    <row r="201" spans="1:25" ht="13.5" customHeight="1" thickBot="1" x14ac:dyDescent="0.35">
      <c r="A201">
        <f>(W201*H$2+U201*J$2+V201*O$2)*100/(W$4*H$2+U$4*J$2+V$4*O$2)</f>
        <v>10.176874721355327</v>
      </c>
      <c r="B201" s="20">
        <v>12</v>
      </c>
      <c r="C201" s="13" t="s">
        <v>40</v>
      </c>
      <c r="D201" s="21" t="s">
        <v>9</v>
      </c>
      <c r="E201" s="21" t="s">
        <v>19</v>
      </c>
      <c r="F201" s="21" t="s">
        <v>19</v>
      </c>
      <c r="G201" s="21">
        <v>18</v>
      </c>
      <c r="H201" s="21">
        <v>95</v>
      </c>
      <c r="I201" s="21">
        <v>30</v>
      </c>
      <c r="J201" s="21">
        <v>13</v>
      </c>
      <c r="K201" s="21">
        <v>4</v>
      </c>
      <c r="L201" s="21">
        <v>0</v>
      </c>
      <c r="M201" s="21">
        <v>4</v>
      </c>
      <c r="N201" s="21">
        <v>12</v>
      </c>
      <c r="O201" s="21">
        <v>41</v>
      </c>
      <c r="P201" s="21">
        <v>0</v>
      </c>
      <c r="Q201" s="21">
        <v>0</v>
      </c>
      <c r="R201" s="21">
        <v>0</v>
      </c>
      <c r="S201" s="21">
        <v>0</v>
      </c>
      <c r="T201" s="21">
        <v>74</v>
      </c>
      <c r="U201" s="6">
        <f>J$1*((-2*10^-6)*J201^3+0.00032*J201^2-0.0021*J201)+K$1*((-2*10^-6)*K201^3+0.00032*K201^2-0.0021*K201)+L$1*((-2*10^-6)*L201^3+0.00032*L201^2-0.0021*L201)+M$1*((-2*10^-6)*M201^3+0.00032*M201^2-0.0021*M201)+N$1*((-2*10^-6)*N201^3+0.00032*N201^2-0.0021*N201)</f>
        <v>4.4167200000000011E-2</v>
      </c>
      <c r="V201">
        <f>O$1*((-2*10^-6)*N201^3+0.00032*N201^2-0.0021*N201)+P$1*((-2*10^-6)*O201^3+0.00032*O201^2-0.0021*O201)+Q$1*((-2*10^-6)*P201^3+0.00032*P201^2-0.0021*P201)+R$1*((-2*10^-6)*Q201^3+0.00032*Q201^2-0.0021*Q201)+S$1*((-2*10^-6)*R201^3+0.00032*R201^2-0.0021*R201)</f>
        <v>0.66280400000000006</v>
      </c>
      <c r="W201" s="6">
        <f>(H$1*H201+I$1*I201)/100</f>
        <v>2.15</v>
      </c>
      <c r="X201">
        <f>U201*J$2+V201*O$2+W201*H$2</f>
        <v>3.6522768000000001</v>
      </c>
      <c r="Y201" t="str">
        <f>IF(AND(I201&gt;50,H201+I201&gt;75),"SP",IF(2*H201+I201&gt;120,"RP","CRAP"))</f>
        <v>RP</v>
      </c>
    </row>
    <row r="202" spans="1:25" ht="13.5" customHeight="1" thickBot="1" x14ac:dyDescent="0.35">
      <c r="A202">
        <f>(W202*H$2+U202*J$2+V202*O$2)*100/(W$4*H$2+U$4*J$2+V$4*O$2)</f>
        <v>9.9739946500222914</v>
      </c>
      <c r="B202" s="18">
        <v>105</v>
      </c>
      <c r="C202" s="12" t="s">
        <v>133</v>
      </c>
      <c r="D202" s="19" t="s">
        <v>6</v>
      </c>
      <c r="E202" s="19" t="s">
        <v>19</v>
      </c>
      <c r="F202" s="19" t="s">
        <v>19</v>
      </c>
      <c r="G202" s="19">
        <v>18</v>
      </c>
      <c r="H202" s="19">
        <v>76</v>
      </c>
      <c r="I202" s="19">
        <v>26</v>
      </c>
      <c r="J202" s="19">
        <v>7</v>
      </c>
      <c r="K202" s="19">
        <v>7</v>
      </c>
      <c r="L202" s="19">
        <v>0</v>
      </c>
      <c r="M202" s="19">
        <v>28</v>
      </c>
      <c r="N202" s="19">
        <v>31</v>
      </c>
      <c r="O202" s="19">
        <v>32</v>
      </c>
      <c r="P202" s="19">
        <v>0</v>
      </c>
      <c r="Q202" s="19">
        <v>0</v>
      </c>
      <c r="R202" s="19">
        <v>0</v>
      </c>
      <c r="S202" s="19">
        <v>0</v>
      </c>
      <c r="T202" s="19">
        <v>50</v>
      </c>
      <c r="U202" s="6">
        <f>J$1*((-2*10^-6)*J202^3+0.00032*J202^2-0.0021*J202)+K$1*((-2*10^-6)*K202^3+0.00032*K202^2-0.0021*K202)+L$1*((-2*10^-6)*L202^3+0.00032*L202^2-0.0021*L202)+M$1*((-2*10^-6)*M202^3+0.00032*M202^2-0.0021*M202)+N$1*((-2*10^-6)*N202^3+0.00032*N202^2-0.0021*N202)</f>
        <v>6.7084800000000028E-2</v>
      </c>
      <c r="V202">
        <f>O$1*((-2*10^-6)*N202^3+0.00032*N202^2-0.0021*N202)+P$1*((-2*10^-6)*O202^3+0.00032*O202^2-0.0021*O202)+Q$1*((-2*10^-6)*P202^3+0.00032*P202^2-0.0021*P202)+R$1*((-2*10^-6)*Q202^3+0.00032*Q202^2-0.0021*Q202)+S$1*((-2*10^-6)*R202^3+0.00032*R202^2-0.0021*R202)</f>
        <v>0.75556400000000012</v>
      </c>
      <c r="W202" s="6">
        <f>(H$1*H202+I$1*I202)/100</f>
        <v>1.8</v>
      </c>
      <c r="X202">
        <f>U202*J$2+V202*O$2+W202*H$2</f>
        <v>3.5794672000000007</v>
      </c>
      <c r="Y202" t="str">
        <f>IF(AND(I202&gt;50,H202+I202&gt;75),"SP",IF(2*H202+I202&gt;120,"RP","CRAP"))</f>
        <v>RP</v>
      </c>
    </row>
    <row r="203" spans="1:25" ht="13.5" customHeight="1" thickBot="1" x14ac:dyDescent="0.35">
      <c r="A203">
        <f>(W203*H$2+U203*J$2+V203*O$2)*100/(W$4*H$2+U$4*J$2+V$4*O$2)</f>
        <v>9.703756130182791</v>
      </c>
      <c r="B203" s="20">
        <v>142</v>
      </c>
      <c r="C203" s="13" t="s">
        <v>170</v>
      </c>
      <c r="D203" s="21" t="s">
        <v>9</v>
      </c>
      <c r="E203" s="21" t="s">
        <v>20</v>
      </c>
      <c r="F203" s="21" t="s">
        <v>20</v>
      </c>
      <c r="G203" s="21">
        <v>18</v>
      </c>
      <c r="H203" s="21">
        <v>92</v>
      </c>
      <c r="I203" s="21">
        <v>34</v>
      </c>
      <c r="J203" s="21">
        <v>10</v>
      </c>
      <c r="K203" s="21">
        <v>1</v>
      </c>
      <c r="L203" s="21">
        <v>3</v>
      </c>
      <c r="M203" s="21">
        <v>16</v>
      </c>
      <c r="N203" s="21">
        <v>19</v>
      </c>
      <c r="O203" s="21">
        <v>33</v>
      </c>
      <c r="P203" s="21">
        <v>0</v>
      </c>
      <c r="Q203" s="21">
        <v>0</v>
      </c>
      <c r="R203" s="21">
        <v>0</v>
      </c>
      <c r="S203" s="21">
        <v>0</v>
      </c>
      <c r="T203" s="21">
        <v>44</v>
      </c>
      <c r="U203" s="6">
        <f>J$1*((-2*10^-6)*J203^3+0.00032*J203^2-0.0021*J203)+K$1*((-2*10^-6)*K203^3+0.00032*K203^2-0.0021*K203)+L$1*((-2*10^-6)*L203^3+0.00032*L203^2-0.0021*L203)+M$1*((-2*10^-6)*M203^3+0.00032*M203^2-0.0021*M203)+N$1*((-2*10^-6)*N203^3+0.00032*N203^2-0.0021*N203)</f>
        <v>3.141300000000001E-2</v>
      </c>
      <c r="V203">
        <f>O$1*((-2*10^-6)*N203^3+0.00032*N203^2-0.0021*N203)+P$1*((-2*10^-6)*O203^3+0.00032*O203^2-0.0021*O203)+Q$1*((-2*10^-6)*P203^3+0.00032*P203^2-0.0021*P203)+R$1*((-2*10^-6)*Q203^3+0.00032*Q203^2-0.0021*Q203)+S$1*((-2*10^-6)*R203^3+0.00032*R203^2-0.0021*R203)</f>
        <v>0.53841600000000012</v>
      </c>
      <c r="W203" s="6">
        <f>(H$1*H203+I$1*I203)/100</f>
        <v>2.2799999999999998</v>
      </c>
      <c r="X203">
        <f>U203*J$2+V203*O$2+W203*H$2</f>
        <v>3.4824840000000004</v>
      </c>
      <c r="Y203" t="str">
        <f>IF(AND(I203&gt;50,H203+I203&gt;75),"SP",IF(2*H203+I203&gt;120,"RP","CRAP"))</f>
        <v>RP</v>
      </c>
    </row>
    <row r="204" spans="1:25" ht="13.5" customHeight="1" thickBot="1" x14ac:dyDescent="0.35">
      <c r="A204">
        <f>(W204*H$2+U204*J$2+V204*O$2)*100/(W$4*H$2+U$4*J$2+V$4*O$2)</f>
        <v>9.5680806954971001</v>
      </c>
      <c r="B204" s="18">
        <v>195</v>
      </c>
      <c r="C204" s="12" t="s">
        <v>223</v>
      </c>
      <c r="D204" s="19" t="s">
        <v>4</v>
      </c>
      <c r="E204" s="19" t="s">
        <v>19</v>
      </c>
      <c r="F204" s="19" t="s">
        <v>19</v>
      </c>
      <c r="G204" s="19">
        <v>18</v>
      </c>
      <c r="H204" s="19">
        <v>75</v>
      </c>
      <c r="I204" s="19">
        <v>30</v>
      </c>
      <c r="J204" s="19">
        <v>13</v>
      </c>
      <c r="K204" s="19">
        <v>15</v>
      </c>
      <c r="L204" s="19">
        <v>9</v>
      </c>
      <c r="M204" s="19">
        <v>0</v>
      </c>
      <c r="N204" s="19">
        <v>28</v>
      </c>
      <c r="O204" s="19">
        <v>24</v>
      </c>
      <c r="P204" s="19">
        <v>0</v>
      </c>
      <c r="Q204" s="19">
        <v>0</v>
      </c>
      <c r="R204" s="19">
        <v>0</v>
      </c>
      <c r="S204" s="19">
        <v>0</v>
      </c>
      <c r="T204" s="19">
        <v>35</v>
      </c>
      <c r="U204" s="6">
        <f>J$1*((-2*10^-6)*J204^3+0.00032*J204^2-0.0021*J204)+K$1*((-2*10^-6)*K204^3+0.00032*K204^2-0.0021*K204)+L$1*((-2*10^-6)*L204^3+0.00032*L204^2-0.0021*L204)+M$1*((-2*10^-6)*M204^3+0.00032*M204^2-0.0021*M204)+N$1*((-2*10^-6)*N204^3+0.00032*N204^2-0.0021*N204)</f>
        <v>0.11650020000000003</v>
      </c>
      <c r="V204">
        <f>O$1*((-2*10^-6)*N204^3+0.00032*N204^2-0.0021*N204)+P$1*((-2*10^-6)*O204^3+0.00032*O204^2-0.0021*O204)+Q$1*((-2*10^-6)*P204^3+0.00032*P204^2-0.0021*P204)+R$1*((-2*10^-6)*Q204^3+0.00032*Q204^2-0.0021*Q204)+S$1*((-2*10^-6)*R204^3+0.00032*R204^2-0.0021*R204)</f>
        <v>0.50889600000000013</v>
      </c>
      <c r="W204" s="6">
        <f>(H$1*H204+I$1*I204)/100</f>
        <v>1.95</v>
      </c>
      <c r="X204">
        <f>U204*J$2+V204*O$2+W204*H$2</f>
        <v>3.4337928</v>
      </c>
      <c r="Y204" t="str">
        <f>IF(AND(I204&gt;50,H204+I204&gt;75),"SP",IF(2*H204+I204&gt;120,"RP","CRAP"))</f>
        <v>RP</v>
      </c>
    </row>
    <row r="205" spans="1:25" ht="13.5" customHeight="1" thickBot="1" x14ac:dyDescent="0.35">
      <c r="A205">
        <f>(W205*H$2+U205*J$2+V205*O$2)*100/(W$4*H$2+U$4*J$2+V$4*O$2)</f>
        <v>9.3382411948283544</v>
      </c>
      <c r="B205" s="18">
        <v>13</v>
      </c>
      <c r="C205" s="12" t="s">
        <v>41</v>
      </c>
      <c r="D205" s="19" t="s">
        <v>6</v>
      </c>
      <c r="E205" s="19" t="s">
        <v>19</v>
      </c>
      <c r="F205" s="19" t="s">
        <v>19</v>
      </c>
      <c r="G205" s="19">
        <v>18</v>
      </c>
      <c r="H205" s="19">
        <v>89</v>
      </c>
      <c r="I205" s="19">
        <v>22</v>
      </c>
      <c r="J205" s="19">
        <v>0</v>
      </c>
      <c r="K205" s="19">
        <v>10</v>
      </c>
      <c r="L205" s="19">
        <v>19</v>
      </c>
      <c r="M205" s="19">
        <v>2</v>
      </c>
      <c r="N205" s="19">
        <v>28</v>
      </c>
      <c r="O205" s="19">
        <v>25</v>
      </c>
      <c r="P205" s="19">
        <v>0</v>
      </c>
      <c r="Q205" s="19">
        <v>0</v>
      </c>
      <c r="R205" s="19">
        <v>0</v>
      </c>
      <c r="S205" s="19">
        <v>0</v>
      </c>
      <c r="T205" s="19">
        <v>74</v>
      </c>
      <c r="U205" s="6">
        <f>J$1*((-2*10^-6)*J205^3+0.00032*J205^2-0.0021*J205)+K$1*((-2*10^-6)*K205^3+0.00032*K205^2-0.0021*K205)+L$1*((-2*10^-6)*L205^3+0.00032*L205^2-0.0021*L205)+M$1*((-2*10^-6)*M205^3+0.00032*M205^2-0.0021*M205)+N$1*((-2*10^-6)*N205^3+0.00032*N205^2-0.0021*N205)</f>
        <v>0.13090100000000005</v>
      </c>
      <c r="V205">
        <f>O$1*((-2*10^-6)*N205^3+0.00032*N205^2-0.0021*N205)+P$1*((-2*10^-6)*O205^3+0.00032*O205^2-0.0021*O205)+Q$1*((-2*10^-6)*P205^3+0.00032*P205^2-0.0021*P205)+R$1*((-2*10^-6)*Q205^3+0.00032*Q205^2-0.0021*Q205)+S$1*((-2*10^-6)*R205^3+0.00032*R205^2-0.0021*R205)</f>
        <v>0.5288520000000001</v>
      </c>
      <c r="W205" s="6">
        <f>(H$1*H205+I$1*I205)/100</f>
        <v>1.77</v>
      </c>
      <c r="X205">
        <f>U205*J$2+V205*O$2+W205*H$2</f>
        <v>3.3513080000000004</v>
      </c>
      <c r="Y205" t="str">
        <f>IF(AND(I205&gt;50,H205+I205&gt;75),"SP",IF(2*H205+I205&gt;120,"RP","CRAP"))</f>
        <v>RP</v>
      </c>
    </row>
    <row r="206" spans="1:25" ht="13.5" customHeight="1" thickBot="1" x14ac:dyDescent="0.35">
      <c r="A206">
        <f>(W206*H$2+U206*J$2+V206*O$2)*100/(W$4*H$2+U$4*J$2+V$4*O$2)</f>
        <v>5.7919460543914383</v>
      </c>
      <c r="B206" s="18">
        <v>91</v>
      </c>
      <c r="C206" s="12" t="s">
        <v>119</v>
      </c>
      <c r="D206" s="19" t="s">
        <v>9</v>
      </c>
      <c r="E206" s="19" t="s">
        <v>20</v>
      </c>
      <c r="F206" s="19" t="s">
        <v>20</v>
      </c>
      <c r="G206" s="19">
        <v>18</v>
      </c>
      <c r="H206" s="19">
        <v>86</v>
      </c>
      <c r="I206" s="19">
        <v>13</v>
      </c>
      <c r="J206" s="19">
        <v>6</v>
      </c>
      <c r="K206" s="19">
        <v>6</v>
      </c>
      <c r="L206" s="19">
        <v>7</v>
      </c>
      <c r="M206" s="19">
        <v>0</v>
      </c>
      <c r="N206" s="19">
        <v>4</v>
      </c>
      <c r="O206" s="19">
        <v>31</v>
      </c>
      <c r="P206" s="19">
        <v>0</v>
      </c>
      <c r="Q206" s="19">
        <v>0</v>
      </c>
      <c r="R206" s="19">
        <v>0</v>
      </c>
      <c r="S206" s="19">
        <v>0</v>
      </c>
      <c r="T206" s="19">
        <v>53</v>
      </c>
      <c r="U206" s="6">
        <f>J$1*((-2*10^-6)*J206^3+0.00032*J206^2-0.0021*J206)+K$1*((-2*10^-6)*K206^3+0.00032*K206^2-0.0021*K206)+L$1*((-2*10^-6)*L206^3+0.00032*L206^2-0.0021*L206)+M$1*((-2*10^-6)*M206^3+0.00032*M206^2-0.0021*M206)+N$1*((-2*10^-6)*N206^3+0.00032*N206^2-0.0021*N206)</f>
        <v>-4.776599999999992E-3</v>
      </c>
      <c r="V206">
        <f>O$1*((-2*10^-6)*N206^3+0.00032*N206^2-0.0021*N206)+P$1*((-2*10^-6)*O206^3+0.00032*O206^2-0.0021*O206)+Q$1*((-2*10^-6)*P206^3+0.00032*P206^2-0.0021*P206)+R$1*((-2*10^-6)*Q206^3+0.00032*Q206^2-0.0021*Q206)+S$1*((-2*10^-6)*R206^3+0.00032*R206^2-0.0021*R206)</f>
        <v>0.35886000000000007</v>
      </c>
      <c r="W206" s="6">
        <f>(H$1*H206+I$1*I206)/100</f>
        <v>1.38</v>
      </c>
      <c r="X206">
        <f>U206*J$2+V206*O$2+W206*H$2</f>
        <v>2.0786136000000002</v>
      </c>
      <c r="Y206" t="str">
        <f>IF(AND(I206&gt;50,H206+I206&gt;75),"SP",IF(2*H206+I206&gt;120,"RP","CRAP"))</f>
        <v>RP</v>
      </c>
    </row>
    <row r="207" spans="1:25" ht="13.5" customHeight="1" thickBot="1" x14ac:dyDescent="0.35">
      <c r="B207" s="20"/>
      <c r="C207" s="13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</row>
    <row r="208" spans="1:25" ht="13.5" customHeight="1" thickBot="1" x14ac:dyDescent="0.35">
      <c r="B208" s="18"/>
      <c r="C208" s="12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</row>
    <row r="209" spans="2:20" ht="13.5" customHeight="1" thickBot="1" x14ac:dyDescent="0.35">
      <c r="B209" s="20"/>
      <c r="C209" s="13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</row>
    <row r="210" spans="2:20" ht="13.5" customHeight="1" thickBot="1" x14ac:dyDescent="0.35">
      <c r="B210" s="18"/>
      <c r="C210" s="12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</row>
    <row r="211" spans="2:20" ht="13.5" customHeight="1" thickBot="1" x14ac:dyDescent="0.35">
      <c r="B211" s="20"/>
      <c r="C211" s="13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</row>
    <row r="212" spans="2:20" ht="13.5" customHeight="1" thickBot="1" x14ac:dyDescent="0.35">
      <c r="B212" s="18"/>
      <c r="C212" s="12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</row>
    <row r="213" spans="2:20" ht="13.5" customHeight="1" thickBot="1" x14ac:dyDescent="0.35">
      <c r="B213" s="20"/>
      <c r="C213" s="13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</row>
    <row r="214" spans="2:20" ht="13.5" customHeight="1" thickBot="1" x14ac:dyDescent="0.35">
      <c r="B214" s="18"/>
      <c r="C214" s="12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</row>
    <row r="215" spans="2:20" ht="13.5" customHeight="1" thickBot="1" x14ac:dyDescent="0.35">
      <c r="B215" s="20"/>
      <c r="C215" s="13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</row>
    <row r="216" spans="2:20" ht="13.5" customHeight="1" thickBot="1" x14ac:dyDescent="0.35">
      <c r="B216" s="18"/>
      <c r="C216" s="12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</row>
    <row r="217" spans="2:20" ht="13.5" customHeight="1" thickBot="1" x14ac:dyDescent="0.35">
      <c r="B217" s="20"/>
      <c r="C217" s="13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</row>
    <row r="218" spans="2:20" ht="13.5" customHeight="1" thickBot="1" x14ac:dyDescent="0.35">
      <c r="B218" s="18"/>
      <c r="C218" s="12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</row>
    <row r="219" spans="2:20" ht="13.5" customHeight="1" thickBot="1" x14ac:dyDescent="0.35">
      <c r="B219" s="20"/>
      <c r="C219" s="13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</row>
    <row r="220" spans="2:20" ht="13.5" customHeight="1" thickBot="1" x14ac:dyDescent="0.35">
      <c r="B220" s="18"/>
      <c r="C220" s="12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</row>
    <row r="221" spans="2:20" ht="13.5" customHeight="1" thickBot="1" x14ac:dyDescent="0.35">
      <c r="B221" s="20"/>
      <c r="C221" s="13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</row>
    <row r="222" spans="2:20" ht="13.5" customHeight="1" thickBot="1" x14ac:dyDescent="0.35">
      <c r="B222" s="18"/>
      <c r="C222" s="12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</row>
    <row r="223" spans="2:20" ht="13.5" customHeight="1" thickBot="1" x14ac:dyDescent="0.35">
      <c r="B223" s="20"/>
      <c r="C223" s="13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</row>
    <row r="224" spans="2:20" ht="13.5" customHeight="1" thickBot="1" x14ac:dyDescent="0.35">
      <c r="B224" s="18"/>
      <c r="C224" s="12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</row>
    <row r="225" spans="2:20" ht="13.5" customHeight="1" thickBot="1" x14ac:dyDescent="0.35">
      <c r="B225" s="20"/>
      <c r="C225" s="13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</row>
    <row r="226" spans="2:20" ht="13.5" customHeight="1" thickBot="1" x14ac:dyDescent="0.35">
      <c r="B226" s="18"/>
      <c r="C226" s="12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</row>
    <row r="227" spans="2:20" ht="13.5" customHeight="1" thickBot="1" x14ac:dyDescent="0.35">
      <c r="B227" s="20"/>
      <c r="C227" s="13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</row>
    <row r="228" spans="2:20" ht="13.5" customHeight="1" thickBot="1" x14ac:dyDescent="0.35">
      <c r="B228" s="18"/>
      <c r="C228" s="12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</row>
    <row r="229" spans="2:20" ht="13.5" customHeight="1" thickBot="1" x14ac:dyDescent="0.35">
      <c r="B229" s="20"/>
      <c r="C229" s="13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</row>
    <row r="230" spans="2:20" ht="13.5" customHeight="1" thickBot="1" x14ac:dyDescent="0.35">
      <c r="B230" s="18"/>
      <c r="C230" s="12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</row>
    <row r="231" spans="2:20" ht="13.5" customHeight="1" thickBot="1" x14ac:dyDescent="0.35">
      <c r="B231" s="20"/>
      <c r="C231" s="13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</row>
    <row r="232" spans="2:20" ht="13.5" customHeight="1" thickBot="1" x14ac:dyDescent="0.35">
      <c r="B232" s="18"/>
      <c r="C232" s="12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</row>
    <row r="233" spans="2:20" ht="13.5" customHeight="1" thickBot="1" x14ac:dyDescent="0.35">
      <c r="B233" s="20"/>
      <c r="C233" s="13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</row>
    <row r="234" spans="2:20" ht="13.5" customHeight="1" thickBot="1" x14ac:dyDescent="0.35">
      <c r="B234" s="18"/>
      <c r="C234" s="12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</row>
    <row r="235" spans="2:20" ht="13.5" customHeight="1" thickBot="1" x14ac:dyDescent="0.35">
      <c r="B235" s="20"/>
      <c r="C235" s="13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</row>
    <row r="236" spans="2:20" ht="13.5" customHeight="1" thickBot="1" x14ac:dyDescent="0.35">
      <c r="B236" s="18"/>
      <c r="C236" s="12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</row>
    <row r="237" spans="2:20" ht="13.5" customHeight="1" thickBot="1" x14ac:dyDescent="0.35">
      <c r="B237" s="20"/>
      <c r="C237" s="13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</row>
    <row r="238" spans="2:20" ht="13.5" customHeight="1" thickBot="1" x14ac:dyDescent="0.35">
      <c r="B238" s="18"/>
      <c r="C238" s="12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</row>
    <row r="239" spans="2:20" ht="13.5" customHeight="1" thickBot="1" x14ac:dyDescent="0.35">
      <c r="B239" s="20"/>
      <c r="C239" s="13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</row>
    <row r="240" spans="2:20" ht="13.5" customHeight="1" thickBot="1" x14ac:dyDescent="0.35">
      <c r="B240" s="18"/>
      <c r="C240" s="12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</row>
    <row r="241" spans="2:20" ht="13.5" customHeight="1" thickBot="1" x14ac:dyDescent="0.35">
      <c r="B241" s="20"/>
      <c r="C241" s="13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</row>
    <row r="242" spans="2:20" ht="13.5" customHeight="1" thickBot="1" x14ac:dyDescent="0.35">
      <c r="B242" s="18"/>
      <c r="C242" s="12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</row>
    <row r="243" spans="2:20" ht="13.5" customHeight="1" thickBot="1" x14ac:dyDescent="0.35">
      <c r="B243" s="20"/>
      <c r="C243" s="13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</row>
    <row r="244" spans="2:20" ht="13.5" customHeight="1" thickBot="1" x14ac:dyDescent="0.35">
      <c r="B244" s="18"/>
      <c r="C244" s="12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</row>
    <row r="245" spans="2:20" ht="13.5" customHeight="1" thickBot="1" x14ac:dyDescent="0.35">
      <c r="B245" s="20"/>
      <c r="C245" s="13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</row>
    <row r="246" spans="2:20" ht="13.5" customHeight="1" thickBot="1" x14ac:dyDescent="0.35">
      <c r="B246" s="18"/>
      <c r="C246" s="12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</row>
    <row r="247" spans="2:20" ht="13.5" customHeight="1" thickBot="1" x14ac:dyDescent="0.35">
      <c r="B247" s="20"/>
      <c r="C247" s="13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</row>
    <row r="248" spans="2:20" ht="13.5" customHeight="1" thickBot="1" x14ac:dyDescent="0.35">
      <c r="B248" s="18"/>
      <c r="C248" s="12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</row>
    <row r="249" spans="2:20" ht="13.5" customHeight="1" thickBot="1" x14ac:dyDescent="0.35">
      <c r="B249" s="20"/>
      <c r="C249" s="13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</row>
    <row r="250" spans="2:20" ht="13.5" customHeight="1" thickBot="1" x14ac:dyDescent="0.35">
      <c r="B250" s="18"/>
      <c r="C250" s="12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</row>
    <row r="251" spans="2:20" ht="13.5" customHeight="1" thickBot="1" x14ac:dyDescent="0.35">
      <c r="B251" s="20"/>
      <c r="C251" s="13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</row>
    <row r="252" spans="2:20" ht="13.5" customHeight="1" thickBot="1" x14ac:dyDescent="0.35">
      <c r="B252" s="18"/>
      <c r="C252" s="12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</row>
    <row r="253" spans="2:20" ht="13.5" customHeight="1" thickBot="1" x14ac:dyDescent="0.35">
      <c r="B253" s="20"/>
      <c r="C253" s="13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</row>
    <row r="254" spans="2:20" ht="13.5" customHeight="1" thickBot="1" x14ac:dyDescent="0.35">
      <c r="B254" s="18"/>
      <c r="C254" s="12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</row>
    <row r="255" spans="2:20" ht="13.5" customHeight="1" thickBot="1" x14ac:dyDescent="0.35">
      <c r="B255" s="20"/>
      <c r="C255" s="13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</row>
    <row r="256" spans="2:20" ht="13.5" customHeight="1" thickBot="1" x14ac:dyDescent="0.35">
      <c r="B256" s="18"/>
      <c r="C256" s="12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</row>
    <row r="257" spans="2:20" ht="13.5" customHeight="1" thickBot="1" x14ac:dyDescent="0.35">
      <c r="B257" s="20"/>
      <c r="C257" s="13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</row>
    <row r="258" spans="2:20" ht="13.5" customHeight="1" thickBot="1" x14ac:dyDescent="0.35">
      <c r="B258" s="18"/>
      <c r="C258" s="12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</row>
    <row r="259" spans="2:20" ht="13.5" customHeight="1" thickBot="1" x14ac:dyDescent="0.35">
      <c r="B259" s="20"/>
      <c r="C259" s="13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</row>
    <row r="260" spans="2:20" ht="13.5" customHeight="1" thickBot="1" x14ac:dyDescent="0.35">
      <c r="B260" s="18"/>
      <c r="C260" s="12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</row>
    <row r="261" spans="2:20" ht="13.5" customHeight="1" thickBot="1" x14ac:dyDescent="0.35">
      <c r="B261" s="20"/>
      <c r="C261" s="13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</row>
    <row r="262" spans="2:20" ht="13.5" customHeight="1" thickBot="1" x14ac:dyDescent="0.35">
      <c r="B262" s="18"/>
      <c r="C262" s="12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</row>
    <row r="263" spans="2:20" ht="13.5" customHeight="1" thickBot="1" x14ac:dyDescent="0.35">
      <c r="B263" s="20"/>
      <c r="C263" s="13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</row>
    <row r="264" spans="2:20" ht="13.5" customHeight="1" thickBot="1" x14ac:dyDescent="0.35">
      <c r="B264" s="18"/>
      <c r="C264" s="12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</row>
    <row r="265" spans="2:20" ht="13.5" customHeight="1" thickBot="1" x14ac:dyDescent="0.35">
      <c r="B265" s="20"/>
      <c r="C265" s="13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</row>
    <row r="266" spans="2:20" ht="13.5" customHeight="1" thickBot="1" x14ac:dyDescent="0.35">
      <c r="B266" s="18"/>
      <c r="C266" s="12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</row>
    <row r="267" spans="2:20" ht="13.5" customHeight="1" thickBot="1" x14ac:dyDescent="0.35">
      <c r="B267" s="20"/>
      <c r="C267" s="13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</row>
    <row r="268" spans="2:20" ht="13.5" customHeight="1" thickBot="1" x14ac:dyDescent="0.35">
      <c r="B268" s="18"/>
      <c r="C268" s="12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</row>
    <row r="269" spans="2:20" ht="13.5" customHeight="1" thickBot="1" x14ac:dyDescent="0.35">
      <c r="B269" s="20"/>
      <c r="C269" s="13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</row>
    <row r="270" spans="2:20" ht="13.5" customHeight="1" thickBot="1" x14ac:dyDescent="0.35">
      <c r="B270" s="18"/>
      <c r="C270" s="12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</row>
    <row r="271" spans="2:20" ht="13.5" customHeight="1" thickBot="1" x14ac:dyDescent="0.35">
      <c r="B271" s="20"/>
      <c r="C271" s="13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</row>
    <row r="272" spans="2:20" ht="13.5" customHeight="1" thickBot="1" x14ac:dyDescent="0.35">
      <c r="B272" s="18"/>
      <c r="C272" s="12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</row>
    <row r="273" spans="2:20" ht="13.5" customHeight="1" thickBot="1" x14ac:dyDescent="0.35">
      <c r="B273" s="20"/>
      <c r="C273" s="13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</row>
    <row r="274" spans="2:20" ht="13.5" customHeight="1" thickBot="1" x14ac:dyDescent="0.35">
      <c r="B274" s="18"/>
      <c r="C274" s="12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</row>
    <row r="275" spans="2:20" ht="13.5" customHeight="1" thickBot="1" x14ac:dyDescent="0.35">
      <c r="B275" s="20"/>
      <c r="C275" s="13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</row>
    <row r="276" spans="2:20" ht="13.5" customHeight="1" thickBot="1" x14ac:dyDescent="0.35">
      <c r="B276" s="18"/>
      <c r="C276" s="12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</row>
    <row r="277" spans="2:20" ht="13.5" customHeight="1" thickBot="1" x14ac:dyDescent="0.35">
      <c r="B277" s="20"/>
      <c r="C277" s="13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</row>
    <row r="278" spans="2:20" ht="13.5" customHeight="1" thickBot="1" x14ac:dyDescent="0.35">
      <c r="B278" s="18"/>
      <c r="C278" s="12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</row>
    <row r="279" spans="2:20" ht="13.5" customHeight="1" thickBot="1" x14ac:dyDescent="0.35">
      <c r="B279" s="20"/>
      <c r="C279" s="13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</row>
    <row r="280" spans="2:20" ht="13.5" customHeight="1" thickBot="1" x14ac:dyDescent="0.35">
      <c r="B280" s="18"/>
      <c r="C280" s="12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</row>
    <row r="281" spans="2:20" ht="13.5" customHeight="1" thickBot="1" x14ac:dyDescent="0.35">
      <c r="B281" s="20"/>
      <c r="C281" s="13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</row>
    <row r="282" spans="2:20" ht="13.5" customHeight="1" thickBot="1" x14ac:dyDescent="0.35">
      <c r="B282" s="18"/>
      <c r="C282" s="12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</row>
    <row r="283" spans="2:20" ht="13.5" customHeight="1" thickBot="1" x14ac:dyDescent="0.35">
      <c r="B283" s="20"/>
      <c r="C283" s="13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</row>
    <row r="284" spans="2:20" ht="13.5" customHeight="1" thickBot="1" x14ac:dyDescent="0.35">
      <c r="B284" s="18"/>
      <c r="C284" s="12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</row>
    <row r="285" spans="2:20" ht="13.5" customHeight="1" thickBot="1" x14ac:dyDescent="0.35">
      <c r="B285" s="20"/>
      <c r="C285" s="13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</row>
    <row r="286" spans="2:20" ht="13.5" customHeight="1" thickBot="1" x14ac:dyDescent="0.35">
      <c r="B286" s="18"/>
      <c r="C286" s="12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</row>
    <row r="287" spans="2:20" ht="13.5" customHeight="1" thickBot="1" x14ac:dyDescent="0.35">
      <c r="B287" s="20"/>
      <c r="C287" s="13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</row>
    <row r="288" spans="2:20" ht="13.5" customHeight="1" thickBot="1" x14ac:dyDescent="0.35">
      <c r="B288" s="18"/>
      <c r="C288" s="12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</row>
    <row r="289" spans="2:20" ht="13.5" customHeight="1" thickBot="1" x14ac:dyDescent="0.35">
      <c r="B289" s="20"/>
      <c r="C289" s="13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</row>
    <row r="290" spans="2:20" ht="13.5" customHeight="1" thickBot="1" x14ac:dyDescent="0.35">
      <c r="B290" s="18"/>
      <c r="C290" s="12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</row>
    <row r="291" spans="2:20" ht="13.5" customHeight="1" thickBot="1" x14ac:dyDescent="0.35">
      <c r="B291" s="20"/>
      <c r="C291" s="13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</row>
    <row r="292" spans="2:20" ht="13.5" customHeight="1" thickBot="1" x14ac:dyDescent="0.35">
      <c r="B292" s="18"/>
      <c r="C292" s="12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</row>
    <row r="293" spans="2:20" ht="13.5" customHeight="1" thickBot="1" x14ac:dyDescent="0.35">
      <c r="B293" s="20"/>
      <c r="C293" s="13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</row>
    <row r="294" spans="2:20" ht="13.5" customHeight="1" thickBot="1" x14ac:dyDescent="0.35">
      <c r="B294" s="18"/>
      <c r="C294" s="12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</row>
    <row r="295" spans="2:20" ht="13.5" customHeight="1" thickBot="1" x14ac:dyDescent="0.35">
      <c r="B295" s="20"/>
      <c r="C295" s="13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</row>
    <row r="296" spans="2:20" ht="13.5" customHeight="1" thickBot="1" x14ac:dyDescent="0.35">
      <c r="B296" s="18"/>
      <c r="C296" s="12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</row>
    <row r="297" spans="2:20" ht="13.5" customHeight="1" thickBot="1" x14ac:dyDescent="0.35">
      <c r="B297" s="20"/>
      <c r="C297" s="13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</row>
    <row r="298" spans="2:20" ht="13.5" customHeight="1" thickBot="1" x14ac:dyDescent="0.35">
      <c r="B298" s="18"/>
      <c r="C298" s="12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</row>
    <row r="299" spans="2:20" ht="13.5" customHeight="1" thickBot="1" x14ac:dyDescent="0.35">
      <c r="B299" s="20"/>
      <c r="C299" s="13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</row>
    <row r="300" spans="2:20" ht="13.5" customHeight="1" thickBot="1" x14ac:dyDescent="0.35">
      <c r="B300" s="18"/>
      <c r="C300" s="12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</row>
    <row r="301" spans="2:20" ht="13.5" customHeight="1" thickBot="1" x14ac:dyDescent="0.35">
      <c r="B301" s="20"/>
      <c r="C301" s="13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</row>
    <row r="302" spans="2:20" ht="13.5" customHeight="1" thickBot="1" x14ac:dyDescent="0.35">
      <c r="B302" s="18"/>
      <c r="C302" s="12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</row>
    <row r="303" spans="2:20" ht="13.5" customHeight="1" thickBot="1" x14ac:dyDescent="0.35">
      <c r="B303" s="20"/>
      <c r="C303" s="13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</row>
    <row r="304" spans="2:20" ht="13.5" customHeight="1" thickBot="1" x14ac:dyDescent="0.35">
      <c r="B304" s="18"/>
      <c r="C304" s="12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</row>
    <row r="305" spans="2:20" ht="13.5" customHeight="1" thickBot="1" x14ac:dyDescent="0.35">
      <c r="B305" s="20"/>
      <c r="C305" s="13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</row>
    <row r="306" spans="2:20" ht="13.5" customHeight="1" thickBot="1" x14ac:dyDescent="0.35">
      <c r="B306" s="18"/>
      <c r="C306" s="12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</row>
    <row r="307" spans="2:20" ht="13.5" customHeight="1" thickBot="1" x14ac:dyDescent="0.35">
      <c r="B307" s="20"/>
      <c r="C307" s="13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</row>
    <row r="308" spans="2:20" ht="13.5" customHeight="1" thickBot="1" x14ac:dyDescent="0.35">
      <c r="B308" s="18"/>
      <c r="C308" s="12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</row>
    <row r="309" spans="2:20" ht="13.5" customHeight="1" thickBot="1" x14ac:dyDescent="0.35">
      <c r="B309" s="20"/>
      <c r="C309" s="13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</row>
    <row r="310" spans="2:20" ht="13.5" customHeight="1" thickBot="1" x14ac:dyDescent="0.35">
      <c r="B310" s="18"/>
      <c r="C310" s="12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</row>
    <row r="311" spans="2:20" ht="13.5" customHeight="1" thickBot="1" x14ac:dyDescent="0.35">
      <c r="B311" s="20"/>
      <c r="C311" s="13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</row>
    <row r="312" spans="2:20" ht="13.5" customHeight="1" thickBot="1" x14ac:dyDescent="0.35">
      <c r="B312" s="18"/>
      <c r="C312" s="12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</row>
    <row r="313" spans="2:20" ht="13.5" customHeight="1" thickBot="1" x14ac:dyDescent="0.35">
      <c r="B313" s="20"/>
      <c r="C313" s="13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</row>
    <row r="314" spans="2:20" ht="13.5" customHeight="1" thickBot="1" x14ac:dyDescent="0.35">
      <c r="B314" s="18"/>
      <c r="C314" s="12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</row>
    <row r="315" spans="2:20" ht="13.5" customHeight="1" thickBot="1" x14ac:dyDescent="0.35">
      <c r="B315" s="20"/>
      <c r="C315" s="13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</row>
    <row r="316" spans="2:20" ht="13.5" customHeight="1" thickBot="1" x14ac:dyDescent="0.35">
      <c r="B316" s="18"/>
      <c r="C316" s="12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</row>
    <row r="317" spans="2:20" ht="13.5" customHeight="1" thickBot="1" x14ac:dyDescent="0.35">
      <c r="B317" s="20"/>
      <c r="C317" s="13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</row>
    <row r="318" spans="2:20" ht="13.5" customHeight="1" thickBot="1" x14ac:dyDescent="0.35">
      <c r="B318" s="18"/>
      <c r="C318" s="12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</row>
    <row r="319" spans="2:20" ht="13.5" customHeight="1" thickBot="1" x14ac:dyDescent="0.35">
      <c r="B319" s="20"/>
      <c r="C319" s="13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</row>
    <row r="320" spans="2:20" ht="13.5" customHeight="1" thickBot="1" x14ac:dyDescent="0.35">
      <c r="B320" s="18"/>
      <c r="C320" s="12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</row>
    <row r="321" spans="2:20" ht="13.5" customHeight="1" thickBot="1" x14ac:dyDescent="0.35">
      <c r="B321" s="20"/>
      <c r="C321" s="13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</row>
    <row r="322" spans="2:20" ht="13.5" customHeight="1" thickBot="1" x14ac:dyDescent="0.35">
      <c r="B322" s="18"/>
      <c r="C322" s="12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</row>
    <row r="323" spans="2:20" ht="13.5" customHeight="1" thickBot="1" x14ac:dyDescent="0.35">
      <c r="B323" s="20"/>
      <c r="C323" s="13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</row>
    <row r="324" spans="2:20" ht="13.5" customHeight="1" thickBot="1" x14ac:dyDescent="0.35">
      <c r="B324" s="18"/>
      <c r="C324" s="12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</row>
    <row r="325" spans="2:20" ht="13.5" customHeight="1" thickBot="1" x14ac:dyDescent="0.35">
      <c r="B325" s="20"/>
      <c r="C325" s="13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</row>
    <row r="326" spans="2:20" ht="13.5" customHeight="1" thickBot="1" x14ac:dyDescent="0.35">
      <c r="B326" s="18"/>
      <c r="C326" s="12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</row>
    <row r="327" spans="2:20" ht="13.5" customHeight="1" thickBot="1" x14ac:dyDescent="0.35">
      <c r="B327" s="20"/>
      <c r="C327" s="13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</row>
    <row r="328" spans="2:20" ht="13.5" customHeight="1" thickBot="1" x14ac:dyDescent="0.35">
      <c r="B328" s="18"/>
      <c r="C328" s="12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</row>
    <row r="329" spans="2:20" ht="13.5" customHeight="1" thickBot="1" x14ac:dyDescent="0.35">
      <c r="B329" s="20"/>
      <c r="C329" s="13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</row>
    <row r="330" spans="2:20" ht="13.5" customHeight="1" thickBot="1" x14ac:dyDescent="0.35">
      <c r="B330" s="18"/>
      <c r="C330" s="12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</row>
    <row r="331" spans="2:20" ht="13.5" customHeight="1" thickBot="1" x14ac:dyDescent="0.35">
      <c r="B331" s="20"/>
      <c r="C331" s="13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</row>
    <row r="332" spans="2:20" ht="13.5" customHeight="1" thickBot="1" x14ac:dyDescent="0.35">
      <c r="B332" s="18"/>
      <c r="C332" s="12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</row>
    <row r="333" spans="2:20" ht="13.5" customHeight="1" thickBot="1" x14ac:dyDescent="0.35">
      <c r="B333" s="20"/>
      <c r="C333" s="13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</row>
    <row r="334" spans="2:20" ht="13.5" customHeight="1" thickBot="1" x14ac:dyDescent="0.35">
      <c r="B334" s="18"/>
      <c r="C334" s="12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</row>
    <row r="335" spans="2:20" ht="13.5" customHeight="1" thickBot="1" x14ac:dyDescent="0.35">
      <c r="B335" s="20"/>
      <c r="C335" s="13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</row>
    <row r="336" spans="2:20" ht="13.5" customHeight="1" thickBot="1" x14ac:dyDescent="0.35">
      <c r="B336" s="18"/>
      <c r="C336" s="12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</row>
    <row r="337" spans="2:20" ht="13.5" customHeight="1" thickBot="1" x14ac:dyDescent="0.35">
      <c r="B337" s="20"/>
      <c r="C337" s="13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</row>
    <row r="338" spans="2:20" ht="13.5" customHeight="1" thickBot="1" x14ac:dyDescent="0.35">
      <c r="B338" s="18"/>
      <c r="C338" s="12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</row>
    <row r="339" spans="2:20" ht="13.5" customHeight="1" thickBot="1" x14ac:dyDescent="0.35">
      <c r="B339" s="20"/>
      <c r="C339" s="13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</row>
    <row r="340" spans="2:20" ht="13.5" customHeight="1" thickBot="1" x14ac:dyDescent="0.35">
      <c r="B340" s="18"/>
      <c r="C340" s="12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</row>
    <row r="341" spans="2:20" ht="13.5" customHeight="1" thickBot="1" x14ac:dyDescent="0.35">
      <c r="B341" s="20"/>
      <c r="C341" s="13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</row>
    <row r="342" spans="2:20" ht="13.5" customHeight="1" thickBot="1" x14ac:dyDescent="0.35">
      <c r="B342" s="18"/>
      <c r="C342" s="12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</row>
    <row r="343" spans="2:20" ht="13.5" customHeight="1" thickBot="1" x14ac:dyDescent="0.35">
      <c r="B343" s="20"/>
      <c r="C343" s="13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</row>
    <row r="344" spans="2:20" ht="13.5" customHeight="1" thickBot="1" x14ac:dyDescent="0.35">
      <c r="B344" s="18"/>
      <c r="C344" s="12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</row>
    <row r="345" spans="2:20" ht="13.5" customHeight="1" thickBot="1" x14ac:dyDescent="0.35">
      <c r="B345" s="20"/>
      <c r="C345" s="13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</row>
    <row r="346" spans="2:20" ht="13.5" customHeight="1" thickBot="1" x14ac:dyDescent="0.35">
      <c r="B346" s="18"/>
      <c r="C346" s="12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</row>
    <row r="347" spans="2:20" ht="13.5" customHeight="1" thickBot="1" x14ac:dyDescent="0.35">
      <c r="B347" s="20"/>
      <c r="C347" s="13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</row>
    <row r="348" spans="2:20" ht="13.5" customHeight="1" thickBot="1" x14ac:dyDescent="0.35">
      <c r="B348" s="18"/>
      <c r="C348" s="12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</row>
    <row r="349" spans="2:20" ht="13.5" customHeight="1" thickBot="1" x14ac:dyDescent="0.35">
      <c r="B349" s="20"/>
      <c r="C349" s="13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</row>
    <row r="350" spans="2:20" ht="13.5" customHeight="1" thickBot="1" x14ac:dyDescent="0.35">
      <c r="B350" s="18"/>
      <c r="C350" s="12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</row>
    <row r="351" spans="2:20" ht="13.5" customHeight="1" thickBot="1" x14ac:dyDescent="0.35">
      <c r="B351" s="20"/>
      <c r="C351" s="13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</row>
    <row r="352" spans="2:20" ht="13.5" customHeight="1" thickBot="1" x14ac:dyDescent="0.35">
      <c r="B352" s="18"/>
      <c r="C352" s="12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</row>
    <row r="353" spans="2:20" ht="13.5" customHeight="1" thickBot="1" x14ac:dyDescent="0.35">
      <c r="B353" s="20"/>
      <c r="C353" s="13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</row>
    <row r="354" spans="2:20" ht="13.5" customHeight="1" thickBot="1" x14ac:dyDescent="0.35">
      <c r="B354" s="18"/>
      <c r="C354" s="12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</row>
    <row r="355" spans="2:20" ht="13.5" customHeight="1" thickBot="1" x14ac:dyDescent="0.35">
      <c r="B355" s="20"/>
      <c r="C355" s="13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</row>
    <row r="356" spans="2:20" ht="13.5" customHeight="1" thickBot="1" x14ac:dyDescent="0.35">
      <c r="B356" s="18"/>
      <c r="C356" s="12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</row>
    <row r="357" spans="2:20" ht="13.5" customHeight="1" thickBot="1" x14ac:dyDescent="0.35">
      <c r="B357" s="20"/>
      <c r="C357" s="13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</row>
    <row r="358" spans="2:20" ht="13.5" customHeight="1" thickBot="1" x14ac:dyDescent="0.35">
      <c r="B358" s="18"/>
      <c r="C358" s="12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</row>
    <row r="359" spans="2:20" ht="13.5" customHeight="1" thickBot="1" x14ac:dyDescent="0.35">
      <c r="B359" s="20"/>
      <c r="C359" s="13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</row>
    <row r="360" spans="2:20" ht="13.5" customHeight="1" thickBot="1" x14ac:dyDescent="0.35">
      <c r="B360" s="18"/>
      <c r="C360" s="12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</row>
    <row r="361" spans="2:20" ht="13.5" customHeight="1" thickBot="1" x14ac:dyDescent="0.35">
      <c r="B361" s="20"/>
      <c r="C361" s="13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</row>
    <row r="362" spans="2:20" ht="13.5" customHeight="1" thickBot="1" x14ac:dyDescent="0.35">
      <c r="B362" s="18"/>
      <c r="C362" s="12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</row>
    <row r="363" spans="2:20" ht="13.5" customHeight="1" thickBot="1" x14ac:dyDescent="0.35">
      <c r="B363" s="20"/>
      <c r="C363" s="13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</row>
    <row r="364" spans="2:20" ht="13.5" customHeight="1" thickBot="1" x14ac:dyDescent="0.35">
      <c r="B364" s="18"/>
      <c r="C364" s="12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</row>
    <row r="365" spans="2:20" ht="13.5" customHeight="1" thickBot="1" x14ac:dyDescent="0.35">
      <c r="B365" s="20"/>
      <c r="C365" s="13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</row>
    <row r="366" spans="2:20" ht="13.5" customHeight="1" thickBot="1" x14ac:dyDescent="0.35">
      <c r="B366" s="18"/>
      <c r="C366" s="12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</row>
    <row r="367" spans="2:20" ht="13.5" customHeight="1" thickBot="1" x14ac:dyDescent="0.35">
      <c r="B367" s="20"/>
      <c r="C367" s="13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</row>
    <row r="368" spans="2:20" ht="13.5" customHeight="1" thickBot="1" x14ac:dyDescent="0.35">
      <c r="B368" s="18"/>
      <c r="C368" s="12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</row>
    <row r="369" spans="2:20" ht="13.5" customHeight="1" thickBot="1" x14ac:dyDescent="0.35">
      <c r="B369" s="20"/>
      <c r="C369" s="13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</row>
    <row r="370" spans="2:20" ht="13.5" customHeight="1" thickBot="1" x14ac:dyDescent="0.35">
      <c r="B370" s="18"/>
      <c r="C370" s="12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</row>
    <row r="371" spans="2:20" ht="13.5" customHeight="1" thickBot="1" x14ac:dyDescent="0.35">
      <c r="B371" s="20"/>
      <c r="C371" s="13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</row>
    <row r="372" spans="2:20" ht="13.5" customHeight="1" thickBot="1" x14ac:dyDescent="0.35">
      <c r="B372" s="18"/>
      <c r="C372" s="12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</row>
    <row r="373" spans="2:20" ht="13.5" customHeight="1" thickBot="1" x14ac:dyDescent="0.35">
      <c r="B373" s="20"/>
      <c r="C373" s="13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</row>
    <row r="374" spans="2:20" ht="13.5" customHeight="1" thickBot="1" x14ac:dyDescent="0.35">
      <c r="B374" s="18"/>
      <c r="C374" s="12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</row>
    <row r="375" spans="2:20" ht="13.5" customHeight="1" thickBot="1" x14ac:dyDescent="0.35">
      <c r="B375" s="20"/>
      <c r="C375" s="13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</row>
    <row r="376" spans="2:20" ht="13.5" customHeight="1" thickBot="1" x14ac:dyDescent="0.35">
      <c r="B376" s="18"/>
      <c r="C376" s="12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</row>
    <row r="377" spans="2:20" ht="13.5" customHeight="1" thickBot="1" x14ac:dyDescent="0.35">
      <c r="B377" s="20"/>
      <c r="C377" s="13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</row>
    <row r="378" spans="2:20" ht="13.5" customHeight="1" thickBot="1" x14ac:dyDescent="0.35">
      <c r="B378" s="18"/>
      <c r="C378" s="12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</row>
    <row r="379" spans="2:20" ht="13.5" customHeight="1" thickBot="1" x14ac:dyDescent="0.35">
      <c r="B379" s="20"/>
      <c r="C379" s="13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</row>
    <row r="380" spans="2:20" ht="13.5" customHeight="1" thickBot="1" x14ac:dyDescent="0.35">
      <c r="B380" s="18"/>
      <c r="C380" s="12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</row>
    <row r="381" spans="2:20" ht="13.5" customHeight="1" thickBot="1" x14ac:dyDescent="0.35">
      <c r="B381" s="20"/>
      <c r="C381" s="13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</row>
    <row r="382" spans="2:20" ht="13.5" customHeight="1" thickBot="1" x14ac:dyDescent="0.35">
      <c r="B382" s="18"/>
      <c r="C382" s="12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</row>
    <row r="383" spans="2:20" ht="13.5" customHeight="1" thickBot="1" x14ac:dyDescent="0.35">
      <c r="B383" s="20"/>
      <c r="C383" s="13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</row>
    <row r="384" spans="2:20" ht="13.5" customHeight="1" thickBot="1" x14ac:dyDescent="0.35">
      <c r="B384" s="18"/>
      <c r="C384" s="12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</row>
    <row r="385" spans="2:20" ht="13.5" customHeight="1" thickBot="1" x14ac:dyDescent="0.35">
      <c r="B385" s="20"/>
      <c r="C385" s="13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</row>
    <row r="386" spans="2:20" ht="13.5" customHeight="1" thickBot="1" x14ac:dyDescent="0.35">
      <c r="B386" s="18"/>
      <c r="C386" s="12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</row>
    <row r="387" spans="2:20" ht="13.5" customHeight="1" thickBot="1" x14ac:dyDescent="0.35">
      <c r="B387" s="20"/>
      <c r="C387" s="13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</row>
    <row r="388" spans="2:20" ht="13.5" customHeight="1" thickBot="1" x14ac:dyDescent="0.35">
      <c r="B388" s="18"/>
      <c r="C388" s="12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</row>
    <row r="389" spans="2:20" ht="13.5" customHeight="1" thickBot="1" x14ac:dyDescent="0.35">
      <c r="B389" s="20"/>
      <c r="C389" s="13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</row>
    <row r="390" spans="2:20" ht="13.5" customHeight="1" thickBot="1" x14ac:dyDescent="0.35">
      <c r="B390" s="18"/>
      <c r="C390" s="12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</row>
    <row r="391" spans="2:20" ht="13.5" customHeight="1" thickBot="1" x14ac:dyDescent="0.35">
      <c r="B391" s="20"/>
      <c r="C391" s="13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</row>
    <row r="392" spans="2:20" ht="13.5" customHeight="1" thickBot="1" x14ac:dyDescent="0.35">
      <c r="B392" s="18"/>
      <c r="C392" s="12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</row>
    <row r="393" spans="2:20" ht="13.5" customHeight="1" thickBot="1" x14ac:dyDescent="0.35">
      <c r="B393" s="20"/>
      <c r="C393" s="13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</row>
    <row r="394" spans="2:20" ht="13.5" customHeight="1" thickBot="1" x14ac:dyDescent="0.35">
      <c r="B394" s="18"/>
      <c r="C394" s="12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</row>
    <row r="395" spans="2:20" ht="13.5" customHeight="1" thickBot="1" x14ac:dyDescent="0.35">
      <c r="B395" s="20"/>
      <c r="C395" s="13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</row>
    <row r="396" spans="2:20" ht="13.5" customHeight="1" thickBot="1" x14ac:dyDescent="0.35">
      <c r="B396" s="18"/>
      <c r="C396" s="12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</row>
    <row r="397" spans="2:20" ht="13.5" customHeight="1" thickBot="1" x14ac:dyDescent="0.35">
      <c r="B397" s="20"/>
      <c r="C397" s="13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</row>
    <row r="398" spans="2:20" ht="13.5" customHeight="1" thickBot="1" x14ac:dyDescent="0.35">
      <c r="B398" s="18"/>
      <c r="C398" s="12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</row>
    <row r="399" spans="2:20" ht="13.5" customHeight="1" thickBot="1" x14ac:dyDescent="0.35">
      <c r="B399" s="20"/>
      <c r="C399" s="13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</row>
    <row r="400" spans="2:20" ht="13.5" customHeight="1" thickBot="1" x14ac:dyDescent="0.35">
      <c r="B400" s="18"/>
      <c r="C400" s="12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</row>
    <row r="401" spans="2:20" ht="13.5" customHeight="1" thickBot="1" x14ac:dyDescent="0.35">
      <c r="B401" s="20"/>
      <c r="C401" s="13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</row>
    <row r="402" spans="2:20" ht="13.5" customHeight="1" thickBot="1" x14ac:dyDescent="0.35">
      <c r="B402" s="18"/>
      <c r="C402" s="12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</row>
    <row r="403" spans="2:20" ht="13.5" customHeight="1" thickBot="1" x14ac:dyDescent="0.35">
      <c r="B403" s="20"/>
      <c r="C403" s="13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</row>
    <row r="404" spans="2:20" ht="13.5" customHeight="1" thickBot="1" x14ac:dyDescent="0.35">
      <c r="B404" s="18"/>
      <c r="C404" s="12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</row>
    <row r="405" spans="2:20" ht="13.5" customHeight="1" thickBot="1" x14ac:dyDescent="0.35">
      <c r="B405" s="20"/>
      <c r="C405" s="13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</row>
    <row r="406" spans="2:20" ht="13.5" customHeight="1" thickBot="1" x14ac:dyDescent="0.35">
      <c r="B406" s="18"/>
      <c r="C406" s="12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</row>
    <row r="407" spans="2:20" ht="13.5" customHeight="1" thickBot="1" x14ac:dyDescent="0.35">
      <c r="B407" s="20"/>
      <c r="C407" s="13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</row>
    <row r="408" spans="2:20" ht="13.5" customHeight="1" thickBot="1" x14ac:dyDescent="0.35">
      <c r="B408" s="18"/>
      <c r="C408" s="12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</row>
    <row r="409" spans="2:20" ht="13.5" customHeight="1" thickBot="1" x14ac:dyDescent="0.35">
      <c r="B409" s="20"/>
      <c r="C409" s="13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</row>
    <row r="410" spans="2:20" ht="13.5" customHeight="1" thickBot="1" x14ac:dyDescent="0.35">
      <c r="B410" s="18"/>
      <c r="C410" s="12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</row>
    <row r="411" spans="2:20" ht="13.5" customHeight="1" thickBot="1" x14ac:dyDescent="0.35">
      <c r="B411" s="20"/>
      <c r="C411" s="13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</row>
    <row r="412" spans="2:20" ht="13.5" customHeight="1" thickBot="1" x14ac:dyDescent="0.35">
      <c r="B412" s="18"/>
      <c r="C412" s="12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</row>
    <row r="413" spans="2:20" ht="13.5" customHeight="1" thickBot="1" x14ac:dyDescent="0.35">
      <c r="B413" s="20"/>
      <c r="C413" s="13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</row>
    <row r="414" spans="2:20" ht="13.5" customHeight="1" thickBot="1" x14ac:dyDescent="0.35">
      <c r="B414" s="18"/>
      <c r="C414" s="12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</row>
    <row r="415" spans="2:20" ht="13.5" customHeight="1" thickBot="1" x14ac:dyDescent="0.35">
      <c r="B415" s="20"/>
      <c r="C415" s="13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</row>
    <row r="416" spans="2:20" ht="13.5" customHeight="1" thickBot="1" x14ac:dyDescent="0.35">
      <c r="B416" s="18"/>
      <c r="C416" s="12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</row>
    <row r="417" spans="2:20" ht="13.5" customHeight="1" thickBot="1" x14ac:dyDescent="0.35">
      <c r="B417" s="20"/>
      <c r="C417" s="13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</row>
    <row r="418" spans="2:20" ht="13.5" customHeight="1" thickBot="1" x14ac:dyDescent="0.35">
      <c r="B418" s="18"/>
      <c r="C418" s="12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</row>
    <row r="419" spans="2:20" ht="13.5" customHeight="1" thickBot="1" x14ac:dyDescent="0.35">
      <c r="B419" s="20"/>
      <c r="C419" s="13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</row>
    <row r="420" spans="2:20" ht="13.5" customHeight="1" thickBot="1" x14ac:dyDescent="0.35">
      <c r="B420" s="18"/>
      <c r="C420" s="12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</row>
    <row r="421" spans="2:20" ht="13.5" customHeight="1" thickBot="1" x14ac:dyDescent="0.35">
      <c r="B421" s="20"/>
      <c r="C421" s="13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</row>
    <row r="422" spans="2:20" ht="13.5" customHeight="1" thickBot="1" x14ac:dyDescent="0.35">
      <c r="B422" s="18"/>
      <c r="C422" s="12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</row>
    <row r="423" spans="2:20" ht="13.5" customHeight="1" thickBot="1" x14ac:dyDescent="0.35">
      <c r="B423" s="20"/>
      <c r="C423" s="13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</row>
    <row r="424" spans="2:20" ht="13.5" customHeight="1" thickBot="1" x14ac:dyDescent="0.35">
      <c r="B424" s="18"/>
      <c r="C424" s="12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</row>
    <row r="425" spans="2:20" ht="13.5" customHeight="1" thickBot="1" x14ac:dyDescent="0.35">
      <c r="B425" s="20"/>
      <c r="C425" s="13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</row>
    <row r="426" spans="2:20" ht="13.5" customHeight="1" thickBot="1" x14ac:dyDescent="0.35">
      <c r="B426" s="18"/>
      <c r="C426" s="12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</row>
    <row r="427" spans="2:20" ht="13.5" customHeight="1" thickBot="1" x14ac:dyDescent="0.35">
      <c r="B427" s="20"/>
      <c r="C427" s="13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</row>
    <row r="428" spans="2:20" ht="13.5" customHeight="1" thickBot="1" x14ac:dyDescent="0.35">
      <c r="B428" s="18"/>
      <c r="C428" s="12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</row>
    <row r="429" spans="2:20" ht="13.5" customHeight="1" thickBot="1" x14ac:dyDescent="0.35">
      <c r="B429" s="20"/>
      <c r="C429" s="13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</row>
    <row r="430" spans="2:20" ht="13.5" customHeight="1" thickBot="1" x14ac:dyDescent="0.35">
      <c r="B430" s="18"/>
      <c r="C430" s="12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</row>
    <row r="431" spans="2:20" ht="13.5" customHeight="1" thickBot="1" x14ac:dyDescent="0.35">
      <c r="B431" s="20"/>
      <c r="C431" s="13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</row>
    <row r="432" spans="2:20" ht="13.5" customHeight="1" thickBot="1" x14ac:dyDescent="0.35">
      <c r="B432" s="18"/>
      <c r="C432" s="12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</row>
    <row r="433" spans="2:20" ht="13.5" customHeight="1" thickBot="1" x14ac:dyDescent="0.35">
      <c r="B433" s="20"/>
      <c r="C433" s="13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</row>
    <row r="434" spans="2:20" ht="13.5" customHeight="1" thickBot="1" x14ac:dyDescent="0.35">
      <c r="B434" s="18"/>
      <c r="C434" s="12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</row>
    <row r="435" spans="2:20" ht="13.5" customHeight="1" thickBot="1" x14ac:dyDescent="0.35">
      <c r="B435" s="20"/>
      <c r="C435" s="13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</row>
    <row r="436" spans="2:20" ht="13.5" customHeight="1" thickBot="1" x14ac:dyDescent="0.35">
      <c r="B436" s="18"/>
      <c r="C436" s="12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</row>
    <row r="437" spans="2:20" ht="13.5" customHeight="1" thickBot="1" x14ac:dyDescent="0.35">
      <c r="B437" s="20"/>
      <c r="C437" s="13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</row>
    <row r="438" spans="2:20" ht="13.5" customHeight="1" thickBot="1" x14ac:dyDescent="0.35">
      <c r="B438" s="18"/>
      <c r="C438" s="12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</row>
    <row r="439" spans="2:20" ht="13.5" customHeight="1" thickBot="1" x14ac:dyDescent="0.35">
      <c r="B439" s="20"/>
      <c r="C439" s="13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</row>
    <row r="440" spans="2:20" ht="13.5" customHeight="1" thickBot="1" x14ac:dyDescent="0.35">
      <c r="B440" s="18"/>
      <c r="C440" s="12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</row>
    <row r="441" spans="2:20" ht="13.5" customHeight="1" thickBot="1" x14ac:dyDescent="0.35">
      <c r="B441" s="20"/>
      <c r="C441" s="13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</row>
    <row r="442" spans="2:20" ht="13.5" customHeight="1" thickBot="1" x14ac:dyDescent="0.35">
      <c r="B442" s="18"/>
      <c r="C442" s="12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</row>
    <row r="443" spans="2:20" ht="13.5" customHeight="1" thickBot="1" x14ac:dyDescent="0.35">
      <c r="B443" s="20"/>
      <c r="C443" s="13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</row>
    <row r="444" spans="2:20" ht="13.5" customHeight="1" thickBot="1" x14ac:dyDescent="0.35">
      <c r="B444" s="18"/>
      <c r="C444" s="12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</row>
    <row r="445" spans="2:20" ht="13.5" customHeight="1" thickBot="1" x14ac:dyDescent="0.35">
      <c r="B445" s="20"/>
      <c r="C445" s="13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</row>
    <row r="446" spans="2:20" ht="13.5" customHeight="1" thickBot="1" x14ac:dyDescent="0.35">
      <c r="B446" s="18"/>
      <c r="C446" s="12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</row>
    <row r="447" spans="2:20" ht="13.5" customHeight="1" thickBot="1" x14ac:dyDescent="0.35">
      <c r="B447" s="20"/>
      <c r="C447" s="13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</row>
    <row r="448" spans="2:20" ht="13.5" customHeight="1" thickBot="1" x14ac:dyDescent="0.35">
      <c r="B448" s="18"/>
      <c r="C448" s="12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</row>
    <row r="449" spans="2:20" ht="13.5" customHeight="1" thickBot="1" x14ac:dyDescent="0.35">
      <c r="B449" s="20"/>
      <c r="C449" s="13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</row>
    <row r="450" spans="2:20" ht="13.5" customHeight="1" thickBot="1" x14ac:dyDescent="0.35">
      <c r="B450" s="18"/>
      <c r="C450" s="12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</row>
    <row r="451" spans="2:20" ht="13.5" customHeight="1" thickBot="1" x14ac:dyDescent="0.35">
      <c r="B451" s="20"/>
      <c r="C451" s="13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</row>
    <row r="452" spans="2:20" ht="13.5" customHeight="1" thickBot="1" x14ac:dyDescent="0.35">
      <c r="B452" s="18"/>
      <c r="C452" s="12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</row>
    <row r="453" spans="2:20" ht="13.5" customHeight="1" thickBot="1" x14ac:dyDescent="0.35">
      <c r="B453" s="20"/>
      <c r="C453" s="13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</row>
    <row r="454" spans="2:20" ht="13.5" customHeight="1" thickBot="1" x14ac:dyDescent="0.35">
      <c r="B454" s="18"/>
      <c r="C454" s="12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</row>
    <row r="455" spans="2:20" ht="13.5" customHeight="1" thickBot="1" x14ac:dyDescent="0.35">
      <c r="B455" s="20"/>
      <c r="C455" s="13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</row>
    <row r="456" spans="2:20" ht="13.5" customHeight="1" thickBot="1" x14ac:dyDescent="0.35">
      <c r="B456" s="18"/>
      <c r="C456" s="12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</row>
    <row r="457" spans="2:20" ht="13.5" customHeight="1" thickBot="1" x14ac:dyDescent="0.35">
      <c r="B457" s="20"/>
      <c r="C457" s="13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</row>
    <row r="458" spans="2:20" ht="13.5" customHeight="1" thickBot="1" x14ac:dyDescent="0.35">
      <c r="B458" s="18"/>
      <c r="C458" s="12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</row>
    <row r="459" spans="2:20" ht="13.5" customHeight="1" thickBot="1" x14ac:dyDescent="0.35">
      <c r="B459" s="20"/>
      <c r="C459" s="13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</row>
    <row r="460" spans="2:20" ht="13.5" customHeight="1" thickBot="1" x14ac:dyDescent="0.35">
      <c r="B460" s="18"/>
      <c r="C460" s="12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</row>
    <row r="461" spans="2:20" ht="13.5" customHeight="1" thickBot="1" x14ac:dyDescent="0.35">
      <c r="B461" s="20"/>
      <c r="C461" s="13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</row>
    <row r="462" spans="2:20" ht="13.5" customHeight="1" thickBot="1" x14ac:dyDescent="0.35">
      <c r="B462" s="18"/>
      <c r="C462" s="12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</row>
    <row r="463" spans="2:20" ht="13.5" customHeight="1" thickBot="1" x14ac:dyDescent="0.35">
      <c r="B463" s="20"/>
      <c r="C463" s="13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</row>
    <row r="464" spans="2:20" ht="13.5" customHeight="1" thickBot="1" x14ac:dyDescent="0.35">
      <c r="B464" s="18"/>
      <c r="C464" s="12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</row>
    <row r="465" spans="2:20" ht="13.5" customHeight="1" thickBot="1" x14ac:dyDescent="0.35">
      <c r="B465" s="20"/>
      <c r="C465" s="13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</row>
    <row r="466" spans="2:20" ht="13.5" customHeight="1" thickBot="1" x14ac:dyDescent="0.35">
      <c r="B466" s="18"/>
      <c r="C466" s="12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</row>
    <row r="467" spans="2:20" ht="13.5" customHeight="1" thickBot="1" x14ac:dyDescent="0.35">
      <c r="B467" s="20"/>
      <c r="C467" s="13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</row>
    <row r="468" spans="2:20" ht="13.5" customHeight="1" thickBot="1" x14ac:dyDescent="0.35">
      <c r="B468" s="18"/>
      <c r="C468" s="12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</row>
    <row r="469" spans="2:20" ht="13.5" customHeight="1" thickBot="1" x14ac:dyDescent="0.35">
      <c r="B469" s="20"/>
      <c r="C469" s="13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</row>
    <row r="470" spans="2:20" ht="13.5" customHeight="1" thickBot="1" x14ac:dyDescent="0.35">
      <c r="B470" s="18"/>
      <c r="C470" s="12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</row>
    <row r="471" spans="2:20" ht="13.5" customHeight="1" thickBot="1" x14ac:dyDescent="0.35">
      <c r="B471" s="20"/>
      <c r="C471" s="13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</row>
    <row r="472" spans="2:20" ht="13.5" customHeight="1" thickBot="1" x14ac:dyDescent="0.35">
      <c r="B472" s="18"/>
      <c r="C472" s="12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</row>
    <row r="473" spans="2:20" ht="13.5" customHeight="1" thickBot="1" x14ac:dyDescent="0.35">
      <c r="B473" s="20"/>
      <c r="C473" s="13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</row>
    <row r="474" spans="2:20" ht="13.5" customHeight="1" thickBot="1" x14ac:dyDescent="0.35">
      <c r="B474" s="18"/>
      <c r="C474" s="12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</row>
    <row r="475" spans="2:20" ht="13.5" customHeight="1" thickBot="1" x14ac:dyDescent="0.35">
      <c r="B475" s="20"/>
      <c r="C475" s="13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</row>
    <row r="476" spans="2:20" ht="13.5" customHeight="1" thickBot="1" x14ac:dyDescent="0.35">
      <c r="B476" s="18"/>
      <c r="C476" s="12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</row>
    <row r="477" spans="2:20" ht="13.5" customHeight="1" thickBot="1" x14ac:dyDescent="0.35">
      <c r="B477" s="20"/>
      <c r="C477" s="13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</row>
    <row r="478" spans="2:20" ht="13.5" customHeight="1" thickBot="1" x14ac:dyDescent="0.35">
      <c r="B478" s="18"/>
      <c r="C478" s="12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</row>
    <row r="479" spans="2:20" ht="13.5" customHeight="1" thickBot="1" x14ac:dyDescent="0.35">
      <c r="B479" s="20"/>
      <c r="C479" s="13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</row>
    <row r="480" spans="2:20" ht="13.5" customHeight="1" thickBot="1" x14ac:dyDescent="0.35">
      <c r="B480" s="18"/>
      <c r="C480" s="12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</row>
    <row r="481" spans="2:20" ht="13.5" customHeight="1" thickBot="1" x14ac:dyDescent="0.35">
      <c r="B481" s="20"/>
      <c r="C481" s="13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</row>
    <row r="482" spans="2:20" ht="13.5" customHeight="1" thickBot="1" x14ac:dyDescent="0.35">
      <c r="B482" s="18"/>
      <c r="C482" s="12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</row>
    <row r="483" spans="2:20" ht="13.5" customHeight="1" thickBot="1" x14ac:dyDescent="0.35">
      <c r="B483" s="20"/>
      <c r="C483" s="13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</row>
    <row r="484" spans="2:20" ht="13.5" customHeight="1" thickBot="1" x14ac:dyDescent="0.35">
      <c r="B484" s="18"/>
      <c r="C484" s="12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</row>
    <row r="485" spans="2:20" ht="13.5" customHeight="1" thickBot="1" x14ac:dyDescent="0.35">
      <c r="B485" s="20"/>
      <c r="C485" s="13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</row>
    <row r="486" spans="2:20" ht="13.5" customHeight="1" thickBot="1" x14ac:dyDescent="0.35">
      <c r="B486" s="18"/>
      <c r="C486" s="12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</row>
    <row r="487" spans="2:20" ht="13.5" customHeight="1" thickBot="1" x14ac:dyDescent="0.35">
      <c r="B487" s="20"/>
      <c r="C487" s="13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</row>
    <row r="488" spans="2:20" ht="13.5" customHeight="1" thickBot="1" x14ac:dyDescent="0.35">
      <c r="B488" s="18"/>
      <c r="C488" s="12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</row>
    <row r="489" spans="2:20" ht="13.5" customHeight="1" thickBot="1" x14ac:dyDescent="0.35">
      <c r="B489" s="20"/>
      <c r="C489" s="13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</row>
    <row r="490" spans="2:20" ht="13.5" customHeight="1" thickBot="1" x14ac:dyDescent="0.35">
      <c r="B490" s="18"/>
      <c r="C490" s="12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</row>
    <row r="491" spans="2:20" ht="13.5" customHeight="1" thickBot="1" x14ac:dyDescent="0.35">
      <c r="B491" s="20"/>
      <c r="C491" s="13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</row>
    <row r="492" spans="2:20" ht="13.5" customHeight="1" thickBot="1" x14ac:dyDescent="0.35">
      <c r="B492" s="18"/>
      <c r="C492" s="12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</row>
    <row r="493" spans="2:20" ht="13.5" customHeight="1" thickBot="1" x14ac:dyDescent="0.35">
      <c r="B493" s="20"/>
      <c r="C493" s="13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</row>
    <row r="494" spans="2:20" ht="13.5" customHeight="1" thickBot="1" x14ac:dyDescent="0.35">
      <c r="B494" s="18"/>
      <c r="C494" s="12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</row>
    <row r="495" spans="2:20" ht="13.5" customHeight="1" thickBot="1" x14ac:dyDescent="0.35">
      <c r="B495" s="20"/>
      <c r="C495" s="13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</row>
    <row r="496" spans="2:20" ht="13.5" customHeight="1" thickBot="1" x14ac:dyDescent="0.35">
      <c r="B496" s="18"/>
      <c r="C496" s="12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</row>
    <row r="497" spans="2:20" ht="13.5" customHeight="1" thickBot="1" x14ac:dyDescent="0.35">
      <c r="B497" s="20"/>
      <c r="C497" s="13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</row>
    <row r="498" spans="2:20" ht="13.5" customHeight="1" thickBot="1" x14ac:dyDescent="0.35">
      <c r="B498" s="18"/>
      <c r="C498" s="12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</row>
    <row r="499" spans="2:20" ht="13.5" customHeight="1" thickBot="1" x14ac:dyDescent="0.35">
      <c r="B499" s="20"/>
      <c r="C499" s="13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</row>
    <row r="500" spans="2:20" ht="13.5" customHeight="1" thickBot="1" x14ac:dyDescent="0.35">
      <c r="B500" s="18"/>
      <c r="C500" s="12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</row>
    <row r="501" spans="2:20" ht="13.5" customHeight="1" thickBot="1" x14ac:dyDescent="0.35">
      <c r="B501" s="20"/>
      <c r="C501" s="13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</row>
    <row r="502" spans="2:20" ht="13.5" customHeight="1" thickBot="1" x14ac:dyDescent="0.35">
      <c r="B502" s="18"/>
      <c r="C502" s="12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</row>
    <row r="503" spans="2:20" ht="13.5" customHeight="1" thickBot="1" x14ac:dyDescent="0.35">
      <c r="B503" s="20"/>
      <c r="C503" s="13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</row>
    <row r="504" spans="2:20" ht="13.5" customHeight="1" thickBot="1" x14ac:dyDescent="0.35">
      <c r="B504" s="18"/>
      <c r="C504" s="12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</row>
    <row r="505" spans="2:20" ht="13.5" customHeight="1" thickBot="1" x14ac:dyDescent="0.35">
      <c r="B505" s="20"/>
      <c r="C505" s="13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</row>
  </sheetData>
  <autoFilter ref="A5:Y5" xr:uid="{00000000-0009-0000-0000-000002000000}">
    <sortState xmlns:xlrd2="http://schemas.microsoft.com/office/spreadsheetml/2017/richdata2" ref="A6:Y206">
      <sortCondition descending="1" ref="A5"/>
    </sortState>
  </autoFilter>
  <sortState xmlns:xlrd2="http://schemas.microsoft.com/office/spreadsheetml/2017/richdata2" ref="B7:Z102">
    <sortCondition descending="1" ref="X6"/>
  </sortState>
  <mergeCells count="4">
    <mergeCell ref="U1:X1"/>
    <mergeCell ref="H2:I2"/>
    <mergeCell ref="O2:S2"/>
    <mergeCell ref="J2:N2"/>
  </mergeCells>
  <hyperlinks>
    <hyperlink ref="B5" r:id="rId1" display="https://www.whatifsports.com/hbd/Pages/GM/AmateurDraftPlayerPool.aspx" xr:uid="{8671AB30-3A9D-4122-BFC4-D500C2BE6687}"/>
    <hyperlink ref="C5" r:id="rId2" display="https://www.whatifsports.com/hbd/Pages/GM/AmateurDraftPlayerPool.aspx" xr:uid="{690EB2C1-DBF4-41B0-BE93-F9CA511366C3}"/>
    <hyperlink ref="D5" r:id="rId3" display="https://www.whatifsports.com/hbd/Pages/GM/AmateurDraftPlayerPool.aspx" xr:uid="{22D15434-6F5E-42F2-A1C3-B1A66AD6F49C}"/>
    <hyperlink ref="E5" r:id="rId4" display="https://www.whatifsports.com/hbd/Pages/GM/AmateurDraftPlayerPool.aspx" xr:uid="{E4F95389-2B1B-4725-AC03-7ACBCCCF48CC}"/>
    <hyperlink ref="F5" r:id="rId5" display="https://www.whatifsports.com/hbd/Pages/GM/AmateurDraftPlayerPool.aspx" xr:uid="{44998545-7068-4D61-BD1D-35412B2BE0A4}"/>
    <hyperlink ref="G5" r:id="rId6" display="https://www.whatifsports.com/hbd/Pages/GM/AmateurDraftPlayerPool.aspx" xr:uid="{1AF5106A-3D4B-45FD-87A7-4AA8FA4E82BC}"/>
    <hyperlink ref="C117" r:id="rId7" tooltip="Open Prospect Profile" display="https://www.whatifsports.com/hbd/Pages/Popups/ProspectProfile.aspx?pid=13631431" xr:uid="{23F0604E-9E12-43D8-954A-B212EF7B50CC}"/>
    <hyperlink ref="C185" r:id="rId8" tooltip="Open Prospect Profile" display="https://www.whatifsports.com/hbd/Pages/Popups/ProspectProfile.aspx?pid=13631837" xr:uid="{0936B392-7158-4C63-8EE5-C665A32B522E}"/>
    <hyperlink ref="C6" r:id="rId9" tooltip="Open Prospect Profile" display="https://www.whatifsports.com/hbd/Pages/Popups/ProspectProfile.aspx?pid=13632168" xr:uid="{20276689-5FB7-44AC-A7E7-1BAB981C5DEB}"/>
    <hyperlink ref="C135" r:id="rId10" tooltip="Open Prospect Profile" display="https://www.whatifsports.com/hbd/Pages/Popups/ProspectProfile.aspx?pid=13631500" xr:uid="{161654E6-6871-4261-B3B4-1B343EAF5B43}"/>
    <hyperlink ref="C109" r:id="rId11" tooltip="Open Prospect Profile" display="https://www.whatifsports.com/hbd/Pages/Popups/ProspectProfile.aspx?pid=13631732" xr:uid="{B1322E2B-00AF-4AC0-8C16-E7A6376215B3}"/>
    <hyperlink ref="C10" r:id="rId12" tooltip="Open Prospect Profile" display="https://www.whatifsports.com/hbd/Pages/Popups/ProspectProfile.aspx?pid=13632232" xr:uid="{0B068255-95BD-4B97-B3A1-509374F2F96F}"/>
    <hyperlink ref="C7" r:id="rId13" tooltip="Open Prospect Profile" display="https://www.whatifsports.com/hbd/Pages/Popups/ProspectProfile.aspx?pid=13632221" xr:uid="{3DCC2286-AE14-45ED-B627-592E03C1023F}"/>
    <hyperlink ref="C129" r:id="rId14" tooltip="Open Prospect Profile" display="https://www.whatifsports.com/hbd/Pages/Popups/ProspectProfile.aspx?pid=13631506" xr:uid="{AA3BFA98-B36B-4B9A-9260-250CD77B35C3}"/>
    <hyperlink ref="C8" r:id="rId15" tooltip="Open Prospect Profile" display="https://www.whatifsports.com/hbd/Pages/Popups/ProspectProfile.aspx?pid=13632238" xr:uid="{388F9914-D1C8-4F6C-9C3D-83B23A3F7462}"/>
    <hyperlink ref="C132" r:id="rId16" tooltip="Open Prospect Profile" display="https://www.whatifsports.com/hbd/Pages/Popups/ProspectProfile.aspx?pid=13631433" xr:uid="{7315E745-922F-4E7A-9DB5-3DBC63BE0ADE}"/>
    <hyperlink ref="C15" r:id="rId17" tooltip="Open Prospect Profile" display="https://www.whatifsports.com/hbd/Pages/Popups/ProspectProfile.aspx?pid=13632211" xr:uid="{B3004353-82B5-4B56-AEAB-FA2DDEABD3CD}"/>
    <hyperlink ref="C201" r:id="rId18" tooltip="Open Prospect Profile" display="https://www.whatifsports.com/hbd/Pages/Popups/ProspectProfile.aspx?pid=13631772" xr:uid="{E4E160CF-BF71-4A6B-82E0-AD80447DD9DF}"/>
    <hyperlink ref="C205" r:id="rId19" tooltip="Open Prospect Profile" display="https://www.whatifsports.com/hbd/Pages/Popups/ProspectProfile.aspx?pid=13631714" xr:uid="{B4A4C755-BCD8-46FC-B038-87C604053E52}"/>
    <hyperlink ref="C13" r:id="rId20" tooltip="Open Prospect Profile" display="https://www.whatifsports.com/hbd/Pages/Popups/ProspectProfile.aspx?pid=13632205" xr:uid="{6A1C2DAF-4309-4B1B-BC2B-737F3B9A9556}"/>
    <hyperlink ref="C131" r:id="rId21" tooltip="Open Prospect Profile" display="https://www.whatifsports.com/hbd/Pages/Popups/ProspectProfile.aspx?pid=13631505" xr:uid="{78EDC6B8-E57F-4D0E-8FE0-1AC8723950C1}"/>
    <hyperlink ref="C11" r:id="rId22" tooltip="Open Prospect Profile" display="https://www.whatifsports.com/hbd/Pages/Popups/ProspectProfile.aspx?pid=13632233" xr:uid="{9DC8D4CD-9708-43C8-9D39-B170D9CE0C93}"/>
    <hyperlink ref="C12" r:id="rId23" tooltip="Open Prospect Profile" display="https://www.whatifsports.com/hbd/Pages/Popups/ProspectProfile.aspx?pid=13632194" xr:uid="{F5E838C5-90F3-4544-925C-50E31D1CF910}"/>
    <hyperlink ref="C142" r:id="rId24" tooltip="Open Prospect Profile" display="https://www.whatifsports.com/hbd/Pages/Popups/ProspectProfile.aspx?pid=13631607" xr:uid="{5ADC3AB5-4175-4AEE-8A72-332084C3A7D4}"/>
    <hyperlink ref="C19" r:id="rId25" tooltip="Open Prospect Profile" display="https://www.whatifsports.com/hbd/Pages/Popups/ProspectProfile.aspx?pid=13632223" xr:uid="{82F21128-190A-4EF0-AAAA-E54F55B83E8B}"/>
    <hyperlink ref="C9" r:id="rId26" tooltip="Open Prospect Profile" display="https://www.whatifsports.com/hbd/Pages/Popups/ProspectProfile.aspx?pid=13632216" xr:uid="{967C6A92-A2B3-4810-8CAB-BD7920B7F360}"/>
    <hyperlink ref="C122" r:id="rId27" tooltip="Open Prospect Profile" display="https://www.whatifsports.com/hbd/Pages/Popups/ProspectProfile.aspx?pid=13631677" xr:uid="{D7695F5B-2AA3-4FE0-A140-5971EA72C9C1}"/>
    <hyperlink ref="C43" r:id="rId28" tooltip="Open Prospect Profile" display="https://www.whatifsports.com/hbd/Pages/Popups/ProspectProfile.aspx?pid=13632237" xr:uid="{A4DB4A57-C3D4-4EE1-98B8-C5EE4C8DAEE9}"/>
    <hyperlink ref="C18" r:id="rId29" tooltip="Open Prospect Profile" display="https://www.whatifsports.com/hbd/Pages/Popups/ProspectProfile.aspx?pid=13632234" xr:uid="{7C7EB5B3-F819-496B-BA79-22B8B826EE62}"/>
    <hyperlink ref="C20" r:id="rId30" tooltip="Open Prospect Profile" display="https://www.whatifsports.com/hbd/Pages/Popups/ProspectProfile.aspx?pid=13632217" xr:uid="{7DCD433A-314C-4553-BE2C-2EADEB62A211}"/>
    <hyperlink ref="C23" r:id="rId31" tooltip="Open Prospect Profile" display="https://www.whatifsports.com/hbd/Pages/Popups/ProspectProfile.aspx?pid=13632171" xr:uid="{0062E203-1A86-4935-9211-4304234974C0}"/>
    <hyperlink ref="C189" r:id="rId32" tooltip="Open Prospect Profile" display="https://www.whatifsports.com/hbd/Pages/Popups/ProspectProfile.aspx?pid=13631551" xr:uid="{D513A77A-4A7B-4255-B8EB-B5A59E4FA20C}"/>
    <hyperlink ref="C159" r:id="rId33" tooltip="Open Prospect Profile" display="https://www.whatifsports.com/hbd/Pages/Popups/ProspectProfile.aspx?pid=13631767" xr:uid="{CB774E49-DCCB-4242-BD05-3B9E9127E585}"/>
    <hyperlink ref="C137" r:id="rId34" tooltip="Open Prospect Profile" display="https://www.whatifsports.com/hbd/Pages/Popups/ProspectProfile.aspx?pid=13631591" xr:uid="{AC81DF6D-55B4-44F7-8301-AC6AA373EDD9}"/>
    <hyperlink ref="C24" r:id="rId35" tooltip="Open Prospect Profile" display="https://www.whatifsports.com/hbd/Pages/Popups/ProspectProfile.aspx?pid=13632212" xr:uid="{A98D5A96-1E17-48A8-B991-6AD2B9A0B068}"/>
    <hyperlink ref="C114" r:id="rId36" tooltip="Open Prospect Profile" display="https://www.whatifsports.com/hbd/Pages/Popups/ProspectProfile.aspx?pid=13631672" xr:uid="{A2A15977-3995-42EA-BB23-BBCA4F93C73F}"/>
    <hyperlink ref="C147" r:id="rId37" tooltip="Open Prospect Profile" display="https://www.whatifsports.com/hbd/Pages/Popups/ProspectProfile.aspx?pid=13631617" xr:uid="{7567D051-94BC-4730-8F1C-D83C7EBC6478}"/>
    <hyperlink ref="C150" r:id="rId38" tooltip="Open Prospect Profile" display="https://www.whatifsports.com/hbd/Pages/Popups/ProspectProfile.aspx?pid=13631507" xr:uid="{87EB5F59-D057-4F89-8F13-BDA80558BBC6}"/>
    <hyperlink ref="C14" r:id="rId39" tooltip="Open Prospect Profile" display="https://www.whatifsports.com/hbd/Pages/Popups/ProspectProfile.aspx?pid=13632207" xr:uid="{2E0250D4-1446-4586-8D74-22BFD472351F}"/>
    <hyperlink ref="C153" r:id="rId40" tooltip="Open Prospect Profile" display="https://www.whatifsports.com/hbd/Pages/Popups/ProspectProfile.aspx?pid=13631605" xr:uid="{F3367305-0966-47AF-AF20-28E1063D3177}"/>
    <hyperlink ref="C28" r:id="rId41" tooltip="Open Prospect Profile" display="https://www.whatifsports.com/hbd/Pages/Popups/ProspectProfile.aspx?pid=13632229" xr:uid="{52EB670A-CA27-46CE-A6A6-7C4363AAD8B9}"/>
    <hyperlink ref="C111" r:id="rId42" tooltip="Open Prospect Profile" display="https://www.whatifsports.com/hbd/Pages/Popups/ProspectProfile.aspx?pid=13631678" xr:uid="{0E6E9F77-2BE6-4739-81DA-867EBE6B569F}"/>
    <hyperlink ref="C48" r:id="rId43" tooltip="Open Prospect Profile" display="https://www.whatifsports.com/hbd/Pages/Popups/ProspectProfile.aspx?pid=13632197" xr:uid="{9E0E8AEC-16F3-4140-96C1-82D3341611D3}"/>
    <hyperlink ref="C17" r:id="rId44" tooltip="Open Prospect Profile" display="https://www.whatifsports.com/hbd/Pages/Popups/ProspectProfile.aspx?pid=13632178" xr:uid="{5BBFFAB6-D3D1-4380-A0D7-1A8930EA712B}"/>
    <hyperlink ref="C136" r:id="rId45" tooltip="Open Prospect Profile" display="https://www.whatifsports.com/hbd/Pages/Popups/ProspectProfile.aspx?pid=13631839" xr:uid="{8A23AF23-3B4E-4A93-8C13-03A1697F41BF}"/>
    <hyperlink ref="C152" r:id="rId46" tooltip="Open Prospect Profile" display="https://www.whatifsports.com/hbd/Pages/Popups/ProspectProfile.aspx?pid=13631730" xr:uid="{69F95BF9-9FC1-40F0-921F-02DDBC7F897E}"/>
    <hyperlink ref="C16" r:id="rId47" tooltip="Open Prospect Profile" display="https://www.whatifsports.com/hbd/Pages/Popups/ProspectProfile.aspx?pid=13632199" xr:uid="{87B402CA-B1FF-4379-B19A-D65A8B1040BA}"/>
    <hyperlink ref="C148" r:id="rId48" tooltip="Open Prospect Profile" display="https://www.whatifsports.com/hbd/Pages/Popups/ProspectProfile.aspx?pid=13631833" xr:uid="{5D1CA7D6-4058-4DA3-A7B0-2CE43A3884E9}"/>
    <hyperlink ref="C183" r:id="rId49" tooltip="Open Prospect Profile" display="https://www.whatifsports.com/hbd/Pages/Popups/ProspectProfile.aspx?pid=13631673" xr:uid="{5C640C07-DC56-4A5C-9E76-7B5E6A0ECC11}"/>
    <hyperlink ref="C151" r:id="rId50" tooltip="Open Prospect Profile" display="https://www.whatifsports.com/hbd/Pages/Popups/ProspectProfile.aspx?pid=13631454" xr:uid="{4DCD9DC5-0ACC-42A2-8573-D80E70D2752D}"/>
    <hyperlink ref="C35" r:id="rId51" tooltip="Open Prospect Profile" display="https://www.whatifsports.com/hbd/Pages/Popups/ProspectProfile.aspx?pid=13632172" xr:uid="{191EB215-3EB1-484B-AAD6-AF416383845E}"/>
    <hyperlink ref="C47" r:id="rId52" tooltip="Open Prospect Profile" display="https://www.whatifsports.com/hbd/Pages/Popups/ProspectProfile.aspx?pid=13632087" xr:uid="{010290AF-802B-41AF-9D54-4702AA76D7ED}"/>
    <hyperlink ref="C118" r:id="rId53" tooltip="Open Prospect Profile" display="https://www.whatifsports.com/hbd/Pages/Popups/ProspectProfile.aspx?pid=13631674" xr:uid="{0B8FA85C-8D36-469D-9BE4-E1A76CA2C0B5}"/>
    <hyperlink ref="C173" r:id="rId54" tooltip="Open Prospect Profile" display="https://www.whatifsports.com/hbd/Pages/Popups/ProspectProfile.aspx?pid=13631497" xr:uid="{0BFD27E8-9DC1-45B1-A558-2B1CB1B41797}"/>
    <hyperlink ref="C162" r:id="rId55" tooltip="Open Prospect Profile" display="https://www.whatifsports.com/hbd/Pages/Popups/ProspectProfile.aspx?pid=13631429" xr:uid="{EA87845A-143A-46B4-B6A9-CFC661F86132}"/>
    <hyperlink ref="C56" r:id="rId56" tooltip="Open Prospect Profile" display="https://www.whatifsports.com/hbd/Pages/Popups/ProspectProfile.aspx?pid=13632208" xr:uid="{939297F3-4C48-409C-9693-1491F38FE540}"/>
    <hyperlink ref="C25" r:id="rId57" tooltip="Open Prospect Profile" display="https://www.whatifsports.com/hbd/Pages/Popups/ProspectProfile.aspx?pid=13632206" xr:uid="{1D8DC0EA-01B6-42C9-A2A3-083D43E613BA}"/>
    <hyperlink ref="C32" r:id="rId58" tooltip="Open Prospect Profile" display="https://www.whatifsports.com/hbd/Pages/Popups/ProspectProfile.aspx?pid=13632169" xr:uid="{8E18156E-3571-4BC7-8FFC-6DDC2928F542}"/>
    <hyperlink ref="C41" r:id="rId59" tooltip="Open Prospect Profile" display="https://www.whatifsports.com/hbd/Pages/Popups/ProspectProfile.aspx?pid=13632143" xr:uid="{AF006904-3701-4BFF-B7EA-3FF80BC78554}"/>
    <hyperlink ref="C29" r:id="rId60" tooltip="Open Prospect Profile" display="https://www.whatifsports.com/hbd/Pages/Popups/ProspectProfile.aspx?pid=13631900" xr:uid="{98AD1B1A-2285-4FD0-BA4D-7C7E12E4BCBD}"/>
    <hyperlink ref="C165" r:id="rId61" tooltip="Open Prospect Profile" display="https://www.whatifsports.com/hbd/Pages/Popups/ProspectProfile.aspx?pid=13631768" xr:uid="{E5E269FE-FA4A-487C-969D-1FE32933162F}"/>
    <hyperlink ref="C186" r:id="rId62" tooltip="Open Prospect Profile" display="https://www.whatifsports.com/hbd/Pages/Popups/ProspectProfile.aspx?pid=13631725" xr:uid="{A665FD44-784C-49A6-A487-7589C87E52E9}"/>
    <hyperlink ref="C141" r:id="rId63" tooltip="Open Prospect Profile" display="https://www.whatifsports.com/hbd/Pages/Popups/ProspectProfile.aspx?pid=13631701" xr:uid="{EB0CCB67-E20A-4FFF-AAFF-A70ECB3FF0E2}"/>
    <hyperlink ref="C197" r:id="rId64" tooltip="Open Prospect Profile" display="https://www.whatifsports.com/hbd/Pages/Popups/ProspectProfile.aspx?pid=13631541" xr:uid="{CA7F9523-1152-4955-A9DA-ECE341ADB1E2}"/>
    <hyperlink ref="C125" r:id="rId65" tooltip="Open Prospect Profile" display="https://www.whatifsports.com/hbd/Pages/Popups/ProspectProfile.aspx?pid=13631579" xr:uid="{5277913C-78B2-4A87-8B8E-CAEF6DD0E57F}"/>
    <hyperlink ref="C134" r:id="rId66" tooltip="Open Prospect Profile" display="https://www.whatifsports.com/hbd/Pages/Popups/ProspectProfile.aspx?pid=13631552" xr:uid="{9D384C49-13E3-490D-BE83-349D2C09BFA9}"/>
    <hyperlink ref="C30" r:id="rId67" tooltip="Open Prospect Profile" display="https://www.whatifsports.com/hbd/Pages/Popups/ProspectProfile.aspx?pid=13632224" xr:uid="{565BDB0F-E1E6-4728-A749-9DB09E212054}"/>
    <hyperlink ref="C31" r:id="rId68" tooltip="Open Prospect Profile" display="https://www.whatifsports.com/hbd/Pages/Popups/ProspectProfile.aspx?pid=13632130" xr:uid="{A2E40FA2-7751-4D9E-A111-A331259AB119}"/>
    <hyperlink ref="C44" r:id="rId69" tooltip="Open Prospect Profile" display="https://www.whatifsports.com/hbd/Pages/Popups/ProspectProfile.aspx?pid=13632035" xr:uid="{982D230F-2F79-4757-84E4-5944E6F21113}"/>
    <hyperlink ref="C27" r:id="rId70" tooltip="Open Prospect Profile" display="https://www.whatifsports.com/hbd/Pages/Popups/ProspectProfile.aspx?pid=13632066" xr:uid="{4E0FF809-5251-49D3-A9DC-23C7720C39FA}"/>
    <hyperlink ref="C49" r:id="rId71" tooltip="Open Prospect Profile" display="https://www.whatifsports.com/hbd/Pages/Popups/ProspectProfile.aspx?pid=13632052" xr:uid="{1DA9CC78-78CC-4BD9-8BED-E083E99C252C}"/>
    <hyperlink ref="C144" r:id="rId72" tooltip="Open Prospect Profile" display="https://www.whatifsports.com/hbd/Pages/Popups/ProspectProfile.aspx?pid=13631838" xr:uid="{BEA4230F-639F-4ADD-8055-3D571B9FFD51}"/>
    <hyperlink ref="C182" r:id="rId73" tooltip="Open Prospect Profile" display="https://www.whatifsports.com/hbd/Pages/Popups/ProspectProfile.aspx?pid=13631718" xr:uid="{23CF9975-935F-4DDC-BBFC-4741AF2D8C70}"/>
    <hyperlink ref="C115" r:id="rId74" tooltip="Open Prospect Profile" display="https://www.whatifsports.com/hbd/Pages/Popups/ProspectProfile.aspx?pid=13631585" xr:uid="{AF124EEF-B680-4302-BE25-5C6D195C072E}"/>
    <hyperlink ref="C119" r:id="rId75" tooltip="Open Prospect Profile" display="https://www.whatifsports.com/hbd/Pages/Popups/ProspectProfile.aspx?pid=13631409" xr:uid="{8107FAC1-BD04-47DD-B15D-A06DCC523A55}"/>
    <hyperlink ref="C57" r:id="rId76" tooltip="Open Prospect Profile" display="https://www.whatifsports.com/hbd/Pages/Popups/ProspectProfile.aspx?pid=13631852" xr:uid="{E344FE5D-4A27-49A7-9BA4-78A219A3C733}"/>
    <hyperlink ref="C155" r:id="rId77" tooltip="Open Prospect Profile" display="https://www.whatifsports.com/hbd/Pages/Popups/ProspectProfile.aspx?pid=13631699" xr:uid="{CA3F254A-482A-4FA9-8085-ACB6262625F6}"/>
    <hyperlink ref="C168" r:id="rId78" tooltip="Open Prospect Profile" display="https://www.whatifsports.com/hbd/Pages/Popups/ProspectProfile.aspx?pid=13631667" xr:uid="{93AEF131-3BD7-4047-9577-44A555B75454}"/>
    <hyperlink ref="C199" r:id="rId79" tooltip="Open Prospect Profile" display="https://www.whatifsports.com/hbd/Pages/Popups/ProspectProfile.aspx?pid=13631484" xr:uid="{53DB93F0-742E-42A2-8E28-A67134F1108C}"/>
    <hyperlink ref="C62" r:id="rId80" tooltip="Open Prospect Profile" display="https://www.whatifsports.com/hbd/Pages/Popups/ProspectProfile.aspx?pid=13632075" xr:uid="{01053D6E-015D-4DBD-950D-3E055591C4E0}"/>
    <hyperlink ref="C51" r:id="rId81" tooltip="Open Prospect Profile" display="https://www.whatifsports.com/hbd/Pages/Popups/ProspectProfile.aspx?pid=13631977" xr:uid="{4871083B-4DBC-4A81-A97D-6796E8DD59C0}"/>
    <hyperlink ref="C52" r:id="rId82" tooltip="Open Prospect Profile" display="https://www.whatifsports.com/hbd/Pages/Popups/ProspectProfile.aspx?pid=13631972" xr:uid="{1F901C5D-E57E-479E-B6CB-B890F3022E82}"/>
    <hyperlink ref="C33" r:id="rId83" tooltip="Open Prospect Profile" display="https://www.whatifsports.com/hbd/Pages/Popups/ProspectProfile.aspx?pid=13631946" xr:uid="{D7B56AEA-C188-4490-820F-765BE73BB664}"/>
    <hyperlink ref="C194" r:id="rId84" tooltip="Open Prospect Profile" display="https://www.whatifsports.com/hbd/Pages/Popups/ProspectProfile.aspx?pid=13631478" xr:uid="{2CBA9672-2D81-44DC-B1FB-AFA0B8A90D93}"/>
    <hyperlink ref="C53" r:id="rId85" tooltip="Open Prospect Profile" display="https://www.whatifsports.com/hbd/Pages/Popups/ProspectProfile.aspx?pid=13632160" xr:uid="{DA28B4B4-136B-4FD5-954F-D9C284E6F879}"/>
    <hyperlink ref="C145" r:id="rId86" tooltip="Open Prospect Profile" display="https://www.whatifsports.com/hbd/Pages/Popups/ProspectProfile.aspx?pid=13631835" xr:uid="{6EB9ADAC-A1B3-4BDF-BFD7-E1FA51C4A092}"/>
    <hyperlink ref="C113" r:id="rId87" tooltip="Open Prospect Profile" display="https://www.whatifsports.com/hbd/Pages/Popups/ProspectProfile.aspx?pid=13631567" xr:uid="{AAD4A1FD-A29E-4C63-9AB5-D13D2464643B}"/>
    <hyperlink ref="C34" r:id="rId88" tooltip="Open Prospect Profile" display="https://www.whatifsports.com/hbd/Pages/Popups/ProspectProfile.aspx?pid=13632099" xr:uid="{19F6B729-2E1F-4781-AC06-FB5D0E787865}"/>
    <hyperlink ref="C50" r:id="rId89" tooltip="Open Prospect Profile" display="https://www.whatifsports.com/hbd/Pages/Popups/ProspectProfile.aspx?pid=13632030" xr:uid="{FDAE1697-FBEC-4D94-A920-8000DC62B124}"/>
    <hyperlink ref="C195" r:id="rId90" tooltip="Open Prospect Profile" display="https://www.whatifsports.com/hbd/Pages/Popups/ProspectProfile.aspx?pid=13631731" xr:uid="{9177F4D9-BAE3-4079-8CAE-0703623F77DC}"/>
    <hyperlink ref="C143" r:id="rId91" tooltip="Open Prospect Profile" display="https://www.whatifsports.com/hbd/Pages/Popups/ProspectProfile.aspx?pid=13631583" xr:uid="{4B0964DB-E72E-4DBA-B772-C4A9A771DE64}"/>
    <hyperlink ref="C191" r:id="rId92" tooltip="Open Prospect Profile" display="https://www.whatifsports.com/hbd/Pages/Popups/ProspectProfile.aspx?pid=13631482" xr:uid="{13AF8F5C-D384-4580-9236-F2AA2877A539}"/>
    <hyperlink ref="C37" r:id="rId93" tooltip="Open Prospect Profile" display="https://www.whatifsports.com/hbd/Pages/Popups/ProspectProfile.aspx?pid=13632183" xr:uid="{9A346DC6-4B77-413C-8198-11348F2C52AC}"/>
    <hyperlink ref="C54" r:id="rId94" tooltip="Open Prospect Profile" display="https://www.whatifsports.com/hbd/Pages/Popups/ProspectProfile.aspx?pid=13632084" xr:uid="{FE45830D-C7DD-4933-BB1F-187EA29D22C3}"/>
    <hyperlink ref="C81" r:id="rId95" tooltip="Open Prospect Profile" display="https://www.whatifsports.com/hbd/Pages/Popups/ProspectProfile.aspx?pid=13632022" xr:uid="{4924004C-FC74-4658-A2F1-AAF082D959CC}"/>
    <hyperlink ref="C127" r:id="rId96" tooltip="Open Prospect Profile" display="https://www.whatifsports.com/hbd/Pages/Popups/ProspectProfile.aspx?pid=13631584" xr:uid="{FF6E948D-B919-4AB9-8D6E-FF8618A9B19B}"/>
    <hyperlink ref="C206" r:id="rId97" tooltip="Open Prospect Profile" display="https://www.whatifsports.com/hbd/Pages/Popups/ProspectProfile.aspx?pid=13631555" xr:uid="{B9DF8A1D-BD47-4985-97DF-56A2ED67C9A1}"/>
    <hyperlink ref="C40" r:id="rId98" tooltip="Open Prospect Profile" display="https://www.whatifsports.com/hbd/Pages/Popups/ProspectProfile.aspx?pid=13632123" xr:uid="{1174D28A-7A5C-4500-9789-3968A9EFA124}"/>
    <hyperlink ref="C75" r:id="rId99" tooltip="Open Prospect Profile" display="https://www.whatifsports.com/hbd/Pages/Popups/ProspectProfile.aspx?pid=13632104" xr:uid="{66428328-D811-4DAC-B376-A0C5BD0D3B35}"/>
    <hyperlink ref="C138" r:id="rId100" tooltip="Open Prospect Profile" display="https://www.whatifsports.com/hbd/Pages/Popups/ProspectProfile.aspx?pid=13631459" xr:uid="{58AC9BA7-DE68-4AD7-B657-7E3625F1ECEC}"/>
    <hyperlink ref="C60" r:id="rId101" tooltip="Open Prospect Profile" display="https://www.whatifsports.com/hbd/Pages/Popups/ProspectProfile.aspx?pid=13632001" xr:uid="{C1B05AF0-63C8-4238-87C6-E24493EE2A90}"/>
    <hyperlink ref="C76" r:id="rId102" tooltip="Open Prospect Profile" display="https://www.whatifsports.com/hbd/Pages/Popups/ProspectProfile.aspx?pid=13631874" xr:uid="{CF6276E9-FA68-46E6-BC86-5C340E2460DF}"/>
    <hyperlink ref="C187" r:id="rId103" tooltip="Open Prospect Profile" display="https://www.whatifsports.com/hbd/Pages/Popups/ProspectProfile.aspx?pid=13631457" xr:uid="{8049C911-8EF7-4478-A459-AFCE4B7B57F5}"/>
    <hyperlink ref="C126" r:id="rId104" tooltip="Open Prospect Profile" display="https://www.whatifsports.com/hbd/Pages/Popups/ProspectProfile.aspx?pid=13631635" xr:uid="{7C431C21-7B58-4592-AF0A-5A554557D931}"/>
    <hyperlink ref="C64" r:id="rId105" tooltip="Open Prospect Profile" display="https://www.whatifsports.com/hbd/Pages/Popups/ProspectProfile.aspx?pid=13632213" xr:uid="{FC53480B-37A4-4EB1-A148-26AEF54D8919}"/>
    <hyperlink ref="C83" r:id="rId106" tooltip="Open Prospect Profile" display="https://www.whatifsports.com/hbd/Pages/Popups/ProspectProfile.aspx?pid=13632131" xr:uid="{27FD0105-9AEB-4D05-B75B-3ECB38CA0942}"/>
    <hyperlink ref="C66" r:id="rId107" tooltip="Open Prospect Profile" display="https://www.whatifsports.com/hbd/Pages/Popups/ProspectProfile.aspx?pid=13631989" xr:uid="{F2338EBD-A6EF-4500-BD8E-EEB681AE92B9}"/>
    <hyperlink ref="C61" r:id="rId108" tooltip="Open Prospect Profile" display="https://www.whatifsports.com/hbd/Pages/Popups/ProspectProfile.aspx?pid=13631916" xr:uid="{6ED8A8C6-D87A-4ADC-85D3-E49323AED0EB}"/>
    <hyperlink ref="C139" r:id="rId109" tooltip="Open Prospect Profile" display="https://www.whatifsports.com/hbd/Pages/Popups/ProspectProfile.aspx?pid=13631716" xr:uid="{B41095D5-4DF0-4904-ADD9-5CA431FD1C87}"/>
    <hyperlink ref="C172" r:id="rId110" tooltip="Open Prospect Profile" display="https://www.whatifsports.com/hbd/Pages/Popups/ProspectProfile.aspx?pid=13631471" xr:uid="{BD9A8696-75AC-4A73-A27C-E284FF43F758}"/>
    <hyperlink ref="C202" r:id="rId111" tooltip="Open Prospect Profile" display="https://www.whatifsports.com/hbd/Pages/Popups/ProspectProfile.aspx?pid=13631437" xr:uid="{A7B947BB-36C2-4799-BFA6-16B2C5875DCA}"/>
    <hyperlink ref="C85" r:id="rId112" tooltip="Open Prospect Profile" display="https://www.whatifsports.com/hbd/Pages/Popups/ProspectProfile.aspx?pid=13632236" xr:uid="{FB1EAC65-848B-4B3C-8D93-E501CD532878}"/>
    <hyperlink ref="C59" r:id="rId113" tooltip="Open Prospect Profile" display="https://www.whatifsports.com/hbd/Pages/Popups/ProspectProfile.aspx?pid=13631904" xr:uid="{7FADF783-A38B-4D66-B7BD-1D608E43B3AF}"/>
    <hyperlink ref="C181" r:id="rId114" tooltip="Open Prospect Profile" display="https://www.whatifsports.com/hbd/Pages/Popups/ProspectProfile.aspx?pid=13631468" xr:uid="{BA416CD6-8175-4652-AF79-34976CFA54B0}"/>
    <hyperlink ref="C190" r:id="rId115" tooltip="Open Prospect Profile" display="https://www.whatifsports.com/hbd/Pages/Popups/ProspectProfile.aspx?pid=13631453" xr:uid="{8779B4A5-1365-4962-9D44-E95C35EFEB7A}"/>
    <hyperlink ref="C69" r:id="rId116" tooltip="Open Prospect Profile" display="https://www.whatifsports.com/hbd/Pages/Popups/ProspectProfile.aspx?pid=13632204" xr:uid="{599DB09A-762B-41B3-82F4-5FB80F643B7A}"/>
    <hyperlink ref="C39" r:id="rId117" tooltip="Open Prospect Profile" display="https://www.whatifsports.com/hbd/Pages/Popups/ProspectProfile.aspx?pid=13632186" xr:uid="{A8B6EDB1-E40C-4566-ADFA-A36894795A7F}"/>
    <hyperlink ref="C45" r:id="rId118" tooltip="Open Prospect Profile" display="https://www.whatifsports.com/hbd/Pages/Popups/ProspectProfile.aspx?pid=13632149" xr:uid="{6C6C4049-B0F5-4802-BBF5-3D12CD272983}"/>
    <hyperlink ref="C71" r:id="rId119" tooltip="Open Prospect Profile" display="https://www.whatifsports.com/hbd/Pages/Popups/ProspectProfile.aspx?pid=13632019" xr:uid="{9CE3843F-B824-43E0-A173-CEE0C506402E}"/>
    <hyperlink ref="C161" r:id="rId120" tooltip="Open Prospect Profile" display="https://www.whatifsports.com/hbd/Pages/Popups/ProspectProfile.aspx?pid=13631836" xr:uid="{F2C87FC7-D9C3-4399-9F28-6D1D0A986502}"/>
    <hyperlink ref="C21" r:id="rId121" tooltip="Open Prospect Profile" display="https://www.whatifsports.com/hbd/Pages/Popups/ProspectProfile.aspx?pid=13632201" xr:uid="{85568B5C-0844-4BFD-AEEB-D518CFECD9ED}"/>
    <hyperlink ref="C88" r:id="rId122" tooltip="Open Prospect Profile" display="https://www.whatifsports.com/hbd/Pages/Popups/ProspectProfile.aspx?pid=13632085" xr:uid="{401F2205-1D7B-41C1-A8E0-397145D05774}"/>
    <hyperlink ref="C80" r:id="rId123" tooltip="Open Prospect Profile" display="https://www.whatifsports.com/hbd/Pages/Popups/ProspectProfile.aspx?pid=13632055" xr:uid="{3F06DF6F-5802-4FBB-AC44-4A77CDCBEC10}"/>
    <hyperlink ref="C38" r:id="rId124" tooltip="Open Prospect Profile" display="https://www.whatifsports.com/hbd/Pages/Popups/ProspectProfile.aspx?pid=13632036" xr:uid="{D5C93AF5-4BBE-4E97-B1FA-EF82CC0B47A9}"/>
    <hyperlink ref="C79" r:id="rId125" tooltip="Open Prospect Profile" display="https://www.whatifsports.com/hbd/Pages/Popups/ProspectProfile.aspx?pid=13631991" xr:uid="{7F0DCCBD-93B9-4D3E-8A0E-F5B6B2792169}"/>
    <hyperlink ref="C174" r:id="rId126" tooltip="Open Prospect Profile" display="https://www.whatifsports.com/hbd/Pages/Popups/ProspectProfile.aspx?pid=13631414" xr:uid="{7CAE34AE-7FF7-4E1B-9158-B18605CC9F26}"/>
    <hyperlink ref="C70" r:id="rId127" tooltip="Open Prospect Profile" display="https://www.whatifsports.com/hbd/Pages/Popups/ProspectProfile.aspx?pid=13632107" xr:uid="{19009626-6BDD-4D15-B472-DED5A7F51E99}"/>
    <hyperlink ref="C26" r:id="rId128" tooltip="Open Prospect Profile" display="https://www.whatifsports.com/hbd/Pages/Popups/ProspectProfile.aspx?pid=13632071" xr:uid="{B8D8FA32-D6E9-400F-A7B2-BE1A670436EF}"/>
    <hyperlink ref="C65" r:id="rId129" tooltip="Open Prospect Profile" display="https://www.whatifsports.com/hbd/Pages/Popups/ProspectProfile.aspx?pid=13631926" xr:uid="{FC27818E-D913-45E8-A4EA-C8FEB8740629}"/>
    <hyperlink ref="C124" r:id="rId130" tooltip="Open Prospect Profile" display="https://www.whatifsports.com/hbd/Pages/Popups/ProspectProfile.aspx?pid=13631698" xr:uid="{9F8636CE-5400-4DE8-B78A-ED59B2AD609A}"/>
    <hyperlink ref="C22" r:id="rId131" tooltip="Open Prospect Profile" display="https://www.whatifsports.com/hbd/Pages/Popups/ProspectProfile.aspx?pid=13632164" xr:uid="{B87F8669-D8C2-4611-85F0-89913D07C594}"/>
    <hyperlink ref="C63" r:id="rId132" tooltip="Open Prospect Profile" display="https://www.whatifsports.com/hbd/Pages/Popups/ProspectProfile.aspx?pid=13632113" xr:uid="{BEFCF324-DFDC-4484-A569-090AD974F5BC}"/>
    <hyperlink ref="C77" r:id="rId133" tooltip="Open Prospect Profile" display="https://www.whatifsports.com/hbd/Pages/Popups/ProspectProfile.aspx?pid=13632063" xr:uid="{F41CBB24-6AEC-4ACD-BBCE-CDFB96DD4C00}"/>
    <hyperlink ref="C176" r:id="rId134" tooltip="Open Prospect Profile" display="https://www.whatifsports.com/hbd/Pages/Popups/ProspectProfile.aspx?pid=13631650" xr:uid="{CCE3991C-BED6-4FBE-97FB-E79F472F5E67}"/>
    <hyperlink ref="C128" r:id="rId135" tooltip="Open Prospect Profile" display="https://www.whatifsports.com/hbd/Pages/Popups/ProspectProfile.aspx?pid=13631565" xr:uid="{1C966812-938A-40E9-954D-2AB1938C76AE}"/>
    <hyperlink ref="C120" r:id="rId136" tooltip="Open Prospect Profile" display="https://www.whatifsports.com/hbd/Pages/Popups/ProspectProfile.aspx?pid=13631391" xr:uid="{A8DAB72E-7898-4560-984F-470C902EA73C}"/>
    <hyperlink ref="C36" r:id="rId137" tooltip="Open Prospect Profile" display="https://www.whatifsports.com/hbd/Pages/Popups/ProspectProfile.aspx?pid=13632116" xr:uid="{41CFF2D1-B837-47C4-ACED-AF152E389882}"/>
    <hyperlink ref="C78" r:id="rId138" tooltip="Open Prospect Profile" display="https://www.whatifsports.com/hbd/Pages/Popups/ProspectProfile.aspx?pid=13632058" xr:uid="{F0CF0D60-AF8D-4D09-A672-7DDECC5A3494}"/>
    <hyperlink ref="C86" r:id="rId139" tooltip="Open Prospect Profile" display="https://www.whatifsports.com/hbd/Pages/Popups/ProspectProfile.aspx?pid=13632048" xr:uid="{07EE8E18-19E2-45D7-A61C-AA1AD58DAC2C}"/>
    <hyperlink ref="C74" r:id="rId140" tooltip="Open Prospect Profile" display="https://www.whatifsports.com/hbd/Pages/Popups/ProspectProfile.aspx?pid=13631952" xr:uid="{DF82B6DF-0A64-4B0F-A065-88BCDD39479C}"/>
    <hyperlink ref="C68" r:id="rId141" tooltip="Open Prospect Profile" display="https://www.whatifsports.com/hbd/Pages/Popups/ProspectProfile.aspx?pid=13631896" xr:uid="{AACC7384-1ECC-4EB8-A0AD-F349F6E97696}"/>
    <hyperlink ref="C91" r:id="rId142" tooltip="Open Prospect Profile" display="https://www.whatifsports.com/hbd/Pages/Popups/ProspectProfile.aspx?pid=13631877" xr:uid="{2F70AEE8-FB34-44C5-AA52-A580B48A8FBE}"/>
    <hyperlink ref="C90" r:id="rId143" tooltip="Open Prospect Profile" display="https://www.whatifsports.com/hbd/Pages/Popups/ProspectProfile.aspx?pid=13631875" xr:uid="{9FB668AF-FD14-4003-8273-A9AB5212B46A}"/>
    <hyperlink ref="C180" r:id="rId144" tooltip="Open Prospect Profile" display="https://www.whatifsports.com/hbd/Pages/Popups/ProspectProfile.aspx?pid=13631796" xr:uid="{726188ED-5C4B-4A67-B447-C86D7DA4295D}"/>
    <hyperlink ref="C196" r:id="rId145" tooltip="Open Prospect Profile" display="https://www.whatifsports.com/hbd/Pages/Popups/ProspectProfile.aspx?pid=13631713" xr:uid="{822BC978-3D24-4FFA-9B92-7F07E1807BA8}"/>
    <hyperlink ref="C169" r:id="rId146" tooltip="Open Prospect Profile" display="https://www.whatifsports.com/hbd/Pages/Popups/ProspectProfile.aspx?pid=13631560" xr:uid="{E0B3E441-4911-43CA-A299-F7A48DD4FBC8}"/>
    <hyperlink ref="C156" r:id="rId147" tooltip="Open Prospect Profile" display="https://www.whatifsports.com/hbd/Pages/Popups/ProspectProfile.aspx?pid=13631518" xr:uid="{1630BFA4-34F1-4F2B-BBB1-85F3B5185543}"/>
    <hyperlink ref="C203" r:id="rId148" tooltip="Open Prospect Profile" display="https://www.whatifsports.com/hbd/Pages/Popups/ProspectProfile.aspx?pid=13631435" xr:uid="{17BB2FFE-5555-4C5F-BECE-F263034FF29B}"/>
    <hyperlink ref="C167" r:id="rId149" tooltip="Open Prospect Profile" display="https://www.whatifsports.com/hbd/Pages/Popups/ProspectProfile.aspx?pid=13631389" xr:uid="{27E80EEE-B423-4D2B-B003-68E4BD9D837A}"/>
    <hyperlink ref="C67" r:id="rId150" tooltip="Open Prospect Profile" display="https://www.whatifsports.com/hbd/Pages/Popups/ProspectProfile.aspx?pid=13632013" xr:uid="{78563506-CBB6-454B-BEE3-A8D19283E098}"/>
    <hyperlink ref="C46" r:id="rId151" tooltip="Open Prospect Profile" display="https://www.whatifsports.com/hbd/Pages/Popups/ProspectProfile.aspx?pid=13632078" xr:uid="{34597F47-43BF-41FF-A320-2EA58F580BF2}"/>
    <hyperlink ref="C89" r:id="rId152" tooltip="Open Prospect Profile" display="https://www.whatifsports.com/hbd/Pages/Popups/ProspectProfile.aspx?pid=13631910" xr:uid="{E17FE830-59D5-4D0F-A656-331C6BB265D8}"/>
    <hyperlink ref="C112" r:id="rId153" tooltip="Open Prospect Profile" display="https://www.whatifsports.com/hbd/Pages/Popups/ProspectProfile.aspx?pid=13631448" xr:uid="{ABA8D7EC-E9A2-451A-B855-8B5F498AA2AD}"/>
    <hyperlink ref="C175" r:id="rId154" tooltip="Open Prospect Profile" display="https://www.whatifsports.com/hbd/Pages/Popups/ProspectProfile.aspx?pid=13631442" xr:uid="{6EB95B95-E3EB-40EA-8F98-1CA9CB28E9CA}"/>
    <hyperlink ref="C96" r:id="rId155" tooltip="Open Prospect Profile" display="https://www.whatifsports.com/hbd/Pages/Popups/ProspectProfile.aspx?pid=13632156" xr:uid="{44ADE2AE-A3AC-4F98-8B33-B7A0F6D56F92}"/>
    <hyperlink ref="C154" r:id="rId156" tooltip="Open Prospect Profile" display="https://www.whatifsports.com/hbd/Pages/Popups/ProspectProfile.aspx?pid=13631642" xr:uid="{C9849C8D-536D-48A7-AA4A-C02C368806CB}"/>
    <hyperlink ref="C84" r:id="rId157" tooltip="Open Prospect Profile" display="https://www.whatifsports.com/hbd/Pages/Popups/ProspectProfile.aspx?pid=13631885" xr:uid="{97F99984-0FFB-4A59-B41F-F2585DFEA4AB}"/>
    <hyperlink ref="C87" r:id="rId158" tooltip="Open Prospect Profile" display="https://www.whatifsports.com/hbd/Pages/Popups/ProspectProfile.aspx?pid=13632029" xr:uid="{04D5A430-6DA6-4EE8-890F-EA185BAD10FF}"/>
    <hyperlink ref="C93" r:id="rId159" tooltip="Open Prospect Profile" display="https://www.whatifsports.com/hbd/Pages/Popups/ProspectProfile.aspx?pid=13631996" xr:uid="{7C57788B-039E-43CF-A13B-F95E2BC812B5}"/>
    <hyperlink ref="C102" r:id="rId160" tooltip="Open Prospect Profile" display="https://www.whatifsports.com/hbd/Pages/Popups/ProspectProfile.aspx?pid=13631863" xr:uid="{AD721A7D-B53F-48B5-AB1F-DD6D2BB5B859}"/>
    <hyperlink ref="C163" r:id="rId161" tooltip="Open Prospect Profile" display="https://www.whatifsports.com/hbd/Pages/Popups/ProspectProfile.aspx?pid=13631680" xr:uid="{3D8F2F97-8322-43C7-A7CE-292A55247B21}"/>
    <hyperlink ref="C160" r:id="rId162" tooltip="Open Prospect Profile" display="https://www.whatifsports.com/hbd/Pages/Popups/ProspectProfile.aspx?pid=13631630" xr:uid="{924F2A39-78A1-4497-946E-3BE1FA119B6A}"/>
    <hyperlink ref="C72" r:id="rId163" tooltip="Open Prospect Profile" display="https://www.whatifsports.com/hbd/Pages/Popups/ProspectProfile.aspx?pid=13632115" xr:uid="{A8B9141F-3E65-4C35-9FF8-81540B32D356}"/>
    <hyperlink ref="C73" r:id="rId164" tooltip="Open Prospect Profile" display="https://www.whatifsports.com/hbd/Pages/Popups/ProspectProfile.aspx?pid=13631994" xr:uid="{474AFDE9-B5F3-48C0-A7E9-3037F4F4FB56}"/>
    <hyperlink ref="C58" r:id="rId165" tooltip="Open Prospect Profile" display="https://www.whatifsports.com/hbd/Pages/Popups/ProspectProfile.aspx?pid=13631871" xr:uid="{D0629548-FE5F-4622-8765-4D261D4B16BC}"/>
    <hyperlink ref="C177" r:id="rId166" tooltip="Open Prospect Profile" display="https://www.whatifsports.com/hbd/Pages/Popups/ProspectProfile.aspx?pid=13631808" xr:uid="{C83DCB9E-9453-4128-AB79-B21C8A2EE5C0}"/>
    <hyperlink ref="C146" r:id="rId167" tooltip="Open Prospect Profile" display="https://www.whatifsports.com/hbd/Pages/Popups/ProspectProfile.aspx?pid=13631601" xr:uid="{D4F573D7-F260-49C9-91F1-750F017A766E}"/>
    <hyperlink ref="C92" r:id="rId168" tooltip="Open Prospect Profile" display="https://www.whatifsports.com/hbd/Pages/Popups/ProspectProfile.aspx?pid=13631968" xr:uid="{D3EDE59B-C69F-4F8C-96CB-FF43AB5F11E3}"/>
    <hyperlink ref="C101" r:id="rId169" tooltip="Open Prospect Profile" display="https://www.whatifsports.com/hbd/Pages/Popups/ProspectProfile.aspx?pid=13631945" xr:uid="{94FFB766-D671-4421-84B6-483E858685B5}"/>
    <hyperlink ref="C94" r:id="rId170" tooltip="Open Prospect Profile" display="https://www.whatifsports.com/hbd/Pages/Popups/ProspectProfile.aspx?pid=13631914" xr:uid="{F5A94408-4FFD-43AB-ACC2-8D4D0E05F037}"/>
    <hyperlink ref="C82" r:id="rId171" tooltip="Open Prospect Profile" display="https://www.whatifsports.com/hbd/Pages/Popups/ProspectProfile.aspx?pid=13632023" xr:uid="{4A4ECD0C-11D9-4F92-A6AB-C755F953104A}"/>
    <hyperlink ref="C104" r:id="rId172" tooltip="Open Prospect Profile" display="https://www.whatifsports.com/hbd/Pages/Popups/ProspectProfile.aspx?pid=13631860" xr:uid="{FAE2488F-CCDF-4D2F-8881-13C444B1F0CB}"/>
    <hyperlink ref="C108" r:id="rId173" tooltip="Open Prospect Profile" display="https://www.whatifsports.com/hbd/Pages/Popups/ProspectProfile.aspx?pid=13631526" xr:uid="{53F2FE97-D9D5-4CBE-B940-0DCF5975D898}"/>
    <hyperlink ref="C55" r:id="rId174" tooltip="Open Prospect Profile" display="https://www.whatifsports.com/hbd/Pages/Popups/ProspectProfile.aspx?pid=13631876" xr:uid="{F28956F4-C503-49FC-A44E-9DDE8697B9D6}"/>
    <hyperlink ref="C99" r:id="rId175" tooltip="Open Prospect Profile" display="https://www.whatifsports.com/hbd/Pages/Popups/ProspectProfile.aspx?pid=13631849" xr:uid="{A5F5A2FB-A19F-4EE7-8530-EC9037184F77}"/>
    <hyperlink ref="C107" r:id="rId176" tooltip="Open Prospect Profile" display="https://www.whatifsports.com/hbd/Pages/Popups/ProspectProfile.aspx?pid=13631576" xr:uid="{C1BFF4F3-6379-49B5-B602-FA3BC28E39E0}"/>
    <hyperlink ref="C103" r:id="rId177" tooltip="Open Prospect Profile" display="https://www.whatifsports.com/hbd/Pages/Popups/ProspectProfile.aspx?pid=13631939" xr:uid="{58CE1A96-3872-4D5D-B83A-1896054E3F62}"/>
    <hyperlink ref="C105" r:id="rId178" tooltip="Open Prospect Profile" display="https://www.whatifsports.com/hbd/Pages/Popups/ProspectProfile.aspx?pid=13631853" xr:uid="{B49157C8-F4D9-42D5-B8D2-31AE19947FAD}"/>
    <hyperlink ref="C100" r:id="rId179" tooltip="Open Prospect Profile" display="https://www.whatifsports.com/hbd/Pages/Popups/ProspectProfile.aspx?pid=13631913" xr:uid="{DECDDFD4-9E7D-4F59-AFA8-8E5BE6BEECF0}"/>
    <hyperlink ref="C106" r:id="rId180" tooltip="Open Prospect Profile" display="https://www.whatifsports.com/hbd/Pages/Popups/ProspectProfile.aspx?pid=13631908" xr:uid="{B414D9AA-BC05-493A-82FC-3ED70E9A1721}"/>
    <hyperlink ref="C193" r:id="rId181" tooltip="Open Prospect Profile" display="https://www.whatifsports.com/hbd/Pages/Popups/ProspectProfile.aspx?pid=13631703" xr:uid="{7F390F2D-8E76-4D22-BE4A-2A616255212B}"/>
    <hyperlink ref="C184" r:id="rId182" tooltip="Open Prospect Profile" display="https://www.whatifsports.com/hbd/Pages/Popups/ProspectProfile.aspx?pid=13631610" xr:uid="{B9DC7E28-CC2D-46A1-B659-D9C4EF9A7EDD}"/>
    <hyperlink ref="C98" r:id="rId183" tooltip="Open Prospect Profile" display="https://www.whatifsports.com/hbd/Pages/Popups/ProspectProfile.aspx?pid=13631963" xr:uid="{3D6DF093-6139-4D39-ADBF-046F404A6DF9}"/>
    <hyperlink ref="C95" r:id="rId184" tooltip="Open Prospect Profile" display="https://www.whatifsports.com/hbd/Pages/Popups/ProspectProfile.aspx?pid=13631882" xr:uid="{1F4E63A3-6CAB-4328-8F3D-C8C9B3B99592}"/>
    <hyperlink ref="C42" r:id="rId185" tooltip="Open Prospect Profile" display="https://www.whatifsports.com/hbd/Pages/Popups/ProspectProfile.aspx?pid=13632154" xr:uid="{2BF241DC-2527-462F-9705-6004BFA9B13A}"/>
    <hyperlink ref="C110" r:id="rId186" tooltip="Open Prospect Profile" display="https://www.whatifsports.com/hbd/Pages/Popups/ProspectProfile.aspx?pid=13631636" xr:uid="{AD3D28AA-9047-4769-B6BB-8D8C92F21084}"/>
    <hyperlink ref="C97" r:id="rId187" tooltip="Open Prospect Profile" display="https://www.whatifsports.com/hbd/Pages/Popups/ProspectProfile.aspx?pid=13631844" xr:uid="{977A2888-88CF-48CC-A9C8-BACCDA932994}"/>
    <hyperlink ref="C188" r:id="rId188" tooltip="Open Prospect Profile" display="https://www.whatifsports.com/hbd/Pages/Popups/ProspectProfile.aspx?pid=13631775" xr:uid="{824C5B70-C31A-45D1-B290-8DD150CDD8B0}"/>
    <hyperlink ref="C200" r:id="rId189" tooltip="Open Prospect Profile" display="https://www.whatifsports.com/hbd/Pages/Popups/ProspectProfile.aspx?pid=13631823" xr:uid="{620E735E-7492-4EA6-B161-B3FC877861D0}"/>
    <hyperlink ref="C158" r:id="rId190" tooltip="Open Prospect Profile" display="https://www.whatifsports.com/hbd/Pages/Popups/ProspectProfile.aspx?pid=13631818" xr:uid="{C630329E-741A-4DEE-A88E-FD4053246A7C}"/>
    <hyperlink ref="C123" r:id="rId191" tooltip="Open Prospect Profile" display="https://www.whatifsports.com/hbd/Pages/Popups/ProspectProfile.aspx?pid=13631814" xr:uid="{AF48BCFD-AB80-4571-BC28-31081E2B5834}"/>
    <hyperlink ref="C198" r:id="rId192" tooltip="Open Prospect Profile" display="https://www.whatifsports.com/hbd/Pages/Popups/ProspectProfile.aspx?pid=13631803" xr:uid="{07C54A4D-53D3-43AD-931F-4FD06CE23A41}"/>
    <hyperlink ref="C149" r:id="rId193" tooltip="Open Prospect Profile" display="https://www.whatifsports.com/hbd/Pages/Popups/ProspectProfile.aspx?pid=13631792" xr:uid="{CA826EC3-033A-4D0B-8D6E-1B8C18ED7F9B}"/>
    <hyperlink ref="C121" r:id="rId194" tooltip="Open Prospect Profile" display="https://www.whatifsports.com/hbd/Pages/Popups/ProspectProfile.aspx?pid=13631791" xr:uid="{A6E4D198-8DC5-4234-AC4F-C929DBA1DEEF}"/>
    <hyperlink ref="C130" r:id="rId195" tooltip="Open Prospect Profile" display="https://www.whatifsports.com/hbd/Pages/Popups/ProspectProfile.aspx?pid=13631789" xr:uid="{AD4417F7-52A6-4ADD-A1ED-F5760980C1A2}"/>
    <hyperlink ref="C170" r:id="rId196" tooltip="Open Prospect Profile" display="https://www.whatifsports.com/hbd/Pages/Popups/ProspectProfile.aspx?pid=13631763" xr:uid="{080CB318-9566-41F7-A3E5-6D042DABDADC}"/>
    <hyperlink ref="C178" r:id="rId197" tooltip="Open Prospect Profile" display="https://www.whatifsports.com/hbd/Pages/Popups/ProspectProfile.aspx?pid=13631762" xr:uid="{588EBFF2-4055-4E94-BB07-84DFC9A21163}"/>
    <hyperlink ref="C157" r:id="rId198" tooltip="Open Prospect Profile" display="https://www.whatifsports.com/hbd/Pages/Popups/ProspectProfile.aspx?pid=13631752" xr:uid="{32F9652D-F5C4-436D-9B7F-73C5B7597748}"/>
    <hyperlink ref="C166" r:id="rId199" tooltip="Open Prospect Profile" display="https://www.whatifsports.com/hbd/Pages/Popups/ProspectProfile.aspx?pid=13631802" xr:uid="{F32BC534-AC4D-4FA6-AAB0-D0D28C833C56}"/>
    <hyperlink ref="C171" r:id="rId200" tooltip="Open Prospect Profile" display="https://www.whatifsports.com/hbd/Pages/Popups/ProspectProfile.aspx?pid=13631780" xr:uid="{A00E3B97-AC16-4F5F-93D3-555480B52A47}"/>
    <hyperlink ref="C204" r:id="rId201" tooltip="Open Prospect Profile" display="https://www.whatifsports.com/hbd/Pages/Popups/ProspectProfile.aspx?pid=13631742" xr:uid="{F10ADA6B-96EE-4520-BFDB-333C4151D626}"/>
    <hyperlink ref="C179" r:id="rId202" tooltip="Open Prospect Profile" display="https://www.whatifsports.com/hbd/Pages/Popups/ProspectProfile.aspx?pid=13631648" xr:uid="{2463D005-5354-4082-A346-8F6AA2DCBC8A}"/>
    <hyperlink ref="C164" r:id="rId203" tooltip="Open Prospect Profile" display="https://www.whatifsports.com/hbd/Pages/Popups/ProspectProfile.aspx?pid=13631532" xr:uid="{D8D12E55-D47C-45CD-B651-2132E8E5356D}"/>
    <hyperlink ref="C133" r:id="rId204" tooltip="Open Prospect Profile" display="https://www.whatifsports.com/hbd/Pages/Popups/ProspectProfile.aspx?pid=13631531" xr:uid="{579254B4-E16E-43A3-B0EE-46CAE4BFE44C}"/>
    <hyperlink ref="C192" r:id="rId205" tooltip="Open Prospect Profile" display="https://www.whatifsports.com/hbd/Pages/Popups/ProspectProfile.aspx?pid=13631516" xr:uid="{9853BBD5-BB2D-4323-AAC6-0C5BB00832D7}"/>
    <hyperlink ref="C116" r:id="rId206" tooltip="Open Prospect Profile" display="https://www.whatifsports.com/hbd/Pages/Popups/ProspectProfile.aspx?pid=13631514" xr:uid="{C4630CD8-B5B2-44D1-8F58-992A7CF423BB}"/>
    <hyperlink ref="C140" r:id="rId207" tooltip="Open Prospect Profile" display="https://www.whatifsports.com/hbd/Pages/Popups/ProspectProfile.aspx?pid=13631406" xr:uid="{A72F3DED-088D-444F-9563-06867F93D1C9}"/>
  </hyperlinks>
  <pageMargins left="0.7" right="0.7" top="0.75" bottom="0.75" header="0.3" footer="0.3"/>
  <pageSetup orientation="portrait" r:id="rId208"/>
  <drawing r:id="rId20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workbookViewId="0">
      <selection activeCell="F12" sqref="F12"/>
    </sheetView>
  </sheetViews>
  <sheetFormatPr defaultRowHeight="14.4" x14ac:dyDescent="0.3"/>
  <cols>
    <col min="4" max="4" width="12" bestFit="1" customWidth="1"/>
    <col min="7" max="7" width="9.6640625" bestFit="1" customWidth="1"/>
  </cols>
  <sheetData>
    <row r="1" spans="1:11" x14ac:dyDescent="0.3">
      <c r="A1">
        <v>0</v>
      </c>
      <c r="B1">
        <v>0</v>
      </c>
      <c r="C1">
        <f>1/LOG10(111-A1)</f>
        <v>0.48892033696958109</v>
      </c>
      <c r="D1">
        <f>MAX(0, (((LOG(A1+0.000001, 100)*2.6-0.92))))</f>
        <v>0</v>
      </c>
      <c r="E1" t="e">
        <f ca="1">Hitters!AF2(-2*10^-6)*A1^3+0.00032*A1^2-0.0021*A1</f>
        <v>#REF!</v>
      </c>
      <c r="G1">
        <f>-2*10^-6*A1^3</f>
        <v>0</v>
      </c>
      <c r="H1">
        <f>0.00032*A1^2</f>
        <v>0</v>
      </c>
      <c r="I1">
        <f>-0.0021*A1</f>
        <v>0</v>
      </c>
      <c r="J1">
        <v>0</v>
      </c>
      <c r="K1">
        <f>SUM(G1:J1)</f>
        <v>0</v>
      </c>
    </row>
    <row r="2" spans="1:11" x14ac:dyDescent="0.3">
      <c r="A2">
        <v>10</v>
      </c>
      <c r="B2">
        <v>0.05</v>
      </c>
      <c r="C2">
        <f t="shared" ref="C2:C14" si="0">1/LOG10(111-A2)</f>
        <v>0.49892198580547809</v>
      </c>
      <c r="D2">
        <f t="shared" ref="D2:D14" si="1">MAX(0, (((LOG(A2+0.000001, 100)*2.6-0.92))))</f>
        <v>0.38000005645827961</v>
      </c>
      <c r="E2">
        <f t="shared" ref="E2:E14" si="2">(-2*10^-6)*A2^3+0.00032*A2^2-0.0021*A2</f>
        <v>9.0000000000000011E-3</v>
      </c>
      <c r="G2">
        <f t="shared" ref="G2:G14" si="3">-2*10^-6*A2^3</f>
        <v>-2E-3</v>
      </c>
      <c r="H2">
        <f t="shared" ref="H2:H14" si="4">0.00032*A2^2</f>
        <v>3.2000000000000001E-2</v>
      </c>
      <c r="I2">
        <f t="shared" ref="I2:I14" si="5">-0.0021*A2</f>
        <v>-2.0999999999999998E-2</v>
      </c>
      <c r="J2">
        <v>0</v>
      </c>
      <c r="K2">
        <f t="shared" ref="K2:K14" si="6">SUM(G2:J2)</f>
        <v>9.0000000000000011E-3</v>
      </c>
    </row>
    <row r="3" spans="1:11" x14ac:dyDescent="0.3">
      <c r="A3">
        <v>20</v>
      </c>
      <c r="B3">
        <v>0.1</v>
      </c>
      <c r="C3">
        <f t="shared" si="0"/>
        <v>0.51045373717968723</v>
      </c>
      <c r="D3">
        <f t="shared" si="1"/>
        <v>0.7713390225923159</v>
      </c>
      <c r="E3">
        <f t="shared" si="2"/>
        <v>7.0000000000000007E-2</v>
      </c>
      <c r="G3">
        <f t="shared" si="3"/>
        <v>-1.6E-2</v>
      </c>
      <c r="H3">
        <f t="shared" si="4"/>
        <v>0.128</v>
      </c>
      <c r="I3">
        <f t="shared" si="5"/>
        <v>-4.1999999999999996E-2</v>
      </c>
      <c r="J3">
        <v>0</v>
      </c>
      <c r="K3">
        <f t="shared" si="6"/>
        <v>7.0000000000000007E-2</v>
      </c>
    </row>
    <row r="4" spans="1:11" x14ac:dyDescent="0.3">
      <c r="A4">
        <v>22</v>
      </c>
      <c r="B4">
        <v>0.11</v>
      </c>
      <c r="C4">
        <f t="shared" ref="C4:C6" si="7">1/LOG10(111-A4)</f>
        <v>0.51298098204632536</v>
      </c>
      <c r="D4">
        <f t="shared" si="1"/>
        <v>0.82514951073172316</v>
      </c>
      <c r="E4">
        <f t="shared" si="2"/>
        <v>8.7384000000000017E-2</v>
      </c>
      <c r="G4">
        <f t="shared" si="3"/>
        <v>-2.1295999999999999E-2</v>
      </c>
      <c r="H4">
        <f t="shared" si="4"/>
        <v>0.15488000000000002</v>
      </c>
      <c r="I4">
        <f t="shared" si="5"/>
        <v>-4.6199999999999998E-2</v>
      </c>
      <c r="J4">
        <v>0</v>
      </c>
      <c r="K4">
        <f t="shared" si="6"/>
        <v>8.7384000000000017E-2</v>
      </c>
    </row>
    <row r="5" spans="1:11" x14ac:dyDescent="0.3">
      <c r="A5">
        <v>24</v>
      </c>
      <c r="B5">
        <v>0.12</v>
      </c>
      <c r="C5">
        <f t="shared" si="7"/>
        <v>0.51559168523326704</v>
      </c>
      <c r="D5">
        <f t="shared" si="1"/>
        <v>0.87427463774937164</v>
      </c>
      <c r="E5">
        <f t="shared" si="2"/>
        <v>0.10627200000000001</v>
      </c>
      <c r="G5">
        <f t="shared" si="3"/>
        <v>-2.7647999999999999E-2</v>
      </c>
      <c r="H5">
        <f t="shared" si="4"/>
        <v>0.18432000000000001</v>
      </c>
      <c r="I5">
        <f t="shared" si="5"/>
        <v>-5.04E-2</v>
      </c>
      <c r="J5">
        <v>0</v>
      </c>
      <c r="K5">
        <f t="shared" si="6"/>
        <v>0.10627200000000001</v>
      </c>
    </row>
    <row r="6" spans="1:11" x14ac:dyDescent="0.3">
      <c r="A6">
        <v>26</v>
      </c>
      <c r="B6">
        <v>0.13</v>
      </c>
      <c r="C6">
        <f t="shared" si="7"/>
        <v>0.5182907592915772</v>
      </c>
      <c r="D6">
        <f t="shared" si="1"/>
        <v>0.91946537407678675</v>
      </c>
      <c r="E6">
        <f t="shared" si="2"/>
        <v>0.12656800000000001</v>
      </c>
      <c r="G6">
        <f t="shared" si="3"/>
        <v>-3.5151999999999996E-2</v>
      </c>
      <c r="H6">
        <f t="shared" si="4"/>
        <v>0.21632000000000001</v>
      </c>
      <c r="I6">
        <f t="shared" si="5"/>
        <v>-5.4599999999999996E-2</v>
      </c>
      <c r="J6">
        <v>0</v>
      </c>
      <c r="K6">
        <f t="shared" si="6"/>
        <v>0.12656800000000001</v>
      </c>
    </row>
    <row r="7" spans="1:11" x14ac:dyDescent="0.3">
      <c r="A7">
        <v>30</v>
      </c>
      <c r="B7">
        <v>0.15</v>
      </c>
      <c r="C7">
        <f t="shared" si="0"/>
        <v>0.52397581857234621</v>
      </c>
      <c r="D7">
        <f t="shared" si="1"/>
        <v>1.000257649954988</v>
      </c>
      <c r="E7">
        <f t="shared" si="2"/>
        <v>0.17100000000000004</v>
      </c>
      <c r="G7">
        <f t="shared" si="3"/>
        <v>-5.3999999999999999E-2</v>
      </c>
      <c r="H7">
        <f t="shared" si="4"/>
        <v>0.28800000000000003</v>
      </c>
      <c r="I7">
        <f t="shared" si="5"/>
        <v>-6.3E-2</v>
      </c>
      <c r="J7">
        <v>0</v>
      </c>
      <c r="K7">
        <f t="shared" si="6"/>
        <v>0.17100000000000004</v>
      </c>
    </row>
    <row r="8" spans="1:11" x14ac:dyDescent="0.3">
      <c r="A8">
        <v>40</v>
      </c>
      <c r="B8">
        <v>0.3</v>
      </c>
      <c r="C8">
        <f t="shared" si="0"/>
        <v>0.54017312099735892</v>
      </c>
      <c r="D8">
        <f t="shared" si="1"/>
        <v>1.1626780028409214</v>
      </c>
      <c r="E8">
        <f t="shared" si="2"/>
        <v>0.30000000000000004</v>
      </c>
      <c r="G8">
        <f t="shared" si="3"/>
        <v>-0.128</v>
      </c>
      <c r="H8">
        <f t="shared" si="4"/>
        <v>0.51200000000000001</v>
      </c>
      <c r="I8">
        <f t="shared" si="5"/>
        <v>-8.3999999999999991E-2</v>
      </c>
      <c r="J8">
        <v>0</v>
      </c>
      <c r="K8">
        <f t="shared" si="6"/>
        <v>0.30000000000000004</v>
      </c>
    </row>
    <row r="9" spans="1:11" x14ac:dyDescent="0.3">
      <c r="A9">
        <v>50</v>
      </c>
      <c r="B9">
        <v>0.45</v>
      </c>
      <c r="C9">
        <f t="shared" si="0"/>
        <v>0.5601205897026692</v>
      </c>
      <c r="D9">
        <f t="shared" si="1"/>
        <v>1.2886610169284807</v>
      </c>
      <c r="E9">
        <f t="shared" si="2"/>
        <v>0.44500000000000006</v>
      </c>
      <c r="G9">
        <f t="shared" si="3"/>
        <v>-0.25</v>
      </c>
      <c r="H9">
        <f t="shared" si="4"/>
        <v>0.8</v>
      </c>
      <c r="I9">
        <f t="shared" si="5"/>
        <v>-0.105</v>
      </c>
      <c r="J9">
        <v>0</v>
      </c>
      <c r="K9">
        <f t="shared" si="6"/>
        <v>0.44500000000000006</v>
      </c>
    </row>
    <row r="10" spans="1:11" x14ac:dyDescent="0.3">
      <c r="A10">
        <v>60</v>
      </c>
      <c r="B10">
        <v>0.6</v>
      </c>
      <c r="C10">
        <f t="shared" si="0"/>
        <v>0.58562746878441962</v>
      </c>
      <c r="D10">
        <f t="shared" si="1"/>
        <v>1.3915966349084505</v>
      </c>
      <c r="E10">
        <f t="shared" si="2"/>
        <v>0.59400000000000019</v>
      </c>
      <c r="G10">
        <f t="shared" si="3"/>
        <v>-0.432</v>
      </c>
      <c r="H10">
        <f t="shared" si="4"/>
        <v>1.1520000000000001</v>
      </c>
      <c r="I10">
        <f t="shared" si="5"/>
        <v>-0.126</v>
      </c>
      <c r="J10">
        <v>0</v>
      </c>
      <c r="K10">
        <f t="shared" si="6"/>
        <v>0.59400000000000019</v>
      </c>
    </row>
    <row r="11" spans="1:11" x14ac:dyDescent="0.3">
      <c r="A11">
        <v>70</v>
      </c>
      <c r="B11">
        <v>0.75</v>
      </c>
      <c r="C11">
        <f t="shared" si="0"/>
        <v>0.62004588887311562</v>
      </c>
      <c r="D11">
        <f t="shared" si="1"/>
        <v>1.4786274600840028</v>
      </c>
      <c r="E11">
        <f t="shared" si="2"/>
        <v>0.7350000000000001</v>
      </c>
      <c r="G11">
        <f t="shared" si="3"/>
        <v>-0.68599999999999994</v>
      </c>
      <c r="H11">
        <f t="shared" si="4"/>
        <v>1.5680000000000001</v>
      </c>
      <c r="I11">
        <f t="shared" si="5"/>
        <v>-0.14699999999999999</v>
      </c>
      <c r="J11">
        <v>0</v>
      </c>
      <c r="K11">
        <f t="shared" si="6"/>
        <v>0.7350000000000001</v>
      </c>
    </row>
    <row r="12" spans="1:11" x14ac:dyDescent="0.3">
      <c r="A12">
        <v>80</v>
      </c>
      <c r="B12">
        <v>0.85</v>
      </c>
      <c r="C12">
        <f t="shared" si="0"/>
        <v>0.67052815164442925</v>
      </c>
      <c r="D12">
        <f t="shared" si="1"/>
        <v>1.5540169901468119</v>
      </c>
      <c r="E12">
        <f t="shared" si="2"/>
        <v>0.85600000000000009</v>
      </c>
      <c r="G12">
        <f t="shared" si="3"/>
        <v>-1.024</v>
      </c>
      <c r="H12">
        <f t="shared" si="4"/>
        <v>2.048</v>
      </c>
      <c r="I12">
        <f t="shared" si="5"/>
        <v>-0.16799999999999998</v>
      </c>
      <c r="J12">
        <v>0</v>
      </c>
      <c r="K12">
        <f t="shared" si="6"/>
        <v>0.85600000000000009</v>
      </c>
    </row>
    <row r="13" spans="1:11" x14ac:dyDescent="0.3">
      <c r="A13">
        <v>90</v>
      </c>
      <c r="B13">
        <v>0.95</v>
      </c>
      <c r="C13">
        <f t="shared" si="0"/>
        <v>0.75630419551640105</v>
      </c>
      <c r="D13">
        <f t="shared" si="1"/>
        <v>1.6205152685442648</v>
      </c>
      <c r="E13">
        <f t="shared" si="2"/>
        <v>0.94500000000000006</v>
      </c>
      <c r="G13">
        <f t="shared" si="3"/>
        <v>-1.458</v>
      </c>
      <c r="H13">
        <f t="shared" si="4"/>
        <v>2.5920000000000001</v>
      </c>
      <c r="I13">
        <f t="shared" si="5"/>
        <v>-0.189</v>
      </c>
      <c r="J13">
        <v>0</v>
      </c>
      <c r="K13">
        <f t="shared" si="6"/>
        <v>0.94500000000000006</v>
      </c>
    </row>
    <row r="14" spans="1:11" x14ac:dyDescent="0.3">
      <c r="A14">
        <v>100</v>
      </c>
      <c r="B14">
        <v>1</v>
      </c>
      <c r="C14">
        <f t="shared" si="0"/>
        <v>0.96025256778912738</v>
      </c>
      <c r="D14">
        <f t="shared" si="1"/>
        <v>1.6800000056458275</v>
      </c>
      <c r="E14">
        <f t="shared" si="2"/>
        <v>0.99000000000000021</v>
      </c>
      <c r="G14">
        <f t="shared" si="3"/>
        <v>-2</v>
      </c>
      <c r="H14">
        <f t="shared" si="4"/>
        <v>3.2</v>
      </c>
      <c r="I14">
        <f t="shared" si="5"/>
        <v>-0.21</v>
      </c>
      <c r="J14">
        <v>0</v>
      </c>
      <c r="K14">
        <f t="shared" si="6"/>
        <v>0.99000000000000021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Hitters</vt:lpstr>
      <vt:lpstr>Pitchers</vt:lpstr>
      <vt:lpstr>Algorithm</vt:lpstr>
    </vt:vector>
  </TitlesOfParts>
  <Company>Booz Allen Hamilton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Josh Stafford</cp:lastModifiedBy>
  <dcterms:created xsi:type="dcterms:W3CDTF">2010-05-20T16:36:20Z</dcterms:created>
  <dcterms:modified xsi:type="dcterms:W3CDTF">2025-09-01T17:11:12Z</dcterms:modified>
</cp:coreProperties>
</file>