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362ca80da55a94/Documents/hardball-dynasty-draft-optimizer/"/>
    </mc:Choice>
  </mc:AlternateContent>
  <xr:revisionPtr revIDLastSave="364" documentId="11_EE668F2494D8EE81B34020A84385B001638FD0C8" xr6:coauthVersionLast="47" xr6:coauthVersionMax="47" xr10:uidLastSave="{568FFD2B-A272-4469-BF47-222F456F051F}"/>
  <bookViews>
    <workbookView xWindow="-30828" yWindow="-108" windowWidth="30936" windowHeight="17496" activeTab="1" xr2:uid="{00000000-000D-0000-FFFF-FFFF00000000}"/>
  </bookViews>
  <sheets>
    <sheet name="Hitters" sheetId="1" r:id="rId1"/>
    <sheet name="Pitchers" sheetId="2" r:id="rId2"/>
    <sheet name="Algorithm Analysis" sheetId="3" r:id="rId3"/>
    <sheet name="Algorithm" sheetId="4" r:id="rId4"/>
    <sheet name="Background Info" sheetId="5" r:id="rId5"/>
    <sheet name="Master List" sheetId="6" r:id="rId6"/>
  </sheets>
  <definedNames>
    <definedName name="_xlnm._FilterDatabase" localSheetId="0" hidden="1">Hitters!$A$6:$AM$6</definedName>
    <definedName name="_xlnm._FilterDatabase" localSheetId="1" hidden="1">Pitchers!$A$5:$Y$5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H14" i="3"/>
  <c r="G14" i="3"/>
  <c r="K14" i="3" s="1"/>
  <c r="E14" i="3"/>
  <c r="D14" i="3"/>
  <c r="C14" i="3"/>
  <c r="I13" i="3"/>
  <c r="H13" i="3"/>
  <c r="G13" i="3"/>
  <c r="K13" i="3" s="1"/>
  <c r="E13" i="3"/>
  <c r="D13" i="3"/>
  <c r="C13" i="3"/>
  <c r="I12" i="3"/>
  <c r="H12" i="3"/>
  <c r="G12" i="3"/>
  <c r="K12" i="3" s="1"/>
  <c r="E12" i="3"/>
  <c r="D12" i="3"/>
  <c r="C12" i="3"/>
  <c r="I11" i="3"/>
  <c r="H11" i="3"/>
  <c r="G11" i="3"/>
  <c r="E11" i="3"/>
  <c r="D11" i="3"/>
  <c r="C11" i="3"/>
  <c r="I10" i="3"/>
  <c r="H10" i="3"/>
  <c r="G10" i="3"/>
  <c r="E10" i="3"/>
  <c r="D10" i="3"/>
  <c r="C10" i="3"/>
  <c r="I9" i="3"/>
  <c r="H9" i="3"/>
  <c r="G9" i="3"/>
  <c r="E9" i="3"/>
  <c r="D9" i="3"/>
  <c r="C9" i="3"/>
  <c r="I8" i="3"/>
  <c r="H8" i="3"/>
  <c r="G8" i="3"/>
  <c r="K8" i="3" s="1"/>
  <c r="E8" i="3"/>
  <c r="D8" i="3"/>
  <c r="C8" i="3"/>
  <c r="I7" i="3"/>
  <c r="H7" i="3"/>
  <c r="G7" i="3"/>
  <c r="E7" i="3"/>
  <c r="D7" i="3"/>
  <c r="C7" i="3"/>
  <c r="I6" i="3"/>
  <c r="H6" i="3"/>
  <c r="G6" i="3"/>
  <c r="K6" i="3" s="1"/>
  <c r="E6" i="3"/>
  <c r="D6" i="3"/>
  <c r="C6" i="3"/>
  <c r="I5" i="3"/>
  <c r="K5" i="3" s="1"/>
  <c r="H5" i="3"/>
  <c r="G5" i="3"/>
  <c r="E5" i="3"/>
  <c r="D5" i="3"/>
  <c r="C5" i="3"/>
  <c r="I4" i="3"/>
  <c r="H4" i="3"/>
  <c r="G4" i="3"/>
  <c r="K4" i="3" s="1"/>
  <c r="E4" i="3"/>
  <c r="D4" i="3"/>
  <c r="C4" i="3"/>
  <c r="K3" i="3"/>
  <c r="I3" i="3"/>
  <c r="H3" i="3"/>
  <c r="G3" i="3"/>
  <c r="E3" i="3"/>
  <c r="D3" i="3"/>
  <c r="C3" i="3"/>
  <c r="I2" i="3"/>
  <c r="H2" i="3"/>
  <c r="G2" i="3"/>
  <c r="E2" i="3"/>
  <c r="D2" i="3"/>
  <c r="C2" i="3"/>
  <c r="I1" i="3"/>
  <c r="H1" i="3"/>
  <c r="G1" i="3"/>
  <c r="K1" i="3" s="1"/>
  <c r="E1" i="3"/>
  <c r="D1" i="3"/>
  <c r="C1" i="3"/>
  <c r="AA505" i="2"/>
  <c r="Z505" i="2"/>
  <c r="Y505" i="2"/>
  <c r="X505" i="2"/>
  <c r="W505" i="2"/>
  <c r="V505" i="2"/>
  <c r="AA504" i="2"/>
  <c r="Z504" i="2"/>
  <c r="Y504" i="2"/>
  <c r="X504" i="2"/>
  <c r="W504" i="2"/>
  <c r="V504" i="2"/>
  <c r="AA503" i="2"/>
  <c r="Z503" i="2"/>
  <c r="Y503" i="2"/>
  <c r="X503" i="2"/>
  <c r="W503" i="2"/>
  <c r="V503" i="2"/>
  <c r="AA502" i="2"/>
  <c r="Z502" i="2"/>
  <c r="Y502" i="2"/>
  <c r="X502" i="2"/>
  <c r="W502" i="2"/>
  <c r="V502" i="2"/>
  <c r="AA501" i="2"/>
  <c r="Z501" i="2"/>
  <c r="Y501" i="2"/>
  <c r="X501" i="2"/>
  <c r="W501" i="2"/>
  <c r="V501" i="2"/>
  <c r="AA500" i="2"/>
  <c r="Z500" i="2"/>
  <c r="Y500" i="2"/>
  <c r="X500" i="2"/>
  <c r="W500" i="2"/>
  <c r="V500" i="2"/>
  <c r="AA499" i="2"/>
  <c r="Z499" i="2"/>
  <c r="Y499" i="2"/>
  <c r="X499" i="2"/>
  <c r="W499" i="2"/>
  <c r="V499" i="2"/>
  <c r="AA498" i="2"/>
  <c r="Z498" i="2"/>
  <c r="Y498" i="2"/>
  <c r="X498" i="2"/>
  <c r="W498" i="2"/>
  <c r="V498" i="2"/>
  <c r="AA497" i="2"/>
  <c r="Z497" i="2"/>
  <c r="Y497" i="2"/>
  <c r="X497" i="2"/>
  <c r="W497" i="2"/>
  <c r="A497" i="2" s="1"/>
  <c r="V497" i="2"/>
  <c r="AA496" i="2"/>
  <c r="Z496" i="2"/>
  <c r="Y496" i="2"/>
  <c r="X496" i="2"/>
  <c r="W496" i="2"/>
  <c r="V496" i="2"/>
  <c r="AA495" i="2"/>
  <c r="Z495" i="2"/>
  <c r="Y495" i="2"/>
  <c r="X495" i="2"/>
  <c r="W495" i="2"/>
  <c r="V495" i="2"/>
  <c r="AA494" i="2"/>
  <c r="Z494" i="2"/>
  <c r="Y494" i="2"/>
  <c r="X494" i="2"/>
  <c r="W494" i="2"/>
  <c r="V494" i="2"/>
  <c r="AA493" i="2"/>
  <c r="Z493" i="2"/>
  <c r="Y493" i="2"/>
  <c r="X493" i="2"/>
  <c r="W493" i="2"/>
  <c r="V493" i="2"/>
  <c r="AA492" i="2"/>
  <c r="Z492" i="2"/>
  <c r="Y492" i="2"/>
  <c r="X492" i="2"/>
  <c r="W492" i="2"/>
  <c r="V492" i="2"/>
  <c r="AA491" i="2"/>
  <c r="Z491" i="2"/>
  <c r="Y491" i="2"/>
  <c r="X491" i="2"/>
  <c r="W491" i="2"/>
  <c r="V491" i="2"/>
  <c r="AA490" i="2"/>
  <c r="Z490" i="2"/>
  <c r="Y490" i="2"/>
  <c r="X490" i="2"/>
  <c r="W490" i="2"/>
  <c r="V490" i="2"/>
  <c r="A490" i="2"/>
  <c r="AA489" i="2"/>
  <c r="Z489" i="2"/>
  <c r="Y489" i="2"/>
  <c r="X489" i="2"/>
  <c r="W489" i="2"/>
  <c r="V489" i="2"/>
  <c r="AA488" i="2"/>
  <c r="Z488" i="2"/>
  <c r="Y488" i="2"/>
  <c r="X488" i="2"/>
  <c r="W488" i="2"/>
  <c r="V488" i="2"/>
  <c r="AA487" i="2"/>
  <c r="Z487" i="2"/>
  <c r="Y487" i="2"/>
  <c r="X487" i="2"/>
  <c r="W487" i="2"/>
  <c r="V487" i="2"/>
  <c r="AA486" i="2"/>
  <c r="Z486" i="2"/>
  <c r="Y486" i="2"/>
  <c r="X486" i="2"/>
  <c r="W486" i="2"/>
  <c r="V486" i="2"/>
  <c r="AA485" i="2"/>
  <c r="Z485" i="2"/>
  <c r="Y485" i="2"/>
  <c r="X485" i="2"/>
  <c r="W485" i="2"/>
  <c r="V485" i="2"/>
  <c r="AA484" i="2"/>
  <c r="Z484" i="2"/>
  <c r="Y484" i="2"/>
  <c r="X484" i="2"/>
  <c r="W484" i="2"/>
  <c r="V484" i="2"/>
  <c r="AA483" i="2"/>
  <c r="Z483" i="2"/>
  <c r="Y483" i="2"/>
  <c r="X483" i="2"/>
  <c r="W483" i="2"/>
  <c r="V483" i="2"/>
  <c r="AA482" i="2"/>
  <c r="Z482" i="2"/>
  <c r="Y482" i="2"/>
  <c r="X482" i="2"/>
  <c r="W482" i="2"/>
  <c r="V482" i="2"/>
  <c r="AA481" i="2"/>
  <c r="Z481" i="2"/>
  <c r="Y481" i="2"/>
  <c r="X481" i="2"/>
  <c r="W481" i="2"/>
  <c r="V481" i="2"/>
  <c r="AA480" i="2"/>
  <c r="Z480" i="2"/>
  <c r="Y480" i="2"/>
  <c r="X480" i="2"/>
  <c r="W480" i="2"/>
  <c r="V480" i="2"/>
  <c r="AA479" i="2"/>
  <c r="Z479" i="2"/>
  <c r="Y479" i="2"/>
  <c r="X479" i="2"/>
  <c r="W479" i="2"/>
  <c r="V479" i="2"/>
  <c r="AA478" i="2"/>
  <c r="Z478" i="2"/>
  <c r="Y478" i="2"/>
  <c r="X478" i="2"/>
  <c r="W478" i="2"/>
  <c r="V478" i="2"/>
  <c r="AA477" i="2"/>
  <c r="Z477" i="2"/>
  <c r="Y477" i="2"/>
  <c r="X477" i="2"/>
  <c r="W477" i="2"/>
  <c r="V477" i="2"/>
  <c r="AA476" i="2"/>
  <c r="Z476" i="2"/>
  <c r="Y476" i="2"/>
  <c r="X476" i="2"/>
  <c r="W476" i="2"/>
  <c r="V476" i="2"/>
  <c r="AA475" i="2"/>
  <c r="Z475" i="2"/>
  <c r="Y475" i="2"/>
  <c r="X475" i="2"/>
  <c r="W475" i="2"/>
  <c r="V475" i="2"/>
  <c r="AA474" i="2"/>
  <c r="Z474" i="2"/>
  <c r="Y474" i="2"/>
  <c r="X474" i="2"/>
  <c r="W474" i="2"/>
  <c r="V474" i="2"/>
  <c r="AA473" i="2"/>
  <c r="Z473" i="2"/>
  <c r="Y473" i="2"/>
  <c r="X473" i="2"/>
  <c r="W473" i="2"/>
  <c r="V473" i="2"/>
  <c r="AA472" i="2"/>
  <c r="Z472" i="2"/>
  <c r="Y472" i="2"/>
  <c r="X472" i="2"/>
  <c r="W472" i="2"/>
  <c r="V472" i="2"/>
  <c r="AA471" i="2"/>
  <c r="Z471" i="2"/>
  <c r="Y471" i="2"/>
  <c r="X471" i="2"/>
  <c r="W471" i="2"/>
  <c r="V471" i="2"/>
  <c r="AA470" i="2"/>
  <c r="Z470" i="2"/>
  <c r="Y470" i="2"/>
  <c r="X470" i="2"/>
  <c r="W470" i="2"/>
  <c r="V470" i="2"/>
  <c r="AA469" i="2"/>
  <c r="Z469" i="2"/>
  <c r="Y469" i="2"/>
  <c r="X469" i="2"/>
  <c r="W469" i="2"/>
  <c r="V469" i="2"/>
  <c r="AA468" i="2"/>
  <c r="Z468" i="2"/>
  <c r="Y468" i="2"/>
  <c r="X468" i="2"/>
  <c r="W468" i="2"/>
  <c r="V468" i="2"/>
  <c r="AA467" i="2"/>
  <c r="Z467" i="2"/>
  <c r="Y467" i="2"/>
  <c r="X467" i="2"/>
  <c r="W467" i="2"/>
  <c r="V467" i="2"/>
  <c r="AA466" i="2"/>
  <c r="Z466" i="2"/>
  <c r="Y466" i="2"/>
  <c r="X466" i="2"/>
  <c r="W466" i="2"/>
  <c r="V466" i="2"/>
  <c r="A466" i="2"/>
  <c r="AA465" i="2"/>
  <c r="Z465" i="2"/>
  <c r="Y465" i="2"/>
  <c r="X465" i="2"/>
  <c r="W465" i="2"/>
  <c r="V465" i="2"/>
  <c r="AA464" i="2"/>
  <c r="Z464" i="2"/>
  <c r="Y464" i="2"/>
  <c r="X464" i="2"/>
  <c r="W464" i="2"/>
  <c r="V464" i="2"/>
  <c r="AA463" i="2"/>
  <c r="Z463" i="2"/>
  <c r="Y463" i="2"/>
  <c r="X463" i="2"/>
  <c r="W463" i="2"/>
  <c r="V463" i="2"/>
  <c r="AA462" i="2"/>
  <c r="Z462" i="2"/>
  <c r="Y462" i="2"/>
  <c r="X462" i="2"/>
  <c r="W462" i="2"/>
  <c r="V462" i="2"/>
  <c r="AA461" i="2"/>
  <c r="Z461" i="2"/>
  <c r="Y461" i="2"/>
  <c r="X461" i="2"/>
  <c r="W461" i="2"/>
  <c r="V461" i="2"/>
  <c r="AA460" i="2"/>
  <c r="Z460" i="2"/>
  <c r="Y460" i="2"/>
  <c r="X460" i="2"/>
  <c r="W460" i="2"/>
  <c r="V460" i="2"/>
  <c r="AA459" i="2"/>
  <c r="Z459" i="2"/>
  <c r="Y459" i="2"/>
  <c r="X459" i="2"/>
  <c r="W459" i="2"/>
  <c r="V459" i="2"/>
  <c r="AA458" i="2"/>
  <c r="Z458" i="2"/>
  <c r="Y458" i="2"/>
  <c r="X458" i="2"/>
  <c r="W458" i="2"/>
  <c r="V458" i="2"/>
  <c r="AA457" i="2"/>
  <c r="Z457" i="2"/>
  <c r="Y457" i="2"/>
  <c r="X457" i="2"/>
  <c r="W457" i="2"/>
  <c r="V457" i="2"/>
  <c r="AA456" i="2"/>
  <c r="Z456" i="2"/>
  <c r="Y456" i="2"/>
  <c r="X456" i="2"/>
  <c r="W456" i="2"/>
  <c r="V456" i="2"/>
  <c r="AA455" i="2"/>
  <c r="Z455" i="2"/>
  <c r="Y455" i="2"/>
  <c r="X455" i="2"/>
  <c r="W455" i="2"/>
  <c r="V455" i="2"/>
  <c r="AA454" i="2"/>
  <c r="Z454" i="2"/>
  <c r="Y454" i="2"/>
  <c r="X454" i="2"/>
  <c r="W454" i="2"/>
  <c r="V454" i="2"/>
  <c r="AA453" i="2"/>
  <c r="Z453" i="2"/>
  <c r="Y453" i="2"/>
  <c r="X453" i="2"/>
  <c r="W453" i="2"/>
  <c r="V453" i="2"/>
  <c r="AA452" i="2"/>
  <c r="Z452" i="2"/>
  <c r="Y452" i="2"/>
  <c r="X452" i="2"/>
  <c r="W452" i="2"/>
  <c r="V452" i="2"/>
  <c r="AA451" i="2"/>
  <c r="Z451" i="2"/>
  <c r="Y451" i="2"/>
  <c r="X451" i="2"/>
  <c r="W451" i="2"/>
  <c r="V451" i="2"/>
  <c r="AA450" i="2"/>
  <c r="Z450" i="2"/>
  <c r="Y450" i="2"/>
  <c r="X450" i="2"/>
  <c r="W450" i="2"/>
  <c r="V450" i="2"/>
  <c r="AA449" i="2"/>
  <c r="Z449" i="2"/>
  <c r="Y449" i="2"/>
  <c r="X449" i="2"/>
  <c r="W449" i="2"/>
  <c r="V449" i="2"/>
  <c r="AA448" i="2"/>
  <c r="Z448" i="2"/>
  <c r="Y448" i="2"/>
  <c r="X448" i="2"/>
  <c r="W448" i="2"/>
  <c r="V448" i="2"/>
  <c r="AA447" i="2"/>
  <c r="Z447" i="2"/>
  <c r="Y447" i="2"/>
  <c r="X447" i="2"/>
  <c r="W447" i="2"/>
  <c r="V447" i="2"/>
  <c r="AA446" i="2"/>
  <c r="Z446" i="2"/>
  <c r="Y446" i="2"/>
  <c r="X446" i="2"/>
  <c r="W446" i="2"/>
  <c r="V446" i="2"/>
  <c r="AA445" i="2"/>
  <c r="Z445" i="2"/>
  <c r="Y445" i="2"/>
  <c r="X445" i="2"/>
  <c r="W445" i="2"/>
  <c r="V445" i="2"/>
  <c r="AA444" i="2"/>
  <c r="Z444" i="2"/>
  <c r="Y444" i="2"/>
  <c r="X444" i="2"/>
  <c r="W444" i="2"/>
  <c r="V444" i="2"/>
  <c r="AA443" i="2"/>
  <c r="Z443" i="2"/>
  <c r="Y443" i="2"/>
  <c r="X443" i="2"/>
  <c r="W443" i="2"/>
  <c r="V443" i="2"/>
  <c r="AA442" i="2"/>
  <c r="Z442" i="2"/>
  <c r="Y442" i="2"/>
  <c r="X442" i="2"/>
  <c r="W442" i="2"/>
  <c r="V442" i="2"/>
  <c r="AA441" i="2"/>
  <c r="Z441" i="2"/>
  <c r="Y441" i="2"/>
  <c r="X441" i="2"/>
  <c r="W441" i="2"/>
  <c r="V441" i="2"/>
  <c r="AA440" i="2"/>
  <c r="Z440" i="2"/>
  <c r="Y440" i="2"/>
  <c r="X440" i="2"/>
  <c r="W440" i="2"/>
  <c r="V440" i="2"/>
  <c r="AA439" i="2"/>
  <c r="Z439" i="2"/>
  <c r="Y439" i="2"/>
  <c r="X439" i="2"/>
  <c r="W439" i="2"/>
  <c r="V439" i="2"/>
  <c r="AA438" i="2"/>
  <c r="Z438" i="2"/>
  <c r="Y438" i="2"/>
  <c r="X438" i="2"/>
  <c r="W438" i="2"/>
  <c r="V438" i="2"/>
  <c r="A438" i="2" s="1"/>
  <c r="AA437" i="2"/>
  <c r="Z437" i="2"/>
  <c r="Y437" i="2"/>
  <c r="X437" i="2"/>
  <c r="W437" i="2"/>
  <c r="V437" i="2"/>
  <c r="AA436" i="2"/>
  <c r="Z436" i="2"/>
  <c r="Y436" i="2"/>
  <c r="X436" i="2"/>
  <c r="W436" i="2"/>
  <c r="V436" i="2"/>
  <c r="AA435" i="2"/>
  <c r="Z435" i="2"/>
  <c r="Y435" i="2"/>
  <c r="X435" i="2"/>
  <c r="W435" i="2"/>
  <c r="V435" i="2"/>
  <c r="AA434" i="2"/>
  <c r="Z434" i="2"/>
  <c r="Y434" i="2"/>
  <c r="X434" i="2"/>
  <c r="W434" i="2"/>
  <c r="V434" i="2"/>
  <c r="AA433" i="2"/>
  <c r="Z433" i="2"/>
  <c r="Y433" i="2"/>
  <c r="X433" i="2"/>
  <c r="W433" i="2"/>
  <c r="V433" i="2"/>
  <c r="AA432" i="2"/>
  <c r="Z432" i="2"/>
  <c r="Y432" i="2"/>
  <c r="X432" i="2"/>
  <c r="W432" i="2"/>
  <c r="V432" i="2"/>
  <c r="AA431" i="2"/>
  <c r="Z431" i="2"/>
  <c r="Y431" i="2"/>
  <c r="X431" i="2"/>
  <c r="W431" i="2"/>
  <c r="V431" i="2"/>
  <c r="AA430" i="2"/>
  <c r="Z430" i="2"/>
  <c r="Y430" i="2"/>
  <c r="X430" i="2"/>
  <c r="W430" i="2"/>
  <c r="V430" i="2"/>
  <c r="AA429" i="2"/>
  <c r="Z429" i="2"/>
  <c r="Y429" i="2"/>
  <c r="X429" i="2"/>
  <c r="W429" i="2"/>
  <c r="V429" i="2"/>
  <c r="AA428" i="2"/>
  <c r="Z428" i="2"/>
  <c r="Y428" i="2"/>
  <c r="X428" i="2"/>
  <c r="W428" i="2"/>
  <c r="V428" i="2"/>
  <c r="AA427" i="2"/>
  <c r="Z427" i="2"/>
  <c r="Y427" i="2"/>
  <c r="X427" i="2"/>
  <c r="W427" i="2"/>
  <c r="V427" i="2"/>
  <c r="AA426" i="2"/>
  <c r="Z426" i="2"/>
  <c r="Y426" i="2"/>
  <c r="X426" i="2"/>
  <c r="W426" i="2"/>
  <c r="V426" i="2"/>
  <c r="AA425" i="2"/>
  <c r="Z425" i="2"/>
  <c r="Y425" i="2"/>
  <c r="X425" i="2"/>
  <c r="W425" i="2"/>
  <c r="V425" i="2"/>
  <c r="AA424" i="2"/>
  <c r="Z424" i="2"/>
  <c r="Y424" i="2"/>
  <c r="X424" i="2"/>
  <c r="W424" i="2"/>
  <c r="V424" i="2"/>
  <c r="AA423" i="2"/>
  <c r="Z423" i="2"/>
  <c r="Y423" i="2"/>
  <c r="X423" i="2"/>
  <c r="W423" i="2"/>
  <c r="V423" i="2"/>
  <c r="AA422" i="2"/>
  <c r="Z422" i="2"/>
  <c r="Y422" i="2"/>
  <c r="X422" i="2"/>
  <c r="W422" i="2"/>
  <c r="V422" i="2"/>
  <c r="A422" i="2" s="1"/>
  <c r="AA421" i="2"/>
  <c r="Z421" i="2"/>
  <c r="Y421" i="2"/>
  <c r="X421" i="2"/>
  <c r="W421" i="2"/>
  <c r="V421" i="2"/>
  <c r="AA420" i="2"/>
  <c r="Z420" i="2"/>
  <c r="Y420" i="2"/>
  <c r="X420" i="2"/>
  <c r="W420" i="2"/>
  <c r="V420" i="2"/>
  <c r="AA419" i="2"/>
  <c r="Z419" i="2"/>
  <c r="Y419" i="2"/>
  <c r="X419" i="2"/>
  <c r="W419" i="2"/>
  <c r="V419" i="2"/>
  <c r="A419" i="2" s="1"/>
  <c r="AA418" i="2"/>
  <c r="Z418" i="2"/>
  <c r="Y418" i="2"/>
  <c r="X418" i="2"/>
  <c r="W418" i="2"/>
  <c r="A418" i="2" s="1"/>
  <c r="V418" i="2"/>
  <c r="AA417" i="2"/>
  <c r="Z417" i="2"/>
  <c r="Y417" i="2"/>
  <c r="X417" i="2"/>
  <c r="W417" i="2"/>
  <c r="V417" i="2"/>
  <c r="AA416" i="2"/>
  <c r="Z416" i="2"/>
  <c r="Y416" i="2"/>
  <c r="X416" i="2"/>
  <c r="W416" i="2"/>
  <c r="V416" i="2"/>
  <c r="AA415" i="2"/>
  <c r="Z415" i="2"/>
  <c r="Y415" i="2"/>
  <c r="X415" i="2"/>
  <c r="W415" i="2"/>
  <c r="V415" i="2"/>
  <c r="A415" i="2" s="1"/>
  <c r="AA414" i="2"/>
  <c r="Z414" i="2"/>
  <c r="Y414" i="2"/>
  <c r="X414" i="2"/>
  <c r="W414" i="2"/>
  <c r="V414" i="2"/>
  <c r="AA413" i="2"/>
  <c r="Z413" i="2"/>
  <c r="Y413" i="2"/>
  <c r="X413" i="2"/>
  <c r="W413" i="2"/>
  <c r="V413" i="2"/>
  <c r="AA412" i="2"/>
  <c r="Z412" i="2"/>
  <c r="Y412" i="2"/>
  <c r="X412" i="2"/>
  <c r="W412" i="2"/>
  <c r="V412" i="2"/>
  <c r="AA411" i="2"/>
  <c r="Z411" i="2"/>
  <c r="Y411" i="2"/>
  <c r="X411" i="2"/>
  <c r="W411" i="2"/>
  <c r="V411" i="2"/>
  <c r="A411" i="2"/>
  <c r="AA410" i="2"/>
  <c r="Z410" i="2"/>
  <c r="Y410" i="2"/>
  <c r="X410" i="2"/>
  <c r="W410" i="2"/>
  <c r="V410" i="2"/>
  <c r="AA409" i="2"/>
  <c r="Z409" i="2"/>
  <c r="Y409" i="2"/>
  <c r="X409" i="2"/>
  <c r="W409" i="2"/>
  <c r="V409" i="2"/>
  <c r="AA408" i="2"/>
  <c r="Z408" i="2"/>
  <c r="Y408" i="2"/>
  <c r="X408" i="2"/>
  <c r="W408" i="2"/>
  <c r="V408" i="2"/>
  <c r="AA407" i="2"/>
  <c r="Z407" i="2"/>
  <c r="Y407" i="2"/>
  <c r="X407" i="2"/>
  <c r="W407" i="2"/>
  <c r="V407" i="2"/>
  <c r="AA406" i="2"/>
  <c r="Z406" i="2"/>
  <c r="Y406" i="2"/>
  <c r="X406" i="2"/>
  <c r="W406" i="2"/>
  <c r="V406" i="2"/>
  <c r="AA405" i="2"/>
  <c r="Z405" i="2"/>
  <c r="Y405" i="2"/>
  <c r="X405" i="2"/>
  <c r="W405" i="2"/>
  <c r="V405" i="2"/>
  <c r="AA404" i="2"/>
  <c r="Z404" i="2"/>
  <c r="Y404" i="2"/>
  <c r="X404" i="2"/>
  <c r="W404" i="2"/>
  <c r="V404" i="2"/>
  <c r="AA403" i="2"/>
  <c r="Z403" i="2"/>
  <c r="Y403" i="2"/>
  <c r="X403" i="2"/>
  <c r="W403" i="2"/>
  <c r="V403" i="2"/>
  <c r="A403" i="2"/>
  <c r="AA402" i="2"/>
  <c r="Z402" i="2"/>
  <c r="Y402" i="2"/>
  <c r="X402" i="2"/>
  <c r="W402" i="2"/>
  <c r="V402" i="2"/>
  <c r="AA401" i="2"/>
  <c r="Z401" i="2"/>
  <c r="Y401" i="2"/>
  <c r="X401" i="2"/>
  <c r="W401" i="2"/>
  <c r="V401" i="2"/>
  <c r="AA400" i="2"/>
  <c r="Z400" i="2"/>
  <c r="Y400" i="2"/>
  <c r="X400" i="2"/>
  <c r="W400" i="2"/>
  <c r="V400" i="2"/>
  <c r="AA399" i="2"/>
  <c r="Z399" i="2"/>
  <c r="Y399" i="2"/>
  <c r="X399" i="2"/>
  <c r="W399" i="2"/>
  <c r="V399" i="2"/>
  <c r="AA398" i="2"/>
  <c r="Z398" i="2"/>
  <c r="Y398" i="2"/>
  <c r="X398" i="2"/>
  <c r="W398" i="2"/>
  <c r="V398" i="2"/>
  <c r="AA397" i="2"/>
  <c r="Z397" i="2"/>
  <c r="Y397" i="2"/>
  <c r="X397" i="2"/>
  <c r="W397" i="2"/>
  <c r="V397" i="2"/>
  <c r="AA396" i="2"/>
  <c r="Z396" i="2"/>
  <c r="Y396" i="2"/>
  <c r="X396" i="2"/>
  <c r="W396" i="2"/>
  <c r="V396" i="2"/>
  <c r="AA395" i="2"/>
  <c r="Z395" i="2"/>
  <c r="Y395" i="2"/>
  <c r="X395" i="2"/>
  <c r="W395" i="2"/>
  <c r="V395" i="2"/>
  <c r="AA394" i="2"/>
  <c r="Z394" i="2"/>
  <c r="Y394" i="2"/>
  <c r="X394" i="2"/>
  <c r="W394" i="2"/>
  <c r="V394" i="2"/>
  <c r="AA393" i="2"/>
  <c r="Z393" i="2"/>
  <c r="Y393" i="2"/>
  <c r="X393" i="2"/>
  <c r="W393" i="2"/>
  <c r="V393" i="2"/>
  <c r="AA392" i="2"/>
  <c r="Z392" i="2"/>
  <c r="Y392" i="2"/>
  <c r="X392" i="2"/>
  <c r="W392" i="2"/>
  <c r="V392" i="2"/>
  <c r="AA391" i="2"/>
  <c r="Z391" i="2"/>
  <c r="Y391" i="2"/>
  <c r="X391" i="2"/>
  <c r="W391" i="2"/>
  <c r="V391" i="2"/>
  <c r="AA390" i="2"/>
  <c r="Z390" i="2"/>
  <c r="Y390" i="2"/>
  <c r="X390" i="2"/>
  <c r="W390" i="2"/>
  <c r="V390" i="2"/>
  <c r="AA389" i="2"/>
  <c r="Z389" i="2"/>
  <c r="Y389" i="2"/>
  <c r="X389" i="2"/>
  <c r="W389" i="2"/>
  <c r="V389" i="2"/>
  <c r="AA388" i="2"/>
  <c r="Z388" i="2"/>
  <c r="Y388" i="2"/>
  <c r="X388" i="2"/>
  <c r="W388" i="2"/>
  <c r="V388" i="2"/>
  <c r="AA387" i="2"/>
  <c r="Z387" i="2"/>
  <c r="Y387" i="2"/>
  <c r="X387" i="2"/>
  <c r="W387" i="2"/>
  <c r="V387" i="2"/>
  <c r="AA386" i="2"/>
  <c r="Z386" i="2"/>
  <c r="Y386" i="2"/>
  <c r="X386" i="2"/>
  <c r="W386" i="2"/>
  <c r="V386" i="2"/>
  <c r="AA385" i="2"/>
  <c r="Z385" i="2"/>
  <c r="Y385" i="2"/>
  <c r="X385" i="2"/>
  <c r="W385" i="2"/>
  <c r="V385" i="2"/>
  <c r="AA384" i="2"/>
  <c r="Z384" i="2"/>
  <c r="Y384" i="2"/>
  <c r="X384" i="2"/>
  <c r="W384" i="2"/>
  <c r="V384" i="2"/>
  <c r="AA383" i="2"/>
  <c r="Z383" i="2"/>
  <c r="Y383" i="2"/>
  <c r="X383" i="2"/>
  <c r="W383" i="2"/>
  <c r="V383" i="2"/>
  <c r="AA382" i="2"/>
  <c r="Z382" i="2"/>
  <c r="Y382" i="2"/>
  <c r="X382" i="2"/>
  <c r="W382" i="2"/>
  <c r="V382" i="2"/>
  <c r="AA381" i="2"/>
  <c r="Z381" i="2"/>
  <c r="Y381" i="2"/>
  <c r="X381" i="2"/>
  <c r="W381" i="2"/>
  <c r="V381" i="2"/>
  <c r="AA380" i="2"/>
  <c r="Z380" i="2"/>
  <c r="Y380" i="2"/>
  <c r="X380" i="2"/>
  <c r="W380" i="2"/>
  <c r="V380" i="2"/>
  <c r="AA379" i="2"/>
  <c r="Z379" i="2"/>
  <c r="Y379" i="2"/>
  <c r="X379" i="2"/>
  <c r="W379" i="2"/>
  <c r="V379" i="2"/>
  <c r="AA378" i="2"/>
  <c r="Z378" i="2"/>
  <c r="Y378" i="2"/>
  <c r="X378" i="2"/>
  <c r="W378" i="2"/>
  <c r="V378" i="2"/>
  <c r="AA377" i="2"/>
  <c r="Z377" i="2"/>
  <c r="Y377" i="2"/>
  <c r="X377" i="2"/>
  <c r="W377" i="2"/>
  <c r="V377" i="2"/>
  <c r="AA376" i="2"/>
  <c r="Z376" i="2"/>
  <c r="Y376" i="2"/>
  <c r="X376" i="2"/>
  <c r="W376" i="2"/>
  <c r="V376" i="2"/>
  <c r="AA375" i="2"/>
  <c r="Z375" i="2"/>
  <c r="Y375" i="2"/>
  <c r="X375" i="2"/>
  <c r="W375" i="2"/>
  <c r="V375" i="2"/>
  <c r="AA374" i="2"/>
  <c r="Z374" i="2"/>
  <c r="Y374" i="2"/>
  <c r="X374" i="2"/>
  <c r="W374" i="2"/>
  <c r="V374" i="2"/>
  <c r="AA373" i="2"/>
  <c r="Z373" i="2"/>
  <c r="Y373" i="2"/>
  <c r="X373" i="2"/>
  <c r="W373" i="2"/>
  <c r="V373" i="2"/>
  <c r="AA372" i="2"/>
  <c r="Z372" i="2"/>
  <c r="Y372" i="2"/>
  <c r="X372" i="2"/>
  <c r="W372" i="2"/>
  <c r="V372" i="2"/>
  <c r="AA371" i="2"/>
  <c r="Z371" i="2"/>
  <c r="Y371" i="2"/>
  <c r="X371" i="2"/>
  <c r="W371" i="2"/>
  <c r="V371" i="2"/>
  <c r="AA370" i="2"/>
  <c r="Z370" i="2"/>
  <c r="Y370" i="2"/>
  <c r="X370" i="2"/>
  <c r="W370" i="2"/>
  <c r="V370" i="2"/>
  <c r="AA369" i="2"/>
  <c r="Z369" i="2"/>
  <c r="Y369" i="2"/>
  <c r="X369" i="2"/>
  <c r="W369" i="2"/>
  <c r="V369" i="2"/>
  <c r="AA368" i="2"/>
  <c r="Z368" i="2"/>
  <c r="Y368" i="2"/>
  <c r="X368" i="2"/>
  <c r="W368" i="2"/>
  <c r="V368" i="2"/>
  <c r="AA367" i="2"/>
  <c r="Z367" i="2"/>
  <c r="Y367" i="2"/>
  <c r="X367" i="2"/>
  <c r="W367" i="2"/>
  <c r="V367" i="2"/>
  <c r="AA366" i="2"/>
  <c r="Z366" i="2"/>
  <c r="Y366" i="2"/>
  <c r="X366" i="2"/>
  <c r="W366" i="2"/>
  <c r="V366" i="2"/>
  <c r="AA365" i="2"/>
  <c r="Z365" i="2"/>
  <c r="Y365" i="2"/>
  <c r="X365" i="2"/>
  <c r="W365" i="2"/>
  <c r="V365" i="2"/>
  <c r="AA364" i="2"/>
  <c r="Z364" i="2"/>
  <c r="Y364" i="2"/>
  <c r="X364" i="2"/>
  <c r="W364" i="2"/>
  <c r="V364" i="2"/>
  <c r="AA363" i="2"/>
  <c r="Z363" i="2"/>
  <c r="Y363" i="2"/>
  <c r="X363" i="2"/>
  <c r="W363" i="2"/>
  <c r="V363" i="2"/>
  <c r="AA362" i="2"/>
  <c r="Z362" i="2"/>
  <c r="Y362" i="2"/>
  <c r="X362" i="2"/>
  <c r="W362" i="2"/>
  <c r="V362" i="2"/>
  <c r="AA361" i="2"/>
  <c r="Z361" i="2"/>
  <c r="Y361" i="2"/>
  <c r="X361" i="2"/>
  <c r="W361" i="2"/>
  <c r="V361" i="2"/>
  <c r="AA360" i="2"/>
  <c r="Z360" i="2"/>
  <c r="Y360" i="2"/>
  <c r="X360" i="2"/>
  <c r="W360" i="2"/>
  <c r="V360" i="2"/>
  <c r="AA359" i="2"/>
  <c r="Z359" i="2"/>
  <c r="Y359" i="2"/>
  <c r="X359" i="2"/>
  <c r="W359" i="2"/>
  <c r="V359" i="2"/>
  <c r="AA358" i="2"/>
  <c r="Z358" i="2"/>
  <c r="Y358" i="2"/>
  <c r="X358" i="2"/>
  <c r="W358" i="2"/>
  <c r="V358" i="2"/>
  <c r="AA357" i="2"/>
  <c r="Z357" i="2"/>
  <c r="Y357" i="2"/>
  <c r="X357" i="2"/>
  <c r="W357" i="2"/>
  <c r="V357" i="2"/>
  <c r="AA356" i="2"/>
  <c r="Z356" i="2"/>
  <c r="Y356" i="2"/>
  <c r="X356" i="2"/>
  <c r="W356" i="2"/>
  <c r="V356" i="2"/>
  <c r="AA355" i="2"/>
  <c r="Z355" i="2"/>
  <c r="Y355" i="2"/>
  <c r="X355" i="2"/>
  <c r="W355" i="2"/>
  <c r="V355" i="2"/>
  <c r="AA354" i="2"/>
  <c r="Z354" i="2"/>
  <c r="Y354" i="2"/>
  <c r="X354" i="2"/>
  <c r="W354" i="2"/>
  <c r="V354" i="2"/>
  <c r="AA353" i="2"/>
  <c r="Z353" i="2"/>
  <c r="Y353" i="2"/>
  <c r="X353" i="2"/>
  <c r="W353" i="2"/>
  <c r="V353" i="2"/>
  <c r="AA352" i="2"/>
  <c r="Z352" i="2"/>
  <c r="Y352" i="2"/>
  <c r="X352" i="2"/>
  <c r="W352" i="2"/>
  <c r="V352" i="2"/>
  <c r="AA351" i="2"/>
  <c r="Z351" i="2"/>
  <c r="Y351" i="2"/>
  <c r="X351" i="2"/>
  <c r="W351" i="2"/>
  <c r="V351" i="2"/>
  <c r="AA350" i="2"/>
  <c r="Z350" i="2"/>
  <c r="Y350" i="2"/>
  <c r="X350" i="2"/>
  <c r="W350" i="2"/>
  <c r="V350" i="2"/>
  <c r="AA349" i="2"/>
  <c r="Z349" i="2"/>
  <c r="Y349" i="2"/>
  <c r="X349" i="2"/>
  <c r="W349" i="2"/>
  <c r="V349" i="2"/>
  <c r="AA348" i="2"/>
  <c r="Z348" i="2"/>
  <c r="Y348" i="2"/>
  <c r="X348" i="2"/>
  <c r="W348" i="2"/>
  <c r="V348" i="2"/>
  <c r="AA347" i="2"/>
  <c r="Z347" i="2"/>
  <c r="Y347" i="2"/>
  <c r="X347" i="2"/>
  <c r="W347" i="2"/>
  <c r="V347" i="2"/>
  <c r="AA346" i="2"/>
  <c r="Z346" i="2"/>
  <c r="Y346" i="2"/>
  <c r="X346" i="2"/>
  <c r="W346" i="2"/>
  <c r="V346" i="2"/>
  <c r="AA345" i="2"/>
  <c r="Z345" i="2"/>
  <c r="Y345" i="2"/>
  <c r="X345" i="2"/>
  <c r="W345" i="2"/>
  <c r="V345" i="2"/>
  <c r="AA344" i="2"/>
  <c r="Z344" i="2"/>
  <c r="Y344" i="2"/>
  <c r="X344" i="2"/>
  <c r="W344" i="2"/>
  <c r="V344" i="2"/>
  <c r="AA343" i="2"/>
  <c r="Z343" i="2"/>
  <c r="Y343" i="2"/>
  <c r="X343" i="2"/>
  <c r="W343" i="2"/>
  <c r="V343" i="2"/>
  <c r="AA342" i="2"/>
  <c r="Z342" i="2"/>
  <c r="Y342" i="2"/>
  <c r="X342" i="2"/>
  <c r="W342" i="2"/>
  <c r="V342" i="2"/>
  <c r="AA341" i="2"/>
  <c r="Z341" i="2"/>
  <c r="Y341" i="2"/>
  <c r="X341" i="2"/>
  <c r="W341" i="2"/>
  <c r="V341" i="2"/>
  <c r="AA340" i="2"/>
  <c r="Z340" i="2"/>
  <c r="Y340" i="2"/>
  <c r="X340" i="2"/>
  <c r="W340" i="2"/>
  <c r="V340" i="2"/>
  <c r="AA339" i="2"/>
  <c r="Z339" i="2"/>
  <c r="Y339" i="2"/>
  <c r="X339" i="2"/>
  <c r="W339" i="2"/>
  <c r="V339" i="2"/>
  <c r="AA338" i="2"/>
  <c r="Z338" i="2"/>
  <c r="Y338" i="2"/>
  <c r="X338" i="2"/>
  <c r="W338" i="2"/>
  <c r="V338" i="2"/>
  <c r="AA337" i="2"/>
  <c r="Z337" i="2"/>
  <c r="Y337" i="2"/>
  <c r="X337" i="2"/>
  <c r="W337" i="2"/>
  <c r="V337" i="2"/>
  <c r="AA336" i="2"/>
  <c r="Z336" i="2"/>
  <c r="Y336" i="2"/>
  <c r="X336" i="2"/>
  <c r="W336" i="2"/>
  <c r="V336" i="2"/>
  <c r="A336" i="2"/>
  <c r="AA335" i="2"/>
  <c r="Z335" i="2"/>
  <c r="Y335" i="2"/>
  <c r="X335" i="2"/>
  <c r="W335" i="2"/>
  <c r="V335" i="2"/>
  <c r="AA334" i="2"/>
  <c r="Z334" i="2"/>
  <c r="Y334" i="2"/>
  <c r="X334" i="2"/>
  <c r="W334" i="2"/>
  <c r="V334" i="2"/>
  <c r="AA333" i="2"/>
  <c r="Z333" i="2"/>
  <c r="Y333" i="2"/>
  <c r="X333" i="2"/>
  <c r="W333" i="2"/>
  <c r="V333" i="2"/>
  <c r="AA332" i="2"/>
  <c r="Z332" i="2"/>
  <c r="Y332" i="2"/>
  <c r="X332" i="2"/>
  <c r="W332" i="2"/>
  <c r="V332" i="2"/>
  <c r="A332" i="2" s="1"/>
  <c r="AA331" i="2"/>
  <c r="Z331" i="2"/>
  <c r="Y331" i="2"/>
  <c r="X331" i="2"/>
  <c r="W331" i="2"/>
  <c r="V331" i="2"/>
  <c r="AA330" i="2"/>
  <c r="Z330" i="2"/>
  <c r="Y330" i="2"/>
  <c r="X330" i="2"/>
  <c r="W330" i="2"/>
  <c r="V330" i="2"/>
  <c r="AA329" i="2"/>
  <c r="Z329" i="2"/>
  <c r="Y329" i="2"/>
  <c r="X329" i="2"/>
  <c r="W329" i="2"/>
  <c r="V329" i="2"/>
  <c r="AA328" i="2"/>
  <c r="Z328" i="2"/>
  <c r="Y328" i="2"/>
  <c r="X328" i="2"/>
  <c r="W328" i="2"/>
  <c r="V328" i="2"/>
  <c r="AA327" i="2"/>
  <c r="Z327" i="2"/>
  <c r="Y327" i="2"/>
  <c r="X327" i="2"/>
  <c r="W327" i="2"/>
  <c r="V327" i="2"/>
  <c r="AA326" i="2"/>
  <c r="Z326" i="2"/>
  <c r="Y326" i="2"/>
  <c r="X326" i="2"/>
  <c r="W326" i="2"/>
  <c r="V326" i="2"/>
  <c r="AA325" i="2"/>
  <c r="Z325" i="2"/>
  <c r="Y325" i="2"/>
  <c r="X325" i="2"/>
  <c r="W325" i="2"/>
  <c r="V325" i="2"/>
  <c r="AA324" i="2"/>
  <c r="Z324" i="2"/>
  <c r="Y324" i="2"/>
  <c r="X324" i="2"/>
  <c r="W324" i="2"/>
  <c r="V324" i="2"/>
  <c r="AA323" i="2"/>
  <c r="Z323" i="2"/>
  <c r="Y323" i="2"/>
  <c r="X323" i="2"/>
  <c r="W323" i="2"/>
  <c r="V323" i="2"/>
  <c r="AA322" i="2"/>
  <c r="Z322" i="2"/>
  <c r="Y322" i="2"/>
  <c r="X322" i="2"/>
  <c r="W322" i="2"/>
  <c r="V322" i="2"/>
  <c r="AA321" i="2"/>
  <c r="Z321" i="2"/>
  <c r="Y321" i="2"/>
  <c r="X321" i="2"/>
  <c r="W321" i="2"/>
  <c r="V321" i="2"/>
  <c r="AA320" i="2"/>
  <c r="Z320" i="2"/>
  <c r="Y320" i="2"/>
  <c r="X320" i="2"/>
  <c r="W320" i="2"/>
  <c r="V320" i="2"/>
  <c r="AA319" i="2"/>
  <c r="Z319" i="2"/>
  <c r="Y319" i="2"/>
  <c r="X319" i="2"/>
  <c r="W319" i="2"/>
  <c r="V319" i="2"/>
  <c r="AA318" i="2"/>
  <c r="Z318" i="2"/>
  <c r="Y318" i="2"/>
  <c r="X318" i="2"/>
  <c r="W318" i="2"/>
  <c r="V318" i="2"/>
  <c r="AA317" i="2"/>
  <c r="Z317" i="2"/>
  <c r="Y317" i="2"/>
  <c r="X317" i="2"/>
  <c r="W317" i="2"/>
  <c r="V317" i="2"/>
  <c r="AA316" i="2"/>
  <c r="Z316" i="2"/>
  <c r="Y316" i="2"/>
  <c r="X316" i="2"/>
  <c r="W316" i="2"/>
  <c r="V316" i="2"/>
  <c r="AA315" i="2"/>
  <c r="Z315" i="2"/>
  <c r="Y315" i="2"/>
  <c r="X315" i="2"/>
  <c r="W315" i="2"/>
  <c r="V315" i="2"/>
  <c r="AA314" i="2"/>
  <c r="Z314" i="2"/>
  <c r="Y314" i="2"/>
  <c r="X314" i="2"/>
  <c r="W314" i="2"/>
  <c r="V314" i="2"/>
  <c r="AA313" i="2"/>
  <c r="Z313" i="2"/>
  <c r="Y313" i="2"/>
  <c r="X313" i="2"/>
  <c r="W313" i="2"/>
  <c r="V313" i="2"/>
  <c r="AA312" i="2"/>
  <c r="Z312" i="2"/>
  <c r="Y312" i="2"/>
  <c r="X312" i="2"/>
  <c r="W312" i="2"/>
  <c r="V312" i="2"/>
  <c r="AA311" i="2"/>
  <c r="Z311" i="2"/>
  <c r="Y311" i="2"/>
  <c r="X311" i="2"/>
  <c r="W311" i="2"/>
  <c r="V311" i="2"/>
  <c r="AA310" i="2"/>
  <c r="Z310" i="2"/>
  <c r="Y310" i="2"/>
  <c r="X310" i="2"/>
  <c r="W310" i="2"/>
  <c r="V310" i="2"/>
  <c r="AA309" i="2"/>
  <c r="Z309" i="2"/>
  <c r="Y309" i="2"/>
  <c r="X309" i="2"/>
  <c r="W309" i="2"/>
  <c r="V309" i="2"/>
  <c r="AA308" i="2"/>
  <c r="Z308" i="2"/>
  <c r="Y308" i="2"/>
  <c r="X308" i="2"/>
  <c r="W308" i="2"/>
  <c r="V308" i="2"/>
  <c r="A308" i="2"/>
  <c r="AA307" i="2"/>
  <c r="Z307" i="2"/>
  <c r="Y307" i="2"/>
  <c r="X307" i="2"/>
  <c r="W307" i="2"/>
  <c r="V307" i="2"/>
  <c r="AA306" i="2"/>
  <c r="Z306" i="2"/>
  <c r="Y306" i="2"/>
  <c r="X306" i="2"/>
  <c r="W306" i="2"/>
  <c r="V306" i="2"/>
  <c r="AA305" i="2"/>
  <c r="Z305" i="2"/>
  <c r="Y305" i="2"/>
  <c r="X305" i="2"/>
  <c r="W305" i="2"/>
  <c r="V305" i="2"/>
  <c r="AA304" i="2"/>
  <c r="Z304" i="2"/>
  <c r="Y304" i="2"/>
  <c r="X304" i="2"/>
  <c r="W304" i="2"/>
  <c r="V304" i="2"/>
  <c r="AA303" i="2"/>
  <c r="Z303" i="2"/>
  <c r="Y303" i="2"/>
  <c r="X303" i="2"/>
  <c r="W303" i="2"/>
  <c r="V303" i="2"/>
  <c r="AA302" i="2"/>
  <c r="Z302" i="2"/>
  <c r="Y302" i="2"/>
  <c r="X302" i="2"/>
  <c r="W302" i="2"/>
  <c r="V302" i="2"/>
  <c r="AA301" i="2"/>
  <c r="Z301" i="2"/>
  <c r="Y301" i="2"/>
  <c r="X301" i="2"/>
  <c r="W301" i="2"/>
  <c r="V301" i="2"/>
  <c r="AA300" i="2"/>
  <c r="Z300" i="2"/>
  <c r="Y300" i="2"/>
  <c r="X300" i="2"/>
  <c r="W300" i="2"/>
  <c r="V300" i="2"/>
  <c r="AA299" i="2"/>
  <c r="Z299" i="2"/>
  <c r="Y299" i="2"/>
  <c r="X299" i="2"/>
  <c r="W299" i="2"/>
  <c r="V299" i="2"/>
  <c r="AA298" i="2"/>
  <c r="Z298" i="2"/>
  <c r="Y298" i="2"/>
  <c r="X298" i="2"/>
  <c r="W298" i="2"/>
  <c r="V298" i="2"/>
  <c r="AA297" i="2"/>
  <c r="Z297" i="2"/>
  <c r="Y297" i="2"/>
  <c r="X297" i="2"/>
  <c r="W297" i="2"/>
  <c r="V297" i="2"/>
  <c r="AA296" i="2"/>
  <c r="Z296" i="2"/>
  <c r="Y296" i="2"/>
  <c r="X296" i="2"/>
  <c r="W296" i="2"/>
  <c r="V296" i="2"/>
  <c r="AA295" i="2"/>
  <c r="Z295" i="2"/>
  <c r="Y295" i="2"/>
  <c r="X295" i="2"/>
  <c r="W295" i="2"/>
  <c r="V295" i="2"/>
  <c r="AA294" i="2"/>
  <c r="Z294" i="2"/>
  <c r="Y294" i="2"/>
  <c r="X294" i="2"/>
  <c r="W294" i="2"/>
  <c r="V294" i="2"/>
  <c r="AA293" i="2"/>
  <c r="Z293" i="2"/>
  <c r="Y293" i="2"/>
  <c r="X293" i="2"/>
  <c r="W293" i="2"/>
  <c r="V293" i="2"/>
  <c r="AA292" i="2"/>
  <c r="Z292" i="2"/>
  <c r="Y292" i="2"/>
  <c r="X292" i="2"/>
  <c r="W292" i="2"/>
  <c r="V292" i="2"/>
  <c r="AA291" i="2"/>
  <c r="Z291" i="2"/>
  <c r="Y291" i="2"/>
  <c r="X291" i="2"/>
  <c r="W291" i="2"/>
  <c r="V291" i="2"/>
  <c r="AA290" i="2"/>
  <c r="Z290" i="2"/>
  <c r="Y290" i="2"/>
  <c r="X290" i="2"/>
  <c r="W290" i="2"/>
  <c r="V290" i="2"/>
  <c r="AA289" i="2"/>
  <c r="Z289" i="2"/>
  <c r="Y289" i="2"/>
  <c r="X289" i="2"/>
  <c r="W289" i="2"/>
  <c r="V289" i="2"/>
  <c r="AA288" i="2"/>
  <c r="Z288" i="2"/>
  <c r="Y288" i="2"/>
  <c r="X288" i="2"/>
  <c r="W288" i="2"/>
  <c r="V288" i="2"/>
  <c r="AA287" i="2"/>
  <c r="Z287" i="2"/>
  <c r="Y287" i="2"/>
  <c r="X287" i="2"/>
  <c r="W287" i="2"/>
  <c r="V287" i="2"/>
  <c r="AA286" i="2"/>
  <c r="Z286" i="2"/>
  <c r="Y286" i="2"/>
  <c r="X286" i="2"/>
  <c r="W286" i="2"/>
  <c r="V286" i="2"/>
  <c r="AA285" i="2"/>
  <c r="Z285" i="2"/>
  <c r="Y285" i="2"/>
  <c r="X285" i="2"/>
  <c r="W285" i="2"/>
  <c r="V285" i="2"/>
  <c r="AA284" i="2"/>
  <c r="Z284" i="2"/>
  <c r="Y284" i="2"/>
  <c r="X284" i="2"/>
  <c r="W284" i="2"/>
  <c r="V284" i="2"/>
  <c r="AA283" i="2"/>
  <c r="Z283" i="2"/>
  <c r="Y283" i="2"/>
  <c r="X283" i="2"/>
  <c r="W283" i="2"/>
  <c r="V283" i="2"/>
  <c r="AA282" i="2"/>
  <c r="Z282" i="2"/>
  <c r="Y282" i="2"/>
  <c r="X282" i="2"/>
  <c r="W282" i="2"/>
  <c r="V282" i="2"/>
  <c r="AA281" i="2"/>
  <c r="Z281" i="2"/>
  <c r="Y281" i="2"/>
  <c r="X281" i="2"/>
  <c r="W281" i="2"/>
  <c r="V281" i="2"/>
  <c r="AA280" i="2"/>
  <c r="Z280" i="2"/>
  <c r="Y280" i="2"/>
  <c r="X280" i="2"/>
  <c r="W280" i="2"/>
  <c r="V280" i="2"/>
  <c r="AA279" i="2"/>
  <c r="Z279" i="2"/>
  <c r="Y279" i="2"/>
  <c r="X279" i="2"/>
  <c r="W279" i="2"/>
  <c r="V279" i="2"/>
  <c r="AA278" i="2"/>
  <c r="Z278" i="2"/>
  <c r="Y278" i="2"/>
  <c r="X278" i="2"/>
  <c r="W278" i="2"/>
  <c r="V278" i="2"/>
  <c r="AA277" i="2"/>
  <c r="Z277" i="2"/>
  <c r="Y277" i="2"/>
  <c r="X277" i="2"/>
  <c r="W277" i="2"/>
  <c r="V277" i="2"/>
  <c r="AA276" i="2"/>
  <c r="Z276" i="2"/>
  <c r="Y276" i="2"/>
  <c r="X276" i="2"/>
  <c r="W276" i="2"/>
  <c r="V276" i="2"/>
  <c r="AA275" i="2"/>
  <c r="Z275" i="2"/>
  <c r="Y275" i="2"/>
  <c r="X275" i="2"/>
  <c r="W275" i="2"/>
  <c r="V275" i="2"/>
  <c r="AA274" i="2"/>
  <c r="Z274" i="2"/>
  <c r="Y274" i="2"/>
  <c r="X274" i="2"/>
  <c r="W274" i="2"/>
  <c r="V274" i="2"/>
  <c r="AA273" i="2"/>
  <c r="Z273" i="2"/>
  <c r="Y273" i="2"/>
  <c r="X273" i="2"/>
  <c r="W273" i="2"/>
  <c r="V273" i="2"/>
  <c r="AA272" i="2"/>
  <c r="Z272" i="2"/>
  <c r="Y272" i="2"/>
  <c r="X272" i="2"/>
  <c r="W272" i="2"/>
  <c r="V272" i="2"/>
  <c r="AA271" i="2"/>
  <c r="Z271" i="2"/>
  <c r="Y271" i="2"/>
  <c r="X271" i="2"/>
  <c r="W271" i="2"/>
  <c r="V271" i="2"/>
  <c r="AA270" i="2"/>
  <c r="Z270" i="2"/>
  <c r="Y270" i="2"/>
  <c r="X270" i="2"/>
  <c r="W270" i="2"/>
  <c r="V270" i="2"/>
  <c r="AA269" i="2"/>
  <c r="Z269" i="2"/>
  <c r="Y269" i="2"/>
  <c r="X269" i="2"/>
  <c r="W269" i="2"/>
  <c r="V269" i="2"/>
  <c r="AA268" i="2"/>
  <c r="Z268" i="2"/>
  <c r="Y268" i="2"/>
  <c r="X268" i="2"/>
  <c r="W268" i="2"/>
  <c r="V268" i="2"/>
  <c r="AA267" i="2"/>
  <c r="Z267" i="2"/>
  <c r="Y267" i="2"/>
  <c r="X267" i="2"/>
  <c r="W267" i="2"/>
  <c r="V267" i="2"/>
  <c r="AA266" i="2"/>
  <c r="Z266" i="2"/>
  <c r="Y266" i="2"/>
  <c r="X266" i="2"/>
  <c r="W266" i="2"/>
  <c r="V266" i="2"/>
  <c r="AA265" i="2"/>
  <c r="Z265" i="2"/>
  <c r="Y265" i="2"/>
  <c r="X265" i="2"/>
  <c r="W265" i="2"/>
  <c r="V265" i="2"/>
  <c r="AA264" i="2"/>
  <c r="Z264" i="2"/>
  <c r="Y264" i="2"/>
  <c r="X264" i="2"/>
  <c r="W264" i="2"/>
  <c r="V264" i="2"/>
  <c r="AA263" i="2"/>
  <c r="Z263" i="2"/>
  <c r="Y263" i="2"/>
  <c r="X263" i="2"/>
  <c r="W263" i="2"/>
  <c r="V263" i="2"/>
  <c r="AA262" i="2"/>
  <c r="Z262" i="2"/>
  <c r="Y262" i="2"/>
  <c r="X262" i="2"/>
  <c r="W262" i="2"/>
  <c r="V262" i="2"/>
  <c r="AA261" i="2"/>
  <c r="Z261" i="2"/>
  <c r="Y261" i="2"/>
  <c r="X261" i="2"/>
  <c r="W261" i="2"/>
  <c r="V261" i="2"/>
  <c r="AA260" i="2"/>
  <c r="Z260" i="2"/>
  <c r="Y260" i="2"/>
  <c r="X260" i="2"/>
  <c r="W260" i="2"/>
  <c r="V260" i="2"/>
  <c r="AA259" i="2"/>
  <c r="Z259" i="2"/>
  <c r="Y259" i="2"/>
  <c r="X259" i="2"/>
  <c r="W259" i="2"/>
  <c r="V259" i="2"/>
  <c r="AA258" i="2"/>
  <c r="Z258" i="2"/>
  <c r="Y258" i="2"/>
  <c r="X258" i="2"/>
  <c r="W258" i="2"/>
  <c r="V258" i="2"/>
  <c r="AA257" i="2"/>
  <c r="Z257" i="2"/>
  <c r="Y257" i="2"/>
  <c r="X257" i="2"/>
  <c r="W257" i="2"/>
  <c r="V257" i="2"/>
  <c r="AA256" i="2"/>
  <c r="Z256" i="2"/>
  <c r="Y256" i="2"/>
  <c r="X256" i="2"/>
  <c r="W256" i="2"/>
  <c r="V256" i="2"/>
  <c r="AA255" i="2"/>
  <c r="Z255" i="2"/>
  <c r="Y255" i="2"/>
  <c r="X255" i="2"/>
  <c r="W255" i="2"/>
  <c r="V255" i="2"/>
  <c r="AA254" i="2"/>
  <c r="Z254" i="2"/>
  <c r="Y254" i="2"/>
  <c r="X254" i="2"/>
  <c r="W254" i="2"/>
  <c r="V254" i="2"/>
  <c r="A254" i="2" s="1"/>
  <c r="AA253" i="2"/>
  <c r="Z253" i="2"/>
  <c r="Y253" i="2"/>
  <c r="X253" i="2"/>
  <c r="W253" i="2"/>
  <c r="V253" i="2"/>
  <c r="AA252" i="2"/>
  <c r="Z252" i="2"/>
  <c r="Y252" i="2"/>
  <c r="X252" i="2"/>
  <c r="W252" i="2"/>
  <c r="V252" i="2"/>
  <c r="AA251" i="2"/>
  <c r="Z251" i="2"/>
  <c r="Y251" i="2"/>
  <c r="X251" i="2"/>
  <c r="W251" i="2"/>
  <c r="V251" i="2"/>
  <c r="AA250" i="2"/>
  <c r="Z250" i="2"/>
  <c r="Y250" i="2"/>
  <c r="X250" i="2"/>
  <c r="W250" i="2"/>
  <c r="A250" i="2" s="1"/>
  <c r="V250" i="2"/>
  <c r="AA249" i="2"/>
  <c r="Z249" i="2"/>
  <c r="Y249" i="2"/>
  <c r="X249" i="2"/>
  <c r="W249" i="2"/>
  <c r="V249" i="2"/>
  <c r="AA248" i="2"/>
  <c r="Z248" i="2"/>
  <c r="Y248" i="2"/>
  <c r="X248" i="2"/>
  <c r="W248" i="2"/>
  <c r="V248" i="2"/>
  <c r="AA247" i="2"/>
  <c r="Z247" i="2"/>
  <c r="Y247" i="2"/>
  <c r="X247" i="2"/>
  <c r="W247" i="2"/>
  <c r="V247" i="2"/>
  <c r="AA246" i="2"/>
  <c r="Z246" i="2"/>
  <c r="Y246" i="2"/>
  <c r="X246" i="2"/>
  <c r="W246" i="2"/>
  <c r="V246" i="2"/>
  <c r="AA245" i="2"/>
  <c r="Z245" i="2"/>
  <c r="Y245" i="2"/>
  <c r="X245" i="2"/>
  <c r="W245" i="2"/>
  <c r="V245" i="2"/>
  <c r="AA244" i="2"/>
  <c r="Z244" i="2"/>
  <c r="Y244" i="2"/>
  <c r="X244" i="2"/>
  <c r="W244" i="2"/>
  <c r="V244" i="2"/>
  <c r="AA243" i="2"/>
  <c r="Z243" i="2"/>
  <c r="Y243" i="2"/>
  <c r="X243" i="2"/>
  <c r="W243" i="2"/>
  <c r="V243" i="2"/>
  <c r="AA242" i="2"/>
  <c r="Z242" i="2"/>
  <c r="Y242" i="2"/>
  <c r="X242" i="2"/>
  <c r="W242" i="2"/>
  <c r="V242" i="2"/>
  <c r="AA241" i="2"/>
  <c r="Z241" i="2"/>
  <c r="Y241" i="2"/>
  <c r="X241" i="2"/>
  <c r="W241" i="2"/>
  <c r="V241" i="2"/>
  <c r="AA240" i="2"/>
  <c r="Z240" i="2"/>
  <c r="Y240" i="2"/>
  <c r="X240" i="2"/>
  <c r="W240" i="2"/>
  <c r="V240" i="2"/>
  <c r="AA239" i="2"/>
  <c r="Z239" i="2"/>
  <c r="Y239" i="2"/>
  <c r="X239" i="2"/>
  <c r="W239" i="2"/>
  <c r="V239" i="2"/>
  <c r="AA238" i="2"/>
  <c r="Z238" i="2"/>
  <c r="Y238" i="2"/>
  <c r="X238" i="2"/>
  <c r="W238" i="2"/>
  <c r="V238" i="2"/>
  <c r="AA237" i="2"/>
  <c r="Z237" i="2"/>
  <c r="Y237" i="2"/>
  <c r="X237" i="2"/>
  <c r="W237" i="2"/>
  <c r="V237" i="2"/>
  <c r="AA236" i="2"/>
  <c r="Z236" i="2"/>
  <c r="Y236" i="2"/>
  <c r="X236" i="2"/>
  <c r="W236" i="2"/>
  <c r="V236" i="2"/>
  <c r="AA235" i="2"/>
  <c r="Z235" i="2"/>
  <c r="Y235" i="2"/>
  <c r="X235" i="2"/>
  <c r="W235" i="2"/>
  <c r="V235" i="2"/>
  <c r="AA234" i="2"/>
  <c r="Z234" i="2"/>
  <c r="Y234" i="2"/>
  <c r="X234" i="2"/>
  <c r="W234" i="2"/>
  <c r="V234" i="2"/>
  <c r="AA233" i="2"/>
  <c r="Z233" i="2"/>
  <c r="Y233" i="2"/>
  <c r="X233" i="2"/>
  <c r="W233" i="2"/>
  <c r="V233" i="2"/>
  <c r="AA232" i="2"/>
  <c r="Z232" i="2"/>
  <c r="Y232" i="2"/>
  <c r="X232" i="2"/>
  <c r="W232" i="2"/>
  <c r="V232" i="2"/>
  <c r="AA231" i="2"/>
  <c r="Z231" i="2"/>
  <c r="Y231" i="2"/>
  <c r="X231" i="2"/>
  <c r="W231" i="2"/>
  <c r="V231" i="2"/>
  <c r="AA230" i="2"/>
  <c r="Z230" i="2"/>
  <c r="Y230" i="2"/>
  <c r="X230" i="2"/>
  <c r="W230" i="2"/>
  <c r="V230" i="2"/>
  <c r="AA229" i="2"/>
  <c r="Z229" i="2"/>
  <c r="Y229" i="2"/>
  <c r="X229" i="2"/>
  <c r="W229" i="2"/>
  <c r="V229" i="2"/>
  <c r="AA228" i="2"/>
  <c r="Z228" i="2"/>
  <c r="Y228" i="2"/>
  <c r="X228" i="2"/>
  <c r="W228" i="2"/>
  <c r="V228" i="2"/>
  <c r="AA227" i="2"/>
  <c r="Z227" i="2"/>
  <c r="Y227" i="2"/>
  <c r="X227" i="2"/>
  <c r="W227" i="2"/>
  <c r="V227" i="2"/>
  <c r="AA226" i="2"/>
  <c r="Z226" i="2"/>
  <c r="Y226" i="2"/>
  <c r="X226" i="2"/>
  <c r="W226" i="2"/>
  <c r="V226" i="2"/>
  <c r="AA225" i="2"/>
  <c r="Z225" i="2"/>
  <c r="Y225" i="2"/>
  <c r="X225" i="2"/>
  <c r="W225" i="2"/>
  <c r="V225" i="2"/>
  <c r="AA224" i="2"/>
  <c r="Z224" i="2"/>
  <c r="Y224" i="2"/>
  <c r="X224" i="2"/>
  <c r="W224" i="2"/>
  <c r="V224" i="2"/>
  <c r="AA223" i="2"/>
  <c r="Z223" i="2"/>
  <c r="Y223" i="2"/>
  <c r="X223" i="2"/>
  <c r="W223" i="2"/>
  <c r="V223" i="2"/>
  <c r="AA222" i="2"/>
  <c r="Z222" i="2"/>
  <c r="Y222" i="2"/>
  <c r="X222" i="2"/>
  <c r="W222" i="2"/>
  <c r="V222" i="2"/>
  <c r="AA221" i="2"/>
  <c r="Z221" i="2"/>
  <c r="Y221" i="2"/>
  <c r="X221" i="2"/>
  <c r="W221" i="2"/>
  <c r="V221" i="2"/>
  <c r="AA220" i="2"/>
  <c r="Z220" i="2"/>
  <c r="Y220" i="2"/>
  <c r="X220" i="2"/>
  <c r="W220" i="2"/>
  <c r="V220" i="2"/>
  <c r="AA219" i="2"/>
  <c r="Z219" i="2"/>
  <c r="Y219" i="2"/>
  <c r="X219" i="2"/>
  <c r="W219" i="2"/>
  <c r="V219" i="2"/>
  <c r="AA218" i="2"/>
  <c r="Z218" i="2"/>
  <c r="Y218" i="2"/>
  <c r="X218" i="2"/>
  <c r="W218" i="2"/>
  <c r="V218" i="2"/>
  <c r="AA217" i="2"/>
  <c r="Z217" i="2"/>
  <c r="Y217" i="2"/>
  <c r="X217" i="2"/>
  <c r="W217" i="2"/>
  <c r="V217" i="2"/>
  <c r="AA216" i="2"/>
  <c r="Z216" i="2"/>
  <c r="Y216" i="2"/>
  <c r="X216" i="2"/>
  <c r="W216" i="2"/>
  <c r="V216" i="2"/>
  <c r="AA215" i="2"/>
  <c r="Z215" i="2"/>
  <c r="Y215" i="2"/>
  <c r="X215" i="2"/>
  <c r="W215" i="2"/>
  <c r="V215" i="2"/>
  <c r="AA214" i="2"/>
  <c r="Z214" i="2"/>
  <c r="Y214" i="2"/>
  <c r="X214" i="2"/>
  <c r="W214" i="2"/>
  <c r="V214" i="2"/>
  <c r="AA213" i="2"/>
  <c r="Z213" i="2"/>
  <c r="Y213" i="2"/>
  <c r="X213" i="2"/>
  <c r="W213" i="2"/>
  <c r="V213" i="2"/>
  <c r="AA212" i="2"/>
  <c r="Z212" i="2"/>
  <c r="Y212" i="2"/>
  <c r="X212" i="2"/>
  <c r="W212" i="2"/>
  <c r="V212" i="2"/>
  <c r="AA211" i="2"/>
  <c r="Z211" i="2"/>
  <c r="Y211" i="2"/>
  <c r="X211" i="2"/>
  <c r="W211" i="2"/>
  <c r="V211" i="2"/>
  <c r="AA210" i="2"/>
  <c r="Z210" i="2"/>
  <c r="Y210" i="2"/>
  <c r="X210" i="2"/>
  <c r="W210" i="2"/>
  <c r="V210" i="2"/>
  <c r="AA209" i="2"/>
  <c r="Z209" i="2"/>
  <c r="Y209" i="2"/>
  <c r="X209" i="2"/>
  <c r="W209" i="2"/>
  <c r="V209" i="2"/>
  <c r="AA208" i="2"/>
  <c r="Z208" i="2"/>
  <c r="Y208" i="2"/>
  <c r="X208" i="2"/>
  <c r="W208" i="2"/>
  <c r="V208" i="2"/>
  <c r="AA207" i="2"/>
  <c r="Z207" i="2"/>
  <c r="Y207" i="2"/>
  <c r="X207" i="2"/>
  <c r="W207" i="2"/>
  <c r="V207" i="2"/>
  <c r="AA206" i="2"/>
  <c r="Z206" i="2"/>
  <c r="Y206" i="2"/>
  <c r="X206" i="2"/>
  <c r="W206" i="2"/>
  <c r="V206" i="2"/>
  <c r="AA205" i="2"/>
  <c r="Z205" i="2"/>
  <c r="Y205" i="2"/>
  <c r="X205" i="2"/>
  <c r="W205" i="2"/>
  <c r="V205" i="2"/>
  <c r="AA204" i="2"/>
  <c r="Z204" i="2"/>
  <c r="Y204" i="2"/>
  <c r="X204" i="2"/>
  <c r="W204" i="2"/>
  <c r="V204" i="2"/>
  <c r="AA203" i="2"/>
  <c r="Z203" i="2"/>
  <c r="Y203" i="2"/>
  <c r="X203" i="2"/>
  <c r="W203" i="2"/>
  <c r="V203" i="2"/>
  <c r="AA202" i="2"/>
  <c r="Z202" i="2"/>
  <c r="Y202" i="2"/>
  <c r="X202" i="2"/>
  <c r="W202" i="2"/>
  <c r="V202" i="2"/>
  <c r="AA201" i="2"/>
  <c r="Z201" i="2"/>
  <c r="Y201" i="2"/>
  <c r="X201" i="2"/>
  <c r="W201" i="2"/>
  <c r="V201" i="2"/>
  <c r="AA200" i="2"/>
  <c r="Z200" i="2"/>
  <c r="Y200" i="2"/>
  <c r="X200" i="2"/>
  <c r="W200" i="2"/>
  <c r="V200" i="2"/>
  <c r="AA199" i="2"/>
  <c r="Z199" i="2"/>
  <c r="Y199" i="2"/>
  <c r="X199" i="2"/>
  <c r="W199" i="2"/>
  <c r="V199" i="2"/>
  <c r="AA198" i="2"/>
  <c r="Z198" i="2"/>
  <c r="Y198" i="2"/>
  <c r="X198" i="2"/>
  <c r="W198" i="2"/>
  <c r="V198" i="2"/>
  <c r="AA197" i="2"/>
  <c r="Z197" i="2"/>
  <c r="Y197" i="2"/>
  <c r="X197" i="2"/>
  <c r="W197" i="2"/>
  <c r="V197" i="2"/>
  <c r="AA196" i="2"/>
  <c r="Z196" i="2"/>
  <c r="Y196" i="2"/>
  <c r="X196" i="2"/>
  <c r="W196" i="2"/>
  <c r="V196" i="2"/>
  <c r="AA195" i="2"/>
  <c r="Z195" i="2"/>
  <c r="Y195" i="2"/>
  <c r="X195" i="2"/>
  <c r="W195" i="2"/>
  <c r="V195" i="2"/>
  <c r="AA194" i="2"/>
  <c r="Z194" i="2"/>
  <c r="Y194" i="2"/>
  <c r="X194" i="2"/>
  <c r="W194" i="2"/>
  <c r="V194" i="2"/>
  <c r="AA193" i="2"/>
  <c r="Z193" i="2"/>
  <c r="Y193" i="2"/>
  <c r="X193" i="2"/>
  <c r="W193" i="2"/>
  <c r="V193" i="2"/>
  <c r="AA192" i="2"/>
  <c r="Z192" i="2"/>
  <c r="Y192" i="2"/>
  <c r="X192" i="2"/>
  <c r="W192" i="2"/>
  <c r="V192" i="2"/>
  <c r="A192" i="2" s="1"/>
  <c r="B179" i="6" s="1"/>
  <c r="A179" i="6" s="1"/>
  <c r="AA191" i="2"/>
  <c r="Z191" i="2"/>
  <c r="Y191" i="2"/>
  <c r="X191" i="2"/>
  <c r="W191" i="2"/>
  <c r="V191" i="2"/>
  <c r="AA190" i="2"/>
  <c r="Z190" i="2"/>
  <c r="Y190" i="2"/>
  <c r="X190" i="2"/>
  <c r="W190" i="2"/>
  <c r="V190" i="2"/>
  <c r="AA189" i="2"/>
  <c r="Z189" i="2"/>
  <c r="Y189" i="2"/>
  <c r="X189" i="2"/>
  <c r="W189" i="2"/>
  <c r="V189" i="2"/>
  <c r="AA188" i="2"/>
  <c r="Z188" i="2"/>
  <c r="Y188" i="2"/>
  <c r="X188" i="2"/>
  <c r="W188" i="2"/>
  <c r="V188" i="2"/>
  <c r="AA187" i="2"/>
  <c r="Z187" i="2"/>
  <c r="Y187" i="2"/>
  <c r="X187" i="2"/>
  <c r="W187" i="2"/>
  <c r="V187" i="2"/>
  <c r="AA186" i="2"/>
  <c r="Z186" i="2"/>
  <c r="Y186" i="2"/>
  <c r="X186" i="2"/>
  <c r="W186" i="2"/>
  <c r="V186" i="2"/>
  <c r="AA185" i="2"/>
  <c r="Z185" i="2"/>
  <c r="Y185" i="2"/>
  <c r="X185" i="2"/>
  <c r="W185" i="2"/>
  <c r="V185" i="2"/>
  <c r="AA184" i="2"/>
  <c r="Z184" i="2"/>
  <c r="Y184" i="2"/>
  <c r="X184" i="2"/>
  <c r="W184" i="2"/>
  <c r="V184" i="2"/>
  <c r="AA183" i="2"/>
  <c r="Z183" i="2"/>
  <c r="Y183" i="2"/>
  <c r="X183" i="2"/>
  <c r="W183" i="2"/>
  <c r="V183" i="2"/>
  <c r="AA182" i="2"/>
  <c r="Z182" i="2"/>
  <c r="Y182" i="2"/>
  <c r="X182" i="2"/>
  <c r="W182" i="2"/>
  <c r="V182" i="2"/>
  <c r="AA181" i="2"/>
  <c r="Z181" i="2"/>
  <c r="Y181" i="2"/>
  <c r="X181" i="2"/>
  <c r="W181" i="2"/>
  <c r="V181" i="2"/>
  <c r="AA180" i="2"/>
  <c r="Z180" i="2"/>
  <c r="Y180" i="2"/>
  <c r="X180" i="2"/>
  <c r="W180" i="2"/>
  <c r="V180" i="2"/>
  <c r="AA179" i="2"/>
  <c r="Z179" i="2"/>
  <c r="Y179" i="2"/>
  <c r="X179" i="2"/>
  <c r="W179" i="2"/>
  <c r="V179" i="2"/>
  <c r="AA178" i="2"/>
  <c r="Z178" i="2"/>
  <c r="Y178" i="2"/>
  <c r="X178" i="2"/>
  <c r="W178" i="2"/>
  <c r="V178" i="2"/>
  <c r="AA177" i="2"/>
  <c r="Z177" i="2"/>
  <c r="Y177" i="2"/>
  <c r="X177" i="2"/>
  <c r="W177" i="2"/>
  <c r="V177" i="2"/>
  <c r="AA176" i="2"/>
  <c r="Z176" i="2"/>
  <c r="Y176" i="2"/>
  <c r="X176" i="2"/>
  <c r="W176" i="2"/>
  <c r="V176" i="2"/>
  <c r="AA175" i="2"/>
  <c r="Z175" i="2"/>
  <c r="Y175" i="2"/>
  <c r="X175" i="2"/>
  <c r="W175" i="2"/>
  <c r="V175" i="2"/>
  <c r="AA174" i="2"/>
  <c r="Z174" i="2"/>
  <c r="Y174" i="2"/>
  <c r="X174" i="2"/>
  <c r="W174" i="2"/>
  <c r="V174" i="2"/>
  <c r="AA173" i="2"/>
  <c r="Z173" i="2"/>
  <c r="Y173" i="2"/>
  <c r="X173" i="2"/>
  <c r="W173" i="2"/>
  <c r="V173" i="2"/>
  <c r="AA172" i="2"/>
  <c r="Z172" i="2"/>
  <c r="Y172" i="2"/>
  <c r="X172" i="2"/>
  <c r="W172" i="2"/>
  <c r="V172" i="2"/>
  <c r="AA171" i="2"/>
  <c r="Z171" i="2"/>
  <c r="Y171" i="2"/>
  <c r="X171" i="2"/>
  <c r="W171" i="2"/>
  <c r="V171" i="2"/>
  <c r="AA170" i="2"/>
  <c r="Z170" i="2"/>
  <c r="Y170" i="2"/>
  <c r="X170" i="2"/>
  <c r="W170" i="2"/>
  <c r="V170" i="2"/>
  <c r="AA169" i="2"/>
  <c r="Z169" i="2"/>
  <c r="Y169" i="2"/>
  <c r="X169" i="2"/>
  <c r="W169" i="2"/>
  <c r="V169" i="2"/>
  <c r="AA168" i="2"/>
  <c r="Z168" i="2"/>
  <c r="Y168" i="2"/>
  <c r="X168" i="2"/>
  <c r="W168" i="2"/>
  <c r="V168" i="2"/>
  <c r="AA167" i="2"/>
  <c r="Z167" i="2"/>
  <c r="Y167" i="2"/>
  <c r="X167" i="2"/>
  <c r="W167" i="2"/>
  <c r="V167" i="2"/>
  <c r="AA166" i="2"/>
  <c r="Z166" i="2"/>
  <c r="Y166" i="2"/>
  <c r="X166" i="2"/>
  <c r="W166" i="2"/>
  <c r="V166" i="2"/>
  <c r="AA165" i="2"/>
  <c r="Z165" i="2"/>
  <c r="Y165" i="2"/>
  <c r="X165" i="2"/>
  <c r="W165" i="2"/>
  <c r="V165" i="2"/>
  <c r="AA164" i="2"/>
  <c r="Z164" i="2"/>
  <c r="Y164" i="2"/>
  <c r="X164" i="2"/>
  <c r="W164" i="2"/>
  <c r="V164" i="2"/>
  <c r="AA163" i="2"/>
  <c r="Z163" i="2"/>
  <c r="Y163" i="2"/>
  <c r="X163" i="2"/>
  <c r="W163" i="2"/>
  <c r="V163" i="2"/>
  <c r="AA162" i="2"/>
  <c r="Z162" i="2"/>
  <c r="Y162" i="2"/>
  <c r="X162" i="2"/>
  <c r="W162" i="2"/>
  <c r="V162" i="2"/>
  <c r="AA161" i="2"/>
  <c r="Z161" i="2"/>
  <c r="Y161" i="2"/>
  <c r="X161" i="2"/>
  <c r="W161" i="2"/>
  <c r="V161" i="2"/>
  <c r="AA160" i="2"/>
  <c r="Z160" i="2"/>
  <c r="Y160" i="2"/>
  <c r="X160" i="2"/>
  <c r="W160" i="2"/>
  <c r="V160" i="2"/>
  <c r="AA159" i="2"/>
  <c r="Z159" i="2"/>
  <c r="Y159" i="2"/>
  <c r="X159" i="2"/>
  <c r="W159" i="2"/>
  <c r="V159" i="2"/>
  <c r="AA158" i="2"/>
  <c r="Z158" i="2"/>
  <c r="Y158" i="2"/>
  <c r="X158" i="2"/>
  <c r="W158" i="2"/>
  <c r="V158" i="2"/>
  <c r="AA157" i="2"/>
  <c r="Z157" i="2"/>
  <c r="Y157" i="2"/>
  <c r="X157" i="2"/>
  <c r="W157" i="2"/>
  <c r="V157" i="2"/>
  <c r="AA156" i="2"/>
  <c r="Z156" i="2"/>
  <c r="Y156" i="2"/>
  <c r="X156" i="2"/>
  <c r="W156" i="2"/>
  <c r="V156" i="2"/>
  <c r="AA155" i="2"/>
  <c r="Z155" i="2"/>
  <c r="Y155" i="2"/>
  <c r="X155" i="2"/>
  <c r="W155" i="2"/>
  <c r="V155" i="2"/>
  <c r="AA154" i="2"/>
  <c r="Z154" i="2"/>
  <c r="Y154" i="2"/>
  <c r="X154" i="2"/>
  <c r="W154" i="2"/>
  <c r="V154" i="2"/>
  <c r="AA153" i="2"/>
  <c r="Z153" i="2"/>
  <c r="Y153" i="2"/>
  <c r="X153" i="2"/>
  <c r="W153" i="2"/>
  <c r="V153" i="2"/>
  <c r="AA152" i="2"/>
  <c r="Z152" i="2"/>
  <c r="Y152" i="2"/>
  <c r="X152" i="2"/>
  <c r="W152" i="2"/>
  <c r="V152" i="2"/>
  <c r="AA151" i="2"/>
  <c r="Z151" i="2"/>
  <c r="Y151" i="2"/>
  <c r="X151" i="2"/>
  <c r="W151" i="2"/>
  <c r="V151" i="2"/>
  <c r="AA150" i="2"/>
  <c r="Z150" i="2"/>
  <c r="Y150" i="2"/>
  <c r="X150" i="2"/>
  <c r="W150" i="2"/>
  <c r="V150" i="2"/>
  <c r="AA149" i="2"/>
  <c r="Z149" i="2"/>
  <c r="Y149" i="2"/>
  <c r="X149" i="2"/>
  <c r="W149" i="2"/>
  <c r="V149" i="2"/>
  <c r="AA148" i="2"/>
  <c r="Z148" i="2"/>
  <c r="Y148" i="2"/>
  <c r="X148" i="2"/>
  <c r="W148" i="2"/>
  <c r="V148" i="2"/>
  <c r="AA147" i="2"/>
  <c r="Z147" i="2"/>
  <c r="Y147" i="2"/>
  <c r="X147" i="2"/>
  <c r="W147" i="2"/>
  <c r="V147" i="2"/>
  <c r="AA146" i="2"/>
  <c r="Z146" i="2"/>
  <c r="Y146" i="2"/>
  <c r="X146" i="2"/>
  <c r="W146" i="2"/>
  <c r="V146" i="2"/>
  <c r="AA145" i="2"/>
  <c r="Z145" i="2"/>
  <c r="Y145" i="2"/>
  <c r="X145" i="2"/>
  <c r="W145" i="2"/>
  <c r="V145" i="2"/>
  <c r="AA144" i="2"/>
  <c r="Z144" i="2"/>
  <c r="Y144" i="2"/>
  <c r="X144" i="2"/>
  <c r="W144" i="2"/>
  <c r="V144" i="2"/>
  <c r="AA143" i="2"/>
  <c r="Z143" i="2"/>
  <c r="Y143" i="2"/>
  <c r="X143" i="2"/>
  <c r="W143" i="2"/>
  <c r="V143" i="2"/>
  <c r="AA142" i="2"/>
  <c r="Z142" i="2"/>
  <c r="Y142" i="2"/>
  <c r="X142" i="2"/>
  <c r="W142" i="2"/>
  <c r="V142" i="2"/>
  <c r="AA141" i="2"/>
  <c r="Z141" i="2"/>
  <c r="Y141" i="2"/>
  <c r="X141" i="2"/>
  <c r="W141" i="2"/>
  <c r="V141" i="2"/>
  <c r="AA140" i="2"/>
  <c r="Z140" i="2"/>
  <c r="Y140" i="2"/>
  <c r="X140" i="2"/>
  <c r="W140" i="2"/>
  <c r="V140" i="2"/>
  <c r="AA139" i="2"/>
  <c r="Z139" i="2"/>
  <c r="Y139" i="2"/>
  <c r="X139" i="2"/>
  <c r="W139" i="2"/>
  <c r="V139" i="2"/>
  <c r="AA138" i="2"/>
  <c r="Z138" i="2"/>
  <c r="Y138" i="2"/>
  <c r="X138" i="2"/>
  <c r="W138" i="2"/>
  <c r="V138" i="2"/>
  <c r="AA137" i="2"/>
  <c r="Z137" i="2"/>
  <c r="Y137" i="2"/>
  <c r="X137" i="2"/>
  <c r="W137" i="2"/>
  <c r="V137" i="2"/>
  <c r="A137" i="2" s="1"/>
  <c r="AA136" i="2"/>
  <c r="Z136" i="2"/>
  <c r="Y136" i="2"/>
  <c r="X136" i="2"/>
  <c r="W136" i="2"/>
  <c r="V136" i="2"/>
  <c r="AA135" i="2"/>
  <c r="Z135" i="2"/>
  <c r="Y135" i="2"/>
  <c r="X135" i="2"/>
  <c r="W135" i="2"/>
  <c r="V135" i="2"/>
  <c r="AA134" i="2"/>
  <c r="Z134" i="2"/>
  <c r="Y134" i="2"/>
  <c r="X134" i="2"/>
  <c r="W134" i="2"/>
  <c r="V134" i="2"/>
  <c r="AA133" i="2"/>
  <c r="Z133" i="2"/>
  <c r="Y133" i="2"/>
  <c r="X133" i="2"/>
  <c r="W133" i="2"/>
  <c r="V133" i="2"/>
  <c r="A133" i="2" s="1"/>
  <c r="AA132" i="2"/>
  <c r="Z132" i="2"/>
  <c r="Y132" i="2"/>
  <c r="X132" i="2"/>
  <c r="W132" i="2"/>
  <c r="V132" i="2"/>
  <c r="AA131" i="2"/>
  <c r="Z131" i="2"/>
  <c r="Y131" i="2"/>
  <c r="X131" i="2"/>
  <c r="W131" i="2"/>
  <c r="V131" i="2"/>
  <c r="AA130" i="2"/>
  <c r="Z130" i="2"/>
  <c r="Y130" i="2"/>
  <c r="X130" i="2"/>
  <c r="W130" i="2"/>
  <c r="V130" i="2"/>
  <c r="A130" i="2"/>
  <c r="AA129" i="2"/>
  <c r="Z129" i="2"/>
  <c r="Y129" i="2"/>
  <c r="X129" i="2"/>
  <c r="A129" i="2" s="1"/>
  <c r="W129" i="2"/>
  <c r="V129" i="2"/>
  <c r="AA128" i="2"/>
  <c r="Z128" i="2"/>
  <c r="Y128" i="2"/>
  <c r="X128" i="2"/>
  <c r="W128" i="2"/>
  <c r="V128" i="2"/>
  <c r="AA127" i="2"/>
  <c r="Z127" i="2"/>
  <c r="Y127" i="2"/>
  <c r="X127" i="2"/>
  <c r="W127" i="2"/>
  <c r="V127" i="2"/>
  <c r="AA126" i="2"/>
  <c r="Z126" i="2"/>
  <c r="Y126" i="2"/>
  <c r="X126" i="2"/>
  <c r="W126" i="2"/>
  <c r="V126" i="2"/>
  <c r="AA125" i="2"/>
  <c r="Z125" i="2"/>
  <c r="Y125" i="2"/>
  <c r="X125" i="2"/>
  <c r="W125" i="2"/>
  <c r="V125" i="2"/>
  <c r="AA124" i="2"/>
  <c r="Z124" i="2"/>
  <c r="Y124" i="2"/>
  <c r="X124" i="2"/>
  <c r="W124" i="2"/>
  <c r="V124" i="2"/>
  <c r="AA123" i="2"/>
  <c r="Z123" i="2"/>
  <c r="Y123" i="2"/>
  <c r="X123" i="2"/>
  <c r="W123" i="2"/>
  <c r="V123" i="2"/>
  <c r="AA122" i="2"/>
  <c r="Z122" i="2"/>
  <c r="Y122" i="2"/>
  <c r="X122" i="2"/>
  <c r="W122" i="2"/>
  <c r="V122" i="2"/>
  <c r="A122" i="2"/>
  <c r="AA121" i="2"/>
  <c r="Z121" i="2"/>
  <c r="Y121" i="2"/>
  <c r="X121" i="2"/>
  <c r="W121" i="2"/>
  <c r="V121" i="2"/>
  <c r="AA120" i="2"/>
  <c r="Z120" i="2"/>
  <c r="Y120" i="2"/>
  <c r="X120" i="2"/>
  <c r="W120" i="2"/>
  <c r="V120" i="2"/>
  <c r="AA119" i="2"/>
  <c r="Z119" i="2"/>
  <c r="Y119" i="2"/>
  <c r="X119" i="2"/>
  <c r="W119" i="2"/>
  <c r="V119" i="2"/>
  <c r="AA118" i="2"/>
  <c r="Z118" i="2"/>
  <c r="Y118" i="2"/>
  <c r="X118" i="2"/>
  <c r="W118" i="2"/>
  <c r="V118" i="2"/>
  <c r="A118" i="2"/>
  <c r="AA117" i="2"/>
  <c r="Z117" i="2"/>
  <c r="Y117" i="2"/>
  <c r="X117" i="2"/>
  <c r="W117" i="2"/>
  <c r="V117" i="2"/>
  <c r="AA116" i="2"/>
  <c r="Z116" i="2"/>
  <c r="Y116" i="2"/>
  <c r="X116" i="2"/>
  <c r="W116" i="2"/>
  <c r="V116" i="2"/>
  <c r="AA115" i="2"/>
  <c r="Z115" i="2"/>
  <c r="Y115" i="2"/>
  <c r="X115" i="2"/>
  <c r="W115" i="2"/>
  <c r="V115" i="2"/>
  <c r="AA114" i="2"/>
  <c r="Z114" i="2"/>
  <c r="Y114" i="2"/>
  <c r="X114" i="2"/>
  <c r="W114" i="2"/>
  <c r="V114" i="2"/>
  <c r="AA113" i="2"/>
  <c r="Z113" i="2"/>
  <c r="Y113" i="2"/>
  <c r="X113" i="2"/>
  <c r="W113" i="2"/>
  <c r="V113" i="2"/>
  <c r="AA112" i="2"/>
  <c r="Z112" i="2"/>
  <c r="Y112" i="2"/>
  <c r="X112" i="2"/>
  <c r="W112" i="2"/>
  <c r="V112" i="2"/>
  <c r="AA111" i="2"/>
  <c r="Z111" i="2"/>
  <c r="Y111" i="2"/>
  <c r="X111" i="2"/>
  <c r="W111" i="2"/>
  <c r="V111" i="2"/>
  <c r="AA110" i="2"/>
  <c r="Z110" i="2"/>
  <c r="Y110" i="2"/>
  <c r="X110" i="2"/>
  <c r="W110" i="2"/>
  <c r="V110" i="2"/>
  <c r="A110" i="2" s="1"/>
  <c r="AA109" i="2"/>
  <c r="Z109" i="2"/>
  <c r="Y109" i="2"/>
  <c r="X109" i="2"/>
  <c r="W109" i="2"/>
  <c r="V109" i="2"/>
  <c r="AA108" i="2"/>
  <c r="Z108" i="2"/>
  <c r="Y108" i="2"/>
  <c r="X108" i="2"/>
  <c r="W108" i="2"/>
  <c r="V108" i="2"/>
  <c r="AA107" i="2"/>
  <c r="Z107" i="2"/>
  <c r="Y107" i="2"/>
  <c r="X107" i="2"/>
  <c r="W107" i="2"/>
  <c r="V107" i="2"/>
  <c r="AA106" i="2"/>
  <c r="Z106" i="2"/>
  <c r="Y106" i="2"/>
  <c r="X106" i="2"/>
  <c r="W106" i="2"/>
  <c r="V106" i="2"/>
  <c r="AA105" i="2"/>
  <c r="Z105" i="2"/>
  <c r="Y105" i="2"/>
  <c r="X105" i="2"/>
  <c r="W105" i="2"/>
  <c r="V105" i="2"/>
  <c r="AA104" i="2"/>
  <c r="Z104" i="2"/>
  <c r="Y104" i="2"/>
  <c r="X104" i="2"/>
  <c r="W104" i="2"/>
  <c r="V104" i="2"/>
  <c r="AA103" i="2"/>
  <c r="Z103" i="2"/>
  <c r="Y103" i="2"/>
  <c r="X103" i="2"/>
  <c r="W103" i="2"/>
  <c r="V103" i="2"/>
  <c r="AA102" i="2"/>
  <c r="Z102" i="2"/>
  <c r="Y102" i="2"/>
  <c r="X102" i="2"/>
  <c r="W102" i="2"/>
  <c r="V102" i="2"/>
  <c r="AA101" i="2"/>
  <c r="Z101" i="2"/>
  <c r="Y101" i="2"/>
  <c r="X101" i="2"/>
  <c r="W101" i="2"/>
  <c r="V101" i="2"/>
  <c r="AA100" i="2"/>
  <c r="Z100" i="2"/>
  <c r="Y100" i="2"/>
  <c r="X100" i="2"/>
  <c r="W100" i="2"/>
  <c r="V100" i="2"/>
  <c r="AA99" i="2"/>
  <c r="Z99" i="2"/>
  <c r="Y99" i="2"/>
  <c r="X99" i="2"/>
  <c r="W99" i="2"/>
  <c r="V99" i="2"/>
  <c r="A99" i="2"/>
  <c r="AA98" i="2"/>
  <c r="Z98" i="2"/>
  <c r="Y98" i="2"/>
  <c r="X98" i="2"/>
  <c r="W98" i="2"/>
  <c r="V98" i="2"/>
  <c r="AA97" i="2"/>
  <c r="Z97" i="2"/>
  <c r="Y97" i="2"/>
  <c r="X97" i="2"/>
  <c r="W97" i="2"/>
  <c r="V97" i="2"/>
  <c r="AA96" i="2"/>
  <c r="Z96" i="2"/>
  <c r="Y96" i="2"/>
  <c r="X96" i="2"/>
  <c r="A96" i="2" s="1"/>
  <c r="W96" i="2"/>
  <c r="V96" i="2"/>
  <c r="AA95" i="2"/>
  <c r="Z95" i="2"/>
  <c r="Y95" i="2"/>
  <c r="X95" i="2"/>
  <c r="W95" i="2"/>
  <c r="V95" i="2"/>
  <c r="AA94" i="2"/>
  <c r="Z94" i="2"/>
  <c r="Y94" i="2"/>
  <c r="X94" i="2"/>
  <c r="W94" i="2"/>
  <c r="V94" i="2"/>
  <c r="AA93" i="2"/>
  <c r="Z93" i="2"/>
  <c r="Y93" i="2"/>
  <c r="X93" i="2"/>
  <c r="W93" i="2"/>
  <c r="V93" i="2"/>
  <c r="AA92" i="2"/>
  <c r="Z92" i="2"/>
  <c r="Y92" i="2"/>
  <c r="X92" i="2"/>
  <c r="W92" i="2"/>
  <c r="V92" i="2"/>
  <c r="AA91" i="2"/>
  <c r="Z91" i="2"/>
  <c r="Y91" i="2"/>
  <c r="X91" i="2"/>
  <c r="W91" i="2"/>
  <c r="V91" i="2"/>
  <c r="AA90" i="2"/>
  <c r="Z90" i="2"/>
  <c r="Y90" i="2"/>
  <c r="X90" i="2"/>
  <c r="W90" i="2"/>
  <c r="V90" i="2"/>
  <c r="AA89" i="2"/>
  <c r="Z89" i="2"/>
  <c r="Y89" i="2"/>
  <c r="X89" i="2"/>
  <c r="W89" i="2"/>
  <c r="V89" i="2"/>
  <c r="AA88" i="2"/>
  <c r="Z88" i="2"/>
  <c r="Y88" i="2"/>
  <c r="X88" i="2"/>
  <c r="W88" i="2"/>
  <c r="V88" i="2"/>
  <c r="AA87" i="2"/>
  <c r="Z87" i="2"/>
  <c r="Y87" i="2"/>
  <c r="X87" i="2"/>
  <c r="W87" i="2"/>
  <c r="V87" i="2"/>
  <c r="AA86" i="2"/>
  <c r="Z86" i="2"/>
  <c r="Y86" i="2"/>
  <c r="X86" i="2"/>
  <c r="W86" i="2"/>
  <c r="V86" i="2"/>
  <c r="AA85" i="2"/>
  <c r="Z85" i="2"/>
  <c r="Y85" i="2"/>
  <c r="X85" i="2"/>
  <c r="W85" i="2"/>
  <c r="V85" i="2"/>
  <c r="AA84" i="2"/>
  <c r="Z84" i="2"/>
  <c r="Y84" i="2"/>
  <c r="X84" i="2"/>
  <c r="W84" i="2"/>
  <c r="V84" i="2"/>
  <c r="AA83" i="2"/>
  <c r="Z83" i="2"/>
  <c r="Y83" i="2"/>
  <c r="X83" i="2"/>
  <c r="W83" i="2"/>
  <c r="V83" i="2"/>
  <c r="A83" i="2" s="1"/>
  <c r="AA82" i="2"/>
  <c r="Z82" i="2"/>
  <c r="Y82" i="2"/>
  <c r="X82" i="2"/>
  <c r="W82" i="2"/>
  <c r="V82" i="2"/>
  <c r="AA81" i="2"/>
  <c r="Z81" i="2"/>
  <c r="Y81" i="2"/>
  <c r="X81" i="2"/>
  <c r="W81" i="2"/>
  <c r="V81" i="2"/>
  <c r="AA80" i="2"/>
  <c r="Z80" i="2"/>
  <c r="Y80" i="2"/>
  <c r="X80" i="2"/>
  <c r="W80" i="2"/>
  <c r="V80" i="2"/>
  <c r="AA79" i="2"/>
  <c r="Z79" i="2"/>
  <c r="Y79" i="2"/>
  <c r="X79" i="2"/>
  <c r="W79" i="2"/>
  <c r="V79" i="2"/>
  <c r="AA78" i="2"/>
  <c r="Z78" i="2"/>
  <c r="Y78" i="2"/>
  <c r="X78" i="2"/>
  <c r="W78" i="2"/>
  <c r="V78" i="2"/>
  <c r="AA77" i="2"/>
  <c r="Z77" i="2"/>
  <c r="Y77" i="2"/>
  <c r="X77" i="2"/>
  <c r="W77" i="2"/>
  <c r="V77" i="2"/>
  <c r="AA76" i="2"/>
  <c r="Z76" i="2"/>
  <c r="Y76" i="2"/>
  <c r="X76" i="2"/>
  <c r="W76" i="2"/>
  <c r="V76" i="2"/>
  <c r="AA75" i="2"/>
  <c r="Z75" i="2"/>
  <c r="Y75" i="2"/>
  <c r="X75" i="2"/>
  <c r="W75" i="2"/>
  <c r="V75" i="2"/>
  <c r="AA74" i="2"/>
  <c r="Z74" i="2"/>
  <c r="Y74" i="2"/>
  <c r="X74" i="2"/>
  <c r="W74" i="2"/>
  <c r="V74" i="2"/>
  <c r="AA73" i="2"/>
  <c r="Z73" i="2"/>
  <c r="Y73" i="2"/>
  <c r="X73" i="2"/>
  <c r="W73" i="2"/>
  <c r="V73" i="2"/>
  <c r="AA72" i="2"/>
  <c r="Z72" i="2"/>
  <c r="Y72" i="2"/>
  <c r="X72" i="2"/>
  <c r="W72" i="2"/>
  <c r="V72" i="2"/>
  <c r="A72" i="2"/>
  <c r="AA71" i="2"/>
  <c r="Z71" i="2"/>
  <c r="Y71" i="2"/>
  <c r="X71" i="2"/>
  <c r="W71" i="2"/>
  <c r="V71" i="2"/>
  <c r="AA70" i="2"/>
  <c r="Z70" i="2"/>
  <c r="Y70" i="2"/>
  <c r="X70" i="2"/>
  <c r="W70" i="2"/>
  <c r="V70" i="2"/>
  <c r="AA69" i="2"/>
  <c r="Z69" i="2"/>
  <c r="Y69" i="2"/>
  <c r="X69" i="2"/>
  <c r="W69" i="2"/>
  <c r="V69" i="2"/>
  <c r="AA68" i="2"/>
  <c r="Z68" i="2"/>
  <c r="Y68" i="2"/>
  <c r="X68" i="2"/>
  <c r="W68" i="2"/>
  <c r="V68" i="2"/>
  <c r="AA67" i="2"/>
  <c r="Z67" i="2"/>
  <c r="Y67" i="2"/>
  <c r="X67" i="2"/>
  <c r="W67" i="2"/>
  <c r="V67" i="2"/>
  <c r="AA66" i="2"/>
  <c r="Z66" i="2"/>
  <c r="Y66" i="2"/>
  <c r="X66" i="2"/>
  <c r="W66" i="2"/>
  <c r="V66" i="2"/>
  <c r="AA65" i="2"/>
  <c r="Z65" i="2"/>
  <c r="Y65" i="2"/>
  <c r="X65" i="2"/>
  <c r="W65" i="2"/>
  <c r="V65" i="2"/>
  <c r="AA64" i="2"/>
  <c r="Z64" i="2"/>
  <c r="Y64" i="2"/>
  <c r="X64" i="2"/>
  <c r="W64" i="2"/>
  <c r="V64" i="2"/>
  <c r="A64" i="2"/>
  <c r="B136" i="6" s="1"/>
  <c r="A136" i="6" s="1"/>
  <c r="AA63" i="2"/>
  <c r="Z63" i="2"/>
  <c r="Y63" i="2"/>
  <c r="X63" i="2"/>
  <c r="W63" i="2"/>
  <c r="V63" i="2"/>
  <c r="AA62" i="2"/>
  <c r="Z62" i="2"/>
  <c r="Y62" i="2"/>
  <c r="X62" i="2"/>
  <c r="W62" i="2"/>
  <c r="V62" i="2"/>
  <c r="AA61" i="2"/>
  <c r="Z61" i="2"/>
  <c r="Y61" i="2"/>
  <c r="X61" i="2"/>
  <c r="W61" i="2"/>
  <c r="V61" i="2"/>
  <c r="AA60" i="2"/>
  <c r="Z60" i="2"/>
  <c r="Y60" i="2"/>
  <c r="X60" i="2"/>
  <c r="W60" i="2"/>
  <c r="V60" i="2"/>
  <c r="A60" i="2" s="1"/>
  <c r="B130" i="6" s="1"/>
  <c r="A130" i="6" s="1"/>
  <c r="AA59" i="2"/>
  <c r="Z59" i="2"/>
  <c r="Y59" i="2"/>
  <c r="X59" i="2"/>
  <c r="W59" i="2"/>
  <c r="V59" i="2"/>
  <c r="AA58" i="2"/>
  <c r="Z58" i="2"/>
  <c r="Y58" i="2"/>
  <c r="X58" i="2"/>
  <c r="W58" i="2"/>
  <c r="V58" i="2"/>
  <c r="AA57" i="2"/>
  <c r="Z57" i="2"/>
  <c r="Y57" i="2"/>
  <c r="X57" i="2"/>
  <c r="A57" i="2" s="1"/>
  <c r="B117" i="6" s="1"/>
  <c r="A117" i="6" s="1"/>
  <c r="W57" i="2"/>
  <c r="V57" i="2"/>
  <c r="AA56" i="2"/>
  <c r="Z56" i="2"/>
  <c r="Y56" i="2"/>
  <c r="X56" i="2"/>
  <c r="W56" i="2"/>
  <c r="V56" i="2"/>
  <c r="AA55" i="2"/>
  <c r="Z55" i="2"/>
  <c r="Y55" i="2"/>
  <c r="X55" i="2"/>
  <c r="W55" i="2"/>
  <c r="V55" i="2"/>
  <c r="AA54" i="2"/>
  <c r="Z54" i="2"/>
  <c r="Y54" i="2"/>
  <c r="X54" i="2"/>
  <c r="W54" i="2"/>
  <c r="V54" i="2"/>
  <c r="AA53" i="2"/>
  <c r="Z53" i="2"/>
  <c r="Y53" i="2"/>
  <c r="X53" i="2"/>
  <c r="W53" i="2"/>
  <c r="V53" i="2"/>
  <c r="AA52" i="2"/>
  <c r="Z52" i="2"/>
  <c r="Y52" i="2"/>
  <c r="X52" i="2"/>
  <c r="W52" i="2"/>
  <c r="V52" i="2"/>
  <c r="AA51" i="2"/>
  <c r="Z51" i="2"/>
  <c r="Y51" i="2"/>
  <c r="X51" i="2"/>
  <c r="W51" i="2"/>
  <c r="V51" i="2"/>
  <c r="AA50" i="2"/>
  <c r="Z50" i="2"/>
  <c r="Y50" i="2"/>
  <c r="X50" i="2"/>
  <c r="W50" i="2"/>
  <c r="V50" i="2"/>
  <c r="AA49" i="2"/>
  <c r="Z49" i="2"/>
  <c r="Y49" i="2"/>
  <c r="X49" i="2"/>
  <c r="W49" i="2"/>
  <c r="V49" i="2"/>
  <c r="AA48" i="2"/>
  <c r="Z48" i="2"/>
  <c r="Y48" i="2"/>
  <c r="X48" i="2"/>
  <c r="W48" i="2"/>
  <c r="V48" i="2"/>
  <c r="AA47" i="2"/>
  <c r="Z47" i="2"/>
  <c r="Y47" i="2"/>
  <c r="X47" i="2"/>
  <c r="W47" i="2"/>
  <c r="V47" i="2"/>
  <c r="AA46" i="2"/>
  <c r="Z46" i="2"/>
  <c r="Y46" i="2"/>
  <c r="X46" i="2"/>
  <c r="W46" i="2"/>
  <c r="V46" i="2"/>
  <c r="AA45" i="2"/>
  <c r="Z45" i="2"/>
  <c r="Y45" i="2"/>
  <c r="X45" i="2"/>
  <c r="W45" i="2"/>
  <c r="V45" i="2"/>
  <c r="AA44" i="2"/>
  <c r="Z44" i="2"/>
  <c r="Y44" i="2"/>
  <c r="X44" i="2"/>
  <c r="W44" i="2"/>
  <c r="V44" i="2"/>
  <c r="AA43" i="2"/>
  <c r="Z43" i="2"/>
  <c r="Y43" i="2"/>
  <c r="X43" i="2"/>
  <c r="W43" i="2"/>
  <c r="V43" i="2"/>
  <c r="AA42" i="2"/>
  <c r="Z42" i="2"/>
  <c r="Y42" i="2"/>
  <c r="X42" i="2"/>
  <c r="W42" i="2"/>
  <c r="V42" i="2"/>
  <c r="AA41" i="2"/>
  <c r="Z41" i="2"/>
  <c r="Y41" i="2"/>
  <c r="X41" i="2"/>
  <c r="W41" i="2"/>
  <c r="V41" i="2"/>
  <c r="AA40" i="2"/>
  <c r="Z40" i="2"/>
  <c r="Y40" i="2"/>
  <c r="X40" i="2"/>
  <c r="W40" i="2"/>
  <c r="V40" i="2"/>
  <c r="AA39" i="2"/>
  <c r="Z39" i="2"/>
  <c r="Y39" i="2"/>
  <c r="X39" i="2"/>
  <c r="W39" i="2"/>
  <c r="V39" i="2"/>
  <c r="AA38" i="2"/>
  <c r="Z38" i="2"/>
  <c r="Y38" i="2"/>
  <c r="X38" i="2"/>
  <c r="W38" i="2"/>
  <c r="V38" i="2"/>
  <c r="AA37" i="2"/>
  <c r="Z37" i="2"/>
  <c r="Y37" i="2"/>
  <c r="X37" i="2"/>
  <c r="W37" i="2"/>
  <c r="V37" i="2"/>
  <c r="AA36" i="2"/>
  <c r="Z36" i="2"/>
  <c r="Y36" i="2"/>
  <c r="X36" i="2"/>
  <c r="W36" i="2"/>
  <c r="V36" i="2"/>
  <c r="AA35" i="2"/>
  <c r="Z35" i="2"/>
  <c r="Y35" i="2"/>
  <c r="X35" i="2"/>
  <c r="W35" i="2"/>
  <c r="V35" i="2"/>
  <c r="AA34" i="2"/>
  <c r="Z34" i="2"/>
  <c r="Y34" i="2"/>
  <c r="X34" i="2"/>
  <c r="W34" i="2"/>
  <c r="V34" i="2"/>
  <c r="AA33" i="2"/>
  <c r="Z33" i="2"/>
  <c r="Y33" i="2"/>
  <c r="X33" i="2"/>
  <c r="W33" i="2"/>
  <c r="V33" i="2"/>
  <c r="AA32" i="2"/>
  <c r="Z32" i="2"/>
  <c r="Y32" i="2"/>
  <c r="X32" i="2"/>
  <c r="W32" i="2"/>
  <c r="V32" i="2"/>
  <c r="AA31" i="2"/>
  <c r="Z31" i="2"/>
  <c r="Y31" i="2"/>
  <c r="X31" i="2"/>
  <c r="W31" i="2"/>
  <c r="V31" i="2"/>
  <c r="AA30" i="2"/>
  <c r="Z30" i="2"/>
  <c r="Y30" i="2"/>
  <c r="X30" i="2"/>
  <c r="W30" i="2"/>
  <c r="V30" i="2"/>
  <c r="AA29" i="2"/>
  <c r="Z29" i="2"/>
  <c r="Y29" i="2"/>
  <c r="X29" i="2"/>
  <c r="W29" i="2"/>
  <c r="V29" i="2"/>
  <c r="AA28" i="2"/>
  <c r="Z28" i="2"/>
  <c r="Y28" i="2"/>
  <c r="X28" i="2"/>
  <c r="W28" i="2"/>
  <c r="V28" i="2"/>
  <c r="AA27" i="2"/>
  <c r="Z27" i="2"/>
  <c r="Y27" i="2"/>
  <c r="X27" i="2"/>
  <c r="W27" i="2"/>
  <c r="V27" i="2"/>
  <c r="AA26" i="2"/>
  <c r="Z26" i="2"/>
  <c r="Y26" i="2"/>
  <c r="X26" i="2"/>
  <c r="W26" i="2"/>
  <c r="V26" i="2"/>
  <c r="AA25" i="2"/>
  <c r="Z25" i="2"/>
  <c r="Y25" i="2"/>
  <c r="X25" i="2"/>
  <c r="W25" i="2"/>
  <c r="V25" i="2"/>
  <c r="AA24" i="2"/>
  <c r="Z24" i="2"/>
  <c r="Y24" i="2"/>
  <c r="X24" i="2"/>
  <c r="W24" i="2"/>
  <c r="V24" i="2"/>
  <c r="AA23" i="2"/>
  <c r="Z23" i="2"/>
  <c r="Y23" i="2"/>
  <c r="X23" i="2"/>
  <c r="W23" i="2"/>
  <c r="V23" i="2"/>
  <c r="AA22" i="2"/>
  <c r="Z22" i="2"/>
  <c r="Y22" i="2"/>
  <c r="X22" i="2"/>
  <c r="W22" i="2"/>
  <c r="V22" i="2"/>
  <c r="A22" i="2" s="1"/>
  <c r="B36" i="6" s="1"/>
  <c r="A36" i="6" s="1"/>
  <c r="AA21" i="2"/>
  <c r="Z21" i="2"/>
  <c r="Y21" i="2"/>
  <c r="X21" i="2"/>
  <c r="W21" i="2"/>
  <c r="V21" i="2"/>
  <c r="AA20" i="2"/>
  <c r="Z20" i="2"/>
  <c r="Y20" i="2"/>
  <c r="X20" i="2"/>
  <c r="W20" i="2"/>
  <c r="V20" i="2"/>
  <c r="AA19" i="2"/>
  <c r="Z19" i="2"/>
  <c r="Y19" i="2"/>
  <c r="X19" i="2"/>
  <c r="W19" i="2"/>
  <c r="V19" i="2"/>
  <c r="AA18" i="2"/>
  <c r="Z18" i="2"/>
  <c r="Y18" i="2"/>
  <c r="X18" i="2"/>
  <c r="W18" i="2"/>
  <c r="V18" i="2"/>
  <c r="AA17" i="2"/>
  <c r="Z17" i="2"/>
  <c r="Y17" i="2"/>
  <c r="X17" i="2"/>
  <c r="W17" i="2"/>
  <c r="V17" i="2"/>
  <c r="A17" i="2" s="1"/>
  <c r="B29" i="6" s="1"/>
  <c r="A29" i="6" s="1"/>
  <c r="AA16" i="2"/>
  <c r="Z16" i="2"/>
  <c r="Y16" i="2"/>
  <c r="X16" i="2"/>
  <c r="W16" i="2"/>
  <c r="V16" i="2"/>
  <c r="AA15" i="2"/>
  <c r="Z15" i="2"/>
  <c r="Y15" i="2"/>
  <c r="X15" i="2"/>
  <c r="W15" i="2"/>
  <c r="V15" i="2"/>
  <c r="AA14" i="2"/>
  <c r="Z14" i="2"/>
  <c r="Y14" i="2"/>
  <c r="X14" i="2"/>
  <c r="W14" i="2"/>
  <c r="V14" i="2"/>
  <c r="AA13" i="2"/>
  <c r="Z13" i="2"/>
  <c r="Y13" i="2"/>
  <c r="X13" i="2"/>
  <c r="W13" i="2"/>
  <c r="V13" i="2"/>
  <c r="AA12" i="2"/>
  <c r="Z12" i="2"/>
  <c r="Y12" i="2"/>
  <c r="X12" i="2"/>
  <c r="W12" i="2"/>
  <c r="V12" i="2"/>
  <c r="AA11" i="2"/>
  <c r="Z11" i="2"/>
  <c r="Y11" i="2"/>
  <c r="X11" i="2"/>
  <c r="W11" i="2"/>
  <c r="V11" i="2"/>
  <c r="AA10" i="2"/>
  <c r="Z10" i="2"/>
  <c r="Y10" i="2"/>
  <c r="X10" i="2"/>
  <c r="W10" i="2"/>
  <c r="V10" i="2"/>
  <c r="AA9" i="2"/>
  <c r="Z9" i="2"/>
  <c r="Y9" i="2"/>
  <c r="X9" i="2"/>
  <c r="W9" i="2"/>
  <c r="V9" i="2"/>
  <c r="AA8" i="2"/>
  <c r="Z8" i="2"/>
  <c r="Y8" i="2"/>
  <c r="X8" i="2"/>
  <c r="W8" i="2"/>
  <c r="V8" i="2"/>
  <c r="AA7" i="2"/>
  <c r="Z7" i="2"/>
  <c r="Y7" i="2"/>
  <c r="X7" i="2"/>
  <c r="W7" i="2"/>
  <c r="V7" i="2"/>
  <c r="AA6" i="2"/>
  <c r="Z6" i="2"/>
  <c r="Y6" i="2"/>
  <c r="X6" i="2"/>
  <c r="W6" i="2"/>
  <c r="V6" i="2"/>
  <c r="X4" i="2"/>
  <c r="W4" i="2"/>
  <c r="V4" i="2"/>
  <c r="A243" i="2" s="1"/>
  <c r="AM506" i="1"/>
  <c r="AL506" i="1"/>
  <c r="AK506" i="1"/>
  <c r="AJ506" i="1"/>
  <c r="AI506" i="1"/>
  <c r="AM505" i="1"/>
  <c r="AL505" i="1"/>
  <c r="AK505" i="1"/>
  <c r="AJ505" i="1"/>
  <c r="AI505" i="1"/>
  <c r="AM504" i="1"/>
  <c r="AL504" i="1"/>
  <c r="AK504" i="1"/>
  <c r="AJ504" i="1"/>
  <c r="AI504" i="1"/>
  <c r="AM503" i="1"/>
  <c r="AL503" i="1"/>
  <c r="AK503" i="1"/>
  <c r="AJ503" i="1"/>
  <c r="AI503" i="1"/>
  <c r="AM502" i="1"/>
  <c r="AL502" i="1"/>
  <c r="AK502" i="1"/>
  <c r="AJ502" i="1"/>
  <c r="AI502" i="1"/>
  <c r="AM501" i="1"/>
  <c r="AL501" i="1"/>
  <c r="AK501" i="1"/>
  <c r="AJ501" i="1"/>
  <c r="AI501" i="1"/>
  <c r="AM500" i="1"/>
  <c r="AL500" i="1"/>
  <c r="AK500" i="1"/>
  <c r="AJ500" i="1"/>
  <c r="AI500" i="1"/>
  <c r="AM499" i="1"/>
  <c r="AL499" i="1"/>
  <c r="AK499" i="1"/>
  <c r="AJ499" i="1"/>
  <c r="AI499" i="1"/>
  <c r="AM498" i="1"/>
  <c r="AL498" i="1"/>
  <c r="AK498" i="1"/>
  <c r="AJ498" i="1"/>
  <c r="AI498" i="1"/>
  <c r="AM497" i="1"/>
  <c r="AL497" i="1"/>
  <c r="AK497" i="1"/>
  <c r="AJ497" i="1"/>
  <c r="AI497" i="1"/>
  <c r="AM496" i="1"/>
  <c r="AL496" i="1"/>
  <c r="AK496" i="1"/>
  <c r="AJ496" i="1"/>
  <c r="AI496" i="1"/>
  <c r="AM495" i="1"/>
  <c r="AL495" i="1"/>
  <c r="AK495" i="1"/>
  <c r="AJ495" i="1"/>
  <c r="AI495" i="1"/>
  <c r="AM494" i="1"/>
  <c r="AL494" i="1"/>
  <c r="AK494" i="1"/>
  <c r="AJ494" i="1"/>
  <c r="AI494" i="1"/>
  <c r="AM493" i="1"/>
  <c r="AL493" i="1"/>
  <c r="AK493" i="1"/>
  <c r="AJ493" i="1"/>
  <c r="AI493" i="1"/>
  <c r="AM492" i="1"/>
  <c r="AL492" i="1"/>
  <c r="AK492" i="1"/>
  <c r="AJ492" i="1"/>
  <c r="AI492" i="1"/>
  <c r="AM491" i="1"/>
  <c r="AL491" i="1"/>
  <c r="AK491" i="1"/>
  <c r="AJ491" i="1"/>
  <c r="AI491" i="1"/>
  <c r="AM490" i="1"/>
  <c r="AL490" i="1"/>
  <c r="AK490" i="1"/>
  <c r="AJ490" i="1"/>
  <c r="AI490" i="1"/>
  <c r="AM489" i="1"/>
  <c r="AL489" i="1"/>
  <c r="AK489" i="1"/>
  <c r="AJ489" i="1"/>
  <c r="AI489" i="1"/>
  <c r="AM488" i="1"/>
  <c r="AL488" i="1"/>
  <c r="AK488" i="1"/>
  <c r="AJ488" i="1"/>
  <c r="AI488" i="1"/>
  <c r="AM487" i="1"/>
  <c r="AL487" i="1"/>
  <c r="AK487" i="1"/>
  <c r="AJ487" i="1"/>
  <c r="AI487" i="1"/>
  <c r="AM486" i="1"/>
  <c r="AL486" i="1"/>
  <c r="AK486" i="1"/>
  <c r="AJ486" i="1"/>
  <c r="AI486" i="1"/>
  <c r="AM485" i="1"/>
  <c r="AL485" i="1"/>
  <c r="AK485" i="1"/>
  <c r="AJ485" i="1"/>
  <c r="AI485" i="1"/>
  <c r="AM484" i="1"/>
  <c r="AL484" i="1"/>
  <c r="AK484" i="1"/>
  <c r="AJ484" i="1"/>
  <c r="AI484" i="1"/>
  <c r="AM483" i="1"/>
  <c r="AL483" i="1"/>
  <c r="AK483" i="1"/>
  <c r="AJ483" i="1"/>
  <c r="AI483" i="1"/>
  <c r="AM482" i="1"/>
  <c r="AL482" i="1"/>
  <c r="AK482" i="1"/>
  <c r="AJ482" i="1"/>
  <c r="AI482" i="1"/>
  <c r="AM481" i="1"/>
  <c r="AL481" i="1"/>
  <c r="AK481" i="1"/>
  <c r="AJ481" i="1"/>
  <c r="AI481" i="1"/>
  <c r="AM480" i="1"/>
  <c r="AL480" i="1"/>
  <c r="AK480" i="1"/>
  <c r="AJ480" i="1"/>
  <c r="AI480" i="1"/>
  <c r="AM479" i="1"/>
  <c r="AL479" i="1"/>
  <c r="AK479" i="1"/>
  <c r="AJ479" i="1"/>
  <c r="AI479" i="1"/>
  <c r="AM478" i="1"/>
  <c r="AL478" i="1"/>
  <c r="AK478" i="1"/>
  <c r="AJ478" i="1"/>
  <c r="AI478" i="1"/>
  <c r="AM477" i="1"/>
  <c r="AL477" i="1"/>
  <c r="AK477" i="1"/>
  <c r="AJ477" i="1"/>
  <c r="AI477" i="1"/>
  <c r="AM476" i="1"/>
  <c r="AL476" i="1"/>
  <c r="AK476" i="1"/>
  <c r="AJ476" i="1"/>
  <c r="AI476" i="1"/>
  <c r="AM475" i="1"/>
  <c r="AL475" i="1"/>
  <c r="AK475" i="1"/>
  <c r="AJ475" i="1"/>
  <c r="AI475" i="1"/>
  <c r="AM474" i="1"/>
  <c r="AL474" i="1"/>
  <c r="AK474" i="1"/>
  <c r="AJ474" i="1"/>
  <c r="AI474" i="1"/>
  <c r="AM473" i="1"/>
  <c r="AL473" i="1"/>
  <c r="AK473" i="1"/>
  <c r="AJ473" i="1"/>
  <c r="AI473" i="1"/>
  <c r="AM472" i="1"/>
  <c r="AL472" i="1"/>
  <c r="AK472" i="1"/>
  <c r="AJ472" i="1"/>
  <c r="AI472" i="1"/>
  <c r="AM471" i="1"/>
  <c r="AL471" i="1"/>
  <c r="AK471" i="1"/>
  <c r="AJ471" i="1"/>
  <c r="AI471" i="1"/>
  <c r="AM470" i="1"/>
  <c r="AL470" i="1"/>
  <c r="AK470" i="1"/>
  <c r="AJ470" i="1"/>
  <c r="AI470" i="1"/>
  <c r="AM469" i="1"/>
  <c r="AL469" i="1"/>
  <c r="AK469" i="1"/>
  <c r="AJ469" i="1"/>
  <c r="AI469" i="1"/>
  <c r="AM468" i="1"/>
  <c r="AL468" i="1"/>
  <c r="AK468" i="1"/>
  <c r="AJ468" i="1"/>
  <c r="AI468" i="1"/>
  <c r="AM467" i="1"/>
  <c r="AL467" i="1"/>
  <c r="AK467" i="1"/>
  <c r="AJ467" i="1"/>
  <c r="AI467" i="1"/>
  <c r="AM466" i="1"/>
  <c r="AL466" i="1"/>
  <c r="AK466" i="1"/>
  <c r="AJ466" i="1"/>
  <c r="AI466" i="1"/>
  <c r="AM465" i="1"/>
  <c r="AL465" i="1"/>
  <c r="AK465" i="1"/>
  <c r="AJ465" i="1"/>
  <c r="AI465" i="1"/>
  <c r="AM464" i="1"/>
  <c r="AL464" i="1"/>
  <c r="AK464" i="1"/>
  <c r="AJ464" i="1"/>
  <c r="AI464" i="1"/>
  <c r="AM463" i="1"/>
  <c r="AL463" i="1"/>
  <c r="AK463" i="1"/>
  <c r="AJ463" i="1"/>
  <c r="AI463" i="1"/>
  <c r="AM462" i="1"/>
  <c r="AL462" i="1"/>
  <c r="AK462" i="1"/>
  <c r="AJ462" i="1"/>
  <c r="AI462" i="1"/>
  <c r="AM461" i="1"/>
  <c r="AL461" i="1"/>
  <c r="AK461" i="1"/>
  <c r="AJ461" i="1"/>
  <c r="AI461" i="1"/>
  <c r="AM460" i="1"/>
  <c r="AL460" i="1"/>
  <c r="AK460" i="1"/>
  <c r="AJ460" i="1"/>
  <c r="AI460" i="1"/>
  <c r="AM459" i="1"/>
  <c r="AL459" i="1"/>
  <c r="AK459" i="1"/>
  <c r="AJ459" i="1"/>
  <c r="AI459" i="1"/>
  <c r="A459" i="1" s="1"/>
  <c r="AM458" i="1"/>
  <c r="AL458" i="1"/>
  <c r="AK458" i="1"/>
  <c r="AJ458" i="1"/>
  <c r="AI458" i="1"/>
  <c r="AM457" i="1"/>
  <c r="AL457" i="1"/>
  <c r="AK457" i="1"/>
  <c r="AJ457" i="1"/>
  <c r="AI457" i="1"/>
  <c r="AM456" i="1"/>
  <c r="AL456" i="1"/>
  <c r="AK456" i="1"/>
  <c r="AJ456" i="1"/>
  <c r="AI456" i="1"/>
  <c r="AM455" i="1"/>
  <c r="AL455" i="1"/>
  <c r="AK455" i="1"/>
  <c r="AJ455" i="1"/>
  <c r="AI455" i="1"/>
  <c r="AM454" i="1"/>
  <c r="AL454" i="1"/>
  <c r="AK454" i="1"/>
  <c r="AJ454" i="1"/>
  <c r="AI454" i="1"/>
  <c r="AM453" i="1"/>
  <c r="AL453" i="1"/>
  <c r="AK453" i="1"/>
  <c r="AJ453" i="1"/>
  <c r="AI453" i="1"/>
  <c r="AM452" i="1"/>
  <c r="AL452" i="1"/>
  <c r="AK452" i="1"/>
  <c r="AJ452" i="1"/>
  <c r="AI452" i="1"/>
  <c r="AM451" i="1"/>
  <c r="AL451" i="1"/>
  <c r="AK451" i="1"/>
  <c r="AJ451" i="1"/>
  <c r="AI451" i="1"/>
  <c r="AM450" i="1"/>
  <c r="AL450" i="1"/>
  <c r="AK450" i="1"/>
  <c r="AJ450" i="1"/>
  <c r="AI450" i="1"/>
  <c r="AM449" i="1"/>
  <c r="AL449" i="1"/>
  <c r="AK449" i="1"/>
  <c r="AJ449" i="1"/>
  <c r="AI449" i="1"/>
  <c r="AM448" i="1"/>
  <c r="AL448" i="1"/>
  <c r="AK448" i="1"/>
  <c r="AJ448" i="1"/>
  <c r="AI448" i="1"/>
  <c r="AM447" i="1"/>
  <c r="AL447" i="1"/>
  <c r="AK447" i="1"/>
  <c r="AJ447" i="1"/>
  <c r="AI447" i="1"/>
  <c r="AM446" i="1"/>
  <c r="AL446" i="1"/>
  <c r="AK446" i="1"/>
  <c r="AJ446" i="1"/>
  <c r="AI446" i="1"/>
  <c r="AM445" i="1"/>
  <c r="AL445" i="1"/>
  <c r="AK445" i="1"/>
  <c r="AJ445" i="1"/>
  <c r="AI445" i="1"/>
  <c r="AM444" i="1"/>
  <c r="AL444" i="1"/>
  <c r="AK444" i="1"/>
  <c r="AJ444" i="1"/>
  <c r="AI444" i="1"/>
  <c r="AM443" i="1"/>
  <c r="AL443" i="1"/>
  <c r="AK443" i="1"/>
  <c r="AJ443" i="1"/>
  <c r="AI443" i="1"/>
  <c r="AM442" i="1"/>
  <c r="AL442" i="1"/>
  <c r="AK442" i="1"/>
  <c r="AJ442" i="1"/>
  <c r="AI442" i="1"/>
  <c r="AM441" i="1"/>
  <c r="AL441" i="1"/>
  <c r="AK441" i="1"/>
  <c r="AJ441" i="1"/>
  <c r="AI441" i="1"/>
  <c r="AM440" i="1"/>
  <c r="AL440" i="1"/>
  <c r="AK440" i="1"/>
  <c r="AJ440" i="1"/>
  <c r="AI440" i="1"/>
  <c r="AM439" i="1"/>
  <c r="AL439" i="1"/>
  <c r="AK439" i="1"/>
  <c r="AJ439" i="1"/>
  <c r="AI439" i="1"/>
  <c r="AM438" i="1"/>
  <c r="AL438" i="1"/>
  <c r="AK438" i="1"/>
  <c r="AJ438" i="1"/>
  <c r="AI438" i="1"/>
  <c r="AM437" i="1"/>
  <c r="AL437" i="1"/>
  <c r="AK437" i="1"/>
  <c r="AJ437" i="1"/>
  <c r="AI437" i="1"/>
  <c r="AM436" i="1"/>
  <c r="AL436" i="1"/>
  <c r="AK436" i="1"/>
  <c r="AJ436" i="1"/>
  <c r="AI436" i="1"/>
  <c r="AM435" i="1"/>
  <c r="AL435" i="1"/>
  <c r="AK435" i="1"/>
  <c r="AJ435" i="1"/>
  <c r="AI435" i="1"/>
  <c r="AM434" i="1"/>
  <c r="AL434" i="1"/>
  <c r="AK434" i="1"/>
  <c r="AJ434" i="1"/>
  <c r="AI434" i="1"/>
  <c r="AM433" i="1"/>
  <c r="AL433" i="1"/>
  <c r="AK433" i="1"/>
  <c r="AJ433" i="1"/>
  <c r="AI433" i="1"/>
  <c r="AM432" i="1"/>
  <c r="AL432" i="1"/>
  <c r="AK432" i="1"/>
  <c r="AJ432" i="1"/>
  <c r="AI432" i="1"/>
  <c r="AM431" i="1"/>
  <c r="AL431" i="1"/>
  <c r="AK431" i="1"/>
  <c r="AJ431" i="1"/>
  <c r="AI431" i="1"/>
  <c r="AM430" i="1"/>
  <c r="AL430" i="1"/>
  <c r="AK430" i="1"/>
  <c r="AJ430" i="1"/>
  <c r="AI430" i="1"/>
  <c r="AM429" i="1"/>
  <c r="AL429" i="1"/>
  <c r="AK429" i="1"/>
  <c r="AJ429" i="1"/>
  <c r="AI429" i="1"/>
  <c r="AM428" i="1"/>
  <c r="AL428" i="1"/>
  <c r="AK428" i="1"/>
  <c r="AJ428" i="1"/>
  <c r="AI428" i="1"/>
  <c r="AM427" i="1"/>
  <c r="AL427" i="1"/>
  <c r="AK427" i="1"/>
  <c r="AJ427" i="1"/>
  <c r="AI427" i="1"/>
  <c r="AM426" i="1"/>
  <c r="AL426" i="1"/>
  <c r="AK426" i="1"/>
  <c r="AJ426" i="1"/>
  <c r="AI426" i="1"/>
  <c r="AM425" i="1"/>
  <c r="AL425" i="1"/>
  <c r="AK425" i="1"/>
  <c r="AJ425" i="1"/>
  <c r="AI425" i="1"/>
  <c r="AM424" i="1"/>
  <c r="AL424" i="1"/>
  <c r="AK424" i="1"/>
  <c r="AJ424" i="1"/>
  <c r="AI424" i="1"/>
  <c r="AM423" i="1"/>
  <c r="AL423" i="1"/>
  <c r="AK423" i="1"/>
  <c r="AJ423" i="1"/>
  <c r="AI423" i="1"/>
  <c r="AM422" i="1"/>
  <c r="AL422" i="1"/>
  <c r="AK422" i="1"/>
  <c r="AJ422" i="1"/>
  <c r="AI422" i="1"/>
  <c r="AM421" i="1"/>
  <c r="AL421" i="1"/>
  <c r="AK421" i="1"/>
  <c r="AJ421" i="1"/>
  <c r="AI421" i="1"/>
  <c r="AM420" i="1"/>
  <c r="AL420" i="1"/>
  <c r="AK420" i="1"/>
  <c r="AJ420" i="1"/>
  <c r="AI420" i="1"/>
  <c r="AM419" i="1"/>
  <c r="AL419" i="1"/>
  <c r="AK419" i="1"/>
  <c r="AJ419" i="1"/>
  <c r="AI419" i="1"/>
  <c r="AM418" i="1"/>
  <c r="AL418" i="1"/>
  <c r="AK418" i="1"/>
  <c r="AJ418" i="1"/>
  <c r="AI418" i="1"/>
  <c r="AM417" i="1"/>
  <c r="AL417" i="1"/>
  <c r="AK417" i="1"/>
  <c r="AJ417" i="1"/>
  <c r="AI417" i="1"/>
  <c r="AM416" i="1"/>
  <c r="AL416" i="1"/>
  <c r="AK416" i="1"/>
  <c r="AJ416" i="1"/>
  <c r="AI416" i="1"/>
  <c r="AM415" i="1"/>
  <c r="AL415" i="1"/>
  <c r="AK415" i="1"/>
  <c r="AJ415" i="1"/>
  <c r="AI415" i="1"/>
  <c r="AM414" i="1"/>
  <c r="AL414" i="1"/>
  <c r="AK414" i="1"/>
  <c r="AJ414" i="1"/>
  <c r="AI414" i="1"/>
  <c r="AM413" i="1"/>
  <c r="AL413" i="1"/>
  <c r="AK413" i="1"/>
  <c r="AJ413" i="1"/>
  <c r="AI413" i="1"/>
  <c r="AM412" i="1"/>
  <c r="AL412" i="1"/>
  <c r="AK412" i="1"/>
  <c r="AJ412" i="1"/>
  <c r="AI412" i="1"/>
  <c r="AM411" i="1"/>
  <c r="AL411" i="1"/>
  <c r="AK411" i="1"/>
  <c r="AJ411" i="1"/>
  <c r="AI411" i="1"/>
  <c r="AM410" i="1"/>
  <c r="AL410" i="1"/>
  <c r="AK410" i="1"/>
  <c r="AJ410" i="1"/>
  <c r="AI410" i="1"/>
  <c r="AM409" i="1"/>
  <c r="AL409" i="1"/>
  <c r="AK409" i="1"/>
  <c r="AJ409" i="1"/>
  <c r="AI409" i="1"/>
  <c r="AM408" i="1"/>
  <c r="AL408" i="1"/>
  <c r="AK408" i="1"/>
  <c r="AJ408" i="1"/>
  <c r="AI408" i="1"/>
  <c r="AM407" i="1"/>
  <c r="AL407" i="1"/>
  <c r="AK407" i="1"/>
  <c r="AJ407" i="1"/>
  <c r="AI407" i="1"/>
  <c r="AM406" i="1"/>
  <c r="AL406" i="1"/>
  <c r="AK406" i="1"/>
  <c r="AJ406" i="1"/>
  <c r="AI406" i="1"/>
  <c r="AM405" i="1"/>
  <c r="AL405" i="1"/>
  <c r="AK405" i="1"/>
  <c r="AJ405" i="1"/>
  <c r="AI405" i="1"/>
  <c r="AM404" i="1"/>
  <c r="AL404" i="1"/>
  <c r="AK404" i="1"/>
  <c r="AJ404" i="1"/>
  <c r="AI404" i="1"/>
  <c r="AM403" i="1"/>
  <c r="AL403" i="1"/>
  <c r="AK403" i="1"/>
  <c r="AJ403" i="1"/>
  <c r="AI403" i="1"/>
  <c r="AM402" i="1"/>
  <c r="AL402" i="1"/>
  <c r="AK402" i="1"/>
  <c r="AJ402" i="1"/>
  <c r="AI402" i="1"/>
  <c r="AM401" i="1"/>
  <c r="AL401" i="1"/>
  <c r="AK401" i="1"/>
  <c r="AJ401" i="1"/>
  <c r="AI401" i="1"/>
  <c r="AM400" i="1"/>
  <c r="AL400" i="1"/>
  <c r="AK400" i="1"/>
  <c r="AJ400" i="1"/>
  <c r="AI400" i="1"/>
  <c r="AM399" i="1"/>
  <c r="AL399" i="1"/>
  <c r="AK399" i="1"/>
  <c r="AJ399" i="1"/>
  <c r="AI399" i="1"/>
  <c r="AM398" i="1"/>
  <c r="AL398" i="1"/>
  <c r="AK398" i="1"/>
  <c r="AJ398" i="1"/>
  <c r="AI398" i="1"/>
  <c r="AM397" i="1"/>
  <c r="AL397" i="1"/>
  <c r="AK397" i="1"/>
  <c r="AJ397" i="1"/>
  <c r="AI397" i="1"/>
  <c r="AM396" i="1"/>
  <c r="AL396" i="1"/>
  <c r="AK396" i="1"/>
  <c r="AJ396" i="1"/>
  <c r="AI396" i="1"/>
  <c r="AM395" i="1"/>
  <c r="AL395" i="1"/>
  <c r="AK395" i="1"/>
  <c r="AJ395" i="1"/>
  <c r="AI395" i="1"/>
  <c r="AM394" i="1"/>
  <c r="AL394" i="1"/>
  <c r="AK394" i="1"/>
  <c r="AJ394" i="1"/>
  <c r="AI394" i="1"/>
  <c r="AM393" i="1"/>
  <c r="AL393" i="1"/>
  <c r="AK393" i="1"/>
  <c r="AJ393" i="1"/>
  <c r="AI393" i="1"/>
  <c r="AM392" i="1"/>
  <c r="AL392" i="1"/>
  <c r="AK392" i="1"/>
  <c r="AJ392" i="1"/>
  <c r="AI392" i="1"/>
  <c r="A392" i="1" s="1"/>
  <c r="AM391" i="1"/>
  <c r="AL391" i="1"/>
  <c r="AK391" i="1"/>
  <c r="AJ391" i="1"/>
  <c r="AI391" i="1"/>
  <c r="AM390" i="1"/>
  <c r="AL390" i="1"/>
  <c r="AK390" i="1"/>
  <c r="AJ390" i="1"/>
  <c r="AI390" i="1"/>
  <c r="AM389" i="1"/>
  <c r="AL389" i="1"/>
  <c r="AK389" i="1"/>
  <c r="AJ389" i="1"/>
  <c r="AI389" i="1"/>
  <c r="AM388" i="1"/>
  <c r="AL388" i="1"/>
  <c r="AK388" i="1"/>
  <c r="AJ388" i="1"/>
  <c r="AI388" i="1"/>
  <c r="AM387" i="1"/>
  <c r="AL387" i="1"/>
  <c r="AK387" i="1"/>
  <c r="AJ387" i="1"/>
  <c r="AI387" i="1"/>
  <c r="AM386" i="1"/>
  <c r="AL386" i="1"/>
  <c r="AK386" i="1"/>
  <c r="AJ386" i="1"/>
  <c r="AI386" i="1"/>
  <c r="AM385" i="1"/>
  <c r="AL385" i="1"/>
  <c r="AK385" i="1"/>
  <c r="AJ385" i="1"/>
  <c r="AI385" i="1"/>
  <c r="AM384" i="1"/>
  <c r="AL384" i="1"/>
  <c r="AK384" i="1"/>
  <c r="AJ384" i="1"/>
  <c r="AI384" i="1"/>
  <c r="AM383" i="1"/>
  <c r="AL383" i="1"/>
  <c r="AK383" i="1"/>
  <c r="AJ383" i="1"/>
  <c r="AI383" i="1"/>
  <c r="AM382" i="1"/>
  <c r="AL382" i="1"/>
  <c r="AK382" i="1"/>
  <c r="AJ382" i="1"/>
  <c r="AI382" i="1"/>
  <c r="AM381" i="1"/>
  <c r="AL381" i="1"/>
  <c r="AK381" i="1"/>
  <c r="AJ381" i="1"/>
  <c r="AI381" i="1"/>
  <c r="AM380" i="1"/>
  <c r="AL380" i="1"/>
  <c r="AK380" i="1"/>
  <c r="AJ380" i="1"/>
  <c r="AI380" i="1"/>
  <c r="AM379" i="1"/>
  <c r="AL379" i="1"/>
  <c r="AK379" i="1"/>
  <c r="AJ379" i="1"/>
  <c r="AI379" i="1"/>
  <c r="AM378" i="1"/>
  <c r="AL378" i="1"/>
  <c r="AK378" i="1"/>
  <c r="AJ378" i="1"/>
  <c r="AI378" i="1"/>
  <c r="AM377" i="1"/>
  <c r="AL377" i="1"/>
  <c r="AK377" i="1"/>
  <c r="AJ377" i="1"/>
  <c r="AI377" i="1"/>
  <c r="AM376" i="1"/>
  <c r="AL376" i="1"/>
  <c r="AK376" i="1"/>
  <c r="AJ376" i="1"/>
  <c r="AI376" i="1"/>
  <c r="AM375" i="1"/>
  <c r="AL375" i="1"/>
  <c r="AK375" i="1"/>
  <c r="AJ375" i="1"/>
  <c r="AI375" i="1"/>
  <c r="AM374" i="1"/>
  <c r="AL374" i="1"/>
  <c r="AK374" i="1"/>
  <c r="AJ374" i="1"/>
  <c r="AI374" i="1"/>
  <c r="AM373" i="1"/>
  <c r="AL373" i="1"/>
  <c r="AK373" i="1"/>
  <c r="AJ373" i="1"/>
  <c r="AI373" i="1"/>
  <c r="AM372" i="1"/>
  <c r="AL372" i="1"/>
  <c r="AK372" i="1"/>
  <c r="AJ372" i="1"/>
  <c r="AI372" i="1"/>
  <c r="AM371" i="1"/>
  <c r="AL371" i="1"/>
  <c r="AK371" i="1"/>
  <c r="AJ371" i="1"/>
  <c r="AI371" i="1"/>
  <c r="AM370" i="1"/>
  <c r="AL370" i="1"/>
  <c r="AK370" i="1"/>
  <c r="AJ370" i="1"/>
  <c r="AI370" i="1"/>
  <c r="AM369" i="1"/>
  <c r="AL369" i="1"/>
  <c r="AK369" i="1"/>
  <c r="AJ369" i="1"/>
  <c r="AI369" i="1"/>
  <c r="AM368" i="1"/>
  <c r="AL368" i="1"/>
  <c r="AK368" i="1"/>
  <c r="AJ368" i="1"/>
  <c r="AI368" i="1"/>
  <c r="AM367" i="1"/>
  <c r="AL367" i="1"/>
  <c r="AK367" i="1"/>
  <c r="AJ367" i="1"/>
  <c r="AI367" i="1"/>
  <c r="AM366" i="1"/>
  <c r="AL366" i="1"/>
  <c r="AK366" i="1"/>
  <c r="AJ366" i="1"/>
  <c r="AI366" i="1"/>
  <c r="AM365" i="1"/>
  <c r="AL365" i="1"/>
  <c r="AK365" i="1"/>
  <c r="AJ365" i="1"/>
  <c r="AI365" i="1"/>
  <c r="AM364" i="1"/>
  <c r="AL364" i="1"/>
  <c r="AK364" i="1"/>
  <c r="AJ364" i="1"/>
  <c r="AI364" i="1"/>
  <c r="AM363" i="1"/>
  <c r="AL363" i="1"/>
  <c r="AK363" i="1"/>
  <c r="AJ363" i="1"/>
  <c r="AI363" i="1"/>
  <c r="AM362" i="1"/>
  <c r="AL362" i="1"/>
  <c r="AK362" i="1"/>
  <c r="AJ362" i="1"/>
  <c r="AI362" i="1"/>
  <c r="AM361" i="1"/>
  <c r="AL361" i="1"/>
  <c r="AK361" i="1"/>
  <c r="AJ361" i="1"/>
  <c r="AI361" i="1"/>
  <c r="AM360" i="1"/>
  <c r="AL360" i="1"/>
  <c r="AK360" i="1"/>
  <c r="AJ360" i="1"/>
  <c r="AI360" i="1"/>
  <c r="AM359" i="1"/>
  <c r="AL359" i="1"/>
  <c r="AK359" i="1"/>
  <c r="AJ359" i="1"/>
  <c r="AI359" i="1"/>
  <c r="AM358" i="1"/>
  <c r="AL358" i="1"/>
  <c r="AK358" i="1"/>
  <c r="AJ358" i="1"/>
  <c r="AI358" i="1"/>
  <c r="AM357" i="1"/>
  <c r="AL357" i="1"/>
  <c r="AK357" i="1"/>
  <c r="AJ357" i="1"/>
  <c r="AI357" i="1"/>
  <c r="AM356" i="1"/>
  <c r="AL356" i="1"/>
  <c r="AK356" i="1"/>
  <c r="AJ356" i="1"/>
  <c r="AI356" i="1"/>
  <c r="AM355" i="1"/>
  <c r="AL355" i="1"/>
  <c r="AK355" i="1"/>
  <c r="AJ355" i="1"/>
  <c r="AI355" i="1"/>
  <c r="AM354" i="1"/>
  <c r="AL354" i="1"/>
  <c r="AK354" i="1"/>
  <c r="AJ354" i="1"/>
  <c r="AI354" i="1"/>
  <c r="AM353" i="1"/>
  <c r="AL353" i="1"/>
  <c r="AK353" i="1"/>
  <c r="AJ353" i="1"/>
  <c r="AI353" i="1"/>
  <c r="AM352" i="1"/>
  <c r="AL352" i="1"/>
  <c r="AK352" i="1"/>
  <c r="AJ352" i="1"/>
  <c r="AI352" i="1"/>
  <c r="AM351" i="1"/>
  <c r="AL351" i="1"/>
  <c r="AK351" i="1"/>
  <c r="AJ351" i="1"/>
  <c r="AI351" i="1"/>
  <c r="AM350" i="1"/>
  <c r="AL350" i="1"/>
  <c r="AK350" i="1"/>
  <c r="AJ350" i="1"/>
  <c r="AI350" i="1"/>
  <c r="AM349" i="1"/>
  <c r="AL349" i="1"/>
  <c r="AK349" i="1"/>
  <c r="AJ349" i="1"/>
  <c r="AI349" i="1"/>
  <c r="AM348" i="1"/>
  <c r="AL348" i="1"/>
  <c r="AK348" i="1"/>
  <c r="AJ348" i="1"/>
  <c r="AI348" i="1"/>
  <c r="AM347" i="1"/>
  <c r="AL347" i="1"/>
  <c r="AK347" i="1"/>
  <c r="AJ347" i="1"/>
  <c r="AI347" i="1"/>
  <c r="AM346" i="1"/>
  <c r="AL346" i="1"/>
  <c r="AK346" i="1"/>
  <c r="AJ346" i="1"/>
  <c r="AI346" i="1"/>
  <c r="AM345" i="1"/>
  <c r="AL345" i="1"/>
  <c r="AK345" i="1"/>
  <c r="AJ345" i="1"/>
  <c r="AI345" i="1"/>
  <c r="AM344" i="1"/>
  <c r="AL344" i="1"/>
  <c r="AK344" i="1"/>
  <c r="AJ344" i="1"/>
  <c r="AI344" i="1"/>
  <c r="AM343" i="1"/>
  <c r="AL343" i="1"/>
  <c r="AK343" i="1"/>
  <c r="AJ343" i="1"/>
  <c r="AI343" i="1"/>
  <c r="AM342" i="1"/>
  <c r="AL342" i="1"/>
  <c r="AK342" i="1"/>
  <c r="AJ342" i="1"/>
  <c r="AI342" i="1"/>
  <c r="AM341" i="1"/>
  <c r="AL341" i="1"/>
  <c r="AK341" i="1"/>
  <c r="AJ341" i="1"/>
  <c r="AI341" i="1"/>
  <c r="AM340" i="1"/>
  <c r="AL340" i="1"/>
  <c r="AK340" i="1"/>
  <c r="AJ340" i="1"/>
  <c r="AI340" i="1"/>
  <c r="AM339" i="1"/>
  <c r="AL339" i="1"/>
  <c r="AK339" i="1"/>
  <c r="AJ339" i="1"/>
  <c r="AI339" i="1"/>
  <c r="AM338" i="1"/>
  <c r="AL338" i="1"/>
  <c r="AK338" i="1"/>
  <c r="AJ338" i="1"/>
  <c r="AI338" i="1"/>
  <c r="AM337" i="1"/>
  <c r="AL337" i="1"/>
  <c r="AK337" i="1"/>
  <c r="AJ337" i="1"/>
  <c r="AI337" i="1"/>
  <c r="AM336" i="1"/>
  <c r="AL336" i="1"/>
  <c r="AK336" i="1"/>
  <c r="AJ336" i="1"/>
  <c r="AI336" i="1"/>
  <c r="AM335" i="1"/>
  <c r="AL335" i="1"/>
  <c r="AK335" i="1"/>
  <c r="AJ335" i="1"/>
  <c r="AI335" i="1"/>
  <c r="AM334" i="1"/>
  <c r="AL334" i="1"/>
  <c r="AK334" i="1"/>
  <c r="AJ334" i="1"/>
  <c r="AI334" i="1"/>
  <c r="AM333" i="1"/>
  <c r="AL333" i="1"/>
  <c r="AK333" i="1"/>
  <c r="AJ333" i="1"/>
  <c r="AI333" i="1"/>
  <c r="AM332" i="1"/>
  <c r="AL332" i="1"/>
  <c r="AK332" i="1"/>
  <c r="AJ332" i="1"/>
  <c r="AI332" i="1"/>
  <c r="AM331" i="1"/>
  <c r="AL331" i="1"/>
  <c r="AK331" i="1"/>
  <c r="AJ331" i="1"/>
  <c r="AI331" i="1"/>
  <c r="AM330" i="1"/>
  <c r="AL330" i="1"/>
  <c r="AK330" i="1"/>
  <c r="AJ330" i="1"/>
  <c r="AI330" i="1"/>
  <c r="AM329" i="1"/>
  <c r="AL329" i="1"/>
  <c r="AK329" i="1"/>
  <c r="AJ329" i="1"/>
  <c r="AI329" i="1"/>
  <c r="AM328" i="1"/>
  <c r="AL328" i="1"/>
  <c r="AK328" i="1"/>
  <c r="AJ328" i="1"/>
  <c r="AI328" i="1"/>
  <c r="AM327" i="1"/>
  <c r="AL327" i="1"/>
  <c r="AK327" i="1"/>
  <c r="AJ327" i="1"/>
  <c r="AI327" i="1"/>
  <c r="AM326" i="1"/>
  <c r="AL326" i="1"/>
  <c r="AK326" i="1"/>
  <c r="AJ326" i="1"/>
  <c r="AI326" i="1"/>
  <c r="AM325" i="1"/>
  <c r="AL325" i="1"/>
  <c r="AK325" i="1"/>
  <c r="AJ325" i="1"/>
  <c r="AI325" i="1"/>
  <c r="AM324" i="1"/>
  <c r="AL324" i="1"/>
  <c r="AK324" i="1"/>
  <c r="AJ324" i="1"/>
  <c r="AI324" i="1"/>
  <c r="AM323" i="1"/>
  <c r="AL323" i="1"/>
  <c r="AK323" i="1"/>
  <c r="AJ323" i="1"/>
  <c r="AI323" i="1"/>
  <c r="AM322" i="1"/>
  <c r="AL322" i="1"/>
  <c r="AK322" i="1"/>
  <c r="AJ322" i="1"/>
  <c r="AI322" i="1"/>
  <c r="AM321" i="1"/>
  <c r="AL321" i="1"/>
  <c r="AK321" i="1"/>
  <c r="AJ321" i="1"/>
  <c r="AI321" i="1"/>
  <c r="AM320" i="1"/>
  <c r="AL320" i="1"/>
  <c r="AK320" i="1"/>
  <c r="AJ320" i="1"/>
  <c r="AI320" i="1"/>
  <c r="AM319" i="1"/>
  <c r="AL319" i="1"/>
  <c r="AK319" i="1"/>
  <c r="AJ319" i="1"/>
  <c r="AI319" i="1"/>
  <c r="AM318" i="1"/>
  <c r="AL318" i="1"/>
  <c r="AK318" i="1"/>
  <c r="AJ318" i="1"/>
  <c r="AI318" i="1"/>
  <c r="AM317" i="1"/>
  <c r="AL317" i="1"/>
  <c r="AK317" i="1"/>
  <c r="AJ317" i="1"/>
  <c r="AI317" i="1"/>
  <c r="AM316" i="1"/>
  <c r="AL316" i="1"/>
  <c r="AK316" i="1"/>
  <c r="AJ316" i="1"/>
  <c r="AI316" i="1"/>
  <c r="AM315" i="1"/>
  <c r="AL315" i="1"/>
  <c r="AK315" i="1"/>
  <c r="AJ315" i="1"/>
  <c r="AI315" i="1"/>
  <c r="AM314" i="1"/>
  <c r="AL314" i="1"/>
  <c r="AK314" i="1"/>
  <c r="AJ314" i="1"/>
  <c r="AI314" i="1"/>
  <c r="AM313" i="1"/>
  <c r="AL313" i="1"/>
  <c r="AK313" i="1"/>
  <c r="AJ313" i="1"/>
  <c r="AI313" i="1"/>
  <c r="AM312" i="1"/>
  <c r="AL312" i="1"/>
  <c r="AK312" i="1"/>
  <c r="AJ312" i="1"/>
  <c r="AI312" i="1"/>
  <c r="AM311" i="1"/>
  <c r="AL311" i="1"/>
  <c r="AK311" i="1"/>
  <c r="AJ311" i="1"/>
  <c r="AI311" i="1"/>
  <c r="AM310" i="1"/>
  <c r="AL310" i="1"/>
  <c r="AK310" i="1"/>
  <c r="AJ310" i="1"/>
  <c r="AI310" i="1"/>
  <c r="AM309" i="1"/>
  <c r="AL309" i="1"/>
  <c r="AK309" i="1"/>
  <c r="AJ309" i="1"/>
  <c r="AI309" i="1"/>
  <c r="AM308" i="1"/>
  <c r="AL308" i="1"/>
  <c r="AK308" i="1"/>
  <c r="AJ308" i="1"/>
  <c r="AI308" i="1"/>
  <c r="AM307" i="1"/>
  <c r="AL307" i="1"/>
  <c r="AK307" i="1"/>
  <c r="AJ307" i="1"/>
  <c r="AI307" i="1"/>
  <c r="AM306" i="1"/>
  <c r="AL306" i="1"/>
  <c r="AK306" i="1"/>
  <c r="AJ306" i="1"/>
  <c r="AI306" i="1"/>
  <c r="AM305" i="1"/>
  <c r="AL305" i="1"/>
  <c r="AK305" i="1"/>
  <c r="AJ305" i="1"/>
  <c r="AI305" i="1"/>
  <c r="AM304" i="1"/>
  <c r="AL304" i="1"/>
  <c r="AK304" i="1"/>
  <c r="AJ304" i="1"/>
  <c r="AI304" i="1"/>
  <c r="AM303" i="1"/>
  <c r="AL303" i="1"/>
  <c r="AK303" i="1"/>
  <c r="AJ303" i="1"/>
  <c r="AI303" i="1"/>
  <c r="AM302" i="1"/>
  <c r="AL302" i="1"/>
  <c r="AK302" i="1"/>
  <c r="AJ302" i="1"/>
  <c r="AI302" i="1"/>
  <c r="AM301" i="1"/>
  <c r="AL301" i="1"/>
  <c r="AK301" i="1"/>
  <c r="AJ301" i="1"/>
  <c r="AI301" i="1"/>
  <c r="AM300" i="1"/>
  <c r="AL300" i="1"/>
  <c r="AK300" i="1"/>
  <c r="AJ300" i="1"/>
  <c r="AI300" i="1"/>
  <c r="AM299" i="1"/>
  <c r="AL299" i="1"/>
  <c r="AK299" i="1"/>
  <c r="AJ299" i="1"/>
  <c r="AI299" i="1"/>
  <c r="AM298" i="1"/>
  <c r="AL298" i="1"/>
  <c r="AK298" i="1"/>
  <c r="AJ298" i="1"/>
  <c r="AI298" i="1"/>
  <c r="AM297" i="1"/>
  <c r="AL297" i="1"/>
  <c r="AK297" i="1"/>
  <c r="AJ297" i="1"/>
  <c r="AI297" i="1"/>
  <c r="AM296" i="1"/>
  <c r="AL296" i="1"/>
  <c r="AK296" i="1"/>
  <c r="AJ296" i="1"/>
  <c r="AI296" i="1"/>
  <c r="AM295" i="1"/>
  <c r="AL295" i="1"/>
  <c r="AK295" i="1"/>
  <c r="AJ295" i="1"/>
  <c r="AI295" i="1"/>
  <c r="AM294" i="1"/>
  <c r="AL294" i="1"/>
  <c r="AK294" i="1"/>
  <c r="AJ294" i="1"/>
  <c r="AI294" i="1"/>
  <c r="AM293" i="1"/>
  <c r="AL293" i="1"/>
  <c r="AK293" i="1"/>
  <c r="AJ293" i="1"/>
  <c r="AI293" i="1"/>
  <c r="AM292" i="1"/>
  <c r="AL292" i="1"/>
  <c r="AK292" i="1"/>
  <c r="AJ292" i="1"/>
  <c r="AI292" i="1"/>
  <c r="AM291" i="1"/>
  <c r="AL291" i="1"/>
  <c r="AK291" i="1"/>
  <c r="AJ291" i="1"/>
  <c r="AI291" i="1"/>
  <c r="AM290" i="1"/>
  <c r="AL290" i="1"/>
  <c r="AK290" i="1"/>
  <c r="AJ290" i="1"/>
  <c r="AI290" i="1"/>
  <c r="AM289" i="1"/>
  <c r="AL289" i="1"/>
  <c r="AK289" i="1"/>
  <c r="AJ289" i="1"/>
  <c r="AI289" i="1"/>
  <c r="AM288" i="1"/>
  <c r="AL288" i="1"/>
  <c r="AK288" i="1"/>
  <c r="AJ288" i="1"/>
  <c r="AI288" i="1"/>
  <c r="AM287" i="1"/>
  <c r="AL287" i="1"/>
  <c r="AK287" i="1"/>
  <c r="AJ287" i="1"/>
  <c r="AI287" i="1"/>
  <c r="AM286" i="1"/>
  <c r="AL286" i="1"/>
  <c r="AK286" i="1"/>
  <c r="AJ286" i="1"/>
  <c r="AI286" i="1"/>
  <c r="AM285" i="1"/>
  <c r="AL285" i="1"/>
  <c r="AK285" i="1"/>
  <c r="AJ285" i="1"/>
  <c r="AI285" i="1"/>
  <c r="AM284" i="1"/>
  <c r="AL284" i="1"/>
  <c r="AK284" i="1"/>
  <c r="AJ284" i="1"/>
  <c r="AI284" i="1"/>
  <c r="AM283" i="1"/>
  <c r="AL283" i="1"/>
  <c r="AK283" i="1"/>
  <c r="AJ283" i="1"/>
  <c r="AI283" i="1"/>
  <c r="AM282" i="1"/>
  <c r="AL282" i="1"/>
  <c r="AK282" i="1"/>
  <c r="AJ282" i="1"/>
  <c r="AI282" i="1"/>
  <c r="AM281" i="1"/>
  <c r="AL281" i="1"/>
  <c r="AK281" i="1"/>
  <c r="AJ281" i="1"/>
  <c r="AI281" i="1"/>
  <c r="AM280" i="1"/>
  <c r="AL280" i="1"/>
  <c r="AK280" i="1"/>
  <c r="AJ280" i="1"/>
  <c r="AI280" i="1"/>
  <c r="AM279" i="1"/>
  <c r="AL279" i="1"/>
  <c r="AK279" i="1"/>
  <c r="AJ279" i="1"/>
  <c r="AI279" i="1"/>
  <c r="AM278" i="1"/>
  <c r="AL278" i="1"/>
  <c r="AK278" i="1"/>
  <c r="AJ278" i="1"/>
  <c r="AI278" i="1"/>
  <c r="AM277" i="1"/>
  <c r="AL277" i="1"/>
  <c r="AK277" i="1"/>
  <c r="AJ277" i="1"/>
  <c r="AI277" i="1"/>
  <c r="AM276" i="1"/>
  <c r="AL276" i="1"/>
  <c r="AK276" i="1"/>
  <c r="AJ276" i="1"/>
  <c r="AI276" i="1"/>
  <c r="AM275" i="1"/>
  <c r="AL275" i="1"/>
  <c r="AK275" i="1"/>
  <c r="AJ275" i="1"/>
  <c r="AI275" i="1"/>
  <c r="AM274" i="1"/>
  <c r="AL274" i="1"/>
  <c r="AK274" i="1"/>
  <c r="AJ274" i="1"/>
  <c r="AI274" i="1"/>
  <c r="AM273" i="1"/>
  <c r="AL273" i="1"/>
  <c r="AK273" i="1"/>
  <c r="AJ273" i="1"/>
  <c r="AI273" i="1"/>
  <c r="AM272" i="1"/>
  <c r="AL272" i="1"/>
  <c r="AK272" i="1"/>
  <c r="AJ272" i="1"/>
  <c r="AI272" i="1"/>
  <c r="AM271" i="1"/>
  <c r="AL271" i="1"/>
  <c r="AK271" i="1"/>
  <c r="AJ271" i="1"/>
  <c r="AI271" i="1"/>
  <c r="AM270" i="1"/>
  <c r="AL270" i="1"/>
  <c r="AK270" i="1"/>
  <c r="AJ270" i="1"/>
  <c r="AI270" i="1"/>
  <c r="AM269" i="1"/>
  <c r="AL269" i="1"/>
  <c r="AK269" i="1"/>
  <c r="AJ269" i="1"/>
  <c r="AI269" i="1"/>
  <c r="AM268" i="1"/>
  <c r="AL268" i="1"/>
  <c r="AK268" i="1"/>
  <c r="AJ268" i="1"/>
  <c r="AI268" i="1"/>
  <c r="AM267" i="1"/>
  <c r="AL267" i="1"/>
  <c r="AK267" i="1"/>
  <c r="AJ267" i="1"/>
  <c r="AI267" i="1"/>
  <c r="AM266" i="1"/>
  <c r="AL266" i="1"/>
  <c r="AK266" i="1"/>
  <c r="AJ266" i="1"/>
  <c r="AI266" i="1"/>
  <c r="AM265" i="1"/>
  <c r="AL265" i="1"/>
  <c r="AK265" i="1"/>
  <c r="AJ265" i="1"/>
  <c r="AI265" i="1"/>
  <c r="AM264" i="1"/>
  <c r="AL264" i="1"/>
  <c r="AK264" i="1"/>
  <c r="AJ264" i="1"/>
  <c r="AI264" i="1"/>
  <c r="AM263" i="1"/>
  <c r="AL263" i="1"/>
  <c r="AK263" i="1"/>
  <c r="AJ263" i="1"/>
  <c r="AI263" i="1"/>
  <c r="AM262" i="1"/>
  <c r="AL262" i="1"/>
  <c r="AK262" i="1"/>
  <c r="AJ262" i="1"/>
  <c r="AI262" i="1"/>
  <c r="AM261" i="1"/>
  <c r="AL261" i="1"/>
  <c r="AK261" i="1"/>
  <c r="AJ261" i="1"/>
  <c r="AI261" i="1"/>
  <c r="AM260" i="1"/>
  <c r="AL260" i="1"/>
  <c r="AK260" i="1"/>
  <c r="AJ260" i="1"/>
  <c r="AI260" i="1"/>
  <c r="AM259" i="1"/>
  <c r="AL259" i="1"/>
  <c r="AK259" i="1"/>
  <c r="AJ259" i="1"/>
  <c r="AI259" i="1"/>
  <c r="AM258" i="1"/>
  <c r="AL258" i="1"/>
  <c r="AK258" i="1"/>
  <c r="AJ258" i="1"/>
  <c r="AI258" i="1"/>
  <c r="AM257" i="1"/>
  <c r="AL257" i="1"/>
  <c r="AK257" i="1"/>
  <c r="AJ257" i="1"/>
  <c r="AI257" i="1"/>
  <c r="AM256" i="1"/>
  <c r="AL256" i="1"/>
  <c r="AK256" i="1"/>
  <c r="AJ256" i="1"/>
  <c r="AI256" i="1"/>
  <c r="AM255" i="1"/>
  <c r="AL255" i="1"/>
  <c r="AK255" i="1"/>
  <c r="AJ255" i="1"/>
  <c r="AI255" i="1"/>
  <c r="AM254" i="1"/>
  <c r="AL254" i="1"/>
  <c r="AK254" i="1"/>
  <c r="AJ254" i="1"/>
  <c r="AI254" i="1"/>
  <c r="AM253" i="1"/>
  <c r="AL253" i="1"/>
  <c r="AK253" i="1"/>
  <c r="AJ253" i="1"/>
  <c r="AI253" i="1"/>
  <c r="AM252" i="1"/>
  <c r="AL252" i="1"/>
  <c r="AK252" i="1"/>
  <c r="AJ252" i="1"/>
  <c r="AI252" i="1"/>
  <c r="AM251" i="1"/>
  <c r="AL251" i="1"/>
  <c r="AK251" i="1"/>
  <c r="AJ251" i="1"/>
  <c r="AI251" i="1"/>
  <c r="AM250" i="1"/>
  <c r="AL250" i="1"/>
  <c r="AK250" i="1"/>
  <c r="AJ250" i="1"/>
  <c r="AI250" i="1"/>
  <c r="AM249" i="1"/>
  <c r="AL249" i="1"/>
  <c r="AK249" i="1"/>
  <c r="AJ249" i="1"/>
  <c r="A249" i="1" s="1"/>
  <c r="AI249" i="1"/>
  <c r="AM248" i="1"/>
  <c r="AL248" i="1"/>
  <c r="AK248" i="1"/>
  <c r="AJ248" i="1"/>
  <c r="AI248" i="1"/>
  <c r="AM247" i="1"/>
  <c r="AL247" i="1"/>
  <c r="AK247" i="1"/>
  <c r="AJ247" i="1"/>
  <c r="AI247" i="1"/>
  <c r="AM246" i="1"/>
  <c r="AL246" i="1"/>
  <c r="AK246" i="1"/>
  <c r="AJ246" i="1"/>
  <c r="AI246" i="1"/>
  <c r="AM245" i="1"/>
  <c r="AL245" i="1"/>
  <c r="AK245" i="1"/>
  <c r="AJ245" i="1"/>
  <c r="AI245" i="1"/>
  <c r="AM244" i="1"/>
  <c r="AL244" i="1"/>
  <c r="AK244" i="1"/>
  <c r="AJ244" i="1"/>
  <c r="AI244" i="1"/>
  <c r="AM243" i="1"/>
  <c r="AL243" i="1"/>
  <c r="AK243" i="1"/>
  <c r="AJ243" i="1"/>
  <c r="AI243" i="1"/>
  <c r="AM242" i="1"/>
  <c r="AL242" i="1"/>
  <c r="AK242" i="1"/>
  <c r="AJ242" i="1"/>
  <c r="AI242" i="1"/>
  <c r="AM241" i="1"/>
  <c r="AL241" i="1"/>
  <c r="AK241" i="1"/>
  <c r="AJ241" i="1"/>
  <c r="AI241" i="1"/>
  <c r="AM240" i="1"/>
  <c r="AL240" i="1"/>
  <c r="AK240" i="1"/>
  <c r="AJ240" i="1"/>
  <c r="AI240" i="1"/>
  <c r="AM239" i="1"/>
  <c r="AL239" i="1"/>
  <c r="AK239" i="1"/>
  <c r="AJ239" i="1"/>
  <c r="AI239" i="1"/>
  <c r="AM238" i="1"/>
  <c r="AL238" i="1"/>
  <c r="AK238" i="1"/>
  <c r="AJ238" i="1"/>
  <c r="AI238" i="1"/>
  <c r="AM237" i="1"/>
  <c r="AL237" i="1"/>
  <c r="AK237" i="1"/>
  <c r="AJ237" i="1"/>
  <c r="AI237" i="1"/>
  <c r="AM236" i="1"/>
  <c r="AL236" i="1"/>
  <c r="AK236" i="1"/>
  <c r="AJ236" i="1"/>
  <c r="AI236" i="1"/>
  <c r="AM235" i="1"/>
  <c r="AL235" i="1"/>
  <c r="AK235" i="1"/>
  <c r="AJ235" i="1"/>
  <c r="AI235" i="1"/>
  <c r="AM234" i="1"/>
  <c r="AL234" i="1"/>
  <c r="AK234" i="1"/>
  <c r="AJ234" i="1"/>
  <c r="AI234" i="1"/>
  <c r="AM233" i="1"/>
  <c r="AL233" i="1"/>
  <c r="AK233" i="1"/>
  <c r="AJ233" i="1"/>
  <c r="AI233" i="1"/>
  <c r="AM232" i="1"/>
  <c r="AL232" i="1"/>
  <c r="AK232" i="1"/>
  <c r="AJ232" i="1"/>
  <c r="AI232" i="1"/>
  <c r="AM231" i="1"/>
  <c r="AL231" i="1"/>
  <c r="AK231" i="1"/>
  <c r="AJ231" i="1"/>
  <c r="AI231" i="1"/>
  <c r="AM230" i="1"/>
  <c r="AL230" i="1"/>
  <c r="AK230" i="1"/>
  <c r="AJ230" i="1"/>
  <c r="AI230" i="1"/>
  <c r="AM229" i="1"/>
  <c r="AL229" i="1"/>
  <c r="AK229" i="1"/>
  <c r="AJ229" i="1"/>
  <c r="AI229" i="1"/>
  <c r="AM228" i="1"/>
  <c r="AL228" i="1"/>
  <c r="AK228" i="1"/>
  <c r="AJ228" i="1"/>
  <c r="AI228" i="1"/>
  <c r="AM227" i="1"/>
  <c r="AL227" i="1"/>
  <c r="AK227" i="1"/>
  <c r="AJ227" i="1"/>
  <c r="AI227" i="1"/>
  <c r="AM226" i="1"/>
  <c r="AL226" i="1"/>
  <c r="AK226" i="1"/>
  <c r="AJ226" i="1"/>
  <c r="AI226" i="1"/>
  <c r="AM225" i="1"/>
  <c r="AL225" i="1"/>
  <c r="AK225" i="1"/>
  <c r="AJ225" i="1"/>
  <c r="AI225" i="1"/>
  <c r="AM224" i="1"/>
  <c r="AL224" i="1"/>
  <c r="AK224" i="1"/>
  <c r="AJ224" i="1"/>
  <c r="AI224" i="1"/>
  <c r="AM223" i="1"/>
  <c r="AL223" i="1"/>
  <c r="AK223" i="1"/>
  <c r="AJ223" i="1"/>
  <c r="AI223" i="1"/>
  <c r="AM222" i="1"/>
  <c r="AL222" i="1"/>
  <c r="AK222" i="1"/>
  <c r="AJ222" i="1"/>
  <c r="AI222" i="1"/>
  <c r="AM221" i="1"/>
  <c r="AL221" i="1"/>
  <c r="AK221" i="1"/>
  <c r="AJ221" i="1"/>
  <c r="AI221" i="1"/>
  <c r="AM220" i="1"/>
  <c r="AL220" i="1"/>
  <c r="AK220" i="1"/>
  <c r="AJ220" i="1"/>
  <c r="AI220" i="1"/>
  <c r="AM219" i="1"/>
  <c r="AL219" i="1"/>
  <c r="AK219" i="1"/>
  <c r="AJ219" i="1"/>
  <c r="AI219" i="1"/>
  <c r="A219" i="1" s="1"/>
  <c r="AM218" i="1"/>
  <c r="AL218" i="1"/>
  <c r="AK218" i="1"/>
  <c r="AJ218" i="1"/>
  <c r="AI218" i="1"/>
  <c r="AM217" i="1"/>
  <c r="AL217" i="1"/>
  <c r="AK217" i="1"/>
  <c r="AJ217" i="1"/>
  <c r="AI217" i="1"/>
  <c r="AM216" i="1"/>
  <c r="AL216" i="1"/>
  <c r="AK216" i="1"/>
  <c r="AJ216" i="1"/>
  <c r="AI216" i="1"/>
  <c r="AM215" i="1"/>
  <c r="AL215" i="1"/>
  <c r="AK215" i="1"/>
  <c r="AJ215" i="1"/>
  <c r="AI215" i="1"/>
  <c r="AM214" i="1"/>
  <c r="AL214" i="1"/>
  <c r="AK214" i="1"/>
  <c r="AJ214" i="1"/>
  <c r="AI214" i="1"/>
  <c r="AM213" i="1"/>
  <c r="AL213" i="1"/>
  <c r="AK213" i="1"/>
  <c r="AJ213" i="1"/>
  <c r="AI213" i="1"/>
  <c r="AM212" i="1"/>
  <c r="AL212" i="1"/>
  <c r="AK212" i="1"/>
  <c r="AJ212" i="1"/>
  <c r="AI212" i="1"/>
  <c r="AM211" i="1"/>
  <c r="AL211" i="1"/>
  <c r="AK211" i="1"/>
  <c r="AJ211" i="1"/>
  <c r="AI211" i="1"/>
  <c r="AM210" i="1"/>
  <c r="AL210" i="1"/>
  <c r="AK210" i="1"/>
  <c r="AJ210" i="1"/>
  <c r="AI210" i="1"/>
  <c r="AM209" i="1"/>
  <c r="AL209" i="1"/>
  <c r="AK209" i="1"/>
  <c r="AJ209" i="1"/>
  <c r="AI209" i="1"/>
  <c r="AM208" i="1"/>
  <c r="AL208" i="1"/>
  <c r="AK208" i="1"/>
  <c r="AJ208" i="1"/>
  <c r="AI208" i="1"/>
  <c r="AM207" i="1"/>
  <c r="AL207" i="1"/>
  <c r="AK207" i="1"/>
  <c r="AJ207" i="1"/>
  <c r="AI207" i="1"/>
  <c r="AM206" i="1"/>
  <c r="AL206" i="1"/>
  <c r="AK206" i="1"/>
  <c r="AJ206" i="1"/>
  <c r="AI206" i="1"/>
  <c r="AM205" i="1"/>
  <c r="AL205" i="1"/>
  <c r="AK205" i="1"/>
  <c r="AJ205" i="1"/>
  <c r="AI205" i="1"/>
  <c r="AM204" i="1"/>
  <c r="AL204" i="1"/>
  <c r="AK204" i="1"/>
  <c r="AJ204" i="1"/>
  <c r="AI204" i="1"/>
  <c r="AM203" i="1"/>
  <c r="AL203" i="1"/>
  <c r="AK203" i="1"/>
  <c r="AJ203" i="1"/>
  <c r="AI203" i="1"/>
  <c r="AM202" i="1"/>
  <c r="AL202" i="1"/>
  <c r="AK202" i="1"/>
  <c r="AJ202" i="1"/>
  <c r="AI202" i="1"/>
  <c r="AM201" i="1"/>
  <c r="AL201" i="1"/>
  <c r="AK201" i="1"/>
  <c r="AJ201" i="1"/>
  <c r="AI201" i="1"/>
  <c r="AM200" i="1"/>
  <c r="AL200" i="1"/>
  <c r="AK200" i="1"/>
  <c r="AJ200" i="1"/>
  <c r="AI200" i="1"/>
  <c r="AM199" i="1"/>
  <c r="AL199" i="1"/>
  <c r="AK199" i="1"/>
  <c r="AJ199" i="1"/>
  <c r="AI199" i="1"/>
  <c r="AM198" i="1"/>
  <c r="AL198" i="1"/>
  <c r="AK198" i="1"/>
  <c r="AJ198" i="1"/>
  <c r="AI198" i="1"/>
  <c r="AM197" i="1"/>
  <c r="AL197" i="1"/>
  <c r="AK197" i="1"/>
  <c r="AJ197" i="1"/>
  <c r="AI197" i="1"/>
  <c r="AM196" i="1"/>
  <c r="AL196" i="1"/>
  <c r="AK196" i="1"/>
  <c r="AJ196" i="1"/>
  <c r="AI196" i="1"/>
  <c r="AM195" i="1"/>
  <c r="AL195" i="1"/>
  <c r="AK195" i="1"/>
  <c r="AJ195" i="1"/>
  <c r="AI195" i="1"/>
  <c r="AM194" i="1"/>
  <c r="AL194" i="1"/>
  <c r="AK194" i="1"/>
  <c r="AJ194" i="1"/>
  <c r="AI194" i="1"/>
  <c r="AM193" i="1"/>
  <c r="AL193" i="1"/>
  <c r="AK193" i="1"/>
  <c r="AJ193" i="1"/>
  <c r="AI193" i="1"/>
  <c r="AM192" i="1"/>
  <c r="AL192" i="1"/>
  <c r="AK192" i="1"/>
  <c r="AJ192" i="1"/>
  <c r="AI192" i="1"/>
  <c r="AM191" i="1"/>
  <c r="AL191" i="1"/>
  <c r="AK191" i="1"/>
  <c r="AJ191" i="1"/>
  <c r="AI191" i="1"/>
  <c r="AM190" i="1"/>
  <c r="AL190" i="1"/>
  <c r="AK190" i="1"/>
  <c r="AJ190" i="1"/>
  <c r="AI190" i="1"/>
  <c r="AM189" i="1"/>
  <c r="AL189" i="1"/>
  <c r="AK189" i="1"/>
  <c r="AJ189" i="1"/>
  <c r="AI189" i="1"/>
  <c r="AM188" i="1"/>
  <c r="AL188" i="1"/>
  <c r="AK188" i="1"/>
  <c r="AJ188" i="1"/>
  <c r="AI188" i="1"/>
  <c r="AM187" i="1"/>
  <c r="AL187" i="1"/>
  <c r="AK187" i="1"/>
  <c r="AJ187" i="1"/>
  <c r="AI187" i="1"/>
  <c r="AM186" i="1"/>
  <c r="AL186" i="1"/>
  <c r="AK186" i="1"/>
  <c r="AJ186" i="1"/>
  <c r="AI186" i="1"/>
  <c r="AM185" i="1"/>
  <c r="AL185" i="1"/>
  <c r="AK185" i="1"/>
  <c r="AJ185" i="1"/>
  <c r="AI185" i="1"/>
  <c r="AM184" i="1"/>
  <c r="AL184" i="1"/>
  <c r="AK184" i="1"/>
  <c r="AJ184" i="1"/>
  <c r="AI184" i="1"/>
  <c r="AM183" i="1"/>
  <c r="AL183" i="1"/>
  <c r="AK183" i="1"/>
  <c r="AJ183" i="1"/>
  <c r="AI183" i="1"/>
  <c r="AM182" i="1"/>
  <c r="AL182" i="1"/>
  <c r="AK182" i="1"/>
  <c r="AJ182" i="1"/>
  <c r="AI182" i="1"/>
  <c r="AM181" i="1"/>
  <c r="AL181" i="1"/>
  <c r="AK181" i="1"/>
  <c r="AJ181" i="1"/>
  <c r="AI181" i="1"/>
  <c r="AM180" i="1"/>
  <c r="AL180" i="1"/>
  <c r="AK180" i="1"/>
  <c r="AJ180" i="1"/>
  <c r="AI180" i="1"/>
  <c r="AM179" i="1"/>
  <c r="AL179" i="1"/>
  <c r="AK179" i="1"/>
  <c r="AJ179" i="1"/>
  <c r="AI179" i="1"/>
  <c r="AM178" i="1"/>
  <c r="AL178" i="1"/>
  <c r="AK178" i="1"/>
  <c r="AJ178" i="1"/>
  <c r="AI178" i="1"/>
  <c r="AM177" i="1"/>
  <c r="AL177" i="1"/>
  <c r="AK177" i="1"/>
  <c r="AJ177" i="1"/>
  <c r="AI177" i="1"/>
  <c r="AM176" i="1"/>
  <c r="AL176" i="1"/>
  <c r="AK176" i="1"/>
  <c r="AJ176" i="1"/>
  <c r="AI176" i="1"/>
  <c r="AM175" i="1"/>
  <c r="AL175" i="1"/>
  <c r="AK175" i="1"/>
  <c r="AJ175" i="1"/>
  <c r="AI175" i="1"/>
  <c r="AM174" i="1"/>
  <c r="AL174" i="1"/>
  <c r="AK174" i="1"/>
  <c r="AJ174" i="1"/>
  <c r="AI174" i="1"/>
  <c r="AM173" i="1"/>
  <c r="AL173" i="1"/>
  <c r="AK173" i="1"/>
  <c r="AJ173" i="1"/>
  <c r="AI173" i="1"/>
  <c r="AM172" i="1"/>
  <c r="AL172" i="1"/>
  <c r="AK172" i="1"/>
  <c r="AJ172" i="1"/>
  <c r="AI172" i="1"/>
  <c r="AM171" i="1"/>
  <c r="AL171" i="1"/>
  <c r="AK171" i="1"/>
  <c r="AJ171" i="1"/>
  <c r="AI171" i="1"/>
  <c r="AM170" i="1"/>
  <c r="AL170" i="1"/>
  <c r="AK170" i="1"/>
  <c r="AJ170" i="1"/>
  <c r="AI170" i="1"/>
  <c r="AM169" i="1"/>
  <c r="AL169" i="1"/>
  <c r="AK169" i="1"/>
  <c r="AJ169" i="1"/>
  <c r="AI169" i="1"/>
  <c r="AM168" i="1"/>
  <c r="AL168" i="1"/>
  <c r="AK168" i="1"/>
  <c r="AJ168" i="1"/>
  <c r="AI168" i="1"/>
  <c r="AM167" i="1"/>
  <c r="AL167" i="1"/>
  <c r="AK167" i="1"/>
  <c r="AJ167" i="1"/>
  <c r="AI167" i="1"/>
  <c r="AM166" i="1"/>
  <c r="AL166" i="1"/>
  <c r="AK166" i="1"/>
  <c r="AJ166" i="1"/>
  <c r="AI166" i="1"/>
  <c r="AM165" i="1"/>
  <c r="AL165" i="1"/>
  <c r="AK165" i="1"/>
  <c r="AJ165" i="1"/>
  <c r="A165" i="1" s="1"/>
  <c r="AI165" i="1"/>
  <c r="AM164" i="1"/>
  <c r="AL164" i="1"/>
  <c r="AK164" i="1"/>
  <c r="AJ164" i="1"/>
  <c r="AI164" i="1"/>
  <c r="AM163" i="1"/>
  <c r="AL163" i="1"/>
  <c r="AK163" i="1"/>
  <c r="AJ163" i="1"/>
  <c r="AI163" i="1"/>
  <c r="AM162" i="1"/>
  <c r="AL162" i="1"/>
  <c r="AK162" i="1"/>
  <c r="AJ162" i="1"/>
  <c r="AI162" i="1"/>
  <c r="AM161" i="1"/>
  <c r="AL161" i="1"/>
  <c r="AK161" i="1"/>
  <c r="AJ161" i="1"/>
  <c r="AI161" i="1"/>
  <c r="AM160" i="1"/>
  <c r="AL160" i="1"/>
  <c r="AK160" i="1"/>
  <c r="AJ160" i="1"/>
  <c r="AI160" i="1"/>
  <c r="AM159" i="1"/>
  <c r="AL159" i="1"/>
  <c r="AK159" i="1"/>
  <c r="AJ159" i="1"/>
  <c r="AI159" i="1"/>
  <c r="AM158" i="1"/>
  <c r="AL158" i="1"/>
  <c r="AK158" i="1"/>
  <c r="AJ158" i="1"/>
  <c r="AI158" i="1"/>
  <c r="AM157" i="1"/>
  <c r="AL157" i="1"/>
  <c r="AK157" i="1"/>
  <c r="AJ157" i="1"/>
  <c r="AI157" i="1"/>
  <c r="AM156" i="1"/>
  <c r="AL156" i="1"/>
  <c r="AK156" i="1"/>
  <c r="AJ156" i="1"/>
  <c r="AI156" i="1"/>
  <c r="AM155" i="1"/>
  <c r="AL155" i="1"/>
  <c r="AK155" i="1"/>
  <c r="AJ155" i="1"/>
  <c r="AI155" i="1"/>
  <c r="AM154" i="1"/>
  <c r="AL154" i="1"/>
  <c r="AK154" i="1"/>
  <c r="AJ154" i="1"/>
  <c r="AI154" i="1"/>
  <c r="AM153" i="1"/>
  <c r="AL153" i="1"/>
  <c r="AK153" i="1"/>
  <c r="AJ153" i="1"/>
  <c r="AI153" i="1"/>
  <c r="AM152" i="1"/>
  <c r="AL152" i="1"/>
  <c r="AK152" i="1"/>
  <c r="AJ152" i="1"/>
  <c r="AI152" i="1"/>
  <c r="AM151" i="1"/>
  <c r="AL151" i="1"/>
  <c r="AK151" i="1"/>
  <c r="AJ151" i="1"/>
  <c r="AI151" i="1"/>
  <c r="AM150" i="1"/>
  <c r="AL150" i="1"/>
  <c r="AK150" i="1"/>
  <c r="AJ150" i="1"/>
  <c r="AI150" i="1"/>
  <c r="AM149" i="1"/>
  <c r="AL149" i="1"/>
  <c r="AK149" i="1"/>
  <c r="AJ149" i="1"/>
  <c r="AI149" i="1"/>
  <c r="AM148" i="1"/>
  <c r="AL148" i="1"/>
  <c r="AK148" i="1"/>
  <c r="AJ148" i="1"/>
  <c r="AI148" i="1"/>
  <c r="AM147" i="1"/>
  <c r="AL147" i="1"/>
  <c r="AK147" i="1"/>
  <c r="AJ147" i="1"/>
  <c r="AI147" i="1"/>
  <c r="AM146" i="1"/>
  <c r="AL146" i="1"/>
  <c r="AK146" i="1"/>
  <c r="AJ146" i="1"/>
  <c r="AI146" i="1"/>
  <c r="AM145" i="1"/>
  <c r="AL145" i="1"/>
  <c r="AK145" i="1"/>
  <c r="AJ145" i="1"/>
  <c r="AI145" i="1"/>
  <c r="AM144" i="1"/>
  <c r="AL144" i="1"/>
  <c r="AK144" i="1"/>
  <c r="AJ144" i="1"/>
  <c r="AI144" i="1"/>
  <c r="AM143" i="1"/>
  <c r="AL143" i="1"/>
  <c r="AK143" i="1"/>
  <c r="AJ143" i="1"/>
  <c r="AI143" i="1"/>
  <c r="AM142" i="1"/>
  <c r="AL142" i="1"/>
  <c r="AK142" i="1"/>
  <c r="AJ142" i="1"/>
  <c r="AI142" i="1"/>
  <c r="AM141" i="1"/>
  <c r="AL141" i="1"/>
  <c r="AK141" i="1"/>
  <c r="AJ141" i="1"/>
  <c r="AI141" i="1"/>
  <c r="AM140" i="1"/>
  <c r="AL140" i="1"/>
  <c r="AK140" i="1"/>
  <c r="AJ140" i="1"/>
  <c r="AI140" i="1"/>
  <c r="AM139" i="1"/>
  <c r="AL139" i="1"/>
  <c r="AK139" i="1"/>
  <c r="AJ139" i="1"/>
  <c r="AI139" i="1"/>
  <c r="AM138" i="1"/>
  <c r="AL138" i="1"/>
  <c r="AK138" i="1"/>
  <c r="AJ138" i="1"/>
  <c r="AI138" i="1"/>
  <c r="AM137" i="1"/>
  <c r="AL137" i="1"/>
  <c r="AK137" i="1"/>
  <c r="AJ137" i="1"/>
  <c r="AI137" i="1"/>
  <c r="AM136" i="1"/>
  <c r="AL136" i="1"/>
  <c r="AK136" i="1"/>
  <c r="AJ136" i="1"/>
  <c r="AI136" i="1"/>
  <c r="AM135" i="1"/>
  <c r="AL135" i="1"/>
  <c r="AK135" i="1"/>
  <c r="AJ135" i="1"/>
  <c r="AI135" i="1"/>
  <c r="AM134" i="1"/>
  <c r="AL134" i="1"/>
  <c r="AK134" i="1"/>
  <c r="AJ134" i="1"/>
  <c r="AI134" i="1"/>
  <c r="AM133" i="1"/>
  <c r="AL133" i="1"/>
  <c r="AK133" i="1"/>
  <c r="AJ133" i="1"/>
  <c r="AI133" i="1"/>
  <c r="AM132" i="1"/>
  <c r="AL132" i="1"/>
  <c r="AK132" i="1"/>
  <c r="AJ132" i="1"/>
  <c r="AI132" i="1"/>
  <c r="AM131" i="1"/>
  <c r="AL131" i="1"/>
  <c r="AK131" i="1"/>
  <c r="AJ131" i="1"/>
  <c r="AI131" i="1"/>
  <c r="AM130" i="1"/>
  <c r="AL130" i="1"/>
  <c r="AK130" i="1"/>
  <c r="AJ130" i="1"/>
  <c r="AI130" i="1"/>
  <c r="AM129" i="1"/>
  <c r="AL129" i="1"/>
  <c r="AK129" i="1"/>
  <c r="AJ129" i="1"/>
  <c r="AI129" i="1"/>
  <c r="AM128" i="1"/>
  <c r="AL128" i="1"/>
  <c r="AK128" i="1"/>
  <c r="AJ128" i="1"/>
  <c r="AI128" i="1"/>
  <c r="AM127" i="1"/>
  <c r="AL127" i="1"/>
  <c r="AK127" i="1"/>
  <c r="AJ127" i="1"/>
  <c r="AI127" i="1"/>
  <c r="AM126" i="1"/>
  <c r="AL126" i="1"/>
  <c r="AK126" i="1"/>
  <c r="AJ126" i="1"/>
  <c r="AI126" i="1"/>
  <c r="AM125" i="1"/>
  <c r="AL125" i="1"/>
  <c r="AK125" i="1"/>
  <c r="AJ125" i="1"/>
  <c r="AI125" i="1"/>
  <c r="AM124" i="1"/>
  <c r="AL124" i="1"/>
  <c r="AK124" i="1"/>
  <c r="AJ124" i="1"/>
  <c r="AI124" i="1"/>
  <c r="AM123" i="1"/>
  <c r="AL123" i="1"/>
  <c r="AK123" i="1"/>
  <c r="AJ123" i="1"/>
  <c r="AI123" i="1"/>
  <c r="A123" i="1" s="1"/>
  <c r="AM122" i="1"/>
  <c r="AL122" i="1"/>
  <c r="AK122" i="1"/>
  <c r="AJ122" i="1"/>
  <c r="AI122" i="1"/>
  <c r="AM121" i="1"/>
  <c r="AL121" i="1"/>
  <c r="AK121" i="1"/>
  <c r="AJ121" i="1"/>
  <c r="AI121" i="1"/>
  <c r="AM120" i="1"/>
  <c r="AL120" i="1"/>
  <c r="AK120" i="1"/>
  <c r="AJ120" i="1"/>
  <c r="AI120" i="1"/>
  <c r="AM119" i="1"/>
  <c r="AL119" i="1"/>
  <c r="AK119" i="1"/>
  <c r="AJ119" i="1"/>
  <c r="AI119" i="1"/>
  <c r="A119" i="1" s="1"/>
  <c r="AM118" i="1"/>
  <c r="AL118" i="1"/>
  <c r="AK118" i="1"/>
  <c r="AJ118" i="1"/>
  <c r="AI118" i="1"/>
  <c r="AM117" i="1"/>
  <c r="AL117" i="1"/>
  <c r="AK117" i="1"/>
  <c r="AJ117" i="1"/>
  <c r="AI117" i="1"/>
  <c r="AM116" i="1"/>
  <c r="AL116" i="1"/>
  <c r="AK116" i="1"/>
  <c r="AJ116" i="1"/>
  <c r="AI116" i="1"/>
  <c r="AM115" i="1"/>
  <c r="AL115" i="1"/>
  <c r="AK115" i="1"/>
  <c r="AJ115" i="1"/>
  <c r="AI115" i="1"/>
  <c r="AM114" i="1"/>
  <c r="AL114" i="1"/>
  <c r="AK114" i="1"/>
  <c r="AJ114" i="1"/>
  <c r="AI114" i="1"/>
  <c r="AM113" i="1"/>
  <c r="AL113" i="1"/>
  <c r="AK113" i="1"/>
  <c r="AJ113" i="1"/>
  <c r="AI113" i="1"/>
  <c r="AM112" i="1"/>
  <c r="AL112" i="1"/>
  <c r="AK112" i="1"/>
  <c r="AJ112" i="1"/>
  <c r="AI112" i="1"/>
  <c r="AM111" i="1"/>
  <c r="AL111" i="1"/>
  <c r="AK111" i="1"/>
  <c r="AJ111" i="1"/>
  <c r="AI111" i="1"/>
  <c r="AM110" i="1"/>
  <c r="AL110" i="1"/>
  <c r="AK110" i="1"/>
  <c r="AJ110" i="1"/>
  <c r="AI110" i="1"/>
  <c r="AM109" i="1"/>
  <c r="AL109" i="1"/>
  <c r="AK109" i="1"/>
  <c r="AJ109" i="1"/>
  <c r="AI109" i="1"/>
  <c r="AM108" i="1"/>
  <c r="AL108" i="1"/>
  <c r="AK108" i="1"/>
  <c r="AJ108" i="1"/>
  <c r="AI108" i="1"/>
  <c r="AM107" i="1"/>
  <c r="AL107" i="1"/>
  <c r="AK107" i="1"/>
  <c r="AJ107" i="1"/>
  <c r="AI107" i="1"/>
  <c r="AM106" i="1"/>
  <c r="AL106" i="1"/>
  <c r="AK106" i="1"/>
  <c r="AJ106" i="1"/>
  <c r="AI106" i="1"/>
  <c r="AM105" i="1"/>
  <c r="AL105" i="1"/>
  <c r="AK105" i="1"/>
  <c r="AJ105" i="1"/>
  <c r="AI105" i="1"/>
  <c r="AM104" i="1"/>
  <c r="AL104" i="1"/>
  <c r="AK104" i="1"/>
  <c r="AJ104" i="1"/>
  <c r="AI104" i="1"/>
  <c r="A104" i="1" s="1"/>
  <c r="AM103" i="1"/>
  <c r="AL103" i="1"/>
  <c r="AK103" i="1"/>
  <c r="AJ103" i="1"/>
  <c r="AI103" i="1"/>
  <c r="AM102" i="1"/>
  <c r="AL102" i="1"/>
  <c r="AK102" i="1"/>
  <c r="AJ102" i="1"/>
  <c r="AI102" i="1"/>
  <c r="AM101" i="1"/>
  <c r="AL101" i="1"/>
  <c r="AK101" i="1"/>
  <c r="AJ101" i="1"/>
  <c r="AI101" i="1"/>
  <c r="AM100" i="1"/>
  <c r="AL100" i="1"/>
  <c r="AK100" i="1"/>
  <c r="AJ100" i="1"/>
  <c r="AI100" i="1"/>
  <c r="AM99" i="1"/>
  <c r="AL99" i="1"/>
  <c r="AK99" i="1"/>
  <c r="AJ99" i="1"/>
  <c r="AI99" i="1"/>
  <c r="AM98" i="1"/>
  <c r="AL98" i="1"/>
  <c r="AK98" i="1"/>
  <c r="AJ98" i="1"/>
  <c r="AI98" i="1"/>
  <c r="AM97" i="1"/>
  <c r="AL97" i="1"/>
  <c r="AK97" i="1"/>
  <c r="AJ97" i="1"/>
  <c r="AI97" i="1"/>
  <c r="AM96" i="1"/>
  <c r="AL96" i="1"/>
  <c r="AK96" i="1"/>
  <c r="AJ96" i="1"/>
  <c r="AI96" i="1"/>
  <c r="AM95" i="1"/>
  <c r="AL95" i="1"/>
  <c r="AK95" i="1"/>
  <c r="AJ95" i="1"/>
  <c r="AI95" i="1"/>
  <c r="AM94" i="1"/>
  <c r="AL94" i="1"/>
  <c r="AK94" i="1"/>
  <c r="AJ94" i="1"/>
  <c r="AI94" i="1"/>
  <c r="AM93" i="1"/>
  <c r="AL93" i="1"/>
  <c r="AK93" i="1"/>
  <c r="AJ93" i="1"/>
  <c r="AI93" i="1"/>
  <c r="AM92" i="1"/>
  <c r="AL92" i="1"/>
  <c r="AK92" i="1"/>
  <c r="AJ92" i="1"/>
  <c r="AI92" i="1"/>
  <c r="AM91" i="1"/>
  <c r="AL91" i="1"/>
  <c r="AK91" i="1"/>
  <c r="AJ91" i="1"/>
  <c r="AI91" i="1"/>
  <c r="AM90" i="1"/>
  <c r="AL90" i="1"/>
  <c r="AK90" i="1"/>
  <c r="AJ90" i="1"/>
  <c r="AI90" i="1"/>
  <c r="AM89" i="1"/>
  <c r="AL89" i="1"/>
  <c r="AK89" i="1"/>
  <c r="A89" i="1" s="1"/>
  <c r="AJ89" i="1"/>
  <c r="AI89" i="1"/>
  <c r="AM88" i="1"/>
  <c r="AL88" i="1"/>
  <c r="AK88" i="1"/>
  <c r="AJ88" i="1"/>
  <c r="AI88" i="1"/>
  <c r="AM87" i="1"/>
  <c r="AL87" i="1"/>
  <c r="AK87" i="1"/>
  <c r="AJ87" i="1"/>
  <c r="AI87" i="1"/>
  <c r="AM86" i="1"/>
  <c r="AL86" i="1"/>
  <c r="AK86" i="1"/>
  <c r="AJ86" i="1"/>
  <c r="AI86" i="1"/>
  <c r="AM85" i="1"/>
  <c r="AL85" i="1"/>
  <c r="AK85" i="1"/>
  <c r="AJ85" i="1"/>
  <c r="AI85" i="1"/>
  <c r="AM84" i="1"/>
  <c r="AL84" i="1"/>
  <c r="AK84" i="1"/>
  <c r="AJ84" i="1"/>
  <c r="AI84" i="1"/>
  <c r="AM83" i="1"/>
  <c r="AL83" i="1"/>
  <c r="AK83" i="1"/>
  <c r="AJ83" i="1"/>
  <c r="AI83" i="1"/>
  <c r="AM82" i="1"/>
  <c r="AL82" i="1"/>
  <c r="AK82" i="1"/>
  <c r="AJ82" i="1"/>
  <c r="AI82" i="1"/>
  <c r="AM81" i="1"/>
  <c r="AL81" i="1"/>
  <c r="AK81" i="1"/>
  <c r="AJ81" i="1"/>
  <c r="AI81" i="1"/>
  <c r="AM80" i="1"/>
  <c r="AL80" i="1"/>
  <c r="AK80" i="1"/>
  <c r="AJ80" i="1"/>
  <c r="AI80" i="1"/>
  <c r="AM79" i="1"/>
  <c r="AL79" i="1"/>
  <c r="AK79" i="1"/>
  <c r="AJ79" i="1"/>
  <c r="AI79" i="1"/>
  <c r="AM78" i="1"/>
  <c r="AL78" i="1"/>
  <c r="AK78" i="1"/>
  <c r="AJ78" i="1"/>
  <c r="AI78" i="1"/>
  <c r="AM77" i="1"/>
  <c r="AL77" i="1"/>
  <c r="AK77" i="1"/>
  <c r="AJ77" i="1"/>
  <c r="AI77" i="1"/>
  <c r="AM76" i="1"/>
  <c r="AL76" i="1"/>
  <c r="AK76" i="1"/>
  <c r="AJ76" i="1"/>
  <c r="AI76" i="1"/>
  <c r="AM75" i="1"/>
  <c r="AL75" i="1"/>
  <c r="AK75" i="1"/>
  <c r="AJ75" i="1"/>
  <c r="AI75" i="1"/>
  <c r="AM74" i="1"/>
  <c r="AL74" i="1"/>
  <c r="AK74" i="1"/>
  <c r="AJ74" i="1"/>
  <c r="AI74" i="1"/>
  <c r="AM73" i="1"/>
  <c r="AL73" i="1"/>
  <c r="AK73" i="1"/>
  <c r="AJ73" i="1"/>
  <c r="AI73" i="1"/>
  <c r="AM72" i="1"/>
  <c r="AL72" i="1"/>
  <c r="AK72" i="1"/>
  <c r="AJ72" i="1"/>
  <c r="AI72" i="1"/>
  <c r="AM71" i="1"/>
  <c r="AL71" i="1"/>
  <c r="AK71" i="1"/>
  <c r="AJ71" i="1"/>
  <c r="AI71" i="1"/>
  <c r="AM70" i="1"/>
  <c r="AL70" i="1"/>
  <c r="AK70" i="1"/>
  <c r="AJ70" i="1"/>
  <c r="AI70" i="1"/>
  <c r="AM69" i="1"/>
  <c r="AL69" i="1"/>
  <c r="AK69" i="1"/>
  <c r="AJ69" i="1"/>
  <c r="AI69" i="1"/>
  <c r="AM68" i="1"/>
  <c r="AL68" i="1"/>
  <c r="AK68" i="1"/>
  <c r="AJ68" i="1"/>
  <c r="AI68" i="1"/>
  <c r="AM67" i="1"/>
  <c r="AL67" i="1"/>
  <c r="AK67" i="1"/>
  <c r="AJ67" i="1"/>
  <c r="AI67" i="1"/>
  <c r="AM66" i="1"/>
  <c r="AL66" i="1"/>
  <c r="AK66" i="1"/>
  <c r="AJ66" i="1"/>
  <c r="AI66" i="1"/>
  <c r="AM65" i="1"/>
  <c r="AL65" i="1"/>
  <c r="AK65" i="1"/>
  <c r="AJ65" i="1"/>
  <c r="AI65" i="1"/>
  <c r="AM64" i="1"/>
  <c r="AL64" i="1"/>
  <c r="AK64" i="1"/>
  <c r="AJ64" i="1"/>
  <c r="AI64" i="1"/>
  <c r="AM63" i="1"/>
  <c r="AL63" i="1"/>
  <c r="AK63" i="1"/>
  <c r="AJ63" i="1"/>
  <c r="AI63" i="1"/>
  <c r="AM62" i="1"/>
  <c r="AL62" i="1"/>
  <c r="AK62" i="1"/>
  <c r="AJ62" i="1"/>
  <c r="AI62" i="1"/>
  <c r="AM61" i="1"/>
  <c r="AL61" i="1"/>
  <c r="AK61" i="1"/>
  <c r="AJ61" i="1"/>
  <c r="AI61" i="1"/>
  <c r="AM60" i="1"/>
  <c r="AL60" i="1"/>
  <c r="AK60" i="1"/>
  <c r="AJ60" i="1"/>
  <c r="AI60" i="1"/>
  <c r="AM59" i="1"/>
  <c r="AL59" i="1"/>
  <c r="AK59" i="1"/>
  <c r="AJ59" i="1"/>
  <c r="AI59" i="1"/>
  <c r="AM58" i="1"/>
  <c r="AL58" i="1"/>
  <c r="AK58" i="1"/>
  <c r="AJ58" i="1"/>
  <c r="AI58" i="1"/>
  <c r="AM57" i="1"/>
  <c r="AL57" i="1"/>
  <c r="AK57" i="1"/>
  <c r="AJ57" i="1"/>
  <c r="AI57" i="1"/>
  <c r="AM56" i="1"/>
  <c r="AL56" i="1"/>
  <c r="AK56" i="1"/>
  <c r="AJ56" i="1"/>
  <c r="AI56" i="1"/>
  <c r="A56" i="1" s="1"/>
  <c r="B93" i="6" s="1"/>
  <c r="A93" i="6" s="1"/>
  <c r="AM55" i="1"/>
  <c r="AL55" i="1"/>
  <c r="AK55" i="1"/>
  <c r="AJ55" i="1"/>
  <c r="AI55" i="1"/>
  <c r="AM54" i="1"/>
  <c r="AL54" i="1"/>
  <c r="AK54" i="1"/>
  <c r="AJ54" i="1"/>
  <c r="AI54" i="1"/>
  <c r="AM53" i="1"/>
  <c r="AL53" i="1"/>
  <c r="AK53" i="1"/>
  <c r="AJ53" i="1"/>
  <c r="AI53" i="1"/>
  <c r="AM52" i="1"/>
  <c r="AL52" i="1"/>
  <c r="AK52" i="1"/>
  <c r="AJ52" i="1"/>
  <c r="AI52" i="1"/>
  <c r="A52" i="1"/>
  <c r="B87" i="6" s="1"/>
  <c r="A87" i="6" s="1"/>
  <c r="AM51" i="1"/>
  <c r="AL51" i="1"/>
  <c r="AK51" i="1"/>
  <c r="AJ51" i="1"/>
  <c r="AI51" i="1"/>
  <c r="AM50" i="1"/>
  <c r="AL50" i="1"/>
  <c r="AK50" i="1"/>
  <c r="AJ50" i="1"/>
  <c r="AI50" i="1"/>
  <c r="AM49" i="1"/>
  <c r="AL49" i="1"/>
  <c r="AK49" i="1"/>
  <c r="AJ49" i="1"/>
  <c r="AI49" i="1"/>
  <c r="AM48" i="1"/>
  <c r="AL48" i="1"/>
  <c r="AK48" i="1"/>
  <c r="AJ48" i="1"/>
  <c r="AI48" i="1"/>
  <c r="AM47" i="1"/>
  <c r="AL47" i="1"/>
  <c r="AK47" i="1"/>
  <c r="AJ47" i="1"/>
  <c r="AI47" i="1"/>
  <c r="AM46" i="1"/>
  <c r="AL46" i="1"/>
  <c r="AK46" i="1"/>
  <c r="AJ46" i="1"/>
  <c r="AI46" i="1"/>
  <c r="AM45" i="1"/>
  <c r="AL45" i="1"/>
  <c r="AK45" i="1"/>
  <c r="AJ45" i="1"/>
  <c r="AI45" i="1"/>
  <c r="AM44" i="1"/>
  <c r="AL44" i="1"/>
  <c r="AK44" i="1"/>
  <c r="AJ44" i="1"/>
  <c r="AI44" i="1"/>
  <c r="AM43" i="1"/>
  <c r="AL43" i="1"/>
  <c r="AK43" i="1"/>
  <c r="AJ43" i="1"/>
  <c r="AI43" i="1"/>
  <c r="AM42" i="1"/>
  <c r="AL42" i="1"/>
  <c r="AK42" i="1"/>
  <c r="AJ42" i="1"/>
  <c r="AI42" i="1"/>
  <c r="AM41" i="1"/>
  <c r="AL41" i="1"/>
  <c r="AK41" i="1"/>
  <c r="AJ41" i="1"/>
  <c r="AI41" i="1"/>
  <c r="AM40" i="1"/>
  <c r="AL40" i="1"/>
  <c r="AK40" i="1"/>
  <c r="AJ40" i="1"/>
  <c r="AI40" i="1"/>
  <c r="AM39" i="1"/>
  <c r="AL39" i="1"/>
  <c r="AK39" i="1"/>
  <c r="AJ39" i="1"/>
  <c r="AI39" i="1"/>
  <c r="AM38" i="1"/>
  <c r="AL38" i="1"/>
  <c r="AK38" i="1"/>
  <c r="AJ38" i="1"/>
  <c r="AI38" i="1"/>
  <c r="AM37" i="1"/>
  <c r="AL37" i="1"/>
  <c r="AK37" i="1"/>
  <c r="AJ37" i="1"/>
  <c r="AI37" i="1"/>
  <c r="AM36" i="1"/>
  <c r="AL36" i="1"/>
  <c r="AK36" i="1"/>
  <c r="AJ36" i="1"/>
  <c r="AI36" i="1"/>
  <c r="AM35" i="1"/>
  <c r="AL35" i="1"/>
  <c r="AK35" i="1"/>
  <c r="AJ35" i="1"/>
  <c r="AI35" i="1"/>
  <c r="AM34" i="1"/>
  <c r="AL34" i="1"/>
  <c r="AK34" i="1"/>
  <c r="AJ34" i="1"/>
  <c r="AI34" i="1"/>
  <c r="AM33" i="1"/>
  <c r="AL33" i="1"/>
  <c r="AK33" i="1"/>
  <c r="AJ33" i="1"/>
  <c r="AI33" i="1"/>
  <c r="A33" i="1" s="1"/>
  <c r="B59" i="6" s="1"/>
  <c r="A59" i="6" s="1"/>
  <c r="AM32" i="1"/>
  <c r="AL32" i="1"/>
  <c r="AK32" i="1"/>
  <c r="AJ32" i="1"/>
  <c r="AI32" i="1"/>
  <c r="AM31" i="1"/>
  <c r="AL31" i="1"/>
  <c r="AK31" i="1"/>
  <c r="AJ31" i="1"/>
  <c r="AI31" i="1"/>
  <c r="AM30" i="1"/>
  <c r="AL30" i="1"/>
  <c r="AK30" i="1"/>
  <c r="AJ30" i="1"/>
  <c r="AI30" i="1"/>
  <c r="AM29" i="1"/>
  <c r="AL29" i="1"/>
  <c r="AK29" i="1"/>
  <c r="AJ29" i="1"/>
  <c r="AI29" i="1"/>
  <c r="AM28" i="1"/>
  <c r="AL28" i="1"/>
  <c r="AK28" i="1"/>
  <c r="AJ28" i="1"/>
  <c r="AI28" i="1"/>
  <c r="AM27" i="1"/>
  <c r="AL27" i="1"/>
  <c r="AK27" i="1"/>
  <c r="AJ27" i="1"/>
  <c r="A27" i="1" s="1"/>
  <c r="B42" i="6" s="1"/>
  <c r="A42" i="6" s="1"/>
  <c r="AI27" i="1"/>
  <c r="AM26" i="1"/>
  <c r="AL26" i="1"/>
  <c r="AK26" i="1"/>
  <c r="AJ26" i="1"/>
  <c r="AI26" i="1"/>
  <c r="AM25" i="1"/>
  <c r="AL25" i="1"/>
  <c r="AK25" i="1"/>
  <c r="AJ25" i="1"/>
  <c r="AI25" i="1"/>
  <c r="AM24" i="1"/>
  <c r="AL24" i="1"/>
  <c r="AK24" i="1"/>
  <c r="AJ24" i="1"/>
  <c r="AI24" i="1"/>
  <c r="A24" i="1" s="1"/>
  <c r="B32" i="6" s="1"/>
  <c r="A32" i="6" s="1"/>
  <c r="AM23" i="1"/>
  <c r="AL23" i="1"/>
  <c r="AK23" i="1"/>
  <c r="AJ23" i="1"/>
  <c r="AI23" i="1"/>
  <c r="A23" i="1"/>
  <c r="B31" i="6" s="1"/>
  <c r="A31" i="6" s="1"/>
  <c r="AM22" i="1"/>
  <c r="AL22" i="1"/>
  <c r="AK22" i="1"/>
  <c r="AJ22" i="1"/>
  <c r="AI22" i="1"/>
  <c r="AM21" i="1"/>
  <c r="AL21" i="1"/>
  <c r="AK21" i="1"/>
  <c r="AJ21" i="1"/>
  <c r="AI21" i="1"/>
  <c r="AM20" i="1"/>
  <c r="AL20" i="1"/>
  <c r="AK20" i="1"/>
  <c r="AJ20" i="1"/>
  <c r="AI20" i="1"/>
  <c r="AM19" i="1"/>
  <c r="AL19" i="1"/>
  <c r="AK19" i="1"/>
  <c r="AJ19" i="1"/>
  <c r="AI19" i="1"/>
  <c r="A19" i="1"/>
  <c r="B24" i="6" s="1"/>
  <c r="A24" i="6" s="1"/>
  <c r="AM18" i="1"/>
  <c r="AL18" i="1"/>
  <c r="AK18" i="1"/>
  <c r="AJ18" i="1"/>
  <c r="AI18" i="1"/>
  <c r="AM17" i="1"/>
  <c r="AL17" i="1"/>
  <c r="AK17" i="1"/>
  <c r="AJ17" i="1"/>
  <c r="AI17" i="1"/>
  <c r="AM16" i="1"/>
  <c r="AL16" i="1"/>
  <c r="AK16" i="1"/>
  <c r="AJ16" i="1"/>
  <c r="AI16" i="1"/>
  <c r="AM15" i="1"/>
  <c r="AL15" i="1"/>
  <c r="AK15" i="1"/>
  <c r="AJ15" i="1"/>
  <c r="AI15" i="1"/>
  <c r="AM14" i="1"/>
  <c r="AL14" i="1"/>
  <c r="AK14" i="1"/>
  <c r="AJ14" i="1"/>
  <c r="AI14" i="1"/>
  <c r="AM13" i="1"/>
  <c r="AL13" i="1"/>
  <c r="AK13" i="1"/>
  <c r="AJ13" i="1"/>
  <c r="AI13" i="1"/>
  <c r="AM12" i="1"/>
  <c r="AL12" i="1"/>
  <c r="AK12" i="1"/>
  <c r="AJ12" i="1"/>
  <c r="AI12" i="1"/>
  <c r="AM11" i="1"/>
  <c r="AL11" i="1"/>
  <c r="AK11" i="1"/>
  <c r="AJ11" i="1"/>
  <c r="AI11" i="1"/>
  <c r="AM10" i="1"/>
  <c r="AL10" i="1"/>
  <c r="AK10" i="1"/>
  <c r="AJ10" i="1"/>
  <c r="AI10" i="1"/>
  <c r="AM9" i="1"/>
  <c r="AL9" i="1"/>
  <c r="AK9" i="1"/>
  <c r="AJ9" i="1"/>
  <c r="AI9" i="1"/>
  <c r="AM8" i="1"/>
  <c r="AL8" i="1"/>
  <c r="AK8" i="1"/>
  <c r="AJ8" i="1"/>
  <c r="AI8" i="1"/>
  <c r="AM7" i="1"/>
  <c r="AL7" i="1"/>
  <c r="AK7" i="1"/>
  <c r="AJ7" i="1"/>
  <c r="AI7" i="1"/>
  <c r="AM5" i="1"/>
  <c r="AL5" i="1"/>
  <c r="AK5" i="1"/>
  <c r="AJ5" i="1"/>
  <c r="AI5" i="1"/>
  <c r="A365" i="1" s="1"/>
  <c r="A454" i="2" l="1"/>
  <c r="A148" i="1"/>
  <c r="A41" i="2"/>
  <c r="B75" i="6" s="1"/>
  <c r="A75" i="6" s="1"/>
  <c r="A362" i="2"/>
  <c r="A53" i="2"/>
  <c r="B107" i="6" s="1"/>
  <c r="A107" i="6" s="1"/>
  <c r="A92" i="2"/>
  <c r="A202" i="2"/>
  <c r="B191" i="6" s="1"/>
  <c r="A191" i="6" s="1"/>
  <c r="A269" i="2"/>
  <c r="A450" i="1"/>
  <c r="Z4" i="2"/>
  <c r="A400" i="2"/>
  <c r="A253" i="1"/>
  <c r="A313" i="2"/>
  <c r="A33" i="2"/>
  <c r="B55" i="6" s="1"/>
  <c r="A55" i="6" s="1"/>
  <c r="A154" i="2"/>
  <c r="B159" i="6" s="1"/>
  <c r="A159" i="6" s="1"/>
  <c r="A277" i="2"/>
  <c r="A194" i="2"/>
  <c r="B184" i="6" s="1"/>
  <c r="A184" i="6" s="1"/>
  <c r="A257" i="2"/>
  <c r="A281" i="2"/>
  <c r="A384" i="2"/>
  <c r="A443" i="2"/>
  <c r="A10" i="1"/>
  <c r="B8" i="6" s="1"/>
  <c r="A8" i="6" s="1"/>
  <c r="A320" i="1"/>
  <c r="A396" i="2"/>
  <c r="A216" i="1"/>
  <c r="A244" i="1"/>
  <c r="A440" i="1"/>
  <c r="A445" i="1"/>
  <c r="A65" i="2"/>
  <c r="B138" i="6" s="1"/>
  <c r="A138" i="6" s="1"/>
  <c r="A69" i="2"/>
  <c r="A329" i="2"/>
  <c r="K9" i="3"/>
  <c r="A24" i="2"/>
  <c r="B40" i="6" s="1"/>
  <c r="A40" i="6" s="1"/>
  <c r="A28" i="2"/>
  <c r="B50" i="6" s="1"/>
  <c r="A50" i="6" s="1"/>
  <c r="A85" i="1"/>
  <c r="B143" i="6" s="1"/>
  <c r="A143" i="6" s="1"/>
  <c r="A7" i="2"/>
  <c r="B6" i="6" s="1"/>
  <c r="A6" i="6" s="1"/>
  <c r="A58" i="2"/>
  <c r="B126" i="6" s="1"/>
  <c r="A126" i="6" s="1"/>
  <c r="A215" i="2"/>
  <c r="A239" i="2"/>
  <c r="A334" i="2"/>
  <c r="A166" i="2"/>
  <c r="B145" i="6" s="1"/>
  <c r="A145" i="6" s="1"/>
  <c r="A303" i="1"/>
  <c r="A15" i="2"/>
  <c r="B22" i="6" s="1"/>
  <c r="A22" i="6" s="1"/>
  <c r="A504" i="2"/>
  <c r="K10" i="3"/>
  <c r="A56" i="2"/>
  <c r="B116" i="6" s="1"/>
  <c r="A116" i="6" s="1"/>
  <c r="A265" i="2"/>
  <c r="A380" i="2"/>
  <c r="A38" i="2"/>
  <c r="B61" i="6" s="1"/>
  <c r="A61" i="6" s="1"/>
  <c r="A235" i="1"/>
  <c r="A81" i="2"/>
  <c r="A365" i="2"/>
  <c r="A198" i="1"/>
  <c r="A117" i="1"/>
  <c r="A356" i="1"/>
  <c r="A27" i="2"/>
  <c r="B47" i="6" s="1"/>
  <c r="A47" i="6" s="1"/>
  <c r="A35" i="2"/>
  <c r="B57" i="6" s="1"/>
  <c r="A57" i="6" s="1"/>
  <c r="A39" i="2"/>
  <c r="B65" i="6" s="1"/>
  <c r="A65" i="6" s="1"/>
  <c r="A136" i="2"/>
  <c r="A140" i="2"/>
  <c r="A144" i="2"/>
  <c r="A152" i="2"/>
  <c r="A255" i="2"/>
  <c r="A259" i="2"/>
  <c r="A500" i="2"/>
  <c r="A181" i="2"/>
  <c r="B161" i="6" s="1"/>
  <c r="A161" i="6" s="1"/>
  <c r="A45" i="2"/>
  <c r="B83" i="6" s="1"/>
  <c r="A83" i="6" s="1"/>
  <c r="A240" i="1"/>
  <c r="A147" i="2"/>
  <c r="A262" i="2"/>
  <c r="A169" i="1"/>
  <c r="A235" i="2"/>
  <c r="A164" i="1"/>
  <c r="A98" i="1"/>
  <c r="A160" i="1"/>
  <c r="A31" i="2"/>
  <c r="B52" i="6" s="1"/>
  <c r="A52" i="6" s="1"/>
  <c r="A188" i="2"/>
  <c r="B178" i="6" s="1"/>
  <c r="A178" i="6" s="1"/>
  <c r="A95" i="2"/>
  <c r="A37" i="2"/>
  <c r="B60" i="6" s="1"/>
  <c r="A60" i="6" s="1"/>
  <c r="A103" i="2"/>
  <c r="A68" i="2"/>
  <c r="B142" i="6" s="1"/>
  <c r="A142" i="6" s="1"/>
  <c r="A455" i="2"/>
  <c r="A85" i="2"/>
  <c r="A171" i="2"/>
  <c r="B154" i="6" s="1"/>
  <c r="A154" i="6" s="1"/>
  <c r="A89" i="2"/>
  <c r="A168" i="1"/>
  <c r="A283" i="1"/>
  <c r="A188" i="1"/>
  <c r="A236" i="1"/>
  <c r="A193" i="1"/>
  <c r="A125" i="2"/>
  <c r="A204" i="2"/>
  <c r="B193" i="6" s="1"/>
  <c r="A193" i="6" s="1"/>
  <c r="A49" i="2"/>
  <c r="B95" i="6" s="1"/>
  <c r="A95" i="6" s="1"/>
  <c r="A42" i="2"/>
  <c r="B79" i="6" s="1"/>
  <c r="A79" i="6" s="1"/>
  <c r="A419" i="1"/>
  <c r="A143" i="2"/>
  <c r="A145" i="1"/>
  <c r="A93" i="1"/>
  <c r="A240" i="2"/>
  <c r="A407" i="2"/>
  <c r="A76" i="2"/>
  <c r="A463" i="2"/>
  <c r="A173" i="1"/>
  <c r="A311" i="1"/>
  <c r="A46" i="2"/>
  <c r="B90" i="6" s="1"/>
  <c r="A90" i="6" s="1"/>
  <c r="A374" i="1"/>
  <c r="A312" i="1"/>
  <c r="A139" i="2"/>
  <c r="A211" i="2"/>
  <c r="A307" i="1"/>
  <c r="A131" i="1"/>
  <c r="A493" i="2"/>
  <c r="K7" i="3"/>
  <c r="A261" i="2"/>
  <c r="A459" i="2"/>
  <c r="A47" i="1"/>
  <c r="B78" i="6" s="1"/>
  <c r="A78" i="6" s="1"/>
  <c r="A61" i="2"/>
  <c r="B132" i="6" s="1"/>
  <c r="A132" i="6" s="1"/>
  <c r="A108" i="2"/>
  <c r="A373" i="2"/>
  <c r="A167" i="2"/>
  <c r="B146" i="6" s="1"/>
  <c r="A146" i="6" s="1"/>
  <c r="A187" i="2"/>
  <c r="B176" i="6" s="1"/>
  <c r="A176" i="6" s="1"/>
  <c r="A199" i="2"/>
  <c r="B187" i="6" s="1"/>
  <c r="A187" i="6" s="1"/>
  <c r="A79" i="1"/>
  <c r="B128" i="6" s="1"/>
  <c r="A128" i="6" s="1"/>
  <c r="A127" i="1"/>
  <c r="A60" i="1"/>
  <c r="B99" i="6" s="1"/>
  <c r="A99" i="6" s="1"/>
  <c r="A94" i="1"/>
  <c r="A20" i="2"/>
  <c r="B34" i="6" s="1"/>
  <c r="A34" i="6" s="1"/>
  <c r="A98" i="2"/>
  <c r="A106" i="2"/>
  <c r="A469" i="2"/>
  <c r="K11" i="3"/>
  <c r="A184" i="1"/>
  <c r="A231" i="1"/>
  <c r="A369" i="1"/>
  <c r="A436" i="1"/>
  <c r="A503" i="1"/>
  <c r="A48" i="1"/>
  <c r="B81" i="6" s="1"/>
  <c r="A81" i="6" s="1"/>
  <c r="A95" i="1"/>
  <c r="A156" i="1"/>
  <c r="A194" i="1"/>
  <c r="A213" i="1"/>
  <c r="A432" i="1"/>
  <c r="A43" i="1"/>
  <c r="B72" i="6" s="1"/>
  <c r="A72" i="6" s="1"/>
  <c r="A67" i="1"/>
  <c r="B111" i="6" s="1"/>
  <c r="A111" i="6" s="1"/>
  <c r="A175" i="1"/>
  <c r="A227" i="1"/>
  <c r="A265" i="1"/>
  <c r="A289" i="1"/>
  <c r="A427" i="1"/>
  <c r="A327" i="1"/>
  <c r="A329" i="1"/>
  <c r="A81" i="1"/>
  <c r="B131" i="6" s="1"/>
  <c r="A131" i="6" s="1"/>
  <c r="A180" i="1"/>
  <c r="A189" i="1"/>
  <c r="A294" i="1"/>
  <c r="A332" i="1"/>
  <c r="A461" i="1"/>
  <c r="A504" i="1"/>
  <c r="A185" i="1"/>
  <c r="A223" i="1"/>
  <c r="A404" i="1"/>
  <c r="A77" i="1"/>
  <c r="B124" i="6" s="1"/>
  <c r="A124" i="6" s="1"/>
  <c r="A129" i="1"/>
  <c r="A200" i="1"/>
  <c r="A395" i="1"/>
  <c r="A495" i="1"/>
  <c r="A76" i="1"/>
  <c r="B123" i="6" s="1"/>
  <c r="A123" i="6" s="1"/>
  <c r="A84" i="1"/>
  <c r="B139" i="6" s="1"/>
  <c r="A139" i="6" s="1"/>
  <c r="A192" i="1"/>
  <c r="A484" i="1"/>
  <c r="A204" i="1"/>
  <c r="A108" i="1"/>
  <c r="A429" i="1"/>
  <c r="A273" i="1"/>
  <c r="A183" i="1"/>
  <c r="A237" i="1"/>
  <c r="A187" i="1"/>
  <c r="A116" i="1"/>
  <c r="A20" i="1"/>
  <c r="B25" i="6" s="1"/>
  <c r="A25" i="6" s="1"/>
  <c r="A28" i="1"/>
  <c r="B43" i="6" s="1"/>
  <c r="A43" i="6" s="1"/>
  <c r="A153" i="1"/>
  <c r="A361" i="1"/>
  <c r="A101" i="1"/>
  <c r="A176" i="1"/>
  <c r="A80" i="1"/>
  <c r="B129" i="6" s="1"/>
  <c r="A129" i="6" s="1"/>
  <c r="A9" i="1"/>
  <c r="B5" i="6" s="1"/>
  <c r="A5" i="6" s="1"/>
  <c r="A113" i="1"/>
  <c r="A63" i="1"/>
  <c r="B104" i="6" s="1"/>
  <c r="A104" i="6" s="1"/>
  <c r="A345" i="1"/>
  <c r="A336" i="1"/>
  <c r="A217" i="1"/>
  <c r="A167" i="1"/>
  <c r="A96" i="1"/>
  <c r="A100" i="1"/>
  <c r="A75" i="1"/>
  <c r="B122" i="6" s="1"/>
  <c r="A122" i="6" s="1"/>
  <c r="A37" i="1"/>
  <c r="B66" i="6" s="1"/>
  <c r="A66" i="6" s="1"/>
  <c r="A300" i="1"/>
  <c r="A483" i="1"/>
  <c r="A411" i="1"/>
  <c r="A281" i="1"/>
  <c r="A224" i="1"/>
  <c r="A199" i="1"/>
  <c r="A128" i="1"/>
  <c r="A157" i="1"/>
  <c r="A36" i="1"/>
  <c r="B64" i="6" s="1"/>
  <c r="A64" i="6" s="1"/>
  <c r="A7" i="1"/>
  <c r="B2" i="6" s="1"/>
  <c r="A2" i="6" s="1"/>
  <c r="A136" i="1"/>
  <c r="A147" i="1"/>
  <c r="A51" i="1"/>
  <c r="B86" i="6" s="1"/>
  <c r="A86" i="6" s="1"/>
  <c r="A151" i="1"/>
  <c r="A105" i="1"/>
  <c r="A55" i="1"/>
  <c r="B91" i="6" s="1"/>
  <c r="A91" i="6" s="1"/>
  <c r="A109" i="1"/>
  <c r="A59" i="1"/>
  <c r="B98" i="6" s="1"/>
  <c r="A98" i="6" s="1"/>
  <c r="A17" i="1"/>
  <c r="B20" i="6" s="1"/>
  <c r="A20" i="6" s="1"/>
  <c r="A29" i="1"/>
  <c r="B45" i="6" s="1"/>
  <c r="A45" i="6" s="1"/>
  <c r="A137" i="1"/>
  <c r="A87" i="1"/>
  <c r="A16" i="1"/>
  <c r="B19" i="6" s="1"/>
  <c r="A19" i="6" s="1"/>
  <c r="A465" i="1"/>
  <c r="A407" i="1"/>
  <c r="A371" i="1"/>
  <c r="A212" i="1"/>
  <c r="A420" i="1"/>
  <c r="A375" i="1"/>
  <c r="A53" i="1"/>
  <c r="B88" i="6" s="1"/>
  <c r="A88" i="6" s="1"/>
  <c r="A57" i="1"/>
  <c r="B96" i="6" s="1"/>
  <c r="A96" i="6" s="1"/>
  <c r="A496" i="1"/>
  <c r="A111" i="1"/>
  <c r="A65" i="1"/>
  <c r="B108" i="6" s="1"/>
  <c r="A108" i="6" s="1"/>
  <c r="A15" i="1"/>
  <c r="B18" i="6" s="1"/>
  <c r="A18" i="6" s="1"/>
  <c r="A13" i="1"/>
  <c r="B16" i="6" s="1"/>
  <c r="A16" i="6" s="1"/>
  <c r="A88" i="1"/>
  <c r="A269" i="1"/>
  <c r="A91" i="1"/>
  <c r="A124" i="1"/>
  <c r="A32" i="1"/>
  <c r="B53" i="6" s="1"/>
  <c r="A53" i="6" s="1"/>
  <c r="A428" i="1"/>
  <c r="A172" i="1"/>
  <c r="A323" i="1"/>
  <c r="A260" i="1"/>
  <c r="A229" i="1"/>
  <c r="A83" i="1"/>
  <c r="B137" i="6" s="1"/>
  <c r="A137" i="6" s="1"/>
  <c r="A228" i="1"/>
  <c r="A207" i="1"/>
  <c r="A324" i="1"/>
  <c r="A279" i="1"/>
  <c r="A261" i="1"/>
  <c r="A248" i="1"/>
  <c r="A197" i="1"/>
  <c r="A8" i="1"/>
  <c r="B3" i="6" s="1"/>
  <c r="A3" i="6" s="1"/>
  <c r="A99" i="1"/>
  <c r="A203" i="1"/>
  <c r="A201" i="1"/>
  <c r="A125" i="1"/>
  <c r="A41" i="1"/>
  <c r="B70" i="6" s="1"/>
  <c r="A70" i="6" s="1"/>
  <c r="A195" i="1"/>
  <c r="A161" i="1"/>
  <c r="A155" i="1"/>
  <c r="A221" i="1"/>
  <c r="A179" i="1"/>
  <c r="A331" i="1"/>
  <c r="A103" i="1"/>
  <c r="A415" i="1"/>
  <c r="A196" i="1"/>
  <c r="A12" i="1"/>
  <c r="B13" i="6" s="1"/>
  <c r="A13" i="6" s="1"/>
  <c r="A469" i="1"/>
  <c r="A132" i="1"/>
  <c r="A107" i="1"/>
  <c r="A232" i="1"/>
  <c r="A40" i="1"/>
  <c r="B69" i="6" s="1"/>
  <c r="A69" i="6" s="1"/>
  <c r="A121" i="1"/>
  <c r="A71" i="1"/>
  <c r="B118" i="6" s="1"/>
  <c r="A118" i="6" s="1"/>
  <c r="A25" i="1"/>
  <c r="B38" i="6" s="1"/>
  <c r="A38" i="6" s="1"/>
  <c r="A421" i="1"/>
  <c r="A171" i="1"/>
  <c r="A233" i="1"/>
  <c r="A112" i="1"/>
  <c r="A501" i="1"/>
  <c r="A416" i="1"/>
  <c r="A141" i="1"/>
  <c r="A45" i="1"/>
  <c r="B76" i="6" s="1"/>
  <c r="A76" i="6" s="1"/>
  <c r="A304" i="1"/>
  <c r="A295" i="1"/>
  <c r="A220" i="1"/>
  <c r="A11" i="1"/>
  <c r="B11" i="6" s="1"/>
  <c r="A11" i="6" s="1"/>
  <c r="A497" i="1"/>
  <c r="A425" i="1"/>
  <c r="A403" i="1"/>
  <c r="A340" i="1"/>
  <c r="A133" i="1"/>
  <c r="A208" i="1"/>
  <c r="A149" i="1"/>
  <c r="A348" i="1"/>
  <c r="A487" i="1"/>
  <c r="A379" i="1"/>
  <c r="A308" i="1"/>
  <c r="A61" i="1"/>
  <c r="B100" i="6" s="1"/>
  <c r="A100" i="6" s="1"/>
  <c r="A352" i="1"/>
  <c r="A299" i="1"/>
  <c r="A285" i="1"/>
  <c r="A357" i="1"/>
  <c r="A44" i="1"/>
  <c r="B74" i="6" s="1"/>
  <c r="A74" i="6" s="1"/>
  <c r="A209" i="1"/>
  <c r="A499" i="1"/>
  <c r="A39" i="1"/>
  <c r="B68" i="6" s="1"/>
  <c r="A68" i="6" s="1"/>
  <c r="A115" i="1"/>
  <c r="A190" i="1"/>
  <c r="A256" i="1"/>
  <c r="A280" i="1"/>
  <c r="A452" i="1"/>
  <c r="A21" i="1"/>
  <c r="B26" i="6" s="1"/>
  <c r="A26" i="6" s="1"/>
  <c r="A49" i="1"/>
  <c r="B82" i="6" s="1"/>
  <c r="A82" i="6" s="1"/>
  <c r="A35" i="1"/>
  <c r="B63" i="6" s="1"/>
  <c r="A63" i="6" s="1"/>
  <c r="A72" i="1"/>
  <c r="B119" i="6" s="1"/>
  <c r="A119" i="6" s="1"/>
  <c r="A120" i="1"/>
  <c r="A205" i="1"/>
  <c r="A319" i="1"/>
  <c r="A457" i="1"/>
  <c r="A252" i="1"/>
  <c r="A381" i="1"/>
  <c r="A491" i="1"/>
  <c r="A73" i="1"/>
  <c r="B120" i="6" s="1"/>
  <c r="A120" i="6" s="1"/>
  <c r="A139" i="1"/>
  <c r="A482" i="1"/>
  <c r="A181" i="1"/>
  <c r="A92" i="1"/>
  <c r="A144" i="1"/>
  <c r="A191" i="1"/>
  <c r="A68" i="1"/>
  <c r="B113" i="6" s="1"/>
  <c r="A113" i="6" s="1"/>
  <c r="A215" i="1"/>
  <c r="A102" i="1"/>
  <c r="A267" i="1"/>
  <c r="A377" i="1"/>
  <c r="A401" i="1"/>
  <c r="A143" i="1"/>
  <c r="A163" i="1"/>
  <c r="A315" i="1"/>
  <c r="A140" i="1"/>
  <c r="A135" i="1"/>
  <c r="A152" i="1"/>
  <c r="A423" i="1"/>
  <c r="A31" i="1"/>
  <c r="B48" i="6" s="1"/>
  <c r="A48" i="6" s="1"/>
  <c r="A262" i="1"/>
  <c r="A448" i="1"/>
  <c r="A69" i="1"/>
  <c r="B114" i="6" s="1"/>
  <c r="A114" i="6" s="1"/>
  <c r="A177" i="1"/>
  <c r="A64" i="1"/>
  <c r="B106" i="6" s="1"/>
  <c r="A106" i="6" s="1"/>
  <c r="A211" i="1"/>
  <c r="A257" i="1"/>
  <c r="A277" i="1"/>
  <c r="A325" i="1"/>
  <c r="A344" i="1"/>
  <c r="A468" i="1"/>
  <c r="A97" i="1"/>
  <c r="A159" i="1"/>
  <c r="A225" i="1"/>
  <c r="A258" i="1"/>
  <c r="A349" i="1"/>
  <c r="A444" i="1"/>
  <c r="A288" i="2"/>
  <c r="A451" i="1"/>
  <c r="A505" i="1"/>
  <c r="A74" i="1"/>
  <c r="B121" i="6" s="1"/>
  <c r="A121" i="6" s="1"/>
  <c r="A170" i="1"/>
  <c r="A259" i="1"/>
  <c r="A268" i="1"/>
  <c r="A433" i="1"/>
  <c r="A460" i="1"/>
  <c r="A88" i="2"/>
  <c r="A427" i="2"/>
  <c r="A186" i="1"/>
  <c r="A388" i="1"/>
  <c r="A464" i="1"/>
  <c r="A424" i="1"/>
  <c r="A397" i="1"/>
  <c r="A309" i="1"/>
  <c r="A380" i="1"/>
  <c r="A394" i="1"/>
  <c r="A115" i="2"/>
  <c r="A58" i="1"/>
  <c r="B97" i="6" s="1"/>
  <c r="A97" i="6" s="1"/>
  <c r="A154" i="1"/>
  <c r="A242" i="1"/>
  <c r="A367" i="1"/>
  <c r="A412" i="1"/>
  <c r="A16" i="2"/>
  <c r="B28" i="6" s="1"/>
  <c r="A28" i="6" s="1"/>
  <c r="A77" i="2"/>
  <c r="A119" i="2"/>
  <c r="A392" i="2"/>
  <c r="A254" i="1"/>
  <c r="A272" i="1"/>
  <c r="A478" i="1"/>
  <c r="A246" i="1"/>
  <c r="A474" i="1"/>
  <c r="A66" i="1"/>
  <c r="B109" i="6" s="1"/>
  <c r="A109" i="6" s="1"/>
  <c r="A162" i="1"/>
  <c r="A358" i="1"/>
  <c r="A50" i="1"/>
  <c r="B84" i="6" s="1"/>
  <c r="A84" i="6" s="1"/>
  <c r="A399" i="1"/>
  <c r="A46" i="1"/>
  <c r="B77" i="6" s="1"/>
  <c r="A77" i="6" s="1"/>
  <c r="A142" i="1"/>
  <c r="A251" i="1"/>
  <c r="A287" i="1"/>
  <c r="A354" i="1"/>
  <c r="A363" i="1"/>
  <c r="A408" i="1"/>
  <c r="A417" i="1"/>
  <c r="A439" i="1"/>
  <c r="A443" i="1"/>
  <c r="A480" i="1"/>
  <c r="A70" i="2"/>
  <c r="A173" i="2"/>
  <c r="B189" i="6" s="1"/>
  <c r="A189" i="6" s="1"/>
  <c r="A212" i="2"/>
  <c r="A232" i="2"/>
  <c r="A236" i="2"/>
  <c r="A267" i="2"/>
  <c r="A377" i="2"/>
  <c r="A264" i="1"/>
  <c r="A138" i="1"/>
  <c r="A234" i="1"/>
  <c r="A274" i="1"/>
  <c r="A292" i="1"/>
  <c r="A310" i="1"/>
  <c r="A489" i="1"/>
  <c r="A177" i="2"/>
  <c r="B158" i="6" s="1"/>
  <c r="A158" i="6" s="1"/>
  <c r="A290" i="1"/>
  <c r="A447" i="1"/>
  <c r="A38" i="1"/>
  <c r="B67" i="6" s="1"/>
  <c r="A67" i="6" s="1"/>
  <c r="A134" i="1"/>
  <c r="A230" i="1"/>
  <c r="A243" i="1"/>
  <c r="A341" i="1"/>
  <c r="A368" i="1"/>
  <c r="A413" i="1"/>
  <c r="A124" i="2"/>
  <c r="A9" i="2"/>
  <c r="B9" i="6" s="1"/>
  <c r="A9" i="6" s="1"/>
  <c r="A13" i="2"/>
  <c r="B14" i="6" s="1"/>
  <c r="A14" i="6" s="1"/>
  <c r="A43" i="2"/>
  <c r="B80" i="6" s="1"/>
  <c r="A80" i="6" s="1"/>
  <c r="A47" i="2"/>
  <c r="B92" i="6" s="1"/>
  <c r="A92" i="6" s="1"/>
  <c r="A51" i="2"/>
  <c r="B103" i="6" s="1"/>
  <c r="A103" i="6" s="1"/>
  <c r="A74" i="2"/>
  <c r="A158" i="2"/>
  <c r="B188" i="6" s="1"/>
  <c r="A188" i="6" s="1"/>
  <c r="A358" i="2"/>
  <c r="A406" i="1"/>
  <c r="A437" i="1"/>
  <c r="A339" i="1"/>
  <c r="A335" i="1"/>
  <c r="A226" i="1"/>
  <c r="A297" i="1"/>
  <c r="A306" i="1"/>
  <c r="A328" i="1"/>
  <c r="A350" i="1"/>
  <c r="A372" i="1"/>
  <c r="A386" i="1"/>
  <c r="A435" i="1"/>
  <c r="A453" i="1"/>
  <c r="A471" i="1"/>
  <c r="A84" i="2"/>
  <c r="A78" i="2"/>
  <c r="A185" i="2"/>
  <c r="B177" i="6" s="1"/>
  <c r="A177" i="6" s="1"/>
  <c r="A389" i="2"/>
  <c r="A397" i="2"/>
  <c r="A441" i="1"/>
  <c r="A398" i="1"/>
  <c r="A376" i="1"/>
  <c r="A42" i="1"/>
  <c r="B71" i="6" s="1"/>
  <c r="A71" i="6" s="1"/>
  <c r="A222" i="1"/>
  <c r="A301" i="1"/>
  <c r="A391" i="1"/>
  <c r="A400" i="1"/>
  <c r="A476" i="1"/>
  <c r="A66" i="2"/>
  <c r="B140" i="6" s="1"/>
  <c r="A140" i="6" s="1"/>
  <c r="A34" i="2"/>
  <c r="B56" i="6" s="1"/>
  <c r="A56" i="6" s="1"/>
  <c r="A55" i="2"/>
  <c r="B112" i="6" s="1"/>
  <c r="A112" i="6" s="1"/>
  <c r="A23" i="2"/>
  <c r="B37" i="6" s="1"/>
  <c r="A37" i="6" s="1"/>
  <c r="A62" i="2"/>
  <c r="B133" i="6" s="1"/>
  <c r="A133" i="6" s="1"/>
  <c r="A94" i="2"/>
  <c r="A470" i="2"/>
  <c r="A343" i="2"/>
  <c r="A247" i="2"/>
  <c r="A216" i="2"/>
  <c r="A50" i="2"/>
  <c r="B101" i="6" s="1"/>
  <c r="A101" i="6" s="1"/>
  <c r="A18" i="2"/>
  <c r="B30" i="6" s="1"/>
  <c r="A30" i="6" s="1"/>
  <c r="A21" i="2"/>
  <c r="B35" i="6" s="1"/>
  <c r="A35" i="6" s="1"/>
  <c r="A32" i="2"/>
  <c r="B54" i="6" s="1"/>
  <c r="A54" i="6" s="1"/>
  <c r="A40" i="2"/>
  <c r="B73" i="6" s="1"/>
  <c r="A73" i="6" s="1"/>
  <c r="A63" i="2"/>
  <c r="B135" i="6" s="1"/>
  <c r="A135" i="6" s="1"/>
  <c r="A82" i="2"/>
  <c r="A101" i="2"/>
  <c r="A170" i="2"/>
  <c r="B164" i="6" s="1"/>
  <c r="A164" i="6" s="1"/>
  <c r="A307" i="2"/>
  <c r="A370" i="2"/>
  <c r="A421" i="2"/>
  <c r="A476" i="2"/>
  <c r="A488" i="2"/>
  <c r="A492" i="2"/>
  <c r="A496" i="2"/>
  <c r="A62" i="1"/>
  <c r="B102" i="6" s="1"/>
  <c r="A102" i="6" s="1"/>
  <c r="A239" i="1"/>
  <c r="A337" i="1"/>
  <c r="A355" i="1"/>
  <c r="A364" i="1"/>
  <c r="A373" i="1"/>
  <c r="A467" i="1"/>
  <c r="A485" i="1"/>
  <c r="A97" i="2"/>
  <c r="A193" i="2"/>
  <c r="B180" i="6" s="1"/>
  <c r="A180" i="6" s="1"/>
  <c r="A209" i="2"/>
  <c r="A319" i="2"/>
  <c r="A331" i="2"/>
  <c r="A374" i="2"/>
  <c r="A425" i="2"/>
  <c r="K2" i="3"/>
  <c r="A78" i="1"/>
  <c r="B125" i="6" s="1"/>
  <c r="A125" i="6" s="1"/>
  <c r="A389" i="1"/>
  <c r="A278" i="1"/>
  <c r="A126" i="1"/>
  <c r="A214" i="1"/>
  <c r="A275" i="1"/>
  <c r="A293" i="1"/>
  <c r="A302" i="1"/>
  <c r="A431" i="1"/>
  <c r="A449" i="1"/>
  <c r="A6" i="2"/>
  <c r="B4" i="6" s="1"/>
  <c r="A4" i="6" s="1"/>
  <c r="A36" i="2"/>
  <c r="B58" i="6" s="1"/>
  <c r="A58" i="6" s="1"/>
  <c r="A44" i="2"/>
  <c r="B85" i="6" s="1"/>
  <c r="A85" i="6" s="1"/>
  <c r="A67" i="2"/>
  <c r="B141" i="6" s="1"/>
  <c r="A141" i="6" s="1"/>
  <c r="A71" i="2"/>
  <c r="A90" i="2"/>
  <c r="A105" i="2"/>
  <c r="A213" i="2"/>
  <c r="A229" i="2"/>
  <c r="A311" i="2"/>
  <c r="A315" i="2"/>
  <c r="A473" i="1"/>
  <c r="A500" i="1"/>
  <c r="A182" i="1"/>
  <c r="A317" i="1"/>
  <c r="A446" i="1"/>
  <c r="A82" i="1"/>
  <c r="B134" i="6" s="1"/>
  <c r="A134" i="6" s="1"/>
  <c r="A174" i="1"/>
  <c r="A353" i="1"/>
  <c r="A291" i="1"/>
  <c r="A54" i="1"/>
  <c r="B89" i="6" s="1"/>
  <c r="A89" i="6" s="1"/>
  <c r="A150" i="1"/>
  <c r="A385" i="1"/>
  <c r="A255" i="1"/>
  <c r="A390" i="1"/>
  <c r="A130" i="1"/>
  <c r="A26" i="1"/>
  <c r="B39" i="6" s="1"/>
  <c r="A39" i="6" s="1"/>
  <c r="A114" i="1"/>
  <c r="A210" i="1"/>
  <c r="A333" i="1"/>
  <c r="A382" i="1"/>
  <c r="A396" i="1"/>
  <c r="A10" i="2"/>
  <c r="B10" i="6" s="1"/>
  <c r="A10" i="6" s="1"/>
  <c r="A48" i="2"/>
  <c r="B94" i="6" s="1"/>
  <c r="A94" i="6" s="1"/>
  <c r="A151" i="2"/>
  <c r="A174" i="2"/>
  <c r="B157" i="6" s="1"/>
  <c r="A157" i="6" s="1"/>
  <c r="A205" i="2"/>
  <c r="B195" i="6" s="1"/>
  <c r="A195" i="6" s="1"/>
  <c r="A339" i="2"/>
  <c r="A321" i="1"/>
  <c r="A343" i="1"/>
  <c r="A245" i="1"/>
  <c r="A370" i="1"/>
  <c r="A178" i="1"/>
  <c r="A276" i="1"/>
  <c r="A402" i="1"/>
  <c r="A250" i="1"/>
  <c r="A286" i="1"/>
  <c r="A158" i="1"/>
  <c r="A296" i="1"/>
  <c r="A305" i="1"/>
  <c r="A470" i="1"/>
  <c r="A493" i="1"/>
  <c r="A146" i="1"/>
  <c r="A247" i="1"/>
  <c r="A122" i="1"/>
  <c r="A218" i="1"/>
  <c r="A118" i="1"/>
  <c r="A14" i="1"/>
  <c r="B17" i="6" s="1"/>
  <c r="A17" i="6" s="1"/>
  <c r="A110" i="1"/>
  <c r="A206" i="1"/>
  <c r="A284" i="1"/>
  <c r="A298" i="1"/>
  <c r="A351" i="1"/>
  <c r="A360" i="1"/>
  <c r="A387" i="1"/>
  <c r="A405" i="1"/>
  <c r="A463" i="1"/>
  <c r="A14" i="2"/>
  <c r="B21" i="6" s="1"/>
  <c r="A21" i="6" s="1"/>
  <c r="A29" i="2"/>
  <c r="B49" i="6" s="1"/>
  <c r="A49" i="6" s="1"/>
  <c r="A75" i="2"/>
  <c r="A117" i="2"/>
  <c r="A132" i="2"/>
  <c r="A355" i="2"/>
  <c r="A383" i="1"/>
  <c r="A90" i="1"/>
  <c r="A347" i="1"/>
  <c r="A86" i="1"/>
  <c r="A393" i="1"/>
  <c r="A241" i="1"/>
  <c r="A70" i="1"/>
  <c r="B115" i="6" s="1"/>
  <c r="A115" i="6" s="1"/>
  <c r="A166" i="1"/>
  <c r="A492" i="1"/>
  <c r="A475" i="1"/>
  <c r="A34" i="1"/>
  <c r="B62" i="6" s="1"/>
  <c r="A62" i="6" s="1"/>
  <c r="A30" i="1"/>
  <c r="B46" i="6" s="1"/>
  <c r="A46" i="6" s="1"/>
  <c r="A22" i="1"/>
  <c r="B27" i="6" s="1"/>
  <c r="A27" i="6" s="1"/>
  <c r="A18" i="1"/>
  <c r="B23" i="6" s="1"/>
  <c r="A23" i="6" s="1"/>
  <c r="A472" i="1"/>
  <c r="A455" i="1"/>
  <c r="A409" i="1"/>
  <c r="A384" i="1"/>
  <c r="A359" i="1"/>
  <c r="A313" i="1"/>
  <c r="A288" i="1"/>
  <c r="A263" i="1"/>
  <c r="A106" i="1"/>
  <c r="A202" i="1"/>
  <c r="A271" i="1"/>
  <c r="A316" i="1"/>
  <c r="A454" i="1"/>
  <c r="A477" i="1"/>
  <c r="A486" i="1"/>
  <c r="A25" i="2"/>
  <c r="B44" i="6" s="1"/>
  <c r="A44" i="6" s="1"/>
  <c r="A52" i="2"/>
  <c r="B105" i="6" s="1"/>
  <c r="A105" i="6" s="1"/>
  <c r="A79" i="2"/>
  <c r="A284" i="2"/>
  <c r="A473" i="2"/>
  <c r="A477" i="2"/>
  <c r="A481" i="2"/>
  <c r="A282" i="1"/>
  <c r="A378" i="1"/>
  <c r="A466" i="1"/>
  <c r="A266" i="2"/>
  <c r="A404" i="2"/>
  <c r="A462" i="2"/>
  <c r="A485" i="2"/>
  <c r="A462" i="1"/>
  <c r="A479" i="1"/>
  <c r="A93" i="2"/>
  <c r="A100" i="2"/>
  <c r="A111" i="2"/>
  <c r="A155" i="2"/>
  <c r="B147" i="6" s="1"/>
  <c r="A147" i="6" s="1"/>
  <c r="A178" i="2"/>
  <c r="B181" i="6" s="1"/>
  <c r="A181" i="6" s="1"/>
  <c r="A274" i="2"/>
  <c r="A366" i="2"/>
  <c r="A381" i="2"/>
  <c r="A408" i="2"/>
  <c r="A270" i="1"/>
  <c r="A366" i="1"/>
  <c r="A86" i="2"/>
  <c r="A104" i="2"/>
  <c r="A163" i="2"/>
  <c r="B150" i="6" s="1"/>
  <c r="A150" i="6" s="1"/>
  <c r="A182" i="2"/>
  <c r="B168" i="6" s="1"/>
  <c r="A168" i="6" s="1"/>
  <c r="A228" i="2"/>
  <c r="A305" i="2"/>
  <c r="A328" i="2"/>
  <c r="A347" i="2"/>
  <c r="A385" i="2"/>
  <c r="A447" i="2"/>
  <c r="A451" i="2"/>
  <c r="A501" i="2"/>
  <c r="A266" i="1"/>
  <c r="A362" i="1"/>
  <c r="A488" i="1"/>
  <c r="A11" i="2"/>
  <c r="B12" i="6" s="1"/>
  <c r="A12" i="6" s="1"/>
  <c r="A126" i="2"/>
  <c r="A224" i="2"/>
  <c r="A251" i="2"/>
  <c r="A351" i="2"/>
  <c r="A401" i="2"/>
  <c r="A474" i="2"/>
  <c r="A478" i="2"/>
  <c r="A346" i="1"/>
  <c r="A8" i="2"/>
  <c r="B7" i="6" s="1"/>
  <c r="A7" i="6" s="1"/>
  <c r="A112" i="2"/>
  <c r="A123" i="2"/>
  <c r="A134" i="2"/>
  <c r="A179" i="2"/>
  <c r="B196" i="6" s="1"/>
  <c r="A196" i="6" s="1"/>
  <c r="A198" i="2"/>
  <c r="B173" i="6" s="1"/>
  <c r="A173" i="6" s="1"/>
  <c r="A298" i="2"/>
  <c r="A302" i="2"/>
  <c r="A317" i="2"/>
  <c r="A325" i="2"/>
  <c r="A363" i="2"/>
  <c r="A367" i="2"/>
  <c r="A428" i="2"/>
  <c r="A432" i="2"/>
  <c r="A342" i="1"/>
  <c r="A438" i="1"/>
  <c r="A19" i="2"/>
  <c r="B33" i="6" s="1"/>
  <c r="A33" i="6" s="1"/>
  <c r="A26" i="2"/>
  <c r="B41" i="6" s="1"/>
  <c r="A41" i="6" s="1"/>
  <c r="A87" i="2"/>
  <c r="A160" i="2"/>
  <c r="B149" i="6" s="1"/>
  <c r="A149" i="6" s="1"/>
  <c r="A217" i="2"/>
  <c r="A348" i="2"/>
  <c r="A386" i="2"/>
  <c r="A444" i="2"/>
  <c r="A448" i="2"/>
  <c r="A475" i="2"/>
  <c r="A338" i="1"/>
  <c r="A434" i="1"/>
  <c r="A12" i="2"/>
  <c r="B15" i="6" s="1"/>
  <c r="A15" i="6" s="1"/>
  <c r="A116" i="2"/>
  <c r="A127" i="2"/>
  <c r="A168" i="2"/>
  <c r="B156" i="6" s="1"/>
  <c r="A156" i="6" s="1"/>
  <c r="A221" i="2"/>
  <c r="A344" i="2"/>
  <c r="A440" i="2"/>
  <c r="A452" i="2"/>
  <c r="A238" i="1"/>
  <c r="A334" i="1"/>
  <c r="A430" i="1"/>
  <c r="A80" i="2"/>
  <c r="A149" i="2"/>
  <c r="A164" i="2"/>
  <c r="B175" i="6" s="1"/>
  <c r="A175" i="6" s="1"/>
  <c r="A206" i="2"/>
  <c r="B197" i="6" s="1"/>
  <c r="A197" i="6" s="1"/>
  <c r="A233" i="2"/>
  <c r="A256" i="2"/>
  <c r="A310" i="2"/>
  <c r="A333" i="2"/>
  <c r="A456" i="2"/>
  <c r="A330" i="1"/>
  <c r="A426" i="1"/>
  <c r="A502" i="1"/>
  <c r="A30" i="2"/>
  <c r="B51" i="6" s="1"/>
  <c r="A51" i="6" s="1"/>
  <c r="A91" i="2"/>
  <c r="A109" i="2"/>
  <c r="A264" i="2"/>
  <c r="A287" i="2"/>
  <c r="A291" i="2"/>
  <c r="A314" i="2"/>
  <c r="A356" i="2"/>
  <c r="A360" i="2"/>
  <c r="A406" i="2"/>
  <c r="A326" i="1"/>
  <c r="A422" i="1"/>
  <c r="A481" i="1"/>
  <c r="A498" i="1"/>
  <c r="A120" i="2"/>
  <c r="A131" i="2"/>
  <c r="A142" i="2"/>
  <c r="A191" i="2"/>
  <c r="B182" i="6" s="1"/>
  <c r="A182" i="6" s="1"/>
  <c r="A195" i="2"/>
  <c r="B183" i="6" s="1"/>
  <c r="A183" i="6" s="1"/>
  <c r="A214" i="2"/>
  <c r="A241" i="2"/>
  <c r="A295" i="2"/>
  <c r="A318" i="2"/>
  <c r="A322" i="2"/>
  <c r="A410" i="2"/>
  <c r="A322" i="1"/>
  <c r="A418" i="1"/>
  <c r="A494" i="1"/>
  <c r="A102" i="2"/>
  <c r="A157" i="2"/>
  <c r="B163" i="6" s="1"/>
  <c r="A163" i="6" s="1"/>
  <c r="A176" i="2"/>
  <c r="B162" i="6" s="1"/>
  <c r="A162" i="6" s="1"/>
  <c r="A180" i="2"/>
  <c r="B167" i="6" s="1"/>
  <c r="A167" i="6" s="1"/>
  <c r="A276" i="2"/>
  <c r="A299" i="2"/>
  <c r="A429" i="2"/>
  <c r="A464" i="2"/>
  <c r="A468" i="2"/>
  <c r="A318" i="1"/>
  <c r="A414" i="1"/>
  <c r="A490" i="1"/>
  <c r="A489" i="2"/>
  <c r="A465" i="2"/>
  <c r="A441" i="2"/>
  <c r="A417" i="2"/>
  <c r="A393" i="2"/>
  <c r="A369" i="2"/>
  <c r="A345" i="2"/>
  <c r="A321" i="2"/>
  <c r="A297" i="2"/>
  <c r="A273" i="2"/>
  <c r="A249" i="2"/>
  <c r="A225" i="2"/>
  <c r="A482" i="2"/>
  <c r="A458" i="2"/>
  <c r="A402" i="2"/>
  <c r="A378" i="2"/>
  <c r="A354" i="2"/>
  <c r="A330" i="2"/>
  <c r="A306" i="2"/>
  <c r="A282" i="2"/>
  <c r="A258" i="2"/>
  <c r="A234" i="2"/>
  <c r="A210" i="2"/>
  <c r="A186" i="2"/>
  <c r="B172" i="6" s="1"/>
  <c r="A172" i="6" s="1"/>
  <c r="A162" i="2"/>
  <c r="B151" i="6" s="1"/>
  <c r="A151" i="6" s="1"/>
  <c r="A138" i="2"/>
  <c r="A114" i="2"/>
  <c r="A484" i="2"/>
  <c r="A460" i="2"/>
  <c r="A436" i="2"/>
  <c r="A412" i="2"/>
  <c r="A388" i="2"/>
  <c r="A364" i="2"/>
  <c r="A340" i="2"/>
  <c r="A316" i="2"/>
  <c r="A292" i="2"/>
  <c r="A268" i="2"/>
  <c r="A244" i="2"/>
  <c r="A220" i="2"/>
  <c r="A196" i="2"/>
  <c r="B186" i="6" s="1"/>
  <c r="A186" i="6" s="1"/>
  <c r="A172" i="2"/>
  <c r="B152" i="6" s="1"/>
  <c r="A152" i="6" s="1"/>
  <c r="A148" i="2"/>
  <c r="A499" i="2"/>
  <c r="A350" i="2"/>
  <c r="A480" i="2"/>
  <c r="A439" i="2"/>
  <c r="A283" i="2"/>
  <c r="A242" i="2"/>
  <c r="A435" i="2"/>
  <c r="A398" i="2"/>
  <c r="A346" i="2"/>
  <c r="A190" i="2"/>
  <c r="B174" i="6" s="1"/>
  <c r="A174" i="6" s="1"/>
  <c r="A290" i="2"/>
  <c r="A238" i="2"/>
  <c r="A201" i="2"/>
  <c r="B192" i="6" s="1"/>
  <c r="A192" i="6" s="1"/>
  <c r="A502" i="2"/>
  <c r="A446" i="2"/>
  <c r="A394" i="2"/>
  <c r="A223" i="2"/>
  <c r="A175" i="2"/>
  <c r="B166" i="6" s="1"/>
  <c r="A166" i="6" s="1"/>
  <c r="A153" i="2"/>
  <c r="B153" i="6" s="1"/>
  <c r="A153" i="6" s="1"/>
  <c r="A487" i="2"/>
  <c r="A379" i="2"/>
  <c r="A353" i="2"/>
  <c r="A338" i="2"/>
  <c r="A312" i="2"/>
  <c r="A301" i="2"/>
  <c r="A286" i="2"/>
  <c r="A260" i="2"/>
  <c r="A219" i="2"/>
  <c r="A483" i="2"/>
  <c r="A442" i="2"/>
  <c r="A271" i="2"/>
  <c r="A494" i="2"/>
  <c r="A434" i="2"/>
  <c r="A382" i="2"/>
  <c r="A278" i="2"/>
  <c r="A430" i="2"/>
  <c r="A326" i="2"/>
  <c r="A59" i="2"/>
  <c r="B127" i="6" s="1"/>
  <c r="A127" i="6" s="1"/>
  <c r="A113" i="2"/>
  <c r="A161" i="2"/>
  <c r="B144" i="6" s="1"/>
  <c r="A144" i="6" s="1"/>
  <c r="A165" i="2"/>
  <c r="B155" i="6" s="1"/>
  <c r="A155" i="6" s="1"/>
  <c r="A218" i="2"/>
  <c r="A222" i="2"/>
  <c r="A272" i="2"/>
  <c r="A280" i="2"/>
  <c r="A303" i="2"/>
  <c r="A349" i="2"/>
  <c r="A414" i="2"/>
  <c r="A433" i="2"/>
  <c r="A445" i="2"/>
  <c r="A503" i="2"/>
  <c r="A314" i="1"/>
  <c r="A410" i="1"/>
  <c r="A456" i="1"/>
  <c r="A146" i="2"/>
  <c r="A169" i="2"/>
  <c r="B160" i="6" s="1"/>
  <c r="A160" i="6" s="1"/>
  <c r="A184" i="2"/>
  <c r="B171" i="6" s="1"/>
  <c r="A171" i="6" s="1"/>
  <c r="A203" i="2"/>
  <c r="B194" i="6" s="1"/>
  <c r="A194" i="6" s="1"/>
  <c r="A226" i="2"/>
  <c r="A230" i="2"/>
  <c r="A253" i="2"/>
  <c r="A387" i="2"/>
  <c r="A391" i="2"/>
  <c r="A395" i="2"/>
  <c r="A399" i="2"/>
  <c r="A449" i="2"/>
  <c r="A458" i="1"/>
  <c r="A73" i="2"/>
  <c r="A159" i="2"/>
  <c r="B165" i="6" s="1"/>
  <c r="A165" i="6" s="1"/>
  <c r="A270" i="2"/>
  <c r="A359" i="2"/>
  <c r="A426" i="2"/>
  <c r="A437" i="2"/>
  <c r="A141" i="2"/>
  <c r="A207" i="2"/>
  <c r="A285" i="2"/>
  <c r="A296" i="2"/>
  <c r="A300" i="2"/>
  <c r="A337" i="2"/>
  <c r="A352" i="2"/>
  <c r="A467" i="2"/>
  <c r="A471" i="2"/>
  <c r="A486" i="2"/>
  <c r="A237" i="2"/>
  <c r="A248" i="2"/>
  <c r="A252" i="2"/>
  <c r="A289" i="2"/>
  <c r="A304" i="2"/>
  <c r="A442" i="1"/>
  <c r="A145" i="2"/>
  <c r="A156" i="2"/>
  <c r="B148" i="6" s="1"/>
  <c r="A148" i="6" s="1"/>
  <c r="A189" i="2"/>
  <c r="B170" i="6" s="1"/>
  <c r="A170" i="6" s="1"/>
  <c r="A200" i="2"/>
  <c r="B190" i="6" s="1"/>
  <c r="A190" i="6" s="1"/>
  <c r="A263" i="2"/>
  <c r="A341" i="2"/>
  <c r="A371" i="2"/>
  <c r="A423" i="2"/>
  <c r="A505" i="2"/>
  <c r="A293" i="2"/>
  <c r="A323" i="2"/>
  <c r="A375" i="2"/>
  <c r="A453" i="2"/>
  <c r="A479" i="2"/>
  <c r="A208" i="2"/>
  <c r="A390" i="2"/>
  <c r="A472" i="2"/>
  <c r="A498" i="2"/>
  <c r="A245" i="2"/>
  <c r="A275" i="2"/>
  <c r="A327" i="2"/>
  <c r="A405" i="2"/>
  <c r="A416" i="2"/>
  <c r="A420" i="2"/>
  <c r="A457" i="2"/>
  <c r="A135" i="2"/>
  <c r="A197" i="2"/>
  <c r="B185" i="6" s="1"/>
  <c r="A185" i="6" s="1"/>
  <c r="A342" i="2"/>
  <c r="A431" i="2"/>
  <c r="A128" i="2"/>
  <c r="A227" i="2"/>
  <c r="A279" i="2"/>
  <c r="A357" i="2"/>
  <c r="A368" i="2"/>
  <c r="A372" i="2"/>
  <c r="A409" i="2"/>
  <c r="A424" i="2"/>
  <c r="A461" i="2"/>
  <c r="A294" i="2"/>
  <c r="A383" i="2"/>
  <c r="A450" i="2"/>
  <c r="A491" i="2"/>
  <c r="A495" i="2"/>
  <c r="A506" i="1"/>
  <c r="A107" i="2"/>
  <c r="A231" i="2"/>
  <c r="A309" i="2"/>
  <c r="A320" i="2"/>
  <c r="A324" i="2"/>
  <c r="A361" i="2"/>
  <c r="A376" i="2"/>
  <c r="A54" i="2"/>
  <c r="B110" i="6" s="1"/>
  <c r="A110" i="6" s="1"/>
  <c r="A121" i="2"/>
  <c r="A150" i="2"/>
  <c r="A183" i="2"/>
  <c r="B169" i="6" s="1"/>
  <c r="A169" i="6" s="1"/>
  <c r="A246" i="2"/>
  <c r="A335" i="2"/>
  <c r="A413" i="2"/>
</calcChain>
</file>

<file path=xl/sharedStrings.xml><?xml version="1.0" encoding="utf-8"?>
<sst xmlns="http://schemas.openxmlformats.org/spreadsheetml/2006/main" count="16134" uniqueCount="1246">
  <si>
    <t>(-2*10^-6)*A1^3+0.00032*A1^2-0.0021*A1</t>
  </si>
  <si>
    <t>Overall Projection</t>
  </si>
  <si>
    <t>Rnk</t>
  </si>
  <si>
    <t>Player</t>
  </si>
  <si>
    <t>Pos</t>
  </si>
  <si>
    <t>B</t>
  </si>
  <si>
    <t>T</t>
  </si>
  <si>
    <t>Age</t>
  </si>
  <si>
    <t>Contact</t>
  </si>
  <si>
    <t>Power</t>
  </si>
  <si>
    <t>vs L</t>
  </si>
  <si>
    <t>vs R</t>
  </si>
  <si>
    <t>Batting Eye</t>
  </si>
  <si>
    <t>Baserunning</t>
  </si>
  <si>
    <t>Bunt</t>
  </si>
  <si>
    <t>Push/Pull</t>
  </si>
  <si>
    <t>Overall</t>
  </si>
  <si>
    <t>Rank</t>
  </si>
  <si>
    <t>Range</t>
  </si>
  <si>
    <t>Glove</t>
  </si>
  <si>
    <t>Arm Strength</t>
  </si>
  <si>
    <t>Arm Accuracy</t>
  </si>
  <si>
    <t>Pitch Calling</t>
  </si>
  <si>
    <t>Durability</t>
  </si>
  <si>
    <t>Health</t>
  </si>
  <si>
    <t>Speed</t>
  </si>
  <si>
    <t>Patience</t>
  </si>
  <si>
    <t>Temper</t>
  </si>
  <si>
    <t>Makeup</t>
  </si>
  <si>
    <t>hitting</t>
  </si>
  <si>
    <t>baserunning</t>
  </si>
  <si>
    <t>fielding</t>
  </si>
  <si>
    <t>durability</t>
  </si>
  <si>
    <t>intangibles</t>
  </si>
  <si>
    <t>Lozada, Marshall</t>
  </si>
  <si>
    <t>3B</t>
  </si>
  <si>
    <t>R</t>
  </si>
  <si>
    <t>Romero, Jerome</t>
  </si>
  <si>
    <t>SS</t>
  </si>
  <si>
    <t>Cunnane, John</t>
  </si>
  <si>
    <t>RF</t>
  </si>
  <si>
    <t>Bailey, Alexander</t>
  </si>
  <si>
    <t>1B</t>
  </si>
  <si>
    <t>Patrick, Alex</t>
  </si>
  <si>
    <t>Sanchez, Angel</t>
  </si>
  <si>
    <t>LF</t>
  </si>
  <si>
    <t>S</t>
  </si>
  <si>
    <t>L</t>
  </si>
  <si>
    <t>Arguelles, Arquimedes</t>
  </si>
  <si>
    <t>2B</t>
  </si>
  <si>
    <t>Finnegan, Johermyn</t>
  </si>
  <si>
    <t>Nieves, Julio</t>
  </si>
  <si>
    <t>Cruz, Yamid</t>
  </si>
  <si>
    <t>Duchscherer, Bobby Joe</t>
  </si>
  <si>
    <t>Morris, Dillon</t>
  </si>
  <si>
    <t>Soriano, Garret</t>
  </si>
  <si>
    <t>Melendez, Renato</t>
  </si>
  <si>
    <t>DH</t>
  </si>
  <si>
    <t>Perez, Phillip</t>
  </si>
  <si>
    <t>Estrada, Midre</t>
  </si>
  <si>
    <t>Espinosa, Benito</t>
  </si>
  <si>
    <t>Springer, Tony</t>
  </si>
  <si>
    <t>Washington, Cy</t>
  </si>
  <si>
    <t>Stratton, Keyvius</t>
  </si>
  <si>
    <t>C</t>
  </si>
  <si>
    <t>Newson, Albert</t>
  </si>
  <si>
    <t>Machi, Albert</t>
  </si>
  <si>
    <t>Charles, Fred</t>
  </si>
  <si>
    <t>Burch, Clint</t>
  </si>
  <si>
    <t>Diaz, Pedro</t>
  </si>
  <si>
    <t>Coyle, Dan</t>
  </si>
  <si>
    <t>Valentin, Renato</t>
  </si>
  <si>
    <t>Martinson, Frank</t>
  </si>
  <si>
    <t>CF</t>
  </si>
  <si>
    <t>Ellis, Richard</t>
  </si>
  <si>
    <t>Mills, Dee</t>
  </si>
  <si>
    <t>Kile, Elvis</t>
  </si>
  <si>
    <t>Ellis, Donn</t>
  </si>
  <si>
    <t>Arroyo, Alex</t>
  </si>
  <si>
    <t>Kinney, Claudio</t>
  </si>
  <si>
    <t>Holmberg, Lonnie</t>
  </si>
  <si>
    <t>Herndon, Mo</t>
  </si>
  <si>
    <t>Bowden, Eric</t>
  </si>
  <si>
    <t>Singleton, Milt</t>
  </si>
  <si>
    <t>Murray, J.B.</t>
  </si>
  <si>
    <t>Henley, Thomas</t>
  </si>
  <si>
    <t>German, Walter</t>
  </si>
  <si>
    <t>Nady, Orval</t>
  </si>
  <si>
    <t>Darwin, Gerald</t>
  </si>
  <si>
    <t>Reddick, Calvin</t>
  </si>
  <si>
    <t>Sojo, Jose</t>
  </si>
  <si>
    <t>Smyly, Shelley</t>
  </si>
  <si>
    <t>Booker, Jason</t>
  </si>
  <si>
    <t>Lowe, Phillippe</t>
  </si>
  <si>
    <t>Turley, Ernie</t>
  </si>
  <si>
    <t>Maggi, Archie</t>
  </si>
  <si>
    <t>Dodd, Tucker</t>
  </si>
  <si>
    <t>Gunderson, Leo</t>
  </si>
  <si>
    <t>Lyon, Sal</t>
  </si>
  <si>
    <t>Lawrence, Davy</t>
  </si>
  <si>
    <t>Daniels, Darryl</t>
  </si>
  <si>
    <t>Negrin, Benjamin</t>
  </si>
  <si>
    <t>Williams, Bud</t>
  </si>
  <si>
    <t>Beachy, Hank</t>
  </si>
  <si>
    <t>Hodges, Antonio</t>
  </si>
  <si>
    <t>Ordaz, Livan</t>
  </si>
  <si>
    <t>Sanders, Tony</t>
  </si>
  <si>
    <t>Mitchell, Cliff</t>
  </si>
  <si>
    <t>Welsh, Bo</t>
  </si>
  <si>
    <t>Jacquez, Roman</t>
  </si>
  <si>
    <t>Hellickson, Sam</t>
  </si>
  <si>
    <t>Russ, Anthony</t>
  </si>
  <si>
    <t>LeCroy, Milton</t>
  </si>
  <si>
    <t>Schierholtz, Amp</t>
  </si>
  <si>
    <t>Rivera, Destin</t>
  </si>
  <si>
    <t>Busby, Vinnie</t>
  </si>
  <si>
    <t>Clayton, Kenneth</t>
  </si>
  <si>
    <t>McKinley, Phil</t>
  </si>
  <si>
    <t>Hernandez, Jesus</t>
  </si>
  <si>
    <t>Anderson, Philip</t>
  </si>
  <si>
    <t>Haase, Lonnie</t>
  </si>
  <si>
    <t>Randall, Ralph</t>
  </si>
  <si>
    <t>Wilkerson, Doc</t>
  </si>
  <si>
    <t>Cather, Ted</t>
  </si>
  <si>
    <t>Harper, Moe</t>
  </si>
  <si>
    <t>Hodges, John</t>
  </si>
  <si>
    <t>?</t>
  </si>
  <si>
    <t>Ramirez, Gerardo</t>
  </si>
  <si>
    <t>Davis, Alan</t>
  </si>
  <si>
    <t>Miley, Johan</t>
  </si>
  <si>
    <t>Jodie, Tony</t>
  </si>
  <si>
    <t>Hernandez, Ezdra</t>
  </si>
  <si>
    <t>Burks, Gill</t>
  </si>
  <si>
    <t>King, Roger</t>
  </si>
  <si>
    <t>Riley, Clay</t>
  </si>
  <si>
    <t>Mendoza, Stefen</t>
  </si>
  <si>
    <t>Johnson, Wilkin</t>
  </si>
  <si>
    <t>Crespo, Jose</t>
  </si>
  <si>
    <t>Ramirez, Nigel</t>
  </si>
  <si>
    <t>Gibson, Danny</t>
  </si>
  <si>
    <t>Park, Rudy</t>
  </si>
  <si>
    <t>Sellers, T.J.</t>
  </si>
  <si>
    <t>Infante, Rafael</t>
  </si>
  <si>
    <t>Vaughn, Arlie</t>
  </si>
  <si>
    <t>Bush, Tom</t>
  </si>
  <si>
    <t>Kapler, Artie</t>
  </si>
  <si>
    <t>Kashmir, Harry</t>
  </si>
  <si>
    <t>Fleming, Cam</t>
  </si>
  <si>
    <t>Rhodes, Ryne</t>
  </si>
  <si>
    <t>Wheeler, Cy</t>
  </si>
  <si>
    <t>Moraga, Lonny</t>
  </si>
  <si>
    <t>Yerkes, Taylor</t>
  </si>
  <si>
    <t>Calles, Esmailyn</t>
  </si>
  <si>
    <t>Boscan, Yadiel</t>
  </si>
  <si>
    <t>Martinez, Alex</t>
  </si>
  <si>
    <t>Hursh, Petey</t>
  </si>
  <si>
    <t>Chaffee, Nick</t>
  </si>
  <si>
    <t>Sheffield, Neil</t>
  </si>
  <si>
    <t>Cash, Luther</t>
  </si>
  <si>
    <t>Bradley, Britt</t>
  </si>
  <si>
    <t>Simpson, Nigel</t>
  </si>
  <si>
    <t>Green, Vinny</t>
  </si>
  <si>
    <t>High, Vinny</t>
  </si>
  <si>
    <t>Austin, Harold</t>
  </si>
  <si>
    <t>Solis, Chico</t>
  </si>
  <si>
    <t>Leesman, Walt</t>
  </si>
  <si>
    <t>Hodges, Rajai</t>
  </si>
  <si>
    <t>Wilson, Jabari</t>
  </si>
  <si>
    <t>Neal, Nipsey</t>
  </si>
  <si>
    <t>Leonard, Dalier</t>
  </si>
  <si>
    <t>Trachsel, Wyatt</t>
  </si>
  <si>
    <t>Taylor, Mallex</t>
  </si>
  <si>
    <t>Towers, Bump</t>
  </si>
  <si>
    <t>Duchscherer, Willis</t>
  </si>
  <si>
    <t>Ellis, Denny</t>
  </si>
  <si>
    <t>Stern, Howard</t>
  </si>
  <si>
    <t>Hughes, Dwayne</t>
  </si>
  <si>
    <t>Priddy, Frankie</t>
  </si>
  <si>
    <t>Mendoza, Karim</t>
  </si>
  <si>
    <t>Jordan, Tyler</t>
  </si>
  <si>
    <t>White, Timothy</t>
  </si>
  <si>
    <t>Brumbaugh, Brutus</t>
  </si>
  <si>
    <t>Diaz, Vladimir</t>
  </si>
  <si>
    <t>Hollingsworth, Myron</t>
  </si>
  <si>
    <t>Pierce, Lance</t>
  </si>
  <si>
    <t>Perez, Mallex</t>
  </si>
  <si>
    <t>Sadler, Arthur</t>
  </si>
  <si>
    <t>Wolf, Shaggy</t>
  </si>
  <si>
    <t>Martinez, Erubiel</t>
  </si>
  <si>
    <t>Lee, Junior</t>
  </si>
  <si>
    <t>King, Antonio</t>
  </si>
  <si>
    <t>Hitchcock, Keone</t>
  </si>
  <si>
    <t>Romo, Javier</t>
  </si>
  <si>
    <t>Bere, Don</t>
  </si>
  <si>
    <t>King, Cole</t>
  </si>
  <si>
    <t>Hamilton, Clay</t>
  </si>
  <si>
    <t>Colbert, Jeremy</t>
  </si>
  <si>
    <t>Bigley, Anthony</t>
  </si>
  <si>
    <t>Nichting, Rob</t>
  </si>
  <si>
    <t>Charles, Ned</t>
  </si>
  <si>
    <t>Nieves, Engel</t>
  </si>
  <si>
    <t>Shiell, Michael</t>
  </si>
  <si>
    <t>Daly, Tyler</t>
  </si>
  <si>
    <t>Nuno, Diego</t>
  </si>
  <si>
    <t>LaHair, Tim</t>
  </si>
  <si>
    <t>Cirillo, Justin</t>
  </si>
  <si>
    <t>Brantly, C.J.</t>
  </si>
  <si>
    <t>Piper, Eugene</t>
  </si>
  <si>
    <t>Accardo, Einar</t>
  </si>
  <si>
    <t>Ryal, Dennys</t>
  </si>
  <si>
    <t>Lange, Ronald</t>
  </si>
  <si>
    <t>Sullivan, John</t>
  </si>
  <si>
    <t>Wengert, Japhet</t>
  </si>
  <si>
    <t>Cash, Shaggy</t>
  </si>
  <si>
    <t>Cannon, Philip</t>
  </si>
  <si>
    <t>Fisher, Brad</t>
  </si>
  <si>
    <t>Owen, Norberto</t>
  </si>
  <si>
    <t>Fonville, Scot</t>
  </si>
  <si>
    <t>Springer, Brad</t>
  </si>
  <si>
    <t>Lieber, Damian</t>
  </si>
  <si>
    <t>Brown, Todd</t>
  </si>
  <si>
    <t>West, D.T.</t>
  </si>
  <si>
    <t>Hutchison, Brian</t>
  </si>
  <si>
    <t>Cisco, Quinn</t>
  </si>
  <si>
    <t>Casteel, Doyle</t>
  </si>
  <si>
    <t>Perez, Irving</t>
  </si>
  <si>
    <t>Forest, Tuffy</t>
  </si>
  <si>
    <t>James, David</t>
  </si>
  <si>
    <t>Rivera, Santos</t>
  </si>
  <si>
    <t>Brantley, Emmett</t>
  </si>
  <si>
    <t>Hyzdu, Jade</t>
  </si>
  <si>
    <t>Rodriguez, Odrisamer</t>
  </si>
  <si>
    <t>Pfeffer, Wayne</t>
  </si>
  <si>
    <t>Hosmer, Randy</t>
  </si>
  <si>
    <t>Thomas, Delanor</t>
  </si>
  <si>
    <t>Mahay, Ronn</t>
  </si>
  <si>
    <t>Gimenez, Braulio</t>
  </si>
  <si>
    <t>Valdes, Chance</t>
  </si>
  <si>
    <t>Sizemore, Donnie</t>
  </si>
  <si>
    <t>Stone, Joe</t>
  </si>
  <si>
    <t>Vazquez, Hector</t>
  </si>
  <si>
    <t>Samuel, Eduardo</t>
  </si>
  <si>
    <t>Clement, Marc</t>
  </si>
  <si>
    <t>Gao, Kensuke</t>
  </si>
  <si>
    <t>Johnson, Junior</t>
  </si>
  <si>
    <t>Tomlinson, Garrett</t>
  </si>
  <si>
    <t>Jokisch, Turk</t>
  </si>
  <si>
    <t>Nilsson, Yorrick</t>
  </si>
  <si>
    <t>Rosa, Juan</t>
  </si>
  <si>
    <t>Aquino, Vasco</t>
  </si>
  <si>
    <t>Prieto, Pedro</t>
  </si>
  <si>
    <t>Tulowitzki, Trent</t>
  </si>
  <si>
    <t>Magadan, Dwight</t>
  </si>
  <si>
    <t>Jakubauskas, Rick</t>
  </si>
  <si>
    <t>Newfield, Eric</t>
  </si>
  <si>
    <t>Gates, William</t>
  </si>
  <si>
    <t>Johnson, Virgil</t>
  </si>
  <si>
    <t>Marshall, Eric</t>
  </si>
  <si>
    <t>Crosby, Trever</t>
  </si>
  <si>
    <t>Edmonds, Spike</t>
  </si>
  <si>
    <t>Rudolph, Marty</t>
  </si>
  <si>
    <t>Lima, Edinson</t>
  </si>
  <si>
    <t>Chase, Andre</t>
  </si>
  <si>
    <t>Nixon, Stevie</t>
  </si>
  <si>
    <t>Cervenka, Kes</t>
  </si>
  <si>
    <t>Weaver, Jarrod</t>
  </si>
  <si>
    <t>Overbeck, Tarrik</t>
  </si>
  <si>
    <t>Lind, Ugueth</t>
  </si>
  <si>
    <t>Beech, Dan</t>
  </si>
  <si>
    <t>Milton, Ronald</t>
  </si>
  <si>
    <t>Hester, Richard</t>
  </si>
  <si>
    <t>Freel, Al</t>
  </si>
  <si>
    <t>Buchholz, Boots</t>
  </si>
  <si>
    <t>Merloni, Vance</t>
  </si>
  <si>
    <t>Nixon, Phil</t>
  </si>
  <si>
    <t>Taylor, Kevin</t>
  </si>
  <si>
    <t>Savery, Fabio</t>
  </si>
  <si>
    <t>Myers, Charlie</t>
  </si>
  <si>
    <t>Coleman, Roger</t>
  </si>
  <si>
    <t>James, Neal</t>
  </si>
  <si>
    <t>Pierce, Isaac</t>
  </si>
  <si>
    <t>Mota, Endrys</t>
  </si>
  <si>
    <t>Cairo, Louie</t>
  </si>
  <si>
    <t>Relaford, Tuck</t>
  </si>
  <si>
    <t>Hume, Nap</t>
  </si>
  <si>
    <t>Pridie, Dave</t>
  </si>
  <si>
    <t>Ashburn, Eugene</t>
  </si>
  <si>
    <t>Leyritz, Ernie</t>
  </si>
  <si>
    <t>Takada, Jumbo</t>
  </si>
  <si>
    <t>Keats, George</t>
  </si>
  <si>
    <t>Hill, Randy</t>
  </si>
  <si>
    <t>Moore, B.C.</t>
  </si>
  <si>
    <t>Menechino, Harry</t>
  </si>
  <si>
    <t>Maduro, Brooks</t>
  </si>
  <si>
    <t>O'Malley, Chadd</t>
  </si>
  <si>
    <t>Cespedes, Albert</t>
  </si>
  <si>
    <t>Stevenson, Felix</t>
  </si>
  <si>
    <t>Guillen, Rusney</t>
  </si>
  <si>
    <t>Myers, Fred</t>
  </si>
  <si>
    <t>Flood, Bryan</t>
  </si>
  <si>
    <t>Bradshaw, Sidney</t>
  </si>
  <si>
    <t>Coppinger, Tommy</t>
  </si>
  <si>
    <t>Nix, Ned</t>
  </si>
  <si>
    <t>Azocar, Angelys</t>
  </si>
  <si>
    <t>Canseco, Midre</t>
  </si>
  <si>
    <t>Giansanti, Larry</t>
  </si>
  <si>
    <t>Nickle, Timothy</t>
  </si>
  <si>
    <t>Lewis, Jack</t>
  </si>
  <si>
    <t>Guerrero, Leury</t>
  </si>
  <si>
    <t>Rodrigo, Julio</t>
  </si>
  <si>
    <t>Ross, Hades</t>
  </si>
  <si>
    <t>Dobbs, Gary</t>
  </si>
  <si>
    <t>Courtney, Shelby</t>
  </si>
  <si>
    <t>Wallace, Eric</t>
  </si>
  <si>
    <t>Peterson, Greg</t>
  </si>
  <si>
    <t>Font, Gio</t>
  </si>
  <si>
    <t>Palmer, Roger</t>
  </si>
  <si>
    <t>Gabriel, Nicholas</t>
  </si>
  <si>
    <t>Hensley, Rip</t>
  </si>
  <si>
    <t>Rekar, Chip</t>
  </si>
  <si>
    <t>Rowe, Louis</t>
  </si>
  <si>
    <t>Dodd, Billy</t>
  </si>
  <si>
    <t>Whitaker, Bob</t>
  </si>
  <si>
    <t>Price, Len</t>
  </si>
  <si>
    <t>Brush, Ervin</t>
  </si>
  <si>
    <t>Septimo, Bart</t>
  </si>
  <si>
    <t>Stevenson, Les</t>
  </si>
  <si>
    <t>Bray, Peter</t>
  </si>
  <si>
    <t>Aramboles, Lisalverto</t>
  </si>
  <si>
    <t>White, Gus</t>
  </si>
  <si>
    <t>Stanton, Levi</t>
  </si>
  <si>
    <t>Stokes, Rylan</t>
  </si>
  <si>
    <t>Lawson, Marv</t>
  </si>
  <si>
    <t>Byrd, Milt</t>
  </si>
  <si>
    <t>Gomez, Alex</t>
  </si>
  <si>
    <t>O'Leary, Bobby</t>
  </si>
  <si>
    <t>Owen, Joey</t>
  </si>
  <si>
    <t>Swan, Felix</t>
  </si>
  <si>
    <t>Hawpe, Ronn</t>
  </si>
  <si>
    <t>Castillo, Luis</t>
  </si>
  <si>
    <t>Costilla, Eduardo</t>
  </si>
  <si>
    <t>Miranda, Junior</t>
  </si>
  <si>
    <t>Nichols, Flip</t>
  </si>
  <si>
    <t>Montgomery, Morgan</t>
  </si>
  <si>
    <t>Sexton, Lyle</t>
  </si>
  <si>
    <t>Embree, Gregory</t>
  </si>
  <si>
    <t>Linebrink, Gerald</t>
  </si>
  <si>
    <t>Brocail, Don</t>
  </si>
  <si>
    <t>Kirk, Alex</t>
  </si>
  <si>
    <t>Lieber, Buster</t>
  </si>
  <si>
    <t>Bryne, Orber</t>
  </si>
  <si>
    <t>Sirotka, Neil</t>
  </si>
  <si>
    <t>Whitehill, Robin</t>
  </si>
  <si>
    <t>Ramsay, Hank</t>
  </si>
  <si>
    <t>Crede, Phillip</t>
  </si>
  <si>
    <t>Ward, Paul</t>
  </si>
  <si>
    <t>Hinojosa, Tyson</t>
  </si>
  <si>
    <t>Dellaero, Thurman</t>
  </si>
  <si>
    <t>Lorenzo, Magglio</t>
  </si>
  <si>
    <t>Olmos, Maverick</t>
  </si>
  <si>
    <t>Kim, Vinny</t>
  </si>
  <si>
    <t>McGee, Mark</t>
  </si>
  <si>
    <t>Petersen, Clarence</t>
  </si>
  <si>
    <t>Aguilar, Odrisamer</t>
  </si>
  <si>
    <t>Moore, Bucky</t>
  </si>
  <si>
    <t>Rigby, Ryan</t>
  </si>
  <si>
    <t>Linton, Williams</t>
  </si>
  <si>
    <t>Tucker, Grant</t>
  </si>
  <si>
    <t>Castillo, Miguel</t>
  </si>
  <si>
    <t>Sanchez, Olmedo</t>
  </si>
  <si>
    <t>Glaus, Clarence</t>
  </si>
  <si>
    <t>Carmona, Shawn</t>
  </si>
  <si>
    <t>Mijares, Ezdra</t>
  </si>
  <si>
    <t>Taylor, Sid</t>
  </si>
  <si>
    <t>Dillard, Glen</t>
  </si>
  <si>
    <t>Price, Virgil</t>
  </si>
  <si>
    <t>Rossy, Von</t>
  </si>
  <si>
    <t>Phillips, Rob</t>
  </si>
  <si>
    <t>Langerhans, Kenn</t>
  </si>
  <si>
    <t>Edwards, Alonzo</t>
  </si>
  <si>
    <t>Waters, Larry</t>
  </si>
  <si>
    <t>Sanders, Roger</t>
  </si>
  <si>
    <t>Mercer, Michael</t>
  </si>
  <si>
    <t>Barfield, Eugene</t>
  </si>
  <si>
    <t>Crane, Tim</t>
  </si>
  <si>
    <t>Myles, Hersh</t>
  </si>
  <si>
    <t>Branson, Bingo</t>
  </si>
  <si>
    <t>Gibbons, Dario</t>
  </si>
  <si>
    <t>Downs, Henderson</t>
  </si>
  <si>
    <t>Wilkins, Sean</t>
  </si>
  <si>
    <t>Reynolds, Brandon</t>
  </si>
  <si>
    <t>Walker, Gary</t>
  </si>
  <si>
    <t>Sanford, Mark</t>
  </si>
  <si>
    <t>Workman, Shane</t>
  </si>
  <si>
    <t>Malloy, Hal</t>
  </si>
  <si>
    <t>Perkins, Matt</t>
  </si>
  <si>
    <t>McMillan, Mark</t>
  </si>
  <si>
    <t>Tracy, Nate</t>
  </si>
  <si>
    <t>Ramirez, Mitchell</t>
  </si>
  <si>
    <t>James, Yunel</t>
  </si>
  <si>
    <t>Position</t>
  </si>
  <si>
    <t>Stamina</t>
  </si>
  <si>
    <t>Control</t>
  </si>
  <si>
    <t>vsL</t>
  </si>
  <si>
    <t>vsR</t>
  </si>
  <si>
    <t>Velocity</t>
  </si>
  <si>
    <t>Groundball/Flyball Tendency</t>
  </si>
  <si>
    <t>Pitch 1</t>
  </si>
  <si>
    <t>Pitch 2</t>
  </si>
  <si>
    <t>Pitch 3</t>
  </si>
  <si>
    <t>Pitch 4</t>
  </si>
  <si>
    <t>Pitch 5</t>
  </si>
  <si>
    <t>pitching</t>
  </si>
  <si>
    <t>pitches</t>
  </si>
  <si>
    <t>total</t>
  </si>
  <si>
    <t>Stevenson, Madison</t>
  </si>
  <si>
    <t>P</t>
  </si>
  <si>
    <t>Madson, Bo</t>
  </si>
  <si>
    <t>Burch, Stu</t>
  </si>
  <si>
    <t>Gleason, Curtis</t>
  </si>
  <si>
    <t>King, Sherman</t>
  </si>
  <si>
    <t>Cook, Ken</t>
  </si>
  <si>
    <t>Pena, Juan</t>
  </si>
  <si>
    <t>Reed, Walt</t>
  </si>
  <si>
    <t>Diaz, Charlie</t>
  </si>
  <si>
    <t>Sanders, Joe</t>
  </si>
  <si>
    <t>Peguero, Tony</t>
  </si>
  <si>
    <t>Cedeno, Mateo</t>
  </si>
  <si>
    <t>Guzman, Geronimo</t>
  </si>
  <si>
    <t>Cressend, Walt</t>
  </si>
  <si>
    <t>Mitchell, Aaron</t>
  </si>
  <si>
    <t>Pena, Gregor</t>
  </si>
  <si>
    <t>Gose, Grady</t>
  </si>
  <si>
    <t>Duran, Vidal</t>
  </si>
  <si>
    <t>Maradona, Wilin</t>
  </si>
  <si>
    <t>Escalona, Alfredo</t>
  </si>
  <si>
    <t>Fleming, Hal</t>
  </si>
  <si>
    <t>Christenson, Darrin</t>
  </si>
  <si>
    <t>Almanza, Magglio</t>
  </si>
  <si>
    <t>Coggin, Dan</t>
  </si>
  <si>
    <t>Torres, Wilfredo</t>
  </si>
  <si>
    <t>Stein, Quinton</t>
  </si>
  <si>
    <t>Brooks, Trevor</t>
  </si>
  <si>
    <t>Bagley, Taylor</t>
  </si>
  <si>
    <t>Roberts, Dewey</t>
  </si>
  <si>
    <t>Lugo, Riccio</t>
  </si>
  <si>
    <t>Pina, Wally</t>
  </si>
  <si>
    <t>Watson, Albert</t>
  </si>
  <si>
    <t>Lowry, Gerald</t>
  </si>
  <si>
    <t>LaHair, Jed</t>
  </si>
  <si>
    <t>Flande, Albert</t>
  </si>
  <si>
    <t>Garcia, Thurman</t>
  </si>
  <si>
    <t>Krill, Chris</t>
  </si>
  <si>
    <t>Pearson, Fred</t>
  </si>
  <si>
    <t>Newman, Kevin</t>
  </si>
  <si>
    <t>Harris, Clint</t>
  </si>
  <si>
    <t>Locke, Hank</t>
  </si>
  <si>
    <t>Owen, Juan</t>
  </si>
  <si>
    <t>Li, Endy</t>
  </si>
  <si>
    <t>Brasier, Jacob</t>
  </si>
  <si>
    <t>Keppinger, Salvador</t>
  </si>
  <si>
    <t>Beck, Sam</t>
  </si>
  <si>
    <t>Mueller, Mel</t>
  </si>
  <si>
    <t>Brock, Aubrey</t>
  </si>
  <si>
    <t>Hernandez, Julio</t>
  </si>
  <si>
    <t>Stanley, Cord</t>
  </si>
  <si>
    <t>Thomson, Ken</t>
  </si>
  <si>
    <t>Surhoff, Sean</t>
  </si>
  <si>
    <t>DeLeon, Juan</t>
  </si>
  <si>
    <t>Wengert, Radley</t>
  </si>
  <si>
    <t>Verrett, Chip</t>
  </si>
  <si>
    <t>Hannemann, Bobby Joe</t>
  </si>
  <si>
    <t>DeLeon, Jhonny</t>
  </si>
  <si>
    <t>Pinto, George</t>
  </si>
  <si>
    <t>Bird, Joshua</t>
  </si>
  <si>
    <t>Puckett, Cristian</t>
  </si>
  <si>
    <t>Teaford, Phil</t>
  </si>
  <si>
    <t>Cook, Gregory</t>
  </si>
  <si>
    <t>Lankford, Morris</t>
  </si>
  <si>
    <t>Cartwright, Shelley</t>
  </si>
  <si>
    <t>Morgan, Rob</t>
  </si>
  <si>
    <t>Lasker, Billy</t>
  </si>
  <si>
    <t>Lockhart, Emerson</t>
  </si>
  <si>
    <t>McDonald, Zip</t>
  </si>
  <si>
    <t>Smart, Russell</t>
  </si>
  <si>
    <t>Punto, Darrell</t>
  </si>
  <si>
    <t>Simon, Kameron</t>
  </si>
  <si>
    <t>Martin, Dennis</t>
  </si>
  <si>
    <t>Weeks, Derek</t>
  </si>
  <si>
    <t>Rose, Tyler</t>
  </si>
  <si>
    <t>Concepcion, J.O.</t>
  </si>
  <si>
    <t>Nickle, Wesley</t>
  </si>
  <si>
    <t>Craig, Wynton</t>
  </si>
  <si>
    <t>Escalona, Deven</t>
  </si>
  <si>
    <t>Quirarte, Carl</t>
  </si>
  <si>
    <t>Spence, Chili</t>
  </si>
  <si>
    <t>Greene, Johnny</t>
  </si>
  <si>
    <t>Newson, Rocco</t>
  </si>
  <si>
    <t>Davis, Adrian</t>
  </si>
  <si>
    <t>Altuve, Nestor</t>
  </si>
  <si>
    <t>Harding, Harry</t>
  </si>
  <si>
    <t>Ceciliani, Bobby</t>
  </si>
  <si>
    <t>Rossy, Chet</t>
  </si>
  <si>
    <t>Silverio, Jeimer</t>
  </si>
  <si>
    <t>Gentry, Anthony</t>
  </si>
  <si>
    <t>Buckley, Oscar</t>
  </si>
  <si>
    <t>Watten, Mike</t>
  </si>
  <si>
    <t>Merced, Ruben</t>
  </si>
  <si>
    <t>Osik, Howard</t>
  </si>
  <si>
    <t>Halter, Domonic</t>
  </si>
  <si>
    <t>Berrios, Tony</t>
  </si>
  <si>
    <t>Wells, Anthony</t>
  </si>
  <si>
    <t>Arcia, Gustavo</t>
  </si>
  <si>
    <t>Leon, Glenn</t>
  </si>
  <si>
    <t>Fasano, Horace</t>
  </si>
  <si>
    <t>Hamilton, Kirby</t>
  </si>
  <si>
    <t>Reckling, Chance</t>
  </si>
  <si>
    <t>Wilkins, Robbie</t>
  </si>
  <si>
    <t>Zagone, Ralph</t>
  </si>
  <si>
    <t>Vogelsong, Brendan</t>
  </si>
  <si>
    <t>Sanches, Orlando</t>
  </si>
  <si>
    <t>Britton, Philip</t>
  </si>
  <si>
    <t>Romak, Adrian</t>
  </si>
  <si>
    <t>White, Kevan</t>
  </si>
  <si>
    <t>Carpenter, Andrew</t>
  </si>
  <si>
    <t>Gonzales, Ryan</t>
  </si>
  <si>
    <t>Clayton, T.J.</t>
  </si>
  <si>
    <t>Bowie, Mac</t>
  </si>
  <si>
    <t>Hermansen, Rob</t>
  </si>
  <si>
    <t>Taylor, Bunny</t>
  </si>
  <si>
    <t>Rivera, Albert</t>
  </si>
  <si>
    <t>Guzman, Yadier</t>
  </si>
  <si>
    <t>Balfour, Kaleb</t>
  </si>
  <si>
    <t>Kingland, Mac</t>
  </si>
  <si>
    <t>Cowart, Ben</t>
  </si>
  <si>
    <t>Ford, Amp</t>
  </si>
  <si>
    <t>Torres, Dick</t>
  </si>
  <si>
    <t>Lowell, Alen</t>
  </si>
  <si>
    <t>Jepsen, Zech</t>
  </si>
  <si>
    <t>Canseco, Ezequiel</t>
  </si>
  <si>
    <t>McNamara, Alex</t>
  </si>
  <si>
    <t>Quirarte, Cameron</t>
  </si>
  <si>
    <t>Ogden, Bob</t>
  </si>
  <si>
    <t>Damon, Bryson</t>
  </si>
  <si>
    <t>Jordan, Tino</t>
  </si>
  <si>
    <t>O'Rourke, Darryl</t>
  </si>
  <si>
    <t>Forbes, Jim</t>
  </si>
  <si>
    <t>Savage, Chad</t>
  </si>
  <si>
    <t>Alston, Dean</t>
  </si>
  <si>
    <t>Smith, Nate</t>
  </si>
  <si>
    <t>Gray, Emil</t>
  </si>
  <si>
    <t>Quinn, Avery</t>
  </si>
  <si>
    <t>Harris, Gus</t>
  </si>
  <si>
    <t>Sanchez, Tomas</t>
  </si>
  <si>
    <t>Harvey, Ham</t>
  </si>
  <si>
    <t>Valdes, Vin</t>
  </si>
  <si>
    <t>Robinson, Zephyr</t>
  </si>
  <si>
    <t>Durham, Ralph</t>
  </si>
  <si>
    <t>Moustakas, Rick</t>
  </si>
  <si>
    <t>Story, Dan</t>
  </si>
  <si>
    <t>Sanders, Frank</t>
  </si>
  <si>
    <t>Carson, Eric</t>
  </si>
  <si>
    <t>Rhodes, Chadd</t>
  </si>
  <si>
    <t>Grahe, Jonathan</t>
  </si>
  <si>
    <t>Morris, Blake</t>
  </si>
  <si>
    <t>Castillo, Juan</t>
  </si>
  <si>
    <t>Amaro, Alving</t>
  </si>
  <si>
    <t>Bittle, Tommie</t>
  </si>
  <si>
    <t>Cordero, Alfredo</t>
  </si>
  <si>
    <t>Viciedo, Everth</t>
  </si>
  <si>
    <t>Rodriguez, Arquimedes</t>
  </si>
  <si>
    <t>Wagner, Doug</t>
  </si>
  <si>
    <t>Graves, Dion</t>
  </si>
  <si>
    <t>Cruz, Dilson</t>
  </si>
  <si>
    <t>Cunningham, Clem</t>
  </si>
  <si>
    <t>Martin, Placido</t>
  </si>
  <si>
    <t>Brooks, Jody</t>
  </si>
  <si>
    <t>Henry, Chipper</t>
  </si>
  <si>
    <t>Taylor, Freddy</t>
  </si>
  <si>
    <t>Aybar, Addison</t>
  </si>
  <si>
    <t>Brandt, Vin</t>
  </si>
  <si>
    <t>Wall, Stew</t>
  </si>
  <si>
    <t>Stevenson, Bob</t>
  </si>
  <si>
    <t>Lynn, Lyle</t>
  </si>
  <si>
    <t>Camilli, Billy Ray</t>
  </si>
  <si>
    <t>Cashman, Tony</t>
  </si>
  <si>
    <t>Mazzaro, Burch</t>
  </si>
  <si>
    <t>Reynoso, Leandro</t>
  </si>
  <si>
    <t>Garko, Dustin</t>
  </si>
  <si>
    <t>Killefer, Daniel</t>
  </si>
  <si>
    <t>Torres, Emmanuel</t>
  </si>
  <si>
    <t>Castro, David</t>
  </si>
  <si>
    <t>Drabek, Darren</t>
  </si>
  <si>
    <t>Burkett, Red</t>
  </si>
  <si>
    <t>Bergesen, Pete</t>
  </si>
  <si>
    <t>Garcia, Jerrud</t>
  </si>
  <si>
    <t>Yoshii, Del</t>
  </si>
  <si>
    <t>Dawkins, Marvin</t>
  </si>
  <si>
    <t>Constanza, Brian</t>
  </si>
  <si>
    <t>Jefferson, Cameron</t>
  </si>
  <si>
    <t>Murray, Cap</t>
  </si>
  <si>
    <t>Young, Kevin</t>
  </si>
  <si>
    <t>Swift, Brent</t>
  </si>
  <si>
    <t>McDade, Marshall</t>
  </si>
  <si>
    <t>Relaford, Tex</t>
  </si>
  <si>
    <t>Torres, Ed</t>
  </si>
  <si>
    <t>Alexander, Levi</t>
  </si>
  <si>
    <t>Garza, Hector</t>
  </si>
  <si>
    <t>Bullinger, Woodie</t>
  </si>
  <si>
    <t>Schneider, Jim</t>
  </si>
  <si>
    <t>Milton, Rick</t>
  </si>
  <si>
    <t>Gallagher, Vance</t>
  </si>
  <si>
    <t>Vaughn, Lawrence</t>
  </si>
  <si>
    <t>Phillips, Brian</t>
  </si>
  <si>
    <t>Woodall, Timothy</t>
  </si>
  <si>
    <t>a3</t>
  </si>
  <si>
    <t>a2</t>
  </si>
  <si>
    <t>a1</t>
  </si>
  <si>
    <t>a0</t>
  </si>
  <si>
    <t>Hometown</t>
  </si>
  <si>
    <t>School</t>
  </si>
  <si>
    <t>Class</t>
  </si>
  <si>
    <t>Signability</t>
  </si>
  <si>
    <t>Caddo Mills,TX</t>
  </si>
  <si>
    <t>Anna HS</t>
  </si>
  <si>
    <t>--</t>
  </si>
  <si>
    <t>Looking to sign. Will sign for slot money.</t>
  </si>
  <si>
    <t>Attleboro,MA</t>
  </si>
  <si>
    <t>Dedham HS</t>
  </si>
  <si>
    <t>May sign if the deal is right. Has been offered several scholarships to play college baseball at a DI school.</t>
  </si>
  <si>
    <t>Pampa,TX</t>
  </si>
  <si>
    <t>Panhandle HS</t>
  </si>
  <si>
    <t>Looking to be drafted in the first five rounds. If not, he'll probably accept a scholarship to play DI college baseball.</t>
  </si>
  <si>
    <t>Fairview,OK</t>
  </si>
  <si>
    <t>Timberlake HS</t>
  </si>
  <si>
    <t>St. Anthony,MN</t>
  </si>
  <si>
    <t>Washburn HS</t>
  </si>
  <si>
    <t>Old Lyme,CT</t>
  </si>
  <si>
    <t>Norwich HS</t>
  </si>
  <si>
    <t>Looking to be drafted in the first round. If not, he'll probably accept a scholarship to play DI college baseball.</t>
  </si>
  <si>
    <t>Ebensburg,PA</t>
  </si>
  <si>
    <t>Bishop Guilfoyle HS</t>
  </si>
  <si>
    <t>Watseka,IL</t>
  </si>
  <si>
    <t>Reed-Custer HS</t>
  </si>
  <si>
    <t>Simla,CO</t>
  </si>
  <si>
    <t>Peyton HS</t>
  </si>
  <si>
    <t>State Center,IA</t>
  </si>
  <si>
    <t>Southeast Polk HS</t>
  </si>
  <si>
    <t>Felton,CA</t>
  </si>
  <si>
    <t>Salinas HS</t>
  </si>
  <si>
    <t>Atlanta,GA</t>
  </si>
  <si>
    <t>Woodstock HS</t>
  </si>
  <si>
    <t>Bayside,NY</t>
  </si>
  <si>
    <t>Valley Stream Central HS</t>
  </si>
  <si>
    <t>Bellflower,CA</t>
  </si>
  <si>
    <t>Laguna Beach HS</t>
  </si>
  <si>
    <t>St. Michael,MN</t>
  </si>
  <si>
    <t>Wright Tech Center HS</t>
  </si>
  <si>
    <t>Johnson City,NY</t>
  </si>
  <si>
    <t>Vestal HS</t>
  </si>
  <si>
    <t>Seattle,WA</t>
  </si>
  <si>
    <t>Black River HS</t>
  </si>
  <si>
    <t>Statesville,NC</t>
  </si>
  <si>
    <t>First Assembly Christian HS</t>
  </si>
  <si>
    <t>Holley,NY</t>
  </si>
  <si>
    <t>Brockport HS</t>
  </si>
  <si>
    <t>Undecided. He is also being scouted to play pro hockey.</t>
  </si>
  <si>
    <t>Jacksonville,FL</t>
  </si>
  <si>
    <t>University Christian HS</t>
  </si>
  <si>
    <t>Sylvester,GA</t>
  </si>
  <si>
    <t>Mitchell-Baker HS</t>
  </si>
  <si>
    <t>Boise City,OK</t>
  </si>
  <si>
    <t>Boise City HS</t>
  </si>
  <si>
    <t>Sandiego,CA</t>
  </si>
  <si>
    <t>Santana HS</t>
  </si>
  <si>
    <t>Undecided. He has scholarships on the table to play DI college football.</t>
  </si>
  <si>
    <t>Easton,PA</t>
  </si>
  <si>
    <t>Calvary Baptist HS</t>
  </si>
  <si>
    <t>Hillside,NJ</t>
  </si>
  <si>
    <t>Woodlands HS</t>
  </si>
  <si>
    <t>Arcadia,CA</t>
  </si>
  <si>
    <t>Brentwood HS</t>
  </si>
  <si>
    <t>Zeeland,MI</t>
  </si>
  <si>
    <t>Tri Unity Christian HS</t>
  </si>
  <si>
    <t>Greenville,NY</t>
  </si>
  <si>
    <t>Catholic Central HS</t>
  </si>
  <si>
    <t>Lakewood,NJ</t>
  </si>
  <si>
    <t>McCorristin Catholic HS</t>
  </si>
  <si>
    <t>Zionsville,IN</t>
  </si>
  <si>
    <t>Florida Atlantic University</t>
  </si>
  <si>
    <t>SR</t>
  </si>
  <si>
    <t>Centerville,IN</t>
  </si>
  <si>
    <t>Greensburg Community HS</t>
  </si>
  <si>
    <t>Tipton,OK</t>
  </si>
  <si>
    <t>Chattanooga HS</t>
  </si>
  <si>
    <t>Probably won't sign. He's got his heart set on going to college.</t>
  </si>
  <si>
    <t>Liverpool,NY</t>
  </si>
  <si>
    <t>Chittenango HS</t>
  </si>
  <si>
    <t>Mattawan,MI</t>
  </si>
  <si>
    <t>Centreville HS</t>
  </si>
  <si>
    <t>Samson,AL</t>
  </si>
  <si>
    <t>Daleville HS</t>
  </si>
  <si>
    <t>Lynchburg,VA</t>
  </si>
  <si>
    <t>Nelson County HS</t>
  </si>
  <si>
    <t>Mc Comb,MS</t>
  </si>
  <si>
    <t>Brookhaven HS</t>
  </si>
  <si>
    <t>London,OH</t>
  </si>
  <si>
    <t>University of North Florida</t>
  </si>
  <si>
    <t>Glendale,WI</t>
  </si>
  <si>
    <t>East HS</t>
  </si>
  <si>
    <t>Rockford,AL</t>
  </si>
  <si>
    <t>Chelsea HS</t>
  </si>
  <si>
    <t>Metlakatla,AK</t>
  </si>
  <si>
    <t>Ketchikan HS</t>
  </si>
  <si>
    <t>New Bedford,MA</t>
  </si>
  <si>
    <t>Joseph Case HS</t>
  </si>
  <si>
    <t>Omaha,NE</t>
  </si>
  <si>
    <t>Oklahoma State University</t>
  </si>
  <si>
    <t>JR</t>
  </si>
  <si>
    <t>Athens ,OH</t>
  </si>
  <si>
    <t>Athens HS</t>
  </si>
  <si>
    <t>Sioux City,IA</t>
  </si>
  <si>
    <t>Le Mars HS</t>
  </si>
  <si>
    <t>Stambaugh,MI</t>
  </si>
  <si>
    <t>West Iron County HS</t>
  </si>
  <si>
    <t>San Antonio,TX</t>
  </si>
  <si>
    <t>Lanier HS</t>
  </si>
  <si>
    <t>Martinsville,IL</t>
  </si>
  <si>
    <t>Olney Central College</t>
  </si>
  <si>
    <t>FR</t>
  </si>
  <si>
    <t>Cantonment,FL</t>
  </si>
  <si>
    <t>J. M. Tate HS</t>
  </si>
  <si>
    <t>Munfordville,KY</t>
  </si>
  <si>
    <t>Green County HS</t>
  </si>
  <si>
    <t>Shasta Lake,CA</t>
  </si>
  <si>
    <t>Shasta HS</t>
  </si>
  <si>
    <t>La Habra,CA</t>
  </si>
  <si>
    <t>Artesia HS</t>
  </si>
  <si>
    <t>Farmington Hills,MI</t>
  </si>
  <si>
    <t>Eastern New Mexico University</t>
  </si>
  <si>
    <t>West Fargo,ND</t>
  </si>
  <si>
    <t>Dilworth-Glyndon-Felton HS</t>
  </si>
  <si>
    <t>Athens,IL</t>
  </si>
  <si>
    <t>Edinburg HS</t>
  </si>
  <si>
    <t>Plentywood,MT</t>
  </si>
  <si>
    <t>Plentywood HS</t>
  </si>
  <si>
    <t>Waycross,GA</t>
  </si>
  <si>
    <t>Brantley County HS</t>
  </si>
  <si>
    <t>New Braunfels,TX</t>
  </si>
  <si>
    <t>Randolph HS</t>
  </si>
  <si>
    <t>Sierra Vista,AZ</t>
  </si>
  <si>
    <t>St. David HS</t>
  </si>
  <si>
    <t>Lead,SD</t>
  </si>
  <si>
    <t>Brown HS</t>
  </si>
  <si>
    <t>Mt Vernon,OH</t>
  </si>
  <si>
    <t>The Columbus Academy</t>
  </si>
  <si>
    <t>Foss HS</t>
  </si>
  <si>
    <t>Waurika,OK</t>
  </si>
  <si>
    <t>Raritan Valley Community College</t>
  </si>
  <si>
    <t>SO</t>
  </si>
  <si>
    <t>North Arlington,NJ</t>
  </si>
  <si>
    <t>James Caldwell HS</t>
  </si>
  <si>
    <t>Enderlin,ND</t>
  </si>
  <si>
    <t>Valley City HS</t>
  </si>
  <si>
    <t>Richland Center,WI</t>
  </si>
  <si>
    <t>Boscobel HS</t>
  </si>
  <si>
    <t>Joplin,MO</t>
  </si>
  <si>
    <t>Southwest HS</t>
  </si>
  <si>
    <t>Morrisville,NY</t>
  </si>
  <si>
    <t>Oneida HS</t>
  </si>
  <si>
    <t>Dekalb,TX</t>
  </si>
  <si>
    <t>Hooks HS</t>
  </si>
  <si>
    <t>Walpole,MA</t>
  </si>
  <si>
    <t>Quinsigamond Community College</t>
  </si>
  <si>
    <t>Orlando,FL</t>
  </si>
  <si>
    <t>Timber Creek HS</t>
  </si>
  <si>
    <t>Conklin,NY</t>
  </si>
  <si>
    <t>Navy</t>
  </si>
  <si>
    <t>Otsego,MI</t>
  </si>
  <si>
    <t>Thornapple Kellogg HS</t>
  </si>
  <si>
    <t>Monmouth,IL</t>
  </si>
  <si>
    <t>Knoxville HS</t>
  </si>
  <si>
    <t>Richmond,TX</t>
  </si>
  <si>
    <t>Kashmere HS</t>
  </si>
  <si>
    <t>Columbus,GA</t>
  </si>
  <si>
    <t>Lafayette HS</t>
  </si>
  <si>
    <t>Glen Burnie,MD</t>
  </si>
  <si>
    <t>St Vincent Pallotti HS</t>
  </si>
  <si>
    <t>Boston,MA</t>
  </si>
  <si>
    <t>Maynard HS</t>
  </si>
  <si>
    <t>Arvada,CO</t>
  </si>
  <si>
    <t>Cherry Creek HS</t>
  </si>
  <si>
    <t>Supply,NC</t>
  </si>
  <si>
    <t>Cape Fear Community College</t>
  </si>
  <si>
    <t>Rio Vista,TX</t>
  </si>
  <si>
    <t>Grandview HS</t>
  </si>
  <si>
    <t>Rushville,IN</t>
  </si>
  <si>
    <t>Shenandoah HS</t>
  </si>
  <si>
    <t>Tiverton,RI</t>
  </si>
  <si>
    <t>Attleboro Vocational HS</t>
  </si>
  <si>
    <t>North Muskegon,MI</t>
  </si>
  <si>
    <t>Muskegon HS</t>
  </si>
  <si>
    <t>Keene,NH</t>
  </si>
  <si>
    <t>Narragansett HS</t>
  </si>
  <si>
    <t>Farmington,IL</t>
  </si>
  <si>
    <t>Peoria Alternative HS</t>
  </si>
  <si>
    <t>Midlothian,VA</t>
  </si>
  <si>
    <t>Thomas Jefferson HS</t>
  </si>
  <si>
    <t>Spencerport,NY</t>
  </si>
  <si>
    <t>Nazareth HS</t>
  </si>
  <si>
    <t>Fairfield,AL</t>
  </si>
  <si>
    <t>John Carroll Catholic HS</t>
  </si>
  <si>
    <t>Undecided. He has scholarships on the table to play DI college basketball.</t>
  </si>
  <si>
    <t>Brookhaven,NY</t>
  </si>
  <si>
    <t>St. Peter's College</t>
  </si>
  <si>
    <t>Undecided. He is also being scouted to play professional basketball.</t>
  </si>
  <si>
    <t>Stockbridge HS</t>
  </si>
  <si>
    <t>Fort Towson,OK</t>
  </si>
  <si>
    <t>Antlers HS</t>
  </si>
  <si>
    <t>Peoria Heights,IL</t>
  </si>
  <si>
    <t>East Peoria HS</t>
  </si>
  <si>
    <t>Waukegan,IL</t>
  </si>
  <si>
    <t>Tremper HS</t>
  </si>
  <si>
    <t>Van Vleck,TX</t>
  </si>
  <si>
    <t>Palacios HS</t>
  </si>
  <si>
    <t>Broadalbin,NY</t>
  </si>
  <si>
    <t>Fulton-Montgomery Community College</t>
  </si>
  <si>
    <t>Johnsburg,IL</t>
  </si>
  <si>
    <t>Waterford HS</t>
  </si>
  <si>
    <t>Dallas,TX</t>
  </si>
  <si>
    <t>Jacksonville State University</t>
  </si>
  <si>
    <t>Harrisonburg,LA</t>
  </si>
  <si>
    <t>Vidalia HS</t>
  </si>
  <si>
    <t>Garfield,NJ</t>
  </si>
  <si>
    <t>Woodbridge HS</t>
  </si>
  <si>
    <t>Fairhaven,MA</t>
  </si>
  <si>
    <t>Bishop Stang HS</t>
  </si>
  <si>
    <t>New York,NY</t>
  </si>
  <si>
    <t>Hillside HS</t>
  </si>
  <si>
    <t>Cromwell,OK</t>
  </si>
  <si>
    <t>State University of New York at Oswego</t>
  </si>
  <si>
    <t>Fayette,AL</t>
  </si>
  <si>
    <t>Carbon Hill HS</t>
  </si>
  <si>
    <t>Stoughton,MA</t>
  </si>
  <si>
    <t>West Roxbury HS</t>
  </si>
  <si>
    <t>Franklinville,NJ</t>
  </si>
  <si>
    <t>Collingswood HS</t>
  </si>
  <si>
    <t>Riverside,IL</t>
  </si>
  <si>
    <t>Prairie State College</t>
  </si>
  <si>
    <t>New Hampton,IA</t>
  </si>
  <si>
    <t>South Winneshiek HS</t>
  </si>
  <si>
    <t>Mulberry Grove,IL</t>
  </si>
  <si>
    <t>Bond County HS</t>
  </si>
  <si>
    <t>Burke,SD</t>
  </si>
  <si>
    <t>Platte HS</t>
  </si>
  <si>
    <t>Waterbury,CT</t>
  </si>
  <si>
    <t>Bloomfield HS</t>
  </si>
  <si>
    <t>Courtland,AL</t>
  </si>
  <si>
    <t>Decatur Heritage Christian Academy</t>
  </si>
  <si>
    <t>Tony,WI</t>
  </si>
  <si>
    <t>Bruce HS</t>
  </si>
  <si>
    <t>Roy,UT</t>
  </si>
  <si>
    <t>Salt Lake Community College</t>
  </si>
  <si>
    <t>Marysville,MI</t>
  </si>
  <si>
    <t>Georgia College &amp; State University</t>
  </si>
  <si>
    <t>Hinesburg,VT</t>
  </si>
  <si>
    <t>Clinton Community College</t>
  </si>
  <si>
    <t>Philadelphia,PA</t>
  </si>
  <si>
    <t>Cecil Community College</t>
  </si>
  <si>
    <t>Danielson,CT</t>
  </si>
  <si>
    <t>Worcester Academy</t>
  </si>
  <si>
    <t>Buena Vista,CO</t>
  </si>
  <si>
    <t>Salida HS</t>
  </si>
  <si>
    <t>Gallina,NM</t>
  </si>
  <si>
    <t>Arizona State University</t>
  </si>
  <si>
    <t>Granite City,IL</t>
  </si>
  <si>
    <t>Normandy HS</t>
  </si>
  <si>
    <t>Goreville,IL</t>
  </si>
  <si>
    <t>Carterville HS</t>
  </si>
  <si>
    <t>Waverly,IL</t>
  </si>
  <si>
    <t>Lincolnwood HS</t>
  </si>
  <si>
    <t>Hancock,MI</t>
  </si>
  <si>
    <t>Houghton Central HS</t>
  </si>
  <si>
    <t>Brick,NJ</t>
  </si>
  <si>
    <t>Freehold Township HS</t>
  </si>
  <si>
    <t>Gallatin,TN</t>
  </si>
  <si>
    <t>Donelson Christian Academy</t>
  </si>
  <si>
    <t>Eldon,MO</t>
  </si>
  <si>
    <t>State Fair Community College</t>
  </si>
  <si>
    <t>Camden,SC</t>
  </si>
  <si>
    <t>Ben Lippen HS</t>
  </si>
  <si>
    <t>Columbia Heights,MN</t>
  </si>
  <si>
    <t>St Thomas Academy</t>
  </si>
  <si>
    <t>Heathsville,VA</t>
  </si>
  <si>
    <t>Prince George's Community College</t>
  </si>
  <si>
    <t>Ronan,MT</t>
  </si>
  <si>
    <t>Ronan HS</t>
  </si>
  <si>
    <t>Glendale,CA</t>
  </si>
  <si>
    <t>Arizona Western College</t>
  </si>
  <si>
    <t>Abilene,TX</t>
  </si>
  <si>
    <t>Jim Ned HS</t>
  </si>
  <si>
    <t>Port Clinton,OH</t>
  </si>
  <si>
    <t>Vanguard Career Center Vocational</t>
  </si>
  <si>
    <t>Oak Creek,CO</t>
  </si>
  <si>
    <t>Iona College</t>
  </si>
  <si>
    <t>Red Lake,MN</t>
  </si>
  <si>
    <t>Mercyhurst North East College</t>
  </si>
  <si>
    <t>Probably won't sign. He's determined to finish out his college career.</t>
  </si>
  <si>
    <t>Dover,AR</t>
  </si>
  <si>
    <t>Atkins HS</t>
  </si>
  <si>
    <t>Emporia,VA</t>
  </si>
  <si>
    <t>Louisburg College</t>
  </si>
  <si>
    <t>Moreno Valley,CA</t>
  </si>
  <si>
    <t>California State University - Fullerton</t>
  </si>
  <si>
    <t>May sign if the deal is right. If not, he'll head back to college for his senior season.</t>
  </si>
  <si>
    <t>Mayville,WI</t>
  </si>
  <si>
    <t>Catholic Memorial HS</t>
  </si>
  <si>
    <t>Tama,IA</t>
  </si>
  <si>
    <t>Baldwin-Wallace College</t>
  </si>
  <si>
    <t>Revere,MA</t>
  </si>
  <si>
    <t>Bishop Fenwick HS</t>
  </si>
  <si>
    <t>Santa Fe,NM</t>
  </si>
  <si>
    <t>Espanola Valley HS</t>
  </si>
  <si>
    <t>Springfield,VA</t>
  </si>
  <si>
    <t>Bishop Ireton HS</t>
  </si>
  <si>
    <t>Unknown. He wasn't scouted well enough.</t>
  </si>
  <si>
    <t>Marion HS</t>
  </si>
  <si>
    <t>Absarokee,MT</t>
  </si>
  <si>
    <t>Red Lodge HS</t>
  </si>
  <si>
    <t>Bunker Hill,IL</t>
  </si>
  <si>
    <t>Kaskaskia College</t>
  </si>
  <si>
    <t>Independence,IA</t>
  </si>
  <si>
    <t>Byron,IL</t>
  </si>
  <si>
    <t>Black Hawk College-East</t>
  </si>
  <si>
    <t>Eunice,NM</t>
  </si>
  <si>
    <t>Odessa College</t>
  </si>
  <si>
    <t>Tinley Park,IL</t>
  </si>
  <si>
    <t>Valdosta State University</t>
  </si>
  <si>
    <t>Firth,ID</t>
  </si>
  <si>
    <t>Snake River HS</t>
  </si>
  <si>
    <t>Enid,OK</t>
  </si>
  <si>
    <t>Northern Oklahoma College-Tonkawa Campus</t>
  </si>
  <si>
    <t>Davenport,OK</t>
  </si>
  <si>
    <t>Sellersburg,IN</t>
  </si>
  <si>
    <t>Evangel Christian HS</t>
  </si>
  <si>
    <t>Orange,NJ</t>
  </si>
  <si>
    <t>Francis Lewis HS</t>
  </si>
  <si>
    <t>Winfield,AL</t>
  </si>
  <si>
    <t>Winfield HS</t>
  </si>
  <si>
    <t>Waitsburg,WA</t>
  </si>
  <si>
    <t>Desales HS</t>
  </si>
  <si>
    <t>Liberty Center,OH</t>
  </si>
  <si>
    <t>Wayne County Community College</t>
  </si>
  <si>
    <t>Lanett,AL</t>
  </si>
  <si>
    <t>Colorado State University - Pueblo</t>
  </si>
  <si>
    <t>Baker,MT</t>
  </si>
  <si>
    <t>Baker HS</t>
  </si>
  <si>
    <t>Meridian,MS</t>
  </si>
  <si>
    <t>Lamar Middle HS</t>
  </si>
  <si>
    <t>South Gate,CA</t>
  </si>
  <si>
    <t>Glendale Community College</t>
  </si>
  <si>
    <t>Pheba,MS</t>
  </si>
  <si>
    <t>University of Tennessee</t>
  </si>
  <si>
    <t>Newtown Square,PA</t>
  </si>
  <si>
    <t>Wilmington Friends HS</t>
  </si>
  <si>
    <t>Alma,KS</t>
  </si>
  <si>
    <t>Western Oklahoma State College</t>
  </si>
  <si>
    <t>Milbank,SD</t>
  </si>
  <si>
    <t>C-G-B HS</t>
  </si>
  <si>
    <t>Poplar Grove,IL</t>
  </si>
  <si>
    <t>William Rainey Harper College</t>
  </si>
  <si>
    <t>Springport,MI</t>
  </si>
  <si>
    <t>Holmen,WI</t>
  </si>
  <si>
    <t>Grand Canyon University</t>
  </si>
  <si>
    <t>Fort Worth,TX</t>
  </si>
  <si>
    <t>Richland College</t>
  </si>
  <si>
    <t>Seekonk,MA</t>
  </si>
  <si>
    <t>Roxbury Community College</t>
  </si>
  <si>
    <t>Oak Park,MI</t>
  </si>
  <si>
    <t>Churchill HS</t>
  </si>
  <si>
    <t>Willimantic,CT</t>
  </si>
  <si>
    <t>Elizabeth City State University</t>
  </si>
  <si>
    <t>Liberty,SC</t>
  </si>
  <si>
    <t>Spartanburg Methodist College</t>
  </si>
  <si>
    <t>Owensboro,KY</t>
  </si>
  <si>
    <t>Wabash Valley College</t>
  </si>
  <si>
    <t>Hunter,ND</t>
  </si>
  <si>
    <t>Minnesota State University - Mankato</t>
  </si>
  <si>
    <t>Cedar Valley College</t>
  </si>
  <si>
    <t>Waunakee,WI</t>
  </si>
  <si>
    <t>Madison Area Technical College</t>
  </si>
  <si>
    <t>Carrington,ND</t>
  </si>
  <si>
    <t>University of West Alabama</t>
  </si>
  <si>
    <t>St George,SC</t>
  </si>
  <si>
    <t>University of New Mexico</t>
  </si>
  <si>
    <t>Amarillo,TX</t>
  </si>
  <si>
    <t>Davis and Elkins College</t>
  </si>
  <si>
    <t>New Roads,LA</t>
  </si>
  <si>
    <t>Southwest Mississippi Community College</t>
  </si>
  <si>
    <t>Fayetteville,AR</t>
  </si>
  <si>
    <t>Northeastern Oklahoma A&amp;M College</t>
  </si>
  <si>
    <t>Orchard Park,NY</t>
  </si>
  <si>
    <t>Ohio Dominican College</t>
  </si>
  <si>
    <t>Elk Rapids,MI</t>
  </si>
  <si>
    <t>Charlevoix HS</t>
  </si>
  <si>
    <t>Charlottesville,VA</t>
  </si>
  <si>
    <t>Central Michigan University</t>
  </si>
  <si>
    <t>Lake Orion,MI</t>
  </si>
  <si>
    <t>Duke University</t>
  </si>
  <si>
    <t>Baldwinville,MA</t>
  </si>
  <si>
    <t>Dean College</t>
  </si>
  <si>
    <t>Johnston,RI</t>
  </si>
  <si>
    <t>Texas Christian University</t>
  </si>
  <si>
    <t>French Camp,MS</t>
  </si>
  <si>
    <t>Holmes Community College</t>
  </si>
  <si>
    <t>Damascus,GA</t>
  </si>
  <si>
    <t>Westwood HS</t>
  </si>
  <si>
    <t>Covert,MI</t>
  </si>
  <si>
    <t>Grand Rapids Community College</t>
  </si>
  <si>
    <t>Belmont,CA</t>
  </si>
  <si>
    <t>University of Central Arkansas</t>
  </si>
  <si>
    <t>Rustburg,VA</t>
  </si>
  <si>
    <t>Rockingham Community College</t>
  </si>
  <si>
    <t>Tonawanda,NY</t>
  </si>
  <si>
    <t>Jamestown Community College</t>
  </si>
  <si>
    <t>Tomahawk,WI</t>
  </si>
  <si>
    <t>Gogebic Community College</t>
  </si>
  <si>
    <t>Ravena,NY</t>
  </si>
  <si>
    <t>Dutchess Community College</t>
  </si>
  <si>
    <t>Papillion,NE</t>
  </si>
  <si>
    <t>Alderson-Broaddus College</t>
  </si>
  <si>
    <t>Waukon,IA</t>
  </si>
  <si>
    <t>Rochester Community &amp; Technical College</t>
  </si>
  <si>
    <t>Coldwater,OH</t>
  </si>
  <si>
    <t>West Virginia University</t>
  </si>
  <si>
    <t>University of Michigan</t>
  </si>
  <si>
    <t>Guernsey,WY</t>
  </si>
  <si>
    <t>Union,NJ</t>
  </si>
  <si>
    <t>Tottenville HS</t>
  </si>
  <si>
    <t>Cecilia,KY</t>
  </si>
  <si>
    <t>Brookhaven College</t>
  </si>
  <si>
    <t>Anaheim,CA</t>
  </si>
  <si>
    <t>Pearl River Community College</t>
  </si>
  <si>
    <t>Quincy,MI</t>
  </si>
  <si>
    <t>Connecticut College</t>
  </si>
  <si>
    <t>Delta State University</t>
  </si>
  <si>
    <t>Hammonton,NJ</t>
  </si>
  <si>
    <t>Vineland South HS</t>
  </si>
  <si>
    <t>St James,MD</t>
  </si>
  <si>
    <t>Northwest HS</t>
  </si>
  <si>
    <t>Mammoth Lakes,CA</t>
  </si>
  <si>
    <t>Southern State Community College</t>
  </si>
  <si>
    <t>Whitmore Lake,MI</t>
  </si>
  <si>
    <t>Lansing Community College</t>
  </si>
  <si>
    <t>Guelph,ON</t>
  </si>
  <si>
    <t>Central Florida Community College</t>
  </si>
  <si>
    <t>Muncie,IN</t>
  </si>
  <si>
    <t>Roanoke College</t>
  </si>
  <si>
    <t>Morganza,MD</t>
  </si>
  <si>
    <t>Lawrence University</t>
  </si>
  <si>
    <t>Camden,AR</t>
  </si>
  <si>
    <t>State University College at Fredonia</t>
  </si>
  <si>
    <t>Emeryville,CA</t>
  </si>
  <si>
    <t>Angelina College</t>
  </si>
  <si>
    <t>Jupiter,FL</t>
  </si>
  <si>
    <t>Palm Beach Community College</t>
  </si>
  <si>
    <t>Mckinleyville,CA</t>
  </si>
  <si>
    <t>Walters State Community College</t>
  </si>
  <si>
    <t>West Jefferson,OH</t>
  </si>
  <si>
    <t>Edison Community College</t>
  </si>
  <si>
    <t>Moundridge,KS</t>
  </si>
  <si>
    <t>Butler County Community College</t>
  </si>
  <si>
    <t>Maria Stein,OH</t>
  </si>
  <si>
    <t>Sinclair Community College</t>
  </si>
  <si>
    <t>New Denver,BC</t>
  </si>
  <si>
    <t>Navarro College</t>
  </si>
  <si>
    <t>Pittsburgh,PA</t>
  </si>
  <si>
    <t>Vincentian Academy</t>
  </si>
  <si>
    <t>Carpinteria,CA</t>
  </si>
  <si>
    <t>Lamar University</t>
  </si>
  <si>
    <t>Chambersburg,PA</t>
  </si>
  <si>
    <t>Sul Ross State University</t>
  </si>
  <si>
    <t>Lexington,KY</t>
  </si>
  <si>
    <t>Northwestern University</t>
  </si>
  <si>
    <t>Farwell,MI</t>
  </si>
  <si>
    <t>Bucknell University</t>
  </si>
  <si>
    <t>Eustace,TX</t>
  </si>
  <si>
    <t>Midwestern State University</t>
  </si>
  <si>
    <t>Woodlake,CA</t>
  </si>
  <si>
    <t>San Diego State University</t>
  </si>
  <si>
    <t>San Bernardino,CA</t>
  </si>
  <si>
    <t>Highland Community College-Illinois</t>
  </si>
  <si>
    <t>Homer,GA</t>
  </si>
  <si>
    <t>Atlanta Metropolitan College</t>
  </si>
  <si>
    <t>San Luis,CO</t>
  </si>
  <si>
    <t>Central Lakes College-Brainerd</t>
  </si>
  <si>
    <t>Marianna,FL</t>
  </si>
  <si>
    <t>Central Missouri State University</t>
  </si>
  <si>
    <t>Chesterfield,MO</t>
  </si>
  <si>
    <t>St. Louis Community College-Forest Park</t>
  </si>
  <si>
    <t>Tarrant,AL</t>
  </si>
  <si>
    <t>George Washingtoin Carver HS</t>
  </si>
  <si>
    <t>Anna,IL</t>
  </si>
  <si>
    <t>Carbondale Community HS</t>
  </si>
  <si>
    <t>Port Orchard,WA</t>
  </si>
  <si>
    <t>Birmingham Southern College</t>
  </si>
  <si>
    <t>Norman,OK</t>
  </si>
  <si>
    <t>Rose State College</t>
  </si>
  <si>
    <t>Robersonville,NC</t>
  </si>
  <si>
    <t>Lenoir Community College</t>
  </si>
  <si>
    <t>Howe,IN</t>
  </si>
  <si>
    <t>Kalamazoo Valley Community College</t>
  </si>
  <si>
    <t>Brooklyn,NY</t>
  </si>
  <si>
    <t>Technical Career Institutes</t>
  </si>
  <si>
    <t>Springdale,WA</t>
  </si>
  <si>
    <t>Milwaukee School of Engineering</t>
  </si>
  <si>
    <t>Johns Island,SC</t>
  </si>
  <si>
    <t>Hesston College</t>
  </si>
  <si>
    <t>Loretto ,PA</t>
  </si>
  <si>
    <t>Narrows,VA</t>
  </si>
  <si>
    <t>University of Illinois</t>
  </si>
  <si>
    <t>Medford,MA</t>
  </si>
  <si>
    <t>Community College of Rhode Island</t>
  </si>
  <si>
    <t>Honea Path,SC</t>
  </si>
  <si>
    <t>Aiken Technical College</t>
  </si>
  <si>
    <t>Woodland,CA</t>
  </si>
  <si>
    <t>Mira Loma HS</t>
  </si>
  <si>
    <t>Tazewell,VA</t>
  </si>
  <si>
    <t>Princeton HS</t>
  </si>
  <si>
    <t>Shelbyville,IN</t>
  </si>
  <si>
    <t>Marist College</t>
  </si>
  <si>
    <t>Corinth,TX</t>
  </si>
  <si>
    <t>Weatherford College</t>
  </si>
  <si>
    <t>Long Beach State</t>
  </si>
  <si>
    <t>Newcomb,NM</t>
  </si>
  <si>
    <t>Newcomb HS</t>
  </si>
  <si>
    <t>Catskill,NY</t>
  </si>
  <si>
    <t>Shaker HS</t>
  </si>
  <si>
    <t>Lompoc,CA</t>
  </si>
  <si>
    <t>Pepperdine University</t>
  </si>
  <si>
    <t>Kasson,MN</t>
  </si>
  <si>
    <t>Riverland Community College</t>
  </si>
  <si>
    <t>Blue Island,IL</t>
  </si>
  <si>
    <t>Coastal Georgia Community College</t>
  </si>
  <si>
    <t>Brantford,ON</t>
  </si>
  <si>
    <t>Hutto,TX</t>
  </si>
  <si>
    <t>D'Youville College</t>
  </si>
  <si>
    <t>Blanchester,OH</t>
  </si>
  <si>
    <t>Oakwood HS</t>
  </si>
  <si>
    <t>Bozeman,MT</t>
  </si>
  <si>
    <t>California Institute of Technology</t>
  </si>
  <si>
    <t>Pacific Palisades,CA</t>
  </si>
  <si>
    <t>Arcadia HS</t>
  </si>
  <si>
    <t>Portsmouth,NH</t>
  </si>
  <si>
    <t>St. Mary's University</t>
  </si>
  <si>
    <t>Shelton,CT</t>
  </si>
  <si>
    <t>Dover HS</t>
  </si>
  <si>
    <t>Tawas City,MI</t>
  </si>
  <si>
    <t>Standish-Sterling Central HS</t>
  </si>
  <si>
    <t>Blue Hill,ME</t>
  </si>
  <si>
    <t>Missouri Western State College</t>
  </si>
  <si>
    <t>San Diego,CA</t>
  </si>
  <si>
    <t>Kent State University</t>
  </si>
  <si>
    <t>White Deer,TX</t>
  </si>
  <si>
    <t>Alabama State University</t>
  </si>
  <si>
    <t>Mountain Home,ID</t>
  </si>
  <si>
    <t>Rice University</t>
  </si>
  <si>
    <t>Franklin,MA</t>
  </si>
  <si>
    <t>Massasoit Community College</t>
  </si>
  <si>
    <t>Meeker,CO</t>
  </si>
  <si>
    <t>Christopher Newport University</t>
  </si>
  <si>
    <t>Edgerton,MN</t>
  </si>
  <si>
    <t>University of Texas - Austin</t>
  </si>
  <si>
    <t>Peoria,AZ</t>
  </si>
  <si>
    <t>Red Mountain HS</t>
  </si>
  <si>
    <t>Buffalo,OK</t>
  </si>
  <si>
    <t>Pratt Community College</t>
  </si>
  <si>
    <t>Tescott,KS</t>
  </si>
  <si>
    <t>Western Michigan University</t>
  </si>
  <si>
    <t>Montague,MI</t>
  </si>
  <si>
    <t>University of California - Berkeley</t>
  </si>
  <si>
    <t>University of Oklahoma</t>
  </si>
  <si>
    <t>Walkertown,NC</t>
  </si>
  <si>
    <t>Queens Village,NY</t>
  </si>
  <si>
    <t>Globe Institute of Technology</t>
  </si>
  <si>
    <t>Dry Prong,LA</t>
  </si>
  <si>
    <t>University of Missouri-Kansas City</t>
  </si>
  <si>
    <t>New Brunswick,NJ</t>
  </si>
  <si>
    <t>Livingston HS</t>
  </si>
  <si>
    <t>Perth Amboy,NJ</t>
  </si>
  <si>
    <t>Port Allen,LA</t>
  </si>
  <si>
    <t>Walker HS</t>
  </si>
  <si>
    <t>Princess Anne,MD</t>
  </si>
  <si>
    <t>Keene State College</t>
  </si>
  <si>
    <t>Redwater,TX</t>
  </si>
  <si>
    <t>Olivet College</t>
  </si>
  <si>
    <t>Lansing,MI</t>
  </si>
  <si>
    <t>Queens College</t>
  </si>
  <si>
    <t>Chillicothe,IL</t>
  </si>
  <si>
    <t>Peoria Christian HS</t>
  </si>
  <si>
    <t>Elkhorn,NE</t>
  </si>
  <si>
    <t>Whitman College</t>
  </si>
  <si>
    <t>Mendon,MO</t>
  </si>
  <si>
    <t>Marshall HS</t>
  </si>
  <si>
    <t>New Haven,IN</t>
  </si>
  <si>
    <t>Homestead HS</t>
  </si>
  <si>
    <t>Waterford,WI</t>
  </si>
  <si>
    <t>Miramar,FL</t>
  </si>
  <si>
    <t>Miami-Dade College</t>
  </si>
  <si>
    <t>Chattanooga,OK</t>
  </si>
  <si>
    <t>U.S. Air Force Academy</t>
  </si>
  <si>
    <t>Andalusia,AL</t>
  </si>
  <si>
    <t>Lurleen B. Wallace Community College</t>
  </si>
  <si>
    <t>Greensburg,PA</t>
  </si>
  <si>
    <t>Garrett College</t>
  </si>
  <si>
    <t>Battle Mountain,NV</t>
  </si>
  <si>
    <t>Adairsville,GA</t>
  </si>
  <si>
    <t>Macedonia,OH</t>
  </si>
  <si>
    <t>University of Notre Dame</t>
  </si>
  <si>
    <t>Westfield,WI</t>
  </si>
  <si>
    <t>Lakeland College</t>
  </si>
  <si>
    <t>Willard,OH</t>
  </si>
  <si>
    <t>Sandusky HS</t>
  </si>
  <si>
    <t>Danbury,TX</t>
  </si>
  <si>
    <t>San Jacinto College-Central</t>
  </si>
  <si>
    <t>Thousand Oaks,CA</t>
  </si>
  <si>
    <t>Minneapolis Community &amp; Technical College</t>
  </si>
  <si>
    <t>Bethany,OK</t>
  </si>
  <si>
    <t>Northern Oklahoma College-Enid Campus</t>
  </si>
  <si>
    <t>Lees Summit,MO</t>
  </si>
  <si>
    <t>Johnson County Community College</t>
  </si>
  <si>
    <t>Eden Prairie,MN</t>
  </si>
  <si>
    <t>Rider University</t>
  </si>
  <si>
    <t>Rockaway Park,NY</t>
  </si>
  <si>
    <t>Commack HS</t>
  </si>
  <si>
    <t>Unknown</t>
  </si>
  <si>
    <t>Adjusted Score</t>
  </si>
  <si>
    <t>Raw Overall</t>
  </si>
  <si>
    <t>Scouting Trust</t>
  </si>
  <si>
    <t>Signability Factor</t>
  </si>
  <si>
    <t>Type</t>
  </si>
  <si>
    <t>Category</t>
  </si>
  <si>
    <t>Hitter</t>
  </si>
  <si>
    <t>high_school</t>
  </si>
  <si>
    <t>Pitcher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</si>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</sst>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8"/>
      <color rgb="FF242022"/>
      <name val="Tahoma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</font>
    <font>
      <b/>
      <sz val="7"/>
      <color rgb="FF000000"/>
      <name val="Tahoma"/>
      <family val="2"/>
    </font>
    <font>
      <sz val="7"/>
      <color rgb="FF000000"/>
      <name val="Tahoma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BEB8"/>
        <bgColor indexed="64"/>
      </patternFill>
    </fill>
    <fill>
      <patternFill patternType="solid">
        <fgColor rgb="FFDEDDD5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8B6AF"/>
        <bgColor indexed="64"/>
      </patternFill>
    </fill>
  </fills>
  <borders count="9">
    <border>
      <left/>
      <right/>
      <top/>
      <bottom/>
      <diagonal/>
    </border>
    <border>
      <left style="medium">
        <color rgb="FFBCA399"/>
      </left>
      <right style="medium">
        <color rgb="FFBCA399"/>
      </right>
      <top style="medium">
        <color rgb="FFBCA399"/>
      </top>
      <bottom style="medium">
        <color rgb="FFBCA399"/>
      </bottom>
      <diagonal/>
    </border>
    <border>
      <left style="medium">
        <color rgb="FFBCA399"/>
      </left>
      <right/>
      <top style="medium">
        <color rgb="FFBCA399"/>
      </top>
      <bottom style="medium">
        <color rgb="FFBCA399"/>
      </bottom>
      <diagonal/>
    </border>
    <border>
      <left/>
      <right/>
      <top style="medium">
        <color rgb="FFBCA399"/>
      </top>
      <bottom style="medium">
        <color rgb="FFBCA399"/>
      </bottom>
      <diagonal/>
    </border>
    <border>
      <left/>
      <right style="medium">
        <color rgb="FFBCA399"/>
      </right>
      <top style="medium">
        <color rgb="FFBCA399"/>
      </top>
      <bottom style="medium">
        <color rgb="FFBCA399"/>
      </bottom>
      <diagonal/>
    </border>
    <border>
      <left style="medium">
        <color rgb="FFBCA399"/>
      </left>
      <right style="medium">
        <color rgb="FFBCA399"/>
      </right>
      <top/>
      <bottom/>
      <diagonal/>
    </border>
    <border>
      <left style="medium">
        <color rgb="FFBCA399"/>
      </left>
      <right/>
      <top/>
      <bottom/>
      <diagonal/>
    </border>
    <border>
      <left/>
      <right/>
      <top/>
      <bottom style="medium">
        <color rgb="FFCCCBC4"/>
      </bottom>
      <diagonal/>
    </border>
    <border>
      <left style="medium">
        <color rgb="FFCCCBC4"/>
      </left>
      <right/>
      <top/>
      <bottom style="medium">
        <color rgb="FFCCCBC4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4" fontId="0" fillId="0" borderId="0" xfId="0" applyNumberFormat="1"/>
    <xf numFmtId="0" fontId="3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 wrapText="1"/>
    </xf>
    <xf numFmtId="0" fontId="2" fillId="4" borderId="8" xfId="1" applyFill="1" applyBorder="1" applyAlignment="1" applyProtection="1">
      <alignment horizontal="left" vertical="center"/>
    </xf>
    <xf numFmtId="0" fontId="2" fillId="3" borderId="8" xfId="1" applyFill="1" applyBorder="1" applyAlignment="1" applyProtection="1">
      <alignment horizontal="left" vertical="center"/>
    </xf>
    <xf numFmtId="0" fontId="2" fillId="5" borderId="0" xfId="1" applyFill="1" applyAlignment="1" applyProtection="1">
      <alignment horizontal="left" vertical="center"/>
    </xf>
    <xf numFmtId="0" fontId="2" fillId="5" borderId="0" xfId="1" applyFill="1" applyAlignment="1" applyProtection="1">
      <alignment horizontal="left" vertical="center" wrapText="1"/>
    </xf>
    <xf numFmtId="0" fontId="2" fillId="5" borderId="0" xfId="1" applyFill="1" applyAlignment="1" applyProtection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7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none"/>
          </c:marker>
          <c:trendline>
            <c:trendlineType val="poly"/>
            <c:order val="3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'Algorithm Analysis'!$A$1:$A$14</c:f>
              <c:numCache>
                <c:formatCode>General</c:formatCode>
                <c:ptCount val="1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90</c:v>
                </c:pt>
                <c:pt idx="13">
                  <c:v>100</c:v>
                </c:pt>
              </c:numCache>
            </c:numRef>
          </c:xVal>
          <c:yVal>
            <c:numRef>
              <c:f>'Algorithm Analysis'!$B$1:$B$14</c:f>
              <c:numCache>
                <c:formatCode>General</c:formatCode>
                <c:ptCount val="1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0.13</c:v>
                </c:pt>
                <c:pt idx="6">
                  <c:v>0.15</c:v>
                </c:pt>
                <c:pt idx="7">
                  <c:v>0.3</c:v>
                </c:pt>
                <c:pt idx="8">
                  <c:v>0.45</c:v>
                </c:pt>
                <c:pt idx="9">
                  <c:v>0.6</c:v>
                </c:pt>
                <c:pt idx="10">
                  <c:v>0.75</c:v>
                </c:pt>
                <c:pt idx="11">
                  <c:v>0.85</c:v>
                </c:pt>
                <c:pt idx="12">
                  <c:v>0.95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94-486A-9CC6-CA429C529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64032"/>
        <c:axId val="157220864"/>
      </c:scatterChart>
      <c:valAx>
        <c:axId val="22996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220864"/>
        <c:crosses val="autoZero"/>
        <c:crossBetween val="midCat"/>
      </c:valAx>
      <c:valAx>
        <c:axId val="157220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9964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11</xdr:row>
      <xdr:rowOff>76200</xdr:rowOff>
    </xdr:from>
    <xdr:to>
      <xdr:col>23</xdr:col>
      <xdr:colOff>142875</xdr:colOff>
      <xdr:row>34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hatifsports.com/hbd/Pages/Popups/ProspectProfile.aspx?pid=13631478" TargetMode="External"/><Relationship Id="rId299" Type="http://schemas.openxmlformats.org/officeDocument/2006/relationships/hyperlink" Target="https://www.whatifsports.com/hbd/Pages/Popups/ProspectProfile.aspx?pid=13631963" TargetMode="External"/><Relationship Id="rId21" Type="http://schemas.openxmlformats.org/officeDocument/2006/relationships/hyperlink" Target="https://www.whatifsports.com/hbd/Pages/Popups/ProspectProfile.aspx?pid=13631732" TargetMode="External"/><Relationship Id="rId63" Type="http://schemas.openxmlformats.org/officeDocument/2006/relationships/hyperlink" Target="https://www.whatifsports.com/hbd/Pages/Popups/ProspectProfile.aspx?pid=13631454" TargetMode="External"/><Relationship Id="rId159" Type="http://schemas.openxmlformats.org/officeDocument/2006/relationships/hyperlink" Target="https://www.whatifsports.com/hbd/Pages/Popups/ProspectProfile.aspx?pid=13631789" TargetMode="External"/><Relationship Id="rId324" Type="http://schemas.openxmlformats.org/officeDocument/2006/relationships/hyperlink" Target="https://www.whatifsports.com/hbd/Pages/Popups/ProspectProfile.aspx?pid=13632066" TargetMode="External"/><Relationship Id="rId366" Type="http://schemas.openxmlformats.org/officeDocument/2006/relationships/hyperlink" Target="https://www.whatifsports.com/hbd/Pages/Popups/ProspectProfile.aspx?pid=13632213" TargetMode="External"/><Relationship Id="rId170" Type="http://schemas.openxmlformats.org/officeDocument/2006/relationships/hyperlink" Target="https://www.whatifsports.com/hbd/Pages/Popups/ProspectProfile.aspx?pid=13631471" TargetMode="External"/><Relationship Id="rId226" Type="http://schemas.openxmlformats.org/officeDocument/2006/relationships/hyperlink" Target="https://www.whatifsports.com/hbd/Pages/Popups/ProspectProfile.aspx?pid=13631977" TargetMode="External"/><Relationship Id="rId268" Type="http://schemas.openxmlformats.org/officeDocument/2006/relationships/hyperlink" Target="https://www.whatifsports.com/hbd/Pages/Popups/ProspectProfile.aspx?pid=13631885" TargetMode="External"/><Relationship Id="rId32" Type="http://schemas.openxmlformats.org/officeDocument/2006/relationships/hyperlink" Target="https://www.whatifsports.com/hbd/Pages/Popups/ProspectProfile.aspx?pid=13631837" TargetMode="External"/><Relationship Id="rId74" Type="http://schemas.openxmlformats.org/officeDocument/2006/relationships/hyperlink" Target="https://www.whatifsports.com/hbd/Pages/Popups/ProspectProfile.aspx?pid=13631763" TargetMode="External"/><Relationship Id="rId128" Type="http://schemas.openxmlformats.org/officeDocument/2006/relationships/hyperlink" Target="https://www.whatifsports.com/hbd/Pages/Popups/ProspectProfile.aspx?pid=13631762" TargetMode="External"/><Relationship Id="rId335" Type="http://schemas.openxmlformats.org/officeDocument/2006/relationships/hyperlink" Target="https://www.whatifsports.com/hbd/Pages/Popups/ProspectProfile.aspx?pid=13632071" TargetMode="External"/><Relationship Id="rId377" Type="http://schemas.openxmlformats.org/officeDocument/2006/relationships/hyperlink" Target="https://www.whatifsports.com/hbd/Pages/Popups/ProspectProfile.aspx?pid=13632186" TargetMode="External"/><Relationship Id="rId5" Type="http://schemas.openxmlformats.org/officeDocument/2006/relationships/hyperlink" Target="https://www.whatifsports.com/hbd/Pages/GM/AmateurDraftPlayerPool.aspx" TargetMode="External"/><Relationship Id="rId95" Type="http://schemas.openxmlformats.org/officeDocument/2006/relationships/hyperlink" Target="https://www.whatifsports.com/hbd/Pages/Popups/ProspectProfile.aspx?pid=13631701" TargetMode="External"/><Relationship Id="rId160" Type="http://schemas.openxmlformats.org/officeDocument/2006/relationships/hyperlink" Target="https://www.whatifsports.com/hbd/Pages/Popups/ProspectProfile.aspx?pid=13631789" TargetMode="External"/><Relationship Id="rId181" Type="http://schemas.openxmlformats.org/officeDocument/2006/relationships/hyperlink" Target="https://www.whatifsports.com/hbd/Pages/Popups/ProspectProfile.aspx?pid=13631531" TargetMode="External"/><Relationship Id="rId216" Type="http://schemas.openxmlformats.org/officeDocument/2006/relationships/hyperlink" Target="https://www.whatifsports.com/hbd/Pages/Popups/ProspectProfile.aspx?pid=13631916" TargetMode="External"/><Relationship Id="rId237" Type="http://schemas.openxmlformats.org/officeDocument/2006/relationships/hyperlink" Target="https://www.whatifsports.com/hbd/Pages/Popups/ProspectProfile.aspx?pid=13632171" TargetMode="External"/><Relationship Id="rId402" Type="http://schemas.openxmlformats.org/officeDocument/2006/relationships/hyperlink" Target="https://www.whatifsports.com/hbd/Pages/Popups/ProspectProfile.aspx?pid=13632019" TargetMode="External"/><Relationship Id="rId258" Type="http://schemas.openxmlformats.org/officeDocument/2006/relationships/hyperlink" Target="https://www.whatifsports.com/hbd/Pages/Popups/ProspectProfile.aspx?pid=13632164" TargetMode="External"/><Relationship Id="rId279" Type="http://schemas.openxmlformats.org/officeDocument/2006/relationships/hyperlink" Target="https://www.whatifsports.com/hbd/Pages/Popups/ProspectProfile.aspx?pid=13632204" TargetMode="External"/><Relationship Id="rId22" Type="http://schemas.openxmlformats.org/officeDocument/2006/relationships/hyperlink" Target="https://www.whatifsports.com/hbd/Pages/Popups/ProspectProfile.aspx?pid=13631732" TargetMode="External"/><Relationship Id="rId43" Type="http://schemas.openxmlformats.org/officeDocument/2006/relationships/hyperlink" Target="https://www.whatifsports.com/hbd/Pages/Popups/ProspectProfile.aspx?pid=13631591" TargetMode="External"/><Relationship Id="rId64" Type="http://schemas.openxmlformats.org/officeDocument/2006/relationships/hyperlink" Target="https://www.whatifsports.com/hbd/Pages/Popups/ProspectProfile.aspx?pid=13631454" TargetMode="External"/><Relationship Id="rId118" Type="http://schemas.openxmlformats.org/officeDocument/2006/relationships/hyperlink" Target="https://www.whatifsports.com/hbd/Pages/Popups/ProspectProfile.aspx?pid=13631478" TargetMode="External"/><Relationship Id="rId139" Type="http://schemas.openxmlformats.org/officeDocument/2006/relationships/hyperlink" Target="https://www.whatifsports.com/hbd/Pages/Popups/ProspectProfile.aspx?pid=13631459" TargetMode="External"/><Relationship Id="rId290" Type="http://schemas.openxmlformats.org/officeDocument/2006/relationships/hyperlink" Target="https://www.whatifsports.com/hbd/Pages/Popups/ProspectProfile.aspx?pid=13632113" TargetMode="External"/><Relationship Id="rId304" Type="http://schemas.openxmlformats.org/officeDocument/2006/relationships/hyperlink" Target="https://www.whatifsports.com/hbd/Pages/Popups/ProspectProfile.aspx?pid=13632143" TargetMode="External"/><Relationship Id="rId325" Type="http://schemas.openxmlformats.org/officeDocument/2006/relationships/hyperlink" Target="https://www.whatifsports.com/hbd/Pages/Popups/ProspectProfile.aspx?pid=13631876" TargetMode="External"/><Relationship Id="rId346" Type="http://schemas.openxmlformats.org/officeDocument/2006/relationships/hyperlink" Target="https://www.whatifsports.com/hbd/Pages/Popups/ProspectProfile.aspx?pid=13631863" TargetMode="External"/><Relationship Id="rId367" Type="http://schemas.openxmlformats.org/officeDocument/2006/relationships/hyperlink" Target="https://www.whatifsports.com/hbd/Pages/Popups/ProspectProfile.aspx?pid=13632183" TargetMode="External"/><Relationship Id="rId388" Type="http://schemas.openxmlformats.org/officeDocument/2006/relationships/hyperlink" Target="https://www.whatifsports.com/hbd/Pages/Popups/ProspectProfile.aspx?pid=13631926" TargetMode="External"/><Relationship Id="rId85" Type="http://schemas.openxmlformats.org/officeDocument/2006/relationships/hyperlink" Target="https://www.whatifsports.com/hbd/Pages/Popups/ProspectProfile.aspx?pid=13631555" TargetMode="External"/><Relationship Id="rId150" Type="http://schemas.openxmlformats.org/officeDocument/2006/relationships/hyperlink" Target="https://www.whatifsports.com/hbd/Pages/Popups/ProspectProfile.aspx?pid=13631391" TargetMode="External"/><Relationship Id="rId171" Type="http://schemas.openxmlformats.org/officeDocument/2006/relationships/hyperlink" Target="https://www.whatifsports.com/hbd/Pages/Popups/ProspectProfile.aspx?pid=13631560" TargetMode="External"/><Relationship Id="rId192" Type="http://schemas.openxmlformats.org/officeDocument/2006/relationships/hyperlink" Target="https://www.whatifsports.com/hbd/Pages/Popups/ProspectProfile.aspx?pid=13631448" TargetMode="External"/><Relationship Id="rId206" Type="http://schemas.openxmlformats.org/officeDocument/2006/relationships/hyperlink" Target="https://www.whatifsports.com/hbd/Pages/Popups/ProspectProfile.aspx?pid=13631389" TargetMode="External"/><Relationship Id="rId227" Type="http://schemas.openxmlformats.org/officeDocument/2006/relationships/hyperlink" Target="https://www.whatifsports.com/hbd/Pages/Popups/ProspectProfile.aspx?pid=13632207" TargetMode="External"/><Relationship Id="rId413" Type="http://schemas.openxmlformats.org/officeDocument/2006/relationships/hyperlink" Target="https://www.whatifsports.com/hbd/Pages/Popups/ProspectProfile.aspx?pid=13631908" TargetMode="External"/><Relationship Id="rId248" Type="http://schemas.openxmlformats.org/officeDocument/2006/relationships/hyperlink" Target="https://www.whatifsports.com/hbd/Pages/Popups/ProspectProfile.aspx?pid=13632211" TargetMode="External"/><Relationship Id="rId269" Type="http://schemas.openxmlformats.org/officeDocument/2006/relationships/hyperlink" Target="https://www.whatifsports.com/hbd/Pages/Popups/ProspectProfile.aspx?pid=13632048" TargetMode="External"/><Relationship Id="rId12" Type="http://schemas.openxmlformats.org/officeDocument/2006/relationships/hyperlink" Target="https://www.whatifsports.com/hbd/Pages/GM/AmateurDraftPlayerPool.aspx" TargetMode="External"/><Relationship Id="rId33" Type="http://schemas.openxmlformats.org/officeDocument/2006/relationships/hyperlink" Target="https://www.whatifsports.com/hbd/Pages/Popups/ProspectProfile.aspx?pid=13631674" TargetMode="External"/><Relationship Id="rId108" Type="http://schemas.openxmlformats.org/officeDocument/2006/relationships/hyperlink" Target="https://www.whatifsports.com/hbd/Pages/Popups/ProspectProfile.aspx?pid=13631567" TargetMode="External"/><Relationship Id="rId129" Type="http://schemas.openxmlformats.org/officeDocument/2006/relationships/hyperlink" Target="https://www.whatifsports.com/hbd/Pages/Popups/ProspectProfile.aspx?pid=13631791" TargetMode="External"/><Relationship Id="rId280" Type="http://schemas.openxmlformats.org/officeDocument/2006/relationships/hyperlink" Target="https://www.whatifsports.com/hbd/Pages/Popups/ProspectProfile.aspx?pid=13632204" TargetMode="External"/><Relationship Id="rId315" Type="http://schemas.openxmlformats.org/officeDocument/2006/relationships/hyperlink" Target="https://www.whatifsports.com/hbd/Pages/Popups/ProspectProfile.aspx?pid=13632085" TargetMode="External"/><Relationship Id="rId336" Type="http://schemas.openxmlformats.org/officeDocument/2006/relationships/hyperlink" Target="https://www.whatifsports.com/hbd/Pages/Popups/ProspectProfile.aspx?pid=13632071" TargetMode="External"/><Relationship Id="rId357" Type="http://schemas.openxmlformats.org/officeDocument/2006/relationships/hyperlink" Target="https://www.whatifsports.com/hbd/Pages/Popups/ProspectProfile.aspx?pid=13632172" TargetMode="External"/><Relationship Id="rId54" Type="http://schemas.openxmlformats.org/officeDocument/2006/relationships/hyperlink" Target="https://www.whatifsports.com/hbd/Pages/Popups/ProspectProfile.aspx?pid=13631429" TargetMode="External"/><Relationship Id="rId75" Type="http://schemas.openxmlformats.org/officeDocument/2006/relationships/hyperlink" Target="https://www.whatifsports.com/hbd/Pages/Popups/ProspectProfile.aspx?pid=13631823" TargetMode="External"/><Relationship Id="rId96" Type="http://schemas.openxmlformats.org/officeDocument/2006/relationships/hyperlink" Target="https://www.whatifsports.com/hbd/Pages/Popups/ProspectProfile.aspx?pid=13631701" TargetMode="External"/><Relationship Id="rId140" Type="http://schemas.openxmlformats.org/officeDocument/2006/relationships/hyperlink" Target="https://www.whatifsports.com/hbd/Pages/Popups/ProspectProfile.aspx?pid=13631459" TargetMode="External"/><Relationship Id="rId161" Type="http://schemas.openxmlformats.org/officeDocument/2006/relationships/hyperlink" Target="https://www.whatifsports.com/hbd/Pages/Popups/ProspectProfile.aspx?pid=13632078" TargetMode="External"/><Relationship Id="rId182" Type="http://schemas.openxmlformats.org/officeDocument/2006/relationships/hyperlink" Target="https://www.whatifsports.com/hbd/Pages/Popups/ProspectProfile.aspx?pid=13631531" TargetMode="External"/><Relationship Id="rId217" Type="http://schemas.openxmlformats.org/officeDocument/2006/relationships/hyperlink" Target="https://www.whatifsports.com/hbd/Pages/Popups/ProspectProfile.aspx?pid=13632030" TargetMode="External"/><Relationship Id="rId378" Type="http://schemas.openxmlformats.org/officeDocument/2006/relationships/hyperlink" Target="https://www.whatifsports.com/hbd/Pages/Popups/ProspectProfile.aspx?pid=13632186" TargetMode="External"/><Relationship Id="rId399" Type="http://schemas.openxmlformats.org/officeDocument/2006/relationships/hyperlink" Target="https://www.whatifsports.com/hbd/Pages/Popups/ProspectProfile.aspx?pid=13632236" TargetMode="External"/><Relationship Id="rId403" Type="http://schemas.openxmlformats.org/officeDocument/2006/relationships/hyperlink" Target="https://www.whatifsports.com/hbd/Pages/Popups/ProspectProfile.aspx?pid=13631996" TargetMode="External"/><Relationship Id="rId6" Type="http://schemas.openxmlformats.org/officeDocument/2006/relationships/hyperlink" Target="https://www.whatifsports.com/hbd/Pages/GM/AmateurDraftPlayerPool.aspx" TargetMode="External"/><Relationship Id="rId238" Type="http://schemas.openxmlformats.org/officeDocument/2006/relationships/hyperlink" Target="https://www.whatifsports.com/hbd/Pages/Popups/ProspectProfile.aspx?pid=13632171" TargetMode="External"/><Relationship Id="rId259" Type="http://schemas.openxmlformats.org/officeDocument/2006/relationships/hyperlink" Target="https://www.whatifsports.com/hbd/Pages/Popups/ProspectProfile.aspx?pid=13632194" TargetMode="External"/><Relationship Id="rId23" Type="http://schemas.openxmlformats.org/officeDocument/2006/relationships/hyperlink" Target="https://www.whatifsports.com/hbd/Pages/Popups/ProspectProfile.aspx?pid=13631506" TargetMode="External"/><Relationship Id="rId119" Type="http://schemas.openxmlformats.org/officeDocument/2006/relationships/hyperlink" Target="https://www.whatifsports.com/hbd/Pages/Popups/ProspectProfile.aspx?pid=13631437" TargetMode="External"/><Relationship Id="rId270" Type="http://schemas.openxmlformats.org/officeDocument/2006/relationships/hyperlink" Target="https://www.whatifsports.com/hbd/Pages/Popups/ProspectProfile.aspx?pid=13632048" TargetMode="External"/><Relationship Id="rId291" Type="http://schemas.openxmlformats.org/officeDocument/2006/relationships/hyperlink" Target="https://www.whatifsports.com/hbd/Pages/Popups/ProspectProfile.aspx?pid=13631913" TargetMode="External"/><Relationship Id="rId305" Type="http://schemas.openxmlformats.org/officeDocument/2006/relationships/hyperlink" Target="https://www.whatifsports.com/hbd/Pages/Popups/ProspectProfile.aspx?pid=13631972" TargetMode="External"/><Relationship Id="rId326" Type="http://schemas.openxmlformats.org/officeDocument/2006/relationships/hyperlink" Target="https://www.whatifsports.com/hbd/Pages/Popups/ProspectProfile.aspx?pid=13631876" TargetMode="External"/><Relationship Id="rId347" Type="http://schemas.openxmlformats.org/officeDocument/2006/relationships/hyperlink" Target="https://www.whatifsports.com/hbd/Pages/Popups/ProspectProfile.aspx?pid=13631896" TargetMode="External"/><Relationship Id="rId44" Type="http://schemas.openxmlformats.org/officeDocument/2006/relationships/hyperlink" Target="https://www.whatifsports.com/hbd/Pages/Popups/ProspectProfile.aspx?pid=13631591" TargetMode="External"/><Relationship Id="rId65" Type="http://schemas.openxmlformats.org/officeDocument/2006/relationships/hyperlink" Target="https://www.whatifsports.com/hbd/Pages/Popups/ProspectProfile.aspx?pid=13631551" TargetMode="External"/><Relationship Id="rId86" Type="http://schemas.openxmlformats.org/officeDocument/2006/relationships/hyperlink" Target="https://www.whatifsports.com/hbd/Pages/Popups/ProspectProfile.aspx?pid=13631555" TargetMode="External"/><Relationship Id="rId130" Type="http://schemas.openxmlformats.org/officeDocument/2006/relationships/hyperlink" Target="https://www.whatifsports.com/hbd/Pages/Popups/ProspectProfile.aspx?pid=13631791" TargetMode="External"/><Relationship Id="rId151" Type="http://schemas.openxmlformats.org/officeDocument/2006/relationships/hyperlink" Target="https://www.whatifsports.com/hbd/Pages/Popups/ProspectProfile.aspx?pid=13631532" TargetMode="External"/><Relationship Id="rId368" Type="http://schemas.openxmlformats.org/officeDocument/2006/relationships/hyperlink" Target="https://www.whatifsports.com/hbd/Pages/Popups/ProspectProfile.aspx?pid=13632183" TargetMode="External"/><Relationship Id="rId389" Type="http://schemas.openxmlformats.org/officeDocument/2006/relationships/hyperlink" Target="https://www.whatifsports.com/hbd/Pages/Popups/ProspectProfile.aspx?pid=13632206" TargetMode="External"/><Relationship Id="rId172" Type="http://schemas.openxmlformats.org/officeDocument/2006/relationships/hyperlink" Target="https://www.whatifsports.com/hbd/Pages/Popups/ProspectProfile.aspx?pid=13631560" TargetMode="External"/><Relationship Id="rId193" Type="http://schemas.openxmlformats.org/officeDocument/2006/relationships/hyperlink" Target="https://www.whatifsports.com/hbd/Pages/Popups/ProspectProfile.aspx?pid=13631796" TargetMode="External"/><Relationship Id="rId207" Type="http://schemas.openxmlformats.org/officeDocument/2006/relationships/hyperlink" Target="https://www.whatifsports.com/hbd/Pages/Popups/ProspectProfile.aspx?pid=13631836" TargetMode="External"/><Relationship Id="rId228" Type="http://schemas.openxmlformats.org/officeDocument/2006/relationships/hyperlink" Target="https://www.whatifsports.com/hbd/Pages/Popups/ProspectProfile.aspx?pid=13632207" TargetMode="External"/><Relationship Id="rId249" Type="http://schemas.openxmlformats.org/officeDocument/2006/relationships/hyperlink" Target="https://www.whatifsports.com/hbd/Pages/Popups/ProspectProfile.aspx?pid=13631802" TargetMode="External"/><Relationship Id="rId414" Type="http://schemas.openxmlformats.org/officeDocument/2006/relationships/hyperlink" Target="https://www.whatifsports.com/hbd/Pages/Popups/ProspectProfile.aspx?pid=13631908" TargetMode="External"/><Relationship Id="rId13" Type="http://schemas.openxmlformats.org/officeDocument/2006/relationships/hyperlink" Target="https://www.whatifsports.com/hbd/Pages/Popups/ProspectProfile.aspx?pid=13631431" TargetMode="External"/><Relationship Id="rId109" Type="http://schemas.openxmlformats.org/officeDocument/2006/relationships/hyperlink" Target="https://www.whatifsports.com/hbd/Pages/Popups/ProspectProfile.aspx?pid=13631731" TargetMode="External"/><Relationship Id="rId260" Type="http://schemas.openxmlformats.org/officeDocument/2006/relationships/hyperlink" Target="https://www.whatifsports.com/hbd/Pages/Popups/ProspectProfile.aspx?pid=13632194" TargetMode="External"/><Relationship Id="rId281" Type="http://schemas.openxmlformats.org/officeDocument/2006/relationships/hyperlink" Target="https://www.whatifsports.com/hbd/Pages/Popups/ProspectProfile.aspx?pid=13631877" TargetMode="External"/><Relationship Id="rId316" Type="http://schemas.openxmlformats.org/officeDocument/2006/relationships/hyperlink" Target="https://www.whatifsports.com/hbd/Pages/Popups/ProspectProfile.aspx?pid=13632085" TargetMode="External"/><Relationship Id="rId337" Type="http://schemas.openxmlformats.org/officeDocument/2006/relationships/hyperlink" Target="https://www.whatifsports.com/hbd/Pages/Popups/ProspectProfile.aspx?pid=13632197" TargetMode="External"/><Relationship Id="rId34" Type="http://schemas.openxmlformats.org/officeDocument/2006/relationships/hyperlink" Target="https://www.whatifsports.com/hbd/Pages/Popups/ProspectProfile.aspx?pid=13631674" TargetMode="External"/><Relationship Id="rId55" Type="http://schemas.openxmlformats.org/officeDocument/2006/relationships/hyperlink" Target="https://www.whatifsports.com/hbd/Pages/Popups/ProspectProfile.aspx?pid=13631507" TargetMode="External"/><Relationship Id="rId76" Type="http://schemas.openxmlformats.org/officeDocument/2006/relationships/hyperlink" Target="https://www.whatifsports.com/hbd/Pages/Popups/ProspectProfile.aspx?pid=13631823" TargetMode="External"/><Relationship Id="rId97" Type="http://schemas.openxmlformats.org/officeDocument/2006/relationships/hyperlink" Target="https://www.whatifsports.com/hbd/Pages/Popups/ProspectProfile.aspx?pid=13631484" TargetMode="External"/><Relationship Id="rId120" Type="http://schemas.openxmlformats.org/officeDocument/2006/relationships/hyperlink" Target="https://www.whatifsports.com/hbd/Pages/Popups/ProspectProfile.aspx?pid=13631437" TargetMode="External"/><Relationship Id="rId141" Type="http://schemas.openxmlformats.org/officeDocument/2006/relationships/hyperlink" Target="https://www.whatifsports.com/hbd/Pages/Popups/ProspectProfile.aspx?pid=13631792" TargetMode="External"/><Relationship Id="rId358" Type="http://schemas.openxmlformats.org/officeDocument/2006/relationships/hyperlink" Target="https://www.whatifsports.com/hbd/Pages/Popups/ProspectProfile.aspx?pid=13632172" TargetMode="External"/><Relationship Id="rId379" Type="http://schemas.openxmlformats.org/officeDocument/2006/relationships/hyperlink" Target="https://www.whatifsports.com/hbd/Pages/Popups/ProspectProfile.aspx?pid=13632023" TargetMode="External"/><Relationship Id="rId7" Type="http://schemas.openxmlformats.org/officeDocument/2006/relationships/hyperlink" Target="https://www.whatifsports.com/hbd/Pages/GM/AmateurDraftPlayerPool.aspx" TargetMode="External"/><Relationship Id="rId162" Type="http://schemas.openxmlformats.org/officeDocument/2006/relationships/hyperlink" Target="https://www.whatifsports.com/hbd/Pages/Popups/ProspectProfile.aspx?pid=13632078" TargetMode="External"/><Relationship Id="rId183" Type="http://schemas.openxmlformats.org/officeDocument/2006/relationships/hyperlink" Target="https://www.whatifsports.com/hbd/Pages/Popups/ProspectProfile.aspx?pid=13631642" TargetMode="External"/><Relationship Id="rId218" Type="http://schemas.openxmlformats.org/officeDocument/2006/relationships/hyperlink" Target="https://www.whatifsports.com/hbd/Pages/Popups/ProspectProfile.aspx?pid=13632030" TargetMode="External"/><Relationship Id="rId239" Type="http://schemas.openxmlformats.org/officeDocument/2006/relationships/hyperlink" Target="https://www.whatifsports.com/hbd/Pages/Popups/ProspectProfile.aspx?pid=13631808" TargetMode="External"/><Relationship Id="rId390" Type="http://schemas.openxmlformats.org/officeDocument/2006/relationships/hyperlink" Target="https://www.whatifsports.com/hbd/Pages/Popups/ProspectProfile.aspx?pid=13632206" TargetMode="External"/><Relationship Id="rId404" Type="http://schemas.openxmlformats.org/officeDocument/2006/relationships/hyperlink" Target="https://www.whatifsports.com/hbd/Pages/Popups/ProspectProfile.aspx?pid=13631996" TargetMode="External"/><Relationship Id="rId250" Type="http://schemas.openxmlformats.org/officeDocument/2006/relationships/hyperlink" Target="https://www.whatifsports.com/hbd/Pages/Popups/ProspectProfile.aspx?pid=13631802" TargetMode="External"/><Relationship Id="rId271" Type="http://schemas.openxmlformats.org/officeDocument/2006/relationships/hyperlink" Target="https://www.whatifsports.com/hbd/Pages/Popups/ProspectProfile.aspx?pid=13631874" TargetMode="External"/><Relationship Id="rId292" Type="http://schemas.openxmlformats.org/officeDocument/2006/relationships/hyperlink" Target="https://www.whatifsports.com/hbd/Pages/Popups/ProspectProfile.aspx?pid=13631913" TargetMode="External"/><Relationship Id="rId306" Type="http://schemas.openxmlformats.org/officeDocument/2006/relationships/hyperlink" Target="https://www.whatifsports.com/hbd/Pages/Popups/ProspectProfile.aspx?pid=13631972" TargetMode="External"/><Relationship Id="rId24" Type="http://schemas.openxmlformats.org/officeDocument/2006/relationships/hyperlink" Target="https://www.whatifsports.com/hbd/Pages/Popups/ProspectProfile.aspx?pid=13631506" TargetMode="External"/><Relationship Id="rId45" Type="http://schemas.openxmlformats.org/officeDocument/2006/relationships/hyperlink" Target="https://www.whatifsports.com/hbd/Pages/Popups/ProspectProfile.aspx?pid=13631673" TargetMode="External"/><Relationship Id="rId66" Type="http://schemas.openxmlformats.org/officeDocument/2006/relationships/hyperlink" Target="https://www.whatifsports.com/hbd/Pages/Popups/ProspectProfile.aspx?pid=13631551" TargetMode="External"/><Relationship Id="rId87" Type="http://schemas.openxmlformats.org/officeDocument/2006/relationships/hyperlink" Target="https://www.whatifsports.com/hbd/Pages/Popups/ProspectProfile.aspx?pid=13631409" TargetMode="External"/><Relationship Id="rId110" Type="http://schemas.openxmlformats.org/officeDocument/2006/relationships/hyperlink" Target="https://www.whatifsports.com/hbd/Pages/Popups/ProspectProfile.aspx?pid=13631731" TargetMode="External"/><Relationship Id="rId131" Type="http://schemas.openxmlformats.org/officeDocument/2006/relationships/hyperlink" Target="https://www.whatifsports.com/hbd/Pages/Popups/ProspectProfile.aspx?pid=13631835" TargetMode="External"/><Relationship Id="rId327" Type="http://schemas.openxmlformats.org/officeDocument/2006/relationships/hyperlink" Target="https://www.whatifsports.com/hbd/Pages/Popups/ProspectProfile.aspx?pid=13632178" TargetMode="External"/><Relationship Id="rId348" Type="http://schemas.openxmlformats.org/officeDocument/2006/relationships/hyperlink" Target="https://www.whatifsports.com/hbd/Pages/Popups/ProspectProfile.aspx?pid=13631896" TargetMode="External"/><Relationship Id="rId369" Type="http://schemas.openxmlformats.org/officeDocument/2006/relationships/hyperlink" Target="https://www.whatifsports.com/hbd/Pages/Popups/ProspectProfile.aspx?pid=13632234" TargetMode="External"/><Relationship Id="rId152" Type="http://schemas.openxmlformats.org/officeDocument/2006/relationships/hyperlink" Target="https://www.whatifsports.com/hbd/Pages/Popups/ProspectProfile.aspx?pid=13631532" TargetMode="External"/><Relationship Id="rId173" Type="http://schemas.openxmlformats.org/officeDocument/2006/relationships/hyperlink" Target="https://www.whatifsports.com/hbd/Pages/Popups/ProspectProfile.aspx?pid=13631636" TargetMode="External"/><Relationship Id="rId194" Type="http://schemas.openxmlformats.org/officeDocument/2006/relationships/hyperlink" Target="https://www.whatifsports.com/hbd/Pages/Popups/ProspectProfile.aspx?pid=13631796" TargetMode="External"/><Relationship Id="rId208" Type="http://schemas.openxmlformats.org/officeDocument/2006/relationships/hyperlink" Target="https://www.whatifsports.com/hbd/Pages/Popups/ProspectProfile.aspx?pid=13631836" TargetMode="External"/><Relationship Id="rId229" Type="http://schemas.openxmlformats.org/officeDocument/2006/relationships/hyperlink" Target="https://www.whatifsports.com/hbd/Pages/Popups/ProspectProfile.aspx?pid=13632212" TargetMode="External"/><Relationship Id="rId380" Type="http://schemas.openxmlformats.org/officeDocument/2006/relationships/hyperlink" Target="https://www.whatifsports.com/hbd/Pages/Popups/ProspectProfile.aspx?pid=13632023" TargetMode="External"/><Relationship Id="rId240" Type="http://schemas.openxmlformats.org/officeDocument/2006/relationships/hyperlink" Target="https://www.whatifsports.com/hbd/Pages/Popups/ProspectProfile.aspx?pid=13631808" TargetMode="External"/><Relationship Id="rId261" Type="http://schemas.openxmlformats.org/officeDocument/2006/relationships/hyperlink" Target="https://www.whatifsports.com/hbd/Pages/Popups/ProspectProfile.aspx?pid=13631882" TargetMode="External"/><Relationship Id="rId14" Type="http://schemas.openxmlformats.org/officeDocument/2006/relationships/hyperlink" Target="https://www.whatifsports.com/hbd/Pages/Popups/ProspectProfile.aspx?pid=13631431" TargetMode="External"/><Relationship Id="rId35" Type="http://schemas.openxmlformats.org/officeDocument/2006/relationships/hyperlink" Target="https://www.whatifsports.com/hbd/Pages/Popups/ProspectProfile.aspx?pid=13631677" TargetMode="External"/><Relationship Id="rId56" Type="http://schemas.openxmlformats.org/officeDocument/2006/relationships/hyperlink" Target="https://www.whatifsports.com/hbd/Pages/Popups/ProspectProfile.aspx?pid=13631507" TargetMode="External"/><Relationship Id="rId77" Type="http://schemas.openxmlformats.org/officeDocument/2006/relationships/hyperlink" Target="https://www.whatifsports.com/hbd/Pages/Popups/ProspectProfile.aspx?pid=13631730" TargetMode="External"/><Relationship Id="rId100" Type="http://schemas.openxmlformats.org/officeDocument/2006/relationships/hyperlink" Target="https://www.whatifsports.com/hbd/Pages/Popups/ProspectProfile.aspx?pid=13631579" TargetMode="External"/><Relationship Id="rId282" Type="http://schemas.openxmlformats.org/officeDocument/2006/relationships/hyperlink" Target="https://www.whatifsports.com/hbd/Pages/Popups/ProspectProfile.aspx?pid=13631877" TargetMode="External"/><Relationship Id="rId317" Type="http://schemas.openxmlformats.org/officeDocument/2006/relationships/hyperlink" Target="https://www.whatifsports.com/hbd/Pages/Popups/ProspectProfile.aspx?pid=13632233" TargetMode="External"/><Relationship Id="rId338" Type="http://schemas.openxmlformats.org/officeDocument/2006/relationships/hyperlink" Target="https://www.whatifsports.com/hbd/Pages/Popups/ProspectProfile.aspx?pid=13632197" TargetMode="External"/><Relationship Id="rId359" Type="http://schemas.openxmlformats.org/officeDocument/2006/relationships/hyperlink" Target="https://www.whatifsports.com/hbd/Pages/Popups/ProspectProfile.aspx?pid=13631991" TargetMode="External"/><Relationship Id="rId8" Type="http://schemas.openxmlformats.org/officeDocument/2006/relationships/hyperlink" Target="https://www.whatifsports.com/hbd/Pages/GM/AmateurDraftPlayerPool.aspx" TargetMode="External"/><Relationship Id="rId98" Type="http://schemas.openxmlformats.org/officeDocument/2006/relationships/hyperlink" Target="https://www.whatifsports.com/hbd/Pages/Popups/ProspectProfile.aspx?pid=13631484" TargetMode="External"/><Relationship Id="rId121" Type="http://schemas.openxmlformats.org/officeDocument/2006/relationships/hyperlink" Target="https://www.whatifsports.com/hbd/Pages/Popups/ProspectProfile.aspx?pid=13631648" TargetMode="External"/><Relationship Id="rId142" Type="http://schemas.openxmlformats.org/officeDocument/2006/relationships/hyperlink" Target="https://www.whatifsports.com/hbd/Pages/Popups/ProspectProfile.aspx?pid=13631792" TargetMode="External"/><Relationship Id="rId163" Type="http://schemas.openxmlformats.org/officeDocument/2006/relationships/hyperlink" Target="https://www.whatifsports.com/hbd/Pages/Popups/ProspectProfile.aspx?pid=13631698" TargetMode="External"/><Relationship Id="rId184" Type="http://schemas.openxmlformats.org/officeDocument/2006/relationships/hyperlink" Target="https://www.whatifsports.com/hbd/Pages/Popups/ProspectProfile.aspx?pid=13631642" TargetMode="External"/><Relationship Id="rId219" Type="http://schemas.openxmlformats.org/officeDocument/2006/relationships/hyperlink" Target="https://www.whatifsports.com/hbd/Pages/Popups/ProspectProfile.aspx?pid=13632217" TargetMode="External"/><Relationship Id="rId370" Type="http://schemas.openxmlformats.org/officeDocument/2006/relationships/hyperlink" Target="https://www.whatifsports.com/hbd/Pages/Popups/ProspectProfile.aspx?pid=13632234" TargetMode="External"/><Relationship Id="rId391" Type="http://schemas.openxmlformats.org/officeDocument/2006/relationships/hyperlink" Target="https://www.whatifsports.com/hbd/Pages/Popups/ProspectProfile.aspx?pid=13632205" TargetMode="External"/><Relationship Id="rId405" Type="http://schemas.openxmlformats.org/officeDocument/2006/relationships/hyperlink" Target="https://www.whatifsports.com/hbd/Pages/Popups/ProspectProfile.aspx?pid=13632036" TargetMode="External"/><Relationship Id="rId230" Type="http://schemas.openxmlformats.org/officeDocument/2006/relationships/hyperlink" Target="https://www.whatifsports.com/hbd/Pages/Popups/ProspectProfile.aspx?pid=13632212" TargetMode="External"/><Relationship Id="rId251" Type="http://schemas.openxmlformats.org/officeDocument/2006/relationships/hyperlink" Target="https://www.whatifsports.com/hbd/Pages/Popups/ProspectProfile.aspx?pid=13632224" TargetMode="External"/><Relationship Id="rId25" Type="http://schemas.openxmlformats.org/officeDocument/2006/relationships/hyperlink" Target="https://www.whatifsports.com/hbd/Pages/Popups/ProspectProfile.aspx?pid=13631714" TargetMode="External"/><Relationship Id="rId46" Type="http://schemas.openxmlformats.org/officeDocument/2006/relationships/hyperlink" Target="https://www.whatifsports.com/hbd/Pages/Popups/ProspectProfile.aspx?pid=13631673" TargetMode="External"/><Relationship Id="rId67" Type="http://schemas.openxmlformats.org/officeDocument/2006/relationships/hyperlink" Target="https://www.whatifsports.com/hbd/Pages/Popups/ProspectProfile.aspx?pid=13631725" TargetMode="External"/><Relationship Id="rId272" Type="http://schemas.openxmlformats.org/officeDocument/2006/relationships/hyperlink" Target="https://www.whatifsports.com/hbd/Pages/Popups/ProspectProfile.aspx?pid=13631874" TargetMode="External"/><Relationship Id="rId293" Type="http://schemas.openxmlformats.org/officeDocument/2006/relationships/hyperlink" Target="https://www.whatifsports.com/hbd/Pages/Popups/ProspectProfile.aspx?pid=13632229" TargetMode="External"/><Relationship Id="rId307" Type="http://schemas.openxmlformats.org/officeDocument/2006/relationships/hyperlink" Target="https://www.whatifsports.com/hbd/Pages/Popups/ProspectProfile.aspx?pid=13631910" TargetMode="External"/><Relationship Id="rId328" Type="http://schemas.openxmlformats.org/officeDocument/2006/relationships/hyperlink" Target="https://www.whatifsports.com/hbd/Pages/Popups/ProspectProfile.aspx?pid=13632178" TargetMode="External"/><Relationship Id="rId349" Type="http://schemas.openxmlformats.org/officeDocument/2006/relationships/hyperlink" Target="https://www.whatifsports.com/hbd/Pages/Popups/ProspectProfile.aspx?pid=13632160" TargetMode="External"/><Relationship Id="rId88" Type="http://schemas.openxmlformats.org/officeDocument/2006/relationships/hyperlink" Target="https://www.whatifsports.com/hbd/Pages/Popups/ProspectProfile.aspx?pid=13631409" TargetMode="External"/><Relationship Id="rId111" Type="http://schemas.openxmlformats.org/officeDocument/2006/relationships/hyperlink" Target="https://www.whatifsports.com/hbd/Pages/Popups/ProspectProfile.aspx?pid=13631718" TargetMode="External"/><Relationship Id="rId132" Type="http://schemas.openxmlformats.org/officeDocument/2006/relationships/hyperlink" Target="https://www.whatifsports.com/hbd/Pages/Popups/ProspectProfile.aspx?pid=13631835" TargetMode="External"/><Relationship Id="rId153" Type="http://schemas.openxmlformats.org/officeDocument/2006/relationships/hyperlink" Target="https://www.whatifsports.com/hbd/Pages/Popups/ProspectProfile.aspx?pid=13631406" TargetMode="External"/><Relationship Id="rId174" Type="http://schemas.openxmlformats.org/officeDocument/2006/relationships/hyperlink" Target="https://www.whatifsports.com/hbd/Pages/Popups/ProspectProfile.aspx?pid=13631636" TargetMode="External"/><Relationship Id="rId195" Type="http://schemas.openxmlformats.org/officeDocument/2006/relationships/hyperlink" Target="https://www.whatifsports.com/hbd/Pages/Popups/ProspectProfile.aspx?pid=13631742" TargetMode="External"/><Relationship Id="rId209" Type="http://schemas.openxmlformats.org/officeDocument/2006/relationships/hyperlink" Target="https://www.whatifsports.com/hbd/Pages/Popups/ProspectProfile.aspx?pid=13631630" TargetMode="External"/><Relationship Id="rId360" Type="http://schemas.openxmlformats.org/officeDocument/2006/relationships/hyperlink" Target="https://www.whatifsports.com/hbd/Pages/Popups/ProspectProfile.aspx?pid=13631991" TargetMode="External"/><Relationship Id="rId381" Type="http://schemas.openxmlformats.org/officeDocument/2006/relationships/hyperlink" Target="https://www.whatifsports.com/hbd/Pages/Popups/ProspectProfile.aspx?pid=13632058" TargetMode="External"/><Relationship Id="rId220" Type="http://schemas.openxmlformats.org/officeDocument/2006/relationships/hyperlink" Target="https://www.whatifsports.com/hbd/Pages/Popups/ProspectProfile.aspx?pid=13632217" TargetMode="External"/><Relationship Id="rId241" Type="http://schemas.openxmlformats.org/officeDocument/2006/relationships/hyperlink" Target="https://www.whatifsports.com/hbd/Pages/Popups/ProspectProfile.aspx?pid=13632130" TargetMode="External"/><Relationship Id="rId15" Type="http://schemas.openxmlformats.org/officeDocument/2006/relationships/hyperlink" Target="https://www.whatifsports.com/hbd/Pages/Popups/ProspectProfile.aspx?pid=13631433" TargetMode="External"/><Relationship Id="rId36" Type="http://schemas.openxmlformats.org/officeDocument/2006/relationships/hyperlink" Target="https://www.whatifsports.com/hbd/Pages/Popups/ProspectProfile.aspx?pid=13631677" TargetMode="External"/><Relationship Id="rId57" Type="http://schemas.openxmlformats.org/officeDocument/2006/relationships/hyperlink" Target="https://www.whatifsports.com/hbd/Pages/Popups/ProspectProfile.aspx?pid=13631775" TargetMode="External"/><Relationship Id="rId262" Type="http://schemas.openxmlformats.org/officeDocument/2006/relationships/hyperlink" Target="https://www.whatifsports.com/hbd/Pages/Popups/ProspectProfile.aspx?pid=13631882" TargetMode="External"/><Relationship Id="rId283" Type="http://schemas.openxmlformats.org/officeDocument/2006/relationships/hyperlink" Target="https://www.whatifsports.com/hbd/Pages/Popups/ProspectProfile.aspx?pid=13632084" TargetMode="External"/><Relationship Id="rId318" Type="http://schemas.openxmlformats.org/officeDocument/2006/relationships/hyperlink" Target="https://www.whatifsports.com/hbd/Pages/Popups/ProspectProfile.aspx?pid=13632233" TargetMode="External"/><Relationship Id="rId339" Type="http://schemas.openxmlformats.org/officeDocument/2006/relationships/hyperlink" Target="https://www.whatifsports.com/hbd/Pages/Popups/ProspectProfile.aspx?pid=13632232" TargetMode="External"/><Relationship Id="rId78" Type="http://schemas.openxmlformats.org/officeDocument/2006/relationships/hyperlink" Target="https://www.whatifsports.com/hbd/Pages/Popups/ProspectProfile.aspx?pid=13631730" TargetMode="External"/><Relationship Id="rId99" Type="http://schemas.openxmlformats.org/officeDocument/2006/relationships/hyperlink" Target="https://www.whatifsports.com/hbd/Pages/Popups/ProspectProfile.aspx?pid=13631579" TargetMode="External"/><Relationship Id="rId101" Type="http://schemas.openxmlformats.org/officeDocument/2006/relationships/hyperlink" Target="https://www.whatifsports.com/hbd/Pages/Popups/ProspectProfile.aspx?pid=13631541" TargetMode="External"/><Relationship Id="rId122" Type="http://schemas.openxmlformats.org/officeDocument/2006/relationships/hyperlink" Target="https://www.whatifsports.com/hbd/Pages/Popups/ProspectProfile.aspx?pid=13631648" TargetMode="External"/><Relationship Id="rId143" Type="http://schemas.openxmlformats.org/officeDocument/2006/relationships/hyperlink" Target="https://www.whatifsports.com/hbd/Pages/Popups/ProspectProfile.aspx?pid=13631635" TargetMode="External"/><Relationship Id="rId164" Type="http://schemas.openxmlformats.org/officeDocument/2006/relationships/hyperlink" Target="https://www.whatifsports.com/hbd/Pages/Popups/ProspectProfile.aspx?pid=13631698" TargetMode="External"/><Relationship Id="rId185" Type="http://schemas.openxmlformats.org/officeDocument/2006/relationships/hyperlink" Target="https://www.whatifsports.com/hbd/Pages/Popups/ProspectProfile.aspx?pid=13631752" TargetMode="External"/><Relationship Id="rId350" Type="http://schemas.openxmlformats.org/officeDocument/2006/relationships/hyperlink" Target="https://www.whatifsports.com/hbd/Pages/Popups/ProspectProfile.aspx?pid=13632160" TargetMode="External"/><Relationship Id="rId371" Type="http://schemas.openxmlformats.org/officeDocument/2006/relationships/hyperlink" Target="https://www.whatifsports.com/hbd/Pages/Popups/ProspectProfile.aspx?pid=13632029" TargetMode="External"/><Relationship Id="rId406" Type="http://schemas.openxmlformats.org/officeDocument/2006/relationships/hyperlink" Target="https://www.whatifsports.com/hbd/Pages/Popups/ProspectProfile.aspx?pid=13632036" TargetMode="External"/><Relationship Id="rId9" Type="http://schemas.openxmlformats.org/officeDocument/2006/relationships/hyperlink" Target="https://www.whatifsports.com/hbd/Pages/GM/AmateurDraftPlayerPool.aspx" TargetMode="External"/><Relationship Id="rId210" Type="http://schemas.openxmlformats.org/officeDocument/2006/relationships/hyperlink" Target="https://www.whatifsports.com/hbd/Pages/Popups/ProspectProfile.aspx?pid=13631630" TargetMode="External"/><Relationship Id="rId392" Type="http://schemas.openxmlformats.org/officeDocument/2006/relationships/hyperlink" Target="https://www.whatifsports.com/hbd/Pages/Popups/ProspectProfile.aspx?pid=13632205" TargetMode="External"/><Relationship Id="rId26" Type="http://schemas.openxmlformats.org/officeDocument/2006/relationships/hyperlink" Target="https://www.whatifsports.com/hbd/Pages/Popups/ProspectProfile.aspx?pid=13631714" TargetMode="External"/><Relationship Id="rId231" Type="http://schemas.openxmlformats.org/officeDocument/2006/relationships/hyperlink" Target="https://www.whatifsports.com/hbd/Pages/Popups/ProspectProfile.aspx?pid=13631900" TargetMode="External"/><Relationship Id="rId252" Type="http://schemas.openxmlformats.org/officeDocument/2006/relationships/hyperlink" Target="https://www.whatifsports.com/hbd/Pages/Popups/ProspectProfile.aspx?pid=13632224" TargetMode="External"/><Relationship Id="rId273" Type="http://schemas.openxmlformats.org/officeDocument/2006/relationships/hyperlink" Target="https://www.whatifsports.com/hbd/Pages/Popups/ProspectProfile.aspx?pid=13632035" TargetMode="External"/><Relationship Id="rId294" Type="http://schemas.openxmlformats.org/officeDocument/2006/relationships/hyperlink" Target="https://www.whatifsports.com/hbd/Pages/Popups/ProspectProfile.aspx?pid=13632229" TargetMode="External"/><Relationship Id="rId308" Type="http://schemas.openxmlformats.org/officeDocument/2006/relationships/hyperlink" Target="https://www.whatifsports.com/hbd/Pages/Popups/ProspectProfile.aspx?pid=13631910" TargetMode="External"/><Relationship Id="rId329" Type="http://schemas.openxmlformats.org/officeDocument/2006/relationships/hyperlink" Target="https://www.whatifsports.com/hbd/Pages/Popups/ProspectProfile.aspx?pid=13631945" TargetMode="External"/><Relationship Id="rId47" Type="http://schemas.openxmlformats.org/officeDocument/2006/relationships/hyperlink" Target="https://www.whatifsports.com/hbd/Pages/Popups/ProspectProfile.aspx?pid=13631672" TargetMode="External"/><Relationship Id="rId68" Type="http://schemas.openxmlformats.org/officeDocument/2006/relationships/hyperlink" Target="https://www.whatifsports.com/hbd/Pages/Popups/ProspectProfile.aspx?pid=13631725" TargetMode="External"/><Relationship Id="rId89" Type="http://schemas.openxmlformats.org/officeDocument/2006/relationships/hyperlink" Target="https://www.whatifsports.com/hbd/Pages/Popups/ProspectProfile.aspx?pid=13631601" TargetMode="External"/><Relationship Id="rId112" Type="http://schemas.openxmlformats.org/officeDocument/2006/relationships/hyperlink" Target="https://www.whatifsports.com/hbd/Pages/Popups/ProspectProfile.aspx?pid=13631718" TargetMode="External"/><Relationship Id="rId133" Type="http://schemas.openxmlformats.org/officeDocument/2006/relationships/hyperlink" Target="https://www.whatifsports.com/hbd/Pages/Popups/ProspectProfile.aspx?pid=13631650" TargetMode="External"/><Relationship Id="rId154" Type="http://schemas.openxmlformats.org/officeDocument/2006/relationships/hyperlink" Target="https://www.whatifsports.com/hbd/Pages/Popups/ProspectProfile.aspx?pid=13631406" TargetMode="External"/><Relationship Id="rId175" Type="http://schemas.openxmlformats.org/officeDocument/2006/relationships/hyperlink" Target="https://www.whatifsports.com/hbd/Pages/Popups/ProspectProfile.aspx?pid=13631713" TargetMode="External"/><Relationship Id="rId340" Type="http://schemas.openxmlformats.org/officeDocument/2006/relationships/hyperlink" Target="https://www.whatifsports.com/hbd/Pages/Popups/ProspectProfile.aspx?pid=13632232" TargetMode="External"/><Relationship Id="rId361" Type="http://schemas.openxmlformats.org/officeDocument/2006/relationships/hyperlink" Target="https://www.whatifsports.com/hbd/Pages/Popups/ProspectProfile.aspx?pid=13631904" TargetMode="External"/><Relationship Id="rId196" Type="http://schemas.openxmlformats.org/officeDocument/2006/relationships/hyperlink" Target="https://www.whatifsports.com/hbd/Pages/Popups/ProspectProfile.aspx?pid=13631742" TargetMode="External"/><Relationship Id="rId200" Type="http://schemas.openxmlformats.org/officeDocument/2006/relationships/hyperlink" Target="https://www.whatifsports.com/hbd/Pages/Popups/ProspectProfile.aspx?pid=13631518" TargetMode="External"/><Relationship Id="rId382" Type="http://schemas.openxmlformats.org/officeDocument/2006/relationships/hyperlink" Target="https://www.whatifsports.com/hbd/Pages/Popups/ProspectProfile.aspx?pid=13632058" TargetMode="External"/><Relationship Id="rId16" Type="http://schemas.openxmlformats.org/officeDocument/2006/relationships/hyperlink" Target="https://www.whatifsports.com/hbd/Pages/Popups/ProspectProfile.aspx?pid=13631433" TargetMode="External"/><Relationship Id="rId221" Type="http://schemas.openxmlformats.org/officeDocument/2006/relationships/hyperlink" Target="https://www.whatifsports.com/hbd/Pages/Popups/ProspectProfile.aspx?pid=13631780" TargetMode="External"/><Relationship Id="rId242" Type="http://schemas.openxmlformats.org/officeDocument/2006/relationships/hyperlink" Target="https://www.whatifsports.com/hbd/Pages/Popups/ProspectProfile.aspx?pid=13632130" TargetMode="External"/><Relationship Id="rId263" Type="http://schemas.openxmlformats.org/officeDocument/2006/relationships/hyperlink" Target="https://www.whatifsports.com/hbd/Pages/Popups/ProspectProfile.aspx?pid=13632104" TargetMode="External"/><Relationship Id="rId284" Type="http://schemas.openxmlformats.org/officeDocument/2006/relationships/hyperlink" Target="https://www.whatifsports.com/hbd/Pages/Popups/ProspectProfile.aspx?pid=13632084" TargetMode="External"/><Relationship Id="rId319" Type="http://schemas.openxmlformats.org/officeDocument/2006/relationships/hyperlink" Target="https://www.whatifsports.com/hbd/Pages/Popups/ProspectProfile.aspx?pid=13631844" TargetMode="External"/><Relationship Id="rId37" Type="http://schemas.openxmlformats.org/officeDocument/2006/relationships/hyperlink" Target="https://www.whatifsports.com/hbd/Pages/Popups/ProspectProfile.aspx?pid=13631767" TargetMode="External"/><Relationship Id="rId58" Type="http://schemas.openxmlformats.org/officeDocument/2006/relationships/hyperlink" Target="https://www.whatifsports.com/hbd/Pages/Popups/ProspectProfile.aspx?pid=13631775" TargetMode="External"/><Relationship Id="rId79" Type="http://schemas.openxmlformats.org/officeDocument/2006/relationships/hyperlink" Target="https://www.whatifsports.com/hbd/Pages/Popups/ProspectProfile.aspx?pid=13631583" TargetMode="External"/><Relationship Id="rId102" Type="http://schemas.openxmlformats.org/officeDocument/2006/relationships/hyperlink" Target="https://www.whatifsports.com/hbd/Pages/Popups/ProspectProfile.aspx?pid=13631541" TargetMode="External"/><Relationship Id="rId123" Type="http://schemas.openxmlformats.org/officeDocument/2006/relationships/hyperlink" Target="https://www.whatifsports.com/hbd/Pages/Popups/ProspectProfile.aspx?pid=13631526" TargetMode="External"/><Relationship Id="rId144" Type="http://schemas.openxmlformats.org/officeDocument/2006/relationships/hyperlink" Target="https://www.whatifsports.com/hbd/Pages/Popups/ProspectProfile.aspx?pid=13631635" TargetMode="External"/><Relationship Id="rId330" Type="http://schemas.openxmlformats.org/officeDocument/2006/relationships/hyperlink" Target="https://www.whatifsports.com/hbd/Pages/Popups/ProspectProfile.aspx?pid=13631945" TargetMode="External"/><Relationship Id="rId90" Type="http://schemas.openxmlformats.org/officeDocument/2006/relationships/hyperlink" Target="https://www.whatifsports.com/hbd/Pages/Popups/ProspectProfile.aspx?pid=13631601" TargetMode="External"/><Relationship Id="rId165" Type="http://schemas.openxmlformats.org/officeDocument/2006/relationships/hyperlink" Target="https://www.whatifsports.com/hbd/Pages/Popups/ProspectProfile.aspx?pid=13631703" TargetMode="External"/><Relationship Id="rId186" Type="http://schemas.openxmlformats.org/officeDocument/2006/relationships/hyperlink" Target="https://www.whatifsports.com/hbd/Pages/Popups/ProspectProfile.aspx?pid=13631752" TargetMode="External"/><Relationship Id="rId351" Type="http://schemas.openxmlformats.org/officeDocument/2006/relationships/hyperlink" Target="https://www.whatifsports.com/hbd/Pages/Popups/ProspectProfile.aspx?pid=13631860" TargetMode="External"/><Relationship Id="rId372" Type="http://schemas.openxmlformats.org/officeDocument/2006/relationships/hyperlink" Target="https://www.whatifsports.com/hbd/Pages/Popups/ProspectProfile.aspx?pid=13632029" TargetMode="External"/><Relationship Id="rId393" Type="http://schemas.openxmlformats.org/officeDocument/2006/relationships/hyperlink" Target="https://www.whatifsports.com/hbd/Pages/Popups/ProspectProfile.aspx?pid=13631968" TargetMode="External"/><Relationship Id="rId407" Type="http://schemas.openxmlformats.org/officeDocument/2006/relationships/hyperlink" Target="https://www.whatifsports.com/hbd/Pages/Popups/ProspectProfile.aspx?pid=13631946" TargetMode="External"/><Relationship Id="rId211" Type="http://schemas.openxmlformats.org/officeDocument/2006/relationships/hyperlink" Target="https://www.whatifsports.com/hbd/Pages/Popups/ProspectProfile.aspx?pid=13632221" TargetMode="External"/><Relationship Id="rId232" Type="http://schemas.openxmlformats.org/officeDocument/2006/relationships/hyperlink" Target="https://www.whatifsports.com/hbd/Pages/Popups/ProspectProfile.aspx?pid=13631900" TargetMode="External"/><Relationship Id="rId253" Type="http://schemas.openxmlformats.org/officeDocument/2006/relationships/hyperlink" Target="https://www.whatifsports.com/hbd/Pages/Popups/ProspectProfile.aspx?pid=13632154" TargetMode="External"/><Relationship Id="rId274" Type="http://schemas.openxmlformats.org/officeDocument/2006/relationships/hyperlink" Target="https://www.whatifsports.com/hbd/Pages/Popups/ProspectProfile.aspx?pid=13632035" TargetMode="External"/><Relationship Id="rId295" Type="http://schemas.openxmlformats.org/officeDocument/2006/relationships/hyperlink" Target="https://www.whatifsports.com/hbd/Pages/Popups/ProspectProfile.aspx?pid=13631871" TargetMode="External"/><Relationship Id="rId309" Type="http://schemas.openxmlformats.org/officeDocument/2006/relationships/hyperlink" Target="https://www.whatifsports.com/hbd/Pages/Popups/ProspectProfile.aspx?pid=13632099" TargetMode="External"/><Relationship Id="rId27" Type="http://schemas.openxmlformats.org/officeDocument/2006/relationships/hyperlink" Target="https://www.whatifsports.com/hbd/Pages/Popups/ProspectProfile.aspx?pid=13631607" TargetMode="External"/><Relationship Id="rId48" Type="http://schemas.openxmlformats.org/officeDocument/2006/relationships/hyperlink" Target="https://www.whatifsports.com/hbd/Pages/Popups/ProspectProfile.aspx?pid=13631672" TargetMode="External"/><Relationship Id="rId69" Type="http://schemas.openxmlformats.org/officeDocument/2006/relationships/hyperlink" Target="https://www.whatifsports.com/hbd/Pages/Popups/ProspectProfile.aspx?pid=13631768" TargetMode="External"/><Relationship Id="rId113" Type="http://schemas.openxmlformats.org/officeDocument/2006/relationships/hyperlink" Target="https://www.whatifsports.com/hbd/Pages/Popups/ProspectProfile.aspx?pid=13631699" TargetMode="External"/><Relationship Id="rId134" Type="http://schemas.openxmlformats.org/officeDocument/2006/relationships/hyperlink" Target="https://www.whatifsports.com/hbd/Pages/Popups/ProspectProfile.aspx?pid=13631650" TargetMode="External"/><Relationship Id="rId320" Type="http://schemas.openxmlformats.org/officeDocument/2006/relationships/hyperlink" Target="https://www.whatifsports.com/hbd/Pages/Popups/ProspectProfile.aspx?pid=13631844" TargetMode="External"/><Relationship Id="rId80" Type="http://schemas.openxmlformats.org/officeDocument/2006/relationships/hyperlink" Target="https://www.whatifsports.com/hbd/Pages/Popups/ProspectProfile.aspx?pid=13631583" TargetMode="External"/><Relationship Id="rId155" Type="http://schemas.openxmlformats.org/officeDocument/2006/relationships/hyperlink" Target="https://www.whatifsports.com/hbd/Pages/Popups/ProspectProfile.aspx?pid=13631514" TargetMode="External"/><Relationship Id="rId176" Type="http://schemas.openxmlformats.org/officeDocument/2006/relationships/hyperlink" Target="https://www.whatifsports.com/hbd/Pages/Popups/ProspectProfile.aspx?pid=13631713" TargetMode="External"/><Relationship Id="rId197" Type="http://schemas.openxmlformats.org/officeDocument/2006/relationships/hyperlink" Target="https://www.whatifsports.com/hbd/Pages/Popups/ProspectProfile.aspx?pid=13631442" TargetMode="External"/><Relationship Id="rId341" Type="http://schemas.openxmlformats.org/officeDocument/2006/relationships/hyperlink" Target="https://www.whatifsports.com/hbd/Pages/Popups/ProspectProfile.aspx?pid=13632223" TargetMode="External"/><Relationship Id="rId362" Type="http://schemas.openxmlformats.org/officeDocument/2006/relationships/hyperlink" Target="https://www.whatifsports.com/hbd/Pages/Popups/ProspectProfile.aspx?pid=13631904" TargetMode="External"/><Relationship Id="rId383" Type="http://schemas.openxmlformats.org/officeDocument/2006/relationships/hyperlink" Target="https://www.whatifsports.com/hbd/Pages/Popups/ProspectProfile.aspx?pid=13632199" TargetMode="External"/><Relationship Id="rId201" Type="http://schemas.openxmlformats.org/officeDocument/2006/relationships/hyperlink" Target="https://www.whatifsports.com/hbd/Pages/Popups/ProspectProfile.aspx?pid=13631939" TargetMode="External"/><Relationship Id="rId222" Type="http://schemas.openxmlformats.org/officeDocument/2006/relationships/hyperlink" Target="https://www.whatifsports.com/hbd/Pages/Popups/ProspectProfile.aspx?pid=13631780" TargetMode="External"/><Relationship Id="rId243" Type="http://schemas.openxmlformats.org/officeDocument/2006/relationships/hyperlink" Target="https://www.whatifsports.com/hbd/Pages/Popups/ProspectProfile.aspx?pid=13632115" TargetMode="External"/><Relationship Id="rId264" Type="http://schemas.openxmlformats.org/officeDocument/2006/relationships/hyperlink" Target="https://www.whatifsports.com/hbd/Pages/Popups/ProspectProfile.aspx?pid=13632104" TargetMode="External"/><Relationship Id="rId285" Type="http://schemas.openxmlformats.org/officeDocument/2006/relationships/hyperlink" Target="https://www.whatifsports.com/hbd/Pages/Popups/ProspectProfile.aspx?pid=13631994" TargetMode="External"/><Relationship Id="rId17" Type="http://schemas.openxmlformats.org/officeDocument/2006/relationships/hyperlink" Target="https://www.whatifsports.com/hbd/Pages/Popups/ProspectProfile.aspx?pid=13631497" TargetMode="External"/><Relationship Id="rId38" Type="http://schemas.openxmlformats.org/officeDocument/2006/relationships/hyperlink" Target="https://www.whatifsports.com/hbd/Pages/Popups/ProspectProfile.aspx?pid=13631767" TargetMode="External"/><Relationship Id="rId59" Type="http://schemas.openxmlformats.org/officeDocument/2006/relationships/hyperlink" Target="https://www.whatifsports.com/hbd/Pages/Popups/ProspectProfile.aspx?pid=13631585" TargetMode="External"/><Relationship Id="rId103" Type="http://schemas.openxmlformats.org/officeDocument/2006/relationships/hyperlink" Target="https://www.whatifsports.com/hbd/Pages/Popups/ProspectProfile.aspx?pid=13631610" TargetMode="External"/><Relationship Id="rId124" Type="http://schemas.openxmlformats.org/officeDocument/2006/relationships/hyperlink" Target="https://www.whatifsports.com/hbd/Pages/Popups/ProspectProfile.aspx?pid=13631526" TargetMode="External"/><Relationship Id="rId310" Type="http://schemas.openxmlformats.org/officeDocument/2006/relationships/hyperlink" Target="https://www.whatifsports.com/hbd/Pages/Popups/ProspectProfile.aspx?pid=13632099" TargetMode="External"/><Relationship Id="rId70" Type="http://schemas.openxmlformats.org/officeDocument/2006/relationships/hyperlink" Target="https://www.whatifsports.com/hbd/Pages/Popups/ProspectProfile.aspx?pid=13631768" TargetMode="External"/><Relationship Id="rId91" Type="http://schemas.openxmlformats.org/officeDocument/2006/relationships/hyperlink" Target="https://www.whatifsports.com/hbd/Pages/Popups/ProspectProfile.aspx?pid=13631838" TargetMode="External"/><Relationship Id="rId145" Type="http://schemas.openxmlformats.org/officeDocument/2006/relationships/hyperlink" Target="https://www.whatifsports.com/hbd/Pages/Popups/ProspectProfile.aspx?pid=13631457" TargetMode="External"/><Relationship Id="rId166" Type="http://schemas.openxmlformats.org/officeDocument/2006/relationships/hyperlink" Target="https://www.whatifsports.com/hbd/Pages/Popups/ProspectProfile.aspx?pid=13631703" TargetMode="External"/><Relationship Id="rId187" Type="http://schemas.openxmlformats.org/officeDocument/2006/relationships/hyperlink" Target="https://www.whatifsports.com/hbd/Pages/Popups/ProspectProfile.aspx?pid=13631435" TargetMode="External"/><Relationship Id="rId331" Type="http://schemas.openxmlformats.org/officeDocument/2006/relationships/hyperlink" Target="https://www.whatifsports.com/hbd/Pages/Popups/ProspectProfile.aspx?pid=13632131" TargetMode="External"/><Relationship Id="rId352" Type="http://schemas.openxmlformats.org/officeDocument/2006/relationships/hyperlink" Target="https://www.whatifsports.com/hbd/Pages/Popups/ProspectProfile.aspx?pid=13631860" TargetMode="External"/><Relationship Id="rId373" Type="http://schemas.openxmlformats.org/officeDocument/2006/relationships/hyperlink" Target="https://www.whatifsports.com/hbd/Pages/Popups/ProspectProfile.aspx?pid=13631914" TargetMode="External"/><Relationship Id="rId394" Type="http://schemas.openxmlformats.org/officeDocument/2006/relationships/hyperlink" Target="https://www.whatifsports.com/hbd/Pages/Popups/ProspectProfile.aspx?pid=13631968" TargetMode="External"/><Relationship Id="rId408" Type="http://schemas.openxmlformats.org/officeDocument/2006/relationships/hyperlink" Target="https://www.whatifsports.com/hbd/Pages/Popups/ProspectProfile.aspx?pid=13631946" TargetMode="External"/><Relationship Id="rId1" Type="http://schemas.openxmlformats.org/officeDocument/2006/relationships/hyperlink" Target="https://www.whatifsports.com/hbd/Pages/GM/AmateurDraftPlayerPool.aspx" TargetMode="External"/><Relationship Id="rId212" Type="http://schemas.openxmlformats.org/officeDocument/2006/relationships/hyperlink" Target="https://www.whatifsports.com/hbd/Pages/Popups/ProspectProfile.aspx?pid=13632221" TargetMode="External"/><Relationship Id="rId233" Type="http://schemas.openxmlformats.org/officeDocument/2006/relationships/hyperlink" Target="https://www.whatifsports.com/hbd/Pages/Popups/ProspectProfile.aspx?pid=13631516" TargetMode="External"/><Relationship Id="rId254" Type="http://schemas.openxmlformats.org/officeDocument/2006/relationships/hyperlink" Target="https://www.whatifsports.com/hbd/Pages/Popups/ProspectProfile.aspx?pid=13632154" TargetMode="External"/><Relationship Id="rId28" Type="http://schemas.openxmlformats.org/officeDocument/2006/relationships/hyperlink" Target="https://www.whatifsports.com/hbd/Pages/Popups/ProspectProfile.aspx?pid=13631607" TargetMode="External"/><Relationship Id="rId49" Type="http://schemas.openxmlformats.org/officeDocument/2006/relationships/hyperlink" Target="https://www.whatifsports.com/hbd/Pages/Popups/ProspectProfile.aspx?pid=13631678" TargetMode="External"/><Relationship Id="rId114" Type="http://schemas.openxmlformats.org/officeDocument/2006/relationships/hyperlink" Target="https://www.whatifsports.com/hbd/Pages/Popups/ProspectProfile.aspx?pid=13631699" TargetMode="External"/><Relationship Id="rId275" Type="http://schemas.openxmlformats.org/officeDocument/2006/relationships/hyperlink" Target="https://www.whatifsports.com/hbd/Pages/Popups/ProspectProfile.aspx?pid=13631989" TargetMode="External"/><Relationship Id="rId296" Type="http://schemas.openxmlformats.org/officeDocument/2006/relationships/hyperlink" Target="https://www.whatifsports.com/hbd/Pages/Popups/ProspectProfile.aspx?pid=13631871" TargetMode="External"/><Relationship Id="rId300" Type="http://schemas.openxmlformats.org/officeDocument/2006/relationships/hyperlink" Target="https://www.whatifsports.com/hbd/Pages/Popups/ProspectProfile.aspx?pid=13631963" TargetMode="External"/><Relationship Id="rId60" Type="http://schemas.openxmlformats.org/officeDocument/2006/relationships/hyperlink" Target="https://www.whatifsports.com/hbd/Pages/Popups/ProspectProfile.aspx?pid=13631585" TargetMode="External"/><Relationship Id="rId81" Type="http://schemas.openxmlformats.org/officeDocument/2006/relationships/hyperlink" Target="https://www.whatifsports.com/hbd/Pages/Popups/ProspectProfile.aspx?pid=13631552" TargetMode="External"/><Relationship Id="rId135" Type="http://schemas.openxmlformats.org/officeDocument/2006/relationships/hyperlink" Target="https://www.whatifsports.com/hbd/Pages/Popups/ProspectProfile.aspx?pid=13631482" TargetMode="External"/><Relationship Id="rId156" Type="http://schemas.openxmlformats.org/officeDocument/2006/relationships/hyperlink" Target="https://www.whatifsports.com/hbd/Pages/Popups/ProspectProfile.aspx?pid=13631514" TargetMode="External"/><Relationship Id="rId177" Type="http://schemas.openxmlformats.org/officeDocument/2006/relationships/hyperlink" Target="https://www.whatifsports.com/hbd/Pages/Popups/ProspectProfile.aspx?pid=13631803" TargetMode="External"/><Relationship Id="rId198" Type="http://schemas.openxmlformats.org/officeDocument/2006/relationships/hyperlink" Target="https://www.whatifsports.com/hbd/Pages/Popups/ProspectProfile.aspx?pid=13631442" TargetMode="External"/><Relationship Id="rId321" Type="http://schemas.openxmlformats.org/officeDocument/2006/relationships/hyperlink" Target="https://www.whatifsports.com/hbd/Pages/Popups/ProspectProfile.aspx?pid=13632052" TargetMode="External"/><Relationship Id="rId342" Type="http://schemas.openxmlformats.org/officeDocument/2006/relationships/hyperlink" Target="https://www.whatifsports.com/hbd/Pages/Popups/ProspectProfile.aspx?pid=13632223" TargetMode="External"/><Relationship Id="rId363" Type="http://schemas.openxmlformats.org/officeDocument/2006/relationships/hyperlink" Target="https://www.whatifsports.com/hbd/Pages/Popups/ProspectProfile.aspx?pid=13632116" TargetMode="External"/><Relationship Id="rId384" Type="http://schemas.openxmlformats.org/officeDocument/2006/relationships/hyperlink" Target="https://www.whatifsports.com/hbd/Pages/Popups/ProspectProfile.aspx?pid=13632199" TargetMode="External"/><Relationship Id="rId202" Type="http://schemas.openxmlformats.org/officeDocument/2006/relationships/hyperlink" Target="https://www.whatifsports.com/hbd/Pages/Popups/ProspectProfile.aspx?pid=13631939" TargetMode="External"/><Relationship Id="rId223" Type="http://schemas.openxmlformats.org/officeDocument/2006/relationships/hyperlink" Target="https://www.whatifsports.com/hbd/Pages/Popups/ProspectProfile.aspx?pid=13632238" TargetMode="External"/><Relationship Id="rId244" Type="http://schemas.openxmlformats.org/officeDocument/2006/relationships/hyperlink" Target="https://www.whatifsports.com/hbd/Pages/Popups/ProspectProfile.aspx?pid=13632115" TargetMode="External"/><Relationship Id="rId18" Type="http://schemas.openxmlformats.org/officeDocument/2006/relationships/hyperlink" Target="https://www.whatifsports.com/hbd/Pages/Popups/ProspectProfile.aspx?pid=13631497" TargetMode="External"/><Relationship Id="rId39" Type="http://schemas.openxmlformats.org/officeDocument/2006/relationships/hyperlink" Target="https://www.whatifsports.com/hbd/Pages/Popups/ProspectProfile.aspx?pid=13631772" TargetMode="External"/><Relationship Id="rId265" Type="http://schemas.openxmlformats.org/officeDocument/2006/relationships/hyperlink" Target="https://www.whatifsports.com/hbd/Pages/Popups/ProspectProfile.aspx?pid=13632001" TargetMode="External"/><Relationship Id="rId286" Type="http://schemas.openxmlformats.org/officeDocument/2006/relationships/hyperlink" Target="https://www.whatifsports.com/hbd/Pages/Popups/ProspectProfile.aspx?pid=13631994" TargetMode="External"/><Relationship Id="rId50" Type="http://schemas.openxmlformats.org/officeDocument/2006/relationships/hyperlink" Target="https://www.whatifsports.com/hbd/Pages/Popups/ProspectProfile.aspx?pid=13631678" TargetMode="External"/><Relationship Id="rId104" Type="http://schemas.openxmlformats.org/officeDocument/2006/relationships/hyperlink" Target="https://www.whatifsports.com/hbd/Pages/Popups/ProspectProfile.aspx?pid=13631610" TargetMode="External"/><Relationship Id="rId125" Type="http://schemas.openxmlformats.org/officeDocument/2006/relationships/hyperlink" Target="https://www.whatifsports.com/hbd/Pages/Popups/ProspectProfile.aspx?pid=13631468" TargetMode="External"/><Relationship Id="rId146" Type="http://schemas.openxmlformats.org/officeDocument/2006/relationships/hyperlink" Target="https://www.whatifsports.com/hbd/Pages/Popups/ProspectProfile.aspx?pid=13631457" TargetMode="External"/><Relationship Id="rId167" Type="http://schemas.openxmlformats.org/officeDocument/2006/relationships/hyperlink" Target="https://www.whatifsports.com/hbd/Pages/Popups/ProspectProfile.aspx?pid=13631565" TargetMode="External"/><Relationship Id="rId188" Type="http://schemas.openxmlformats.org/officeDocument/2006/relationships/hyperlink" Target="https://www.whatifsports.com/hbd/Pages/Popups/ProspectProfile.aspx?pid=13631435" TargetMode="External"/><Relationship Id="rId311" Type="http://schemas.openxmlformats.org/officeDocument/2006/relationships/hyperlink" Target="https://www.whatifsports.com/hbd/Pages/Popups/ProspectProfile.aspx?pid=13632107" TargetMode="External"/><Relationship Id="rId332" Type="http://schemas.openxmlformats.org/officeDocument/2006/relationships/hyperlink" Target="https://www.whatifsports.com/hbd/Pages/Popups/ProspectProfile.aspx?pid=13632131" TargetMode="External"/><Relationship Id="rId353" Type="http://schemas.openxmlformats.org/officeDocument/2006/relationships/hyperlink" Target="https://www.whatifsports.com/hbd/Pages/Popups/ProspectProfile.aspx?pid=13632208" TargetMode="External"/><Relationship Id="rId374" Type="http://schemas.openxmlformats.org/officeDocument/2006/relationships/hyperlink" Target="https://www.whatifsports.com/hbd/Pages/Popups/ProspectProfile.aspx?pid=13631914" TargetMode="External"/><Relationship Id="rId395" Type="http://schemas.openxmlformats.org/officeDocument/2006/relationships/hyperlink" Target="https://www.whatifsports.com/hbd/Pages/Popups/ProspectProfile.aspx?pid=13631952" TargetMode="External"/><Relationship Id="rId409" Type="http://schemas.openxmlformats.org/officeDocument/2006/relationships/hyperlink" Target="https://www.whatifsports.com/hbd/Pages/Popups/ProspectProfile.aspx?pid=13632156" TargetMode="External"/><Relationship Id="rId71" Type="http://schemas.openxmlformats.org/officeDocument/2006/relationships/hyperlink" Target="https://www.whatifsports.com/hbd/Pages/Popups/ProspectProfile.aspx?pid=13631617" TargetMode="External"/><Relationship Id="rId92" Type="http://schemas.openxmlformats.org/officeDocument/2006/relationships/hyperlink" Target="https://www.whatifsports.com/hbd/Pages/Popups/ProspectProfile.aspx?pid=13631838" TargetMode="External"/><Relationship Id="rId213" Type="http://schemas.openxmlformats.org/officeDocument/2006/relationships/hyperlink" Target="https://www.whatifsports.com/hbd/Pages/Popups/ProspectProfile.aspx?pid=13631680" TargetMode="External"/><Relationship Id="rId234" Type="http://schemas.openxmlformats.org/officeDocument/2006/relationships/hyperlink" Target="https://www.whatifsports.com/hbd/Pages/Popups/ProspectProfile.aspx?pid=13631516" TargetMode="External"/><Relationship Id="rId2" Type="http://schemas.openxmlformats.org/officeDocument/2006/relationships/hyperlink" Target="https://www.whatifsports.com/hbd/Pages/GM/AmateurDraftPlayerPool.aspx" TargetMode="External"/><Relationship Id="rId29" Type="http://schemas.openxmlformats.org/officeDocument/2006/relationships/hyperlink" Target="https://www.whatifsports.com/hbd/Pages/Popups/ProspectProfile.aspx?pid=13631505" TargetMode="External"/><Relationship Id="rId255" Type="http://schemas.openxmlformats.org/officeDocument/2006/relationships/hyperlink" Target="https://www.whatifsports.com/hbd/Pages/Popups/ProspectProfile.aspx?pid=13632169" TargetMode="External"/><Relationship Id="rId276" Type="http://schemas.openxmlformats.org/officeDocument/2006/relationships/hyperlink" Target="https://www.whatifsports.com/hbd/Pages/Popups/ProspectProfile.aspx?pid=13631989" TargetMode="External"/><Relationship Id="rId297" Type="http://schemas.openxmlformats.org/officeDocument/2006/relationships/hyperlink" Target="https://www.whatifsports.com/hbd/Pages/Popups/ProspectProfile.aspx?pid=13632216" TargetMode="External"/><Relationship Id="rId40" Type="http://schemas.openxmlformats.org/officeDocument/2006/relationships/hyperlink" Target="https://www.whatifsports.com/hbd/Pages/Popups/ProspectProfile.aspx?pid=13631772" TargetMode="External"/><Relationship Id="rId115" Type="http://schemas.openxmlformats.org/officeDocument/2006/relationships/hyperlink" Target="https://www.whatifsports.com/hbd/Pages/Popups/ProspectProfile.aspx?pid=13631584" TargetMode="External"/><Relationship Id="rId136" Type="http://schemas.openxmlformats.org/officeDocument/2006/relationships/hyperlink" Target="https://www.whatifsports.com/hbd/Pages/Popups/ProspectProfile.aspx?pid=13631482" TargetMode="External"/><Relationship Id="rId157" Type="http://schemas.openxmlformats.org/officeDocument/2006/relationships/hyperlink" Target="https://www.whatifsports.com/hbd/Pages/Popups/ProspectProfile.aspx?pid=13631716" TargetMode="External"/><Relationship Id="rId178" Type="http://schemas.openxmlformats.org/officeDocument/2006/relationships/hyperlink" Target="https://www.whatifsports.com/hbd/Pages/Popups/ProspectProfile.aspx?pid=13631803" TargetMode="External"/><Relationship Id="rId301" Type="http://schemas.openxmlformats.org/officeDocument/2006/relationships/hyperlink" Target="https://www.whatifsports.com/hbd/Pages/Popups/ProspectProfile.aspx?pid=13632168" TargetMode="External"/><Relationship Id="rId322" Type="http://schemas.openxmlformats.org/officeDocument/2006/relationships/hyperlink" Target="https://www.whatifsports.com/hbd/Pages/Popups/ProspectProfile.aspx?pid=13632052" TargetMode="External"/><Relationship Id="rId343" Type="http://schemas.openxmlformats.org/officeDocument/2006/relationships/hyperlink" Target="https://www.whatifsports.com/hbd/Pages/Popups/ProspectProfile.aspx?pid=13631875" TargetMode="External"/><Relationship Id="rId364" Type="http://schemas.openxmlformats.org/officeDocument/2006/relationships/hyperlink" Target="https://www.whatifsports.com/hbd/Pages/Popups/ProspectProfile.aspx?pid=13632116" TargetMode="External"/><Relationship Id="rId61" Type="http://schemas.openxmlformats.org/officeDocument/2006/relationships/hyperlink" Target="https://www.whatifsports.com/hbd/Pages/Popups/ProspectProfile.aspx?pid=13631833" TargetMode="External"/><Relationship Id="rId82" Type="http://schemas.openxmlformats.org/officeDocument/2006/relationships/hyperlink" Target="https://www.whatifsports.com/hbd/Pages/Popups/ProspectProfile.aspx?pid=13631552" TargetMode="External"/><Relationship Id="rId199" Type="http://schemas.openxmlformats.org/officeDocument/2006/relationships/hyperlink" Target="https://www.whatifsports.com/hbd/Pages/Popups/ProspectProfile.aspx?pid=13631518" TargetMode="External"/><Relationship Id="rId203" Type="http://schemas.openxmlformats.org/officeDocument/2006/relationships/hyperlink" Target="https://www.whatifsports.com/hbd/Pages/Popups/ProspectProfile.aspx?pid=13631849" TargetMode="External"/><Relationship Id="rId385" Type="http://schemas.openxmlformats.org/officeDocument/2006/relationships/hyperlink" Target="https://www.whatifsports.com/hbd/Pages/Popups/ProspectProfile.aspx?pid=13632022" TargetMode="External"/><Relationship Id="rId19" Type="http://schemas.openxmlformats.org/officeDocument/2006/relationships/hyperlink" Target="https://www.whatifsports.com/hbd/Pages/Popups/ProspectProfile.aspx?pid=13631500" TargetMode="External"/><Relationship Id="rId224" Type="http://schemas.openxmlformats.org/officeDocument/2006/relationships/hyperlink" Target="https://www.whatifsports.com/hbd/Pages/Popups/ProspectProfile.aspx?pid=13632238" TargetMode="External"/><Relationship Id="rId245" Type="http://schemas.openxmlformats.org/officeDocument/2006/relationships/hyperlink" Target="https://www.whatifsports.com/hbd/Pages/Popups/ProspectProfile.aspx?pid=13632123" TargetMode="External"/><Relationship Id="rId266" Type="http://schemas.openxmlformats.org/officeDocument/2006/relationships/hyperlink" Target="https://www.whatifsports.com/hbd/Pages/Popups/ProspectProfile.aspx?pid=13632001" TargetMode="External"/><Relationship Id="rId287" Type="http://schemas.openxmlformats.org/officeDocument/2006/relationships/hyperlink" Target="https://www.whatifsports.com/hbd/Pages/Popups/ProspectProfile.aspx?pid=13632075" TargetMode="External"/><Relationship Id="rId410" Type="http://schemas.openxmlformats.org/officeDocument/2006/relationships/hyperlink" Target="https://www.whatifsports.com/hbd/Pages/Popups/ProspectProfile.aspx?pid=13632156" TargetMode="External"/><Relationship Id="rId30" Type="http://schemas.openxmlformats.org/officeDocument/2006/relationships/hyperlink" Target="https://www.whatifsports.com/hbd/Pages/Popups/ProspectProfile.aspx?pid=13631505" TargetMode="External"/><Relationship Id="rId105" Type="http://schemas.openxmlformats.org/officeDocument/2006/relationships/hyperlink" Target="https://www.whatifsports.com/hbd/Pages/Popups/ProspectProfile.aspx?pid=13631414" TargetMode="External"/><Relationship Id="rId126" Type="http://schemas.openxmlformats.org/officeDocument/2006/relationships/hyperlink" Target="https://www.whatifsports.com/hbd/Pages/Popups/ProspectProfile.aspx?pid=13631468" TargetMode="External"/><Relationship Id="rId147" Type="http://schemas.openxmlformats.org/officeDocument/2006/relationships/hyperlink" Target="https://www.whatifsports.com/hbd/Pages/Popups/ProspectProfile.aspx?pid=13631576" TargetMode="External"/><Relationship Id="rId168" Type="http://schemas.openxmlformats.org/officeDocument/2006/relationships/hyperlink" Target="https://www.whatifsports.com/hbd/Pages/Popups/ProspectProfile.aspx?pid=13631565" TargetMode="External"/><Relationship Id="rId312" Type="http://schemas.openxmlformats.org/officeDocument/2006/relationships/hyperlink" Target="https://www.whatifsports.com/hbd/Pages/Popups/ProspectProfile.aspx?pid=13632107" TargetMode="External"/><Relationship Id="rId333" Type="http://schemas.openxmlformats.org/officeDocument/2006/relationships/hyperlink" Target="https://www.whatifsports.com/hbd/Pages/Popups/ProspectProfile.aspx?pid=13632201" TargetMode="External"/><Relationship Id="rId354" Type="http://schemas.openxmlformats.org/officeDocument/2006/relationships/hyperlink" Target="https://www.whatifsports.com/hbd/Pages/Popups/ProspectProfile.aspx?pid=13632208" TargetMode="External"/><Relationship Id="rId51" Type="http://schemas.openxmlformats.org/officeDocument/2006/relationships/hyperlink" Target="https://www.whatifsports.com/hbd/Pages/Popups/ProspectProfile.aspx?pid=13631667" TargetMode="External"/><Relationship Id="rId72" Type="http://schemas.openxmlformats.org/officeDocument/2006/relationships/hyperlink" Target="https://www.whatifsports.com/hbd/Pages/Popups/ProspectProfile.aspx?pid=13631617" TargetMode="External"/><Relationship Id="rId93" Type="http://schemas.openxmlformats.org/officeDocument/2006/relationships/hyperlink" Target="https://www.whatifsports.com/hbd/Pages/Popups/ProspectProfile.aspx?pid=13631839" TargetMode="External"/><Relationship Id="rId189" Type="http://schemas.openxmlformats.org/officeDocument/2006/relationships/hyperlink" Target="https://www.whatifsports.com/hbd/Pages/Popups/ProspectProfile.aspx?pid=13632013" TargetMode="External"/><Relationship Id="rId375" Type="http://schemas.openxmlformats.org/officeDocument/2006/relationships/hyperlink" Target="https://www.whatifsports.com/hbd/Pages/Popups/ProspectProfile.aspx?pid=13631853" TargetMode="External"/><Relationship Id="rId396" Type="http://schemas.openxmlformats.org/officeDocument/2006/relationships/hyperlink" Target="https://www.whatifsports.com/hbd/Pages/Popups/ProspectProfile.aspx?pid=13631952" TargetMode="External"/><Relationship Id="rId3" Type="http://schemas.openxmlformats.org/officeDocument/2006/relationships/hyperlink" Target="https://www.whatifsports.com/hbd/Pages/GM/AmateurDraftPlayerPool.aspx" TargetMode="External"/><Relationship Id="rId214" Type="http://schemas.openxmlformats.org/officeDocument/2006/relationships/hyperlink" Target="https://www.whatifsports.com/hbd/Pages/Popups/ProspectProfile.aspx?pid=13631680" TargetMode="External"/><Relationship Id="rId235" Type="http://schemas.openxmlformats.org/officeDocument/2006/relationships/hyperlink" Target="https://www.whatifsports.com/hbd/Pages/Popups/ProspectProfile.aspx?pid=13632087" TargetMode="External"/><Relationship Id="rId256" Type="http://schemas.openxmlformats.org/officeDocument/2006/relationships/hyperlink" Target="https://www.whatifsports.com/hbd/Pages/Popups/ProspectProfile.aspx?pid=13632169" TargetMode="External"/><Relationship Id="rId277" Type="http://schemas.openxmlformats.org/officeDocument/2006/relationships/hyperlink" Target="https://www.whatifsports.com/hbd/Pages/Popups/ProspectProfile.aspx?pid=13632237" TargetMode="External"/><Relationship Id="rId298" Type="http://schemas.openxmlformats.org/officeDocument/2006/relationships/hyperlink" Target="https://www.whatifsports.com/hbd/Pages/Popups/ProspectProfile.aspx?pid=13632216" TargetMode="External"/><Relationship Id="rId400" Type="http://schemas.openxmlformats.org/officeDocument/2006/relationships/hyperlink" Target="https://www.whatifsports.com/hbd/Pages/Popups/ProspectProfile.aspx?pid=13632236" TargetMode="External"/><Relationship Id="rId116" Type="http://schemas.openxmlformats.org/officeDocument/2006/relationships/hyperlink" Target="https://www.whatifsports.com/hbd/Pages/Popups/ProspectProfile.aspx?pid=13631584" TargetMode="External"/><Relationship Id="rId137" Type="http://schemas.openxmlformats.org/officeDocument/2006/relationships/hyperlink" Target="https://www.whatifsports.com/hbd/Pages/Popups/ProspectProfile.aspx?pid=13631814" TargetMode="External"/><Relationship Id="rId158" Type="http://schemas.openxmlformats.org/officeDocument/2006/relationships/hyperlink" Target="https://www.whatifsports.com/hbd/Pages/Popups/ProspectProfile.aspx?pid=13631716" TargetMode="External"/><Relationship Id="rId302" Type="http://schemas.openxmlformats.org/officeDocument/2006/relationships/hyperlink" Target="https://www.whatifsports.com/hbd/Pages/Popups/ProspectProfile.aspx?pid=13632168" TargetMode="External"/><Relationship Id="rId323" Type="http://schemas.openxmlformats.org/officeDocument/2006/relationships/hyperlink" Target="https://www.whatifsports.com/hbd/Pages/Popups/ProspectProfile.aspx?pid=13632066" TargetMode="External"/><Relationship Id="rId344" Type="http://schemas.openxmlformats.org/officeDocument/2006/relationships/hyperlink" Target="https://www.whatifsports.com/hbd/Pages/Popups/ProspectProfile.aspx?pid=13631875" TargetMode="External"/><Relationship Id="rId20" Type="http://schemas.openxmlformats.org/officeDocument/2006/relationships/hyperlink" Target="https://www.whatifsports.com/hbd/Pages/Popups/ProspectProfile.aspx?pid=13631500" TargetMode="External"/><Relationship Id="rId41" Type="http://schemas.openxmlformats.org/officeDocument/2006/relationships/hyperlink" Target="https://www.whatifsports.com/hbd/Pages/Popups/ProspectProfile.aspx?pid=13631605" TargetMode="External"/><Relationship Id="rId62" Type="http://schemas.openxmlformats.org/officeDocument/2006/relationships/hyperlink" Target="https://www.whatifsports.com/hbd/Pages/Popups/ProspectProfile.aspx?pid=13631833" TargetMode="External"/><Relationship Id="rId83" Type="http://schemas.openxmlformats.org/officeDocument/2006/relationships/hyperlink" Target="https://www.whatifsports.com/hbd/Pages/Popups/ProspectProfile.aspx?pid=13631818" TargetMode="External"/><Relationship Id="rId179" Type="http://schemas.openxmlformats.org/officeDocument/2006/relationships/hyperlink" Target="https://www.whatifsports.com/hbd/Pages/Popups/ProspectProfile.aspx?pid=13631453" TargetMode="External"/><Relationship Id="rId365" Type="http://schemas.openxmlformats.org/officeDocument/2006/relationships/hyperlink" Target="https://www.whatifsports.com/hbd/Pages/Popups/ProspectProfile.aspx?pid=13632213" TargetMode="External"/><Relationship Id="rId386" Type="http://schemas.openxmlformats.org/officeDocument/2006/relationships/hyperlink" Target="https://www.whatifsports.com/hbd/Pages/Popups/ProspectProfile.aspx?pid=13632022" TargetMode="External"/><Relationship Id="rId190" Type="http://schemas.openxmlformats.org/officeDocument/2006/relationships/hyperlink" Target="https://www.whatifsports.com/hbd/Pages/Popups/ProspectProfile.aspx?pid=13632013" TargetMode="External"/><Relationship Id="rId204" Type="http://schemas.openxmlformats.org/officeDocument/2006/relationships/hyperlink" Target="https://www.whatifsports.com/hbd/Pages/Popups/ProspectProfile.aspx?pid=13631849" TargetMode="External"/><Relationship Id="rId225" Type="http://schemas.openxmlformats.org/officeDocument/2006/relationships/hyperlink" Target="https://www.whatifsports.com/hbd/Pages/Popups/ProspectProfile.aspx?pid=13631977" TargetMode="External"/><Relationship Id="rId246" Type="http://schemas.openxmlformats.org/officeDocument/2006/relationships/hyperlink" Target="https://www.whatifsports.com/hbd/Pages/Popups/ProspectProfile.aspx?pid=13632123" TargetMode="External"/><Relationship Id="rId267" Type="http://schemas.openxmlformats.org/officeDocument/2006/relationships/hyperlink" Target="https://www.whatifsports.com/hbd/Pages/Popups/ProspectProfile.aspx?pid=13631885" TargetMode="External"/><Relationship Id="rId288" Type="http://schemas.openxmlformats.org/officeDocument/2006/relationships/hyperlink" Target="https://www.whatifsports.com/hbd/Pages/Popups/ProspectProfile.aspx?pid=13632075" TargetMode="External"/><Relationship Id="rId411" Type="http://schemas.openxmlformats.org/officeDocument/2006/relationships/hyperlink" Target="https://www.whatifsports.com/hbd/Pages/Popups/ProspectProfile.aspx?pid=13632055" TargetMode="External"/><Relationship Id="rId106" Type="http://schemas.openxmlformats.org/officeDocument/2006/relationships/hyperlink" Target="https://www.whatifsports.com/hbd/Pages/Popups/ProspectProfile.aspx?pid=13631414" TargetMode="External"/><Relationship Id="rId127" Type="http://schemas.openxmlformats.org/officeDocument/2006/relationships/hyperlink" Target="https://www.whatifsports.com/hbd/Pages/Popups/ProspectProfile.aspx?pid=13631762" TargetMode="External"/><Relationship Id="rId313" Type="http://schemas.openxmlformats.org/officeDocument/2006/relationships/hyperlink" Target="https://www.whatifsports.com/hbd/Pages/Popups/ProspectProfile.aspx?pid=13631852" TargetMode="External"/><Relationship Id="rId10" Type="http://schemas.openxmlformats.org/officeDocument/2006/relationships/hyperlink" Target="https://www.whatifsports.com/hbd/Pages/GM/AmateurDraftPlayerPool.aspx" TargetMode="External"/><Relationship Id="rId31" Type="http://schemas.openxmlformats.org/officeDocument/2006/relationships/hyperlink" Target="https://www.whatifsports.com/hbd/Pages/Popups/ProspectProfile.aspx?pid=13631837" TargetMode="External"/><Relationship Id="rId52" Type="http://schemas.openxmlformats.org/officeDocument/2006/relationships/hyperlink" Target="https://www.whatifsports.com/hbd/Pages/Popups/ProspectProfile.aspx?pid=13631667" TargetMode="External"/><Relationship Id="rId73" Type="http://schemas.openxmlformats.org/officeDocument/2006/relationships/hyperlink" Target="https://www.whatifsports.com/hbd/Pages/Popups/ProspectProfile.aspx?pid=13631763" TargetMode="External"/><Relationship Id="rId94" Type="http://schemas.openxmlformats.org/officeDocument/2006/relationships/hyperlink" Target="https://www.whatifsports.com/hbd/Pages/Popups/ProspectProfile.aspx?pid=13631839" TargetMode="External"/><Relationship Id="rId148" Type="http://schemas.openxmlformats.org/officeDocument/2006/relationships/hyperlink" Target="https://www.whatifsports.com/hbd/Pages/Popups/ProspectProfile.aspx?pid=13631576" TargetMode="External"/><Relationship Id="rId169" Type="http://schemas.openxmlformats.org/officeDocument/2006/relationships/hyperlink" Target="https://www.whatifsports.com/hbd/Pages/Popups/ProspectProfile.aspx?pid=13631471" TargetMode="External"/><Relationship Id="rId334" Type="http://schemas.openxmlformats.org/officeDocument/2006/relationships/hyperlink" Target="https://www.whatifsports.com/hbd/Pages/Popups/ProspectProfile.aspx?pid=13632201" TargetMode="External"/><Relationship Id="rId355" Type="http://schemas.openxmlformats.org/officeDocument/2006/relationships/hyperlink" Target="https://www.whatifsports.com/hbd/Pages/Popups/ProspectProfile.aspx?pid=13632149" TargetMode="External"/><Relationship Id="rId376" Type="http://schemas.openxmlformats.org/officeDocument/2006/relationships/hyperlink" Target="https://www.whatifsports.com/hbd/Pages/Popups/ProspectProfile.aspx?pid=13631853" TargetMode="External"/><Relationship Id="rId397" Type="http://schemas.openxmlformats.org/officeDocument/2006/relationships/hyperlink" Target="https://www.whatifsports.com/hbd/Pages/Popups/ProspectProfile.aspx?pid=13632063" TargetMode="External"/><Relationship Id="rId4" Type="http://schemas.openxmlformats.org/officeDocument/2006/relationships/hyperlink" Target="https://www.whatifsports.com/hbd/Pages/GM/AmateurDraftPlayerPool.aspx" TargetMode="External"/><Relationship Id="rId180" Type="http://schemas.openxmlformats.org/officeDocument/2006/relationships/hyperlink" Target="https://www.whatifsports.com/hbd/Pages/Popups/ProspectProfile.aspx?pid=13631453" TargetMode="External"/><Relationship Id="rId215" Type="http://schemas.openxmlformats.org/officeDocument/2006/relationships/hyperlink" Target="https://www.whatifsports.com/hbd/Pages/Popups/ProspectProfile.aspx?pid=13631916" TargetMode="External"/><Relationship Id="rId236" Type="http://schemas.openxmlformats.org/officeDocument/2006/relationships/hyperlink" Target="https://www.whatifsports.com/hbd/Pages/Popups/ProspectProfile.aspx?pid=13632087" TargetMode="External"/><Relationship Id="rId257" Type="http://schemas.openxmlformats.org/officeDocument/2006/relationships/hyperlink" Target="https://www.whatifsports.com/hbd/Pages/Popups/ProspectProfile.aspx?pid=13632164" TargetMode="External"/><Relationship Id="rId278" Type="http://schemas.openxmlformats.org/officeDocument/2006/relationships/hyperlink" Target="https://www.whatifsports.com/hbd/Pages/Popups/ProspectProfile.aspx?pid=13632237" TargetMode="External"/><Relationship Id="rId401" Type="http://schemas.openxmlformats.org/officeDocument/2006/relationships/hyperlink" Target="https://www.whatifsports.com/hbd/Pages/Popups/ProspectProfile.aspx?pid=13632019" TargetMode="External"/><Relationship Id="rId303" Type="http://schemas.openxmlformats.org/officeDocument/2006/relationships/hyperlink" Target="https://www.whatifsports.com/hbd/Pages/Popups/ProspectProfile.aspx?pid=13632143" TargetMode="External"/><Relationship Id="rId42" Type="http://schemas.openxmlformats.org/officeDocument/2006/relationships/hyperlink" Target="https://www.whatifsports.com/hbd/Pages/Popups/ProspectProfile.aspx?pid=13631605" TargetMode="External"/><Relationship Id="rId84" Type="http://schemas.openxmlformats.org/officeDocument/2006/relationships/hyperlink" Target="https://www.whatifsports.com/hbd/Pages/Popups/ProspectProfile.aspx?pid=13631818" TargetMode="External"/><Relationship Id="rId138" Type="http://schemas.openxmlformats.org/officeDocument/2006/relationships/hyperlink" Target="https://www.whatifsports.com/hbd/Pages/Popups/ProspectProfile.aspx?pid=13631814" TargetMode="External"/><Relationship Id="rId345" Type="http://schemas.openxmlformats.org/officeDocument/2006/relationships/hyperlink" Target="https://www.whatifsports.com/hbd/Pages/Popups/ProspectProfile.aspx?pid=13631863" TargetMode="External"/><Relationship Id="rId387" Type="http://schemas.openxmlformats.org/officeDocument/2006/relationships/hyperlink" Target="https://www.whatifsports.com/hbd/Pages/Popups/ProspectProfile.aspx?pid=13631926" TargetMode="External"/><Relationship Id="rId191" Type="http://schemas.openxmlformats.org/officeDocument/2006/relationships/hyperlink" Target="https://www.whatifsports.com/hbd/Pages/Popups/ProspectProfile.aspx?pid=13631448" TargetMode="External"/><Relationship Id="rId205" Type="http://schemas.openxmlformats.org/officeDocument/2006/relationships/hyperlink" Target="https://www.whatifsports.com/hbd/Pages/Popups/ProspectProfile.aspx?pid=13631389" TargetMode="External"/><Relationship Id="rId247" Type="http://schemas.openxmlformats.org/officeDocument/2006/relationships/hyperlink" Target="https://www.whatifsports.com/hbd/Pages/Popups/ProspectProfile.aspx?pid=13632211" TargetMode="External"/><Relationship Id="rId412" Type="http://schemas.openxmlformats.org/officeDocument/2006/relationships/hyperlink" Target="https://www.whatifsports.com/hbd/Pages/Popups/ProspectProfile.aspx?pid=13632055" TargetMode="External"/><Relationship Id="rId107" Type="http://schemas.openxmlformats.org/officeDocument/2006/relationships/hyperlink" Target="https://www.whatifsports.com/hbd/Pages/Popups/ProspectProfile.aspx?pid=13631567" TargetMode="External"/><Relationship Id="rId289" Type="http://schemas.openxmlformats.org/officeDocument/2006/relationships/hyperlink" Target="https://www.whatifsports.com/hbd/Pages/Popups/ProspectProfile.aspx?pid=13632113" TargetMode="External"/><Relationship Id="rId11" Type="http://schemas.openxmlformats.org/officeDocument/2006/relationships/hyperlink" Target="https://www.whatifsports.com/hbd/Pages/GM/AmateurDraftPlayerPool.aspx" TargetMode="External"/><Relationship Id="rId53" Type="http://schemas.openxmlformats.org/officeDocument/2006/relationships/hyperlink" Target="https://www.whatifsports.com/hbd/Pages/Popups/ProspectProfile.aspx?pid=13631429" TargetMode="External"/><Relationship Id="rId149" Type="http://schemas.openxmlformats.org/officeDocument/2006/relationships/hyperlink" Target="https://www.whatifsports.com/hbd/Pages/Popups/ProspectProfile.aspx?pid=13631391" TargetMode="External"/><Relationship Id="rId314" Type="http://schemas.openxmlformats.org/officeDocument/2006/relationships/hyperlink" Target="https://www.whatifsports.com/hbd/Pages/Popups/ProspectProfile.aspx?pid=13631852" TargetMode="External"/><Relationship Id="rId356" Type="http://schemas.openxmlformats.org/officeDocument/2006/relationships/hyperlink" Target="https://www.whatifsports.com/hbd/Pages/Popups/ProspectProfile.aspx?pid=13632149" TargetMode="External"/><Relationship Id="rId398" Type="http://schemas.openxmlformats.org/officeDocument/2006/relationships/hyperlink" Target="https://www.whatifsports.com/hbd/Pages/Popups/ProspectProfile.aspx?pid=1363206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hatifsports.com/hbd/Pages/Popups/ProspectProfile.aspx?pid=13631514" TargetMode="External"/><Relationship Id="rId21" Type="http://schemas.openxmlformats.org/officeDocument/2006/relationships/hyperlink" Target="https://www.whatifsports.com/hbd/Pages/Popups/ProspectProfile.aspx?pid=13632217" TargetMode="External"/><Relationship Id="rId42" Type="http://schemas.openxmlformats.org/officeDocument/2006/relationships/hyperlink" Target="https://www.whatifsports.com/hbd/Pages/Popups/ProspectProfile.aspx?pid=13632143" TargetMode="External"/><Relationship Id="rId63" Type="http://schemas.openxmlformats.org/officeDocument/2006/relationships/hyperlink" Target="https://www.whatifsports.com/hbd/Pages/Popups/ProspectProfile.aspx?pid=13632075" TargetMode="External"/><Relationship Id="rId84" Type="http://schemas.openxmlformats.org/officeDocument/2006/relationships/hyperlink" Target="https://www.whatifsports.com/hbd/Pages/Popups/ProspectProfile.aspx?pid=13632131" TargetMode="External"/><Relationship Id="rId138" Type="http://schemas.openxmlformats.org/officeDocument/2006/relationships/hyperlink" Target="https://www.whatifsports.com/hbd/Pages/Popups/ProspectProfile.aspx?pid=13631591" TargetMode="External"/><Relationship Id="rId159" Type="http://schemas.openxmlformats.org/officeDocument/2006/relationships/hyperlink" Target="https://www.whatifsports.com/hbd/Pages/Popups/ProspectProfile.aspx?pid=13631818" TargetMode="External"/><Relationship Id="rId170" Type="http://schemas.openxmlformats.org/officeDocument/2006/relationships/hyperlink" Target="https://www.whatifsports.com/hbd/Pages/Popups/ProspectProfile.aspx?pid=13631560" TargetMode="External"/><Relationship Id="rId191" Type="http://schemas.openxmlformats.org/officeDocument/2006/relationships/hyperlink" Target="https://www.whatifsports.com/hbd/Pages/Popups/ProspectProfile.aspx?pid=13631453" TargetMode="External"/><Relationship Id="rId205" Type="http://schemas.openxmlformats.org/officeDocument/2006/relationships/hyperlink" Target="https://www.whatifsports.com/hbd/Pages/Popups/ProspectProfile.aspx?pid=13631742" TargetMode="External"/><Relationship Id="rId16" Type="http://schemas.openxmlformats.org/officeDocument/2006/relationships/hyperlink" Target="https://www.whatifsports.com/hbd/Pages/Popups/ProspectProfile.aspx?pid=13632211" TargetMode="External"/><Relationship Id="rId107" Type="http://schemas.openxmlformats.org/officeDocument/2006/relationships/hyperlink" Target="https://www.whatifsports.com/hbd/Pages/Popups/ProspectProfile.aspx?pid=13631908" TargetMode="External"/><Relationship Id="rId11" Type="http://schemas.openxmlformats.org/officeDocument/2006/relationships/hyperlink" Target="https://www.whatifsports.com/hbd/Pages/Popups/ProspectProfile.aspx?pid=13632232" TargetMode="External"/><Relationship Id="rId32" Type="http://schemas.openxmlformats.org/officeDocument/2006/relationships/hyperlink" Target="https://www.whatifsports.com/hbd/Pages/Popups/ProspectProfile.aspx?pid=13632130" TargetMode="External"/><Relationship Id="rId37" Type="http://schemas.openxmlformats.org/officeDocument/2006/relationships/hyperlink" Target="https://www.whatifsports.com/hbd/Pages/Popups/ProspectProfile.aspx?pid=13632116" TargetMode="External"/><Relationship Id="rId53" Type="http://schemas.openxmlformats.org/officeDocument/2006/relationships/hyperlink" Target="https://www.whatifsports.com/hbd/Pages/Popups/ProspectProfile.aspx?pid=13631972" TargetMode="External"/><Relationship Id="rId58" Type="http://schemas.openxmlformats.org/officeDocument/2006/relationships/hyperlink" Target="https://www.whatifsports.com/hbd/Pages/Popups/ProspectProfile.aspx?pid=13631852" TargetMode="External"/><Relationship Id="rId74" Type="http://schemas.openxmlformats.org/officeDocument/2006/relationships/hyperlink" Target="https://www.whatifsports.com/hbd/Pages/Popups/ProspectProfile.aspx?pid=13631994" TargetMode="External"/><Relationship Id="rId79" Type="http://schemas.openxmlformats.org/officeDocument/2006/relationships/hyperlink" Target="https://www.whatifsports.com/hbd/Pages/Popups/ProspectProfile.aspx?pid=13632058" TargetMode="External"/><Relationship Id="rId102" Type="http://schemas.openxmlformats.org/officeDocument/2006/relationships/hyperlink" Target="https://www.whatifsports.com/hbd/Pages/Popups/ProspectProfile.aspx?pid=13631945" TargetMode="External"/><Relationship Id="rId123" Type="http://schemas.openxmlformats.org/officeDocument/2006/relationships/hyperlink" Target="https://www.whatifsports.com/hbd/Pages/Popups/ProspectProfile.aspx?pid=13631677" TargetMode="External"/><Relationship Id="rId128" Type="http://schemas.openxmlformats.org/officeDocument/2006/relationships/hyperlink" Target="https://www.whatifsports.com/hbd/Pages/Popups/ProspectProfile.aspx?pid=13631584" TargetMode="External"/><Relationship Id="rId144" Type="http://schemas.openxmlformats.org/officeDocument/2006/relationships/hyperlink" Target="https://www.whatifsports.com/hbd/Pages/Popups/ProspectProfile.aspx?pid=13631583" TargetMode="External"/><Relationship Id="rId149" Type="http://schemas.openxmlformats.org/officeDocument/2006/relationships/hyperlink" Target="https://www.whatifsports.com/hbd/Pages/Popups/ProspectProfile.aspx?pid=13631833" TargetMode="External"/><Relationship Id="rId5" Type="http://schemas.openxmlformats.org/officeDocument/2006/relationships/hyperlink" Target="https://www.whatifsports.com/hbd/Pages/GM/AmateurDraftPlayerPool.aspx" TargetMode="External"/><Relationship Id="rId90" Type="http://schemas.openxmlformats.org/officeDocument/2006/relationships/hyperlink" Target="https://www.whatifsports.com/hbd/Pages/Popups/ProspectProfile.aspx?pid=13631910" TargetMode="External"/><Relationship Id="rId95" Type="http://schemas.openxmlformats.org/officeDocument/2006/relationships/hyperlink" Target="https://www.whatifsports.com/hbd/Pages/Popups/ProspectProfile.aspx?pid=13631914" TargetMode="External"/><Relationship Id="rId160" Type="http://schemas.openxmlformats.org/officeDocument/2006/relationships/hyperlink" Target="https://www.whatifsports.com/hbd/Pages/Popups/ProspectProfile.aspx?pid=13631767" TargetMode="External"/><Relationship Id="rId165" Type="http://schemas.openxmlformats.org/officeDocument/2006/relationships/hyperlink" Target="https://www.whatifsports.com/hbd/Pages/Popups/ProspectProfile.aspx?pid=13631532" TargetMode="External"/><Relationship Id="rId181" Type="http://schemas.openxmlformats.org/officeDocument/2006/relationships/hyperlink" Target="https://www.whatifsports.com/hbd/Pages/Popups/ProspectProfile.aspx?pid=13631796" TargetMode="External"/><Relationship Id="rId186" Type="http://schemas.openxmlformats.org/officeDocument/2006/relationships/hyperlink" Target="https://www.whatifsports.com/hbd/Pages/Popups/ProspectProfile.aspx?pid=13631837" TargetMode="External"/><Relationship Id="rId22" Type="http://schemas.openxmlformats.org/officeDocument/2006/relationships/hyperlink" Target="https://www.whatifsports.com/hbd/Pages/Popups/ProspectProfile.aspx?pid=13632201" TargetMode="External"/><Relationship Id="rId27" Type="http://schemas.openxmlformats.org/officeDocument/2006/relationships/hyperlink" Target="https://www.whatifsports.com/hbd/Pages/Popups/ProspectProfile.aspx?pid=13632071" TargetMode="External"/><Relationship Id="rId43" Type="http://schemas.openxmlformats.org/officeDocument/2006/relationships/hyperlink" Target="https://www.whatifsports.com/hbd/Pages/Popups/ProspectProfile.aspx?pid=13632154" TargetMode="External"/><Relationship Id="rId48" Type="http://schemas.openxmlformats.org/officeDocument/2006/relationships/hyperlink" Target="https://www.whatifsports.com/hbd/Pages/Popups/ProspectProfile.aspx?pid=13632087" TargetMode="External"/><Relationship Id="rId64" Type="http://schemas.openxmlformats.org/officeDocument/2006/relationships/hyperlink" Target="https://www.whatifsports.com/hbd/Pages/Popups/ProspectProfile.aspx?pid=13632113" TargetMode="External"/><Relationship Id="rId69" Type="http://schemas.openxmlformats.org/officeDocument/2006/relationships/hyperlink" Target="https://www.whatifsports.com/hbd/Pages/Popups/ProspectProfile.aspx?pid=13631896" TargetMode="External"/><Relationship Id="rId113" Type="http://schemas.openxmlformats.org/officeDocument/2006/relationships/hyperlink" Target="https://www.whatifsports.com/hbd/Pages/Popups/ProspectProfile.aspx?pid=13631448" TargetMode="External"/><Relationship Id="rId118" Type="http://schemas.openxmlformats.org/officeDocument/2006/relationships/hyperlink" Target="https://www.whatifsports.com/hbd/Pages/Popups/ProspectProfile.aspx?pid=13631431" TargetMode="External"/><Relationship Id="rId134" Type="http://schemas.openxmlformats.org/officeDocument/2006/relationships/hyperlink" Target="https://www.whatifsports.com/hbd/Pages/Popups/ProspectProfile.aspx?pid=13631531" TargetMode="External"/><Relationship Id="rId139" Type="http://schemas.openxmlformats.org/officeDocument/2006/relationships/hyperlink" Target="https://www.whatifsports.com/hbd/Pages/Popups/ProspectProfile.aspx?pid=13631459" TargetMode="External"/><Relationship Id="rId80" Type="http://schemas.openxmlformats.org/officeDocument/2006/relationships/hyperlink" Target="https://www.whatifsports.com/hbd/Pages/Popups/ProspectProfile.aspx?pid=13631991" TargetMode="External"/><Relationship Id="rId85" Type="http://schemas.openxmlformats.org/officeDocument/2006/relationships/hyperlink" Target="https://www.whatifsports.com/hbd/Pages/Popups/ProspectProfile.aspx?pid=13631885" TargetMode="External"/><Relationship Id="rId150" Type="http://schemas.openxmlformats.org/officeDocument/2006/relationships/hyperlink" Target="https://www.whatifsports.com/hbd/Pages/Popups/ProspectProfile.aspx?pid=13631792" TargetMode="External"/><Relationship Id="rId155" Type="http://schemas.openxmlformats.org/officeDocument/2006/relationships/hyperlink" Target="https://www.whatifsports.com/hbd/Pages/Popups/ProspectProfile.aspx?pid=13631642" TargetMode="External"/><Relationship Id="rId171" Type="http://schemas.openxmlformats.org/officeDocument/2006/relationships/hyperlink" Target="https://www.whatifsports.com/hbd/Pages/Popups/ProspectProfile.aspx?pid=13631763" TargetMode="External"/><Relationship Id="rId176" Type="http://schemas.openxmlformats.org/officeDocument/2006/relationships/hyperlink" Target="https://www.whatifsports.com/hbd/Pages/Popups/ProspectProfile.aspx?pid=13631442" TargetMode="External"/><Relationship Id="rId192" Type="http://schemas.openxmlformats.org/officeDocument/2006/relationships/hyperlink" Target="https://www.whatifsports.com/hbd/Pages/Popups/ProspectProfile.aspx?pid=13631482" TargetMode="External"/><Relationship Id="rId197" Type="http://schemas.openxmlformats.org/officeDocument/2006/relationships/hyperlink" Target="https://www.whatifsports.com/hbd/Pages/Popups/ProspectProfile.aspx?pid=13631713" TargetMode="External"/><Relationship Id="rId206" Type="http://schemas.openxmlformats.org/officeDocument/2006/relationships/hyperlink" Target="https://www.whatifsports.com/hbd/Pages/Popups/ProspectProfile.aspx?pid=13631714" TargetMode="External"/><Relationship Id="rId201" Type="http://schemas.openxmlformats.org/officeDocument/2006/relationships/hyperlink" Target="https://www.whatifsports.com/hbd/Pages/Popups/ProspectProfile.aspx?pid=13631823" TargetMode="External"/><Relationship Id="rId12" Type="http://schemas.openxmlformats.org/officeDocument/2006/relationships/hyperlink" Target="https://www.whatifsports.com/hbd/Pages/Popups/ProspectProfile.aspx?pid=13632233" TargetMode="External"/><Relationship Id="rId17" Type="http://schemas.openxmlformats.org/officeDocument/2006/relationships/hyperlink" Target="https://www.whatifsports.com/hbd/Pages/Popups/ProspectProfile.aspx?pid=13632199" TargetMode="External"/><Relationship Id="rId33" Type="http://schemas.openxmlformats.org/officeDocument/2006/relationships/hyperlink" Target="https://www.whatifsports.com/hbd/Pages/Popups/ProspectProfile.aspx?pid=13632169" TargetMode="External"/><Relationship Id="rId38" Type="http://schemas.openxmlformats.org/officeDocument/2006/relationships/hyperlink" Target="https://www.whatifsports.com/hbd/Pages/Popups/ProspectProfile.aspx?pid=13632183" TargetMode="External"/><Relationship Id="rId59" Type="http://schemas.openxmlformats.org/officeDocument/2006/relationships/hyperlink" Target="https://www.whatifsports.com/hbd/Pages/Popups/ProspectProfile.aspx?pid=13631871" TargetMode="External"/><Relationship Id="rId103" Type="http://schemas.openxmlformats.org/officeDocument/2006/relationships/hyperlink" Target="https://www.whatifsports.com/hbd/Pages/Popups/ProspectProfile.aspx?pid=13631863" TargetMode="External"/><Relationship Id="rId108" Type="http://schemas.openxmlformats.org/officeDocument/2006/relationships/hyperlink" Target="https://www.whatifsports.com/hbd/Pages/Popups/ProspectProfile.aspx?pid=13631576" TargetMode="External"/><Relationship Id="rId124" Type="http://schemas.openxmlformats.org/officeDocument/2006/relationships/hyperlink" Target="https://www.whatifsports.com/hbd/Pages/Popups/ProspectProfile.aspx?pid=13631814" TargetMode="External"/><Relationship Id="rId129" Type="http://schemas.openxmlformats.org/officeDocument/2006/relationships/hyperlink" Target="https://www.whatifsports.com/hbd/Pages/Popups/ProspectProfile.aspx?pid=13631565" TargetMode="External"/><Relationship Id="rId54" Type="http://schemas.openxmlformats.org/officeDocument/2006/relationships/hyperlink" Target="https://www.whatifsports.com/hbd/Pages/Popups/ProspectProfile.aspx?pid=13632160" TargetMode="External"/><Relationship Id="rId70" Type="http://schemas.openxmlformats.org/officeDocument/2006/relationships/hyperlink" Target="https://www.whatifsports.com/hbd/Pages/Popups/ProspectProfile.aspx?pid=13632204" TargetMode="External"/><Relationship Id="rId75" Type="http://schemas.openxmlformats.org/officeDocument/2006/relationships/hyperlink" Target="https://www.whatifsports.com/hbd/Pages/Popups/ProspectProfile.aspx?pid=13631952" TargetMode="External"/><Relationship Id="rId91" Type="http://schemas.openxmlformats.org/officeDocument/2006/relationships/hyperlink" Target="https://www.whatifsports.com/hbd/Pages/Popups/ProspectProfile.aspx?pid=13631875" TargetMode="External"/><Relationship Id="rId96" Type="http://schemas.openxmlformats.org/officeDocument/2006/relationships/hyperlink" Target="https://www.whatifsports.com/hbd/Pages/Popups/ProspectProfile.aspx?pid=13631882" TargetMode="External"/><Relationship Id="rId140" Type="http://schemas.openxmlformats.org/officeDocument/2006/relationships/hyperlink" Target="https://www.whatifsports.com/hbd/Pages/Popups/ProspectProfile.aspx?pid=13631716" TargetMode="External"/><Relationship Id="rId145" Type="http://schemas.openxmlformats.org/officeDocument/2006/relationships/hyperlink" Target="https://www.whatifsports.com/hbd/Pages/Popups/ProspectProfile.aspx?pid=13631838" TargetMode="External"/><Relationship Id="rId161" Type="http://schemas.openxmlformats.org/officeDocument/2006/relationships/hyperlink" Target="https://www.whatifsports.com/hbd/Pages/Popups/ProspectProfile.aspx?pid=13631630" TargetMode="External"/><Relationship Id="rId166" Type="http://schemas.openxmlformats.org/officeDocument/2006/relationships/hyperlink" Target="https://www.whatifsports.com/hbd/Pages/Popups/ProspectProfile.aspx?pid=13631768" TargetMode="External"/><Relationship Id="rId182" Type="http://schemas.openxmlformats.org/officeDocument/2006/relationships/hyperlink" Target="https://www.whatifsports.com/hbd/Pages/Popups/ProspectProfile.aspx?pid=13631468" TargetMode="External"/><Relationship Id="rId187" Type="http://schemas.openxmlformats.org/officeDocument/2006/relationships/hyperlink" Target="https://www.whatifsports.com/hbd/Pages/Popups/ProspectProfile.aspx?pid=13631725" TargetMode="External"/><Relationship Id="rId1" Type="http://schemas.openxmlformats.org/officeDocument/2006/relationships/hyperlink" Target="https://www.whatifsports.com/hbd/Pages/GM/AmateurDraftPlayerPool.aspx" TargetMode="External"/><Relationship Id="rId6" Type="http://schemas.openxmlformats.org/officeDocument/2006/relationships/hyperlink" Target="https://www.whatifsports.com/hbd/Pages/GM/AmateurDraftPlayerPool.aspx" TargetMode="External"/><Relationship Id="rId23" Type="http://schemas.openxmlformats.org/officeDocument/2006/relationships/hyperlink" Target="https://www.whatifsports.com/hbd/Pages/Popups/ProspectProfile.aspx?pid=13632164" TargetMode="External"/><Relationship Id="rId28" Type="http://schemas.openxmlformats.org/officeDocument/2006/relationships/hyperlink" Target="https://www.whatifsports.com/hbd/Pages/Popups/ProspectProfile.aspx?pid=13632066" TargetMode="External"/><Relationship Id="rId49" Type="http://schemas.openxmlformats.org/officeDocument/2006/relationships/hyperlink" Target="https://www.whatifsports.com/hbd/Pages/Popups/ProspectProfile.aspx?pid=13632197" TargetMode="External"/><Relationship Id="rId114" Type="http://schemas.openxmlformats.org/officeDocument/2006/relationships/hyperlink" Target="https://www.whatifsports.com/hbd/Pages/Popups/ProspectProfile.aspx?pid=13631567" TargetMode="External"/><Relationship Id="rId119" Type="http://schemas.openxmlformats.org/officeDocument/2006/relationships/hyperlink" Target="https://www.whatifsports.com/hbd/Pages/Popups/ProspectProfile.aspx?pid=13631674" TargetMode="External"/><Relationship Id="rId44" Type="http://schemas.openxmlformats.org/officeDocument/2006/relationships/hyperlink" Target="https://www.whatifsports.com/hbd/Pages/Popups/ProspectProfile.aspx?pid=13632237" TargetMode="External"/><Relationship Id="rId60" Type="http://schemas.openxmlformats.org/officeDocument/2006/relationships/hyperlink" Target="https://www.whatifsports.com/hbd/Pages/Popups/ProspectProfile.aspx?pid=13631904" TargetMode="External"/><Relationship Id="rId65" Type="http://schemas.openxmlformats.org/officeDocument/2006/relationships/hyperlink" Target="https://www.whatifsports.com/hbd/Pages/Popups/ProspectProfile.aspx?pid=13632213" TargetMode="External"/><Relationship Id="rId81" Type="http://schemas.openxmlformats.org/officeDocument/2006/relationships/hyperlink" Target="https://www.whatifsports.com/hbd/Pages/Popups/ProspectProfile.aspx?pid=13632055" TargetMode="External"/><Relationship Id="rId86" Type="http://schemas.openxmlformats.org/officeDocument/2006/relationships/hyperlink" Target="https://www.whatifsports.com/hbd/Pages/Popups/ProspectProfile.aspx?pid=13632236" TargetMode="External"/><Relationship Id="rId130" Type="http://schemas.openxmlformats.org/officeDocument/2006/relationships/hyperlink" Target="https://www.whatifsports.com/hbd/Pages/Popups/ProspectProfile.aspx?pid=13631506" TargetMode="External"/><Relationship Id="rId135" Type="http://schemas.openxmlformats.org/officeDocument/2006/relationships/hyperlink" Target="https://www.whatifsports.com/hbd/Pages/Popups/ProspectProfile.aspx?pid=13631552" TargetMode="External"/><Relationship Id="rId151" Type="http://schemas.openxmlformats.org/officeDocument/2006/relationships/hyperlink" Target="https://www.whatifsports.com/hbd/Pages/Popups/ProspectProfile.aspx?pid=13631507" TargetMode="External"/><Relationship Id="rId156" Type="http://schemas.openxmlformats.org/officeDocument/2006/relationships/hyperlink" Target="https://www.whatifsports.com/hbd/Pages/Popups/ProspectProfile.aspx?pid=13631699" TargetMode="External"/><Relationship Id="rId177" Type="http://schemas.openxmlformats.org/officeDocument/2006/relationships/hyperlink" Target="https://www.whatifsports.com/hbd/Pages/Popups/ProspectProfile.aspx?pid=13631650" TargetMode="External"/><Relationship Id="rId198" Type="http://schemas.openxmlformats.org/officeDocument/2006/relationships/hyperlink" Target="https://www.whatifsports.com/hbd/Pages/Popups/ProspectProfile.aspx?pid=13631541" TargetMode="External"/><Relationship Id="rId172" Type="http://schemas.openxmlformats.org/officeDocument/2006/relationships/hyperlink" Target="https://www.whatifsports.com/hbd/Pages/Popups/ProspectProfile.aspx?pid=13631780" TargetMode="External"/><Relationship Id="rId193" Type="http://schemas.openxmlformats.org/officeDocument/2006/relationships/hyperlink" Target="https://www.whatifsports.com/hbd/Pages/Popups/ProspectProfile.aspx?pid=13631516" TargetMode="External"/><Relationship Id="rId202" Type="http://schemas.openxmlformats.org/officeDocument/2006/relationships/hyperlink" Target="https://www.whatifsports.com/hbd/Pages/Popups/ProspectProfile.aspx?pid=13631772" TargetMode="External"/><Relationship Id="rId207" Type="http://schemas.openxmlformats.org/officeDocument/2006/relationships/hyperlink" Target="https://www.whatifsports.com/hbd/Pages/Popups/ProspectProfile.aspx?pid=13631555" TargetMode="External"/><Relationship Id="rId13" Type="http://schemas.openxmlformats.org/officeDocument/2006/relationships/hyperlink" Target="https://www.whatifsports.com/hbd/Pages/Popups/ProspectProfile.aspx?pid=13632194" TargetMode="External"/><Relationship Id="rId18" Type="http://schemas.openxmlformats.org/officeDocument/2006/relationships/hyperlink" Target="https://www.whatifsports.com/hbd/Pages/Popups/ProspectProfile.aspx?pid=13632178" TargetMode="External"/><Relationship Id="rId39" Type="http://schemas.openxmlformats.org/officeDocument/2006/relationships/hyperlink" Target="https://www.whatifsports.com/hbd/Pages/Popups/ProspectProfile.aspx?pid=13632036" TargetMode="External"/><Relationship Id="rId109" Type="http://schemas.openxmlformats.org/officeDocument/2006/relationships/hyperlink" Target="https://www.whatifsports.com/hbd/Pages/Popups/ProspectProfile.aspx?pid=13631526" TargetMode="External"/><Relationship Id="rId34" Type="http://schemas.openxmlformats.org/officeDocument/2006/relationships/hyperlink" Target="https://www.whatifsports.com/hbd/Pages/Popups/ProspectProfile.aspx?pid=13631946" TargetMode="External"/><Relationship Id="rId50" Type="http://schemas.openxmlformats.org/officeDocument/2006/relationships/hyperlink" Target="https://www.whatifsports.com/hbd/Pages/Popups/ProspectProfile.aspx?pid=13632052" TargetMode="External"/><Relationship Id="rId55" Type="http://schemas.openxmlformats.org/officeDocument/2006/relationships/hyperlink" Target="https://www.whatifsports.com/hbd/Pages/Popups/ProspectProfile.aspx?pid=13632084" TargetMode="External"/><Relationship Id="rId76" Type="http://schemas.openxmlformats.org/officeDocument/2006/relationships/hyperlink" Target="https://www.whatifsports.com/hbd/Pages/Popups/ProspectProfile.aspx?pid=13632104" TargetMode="External"/><Relationship Id="rId97" Type="http://schemas.openxmlformats.org/officeDocument/2006/relationships/hyperlink" Target="https://www.whatifsports.com/hbd/Pages/Popups/ProspectProfile.aspx?pid=13632156" TargetMode="External"/><Relationship Id="rId104" Type="http://schemas.openxmlformats.org/officeDocument/2006/relationships/hyperlink" Target="https://www.whatifsports.com/hbd/Pages/Popups/ProspectProfile.aspx?pid=13631939" TargetMode="External"/><Relationship Id="rId120" Type="http://schemas.openxmlformats.org/officeDocument/2006/relationships/hyperlink" Target="https://www.whatifsports.com/hbd/Pages/Popups/ProspectProfile.aspx?pid=13631409" TargetMode="External"/><Relationship Id="rId125" Type="http://schemas.openxmlformats.org/officeDocument/2006/relationships/hyperlink" Target="https://www.whatifsports.com/hbd/Pages/Popups/ProspectProfile.aspx?pid=13631698" TargetMode="External"/><Relationship Id="rId141" Type="http://schemas.openxmlformats.org/officeDocument/2006/relationships/hyperlink" Target="https://www.whatifsports.com/hbd/Pages/Popups/ProspectProfile.aspx?pid=13631406" TargetMode="External"/><Relationship Id="rId146" Type="http://schemas.openxmlformats.org/officeDocument/2006/relationships/hyperlink" Target="https://www.whatifsports.com/hbd/Pages/Popups/ProspectProfile.aspx?pid=13631835" TargetMode="External"/><Relationship Id="rId167" Type="http://schemas.openxmlformats.org/officeDocument/2006/relationships/hyperlink" Target="https://www.whatifsports.com/hbd/Pages/Popups/ProspectProfile.aspx?pid=13631802" TargetMode="External"/><Relationship Id="rId188" Type="http://schemas.openxmlformats.org/officeDocument/2006/relationships/hyperlink" Target="https://www.whatifsports.com/hbd/Pages/Popups/ProspectProfile.aspx?pid=13631457" TargetMode="External"/><Relationship Id="rId7" Type="http://schemas.openxmlformats.org/officeDocument/2006/relationships/hyperlink" Target="https://www.whatifsports.com/hbd/Pages/Popups/ProspectProfile.aspx?pid=13632168" TargetMode="External"/><Relationship Id="rId71" Type="http://schemas.openxmlformats.org/officeDocument/2006/relationships/hyperlink" Target="https://www.whatifsports.com/hbd/Pages/Popups/ProspectProfile.aspx?pid=13632107" TargetMode="External"/><Relationship Id="rId92" Type="http://schemas.openxmlformats.org/officeDocument/2006/relationships/hyperlink" Target="https://www.whatifsports.com/hbd/Pages/Popups/ProspectProfile.aspx?pid=13631877" TargetMode="External"/><Relationship Id="rId162" Type="http://schemas.openxmlformats.org/officeDocument/2006/relationships/hyperlink" Target="https://www.whatifsports.com/hbd/Pages/Popups/ProspectProfile.aspx?pid=13631836" TargetMode="External"/><Relationship Id="rId183" Type="http://schemas.openxmlformats.org/officeDocument/2006/relationships/hyperlink" Target="https://www.whatifsports.com/hbd/Pages/Popups/ProspectProfile.aspx?pid=13631718" TargetMode="External"/><Relationship Id="rId2" Type="http://schemas.openxmlformats.org/officeDocument/2006/relationships/hyperlink" Target="https://www.whatifsports.com/hbd/Pages/GM/AmateurDraftPlayerPool.aspx" TargetMode="External"/><Relationship Id="rId29" Type="http://schemas.openxmlformats.org/officeDocument/2006/relationships/hyperlink" Target="https://www.whatifsports.com/hbd/Pages/Popups/ProspectProfile.aspx?pid=13632229" TargetMode="External"/><Relationship Id="rId24" Type="http://schemas.openxmlformats.org/officeDocument/2006/relationships/hyperlink" Target="https://www.whatifsports.com/hbd/Pages/Popups/ProspectProfile.aspx?pid=13632171" TargetMode="External"/><Relationship Id="rId40" Type="http://schemas.openxmlformats.org/officeDocument/2006/relationships/hyperlink" Target="https://www.whatifsports.com/hbd/Pages/Popups/ProspectProfile.aspx?pid=13632186" TargetMode="External"/><Relationship Id="rId45" Type="http://schemas.openxmlformats.org/officeDocument/2006/relationships/hyperlink" Target="https://www.whatifsports.com/hbd/Pages/Popups/ProspectProfile.aspx?pid=13632035" TargetMode="External"/><Relationship Id="rId66" Type="http://schemas.openxmlformats.org/officeDocument/2006/relationships/hyperlink" Target="https://www.whatifsports.com/hbd/Pages/Popups/ProspectProfile.aspx?pid=13631926" TargetMode="External"/><Relationship Id="rId87" Type="http://schemas.openxmlformats.org/officeDocument/2006/relationships/hyperlink" Target="https://www.whatifsports.com/hbd/Pages/Popups/ProspectProfile.aspx?pid=13632048" TargetMode="External"/><Relationship Id="rId110" Type="http://schemas.openxmlformats.org/officeDocument/2006/relationships/hyperlink" Target="https://www.whatifsports.com/hbd/Pages/Popups/ProspectProfile.aspx?pid=13631732" TargetMode="External"/><Relationship Id="rId115" Type="http://schemas.openxmlformats.org/officeDocument/2006/relationships/hyperlink" Target="https://www.whatifsports.com/hbd/Pages/Popups/ProspectProfile.aspx?pid=13631672" TargetMode="External"/><Relationship Id="rId131" Type="http://schemas.openxmlformats.org/officeDocument/2006/relationships/hyperlink" Target="https://www.whatifsports.com/hbd/Pages/Popups/ProspectProfile.aspx?pid=13631789" TargetMode="External"/><Relationship Id="rId136" Type="http://schemas.openxmlformats.org/officeDocument/2006/relationships/hyperlink" Target="https://www.whatifsports.com/hbd/Pages/Popups/ProspectProfile.aspx?pid=13631500" TargetMode="External"/><Relationship Id="rId157" Type="http://schemas.openxmlformats.org/officeDocument/2006/relationships/hyperlink" Target="https://www.whatifsports.com/hbd/Pages/Popups/ProspectProfile.aspx?pid=13631518" TargetMode="External"/><Relationship Id="rId178" Type="http://schemas.openxmlformats.org/officeDocument/2006/relationships/hyperlink" Target="https://www.whatifsports.com/hbd/Pages/Popups/ProspectProfile.aspx?pid=13631808" TargetMode="External"/><Relationship Id="rId61" Type="http://schemas.openxmlformats.org/officeDocument/2006/relationships/hyperlink" Target="https://www.whatifsports.com/hbd/Pages/Popups/ProspectProfile.aspx?pid=13632001" TargetMode="External"/><Relationship Id="rId82" Type="http://schemas.openxmlformats.org/officeDocument/2006/relationships/hyperlink" Target="https://www.whatifsports.com/hbd/Pages/Popups/ProspectProfile.aspx?pid=13632022" TargetMode="External"/><Relationship Id="rId152" Type="http://schemas.openxmlformats.org/officeDocument/2006/relationships/hyperlink" Target="https://www.whatifsports.com/hbd/Pages/Popups/ProspectProfile.aspx?pid=13631454" TargetMode="External"/><Relationship Id="rId173" Type="http://schemas.openxmlformats.org/officeDocument/2006/relationships/hyperlink" Target="https://www.whatifsports.com/hbd/Pages/Popups/ProspectProfile.aspx?pid=13631471" TargetMode="External"/><Relationship Id="rId194" Type="http://schemas.openxmlformats.org/officeDocument/2006/relationships/hyperlink" Target="https://www.whatifsports.com/hbd/Pages/Popups/ProspectProfile.aspx?pid=13631703" TargetMode="External"/><Relationship Id="rId199" Type="http://schemas.openxmlformats.org/officeDocument/2006/relationships/hyperlink" Target="https://www.whatifsports.com/hbd/Pages/Popups/ProspectProfile.aspx?pid=13631803" TargetMode="External"/><Relationship Id="rId203" Type="http://schemas.openxmlformats.org/officeDocument/2006/relationships/hyperlink" Target="https://www.whatifsports.com/hbd/Pages/Popups/ProspectProfile.aspx?pid=13631437" TargetMode="External"/><Relationship Id="rId19" Type="http://schemas.openxmlformats.org/officeDocument/2006/relationships/hyperlink" Target="https://www.whatifsports.com/hbd/Pages/Popups/ProspectProfile.aspx?pid=13632234" TargetMode="External"/><Relationship Id="rId14" Type="http://schemas.openxmlformats.org/officeDocument/2006/relationships/hyperlink" Target="https://www.whatifsports.com/hbd/Pages/Popups/ProspectProfile.aspx?pid=13632205" TargetMode="External"/><Relationship Id="rId30" Type="http://schemas.openxmlformats.org/officeDocument/2006/relationships/hyperlink" Target="https://www.whatifsports.com/hbd/Pages/Popups/ProspectProfile.aspx?pid=13631900" TargetMode="External"/><Relationship Id="rId35" Type="http://schemas.openxmlformats.org/officeDocument/2006/relationships/hyperlink" Target="https://www.whatifsports.com/hbd/Pages/Popups/ProspectProfile.aspx?pid=13632099" TargetMode="External"/><Relationship Id="rId56" Type="http://schemas.openxmlformats.org/officeDocument/2006/relationships/hyperlink" Target="https://www.whatifsports.com/hbd/Pages/Popups/ProspectProfile.aspx?pid=13631876" TargetMode="External"/><Relationship Id="rId77" Type="http://schemas.openxmlformats.org/officeDocument/2006/relationships/hyperlink" Target="https://www.whatifsports.com/hbd/Pages/Popups/ProspectProfile.aspx?pid=13631874" TargetMode="External"/><Relationship Id="rId100" Type="http://schemas.openxmlformats.org/officeDocument/2006/relationships/hyperlink" Target="https://www.whatifsports.com/hbd/Pages/Popups/ProspectProfile.aspx?pid=13631849" TargetMode="External"/><Relationship Id="rId105" Type="http://schemas.openxmlformats.org/officeDocument/2006/relationships/hyperlink" Target="https://www.whatifsports.com/hbd/Pages/Popups/ProspectProfile.aspx?pid=13631860" TargetMode="External"/><Relationship Id="rId126" Type="http://schemas.openxmlformats.org/officeDocument/2006/relationships/hyperlink" Target="https://www.whatifsports.com/hbd/Pages/Popups/ProspectProfile.aspx?pid=13631579" TargetMode="External"/><Relationship Id="rId147" Type="http://schemas.openxmlformats.org/officeDocument/2006/relationships/hyperlink" Target="https://www.whatifsports.com/hbd/Pages/Popups/ProspectProfile.aspx?pid=13631601" TargetMode="External"/><Relationship Id="rId168" Type="http://schemas.openxmlformats.org/officeDocument/2006/relationships/hyperlink" Target="https://www.whatifsports.com/hbd/Pages/Popups/ProspectProfile.aspx?pid=13631389" TargetMode="External"/><Relationship Id="rId8" Type="http://schemas.openxmlformats.org/officeDocument/2006/relationships/hyperlink" Target="https://www.whatifsports.com/hbd/Pages/Popups/ProspectProfile.aspx?pid=13632221" TargetMode="External"/><Relationship Id="rId51" Type="http://schemas.openxmlformats.org/officeDocument/2006/relationships/hyperlink" Target="https://www.whatifsports.com/hbd/Pages/Popups/ProspectProfile.aspx?pid=13632030" TargetMode="External"/><Relationship Id="rId72" Type="http://schemas.openxmlformats.org/officeDocument/2006/relationships/hyperlink" Target="https://www.whatifsports.com/hbd/Pages/Popups/ProspectProfile.aspx?pid=13632019" TargetMode="External"/><Relationship Id="rId93" Type="http://schemas.openxmlformats.org/officeDocument/2006/relationships/hyperlink" Target="https://www.whatifsports.com/hbd/Pages/Popups/ProspectProfile.aspx?pid=13631968" TargetMode="External"/><Relationship Id="rId98" Type="http://schemas.openxmlformats.org/officeDocument/2006/relationships/hyperlink" Target="https://www.whatifsports.com/hbd/Pages/Popups/ProspectProfile.aspx?pid=13631844" TargetMode="External"/><Relationship Id="rId121" Type="http://schemas.openxmlformats.org/officeDocument/2006/relationships/hyperlink" Target="https://www.whatifsports.com/hbd/Pages/Popups/ProspectProfile.aspx?pid=13631391" TargetMode="External"/><Relationship Id="rId142" Type="http://schemas.openxmlformats.org/officeDocument/2006/relationships/hyperlink" Target="https://www.whatifsports.com/hbd/Pages/Popups/ProspectProfile.aspx?pid=13631701" TargetMode="External"/><Relationship Id="rId163" Type="http://schemas.openxmlformats.org/officeDocument/2006/relationships/hyperlink" Target="https://www.whatifsports.com/hbd/Pages/Popups/ProspectProfile.aspx?pid=13631429" TargetMode="External"/><Relationship Id="rId184" Type="http://schemas.openxmlformats.org/officeDocument/2006/relationships/hyperlink" Target="https://www.whatifsports.com/hbd/Pages/Popups/ProspectProfile.aspx?pid=13631673" TargetMode="External"/><Relationship Id="rId189" Type="http://schemas.openxmlformats.org/officeDocument/2006/relationships/hyperlink" Target="https://www.whatifsports.com/hbd/Pages/Popups/ProspectProfile.aspx?pid=13631775" TargetMode="External"/><Relationship Id="rId3" Type="http://schemas.openxmlformats.org/officeDocument/2006/relationships/hyperlink" Target="https://www.whatifsports.com/hbd/Pages/GM/AmateurDraftPlayerPool.aspx" TargetMode="External"/><Relationship Id="rId25" Type="http://schemas.openxmlformats.org/officeDocument/2006/relationships/hyperlink" Target="https://www.whatifsports.com/hbd/Pages/Popups/ProspectProfile.aspx?pid=13632212" TargetMode="External"/><Relationship Id="rId46" Type="http://schemas.openxmlformats.org/officeDocument/2006/relationships/hyperlink" Target="https://www.whatifsports.com/hbd/Pages/Popups/ProspectProfile.aspx?pid=13632149" TargetMode="External"/><Relationship Id="rId67" Type="http://schemas.openxmlformats.org/officeDocument/2006/relationships/hyperlink" Target="https://www.whatifsports.com/hbd/Pages/Popups/ProspectProfile.aspx?pid=13631989" TargetMode="External"/><Relationship Id="rId116" Type="http://schemas.openxmlformats.org/officeDocument/2006/relationships/hyperlink" Target="https://www.whatifsports.com/hbd/Pages/Popups/ProspectProfile.aspx?pid=13631585" TargetMode="External"/><Relationship Id="rId137" Type="http://schemas.openxmlformats.org/officeDocument/2006/relationships/hyperlink" Target="https://www.whatifsports.com/hbd/Pages/Popups/ProspectProfile.aspx?pid=13631839" TargetMode="External"/><Relationship Id="rId158" Type="http://schemas.openxmlformats.org/officeDocument/2006/relationships/hyperlink" Target="https://www.whatifsports.com/hbd/Pages/Popups/ProspectProfile.aspx?pid=13631752" TargetMode="External"/><Relationship Id="rId20" Type="http://schemas.openxmlformats.org/officeDocument/2006/relationships/hyperlink" Target="https://www.whatifsports.com/hbd/Pages/Popups/ProspectProfile.aspx?pid=13632223" TargetMode="External"/><Relationship Id="rId41" Type="http://schemas.openxmlformats.org/officeDocument/2006/relationships/hyperlink" Target="https://www.whatifsports.com/hbd/Pages/Popups/ProspectProfile.aspx?pid=13632123" TargetMode="External"/><Relationship Id="rId62" Type="http://schemas.openxmlformats.org/officeDocument/2006/relationships/hyperlink" Target="https://www.whatifsports.com/hbd/Pages/Popups/ProspectProfile.aspx?pid=13631916" TargetMode="External"/><Relationship Id="rId83" Type="http://schemas.openxmlformats.org/officeDocument/2006/relationships/hyperlink" Target="https://www.whatifsports.com/hbd/Pages/Popups/ProspectProfile.aspx?pid=13632023" TargetMode="External"/><Relationship Id="rId88" Type="http://schemas.openxmlformats.org/officeDocument/2006/relationships/hyperlink" Target="https://www.whatifsports.com/hbd/Pages/Popups/ProspectProfile.aspx?pid=13632029" TargetMode="External"/><Relationship Id="rId111" Type="http://schemas.openxmlformats.org/officeDocument/2006/relationships/hyperlink" Target="https://www.whatifsports.com/hbd/Pages/Popups/ProspectProfile.aspx?pid=13631636" TargetMode="External"/><Relationship Id="rId132" Type="http://schemas.openxmlformats.org/officeDocument/2006/relationships/hyperlink" Target="https://www.whatifsports.com/hbd/Pages/Popups/ProspectProfile.aspx?pid=13631505" TargetMode="External"/><Relationship Id="rId153" Type="http://schemas.openxmlformats.org/officeDocument/2006/relationships/hyperlink" Target="https://www.whatifsports.com/hbd/Pages/Popups/ProspectProfile.aspx?pid=13631730" TargetMode="External"/><Relationship Id="rId174" Type="http://schemas.openxmlformats.org/officeDocument/2006/relationships/hyperlink" Target="https://www.whatifsports.com/hbd/Pages/Popups/ProspectProfile.aspx?pid=13631497" TargetMode="External"/><Relationship Id="rId179" Type="http://schemas.openxmlformats.org/officeDocument/2006/relationships/hyperlink" Target="https://www.whatifsports.com/hbd/Pages/Popups/ProspectProfile.aspx?pid=13631762" TargetMode="External"/><Relationship Id="rId195" Type="http://schemas.openxmlformats.org/officeDocument/2006/relationships/hyperlink" Target="https://www.whatifsports.com/hbd/Pages/Popups/ProspectProfile.aspx?pid=13631478" TargetMode="External"/><Relationship Id="rId190" Type="http://schemas.openxmlformats.org/officeDocument/2006/relationships/hyperlink" Target="https://www.whatifsports.com/hbd/Pages/Popups/ProspectProfile.aspx?pid=13631551" TargetMode="External"/><Relationship Id="rId204" Type="http://schemas.openxmlformats.org/officeDocument/2006/relationships/hyperlink" Target="https://www.whatifsports.com/hbd/Pages/Popups/ProspectProfile.aspx?pid=13631435" TargetMode="External"/><Relationship Id="rId15" Type="http://schemas.openxmlformats.org/officeDocument/2006/relationships/hyperlink" Target="https://www.whatifsports.com/hbd/Pages/Popups/ProspectProfile.aspx?pid=13632207" TargetMode="External"/><Relationship Id="rId36" Type="http://schemas.openxmlformats.org/officeDocument/2006/relationships/hyperlink" Target="https://www.whatifsports.com/hbd/Pages/Popups/ProspectProfile.aspx?pid=13632172" TargetMode="External"/><Relationship Id="rId57" Type="http://schemas.openxmlformats.org/officeDocument/2006/relationships/hyperlink" Target="https://www.whatifsports.com/hbd/Pages/Popups/ProspectProfile.aspx?pid=13632208" TargetMode="External"/><Relationship Id="rId106" Type="http://schemas.openxmlformats.org/officeDocument/2006/relationships/hyperlink" Target="https://www.whatifsports.com/hbd/Pages/Popups/ProspectProfile.aspx?pid=13631853" TargetMode="External"/><Relationship Id="rId127" Type="http://schemas.openxmlformats.org/officeDocument/2006/relationships/hyperlink" Target="https://www.whatifsports.com/hbd/Pages/Popups/ProspectProfile.aspx?pid=13631635" TargetMode="External"/><Relationship Id="rId10" Type="http://schemas.openxmlformats.org/officeDocument/2006/relationships/hyperlink" Target="https://www.whatifsports.com/hbd/Pages/Popups/ProspectProfile.aspx?pid=13632216" TargetMode="External"/><Relationship Id="rId31" Type="http://schemas.openxmlformats.org/officeDocument/2006/relationships/hyperlink" Target="https://www.whatifsports.com/hbd/Pages/Popups/ProspectProfile.aspx?pid=13632224" TargetMode="External"/><Relationship Id="rId52" Type="http://schemas.openxmlformats.org/officeDocument/2006/relationships/hyperlink" Target="https://www.whatifsports.com/hbd/Pages/Popups/ProspectProfile.aspx?pid=13631977" TargetMode="External"/><Relationship Id="rId73" Type="http://schemas.openxmlformats.org/officeDocument/2006/relationships/hyperlink" Target="https://www.whatifsports.com/hbd/Pages/Popups/ProspectProfile.aspx?pid=13632115" TargetMode="External"/><Relationship Id="rId78" Type="http://schemas.openxmlformats.org/officeDocument/2006/relationships/hyperlink" Target="https://www.whatifsports.com/hbd/Pages/Popups/ProspectProfile.aspx?pid=13632063" TargetMode="External"/><Relationship Id="rId94" Type="http://schemas.openxmlformats.org/officeDocument/2006/relationships/hyperlink" Target="https://www.whatifsports.com/hbd/Pages/Popups/ProspectProfile.aspx?pid=13631996" TargetMode="External"/><Relationship Id="rId99" Type="http://schemas.openxmlformats.org/officeDocument/2006/relationships/hyperlink" Target="https://www.whatifsports.com/hbd/Pages/Popups/ProspectProfile.aspx?pid=13631963" TargetMode="External"/><Relationship Id="rId101" Type="http://schemas.openxmlformats.org/officeDocument/2006/relationships/hyperlink" Target="https://www.whatifsports.com/hbd/Pages/Popups/ProspectProfile.aspx?pid=13631913" TargetMode="External"/><Relationship Id="rId122" Type="http://schemas.openxmlformats.org/officeDocument/2006/relationships/hyperlink" Target="https://www.whatifsports.com/hbd/Pages/Popups/ProspectProfile.aspx?pid=13631791" TargetMode="External"/><Relationship Id="rId143" Type="http://schemas.openxmlformats.org/officeDocument/2006/relationships/hyperlink" Target="https://www.whatifsports.com/hbd/Pages/Popups/ProspectProfile.aspx?pid=13631607" TargetMode="External"/><Relationship Id="rId148" Type="http://schemas.openxmlformats.org/officeDocument/2006/relationships/hyperlink" Target="https://www.whatifsports.com/hbd/Pages/Popups/ProspectProfile.aspx?pid=13631617" TargetMode="External"/><Relationship Id="rId164" Type="http://schemas.openxmlformats.org/officeDocument/2006/relationships/hyperlink" Target="https://www.whatifsports.com/hbd/Pages/Popups/ProspectProfile.aspx?pid=13631680" TargetMode="External"/><Relationship Id="rId169" Type="http://schemas.openxmlformats.org/officeDocument/2006/relationships/hyperlink" Target="https://www.whatifsports.com/hbd/Pages/Popups/ProspectProfile.aspx?pid=13631667" TargetMode="External"/><Relationship Id="rId185" Type="http://schemas.openxmlformats.org/officeDocument/2006/relationships/hyperlink" Target="https://www.whatifsports.com/hbd/Pages/Popups/ProspectProfile.aspx?pid=13631610" TargetMode="External"/><Relationship Id="rId4" Type="http://schemas.openxmlformats.org/officeDocument/2006/relationships/hyperlink" Target="https://www.whatifsports.com/hbd/Pages/GM/AmateurDraftPlayerPool.aspx" TargetMode="External"/><Relationship Id="rId9" Type="http://schemas.openxmlformats.org/officeDocument/2006/relationships/hyperlink" Target="https://www.whatifsports.com/hbd/Pages/Popups/ProspectProfile.aspx?pid=13632238" TargetMode="External"/><Relationship Id="rId180" Type="http://schemas.openxmlformats.org/officeDocument/2006/relationships/hyperlink" Target="https://www.whatifsports.com/hbd/Pages/Popups/ProspectProfile.aspx?pid=13631648" TargetMode="External"/><Relationship Id="rId26" Type="http://schemas.openxmlformats.org/officeDocument/2006/relationships/hyperlink" Target="https://www.whatifsports.com/hbd/Pages/Popups/ProspectProfile.aspx?pid=13632206" TargetMode="External"/><Relationship Id="rId47" Type="http://schemas.openxmlformats.org/officeDocument/2006/relationships/hyperlink" Target="https://www.whatifsports.com/hbd/Pages/Popups/ProspectProfile.aspx?pid=13632078" TargetMode="External"/><Relationship Id="rId68" Type="http://schemas.openxmlformats.org/officeDocument/2006/relationships/hyperlink" Target="https://www.whatifsports.com/hbd/Pages/Popups/ProspectProfile.aspx?pid=13632013" TargetMode="External"/><Relationship Id="rId89" Type="http://schemas.openxmlformats.org/officeDocument/2006/relationships/hyperlink" Target="https://www.whatifsports.com/hbd/Pages/Popups/ProspectProfile.aspx?pid=13632085" TargetMode="External"/><Relationship Id="rId112" Type="http://schemas.openxmlformats.org/officeDocument/2006/relationships/hyperlink" Target="https://www.whatifsports.com/hbd/Pages/Popups/ProspectProfile.aspx?pid=13631678" TargetMode="External"/><Relationship Id="rId133" Type="http://schemas.openxmlformats.org/officeDocument/2006/relationships/hyperlink" Target="https://www.whatifsports.com/hbd/Pages/Popups/ProspectProfile.aspx?pid=13631433" TargetMode="External"/><Relationship Id="rId154" Type="http://schemas.openxmlformats.org/officeDocument/2006/relationships/hyperlink" Target="https://www.whatifsports.com/hbd/Pages/Popups/ProspectProfile.aspx?pid=13631605" TargetMode="External"/><Relationship Id="rId175" Type="http://schemas.openxmlformats.org/officeDocument/2006/relationships/hyperlink" Target="https://www.whatifsports.com/hbd/Pages/Popups/ProspectProfile.aspx?pid=13631414" TargetMode="External"/><Relationship Id="rId196" Type="http://schemas.openxmlformats.org/officeDocument/2006/relationships/hyperlink" Target="https://www.whatifsports.com/hbd/Pages/Popups/ProspectProfile.aspx?pid=13631731" TargetMode="External"/><Relationship Id="rId200" Type="http://schemas.openxmlformats.org/officeDocument/2006/relationships/hyperlink" Target="https://www.whatifsports.com/hbd/Pages/Popups/ProspectProfile.aspx?pid=1363148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6"/>
  <sheetViews>
    <sheetView workbookViewId="0">
      <pane ySplit="6" topLeftCell="A7" activePane="bottomLeft" state="frozen"/>
      <selection activeCell="N1" sqref="N1"/>
      <selection pane="bottomLeft" activeCell="K15" sqref="K15"/>
    </sheetView>
  </sheetViews>
  <sheetFormatPr defaultRowHeight="14.4" x14ac:dyDescent="0.3"/>
  <cols>
    <col min="1" max="1" width="12" bestFit="1" customWidth="1"/>
    <col min="2" max="2" width="5.33203125" bestFit="1" customWidth="1"/>
    <col min="3" max="3" width="19" bestFit="1" customWidth="1"/>
    <col min="4" max="4" width="4.109375" bestFit="1" customWidth="1"/>
    <col min="5" max="5" width="4.6640625" bestFit="1" customWidth="1"/>
    <col min="6" max="6" width="7.44140625" bestFit="1" customWidth="1"/>
    <col min="7" max="7" width="4.109375" bestFit="1" customWidth="1"/>
    <col min="8" max="12" width="4" bestFit="1" customWidth="1"/>
    <col min="13" max="13" width="9" bestFit="1" customWidth="1"/>
    <col min="14" max="14" width="4.6640625" bestFit="1" customWidth="1"/>
    <col min="15" max="15" width="7.6640625" bestFit="1" customWidth="1"/>
    <col min="16" max="16" width="5.6640625" bestFit="1" customWidth="1"/>
    <col min="17" max="17" width="3.5546875" bestFit="1" customWidth="1"/>
    <col min="18" max="18" width="21.5546875" bestFit="1" customWidth="1"/>
    <col min="19" max="19" width="3" bestFit="1" customWidth="1"/>
    <col min="20" max="21" width="2" bestFit="1" customWidth="1"/>
    <col min="22" max="22" width="2.6640625" bestFit="1" customWidth="1"/>
    <col min="23" max="25" width="4" bestFit="1" customWidth="1"/>
    <col min="26" max="26" width="4.109375" bestFit="1" customWidth="1"/>
    <col min="27" max="27" width="6.44140625" style="4" bestFit="1" customWidth="1"/>
    <col min="28" max="28" width="4" bestFit="1" customWidth="1"/>
    <col min="29" max="29" width="4.109375" bestFit="1" customWidth="1"/>
    <col min="30" max="30" width="4" bestFit="1" customWidth="1"/>
    <col min="31" max="31" width="5.109375" bestFit="1" customWidth="1"/>
    <col min="32" max="32" width="5.33203125" bestFit="1" customWidth="1"/>
    <col min="33" max="33" width="5.44140625" bestFit="1" customWidth="1"/>
    <col min="34" max="34" width="5.6640625" bestFit="1" customWidth="1"/>
    <col min="35" max="37" width="10" bestFit="1" customWidth="1"/>
    <col min="38" max="38" width="15.44140625" bestFit="1" customWidth="1"/>
    <col min="39" max="39" width="17.44140625" bestFit="1" customWidth="1"/>
  </cols>
  <sheetData>
    <row r="1" spans="1:39" ht="15" customHeight="1" thickBot="1" x14ac:dyDescent="0.35">
      <c r="B1" s="2"/>
      <c r="C1" s="2"/>
      <c r="D1" s="2"/>
      <c r="E1" s="2"/>
      <c r="F1" s="2"/>
      <c r="G1" s="1"/>
      <c r="H1" s="1">
        <v>1.2</v>
      </c>
      <c r="I1" s="1">
        <v>2</v>
      </c>
      <c r="J1" s="1">
        <v>1</v>
      </c>
      <c r="K1" s="1">
        <v>1.2</v>
      </c>
      <c r="L1" s="1">
        <v>1.6</v>
      </c>
      <c r="M1" s="7">
        <v>1</v>
      </c>
      <c r="N1" s="7">
        <v>0.2</v>
      </c>
      <c r="O1" s="1">
        <v>0.1</v>
      </c>
      <c r="P1" s="1"/>
      <c r="Q1" s="1"/>
      <c r="R1" s="1"/>
      <c r="S1" s="1"/>
      <c r="T1" s="1"/>
      <c r="U1" s="1"/>
      <c r="V1" s="1"/>
      <c r="W1" s="1">
        <v>1</v>
      </c>
      <c r="X1" s="1">
        <v>1</v>
      </c>
      <c r="Y1" s="1">
        <v>1</v>
      </c>
      <c r="Z1" s="1">
        <v>1</v>
      </c>
      <c r="AA1" s="1"/>
      <c r="AB1" s="1">
        <v>0.8</v>
      </c>
      <c r="AC1" s="1">
        <v>0.2</v>
      </c>
      <c r="AD1" s="1">
        <v>1</v>
      </c>
      <c r="AE1" s="1">
        <v>0.1</v>
      </c>
      <c r="AF1" s="1">
        <v>0.1</v>
      </c>
      <c r="AG1" s="1">
        <v>0.1</v>
      </c>
      <c r="AH1" s="1"/>
      <c r="AI1" s="26" t="s">
        <v>0</v>
      </c>
      <c r="AJ1" s="27"/>
      <c r="AK1" s="27"/>
      <c r="AL1" s="27"/>
      <c r="AM1" s="27"/>
    </row>
    <row r="2" spans="1:39" ht="15" customHeight="1" thickBot="1" x14ac:dyDescent="0.35"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>
        <v>0.2</v>
      </c>
      <c r="Y2" s="1">
        <v>0.5</v>
      </c>
      <c r="Z2" s="1">
        <v>0.3</v>
      </c>
      <c r="AA2" s="1">
        <v>1</v>
      </c>
      <c r="AB2" s="1"/>
      <c r="AC2" s="1"/>
      <c r="AD2" s="1"/>
      <c r="AE2" s="1"/>
      <c r="AF2" s="1"/>
      <c r="AG2" s="1"/>
      <c r="AH2" s="1"/>
    </row>
    <row r="3" spans="1:39" ht="15" customHeight="1" thickBot="1" x14ac:dyDescent="0.35">
      <c r="B3" s="2"/>
      <c r="C3" s="2"/>
      <c r="D3" s="2"/>
      <c r="E3" s="2"/>
      <c r="F3" s="2"/>
      <c r="G3" s="1"/>
      <c r="H3" s="21">
        <v>2.5</v>
      </c>
      <c r="I3" s="22"/>
      <c r="J3" s="22"/>
      <c r="K3" s="22"/>
      <c r="L3" s="22"/>
      <c r="M3" s="25">
        <v>0.6</v>
      </c>
      <c r="N3" s="22"/>
      <c r="O3" s="24"/>
      <c r="P3" s="6"/>
      <c r="Q3" s="6"/>
      <c r="R3" s="6"/>
      <c r="S3" s="6"/>
      <c r="T3" s="6"/>
      <c r="U3" s="6"/>
      <c r="V3" s="6"/>
      <c r="W3" s="23">
        <v>2</v>
      </c>
      <c r="X3" s="22"/>
      <c r="Y3" s="22"/>
      <c r="Z3" s="22"/>
      <c r="AA3" s="24"/>
      <c r="AB3" s="23">
        <v>1</v>
      </c>
      <c r="AC3" s="24"/>
      <c r="AD3" s="23">
        <v>0.6</v>
      </c>
      <c r="AE3" s="22"/>
      <c r="AF3" s="22"/>
      <c r="AG3" s="24"/>
      <c r="AH3" s="1"/>
      <c r="AI3">
        <v>2.5</v>
      </c>
      <c r="AJ3">
        <v>0.6</v>
      </c>
      <c r="AK3">
        <v>2</v>
      </c>
      <c r="AL3">
        <v>1</v>
      </c>
      <c r="AM3">
        <v>0.6</v>
      </c>
    </row>
    <row r="4" spans="1:39" ht="15" customHeight="1" thickBot="1" x14ac:dyDescent="0.35">
      <c r="B4" s="2"/>
      <c r="C4" s="2"/>
      <c r="D4" s="2"/>
      <c r="E4" s="2"/>
      <c r="F4" s="2"/>
      <c r="G4" s="1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3"/>
      <c r="X4" s="6"/>
      <c r="Y4" s="6"/>
      <c r="Z4" s="6"/>
      <c r="AA4" s="6"/>
      <c r="AB4" s="3"/>
      <c r="AC4" s="6"/>
      <c r="AD4" s="6"/>
      <c r="AE4" s="1"/>
      <c r="AF4" s="1"/>
      <c r="AG4" s="1"/>
      <c r="AH4" s="1"/>
      <c r="AK4" s="5"/>
    </row>
    <row r="5" spans="1:39" ht="15" customHeight="1" thickBot="1" x14ac:dyDescent="0.35">
      <c r="A5" s="5"/>
      <c r="B5" s="2"/>
      <c r="C5" s="2"/>
      <c r="D5" s="2"/>
      <c r="E5" s="2"/>
      <c r="F5" s="2"/>
      <c r="G5" s="1"/>
      <c r="H5" s="3">
        <v>100</v>
      </c>
      <c r="I5" s="3">
        <v>100</v>
      </c>
      <c r="J5" s="3">
        <v>100</v>
      </c>
      <c r="K5" s="3">
        <v>100</v>
      </c>
      <c r="L5" s="3">
        <v>100</v>
      </c>
      <c r="M5" s="3">
        <v>100</v>
      </c>
      <c r="N5" s="3">
        <v>100</v>
      </c>
      <c r="O5" s="3">
        <v>100</v>
      </c>
      <c r="P5" s="3">
        <v>100</v>
      </c>
      <c r="Q5" s="3"/>
      <c r="R5" s="3"/>
      <c r="S5" s="3"/>
      <c r="T5" s="3"/>
      <c r="U5" s="3"/>
      <c r="V5" s="3"/>
      <c r="W5" s="3">
        <v>100</v>
      </c>
      <c r="X5" s="3">
        <v>100</v>
      </c>
      <c r="Y5" s="3">
        <v>100</v>
      </c>
      <c r="Z5" s="3">
        <v>100</v>
      </c>
      <c r="AA5" s="3">
        <v>100</v>
      </c>
      <c r="AB5" s="3">
        <v>100</v>
      </c>
      <c r="AC5" s="3">
        <v>100</v>
      </c>
      <c r="AD5" s="3">
        <v>100</v>
      </c>
      <c r="AE5" s="3">
        <v>100</v>
      </c>
      <c r="AF5" s="3">
        <v>100</v>
      </c>
      <c r="AG5" s="3">
        <v>100</v>
      </c>
      <c r="AH5" s="1"/>
      <c r="AI5" s="5">
        <f>H$1*((-0.000002)*H5^3+0.00032*H5^2+(-0.0021)*H5)+I$1*((-0.000002)*I5^3+0.00032*I5^2+(-0.0021)*I5)+J$1*((-0.000002)*J5^3+0.00032*J5^2+(-0.0021)*J5)+K$1*((-0.000002)*K5^3+0.00032*K5^2+(-0.0021)*K5)+L$1*((-0.000002)*L5^3+0.00032*L5^2+(-0.0021)*L5)</f>
        <v>6.9300000000000024</v>
      </c>
      <c r="AJ5" s="5">
        <f>M$1*((-0.000002)*M5^3+0.00032*M5^2+(-0.0021)*M5)+N$1*((-0.000002)*N5^3+0.00032*N5^2+(-0.0021)*N5)+O$1*((-0.000002)*O5^3+0.00032*O5^2+(-0.0021)*O5)</f>
        <v>1.2870000000000001</v>
      </c>
      <c r="AK5" s="5">
        <f>IF(AA5&gt;50,W$1*((-0.000002)*W5^3+0.00032*W5^2+(-0.0021)*W5)+X$1*((-0.000002)*X5^3+0.00032*X5^2+(-0.0021)*X5)+Y$1*((-0.000002)*Y5^3+0.00032*Y5^2+(-0.0021)*Y5)+Z$1*((-0.000002)*Z5^3+0.00032*Z5^2+(-0.0021)*Z5),X$2*((-0.000002)*X5^3+0.00032*X5^2+(-0.0021)*X5)+Y$2*((-0.000002)*Y5^3+0.00032*Y5^2+(-0.0021)*Y5)+Z$2*((-0.000002)*Z5^3+0.00032*Z5^2+(-0.0021)*Z5)+AA$2*((-0.000002)*AA5^3+0.00032*AA5^2+(-0.0021)*AA5))</f>
        <v>3.9600000000000009</v>
      </c>
      <c r="AL5" s="5">
        <f>AB$1*((-0.000002)*AB5^3+0.00032*AB5^2+(-0.0021)*AB5)+AC$1*((-0.000002)*AC5^3+0.00032*AC5^2+(-0.0021)*AC5)</f>
        <v>0.99000000000000032</v>
      </c>
      <c r="AM5" s="5">
        <f>AD$1*((-0.000002)*AD5^3+0.00032*AD5^2+(-0.0021)*AD5)+AE$1*((-0.000002)*AE5^3+0.00032*AE5^2+(-0.0021)*AE5)+AF$1*((-0.000002)*AF5^3+0.00032*AF5^2+(-0.0021)*AF5)+AG$1*((-0.000002)*AG5^3+0.00032*AG5^2+(-0.0021)*AG5)</f>
        <v>1.2870000000000001</v>
      </c>
    </row>
    <row r="6" spans="1:39" ht="22.95" customHeight="1" x14ac:dyDescent="0.3">
      <c r="A6" s="20" t="s">
        <v>1</v>
      </c>
      <c r="B6" s="12" t="s">
        <v>2</v>
      </c>
      <c r="C6" s="13" t="s">
        <v>3</v>
      </c>
      <c r="D6" s="14" t="s">
        <v>4</v>
      </c>
      <c r="E6" s="14" t="s">
        <v>5</v>
      </c>
      <c r="F6" s="14" t="s">
        <v>6</v>
      </c>
      <c r="G6" s="14" t="s">
        <v>7</v>
      </c>
      <c r="H6" s="15" t="s">
        <v>8</v>
      </c>
      <c r="I6" s="15" t="s">
        <v>9</v>
      </c>
      <c r="J6" s="15" t="s">
        <v>10</v>
      </c>
      <c r="K6" s="15" t="s">
        <v>11</v>
      </c>
      <c r="L6" s="15" t="s">
        <v>12</v>
      </c>
      <c r="M6" s="15" t="s">
        <v>13</v>
      </c>
      <c r="N6" s="15" t="s">
        <v>14</v>
      </c>
      <c r="O6" s="15" t="s">
        <v>15</v>
      </c>
      <c r="P6" s="15" t="s">
        <v>16</v>
      </c>
      <c r="Q6" s="12" t="s">
        <v>17</v>
      </c>
      <c r="R6" s="13" t="s">
        <v>3</v>
      </c>
      <c r="S6" s="14" t="s">
        <v>4</v>
      </c>
      <c r="T6" s="14" t="s">
        <v>5</v>
      </c>
      <c r="U6" s="14" t="s">
        <v>6</v>
      </c>
      <c r="V6" s="14" t="s">
        <v>7</v>
      </c>
      <c r="W6" s="15" t="s">
        <v>18</v>
      </c>
      <c r="X6" s="15" t="s">
        <v>19</v>
      </c>
      <c r="Y6" s="15" t="s">
        <v>20</v>
      </c>
      <c r="Z6" s="15" t="s">
        <v>21</v>
      </c>
      <c r="AA6" s="15" t="s">
        <v>22</v>
      </c>
      <c r="AB6" s="15" t="s">
        <v>23</v>
      </c>
      <c r="AC6" s="15" t="s">
        <v>24</v>
      </c>
      <c r="AD6" s="15" t="s">
        <v>25</v>
      </c>
      <c r="AE6" s="15" t="s">
        <v>26</v>
      </c>
      <c r="AF6" s="15" t="s">
        <v>27</v>
      </c>
      <c r="AG6" s="15" t="s">
        <v>28</v>
      </c>
      <c r="AH6" s="15" t="s">
        <v>16</v>
      </c>
      <c r="AI6" s="5" t="s">
        <v>29</v>
      </c>
      <c r="AJ6" s="8" t="s">
        <v>30</v>
      </c>
      <c r="AK6" s="5" t="s">
        <v>31</v>
      </c>
      <c r="AL6" s="5" t="s">
        <v>32</v>
      </c>
      <c r="AM6" s="5" t="s">
        <v>33</v>
      </c>
    </row>
    <row r="7" spans="1:39" ht="15" customHeight="1" thickBot="1" x14ac:dyDescent="0.35">
      <c r="A7" s="5">
        <f t="shared" ref="A7:A70" si="0">IFERROR((AI7*AI$3+AJ7*AJ$3+AK7*AK$3+AL7*AL$3+AM7*AM$3)*100/(AI$5*AI$3+AJ$5*AJ$3+AK$5*AK$3+AL$5*AL$3+AM$5*AM$3),0)</f>
        <v>75.250026854431681</v>
      </c>
      <c r="B7" s="16">
        <v>1</v>
      </c>
      <c r="C7" s="10" t="s">
        <v>34</v>
      </c>
      <c r="D7" s="17" t="s">
        <v>35</v>
      </c>
      <c r="E7" s="17" t="s">
        <v>36</v>
      </c>
      <c r="F7" s="17" t="s">
        <v>36</v>
      </c>
      <c r="G7" s="17">
        <v>18</v>
      </c>
      <c r="H7" s="17">
        <v>88</v>
      </c>
      <c r="I7" s="17">
        <v>52</v>
      </c>
      <c r="J7" s="17">
        <v>61</v>
      </c>
      <c r="K7" s="17">
        <v>77</v>
      </c>
      <c r="L7" s="17">
        <v>72</v>
      </c>
      <c r="M7" s="17">
        <v>88</v>
      </c>
      <c r="N7" s="17">
        <v>42</v>
      </c>
      <c r="O7" s="17">
        <v>62</v>
      </c>
      <c r="P7" s="17">
        <v>88</v>
      </c>
      <c r="Q7" s="16">
        <v>1</v>
      </c>
      <c r="R7" s="10" t="s">
        <v>34</v>
      </c>
      <c r="S7" s="17" t="s">
        <v>35</v>
      </c>
      <c r="T7" s="17" t="s">
        <v>36</v>
      </c>
      <c r="U7" s="17" t="s">
        <v>36</v>
      </c>
      <c r="V7" s="17">
        <v>18</v>
      </c>
      <c r="W7" s="17">
        <v>63</v>
      </c>
      <c r="X7" s="17">
        <v>66</v>
      </c>
      <c r="Y7" s="17">
        <v>100</v>
      </c>
      <c r="Z7" s="17">
        <v>87</v>
      </c>
      <c r="AA7" s="17">
        <v>0</v>
      </c>
      <c r="AB7" s="17">
        <v>92</v>
      </c>
      <c r="AC7" s="17">
        <v>100</v>
      </c>
      <c r="AD7" s="17">
        <v>89</v>
      </c>
      <c r="AE7" s="17">
        <v>42</v>
      </c>
      <c r="AF7" s="17">
        <v>46</v>
      </c>
      <c r="AG7" s="17">
        <v>64</v>
      </c>
      <c r="AH7" s="17">
        <v>88</v>
      </c>
      <c r="AI7" s="5">
        <f t="shared" ref="AI7:AI70" si="1">H$1*((-0.000002)*H7^3+0.00032*H7^2+(-0.0021)*H7)+I$1*((-0.000002)*I7^3+0.00032*I7^2+(-0.0021)*I7)+J$1*((-0.000002)*J7^3+0.00032*J7^2+(-0.0021)*J7)+K$1*((-0.000002)*K7^3+0.00032*K7^2+(-0.0021)*K7)+L$1*((-0.000002)*L7^3+0.00032*L7^2+(-0.0021)*L7)</f>
        <v>4.8797004000000017</v>
      </c>
      <c r="AJ7" s="5">
        <f t="shared" ref="AJ7:AJ70" si="2">M$1*((-0.000002)*M7^3+0.00032*M7^2+(-0.0021)*M7)+N$1*((-0.000002)*N7^3+0.00032*N7^2+(-0.0021)*N7)+O$1*((-0.000002)*O7^3+0.00032*O7^2+(-0.0021)*O7)</f>
        <v>1.0582792000000005</v>
      </c>
      <c r="AK7" s="5">
        <f t="shared" ref="AK7:AK70" si="3">IF(AA7&lt;50,W$1*((-0.000002)*W7^3+0.00032*W7^2+(-0.0021)*W7)+X$1*((-0.000002)*X7^3+0.00032*X7^2+(-0.0021)*X7)+Y$1*((-0.000002)*Y7^3+0.00032*Y7^2+(-0.0021)*Y7)+Z$1*((-0.000002)*Z7^3+0.00032*Z7^2+(-0.0021)*Z7),X$2*((-0.000002)*X7^3+0.00032*X7^2+(-0.0021)*X7)+Y$2*((-0.000002)*Y7^3+0.00032*Y7^2+(-0.0021)*Y7)+Z$2*((-0.000002)*Z7^3+0.00032*Z7^2+(-0.0021)*Z7)+AA$2*((-0.000002)*AA7^3+0.00032*AA7^2+(-0.0021)*AA7))</f>
        <v>3.2303880000000009</v>
      </c>
      <c r="AL7" s="5">
        <f t="shared" ref="AL7:AL70" si="4">AB$1*((-0.000002)*AB7^3+0.00032*AB7^2+(-0.0021)*AB7)+AC$1*((-0.000002)*AC7^3+0.00032*AC7^2+(-0.0021)*AC7)</f>
        <v>0.96432320000000038</v>
      </c>
      <c r="AM7" s="5">
        <f t="shared" ref="AM7:AM70" si="5">AD$1*((-0.000002)*AD7^3+0.00032*AD7^2+(-0.0021)*AD7)+AE$1*((-0.000002)*AE7^3+0.00032*AE7^2+(-0.0021)*AE7)+AF$1*((-0.000002)*AF7^3+0.00032*AF7^2+(-0.0021)*AF7)+AG$1*((-0.000002)*AG7^3+0.00032*AG7^2+(-0.0021)*AG7)</f>
        <v>1.0744804000000003</v>
      </c>
    </row>
    <row r="8" spans="1:39" ht="15" customHeight="1" thickBot="1" x14ac:dyDescent="0.35">
      <c r="A8" s="5">
        <f t="shared" si="0"/>
        <v>83.537811327818446</v>
      </c>
      <c r="B8" s="18">
        <v>2</v>
      </c>
      <c r="C8" s="11" t="s">
        <v>37</v>
      </c>
      <c r="D8" s="19" t="s">
        <v>38</v>
      </c>
      <c r="E8" s="19" t="s">
        <v>36</v>
      </c>
      <c r="F8" s="19" t="s">
        <v>36</v>
      </c>
      <c r="G8" s="19">
        <v>18</v>
      </c>
      <c r="H8" s="19">
        <v>82</v>
      </c>
      <c r="I8" s="19">
        <v>86</v>
      </c>
      <c r="J8" s="19">
        <v>84</v>
      </c>
      <c r="K8" s="19">
        <v>45</v>
      </c>
      <c r="L8" s="19">
        <v>82</v>
      </c>
      <c r="M8" s="19">
        <v>62</v>
      </c>
      <c r="N8" s="19">
        <v>47</v>
      </c>
      <c r="O8" s="19">
        <v>73</v>
      </c>
      <c r="P8" s="19">
        <v>89</v>
      </c>
      <c r="Q8" s="18">
        <v>2</v>
      </c>
      <c r="R8" s="11" t="s">
        <v>37</v>
      </c>
      <c r="S8" s="19" t="s">
        <v>38</v>
      </c>
      <c r="T8" s="19" t="s">
        <v>36</v>
      </c>
      <c r="U8" s="19" t="s">
        <v>36</v>
      </c>
      <c r="V8" s="19">
        <v>18</v>
      </c>
      <c r="W8" s="19">
        <v>95</v>
      </c>
      <c r="X8" s="19">
        <v>100</v>
      </c>
      <c r="Y8" s="19">
        <v>77</v>
      </c>
      <c r="Z8" s="19">
        <v>74</v>
      </c>
      <c r="AA8" s="19">
        <v>4</v>
      </c>
      <c r="AB8" s="19">
        <v>78</v>
      </c>
      <c r="AC8" s="19">
        <v>62</v>
      </c>
      <c r="AD8" s="19">
        <v>100</v>
      </c>
      <c r="AE8" s="19">
        <v>75</v>
      </c>
      <c r="AF8" s="19">
        <v>63</v>
      </c>
      <c r="AG8" s="19">
        <v>98</v>
      </c>
      <c r="AH8" s="19">
        <v>89</v>
      </c>
      <c r="AI8" s="5">
        <f t="shared" si="1"/>
        <v>5.6245112000000024</v>
      </c>
      <c r="AJ8" s="5">
        <f t="shared" si="2"/>
        <v>0.78072540000000012</v>
      </c>
      <c r="AK8" s="5">
        <f t="shared" si="3"/>
        <v>3.5727360000000012</v>
      </c>
      <c r="AL8" s="5">
        <f t="shared" si="4"/>
        <v>0.79182560000000024</v>
      </c>
      <c r="AM8" s="5">
        <f t="shared" si="5"/>
        <v>1.2321532000000002</v>
      </c>
    </row>
    <row r="9" spans="1:39" ht="15" customHeight="1" thickBot="1" x14ac:dyDescent="0.35">
      <c r="A9" s="5">
        <f t="shared" si="0"/>
        <v>69.832542819499324</v>
      </c>
      <c r="B9" s="18">
        <v>3</v>
      </c>
      <c r="C9" s="11" t="s">
        <v>39</v>
      </c>
      <c r="D9" s="19" t="s">
        <v>40</v>
      </c>
      <c r="E9" s="19" t="s">
        <v>36</v>
      </c>
      <c r="F9" s="19" t="s">
        <v>36</v>
      </c>
      <c r="G9" s="19">
        <v>18</v>
      </c>
      <c r="H9" s="19">
        <v>99</v>
      </c>
      <c r="I9" s="19">
        <v>92</v>
      </c>
      <c r="J9" s="19">
        <v>55</v>
      </c>
      <c r="K9" s="19">
        <v>40</v>
      </c>
      <c r="L9" s="19">
        <v>77</v>
      </c>
      <c r="M9" s="19">
        <v>43</v>
      </c>
      <c r="N9" s="19">
        <v>52</v>
      </c>
      <c r="O9" s="19">
        <v>33</v>
      </c>
      <c r="P9" s="19">
        <v>81</v>
      </c>
      <c r="Q9" s="18">
        <v>3</v>
      </c>
      <c r="R9" s="11" t="s">
        <v>39</v>
      </c>
      <c r="S9" s="19" t="s">
        <v>40</v>
      </c>
      <c r="T9" s="19" t="s">
        <v>36</v>
      </c>
      <c r="U9" s="19" t="s">
        <v>36</v>
      </c>
      <c r="V9" s="19">
        <v>18</v>
      </c>
      <c r="W9" s="19">
        <v>55</v>
      </c>
      <c r="X9" s="19">
        <v>50</v>
      </c>
      <c r="Y9" s="19">
        <v>61</v>
      </c>
      <c r="Z9" s="19">
        <v>67</v>
      </c>
      <c r="AA9" s="19">
        <v>0</v>
      </c>
      <c r="AB9" s="19">
        <v>92</v>
      </c>
      <c r="AC9" s="19">
        <v>86</v>
      </c>
      <c r="AD9" s="19">
        <v>51</v>
      </c>
      <c r="AE9" s="19">
        <v>37</v>
      </c>
      <c r="AF9" s="19">
        <v>88</v>
      </c>
      <c r="AG9" s="19">
        <v>78</v>
      </c>
      <c r="AH9" s="19">
        <v>81</v>
      </c>
      <c r="AI9" s="5">
        <f t="shared" si="1"/>
        <v>5.2969668000000016</v>
      </c>
      <c r="AJ9" s="5">
        <f t="shared" si="2"/>
        <v>0.45806940000000013</v>
      </c>
      <c r="AK9" s="5">
        <f t="shared" si="3"/>
        <v>2.2676620000000005</v>
      </c>
      <c r="AL9" s="5">
        <f t="shared" si="4"/>
        <v>0.94912480000000043</v>
      </c>
      <c r="AM9" s="5">
        <f t="shared" si="5"/>
        <v>0.6622566000000002</v>
      </c>
    </row>
    <row r="10" spans="1:39" ht="15" customHeight="1" thickBot="1" x14ac:dyDescent="0.35">
      <c r="A10" s="5">
        <f t="shared" si="0"/>
        <v>67.41768403925208</v>
      </c>
      <c r="B10" s="18">
        <v>5</v>
      </c>
      <c r="C10" s="11" t="s">
        <v>41</v>
      </c>
      <c r="D10" s="19" t="s">
        <v>42</v>
      </c>
      <c r="E10" s="19" t="s">
        <v>36</v>
      </c>
      <c r="F10" s="19" t="s">
        <v>36</v>
      </c>
      <c r="G10" s="19">
        <v>18</v>
      </c>
      <c r="H10" s="19">
        <v>59</v>
      </c>
      <c r="I10" s="19">
        <v>76</v>
      </c>
      <c r="J10" s="19">
        <v>66</v>
      </c>
      <c r="K10" s="19">
        <v>75</v>
      </c>
      <c r="L10" s="19">
        <v>71</v>
      </c>
      <c r="M10" s="19">
        <v>51</v>
      </c>
      <c r="N10" s="19">
        <v>44</v>
      </c>
      <c r="O10" s="19">
        <v>39</v>
      </c>
      <c r="P10" s="19">
        <v>74</v>
      </c>
      <c r="Q10" s="18">
        <v>5</v>
      </c>
      <c r="R10" s="11" t="s">
        <v>41</v>
      </c>
      <c r="S10" s="19" t="s">
        <v>42</v>
      </c>
      <c r="T10" s="19" t="s">
        <v>36</v>
      </c>
      <c r="U10" s="19" t="s">
        <v>36</v>
      </c>
      <c r="V10" s="19">
        <v>18</v>
      </c>
      <c r="W10" s="19">
        <v>69</v>
      </c>
      <c r="X10" s="19">
        <v>79</v>
      </c>
      <c r="Y10" s="19">
        <v>32</v>
      </c>
      <c r="Z10" s="19">
        <v>42</v>
      </c>
      <c r="AA10" s="19">
        <v>14</v>
      </c>
      <c r="AB10" s="19">
        <v>80</v>
      </c>
      <c r="AC10" s="19">
        <v>67</v>
      </c>
      <c r="AD10" s="19">
        <v>61</v>
      </c>
      <c r="AE10" s="19">
        <v>60</v>
      </c>
      <c r="AF10" s="19">
        <v>90</v>
      </c>
      <c r="AG10" s="19">
        <v>78</v>
      </c>
      <c r="AH10" s="19">
        <v>74</v>
      </c>
      <c r="AI10" s="5">
        <f t="shared" si="1"/>
        <v>5.1525952000000004</v>
      </c>
      <c r="AJ10" s="5">
        <f t="shared" si="2"/>
        <v>0.55988660000000012</v>
      </c>
      <c r="AK10" s="5">
        <f t="shared" si="3"/>
        <v>2.0897920000000005</v>
      </c>
      <c r="AL10" s="5">
        <f t="shared" si="4"/>
        <v>0.82365080000000013</v>
      </c>
      <c r="AM10" s="5">
        <f t="shared" si="5"/>
        <v>0.84595560000000014</v>
      </c>
    </row>
    <row r="11" spans="1:39" ht="15" customHeight="1" thickBot="1" x14ac:dyDescent="0.35">
      <c r="A11" s="5">
        <f t="shared" si="0"/>
        <v>74.307689006961994</v>
      </c>
      <c r="B11" s="16">
        <v>7</v>
      </c>
      <c r="C11" s="10" t="s">
        <v>43</v>
      </c>
      <c r="D11" s="17" t="s">
        <v>35</v>
      </c>
      <c r="E11" s="17" t="s">
        <v>36</v>
      </c>
      <c r="F11" s="17" t="s">
        <v>36</v>
      </c>
      <c r="G11" s="17">
        <v>18</v>
      </c>
      <c r="H11" s="17">
        <v>37</v>
      </c>
      <c r="I11" s="17">
        <v>95</v>
      </c>
      <c r="J11" s="17">
        <v>80</v>
      </c>
      <c r="K11" s="17">
        <v>68</v>
      </c>
      <c r="L11" s="17">
        <v>78</v>
      </c>
      <c r="M11" s="17">
        <v>40</v>
      </c>
      <c r="N11" s="17">
        <v>45</v>
      </c>
      <c r="O11" s="17">
        <v>36</v>
      </c>
      <c r="P11" s="17">
        <v>80</v>
      </c>
      <c r="Q11" s="16">
        <v>7</v>
      </c>
      <c r="R11" s="10" t="s">
        <v>43</v>
      </c>
      <c r="S11" s="17" t="s">
        <v>35</v>
      </c>
      <c r="T11" s="17" t="s">
        <v>36</v>
      </c>
      <c r="U11" s="17" t="s">
        <v>36</v>
      </c>
      <c r="V11" s="17">
        <v>18</v>
      </c>
      <c r="W11" s="17">
        <v>60</v>
      </c>
      <c r="X11" s="17">
        <v>58</v>
      </c>
      <c r="Y11" s="17">
        <v>94</v>
      </c>
      <c r="Z11" s="17">
        <v>74</v>
      </c>
      <c r="AA11" s="17">
        <v>34</v>
      </c>
      <c r="AB11" s="17">
        <v>78</v>
      </c>
      <c r="AC11" s="17">
        <v>100</v>
      </c>
      <c r="AD11" s="17">
        <v>60</v>
      </c>
      <c r="AE11" s="17">
        <v>67</v>
      </c>
      <c r="AF11" s="17">
        <v>32</v>
      </c>
      <c r="AG11" s="17">
        <v>85</v>
      </c>
      <c r="AH11" s="17">
        <v>80</v>
      </c>
      <c r="AI11" s="5">
        <f t="shared" si="1"/>
        <v>5.2983696000000009</v>
      </c>
      <c r="AJ11" s="5">
        <f t="shared" si="2"/>
        <v>0.39883080000000004</v>
      </c>
      <c r="AK11" s="5">
        <f t="shared" si="3"/>
        <v>2.9138800000000011</v>
      </c>
      <c r="AL11" s="5">
        <f t="shared" si="4"/>
        <v>0.86518080000000031</v>
      </c>
      <c r="AM11" s="5">
        <f t="shared" si="5"/>
        <v>0.77344480000000027</v>
      </c>
    </row>
    <row r="12" spans="1:39" ht="15" customHeight="1" thickBot="1" x14ac:dyDescent="0.35">
      <c r="A12" s="5">
        <f t="shared" si="0"/>
        <v>63.931150564807005</v>
      </c>
      <c r="B12" s="18">
        <v>11</v>
      </c>
      <c r="C12" s="11" t="s">
        <v>44</v>
      </c>
      <c r="D12" s="19" t="s">
        <v>45</v>
      </c>
      <c r="E12" s="19" t="s">
        <v>46</v>
      </c>
      <c r="F12" s="19" t="s">
        <v>47</v>
      </c>
      <c r="G12" s="19">
        <v>18</v>
      </c>
      <c r="H12" s="19">
        <v>77</v>
      </c>
      <c r="I12" s="19">
        <v>77</v>
      </c>
      <c r="J12" s="19">
        <v>61</v>
      </c>
      <c r="K12" s="19">
        <v>71</v>
      </c>
      <c r="L12" s="19">
        <v>62</v>
      </c>
      <c r="M12" s="19">
        <v>21</v>
      </c>
      <c r="N12" s="19">
        <v>0</v>
      </c>
      <c r="O12" s="19">
        <v>26</v>
      </c>
      <c r="P12" s="19">
        <v>73</v>
      </c>
      <c r="Q12" s="18">
        <v>11</v>
      </c>
      <c r="R12" s="11" t="s">
        <v>44</v>
      </c>
      <c r="S12" s="19" t="s">
        <v>45</v>
      </c>
      <c r="T12" s="19" t="s">
        <v>46</v>
      </c>
      <c r="U12" s="19" t="s">
        <v>47</v>
      </c>
      <c r="V12" s="19">
        <v>18</v>
      </c>
      <c r="W12" s="19">
        <v>53</v>
      </c>
      <c r="X12" s="19">
        <v>47</v>
      </c>
      <c r="Y12" s="19">
        <v>46</v>
      </c>
      <c r="Z12" s="19">
        <v>56</v>
      </c>
      <c r="AA12" s="19">
        <v>14</v>
      </c>
      <c r="AB12" s="19">
        <v>91</v>
      </c>
      <c r="AC12" s="19">
        <v>100</v>
      </c>
      <c r="AD12" s="19">
        <v>43</v>
      </c>
      <c r="AE12" s="19">
        <v>81</v>
      </c>
      <c r="AF12" s="19">
        <v>23</v>
      </c>
      <c r="AG12" s="19">
        <v>44</v>
      </c>
      <c r="AH12" s="19">
        <v>73</v>
      </c>
      <c r="AI12" s="5">
        <f t="shared" si="1"/>
        <v>5.135698800000001</v>
      </c>
      <c r="AJ12" s="5">
        <f t="shared" si="2"/>
        <v>9.1154800000000036E-2</v>
      </c>
      <c r="AK12" s="5">
        <f t="shared" si="3"/>
        <v>1.8108960000000005</v>
      </c>
      <c r="AL12" s="5">
        <f t="shared" si="4"/>
        <v>0.95934240000000026</v>
      </c>
      <c r="AM12" s="5">
        <f t="shared" si="5"/>
        <v>0.47435960000000016</v>
      </c>
    </row>
    <row r="13" spans="1:39" ht="15" customHeight="1" thickBot="1" x14ac:dyDescent="0.35">
      <c r="A13" s="5">
        <f t="shared" si="0"/>
        <v>62.680296766668818</v>
      </c>
      <c r="B13" s="16">
        <v>12</v>
      </c>
      <c r="C13" s="10" t="s">
        <v>48</v>
      </c>
      <c r="D13" s="17" t="s">
        <v>49</v>
      </c>
      <c r="E13" s="17" t="s">
        <v>36</v>
      </c>
      <c r="F13" s="17" t="s">
        <v>36</v>
      </c>
      <c r="G13" s="17">
        <v>18</v>
      </c>
      <c r="H13" s="17">
        <v>93</v>
      </c>
      <c r="I13" s="17">
        <v>28</v>
      </c>
      <c r="J13" s="17">
        <v>44</v>
      </c>
      <c r="K13" s="17">
        <v>59</v>
      </c>
      <c r="L13" s="17">
        <v>59</v>
      </c>
      <c r="M13" s="17">
        <v>74</v>
      </c>
      <c r="N13" s="17">
        <v>77</v>
      </c>
      <c r="O13" s="17">
        <v>45</v>
      </c>
      <c r="P13" s="17">
        <v>80</v>
      </c>
      <c r="Q13" s="16">
        <v>12</v>
      </c>
      <c r="R13" s="10" t="s">
        <v>48</v>
      </c>
      <c r="S13" s="17" t="s">
        <v>49</v>
      </c>
      <c r="T13" s="17" t="s">
        <v>36</v>
      </c>
      <c r="U13" s="17" t="s">
        <v>36</v>
      </c>
      <c r="V13" s="17">
        <v>18</v>
      </c>
      <c r="W13" s="17">
        <v>100</v>
      </c>
      <c r="X13" s="17">
        <v>83</v>
      </c>
      <c r="Y13" s="17">
        <v>60</v>
      </c>
      <c r="Z13" s="17">
        <v>80</v>
      </c>
      <c r="AA13" s="17">
        <v>21</v>
      </c>
      <c r="AB13" s="17">
        <v>85</v>
      </c>
      <c r="AC13" s="17">
        <v>100</v>
      </c>
      <c r="AD13" s="17">
        <v>95</v>
      </c>
      <c r="AE13" s="17">
        <v>82</v>
      </c>
      <c r="AF13" s="17">
        <v>0</v>
      </c>
      <c r="AG13" s="17">
        <v>52</v>
      </c>
      <c r="AH13" s="17">
        <v>80</v>
      </c>
      <c r="AI13" s="5">
        <f t="shared" si="1"/>
        <v>3.4314368000000006</v>
      </c>
      <c r="AJ13" s="5">
        <f t="shared" si="2"/>
        <v>0.98809980000000019</v>
      </c>
      <c r="AK13" s="5">
        <f t="shared" si="3"/>
        <v>3.3266060000000008</v>
      </c>
      <c r="AL13" s="5">
        <f t="shared" si="4"/>
        <v>0.92220000000000046</v>
      </c>
      <c r="AM13" s="5">
        <f t="shared" si="5"/>
        <v>1.1089108000000003</v>
      </c>
    </row>
    <row r="14" spans="1:39" ht="15" customHeight="1" thickBot="1" x14ac:dyDescent="0.35">
      <c r="A14" s="5">
        <f t="shared" si="0"/>
        <v>68.597196051750558</v>
      </c>
      <c r="B14" s="18">
        <v>14</v>
      </c>
      <c r="C14" s="11" t="s">
        <v>50</v>
      </c>
      <c r="D14" s="19" t="s">
        <v>38</v>
      </c>
      <c r="E14" s="19" t="s">
        <v>47</v>
      </c>
      <c r="F14" s="19" t="s">
        <v>36</v>
      </c>
      <c r="G14" s="19">
        <v>18</v>
      </c>
      <c r="H14" s="19">
        <v>73</v>
      </c>
      <c r="I14" s="19">
        <v>51</v>
      </c>
      <c r="J14" s="19">
        <v>33</v>
      </c>
      <c r="K14" s="19">
        <v>67</v>
      </c>
      <c r="L14" s="19">
        <v>60</v>
      </c>
      <c r="M14" s="19">
        <v>72</v>
      </c>
      <c r="N14" s="19">
        <v>42</v>
      </c>
      <c r="O14" s="19">
        <v>47</v>
      </c>
      <c r="P14" s="19">
        <v>73</v>
      </c>
      <c r="Q14" s="18">
        <v>14</v>
      </c>
      <c r="R14" s="11" t="s">
        <v>50</v>
      </c>
      <c r="S14" s="19" t="s">
        <v>38</v>
      </c>
      <c r="T14" s="19" t="s">
        <v>47</v>
      </c>
      <c r="U14" s="19" t="s">
        <v>36</v>
      </c>
      <c r="V14" s="19">
        <v>18</v>
      </c>
      <c r="W14" s="19">
        <v>89</v>
      </c>
      <c r="X14" s="19">
        <v>100</v>
      </c>
      <c r="Y14" s="19">
        <v>100</v>
      </c>
      <c r="Z14" s="19">
        <v>86</v>
      </c>
      <c r="AA14" s="19">
        <v>2</v>
      </c>
      <c r="AB14" s="19">
        <v>74</v>
      </c>
      <c r="AC14" s="19">
        <v>85</v>
      </c>
      <c r="AD14" s="19">
        <v>57</v>
      </c>
      <c r="AE14" s="19">
        <v>66</v>
      </c>
      <c r="AF14" s="19">
        <v>87</v>
      </c>
      <c r="AG14" s="19">
        <v>62</v>
      </c>
      <c r="AH14" s="19">
        <v>73</v>
      </c>
      <c r="AI14" s="5">
        <f t="shared" si="1"/>
        <v>3.8393820000000005</v>
      </c>
      <c r="AJ14" s="5">
        <f t="shared" si="2"/>
        <v>0.86685820000000025</v>
      </c>
      <c r="AK14" s="5">
        <f t="shared" si="3"/>
        <v>3.8318900000000009</v>
      </c>
      <c r="AL14" s="5">
        <f t="shared" si="4"/>
        <v>0.81022760000000038</v>
      </c>
      <c r="AM14" s="5">
        <f t="shared" si="5"/>
        <v>0.77218660000000017</v>
      </c>
    </row>
    <row r="15" spans="1:39" ht="15" customHeight="1" thickBot="1" x14ac:dyDescent="0.35">
      <c r="A15" s="5">
        <f t="shared" si="0"/>
        <v>60.439092133019415</v>
      </c>
      <c r="B15" s="16">
        <v>17</v>
      </c>
      <c r="C15" s="10" t="s">
        <v>51</v>
      </c>
      <c r="D15" s="17" t="s">
        <v>45</v>
      </c>
      <c r="E15" s="17" t="s">
        <v>47</v>
      </c>
      <c r="F15" s="17" t="s">
        <v>47</v>
      </c>
      <c r="G15" s="17">
        <v>18</v>
      </c>
      <c r="H15" s="17">
        <v>89</v>
      </c>
      <c r="I15" s="17">
        <v>56</v>
      </c>
      <c r="J15" s="17">
        <v>56</v>
      </c>
      <c r="K15" s="17">
        <v>58</v>
      </c>
      <c r="L15" s="17">
        <v>57</v>
      </c>
      <c r="M15" s="17">
        <v>95</v>
      </c>
      <c r="N15" s="17">
        <v>32</v>
      </c>
      <c r="O15" s="17">
        <v>31</v>
      </c>
      <c r="P15" s="17">
        <v>74</v>
      </c>
      <c r="Q15" s="16">
        <v>17</v>
      </c>
      <c r="R15" s="10" t="s">
        <v>51</v>
      </c>
      <c r="S15" s="17" t="s">
        <v>45</v>
      </c>
      <c r="T15" s="17" t="s">
        <v>47</v>
      </c>
      <c r="U15" s="17" t="s">
        <v>47</v>
      </c>
      <c r="V15" s="17">
        <v>18</v>
      </c>
      <c r="W15" s="17">
        <v>61</v>
      </c>
      <c r="X15" s="17">
        <v>50</v>
      </c>
      <c r="Y15" s="17">
        <v>48</v>
      </c>
      <c r="Z15" s="17">
        <v>58</v>
      </c>
      <c r="AA15" s="17">
        <v>11</v>
      </c>
      <c r="AB15" s="17">
        <v>84</v>
      </c>
      <c r="AC15" s="17">
        <v>89</v>
      </c>
      <c r="AD15" s="17">
        <v>63</v>
      </c>
      <c r="AE15" s="17">
        <v>56</v>
      </c>
      <c r="AF15" s="17">
        <v>62</v>
      </c>
      <c r="AG15" s="17">
        <v>56</v>
      </c>
      <c r="AH15" s="17">
        <v>74</v>
      </c>
      <c r="AI15" s="5">
        <f t="shared" si="1"/>
        <v>4.286220000000001</v>
      </c>
      <c r="AJ15" s="5">
        <f t="shared" si="2"/>
        <v>1.0310226000000005</v>
      </c>
      <c r="AK15" s="5">
        <f t="shared" si="3"/>
        <v>2.0334100000000004</v>
      </c>
      <c r="AL15" s="5">
        <f t="shared" si="4"/>
        <v>0.90446600000000044</v>
      </c>
      <c r="AM15" s="5">
        <f t="shared" si="5"/>
        <v>0.80694600000000016</v>
      </c>
    </row>
    <row r="16" spans="1:39" ht="15" customHeight="1" thickBot="1" x14ac:dyDescent="0.35">
      <c r="A16" s="5">
        <f t="shared" si="0"/>
        <v>66.857346666954641</v>
      </c>
      <c r="B16" s="18">
        <v>18</v>
      </c>
      <c r="C16" s="11" t="s">
        <v>52</v>
      </c>
      <c r="D16" s="19" t="s">
        <v>49</v>
      </c>
      <c r="E16" s="19" t="s">
        <v>36</v>
      </c>
      <c r="F16" s="19" t="s">
        <v>36</v>
      </c>
      <c r="G16" s="19">
        <v>18</v>
      </c>
      <c r="H16" s="19">
        <v>26</v>
      </c>
      <c r="I16" s="19">
        <v>100</v>
      </c>
      <c r="J16" s="19">
        <v>60</v>
      </c>
      <c r="K16" s="19">
        <v>66</v>
      </c>
      <c r="L16" s="19">
        <v>76</v>
      </c>
      <c r="M16" s="19">
        <v>42</v>
      </c>
      <c r="N16" s="19">
        <v>31</v>
      </c>
      <c r="O16" s="19">
        <v>44</v>
      </c>
      <c r="P16" s="19">
        <v>61</v>
      </c>
      <c r="Q16" s="18">
        <v>18</v>
      </c>
      <c r="R16" s="11" t="s">
        <v>52</v>
      </c>
      <c r="S16" s="19" t="s">
        <v>49</v>
      </c>
      <c r="T16" s="19" t="s">
        <v>36</v>
      </c>
      <c r="U16" s="19" t="s">
        <v>36</v>
      </c>
      <c r="V16" s="19">
        <v>18</v>
      </c>
      <c r="W16" s="19">
        <v>64</v>
      </c>
      <c r="X16" s="19">
        <v>64</v>
      </c>
      <c r="Y16" s="19">
        <v>66</v>
      </c>
      <c r="Z16" s="19">
        <v>70</v>
      </c>
      <c r="AA16" s="19">
        <v>18</v>
      </c>
      <c r="AB16" s="19">
        <v>56</v>
      </c>
      <c r="AC16" s="19">
        <v>97</v>
      </c>
      <c r="AD16" s="19">
        <v>26</v>
      </c>
      <c r="AE16" s="19">
        <v>65</v>
      </c>
      <c r="AF16" s="19">
        <v>66</v>
      </c>
      <c r="AG16" s="19">
        <v>35</v>
      </c>
      <c r="AH16" s="19">
        <v>61</v>
      </c>
      <c r="AI16" s="5">
        <f t="shared" si="1"/>
        <v>4.8395040000000016</v>
      </c>
      <c r="AJ16" s="5">
        <f t="shared" si="2"/>
        <v>0.40034680000000011</v>
      </c>
      <c r="AK16" s="5">
        <f t="shared" si="3"/>
        <v>2.7193920000000005</v>
      </c>
      <c r="AL16" s="5">
        <f t="shared" si="4"/>
        <v>0.62411720000000015</v>
      </c>
      <c r="AM16" s="5">
        <f t="shared" si="5"/>
        <v>0.28450080000000005</v>
      </c>
    </row>
    <row r="17" spans="1:39" ht="15" customHeight="1" thickBot="1" x14ac:dyDescent="0.35">
      <c r="A17" s="5">
        <f t="shared" si="0"/>
        <v>73.006888845691392</v>
      </c>
      <c r="B17" s="16">
        <v>19</v>
      </c>
      <c r="C17" s="10" t="s">
        <v>53</v>
      </c>
      <c r="D17" s="17" t="s">
        <v>49</v>
      </c>
      <c r="E17" s="17" t="s">
        <v>36</v>
      </c>
      <c r="F17" s="17" t="s">
        <v>36</v>
      </c>
      <c r="G17" s="17">
        <v>18</v>
      </c>
      <c r="H17" s="17">
        <v>85</v>
      </c>
      <c r="I17" s="17">
        <v>73</v>
      </c>
      <c r="J17" s="17">
        <v>75</v>
      </c>
      <c r="K17" s="17">
        <v>62</v>
      </c>
      <c r="L17" s="17">
        <v>64</v>
      </c>
      <c r="M17" s="17">
        <v>79</v>
      </c>
      <c r="N17" s="17">
        <v>76</v>
      </c>
      <c r="O17" s="17">
        <v>48</v>
      </c>
      <c r="P17" s="17">
        <v>85</v>
      </c>
      <c r="Q17" s="16">
        <v>19</v>
      </c>
      <c r="R17" s="10" t="s">
        <v>53</v>
      </c>
      <c r="S17" s="17" t="s">
        <v>49</v>
      </c>
      <c r="T17" s="17" t="s">
        <v>36</v>
      </c>
      <c r="U17" s="17" t="s">
        <v>36</v>
      </c>
      <c r="V17" s="17">
        <v>18</v>
      </c>
      <c r="W17" s="17">
        <v>83</v>
      </c>
      <c r="X17" s="17">
        <v>60</v>
      </c>
      <c r="Y17" s="17">
        <v>51</v>
      </c>
      <c r="Z17" s="17">
        <v>59</v>
      </c>
      <c r="AA17" s="17">
        <v>30</v>
      </c>
      <c r="AB17" s="17">
        <v>84</v>
      </c>
      <c r="AC17" s="17">
        <v>82</v>
      </c>
      <c r="AD17" s="17">
        <v>87</v>
      </c>
      <c r="AE17" s="17">
        <v>62</v>
      </c>
      <c r="AF17" s="17">
        <v>32</v>
      </c>
      <c r="AG17" s="17">
        <v>91</v>
      </c>
      <c r="AH17" s="17">
        <v>85</v>
      </c>
      <c r="AI17" s="5">
        <f t="shared" si="1"/>
        <v>5.2240620000000009</v>
      </c>
      <c r="AJ17" s="5">
        <f t="shared" si="2"/>
        <v>1.0488252000000005</v>
      </c>
      <c r="AK17" s="5">
        <f t="shared" si="3"/>
        <v>2.5197860000000007</v>
      </c>
      <c r="AL17" s="5">
        <f t="shared" si="4"/>
        <v>0.89223840000000043</v>
      </c>
      <c r="AM17" s="5">
        <f t="shared" si="5"/>
        <v>1.0993586000000004</v>
      </c>
    </row>
    <row r="18" spans="1:39" ht="15" customHeight="1" thickBot="1" x14ac:dyDescent="0.35">
      <c r="A18" s="5">
        <f t="shared" si="0"/>
        <v>55.804694413846228</v>
      </c>
      <c r="B18" s="16">
        <v>22</v>
      </c>
      <c r="C18" s="10" t="s">
        <v>54</v>
      </c>
      <c r="D18" s="17" t="s">
        <v>38</v>
      </c>
      <c r="E18" s="17" t="s">
        <v>46</v>
      </c>
      <c r="F18" s="17" t="s">
        <v>36</v>
      </c>
      <c r="G18" s="17">
        <v>18</v>
      </c>
      <c r="H18" s="17">
        <v>55</v>
      </c>
      <c r="I18" s="17">
        <v>58</v>
      </c>
      <c r="J18" s="17">
        <v>22</v>
      </c>
      <c r="K18" s="17">
        <v>41</v>
      </c>
      <c r="L18" s="17">
        <v>38</v>
      </c>
      <c r="M18" s="17">
        <v>70</v>
      </c>
      <c r="N18" s="17">
        <v>23</v>
      </c>
      <c r="O18" s="17">
        <v>31</v>
      </c>
      <c r="P18" s="17">
        <v>67</v>
      </c>
      <c r="Q18" s="16">
        <v>22</v>
      </c>
      <c r="R18" s="10" t="s">
        <v>54</v>
      </c>
      <c r="S18" s="17" t="s">
        <v>38</v>
      </c>
      <c r="T18" s="17" t="s">
        <v>46</v>
      </c>
      <c r="U18" s="17" t="s">
        <v>36</v>
      </c>
      <c r="V18" s="17">
        <v>18</v>
      </c>
      <c r="W18" s="17">
        <v>83</v>
      </c>
      <c r="X18" s="17">
        <v>76</v>
      </c>
      <c r="Y18" s="17">
        <v>80</v>
      </c>
      <c r="Z18" s="17">
        <v>86</v>
      </c>
      <c r="AA18" s="17">
        <v>5</v>
      </c>
      <c r="AB18" s="17">
        <v>87</v>
      </c>
      <c r="AC18" s="17">
        <v>78</v>
      </c>
      <c r="AD18" s="17">
        <v>67</v>
      </c>
      <c r="AE18" s="17">
        <v>84</v>
      </c>
      <c r="AF18" s="17">
        <v>85</v>
      </c>
      <c r="AG18" s="17">
        <v>68</v>
      </c>
      <c r="AH18" s="17">
        <v>67</v>
      </c>
      <c r="AI18" s="5">
        <f t="shared" si="1"/>
        <v>2.6528272000000008</v>
      </c>
      <c r="AJ18" s="5">
        <f t="shared" si="2"/>
        <v>0.77261300000000011</v>
      </c>
      <c r="AK18" s="5">
        <f t="shared" si="3"/>
        <v>3.4673820000000011</v>
      </c>
      <c r="AL18" s="5">
        <f t="shared" si="4"/>
        <v>0.90469440000000034</v>
      </c>
      <c r="AM18" s="5">
        <f t="shared" si="5"/>
        <v>0.94519180000000025</v>
      </c>
    </row>
    <row r="19" spans="1:39" ht="15" customHeight="1" thickBot="1" x14ac:dyDescent="0.35">
      <c r="A19" s="5">
        <f t="shared" si="0"/>
        <v>69.318640863373574</v>
      </c>
      <c r="B19" s="16">
        <v>23</v>
      </c>
      <c r="C19" s="10" t="s">
        <v>55</v>
      </c>
      <c r="D19" s="17" t="s">
        <v>38</v>
      </c>
      <c r="E19" s="17" t="s">
        <v>36</v>
      </c>
      <c r="F19" s="17" t="s">
        <v>36</v>
      </c>
      <c r="G19" s="17">
        <v>18</v>
      </c>
      <c r="H19" s="17">
        <v>12</v>
      </c>
      <c r="I19" s="17">
        <v>70</v>
      </c>
      <c r="J19" s="17">
        <v>74</v>
      </c>
      <c r="K19" s="17">
        <v>72</v>
      </c>
      <c r="L19" s="17">
        <v>53</v>
      </c>
      <c r="M19" s="17">
        <v>100</v>
      </c>
      <c r="N19" s="17">
        <v>46</v>
      </c>
      <c r="O19" s="17">
        <v>61</v>
      </c>
      <c r="P19" s="17">
        <v>76</v>
      </c>
      <c r="Q19" s="16">
        <v>23</v>
      </c>
      <c r="R19" s="10" t="s">
        <v>55</v>
      </c>
      <c r="S19" s="17" t="s">
        <v>38</v>
      </c>
      <c r="T19" s="17" t="s">
        <v>36</v>
      </c>
      <c r="U19" s="17" t="s">
        <v>36</v>
      </c>
      <c r="V19" s="17">
        <v>18</v>
      </c>
      <c r="W19" s="17">
        <v>99</v>
      </c>
      <c r="X19" s="17">
        <v>85</v>
      </c>
      <c r="Y19" s="17">
        <v>69</v>
      </c>
      <c r="Z19" s="17">
        <v>96</v>
      </c>
      <c r="AA19" s="17">
        <v>8</v>
      </c>
      <c r="AB19" s="17">
        <v>82</v>
      </c>
      <c r="AC19" s="17">
        <v>100</v>
      </c>
      <c r="AD19" s="17">
        <v>66</v>
      </c>
      <c r="AE19" s="17">
        <v>72</v>
      </c>
      <c r="AF19" s="17">
        <v>88</v>
      </c>
      <c r="AG19" s="17">
        <v>76</v>
      </c>
      <c r="AH19" s="17">
        <v>76</v>
      </c>
      <c r="AI19" s="5">
        <f t="shared" si="1"/>
        <v>3.9745232000000006</v>
      </c>
      <c r="AJ19" s="5">
        <f t="shared" si="2"/>
        <v>1.1280354000000001</v>
      </c>
      <c r="AK19" s="5">
        <f t="shared" si="3"/>
        <v>3.5927220000000015</v>
      </c>
      <c r="AL19" s="5">
        <f t="shared" si="4"/>
        <v>0.89939520000000039</v>
      </c>
      <c r="AM19" s="5">
        <f t="shared" si="5"/>
        <v>0.93055680000000018</v>
      </c>
    </row>
    <row r="20" spans="1:39" ht="15" customHeight="1" thickBot="1" x14ac:dyDescent="0.35">
      <c r="A20" s="5">
        <f t="shared" si="0"/>
        <v>60.464683902460081</v>
      </c>
      <c r="B20" s="18">
        <v>24</v>
      </c>
      <c r="C20" s="11" t="s">
        <v>56</v>
      </c>
      <c r="D20" s="19" t="s">
        <v>57</v>
      </c>
      <c r="E20" s="19" t="s">
        <v>36</v>
      </c>
      <c r="F20" s="19" t="s">
        <v>36</v>
      </c>
      <c r="G20" s="19">
        <v>18</v>
      </c>
      <c r="H20" s="19">
        <v>74</v>
      </c>
      <c r="I20" s="19">
        <v>65</v>
      </c>
      <c r="J20" s="19">
        <v>56</v>
      </c>
      <c r="K20" s="19">
        <v>48</v>
      </c>
      <c r="L20" s="19">
        <v>77</v>
      </c>
      <c r="M20" s="19">
        <v>51</v>
      </c>
      <c r="N20" s="19">
        <v>10</v>
      </c>
      <c r="O20" s="19">
        <v>0</v>
      </c>
      <c r="P20" s="19">
        <v>72</v>
      </c>
      <c r="Q20" s="18">
        <v>24</v>
      </c>
      <c r="R20" s="11" t="s">
        <v>56</v>
      </c>
      <c r="S20" s="19" t="s">
        <v>57</v>
      </c>
      <c r="T20" s="19" t="s">
        <v>36</v>
      </c>
      <c r="U20" s="19" t="s">
        <v>36</v>
      </c>
      <c r="V20" s="19">
        <v>18</v>
      </c>
      <c r="W20" s="19">
        <v>49</v>
      </c>
      <c r="X20" s="19">
        <v>31</v>
      </c>
      <c r="Y20" s="19">
        <v>57</v>
      </c>
      <c r="Z20" s="19">
        <v>62</v>
      </c>
      <c r="AA20" s="19">
        <v>0</v>
      </c>
      <c r="AB20" s="19">
        <v>100</v>
      </c>
      <c r="AC20" s="19">
        <v>55</v>
      </c>
      <c r="AD20" s="19">
        <v>65</v>
      </c>
      <c r="AE20" s="19">
        <v>55</v>
      </c>
      <c r="AF20" s="19">
        <v>44</v>
      </c>
      <c r="AG20" s="19">
        <v>61</v>
      </c>
      <c r="AH20" s="19">
        <v>72</v>
      </c>
      <c r="AI20" s="5">
        <f t="shared" si="1"/>
        <v>4.6253320000000011</v>
      </c>
      <c r="AJ20" s="5">
        <f t="shared" si="2"/>
        <v>0.46171800000000007</v>
      </c>
      <c r="AK20" s="5">
        <f t="shared" si="3"/>
        <v>1.7857780000000005</v>
      </c>
      <c r="AL20" s="5">
        <f t="shared" si="4"/>
        <v>0.89595000000000025</v>
      </c>
      <c r="AM20" s="5">
        <f t="shared" si="5"/>
        <v>0.8147660000000001</v>
      </c>
    </row>
    <row r="21" spans="1:39" ht="15" customHeight="1" thickBot="1" x14ac:dyDescent="0.35">
      <c r="A21" s="5">
        <f t="shared" si="0"/>
        <v>54.24004276550248</v>
      </c>
      <c r="B21" s="18">
        <v>25</v>
      </c>
      <c r="C21" s="11" t="s">
        <v>58</v>
      </c>
      <c r="D21" s="19" t="s">
        <v>35</v>
      </c>
      <c r="E21" s="19" t="s">
        <v>36</v>
      </c>
      <c r="F21" s="19" t="s">
        <v>36</v>
      </c>
      <c r="G21" s="19">
        <v>18</v>
      </c>
      <c r="H21" s="19">
        <v>40</v>
      </c>
      <c r="I21" s="19">
        <v>100</v>
      </c>
      <c r="J21" s="19">
        <v>17</v>
      </c>
      <c r="K21" s="19">
        <v>35</v>
      </c>
      <c r="L21" s="19">
        <v>39</v>
      </c>
      <c r="M21" s="19">
        <v>31</v>
      </c>
      <c r="N21" s="19">
        <v>0</v>
      </c>
      <c r="O21" s="19">
        <v>23</v>
      </c>
      <c r="P21" s="19">
        <v>61</v>
      </c>
      <c r="Q21" s="18">
        <v>25</v>
      </c>
      <c r="R21" s="11" t="s">
        <v>58</v>
      </c>
      <c r="S21" s="19" t="s">
        <v>35</v>
      </c>
      <c r="T21" s="19" t="s">
        <v>36</v>
      </c>
      <c r="U21" s="19" t="s">
        <v>36</v>
      </c>
      <c r="V21" s="19">
        <v>18</v>
      </c>
      <c r="W21" s="19">
        <v>82</v>
      </c>
      <c r="X21" s="19">
        <v>58</v>
      </c>
      <c r="Y21" s="19">
        <v>77</v>
      </c>
      <c r="Z21" s="19">
        <v>73</v>
      </c>
      <c r="AA21" s="19">
        <v>12</v>
      </c>
      <c r="AB21" s="19">
        <v>91</v>
      </c>
      <c r="AC21" s="19">
        <v>67</v>
      </c>
      <c r="AD21" s="19">
        <v>29</v>
      </c>
      <c r="AE21" s="19">
        <v>38</v>
      </c>
      <c r="AF21" s="19">
        <v>74</v>
      </c>
      <c r="AG21" s="19">
        <v>25</v>
      </c>
      <c r="AH21" s="19">
        <v>61</v>
      </c>
      <c r="AI21" s="5">
        <f t="shared" si="1"/>
        <v>3.1241452000000005</v>
      </c>
      <c r="AJ21" s="5">
        <f t="shared" si="2"/>
        <v>0.19250260000000002</v>
      </c>
      <c r="AK21" s="5">
        <f t="shared" si="3"/>
        <v>3.0376600000000007</v>
      </c>
      <c r="AL21" s="5">
        <f t="shared" si="4"/>
        <v>0.90019320000000025</v>
      </c>
      <c r="AM21" s="5">
        <f t="shared" si="5"/>
        <v>0.2769678000000001</v>
      </c>
    </row>
    <row r="22" spans="1:39" ht="15" customHeight="1" thickBot="1" x14ac:dyDescent="0.35">
      <c r="A22" s="5">
        <f t="shared" si="0"/>
        <v>53.84671547981597</v>
      </c>
      <c r="B22" s="18">
        <v>26</v>
      </c>
      <c r="C22" s="11" t="s">
        <v>59</v>
      </c>
      <c r="D22" s="19" t="s">
        <v>38</v>
      </c>
      <c r="E22" s="19" t="s">
        <v>46</v>
      </c>
      <c r="F22" s="19" t="s">
        <v>36</v>
      </c>
      <c r="G22" s="19">
        <v>18</v>
      </c>
      <c r="H22" s="19">
        <v>70</v>
      </c>
      <c r="I22" s="19">
        <v>10</v>
      </c>
      <c r="J22" s="19">
        <v>23</v>
      </c>
      <c r="K22" s="19">
        <v>50</v>
      </c>
      <c r="L22" s="19">
        <v>71</v>
      </c>
      <c r="M22" s="19">
        <v>65</v>
      </c>
      <c r="N22" s="19">
        <v>81</v>
      </c>
      <c r="O22" s="19">
        <v>57</v>
      </c>
      <c r="P22" s="19">
        <v>61</v>
      </c>
      <c r="Q22" s="18">
        <v>26</v>
      </c>
      <c r="R22" s="11" t="s">
        <v>59</v>
      </c>
      <c r="S22" s="19" t="s">
        <v>38</v>
      </c>
      <c r="T22" s="19" t="s">
        <v>46</v>
      </c>
      <c r="U22" s="19" t="s">
        <v>36</v>
      </c>
      <c r="V22" s="19">
        <v>18</v>
      </c>
      <c r="W22" s="19">
        <v>79</v>
      </c>
      <c r="X22" s="19">
        <v>69</v>
      </c>
      <c r="Y22" s="19">
        <v>75</v>
      </c>
      <c r="Z22" s="19">
        <v>83</v>
      </c>
      <c r="AA22" s="19">
        <v>21</v>
      </c>
      <c r="AB22" s="19">
        <v>76</v>
      </c>
      <c r="AC22" s="19">
        <v>56</v>
      </c>
      <c r="AD22" s="19">
        <v>45</v>
      </c>
      <c r="AE22" s="19">
        <v>71</v>
      </c>
      <c r="AF22" s="19">
        <v>51</v>
      </c>
      <c r="AG22" s="19">
        <v>74</v>
      </c>
      <c r="AH22" s="19">
        <v>61</v>
      </c>
      <c r="AI22" s="5">
        <f t="shared" si="1"/>
        <v>2.7277628000000007</v>
      </c>
      <c r="AJ22" s="5">
        <f t="shared" si="2"/>
        <v>0.89451700000000012</v>
      </c>
      <c r="AK22" s="5">
        <f t="shared" si="3"/>
        <v>3.2521000000000009</v>
      </c>
      <c r="AL22" s="5">
        <f t="shared" si="4"/>
        <v>0.75555200000000033</v>
      </c>
      <c r="AM22" s="5">
        <f t="shared" si="5"/>
        <v>0.57070880000000002</v>
      </c>
    </row>
    <row r="23" spans="1:39" ht="15" customHeight="1" thickBot="1" x14ac:dyDescent="0.35">
      <c r="A23" s="5">
        <f t="shared" si="0"/>
        <v>51.812048064393032</v>
      </c>
      <c r="B23" s="16">
        <v>27</v>
      </c>
      <c r="C23" s="10" t="s">
        <v>60</v>
      </c>
      <c r="D23" s="17" t="s">
        <v>38</v>
      </c>
      <c r="E23" s="17" t="s">
        <v>36</v>
      </c>
      <c r="F23" s="17" t="s">
        <v>36</v>
      </c>
      <c r="G23" s="17">
        <v>18</v>
      </c>
      <c r="H23" s="17">
        <v>37</v>
      </c>
      <c r="I23" s="17">
        <v>24</v>
      </c>
      <c r="J23" s="17">
        <v>46</v>
      </c>
      <c r="K23" s="17">
        <v>24</v>
      </c>
      <c r="L23" s="17">
        <v>82</v>
      </c>
      <c r="M23" s="17">
        <v>58</v>
      </c>
      <c r="N23" s="17">
        <v>100</v>
      </c>
      <c r="O23" s="17">
        <v>59</v>
      </c>
      <c r="P23" s="17">
        <v>66</v>
      </c>
      <c r="Q23" s="16">
        <v>27</v>
      </c>
      <c r="R23" s="10" t="s">
        <v>60</v>
      </c>
      <c r="S23" s="17" t="s">
        <v>38</v>
      </c>
      <c r="T23" s="17" t="s">
        <v>36</v>
      </c>
      <c r="U23" s="17" t="s">
        <v>36</v>
      </c>
      <c r="V23" s="17">
        <v>18</v>
      </c>
      <c r="W23" s="17">
        <v>69</v>
      </c>
      <c r="X23" s="17">
        <v>68</v>
      </c>
      <c r="Y23" s="17">
        <v>82</v>
      </c>
      <c r="Z23" s="17">
        <v>78</v>
      </c>
      <c r="AA23" s="17">
        <v>19</v>
      </c>
      <c r="AB23" s="17">
        <v>78</v>
      </c>
      <c r="AC23" s="17">
        <v>100</v>
      </c>
      <c r="AD23" s="17">
        <v>90</v>
      </c>
      <c r="AE23" s="17">
        <v>76</v>
      </c>
      <c r="AF23" s="17">
        <v>21</v>
      </c>
      <c r="AG23" s="17">
        <v>60</v>
      </c>
      <c r="AH23" s="17">
        <v>66</v>
      </c>
      <c r="AI23" s="5">
        <f t="shared" si="1"/>
        <v>2.4395976000000008</v>
      </c>
      <c r="AJ23" s="5">
        <f t="shared" si="2"/>
        <v>0.82038220000000028</v>
      </c>
      <c r="AK23" s="5">
        <f t="shared" si="3"/>
        <v>3.1403380000000012</v>
      </c>
      <c r="AL23" s="5">
        <f t="shared" si="4"/>
        <v>0.86518080000000031</v>
      </c>
      <c r="AM23" s="5">
        <f t="shared" si="5"/>
        <v>1.0933266000000001</v>
      </c>
    </row>
    <row r="24" spans="1:39" ht="15" customHeight="1" thickBot="1" x14ac:dyDescent="0.35">
      <c r="A24" s="5">
        <f t="shared" si="0"/>
        <v>51.714382600056148</v>
      </c>
      <c r="B24" s="18">
        <v>28</v>
      </c>
      <c r="C24" s="11" t="s">
        <v>61</v>
      </c>
      <c r="D24" s="19" t="s">
        <v>40</v>
      </c>
      <c r="E24" s="19" t="s">
        <v>36</v>
      </c>
      <c r="F24" s="19" t="s">
        <v>36</v>
      </c>
      <c r="G24" s="19">
        <v>18</v>
      </c>
      <c r="H24" s="19">
        <v>26</v>
      </c>
      <c r="I24" s="19">
        <v>98</v>
      </c>
      <c r="J24" s="19">
        <v>23</v>
      </c>
      <c r="K24" s="19">
        <v>12</v>
      </c>
      <c r="L24" s="19">
        <v>57</v>
      </c>
      <c r="M24" s="19">
        <v>50</v>
      </c>
      <c r="N24" s="19">
        <v>11</v>
      </c>
      <c r="O24" s="19">
        <v>26</v>
      </c>
      <c r="P24" s="19">
        <v>58</v>
      </c>
      <c r="Q24" s="18">
        <v>28</v>
      </c>
      <c r="R24" s="11" t="s">
        <v>61</v>
      </c>
      <c r="S24" s="19" t="s">
        <v>40</v>
      </c>
      <c r="T24" s="19" t="s">
        <v>36</v>
      </c>
      <c r="U24" s="19" t="s">
        <v>36</v>
      </c>
      <c r="V24" s="19">
        <v>18</v>
      </c>
      <c r="W24" s="19">
        <v>73</v>
      </c>
      <c r="X24" s="19">
        <v>53</v>
      </c>
      <c r="Y24" s="19">
        <v>66</v>
      </c>
      <c r="Z24" s="19">
        <v>65</v>
      </c>
      <c r="AA24" s="19">
        <v>11</v>
      </c>
      <c r="AB24" s="19">
        <v>83</v>
      </c>
      <c r="AC24" s="19">
        <v>25</v>
      </c>
      <c r="AD24" s="19">
        <v>47</v>
      </c>
      <c r="AE24" s="19">
        <v>60</v>
      </c>
      <c r="AF24" s="19">
        <v>47</v>
      </c>
      <c r="AG24" s="19">
        <v>64</v>
      </c>
      <c r="AH24" s="19">
        <v>58</v>
      </c>
      <c r="AI24" s="5">
        <f t="shared" si="1"/>
        <v>3.1189788000000016</v>
      </c>
      <c r="AJ24" s="5">
        <f t="shared" si="2"/>
        <v>0.46024840000000011</v>
      </c>
      <c r="AK24" s="5">
        <f t="shared" si="3"/>
        <v>2.6103500000000004</v>
      </c>
      <c r="AL24" s="5">
        <f t="shared" si="4"/>
        <v>0.73253480000000026</v>
      </c>
      <c r="AM24" s="5">
        <f t="shared" si="5"/>
        <v>0.5651906000000001</v>
      </c>
    </row>
    <row r="25" spans="1:39" ht="15" customHeight="1" thickBot="1" x14ac:dyDescent="0.35">
      <c r="A25" s="5">
        <f t="shared" si="0"/>
        <v>48.345808188801762</v>
      </c>
      <c r="B25" s="18">
        <v>34</v>
      </c>
      <c r="C25" s="11" t="s">
        <v>62</v>
      </c>
      <c r="D25" s="19" t="s">
        <v>57</v>
      </c>
      <c r="E25" s="19" t="s">
        <v>36</v>
      </c>
      <c r="F25" s="19" t="s">
        <v>36</v>
      </c>
      <c r="G25" s="19">
        <v>18</v>
      </c>
      <c r="H25" s="19">
        <v>0</v>
      </c>
      <c r="I25" s="19">
        <v>77</v>
      </c>
      <c r="J25" s="19">
        <v>62</v>
      </c>
      <c r="K25" s="19">
        <v>47</v>
      </c>
      <c r="L25" s="19">
        <v>82</v>
      </c>
      <c r="M25" s="19">
        <v>34</v>
      </c>
      <c r="N25" s="19">
        <v>2</v>
      </c>
      <c r="O25" s="19">
        <v>19</v>
      </c>
      <c r="P25" s="19">
        <v>56</v>
      </c>
      <c r="Q25" s="18">
        <v>34</v>
      </c>
      <c r="R25" s="11" t="s">
        <v>62</v>
      </c>
      <c r="S25" s="19" t="s">
        <v>57</v>
      </c>
      <c r="T25" s="19" t="s">
        <v>36</v>
      </c>
      <c r="U25" s="19" t="s">
        <v>36</v>
      </c>
      <c r="V25" s="19">
        <v>18</v>
      </c>
      <c r="W25" s="19">
        <v>43</v>
      </c>
      <c r="X25" s="19">
        <v>30</v>
      </c>
      <c r="Y25" s="19">
        <v>24</v>
      </c>
      <c r="Z25" s="19">
        <v>37</v>
      </c>
      <c r="AA25" s="19">
        <v>9</v>
      </c>
      <c r="AB25" s="19">
        <v>86</v>
      </c>
      <c r="AC25" s="19">
        <v>97</v>
      </c>
      <c r="AD25" s="19">
        <v>30</v>
      </c>
      <c r="AE25" s="19">
        <v>82</v>
      </c>
      <c r="AF25" s="19">
        <v>68</v>
      </c>
      <c r="AG25" s="19">
        <v>57</v>
      </c>
      <c r="AH25" s="19">
        <v>56</v>
      </c>
      <c r="AI25" s="5">
        <f t="shared" si="1"/>
        <v>4.1516832000000008</v>
      </c>
      <c r="AJ25" s="5">
        <f t="shared" si="2"/>
        <v>0.22551500000000002</v>
      </c>
      <c r="AK25" s="5">
        <f t="shared" si="3"/>
        <v>0.87871200000000027</v>
      </c>
      <c r="AL25" s="5">
        <f t="shared" si="4"/>
        <v>0.92757320000000054</v>
      </c>
      <c r="AM25" s="5">
        <f t="shared" si="5"/>
        <v>0.38443540000000009</v>
      </c>
    </row>
    <row r="26" spans="1:39" ht="15" customHeight="1" thickBot="1" x14ac:dyDescent="0.35">
      <c r="A26" s="5">
        <f t="shared" si="0"/>
        <v>48.301433004312536</v>
      </c>
      <c r="B26" s="18">
        <v>35</v>
      </c>
      <c r="C26" s="11" t="s">
        <v>63</v>
      </c>
      <c r="D26" s="19" t="s">
        <v>64</v>
      </c>
      <c r="E26" s="19" t="s">
        <v>36</v>
      </c>
      <c r="F26" s="19" t="s">
        <v>36</v>
      </c>
      <c r="G26" s="19">
        <v>18</v>
      </c>
      <c r="H26" s="19">
        <v>61</v>
      </c>
      <c r="I26" s="19">
        <v>41</v>
      </c>
      <c r="J26" s="19">
        <v>47</v>
      </c>
      <c r="K26" s="19">
        <v>61</v>
      </c>
      <c r="L26" s="19">
        <v>62</v>
      </c>
      <c r="M26" s="19">
        <v>73</v>
      </c>
      <c r="N26" s="19">
        <v>61</v>
      </c>
      <c r="O26" s="19">
        <v>16</v>
      </c>
      <c r="P26" s="19">
        <v>64</v>
      </c>
      <c r="Q26" s="18">
        <v>35</v>
      </c>
      <c r="R26" s="11" t="s">
        <v>63</v>
      </c>
      <c r="S26" s="19" t="s">
        <v>64</v>
      </c>
      <c r="T26" s="19" t="s">
        <v>36</v>
      </c>
      <c r="U26" s="19" t="s">
        <v>36</v>
      </c>
      <c r="V26" s="19">
        <v>18</v>
      </c>
      <c r="W26" s="19">
        <v>21</v>
      </c>
      <c r="X26" s="19">
        <v>38</v>
      </c>
      <c r="Y26" s="19">
        <v>73</v>
      </c>
      <c r="Z26" s="19">
        <v>73</v>
      </c>
      <c r="AA26" s="19">
        <v>68</v>
      </c>
      <c r="AB26" s="19">
        <v>64</v>
      </c>
      <c r="AC26" s="19">
        <v>79</v>
      </c>
      <c r="AD26" s="19">
        <v>94</v>
      </c>
      <c r="AE26" s="19">
        <v>89</v>
      </c>
      <c r="AF26" s="19">
        <v>55</v>
      </c>
      <c r="AG26" s="19">
        <v>64</v>
      </c>
      <c r="AH26" s="19">
        <v>64</v>
      </c>
      <c r="AI26" s="5">
        <f t="shared" si="1"/>
        <v>3.4864276000000007</v>
      </c>
      <c r="AJ26" s="5">
        <f t="shared" si="2"/>
        <v>0.89969040000000022</v>
      </c>
      <c r="AK26" s="5">
        <f t="shared" si="3"/>
        <v>1.3816800000000002</v>
      </c>
      <c r="AL26" s="5">
        <f t="shared" si="4"/>
        <v>0.69065400000000021</v>
      </c>
      <c r="AM26" s="5">
        <f t="shared" si="5"/>
        <v>1.1799184000000005</v>
      </c>
    </row>
    <row r="27" spans="1:39" ht="15" customHeight="1" thickBot="1" x14ac:dyDescent="0.35">
      <c r="A27" s="5">
        <f t="shared" si="0"/>
        <v>47.845069655932079</v>
      </c>
      <c r="B27" s="16">
        <v>36</v>
      </c>
      <c r="C27" s="10" t="s">
        <v>65</v>
      </c>
      <c r="D27" s="17" t="s">
        <v>49</v>
      </c>
      <c r="E27" s="17" t="s">
        <v>36</v>
      </c>
      <c r="F27" s="17" t="s">
        <v>36</v>
      </c>
      <c r="G27" s="17">
        <v>18</v>
      </c>
      <c r="H27" s="17">
        <v>5</v>
      </c>
      <c r="I27" s="17">
        <v>73</v>
      </c>
      <c r="J27" s="17">
        <v>26</v>
      </c>
      <c r="K27" s="17">
        <v>24</v>
      </c>
      <c r="L27" s="17">
        <v>41</v>
      </c>
      <c r="M27" s="17">
        <v>37</v>
      </c>
      <c r="N27" s="17">
        <v>11</v>
      </c>
      <c r="O27" s="17">
        <v>33</v>
      </c>
      <c r="P27" s="17">
        <v>57</v>
      </c>
      <c r="Q27" s="16">
        <v>36</v>
      </c>
      <c r="R27" s="10" t="s">
        <v>65</v>
      </c>
      <c r="S27" s="17" t="s">
        <v>49</v>
      </c>
      <c r="T27" s="17" t="s">
        <v>36</v>
      </c>
      <c r="U27" s="17" t="s">
        <v>36</v>
      </c>
      <c r="V27" s="17">
        <v>18</v>
      </c>
      <c r="W27" s="17">
        <v>68</v>
      </c>
      <c r="X27" s="17">
        <v>66</v>
      </c>
      <c r="Y27" s="17">
        <v>78</v>
      </c>
      <c r="Z27" s="17">
        <v>77</v>
      </c>
      <c r="AA27" s="17">
        <v>13</v>
      </c>
      <c r="AB27" s="17">
        <v>96</v>
      </c>
      <c r="AC27" s="17">
        <v>100</v>
      </c>
      <c r="AD27" s="17">
        <v>43</v>
      </c>
      <c r="AE27" s="17">
        <v>66</v>
      </c>
      <c r="AF27" s="17">
        <v>57</v>
      </c>
      <c r="AG27" s="17">
        <v>42</v>
      </c>
      <c r="AH27" s="17">
        <v>57</v>
      </c>
      <c r="AI27" s="5">
        <f t="shared" si="1"/>
        <v>2.3010512000000003</v>
      </c>
      <c r="AJ27" s="5">
        <f t="shared" si="2"/>
        <v>0.28239620000000004</v>
      </c>
      <c r="AK27" s="5">
        <f t="shared" si="3"/>
        <v>3.0448340000000007</v>
      </c>
      <c r="AL27" s="5">
        <f t="shared" si="4"/>
        <v>0.98043840000000027</v>
      </c>
      <c r="AM27" s="5">
        <f t="shared" si="5"/>
        <v>0.49816860000000018</v>
      </c>
    </row>
    <row r="28" spans="1:39" ht="15" customHeight="1" thickBot="1" x14ac:dyDescent="0.35">
      <c r="A28" s="5">
        <f t="shared" si="0"/>
        <v>47.78330158318753</v>
      </c>
      <c r="B28" s="18">
        <v>37</v>
      </c>
      <c r="C28" s="11" t="s">
        <v>66</v>
      </c>
      <c r="D28" s="19" t="s">
        <v>40</v>
      </c>
      <c r="E28" s="19" t="s">
        <v>36</v>
      </c>
      <c r="F28" s="19" t="s">
        <v>36</v>
      </c>
      <c r="G28" s="19">
        <v>18</v>
      </c>
      <c r="H28" s="19">
        <v>39</v>
      </c>
      <c r="I28" s="19">
        <v>63</v>
      </c>
      <c r="J28" s="19">
        <v>46</v>
      </c>
      <c r="K28" s="19">
        <v>19</v>
      </c>
      <c r="L28" s="19">
        <v>58</v>
      </c>
      <c r="M28" s="19">
        <v>61</v>
      </c>
      <c r="N28" s="19">
        <v>5</v>
      </c>
      <c r="O28" s="19">
        <v>29</v>
      </c>
      <c r="P28" s="19">
        <v>53</v>
      </c>
      <c r="Q28" s="18">
        <v>37</v>
      </c>
      <c r="R28" s="11" t="s">
        <v>66</v>
      </c>
      <c r="S28" s="19" t="s">
        <v>40</v>
      </c>
      <c r="T28" s="19" t="s">
        <v>36</v>
      </c>
      <c r="U28" s="19" t="s">
        <v>36</v>
      </c>
      <c r="V28" s="19">
        <v>18</v>
      </c>
      <c r="W28" s="19">
        <v>65</v>
      </c>
      <c r="X28" s="19">
        <v>46</v>
      </c>
      <c r="Y28" s="19">
        <v>64</v>
      </c>
      <c r="Z28" s="19">
        <v>59</v>
      </c>
      <c r="AA28" s="19">
        <v>20</v>
      </c>
      <c r="AB28" s="19">
        <v>74</v>
      </c>
      <c r="AC28" s="19">
        <v>78</v>
      </c>
      <c r="AD28" s="19">
        <v>13</v>
      </c>
      <c r="AE28" s="19">
        <v>55</v>
      </c>
      <c r="AF28" s="19">
        <v>55</v>
      </c>
      <c r="AG28" s="19">
        <v>23</v>
      </c>
      <c r="AH28" s="19">
        <v>53</v>
      </c>
      <c r="AI28" s="5">
        <f t="shared" si="1"/>
        <v>2.9820504000000008</v>
      </c>
      <c r="AJ28" s="5">
        <f t="shared" si="2"/>
        <v>0.62405219999999995</v>
      </c>
      <c r="AK28" s="5">
        <f t="shared" si="3"/>
        <v>2.2833920000000005</v>
      </c>
      <c r="AL28" s="5">
        <f t="shared" si="4"/>
        <v>0.79597280000000026</v>
      </c>
      <c r="AM28" s="5">
        <f t="shared" si="5"/>
        <v>0.13600060000000005</v>
      </c>
    </row>
    <row r="29" spans="1:39" ht="15" customHeight="1" thickBot="1" x14ac:dyDescent="0.35">
      <c r="A29" s="5">
        <f t="shared" si="0"/>
        <v>61.655873776971411</v>
      </c>
      <c r="B29" s="18">
        <v>38</v>
      </c>
      <c r="C29" s="11" t="s">
        <v>67</v>
      </c>
      <c r="D29" s="19" t="s">
        <v>42</v>
      </c>
      <c r="E29" s="19" t="s">
        <v>36</v>
      </c>
      <c r="F29" s="19" t="s">
        <v>36</v>
      </c>
      <c r="G29" s="19">
        <v>22</v>
      </c>
      <c r="H29" s="19">
        <v>78</v>
      </c>
      <c r="I29" s="19">
        <v>35</v>
      </c>
      <c r="J29" s="19">
        <v>61</v>
      </c>
      <c r="K29" s="19">
        <v>67</v>
      </c>
      <c r="L29" s="19">
        <v>47</v>
      </c>
      <c r="M29" s="19">
        <v>56</v>
      </c>
      <c r="N29" s="19">
        <v>16</v>
      </c>
      <c r="O29" s="19">
        <v>75</v>
      </c>
      <c r="P29" s="19">
        <v>76</v>
      </c>
      <c r="Q29" s="18">
        <v>38</v>
      </c>
      <c r="R29" s="11" t="s">
        <v>67</v>
      </c>
      <c r="S29" s="19" t="s">
        <v>42</v>
      </c>
      <c r="T29" s="19" t="s">
        <v>36</v>
      </c>
      <c r="U29" s="19" t="s">
        <v>36</v>
      </c>
      <c r="V29" s="19">
        <v>22</v>
      </c>
      <c r="W29" s="19">
        <v>38</v>
      </c>
      <c r="X29" s="19">
        <v>99</v>
      </c>
      <c r="Y29" s="19">
        <v>95</v>
      </c>
      <c r="Z29" s="19">
        <v>98</v>
      </c>
      <c r="AA29" s="19">
        <v>0</v>
      </c>
      <c r="AB29" s="19">
        <v>100</v>
      </c>
      <c r="AC29" s="19">
        <v>54</v>
      </c>
      <c r="AD29" s="19">
        <v>68</v>
      </c>
      <c r="AE29" s="19">
        <v>87</v>
      </c>
      <c r="AF29" s="19">
        <v>46</v>
      </c>
      <c r="AG29" s="19">
        <v>74</v>
      </c>
      <c r="AH29" s="19">
        <v>76</v>
      </c>
      <c r="AI29" s="5">
        <f t="shared" si="1"/>
        <v>3.5488884000000005</v>
      </c>
      <c r="AJ29" s="5">
        <f t="shared" si="2"/>
        <v>0.62258860000000016</v>
      </c>
      <c r="AK29" s="5">
        <f t="shared" si="3"/>
        <v>3.2192040000000013</v>
      </c>
      <c r="AL29" s="5">
        <f t="shared" si="4"/>
        <v>0.89295840000000026</v>
      </c>
      <c r="AM29" s="5">
        <f t="shared" si="5"/>
        <v>0.91748540000000023</v>
      </c>
    </row>
    <row r="30" spans="1:39" ht="15" customHeight="1" thickBot="1" x14ac:dyDescent="0.35">
      <c r="A30" s="5">
        <f t="shared" si="0"/>
        <v>60.085830939473112</v>
      </c>
      <c r="B30" s="18">
        <v>43</v>
      </c>
      <c r="C30" s="11" t="s">
        <v>68</v>
      </c>
      <c r="D30" s="19" t="s">
        <v>45</v>
      </c>
      <c r="E30" s="19" t="s">
        <v>46</v>
      </c>
      <c r="F30" s="19" t="s">
        <v>36</v>
      </c>
      <c r="G30" s="19">
        <v>21</v>
      </c>
      <c r="H30" s="19">
        <v>75</v>
      </c>
      <c r="I30" s="19">
        <v>39</v>
      </c>
      <c r="J30" s="19">
        <v>47</v>
      </c>
      <c r="K30" s="19">
        <v>62</v>
      </c>
      <c r="L30" s="19">
        <v>69</v>
      </c>
      <c r="M30" s="19">
        <v>72</v>
      </c>
      <c r="N30" s="19">
        <v>58</v>
      </c>
      <c r="O30" s="19">
        <v>13</v>
      </c>
      <c r="P30" s="19">
        <v>67</v>
      </c>
      <c r="Q30" s="18">
        <v>43</v>
      </c>
      <c r="R30" s="11" t="s">
        <v>68</v>
      </c>
      <c r="S30" s="19" t="s">
        <v>45</v>
      </c>
      <c r="T30" s="19" t="s">
        <v>46</v>
      </c>
      <c r="U30" s="19" t="s">
        <v>36</v>
      </c>
      <c r="V30" s="19">
        <v>21</v>
      </c>
      <c r="W30" s="19">
        <v>84</v>
      </c>
      <c r="X30" s="19">
        <v>82</v>
      </c>
      <c r="Y30" s="19">
        <v>52</v>
      </c>
      <c r="Z30" s="19">
        <v>51</v>
      </c>
      <c r="AA30" s="19">
        <v>33</v>
      </c>
      <c r="AB30" s="19">
        <v>73</v>
      </c>
      <c r="AC30" s="19">
        <v>48</v>
      </c>
      <c r="AD30" s="19">
        <v>56</v>
      </c>
      <c r="AE30" s="19">
        <v>88</v>
      </c>
      <c r="AF30" s="19">
        <v>100</v>
      </c>
      <c r="AG30" s="19">
        <v>51</v>
      </c>
      <c r="AH30" s="19">
        <v>67</v>
      </c>
      <c r="AI30" s="5">
        <f t="shared" si="1"/>
        <v>3.8338300000000007</v>
      </c>
      <c r="AJ30" s="5">
        <f t="shared" si="2"/>
        <v>0.87631380000000025</v>
      </c>
      <c r="AK30" s="5">
        <f t="shared" si="3"/>
        <v>2.7076380000000011</v>
      </c>
      <c r="AL30" s="5">
        <f t="shared" si="4"/>
        <v>0.70221600000000017</v>
      </c>
      <c r="AM30" s="5">
        <f t="shared" si="5"/>
        <v>0.77271340000000033</v>
      </c>
    </row>
    <row r="31" spans="1:39" ht="15" customHeight="1" thickBot="1" x14ac:dyDescent="0.35">
      <c r="A31" s="5">
        <f t="shared" si="0"/>
        <v>45.863593022167493</v>
      </c>
      <c r="B31" s="18">
        <v>46</v>
      </c>
      <c r="C31" s="11" t="s">
        <v>69</v>
      </c>
      <c r="D31" s="19" t="s">
        <v>49</v>
      </c>
      <c r="E31" s="19" t="s">
        <v>47</v>
      </c>
      <c r="F31" s="19" t="s">
        <v>36</v>
      </c>
      <c r="G31" s="19">
        <v>18</v>
      </c>
      <c r="H31" s="19">
        <v>27</v>
      </c>
      <c r="I31" s="19">
        <v>20</v>
      </c>
      <c r="J31" s="19">
        <v>23</v>
      </c>
      <c r="K31" s="19">
        <v>77</v>
      </c>
      <c r="L31" s="19">
        <v>52</v>
      </c>
      <c r="M31" s="19">
        <v>49</v>
      </c>
      <c r="N31" s="19">
        <v>100</v>
      </c>
      <c r="O31" s="19">
        <v>14</v>
      </c>
      <c r="P31" s="19">
        <v>60</v>
      </c>
      <c r="Q31" s="18">
        <v>46</v>
      </c>
      <c r="R31" s="11" t="s">
        <v>69</v>
      </c>
      <c r="S31" s="19" t="s">
        <v>49</v>
      </c>
      <c r="T31" s="19" t="s">
        <v>47</v>
      </c>
      <c r="U31" s="19" t="s">
        <v>36</v>
      </c>
      <c r="V31" s="19">
        <v>18</v>
      </c>
      <c r="W31" s="19">
        <v>83</v>
      </c>
      <c r="X31" s="19">
        <v>65</v>
      </c>
      <c r="Y31" s="19">
        <v>53</v>
      </c>
      <c r="Z31" s="19">
        <v>74</v>
      </c>
      <c r="AA31" s="19">
        <v>16</v>
      </c>
      <c r="AB31" s="19">
        <v>82</v>
      </c>
      <c r="AC31" s="19">
        <v>100</v>
      </c>
      <c r="AD31" s="19">
        <v>57</v>
      </c>
      <c r="AE31" s="19">
        <v>77</v>
      </c>
      <c r="AF31" s="19">
        <v>24</v>
      </c>
      <c r="AG31" s="19">
        <v>76</v>
      </c>
      <c r="AH31" s="19">
        <v>60</v>
      </c>
      <c r="AI31" s="5">
        <f t="shared" si="1"/>
        <v>2.1481020000000006</v>
      </c>
      <c r="AJ31" s="5">
        <f t="shared" si="2"/>
        <v>0.63090520000000017</v>
      </c>
      <c r="AK31" s="5">
        <f t="shared" si="3"/>
        <v>2.8291540000000008</v>
      </c>
      <c r="AL31" s="5">
        <f t="shared" si="4"/>
        <v>0.89939520000000039</v>
      </c>
      <c r="AM31" s="5">
        <f t="shared" si="5"/>
        <v>0.72354940000000023</v>
      </c>
    </row>
    <row r="32" spans="1:39" ht="15" customHeight="1" thickBot="1" x14ac:dyDescent="0.35">
      <c r="A32" s="5">
        <f t="shared" si="0"/>
        <v>42.821038467353496</v>
      </c>
      <c r="B32" s="18">
        <v>52</v>
      </c>
      <c r="C32" s="11" t="s">
        <v>70</v>
      </c>
      <c r="D32" s="19" t="s">
        <v>42</v>
      </c>
      <c r="E32" s="19" t="s">
        <v>36</v>
      </c>
      <c r="F32" s="19" t="s">
        <v>36</v>
      </c>
      <c r="G32" s="19">
        <v>18</v>
      </c>
      <c r="H32" s="19">
        <v>31</v>
      </c>
      <c r="I32" s="19">
        <v>73</v>
      </c>
      <c r="J32" s="19">
        <v>15</v>
      </c>
      <c r="K32" s="19">
        <v>39</v>
      </c>
      <c r="L32" s="19">
        <v>60</v>
      </c>
      <c r="M32" s="19">
        <v>12</v>
      </c>
      <c r="N32" s="19">
        <v>0</v>
      </c>
      <c r="O32" s="19">
        <v>17</v>
      </c>
      <c r="P32" s="19">
        <v>54</v>
      </c>
      <c r="Q32" s="18">
        <v>52</v>
      </c>
      <c r="R32" s="11" t="s">
        <v>70</v>
      </c>
      <c r="S32" s="19" t="s">
        <v>42</v>
      </c>
      <c r="T32" s="19" t="s">
        <v>36</v>
      </c>
      <c r="U32" s="19" t="s">
        <v>36</v>
      </c>
      <c r="V32" s="19">
        <v>18</v>
      </c>
      <c r="W32" s="19">
        <v>48</v>
      </c>
      <c r="X32" s="19">
        <v>36</v>
      </c>
      <c r="Y32" s="19">
        <v>40</v>
      </c>
      <c r="Z32" s="19">
        <v>52</v>
      </c>
      <c r="AA32" s="19">
        <v>9</v>
      </c>
      <c r="AB32" s="19">
        <v>90</v>
      </c>
      <c r="AC32" s="19">
        <v>100</v>
      </c>
      <c r="AD32" s="19">
        <v>43</v>
      </c>
      <c r="AE32" s="19">
        <v>74</v>
      </c>
      <c r="AF32" s="19">
        <v>69</v>
      </c>
      <c r="AG32" s="19">
        <v>46</v>
      </c>
      <c r="AH32" s="19">
        <v>54</v>
      </c>
      <c r="AI32" s="5">
        <f t="shared" si="1"/>
        <v>3.0948660000000006</v>
      </c>
      <c r="AJ32" s="5">
        <f t="shared" si="2"/>
        <v>2.2119400000000004E-2</v>
      </c>
      <c r="AK32" s="5">
        <f t="shared" si="3"/>
        <v>1.4359680000000004</v>
      </c>
      <c r="AL32" s="5">
        <f t="shared" si="4"/>
        <v>0.95400000000000018</v>
      </c>
      <c r="AM32" s="5">
        <f t="shared" si="5"/>
        <v>0.53175820000000018</v>
      </c>
    </row>
    <row r="33" spans="1:39" ht="15" customHeight="1" thickBot="1" x14ac:dyDescent="0.35">
      <c r="A33" s="5">
        <f t="shared" si="0"/>
        <v>53.145575066416107</v>
      </c>
      <c r="B33" s="18">
        <v>53</v>
      </c>
      <c r="C33" s="11" t="s">
        <v>71</v>
      </c>
      <c r="D33" s="19" t="s">
        <v>40</v>
      </c>
      <c r="E33" s="19" t="s">
        <v>36</v>
      </c>
      <c r="F33" s="19" t="s">
        <v>36</v>
      </c>
      <c r="G33" s="19">
        <v>22</v>
      </c>
      <c r="H33" s="19">
        <v>77</v>
      </c>
      <c r="I33" s="19">
        <v>51</v>
      </c>
      <c r="J33" s="19">
        <v>50</v>
      </c>
      <c r="K33" s="19">
        <v>29</v>
      </c>
      <c r="L33" s="19">
        <v>48</v>
      </c>
      <c r="M33" s="19">
        <v>34</v>
      </c>
      <c r="N33" s="19">
        <v>44</v>
      </c>
      <c r="O33" s="19">
        <v>78</v>
      </c>
      <c r="P33" s="19">
        <v>67</v>
      </c>
      <c r="Q33" s="18">
        <v>53</v>
      </c>
      <c r="R33" s="11" t="s">
        <v>71</v>
      </c>
      <c r="S33" s="19" t="s">
        <v>40</v>
      </c>
      <c r="T33" s="19" t="s">
        <v>36</v>
      </c>
      <c r="U33" s="19" t="s">
        <v>36</v>
      </c>
      <c r="V33" s="19">
        <v>22</v>
      </c>
      <c r="W33" s="19">
        <v>100</v>
      </c>
      <c r="X33" s="19">
        <v>41</v>
      </c>
      <c r="Y33" s="19">
        <v>58</v>
      </c>
      <c r="Z33" s="19">
        <v>69</v>
      </c>
      <c r="AA33" s="19">
        <v>0</v>
      </c>
      <c r="AB33" s="19">
        <v>97</v>
      </c>
      <c r="AC33" s="19">
        <v>52</v>
      </c>
      <c r="AD33" s="19">
        <v>59</v>
      </c>
      <c r="AE33" s="19">
        <v>67</v>
      </c>
      <c r="AF33" s="19">
        <v>37</v>
      </c>
      <c r="AG33" s="19">
        <v>85</v>
      </c>
      <c r="AH33" s="19">
        <v>67</v>
      </c>
      <c r="AI33" s="5">
        <f t="shared" si="1"/>
        <v>3.2076568000000005</v>
      </c>
      <c r="AJ33" s="5">
        <f t="shared" si="2"/>
        <v>0.37466000000000005</v>
      </c>
      <c r="AK33" s="5">
        <f t="shared" si="3"/>
        <v>2.5900360000000009</v>
      </c>
      <c r="AL33" s="5">
        <f t="shared" si="4"/>
        <v>0.88044000000000033</v>
      </c>
      <c r="AM33" s="5">
        <f t="shared" si="5"/>
        <v>0.76511980000000013</v>
      </c>
    </row>
    <row r="34" spans="1:39" ht="15" customHeight="1" thickBot="1" x14ac:dyDescent="0.35">
      <c r="A34" s="5">
        <f t="shared" si="0"/>
        <v>40.43992930012886</v>
      </c>
      <c r="B34" s="18">
        <v>56</v>
      </c>
      <c r="C34" s="11" t="s">
        <v>72</v>
      </c>
      <c r="D34" s="19" t="s">
        <v>73</v>
      </c>
      <c r="E34" s="19" t="s">
        <v>46</v>
      </c>
      <c r="F34" s="19" t="s">
        <v>47</v>
      </c>
      <c r="G34" s="19">
        <v>18</v>
      </c>
      <c r="H34" s="19">
        <v>28</v>
      </c>
      <c r="I34" s="19">
        <v>32</v>
      </c>
      <c r="J34" s="19">
        <v>11</v>
      </c>
      <c r="K34" s="19">
        <v>21</v>
      </c>
      <c r="L34" s="19">
        <v>45</v>
      </c>
      <c r="M34" s="19">
        <v>59</v>
      </c>
      <c r="N34" s="19">
        <v>62</v>
      </c>
      <c r="O34" s="19">
        <v>37</v>
      </c>
      <c r="P34" s="19">
        <v>58</v>
      </c>
      <c r="Q34" s="18">
        <v>56</v>
      </c>
      <c r="R34" s="11" t="s">
        <v>72</v>
      </c>
      <c r="S34" s="19" t="s">
        <v>73</v>
      </c>
      <c r="T34" s="19" t="s">
        <v>46</v>
      </c>
      <c r="U34" s="19" t="s">
        <v>47</v>
      </c>
      <c r="V34" s="19">
        <v>18</v>
      </c>
      <c r="W34" s="19">
        <v>91</v>
      </c>
      <c r="X34" s="19">
        <v>74</v>
      </c>
      <c r="Y34" s="19">
        <v>57</v>
      </c>
      <c r="Z34" s="19">
        <v>69</v>
      </c>
      <c r="AA34" s="19">
        <v>8</v>
      </c>
      <c r="AB34" s="19">
        <v>89</v>
      </c>
      <c r="AC34" s="19">
        <v>100</v>
      </c>
      <c r="AD34" s="19">
        <v>91</v>
      </c>
      <c r="AE34" s="19">
        <v>73</v>
      </c>
      <c r="AF34" s="19">
        <v>38</v>
      </c>
      <c r="AG34" s="19">
        <v>46</v>
      </c>
      <c r="AH34" s="19">
        <v>58</v>
      </c>
      <c r="AI34" s="5">
        <f t="shared" si="1"/>
        <v>1.2688548000000002</v>
      </c>
      <c r="AJ34" s="5">
        <f t="shared" si="2"/>
        <v>0.72981420000000008</v>
      </c>
      <c r="AK34" s="5">
        <f t="shared" si="3"/>
        <v>3.0093460000000012</v>
      </c>
      <c r="AL34" s="5">
        <f t="shared" si="4"/>
        <v>0.9483056000000003</v>
      </c>
      <c r="AM34" s="5">
        <f t="shared" si="5"/>
        <v>1.0949110000000004</v>
      </c>
    </row>
    <row r="35" spans="1:39" ht="15" customHeight="1" thickBot="1" x14ac:dyDescent="0.35">
      <c r="A35" s="5">
        <f t="shared" si="0"/>
        <v>40.418847203323317</v>
      </c>
      <c r="B35" s="16">
        <v>57</v>
      </c>
      <c r="C35" s="10" t="s">
        <v>74</v>
      </c>
      <c r="D35" s="17" t="s">
        <v>38</v>
      </c>
      <c r="E35" s="17" t="s">
        <v>36</v>
      </c>
      <c r="F35" s="17" t="s">
        <v>36</v>
      </c>
      <c r="G35" s="17">
        <v>18</v>
      </c>
      <c r="H35" s="17">
        <v>47</v>
      </c>
      <c r="I35" s="17">
        <v>0</v>
      </c>
      <c r="J35" s="17">
        <v>29</v>
      </c>
      <c r="K35" s="17">
        <v>19</v>
      </c>
      <c r="L35" s="17">
        <v>17</v>
      </c>
      <c r="M35" s="17">
        <v>79</v>
      </c>
      <c r="N35" s="17">
        <v>84</v>
      </c>
      <c r="O35" s="17">
        <v>36</v>
      </c>
      <c r="P35" s="17">
        <v>56</v>
      </c>
      <c r="Q35" s="16">
        <v>57</v>
      </c>
      <c r="R35" s="10" t="s">
        <v>74</v>
      </c>
      <c r="S35" s="17" t="s">
        <v>38</v>
      </c>
      <c r="T35" s="17" t="s">
        <v>36</v>
      </c>
      <c r="U35" s="17" t="s">
        <v>36</v>
      </c>
      <c r="V35" s="17">
        <v>18</v>
      </c>
      <c r="W35" s="17">
        <v>96</v>
      </c>
      <c r="X35" s="17">
        <v>86</v>
      </c>
      <c r="Y35" s="17">
        <v>79</v>
      </c>
      <c r="Z35" s="17">
        <v>79</v>
      </c>
      <c r="AA35" s="17">
        <v>13</v>
      </c>
      <c r="AB35" s="17">
        <v>88</v>
      </c>
      <c r="AC35" s="17">
        <v>55</v>
      </c>
      <c r="AD35" s="17">
        <v>81</v>
      </c>
      <c r="AE35" s="17">
        <v>66</v>
      </c>
      <c r="AF35" s="17">
        <v>15</v>
      </c>
      <c r="AG35" s="17">
        <v>77</v>
      </c>
      <c r="AH35" s="17">
        <v>56</v>
      </c>
      <c r="AI35" s="5">
        <f t="shared" si="1"/>
        <v>0.78949160000000007</v>
      </c>
      <c r="AJ35" s="5">
        <f t="shared" si="2"/>
        <v>1.0489452000000004</v>
      </c>
      <c r="AK35" s="5">
        <f t="shared" si="3"/>
        <v>3.5823400000000012</v>
      </c>
      <c r="AL35" s="5">
        <f t="shared" si="4"/>
        <v>0.84821880000000038</v>
      </c>
      <c r="AM35" s="5">
        <f t="shared" si="5"/>
        <v>1.0201972000000001</v>
      </c>
    </row>
    <row r="36" spans="1:39" ht="15" customHeight="1" thickBot="1" x14ac:dyDescent="0.35">
      <c r="A36" s="5">
        <f t="shared" si="0"/>
        <v>44.3884458267637</v>
      </c>
      <c r="B36" s="16">
        <v>59</v>
      </c>
      <c r="C36" s="10" t="s">
        <v>75</v>
      </c>
      <c r="D36" s="17" t="s">
        <v>45</v>
      </c>
      <c r="E36" s="17" t="s">
        <v>46</v>
      </c>
      <c r="F36" s="17" t="s">
        <v>36</v>
      </c>
      <c r="G36" s="17">
        <v>18</v>
      </c>
      <c r="H36" s="17">
        <v>28</v>
      </c>
      <c r="I36" s="17">
        <v>51</v>
      </c>
      <c r="J36" s="17">
        <v>53</v>
      </c>
      <c r="K36" s="17">
        <v>50</v>
      </c>
      <c r="L36" s="17">
        <v>44</v>
      </c>
      <c r="M36" s="17">
        <v>32</v>
      </c>
      <c r="N36" s="17">
        <v>27</v>
      </c>
      <c r="O36" s="17">
        <v>34</v>
      </c>
      <c r="P36" s="17">
        <v>56</v>
      </c>
      <c r="Q36" s="16">
        <v>59</v>
      </c>
      <c r="R36" s="10" t="s">
        <v>75</v>
      </c>
      <c r="S36" s="17" t="s">
        <v>45</v>
      </c>
      <c r="T36" s="17" t="s">
        <v>46</v>
      </c>
      <c r="U36" s="17" t="s">
        <v>36</v>
      </c>
      <c r="V36" s="17">
        <v>18</v>
      </c>
      <c r="W36" s="17">
        <v>59</v>
      </c>
      <c r="X36" s="17">
        <v>74</v>
      </c>
      <c r="Y36" s="17">
        <v>49</v>
      </c>
      <c r="Z36" s="17">
        <v>45</v>
      </c>
      <c r="AA36" s="17">
        <v>12</v>
      </c>
      <c r="AB36" s="17">
        <v>86</v>
      </c>
      <c r="AC36" s="17">
        <v>94</v>
      </c>
      <c r="AD36" s="17">
        <v>30</v>
      </c>
      <c r="AE36" s="17">
        <v>56</v>
      </c>
      <c r="AF36" s="17">
        <v>72</v>
      </c>
      <c r="AG36" s="17">
        <v>35</v>
      </c>
      <c r="AH36" s="17">
        <v>56</v>
      </c>
      <c r="AI36" s="5">
        <f t="shared" si="1"/>
        <v>2.6922764000000008</v>
      </c>
      <c r="AJ36" s="5">
        <f t="shared" si="2"/>
        <v>0.2443780000000001</v>
      </c>
      <c r="AK36" s="5">
        <f t="shared" si="3"/>
        <v>2.1671060000000004</v>
      </c>
      <c r="AL36" s="5">
        <f t="shared" si="4"/>
        <v>0.92499680000000051</v>
      </c>
      <c r="AM36" s="5">
        <f t="shared" si="5"/>
        <v>0.32386220000000004</v>
      </c>
    </row>
    <row r="37" spans="1:39" ht="15" customHeight="1" thickBot="1" x14ac:dyDescent="0.35">
      <c r="A37" s="5">
        <f t="shared" si="0"/>
        <v>39.812983145784273</v>
      </c>
      <c r="B37" s="18">
        <v>60</v>
      </c>
      <c r="C37" s="11" t="s">
        <v>76</v>
      </c>
      <c r="D37" s="19" t="s">
        <v>57</v>
      </c>
      <c r="E37" s="19" t="s">
        <v>47</v>
      </c>
      <c r="F37" s="19" t="s">
        <v>47</v>
      </c>
      <c r="G37" s="19">
        <v>18</v>
      </c>
      <c r="H37" s="19">
        <v>12</v>
      </c>
      <c r="I37" s="19">
        <v>65</v>
      </c>
      <c r="J37" s="19">
        <v>21</v>
      </c>
      <c r="K37" s="19">
        <v>21</v>
      </c>
      <c r="L37" s="19">
        <v>69</v>
      </c>
      <c r="M37" s="19">
        <v>24</v>
      </c>
      <c r="N37" s="19">
        <v>33</v>
      </c>
      <c r="O37" s="19">
        <v>26</v>
      </c>
      <c r="P37" s="19">
        <v>45</v>
      </c>
      <c r="Q37" s="18">
        <v>60</v>
      </c>
      <c r="R37" s="11" t="s">
        <v>76</v>
      </c>
      <c r="S37" s="19" t="s">
        <v>57</v>
      </c>
      <c r="T37" s="19" t="s">
        <v>47</v>
      </c>
      <c r="U37" s="19" t="s">
        <v>47</v>
      </c>
      <c r="V37" s="19">
        <v>18</v>
      </c>
      <c r="W37" s="19">
        <v>33</v>
      </c>
      <c r="X37" s="19">
        <v>25</v>
      </c>
      <c r="Y37" s="19">
        <v>77</v>
      </c>
      <c r="Z37" s="19">
        <v>55</v>
      </c>
      <c r="AA37" s="19">
        <v>22</v>
      </c>
      <c r="AB37" s="19">
        <v>76</v>
      </c>
      <c r="AC37" s="19">
        <v>66</v>
      </c>
      <c r="AD37" s="19">
        <v>14</v>
      </c>
      <c r="AE37" s="19">
        <v>91</v>
      </c>
      <c r="AF37" s="19">
        <v>93</v>
      </c>
      <c r="AG37" s="19">
        <v>35</v>
      </c>
      <c r="AH37" s="19">
        <v>45</v>
      </c>
      <c r="AI37" s="5">
        <f t="shared" si="1"/>
        <v>2.6806676000000005</v>
      </c>
      <c r="AJ37" s="5">
        <f t="shared" si="2"/>
        <v>0.16039</v>
      </c>
      <c r="AK37" s="5">
        <f t="shared" si="3"/>
        <v>1.6658200000000005</v>
      </c>
      <c r="AL37" s="5">
        <f t="shared" si="4"/>
        <v>0.78468000000000027</v>
      </c>
      <c r="AM37" s="5">
        <f t="shared" si="5"/>
        <v>0.24264140000000006</v>
      </c>
    </row>
    <row r="38" spans="1:39" ht="15" customHeight="1" thickBot="1" x14ac:dyDescent="0.35">
      <c r="A38" s="5">
        <f t="shared" si="0"/>
        <v>39.718165979106814</v>
      </c>
      <c r="B38" s="16">
        <v>61</v>
      </c>
      <c r="C38" s="10" t="s">
        <v>77</v>
      </c>
      <c r="D38" s="17" t="s">
        <v>38</v>
      </c>
      <c r="E38" s="17" t="s">
        <v>36</v>
      </c>
      <c r="F38" s="17" t="s">
        <v>36</v>
      </c>
      <c r="G38" s="17">
        <v>18</v>
      </c>
      <c r="H38" s="17">
        <v>20</v>
      </c>
      <c r="I38" s="17">
        <v>24</v>
      </c>
      <c r="J38" s="17">
        <v>5</v>
      </c>
      <c r="K38" s="17">
        <v>22</v>
      </c>
      <c r="L38" s="17">
        <v>24</v>
      </c>
      <c r="M38" s="17">
        <v>84</v>
      </c>
      <c r="N38" s="17">
        <v>51</v>
      </c>
      <c r="O38" s="17">
        <v>46</v>
      </c>
      <c r="P38" s="17">
        <v>53</v>
      </c>
      <c r="Q38" s="16">
        <v>61</v>
      </c>
      <c r="R38" s="10" t="s">
        <v>77</v>
      </c>
      <c r="S38" s="17" t="s">
        <v>38</v>
      </c>
      <c r="T38" s="17" t="s">
        <v>36</v>
      </c>
      <c r="U38" s="17" t="s">
        <v>36</v>
      </c>
      <c r="V38" s="17">
        <v>18</v>
      </c>
      <c r="W38" s="17">
        <v>97</v>
      </c>
      <c r="X38" s="17">
        <v>93</v>
      </c>
      <c r="Y38" s="17">
        <v>100</v>
      </c>
      <c r="Z38" s="17">
        <v>87</v>
      </c>
      <c r="AA38" s="17">
        <v>0</v>
      </c>
      <c r="AB38" s="17">
        <v>87</v>
      </c>
      <c r="AC38" s="17">
        <v>82</v>
      </c>
      <c r="AD38" s="17">
        <v>50</v>
      </c>
      <c r="AE38" s="17">
        <v>61</v>
      </c>
      <c r="AF38" s="17">
        <v>61</v>
      </c>
      <c r="AG38" s="17">
        <v>50</v>
      </c>
      <c r="AH38" s="17">
        <v>53</v>
      </c>
      <c r="AI38" s="5">
        <f t="shared" si="1"/>
        <v>0.56869000000000014</v>
      </c>
      <c r="AJ38" s="5">
        <f t="shared" si="2"/>
        <v>1.0266804000000005</v>
      </c>
      <c r="AK38" s="5">
        <f t="shared" si="3"/>
        <v>3.8578740000000016</v>
      </c>
      <c r="AL38" s="5">
        <f t="shared" si="4"/>
        <v>0.91324800000000039</v>
      </c>
      <c r="AM38" s="5">
        <f t="shared" si="5"/>
        <v>0.61123159999999999</v>
      </c>
    </row>
    <row r="39" spans="1:39" ht="15" customHeight="1" thickBot="1" x14ac:dyDescent="0.35">
      <c r="A39" s="5">
        <f t="shared" si="0"/>
        <v>38.980859485806022</v>
      </c>
      <c r="B39" s="18">
        <v>66</v>
      </c>
      <c r="C39" s="11" t="s">
        <v>78</v>
      </c>
      <c r="D39" s="19" t="s">
        <v>49</v>
      </c>
      <c r="E39" s="19" t="s">
        <v>36</v>
      </c>
      <c r="F39" s="19" t="s">
        <v>36</v>
      </c>
      <c r="G39" s="19">
        <v>18</v>
      </c>
      <c r="H39" s="19">
        <v>55</v>
      </c>
      <c r="I39" s="19">
        <v>48</v>
      </c>
      <c r="J39" s="19">
        <v>19</v>
      </c>
      <c r="K39" s="19">
        <v>12</v>
      </c>
      <c r="L39" s="19">
        <v>26</v>
      </c>
      <c r="M39" s="19">
        <v>65</v>
      </c>
      <c r="N39" s="19">
        <v>50</v>
      </c>
      <c r="O39" s="19">
        <v>33</v>
      </c>
      <c r="P39" s="19">
        <v>54</v>
      </c>
      <c r="Q39" s="18">
        <v>66</v>
      </c>
      <c r="R39" s="11" t="s">
        <v>78</v>
      </c>
      <c r="S39" s="19" t="s">
        <v>49</v>
      </c>
      <c r="T39" s="19" t="s">
        <v>36</v>
      </c>
      <c r="U39" s="19" t="s">
        <v>36</v>
      </c>
      <c r="V39" s="19">
        <v>18</v>
      </c>
      <c r="W39" s="19">
        <v>66</v>
      </c>
      <c r="X39" s="19">
        <v>64</v>
      </c>
      <c r="Y39" s="19">
        <v>60</v>
      </c>
      <c r="Z39" s="19">
        <v>52</v>
      </c>
      <c r="AA39" s="19">
        <v>0</v>
      </c>
      <c r="AB39" s="19">
        <v>98</v>
      </c>
      <c r="AC39" s="19">
        <v>62</v>
      </c>
      <c r="AD39" s="19">
        <v>40</v>
      </c>
      <c r="AE39" s="19">
        <v>60</v>
      </c>
      <c r="AF39" s="19">
        <v>70</v>
      </c>
      <c r="AG39" s="19">
        <v>64</v>
      </c>
      <c r="AH39" s="19">
        <v>54</v>
      </c>
      <c r="AI39" s="5">
        <f t="shared" si="1"/>
        <v>1.7396116000000004</v>
      </c>
      <c r="AJ39" s="5">
        <f t="shared" si="2"/>
        <v>0.77598060000000024</v>
      </c>
      <c r="AK39" s="5">
        <f t="shared" si="3"/>
        <v>2.4012240000000005</v>
      </c>
      <c r="AL39" s="5">
        <f t="shared" si="4"/>
        <v>0.91272160000000058</v>
      </c>
      <c r="AM39" s="5">
        <f t="shared" si="5"/>
        <v>0.49810320000000008</v>
      </c>
    </row>
    <row r="40" spans="1:39" ht="15" customHeight="1" thickBot="1" x14ac:dyDescent="0.35">
      <c r="A40" s="5">
        <f t="shared" si="0"/>
        <v>43.211736610581937</v>
      </c>
      <c r="B40" s="16">
        <v>67</v>
      </c>
      <c r="C40" s="10" t="s">
        <v>79</v>
      </c>
      <c r="D40" s="17" t="s">
        <v>57</v>
      </c>
      <c r="E40" s="17" t="s">
        <v>47</v>
      </c>
      <c r="F40" s="17" t="s">
        <v>47</v>
      </c>
      <c r="G40" s="17">
        <v>18</v>
      </c>
      <c r="H40" s="17">
        <v>23</v>
      </c>
      <c r="I40" s="17">
        <v>67</v>
      </c>
      <c r="J40" s="17">
        <v>25</v>
      </c>
      <c r="K40" s="17">
        <v>24</v>
      </c>
      <c r="L40" s="17">
        <v>62</v>
      </c>
      <c r="M40" s="17">
        <v>47</v>
      </c>
      <c r="N40" s="17">
        <v>33</v>
      </c>
      <c r="O40" s="17">
        <v>59</v>
      </c>
      <c r="P40" s="17">
        <v>54</v>
      </c>
      <c r="Q40" s="16">
        <v>67</v>
      </c>
      <c r="R40" s="10" t="s">
        <v>79</v>
      </c>
      <c r="S40" s="17" t="s">
        <v>57</v>
      </c>
      <c r="T40" s="17" t="s">
        <v>47</v>
      </c>
      <c r="U40" s="17" t="s">
        <v>47</v>
      </c>
      <c r="V40" s="17">
        <v>18</v>
      </c>
      <c r="W40" s="17">
        <v>39</v>
      </c>
      <c r="X40" s="17">
        <v>28</v>
      </c>
      <c r="Y40" s="17">
        <v>77</v>
      </c>
      <c r="Z40" s="17">
        <v>59</v>
      </c>
      <c r="AA40" s="17">
        <v>13</v>
      </c>
      <c r="AB40" s="17">
        <v>81</v>
      </c>
      <c r="AC40" s="17">
        <v>100</v>
      </c>
      <c r="AD40" s="17">
        <v>40</v>
      </c>
      <c r="AE40" s="17">
        <v>12</v>
      </c>
      <c r="AF40" s="17">
        <v>100</v>
      </c>
      <c r="AG40" s="17">
        <v>61</v>
      </c>
      <c r="AH40" s="17">
        <v>54</v>
      </c>
      <c r="AI40" s="5">
        <f t="shared" si="1"/>
        <v>2.7454180000000008</v>
      </c>
      <c r="AJ40" s="5">
        <f t="shared" si="2"/>
        <v>0.49992140000000007</v>
      </c>
      <c r="AK40" s="5">
        <f t="shared" si="3"/>
        <v>1.8361340000000004</v>
      </c>
      <c r="AL40" s="5">
        <f t="shared" si="4"/>
        <v>0.8912304000000002</v>
      </c>
      <c r="AM40" s="5">
        <f t="shared" si="5"/>
        <v>0.46160820000000008</v>
      </c>
    </row>
    <row r="41" spans="1:39" ht="15" customHeight="1" thickBot="1" x14ac:dyDescent="0.35">
      <c r="A41" s="5">
        <f t="shared" si="0"/>
        <v>43.161610401952515</v>
      </c>
      <c r="B41" s="18">
        <v>68</v>
      </c>
      <c r="C41" s="11" t="s">
        <v>80</v>
      </c>
      <c r="D41" s="19" t="s">
        <v>40</v>
      </c>
      <c r="E41" s="19" t="s">
        <v>46</v>
      </c>
      <c r="F41" s="19" t="s">
        <v>36</v>
      </c>
      <c r="G41" s="19">
        <v>18</v>
      </c>
      <c r="H41" s="19">
        <v>46</v>
      </c>
      <c r="I41" s="19">
        <v>43</v>
      </c>
      <c r="J41" s="19">
        <v>31</v>
      </c>
      <c r="K41" s="19">
        <v>18</v>
      </c>
      <c r="L41" s="19">
        <v>62</v>
      </c>
      <c r="M41" s="19">
        <v>77</v>
      </c>
      <c r="N41" s="19">
        <v>64</v>
      </c>
      <c r="O41" s="19">
        <v>55</v>
      </c>
      <c r="P41" s="19">
        <v>57</v>
      </c>
      <c r="Q41" s="18">
        <v>68</v>
      </c>
      <c r="R41" s="11" t="s">
        <v>80</v>
      </c>
      <c r="S41" s="19" t="s">
        <v>40</v>
      </c>
      <c r="T41" s="19" t="s">
        <v>46</v>
      </c>
      <c r="U41" s="19" t="s">
        <v>36</v>
      </c>
      <c r="V41" s="19">
        <v>18</v>
      </c>
      <c r="W41" s="19">
        <v>54</v>
      </c>
      <c r="X41" s="19">
        <v>44</v>
      </c>
      <c r="Y41" s="19">
        <v>66</v>
      </c>
      <c r="Z41" s="19">
        <v>54</v>
      </c>
      <c r="AA41" s="19">
        <v>15</v>
      </c>
      <c r="AB41" s="19">
        <v>78</v>
      </c>
      <c r="AC41" s="19">
        <v>76</v>
      </c>
      <c r="AD41" s="19">
        <v>57</v>
      </c>
      <c r="AE41" s="19">
        <v>58</v>
      </c>
      <c r="AF41" s="19">
        <v>100</v>
      </c>
      <c r="AG41" s="19">
        <v>100</v>
      </c>
      <c r="AH41" s="19">
        <v>57</v>
      </c>
      <c r="AI41" s="5">
        <f t="shared" si="1"/>
        <v>2.3928052000000006</v>
      </c>
      <c r="AJ41" s="5">
        <f t="shared" si="2"/>
        <v>1.0048954000000003</v>
      </c>
      <c r="AK41" s="5">
        <f t="shared" si="3"/>
        <v>2.0466640000000007</v>
      </c>
      <c r="AL41" s="5">
        <f t="shared" si="4"/>
        <v>0.82933440000000025</v>
      </c>
      <c r="AM41" s="5">
        <f t="shared" si="5"/>
        <v>0.80403960000000008</v>
      </c>
    </row>
    <row r="42" spans="1:39" ht="15" customHeight="1" thickBot="1" x14ac:dyDescent="0.35">
      <c r="A42" s="5">
        <f t="shared" si="0"/>
        <v>38.844867635730068</v>
      </c>
      <c r="B42" s="18">
        <v>69</v>
      </c>
      <c r="C42" s="11" t="s">
        <v>81</v>
      </c>
      <c r="D42" s="19" t="s">
        <v>57</v>
      </c>
      <c r="E42" s="19" t="s">
        <v>46</v>
      </c>
      <c r="F42" s="19" t="s">
        <v>36</v>
      </c>
      <c r="G42" s="19">
        <v>18</v>
      </c>
      <c r="H42" s="19">
        <v>0</v>
      </c>
      <c r="I42" s="19">
        <v>72</v>
      </c>
      <c r="J42" s="19">
        <v>33</v>
      </c>
      <c r="K42" s="19">
        <v>33</v>
      </c>
      <c r="L42" s="19">
        <v>49</v>
      </c>
      <c r="M42" s="19">
        <v>45</v>
      </c>
      <c r="N42" s="19">
        <v>55</v>
      </c>
      <c r="O42" s="19">
        <v>40</v>
      </c>
      <c r="P42" s="19">
        <v>46</v>
      </c>
      <c r="Q42" s="18">
        <v>69</v>
      </c>
      <c r="R42" s="11" t="s">
        <v>81</v>
      </c>
      <c r="S42" s="19" t="s">
        <v>57</v>
      </c>
      <c r="T42" s="19" t="s">
        <v>46</v>
      </c>
      <c r="U42" s="19" t="s">
        <v>36</v>
      </c>
      <c r="V42" s="19">
        <v>18</v>
      </c>
      <c r="W42" s="19">
        <v>50</v>
      </c>
      <c r="X42" s="19">
        <v>28</v>
      </c>
      <c r="Y42" s="19">
        <v>48</v>
      </c>
      <c r="Z42" s="19">
        <v>50</v>
      </c>
      <c r="AA42" s="19">
        <v>26</v>
      </c>
      <c r="AB42" s="19">
        <v>76</v>
      </c>
      <c r="AC42" s="19">
        <v>49</v>
      </c>
      <c r="AD42" s="19">
        <v>27</v>
      </c>
      <c r="AE42" s="19">
        <v>34</v>
      </c>
      <c r="AF42" s="19">
        <v>84</v>
      </c>
      <c r="AG42" s="19">
        <v>54</v>
      </c>
      <c r="AH42" s="19">
        <v>46</v>
      </c>
      <c r="AI42" s="5">
        <f t="shared" si="1"/>
        <v>2.6666364000000007</v>
      </c>
      <c r="AJ42" s="5">
        <f t="shared" si="2"/>
        <v>0.50519999999999998</v>
      </c>
      <c r="AK42" s="5">
        <f t="shared" si="3"/>
        <v>1.4534720000000003</v>
      </c>
      <c r="AL42" s="5">
        <f t="shared" si="4"/>
        <v>0.73463880000000026</v>
      </c>
      <c r="AM42" s="5">
        <f t="shared" si="5"/>
        <v>0.29929560000000011</v>
      </c>
    </row>
    <row r="43" spans="1:39" ht="15" customHeight="1" thickBot="1" x14ac:dyDescent="0.35">
      <c r="A43" s="5">
        <f t="shared" si="0"/>
        <v>50.268056185518759</v>
      </c>
      <c r="B43" s="16">
        <v>70</v>
      </c>
      <c r="C43" s="10" t="s">
        <v>82</v>
      </c>
      <c r="D43" s="17" t="s">
        <v>57</v>
      </c>
      <c r="E43" s="17" t="s">
        <v>46</v>
      </c>
      <c r="F43" s="17" t="s">
        <v>36</v>
      </c>
      <c r="G43" s="17">
        <v>20</v>
      </c>
      <c r="H43" s="17">
        <v>48</v>
      </c>
      <c r="I43" s="17">
        <v>51</v>
      </c>
      <c r="J43" s="17">
        <v>78</v>
      </c>
      <c r="K43" s="17">
        <v>36</v>
      </c>
      <c r="L43" s="17">
        <v>61</v>
      </c>
      <c r="M43" s="17">
        <v>71</v>
      </c>
      <c r="N43" s="17">
        <v>92</v>
      </c>
      <c r="O43" s="17">
        <v>55</v>
      </c>
      <c r="P43" s="17">
        <v>65</v>
      </c>
      <c r="Q43" s="16">
        <v>70</v>
      </c>
      <c r="R43" s="10" t="s">
        <v>82</v>
      </c>
      <c r="S43" s="17" t="s">
        <v>57</v>
      </c>
      <c r="T43" s="17" t="s">
        <v>46</v>
      </c>
      <c r="U43" s="17" t="s">
        <v>36</v>
      </c>
      <c r="V43" s="17">
        <v>20</v>
      </c>
      <c r="W43" s="17">
        <v>67</v>
      </c>
      <c r="X43" s="17">
        <v>25</v>
      </c>
      <c r="Y43" s="17">
        <v>63</v>
      </c>
      <c r="Z43" s="17">
        <v>35</v>
      </c>
      <c r="AA43" s="17">
        <v>0</v>
      </c>
      <c r="AB43" s="17">
        <v>100</v>
      </c>
      <c r="AC43" s="17">
        <v>45</v>
      </c>
      <c r="AD43" s="17">
        <v>44</v>
      </c>
      <c r="AE43" s="17">
        <v>56</v>
      </c>
      <c r="AF43" s="17">
        <v>57</v>
      </c>
      <c r="AG43" s="17">
        <v>100</v>
      </c>
      <c r="AH43" s="17">
        <v>65</v>
      </c>
      <c r="AI43" s="5">
        <f t="shared" si="1"/>
        <v>3.5209896000000005</v>
      </c>
      <c r="AJ43" s="5">
        <f t="shared" si="2"/>
        <v>0.99175380000000024</v>
      </c>
      <c r="AK43" s="5">
        <f t="shared" si="3"/>
        <v>1.6809400000000003</v>
      </c>
      <c r="AL43" s="5">
        <f t="shared" si="4"/>
        <v>0.8662500000000003</v>
      </c>
      <c r="AM43" s="5">
        <f t="shared" si="5"/>
        <v>0.56418020000000024</v>
      </c>
    </row>
    <row r="44" spans="1:39" ht="15" customHeight="1" thickBot="1" x14ac:dyDescent="0.35">
      <c r="A44" s="5">
        <f t="shared" si="0"/>
        <v>38.670322901142562</v>
      </c>
      <c r="B44" s="16">
        <v>71</v>
      </c>
      <c r="C44" s="10" t="s">
        <v>83</v>
      </c>
      <c r="D44" s="17" t="s">
        <v>45</v>
      </c>
      <c r="E44" s="17" t="s">
        <v>36</v>
      </c>
      <c r="F44" s="17" t="s">
        <v>36</v>
      </c>
      <c r="G44" s="17">
        <v>18</v>
      </c>
      <c r="H44" s="17">
        <v>28</v>
      </c>
      <c r="I44" s="17">
        <v>58</v>
      </c>
      <c r="J44" s="17">
        <v>26</v>
      </c>
      <c r="K44" s="17">
        <v>31</v>
      </c>
      <c r="L44" s="17">
        <v>44</v>
      </c>
      <c r="M44" s="17">
        <v>37</v>
      </c>
      <c r="N44" s="17">
        <v>62</v>
      </c>
      <c r="O44" s="17">
        <v>81</v>
      </c>
      <c r="P44" s="17">
        <v>49</v>
      </c>
      <c r="Q44" s="16">
        <v>71</v>
      </c>
      <c r="R44" s="10" t="s">
        <v>83</v>
      </c>
      <c r="S44" s="17" t="s">
        <v>45</v>
      </c>
      <c r="T44" s="17" t="s">
        <v>36</v>
      </c>
      <c r="U44" s="17" t="s">
        <v>36</v>
      </c>
      <c r="V44" s="17">
        <v>18</v>
      </c>
      <c r="W44" s="17">
        <v>53</v>
      </c>
      <c r="X44" s="17">
        <v>48</v>
      </c>
      <c r="Y44" s="17">
        <v>51</v>
      </c>
      <c r="Z44" s="17">
        <v>58</v>
      </c>
      <c r="AA44" s="17">
        <v>28</v>
      </c>
      <c r="AB44" s="17">
        <v>70</v>
      </c>
      <c r="AC44" s="17">
        <v>83</v>
      </c>
      <c r="AD44" s="17">
        <v>41</v>
      </c>
      <c r="AE44" s="17">
        <v>57</v>
      </c>
      <c r="AF44" s="17">
        <v>69</v>
      </c>
      <c r="AG44" s="17">
        <v>33</v>
      </c>
      <c r="AH44" s="17">
        <v>49</v>
      </c>
      <c r="AI44" s="5">
        <f t="shared" si="1"/>
        <v>2.2235000000000005</v>
      </c>
      <c r="AJ44" s="5">
        <f t="shared" si="2"/>
        <v>0.47037260000000003</v>
      </c>
      <c r="AK44" s="5">
        <f t="shared" si="3"/>
        <v>1.9294960000000003</v>
      </c>
      <c r="AL44" s="5">
        <f t="shared" si="4"/>
        <v>0.76532120000000015</v>
      </c>
      <c r="AM44" s="5">
        <f t="shared" si="5"/>
        <v>0.46182820000000008</v>
      </c>
    </row>
    <row r="45" spans="1:39" ht="15" customHeight="1" thickBot="1" x14ac:dyDescent="0.35">
      <c r="A45" s="5">
        <f t="shared" si="0"/>
        <v>42.334792544115409</v>
      </c>
      <c r="B45" s="16">
        <v>73</v>
      </c>
      <c r="C45" s="10" t="s">
        <v>84</v>
      </c>
      <c r="D45" s="17" t="s">
        <v>40</v>
      </c>
      <c r="E45" s="17" t="s">
        <v>36</v>
      </c>
      <c r="F45" s="17" t="s">
        <v>36</v>
      </c>
      <c r="G45" s="17">
        <v>18</v>
      </c>
      <c r="H45" s="17">
        <v>14</v>
      </c>
      <c r="I45" s="17">
        <v>49</v>
      </c>
      <c r="J45" s="17">
        <v>27</v>
      </c>
      <c r="K45" s="17">
        <v>41</v>
      </c>
      <c r="L45" s="17">
        <v>46</v>
      </c>
      <c r="M45" s="17">
        <v>43</v>
      </c>
      <c r="N45" s="17">
        <v>92</v>
      </c>
      <c r="O45" s="17">
        <v>66</v>
      </c>
      <c r="P45" s="17">
        <v>55</v>
      </c>
      <c r="Q45" s="16">
        <v>73</v>
      </c>
      <c r="R45" s="10" t="s">
        <v>84</v>
      </c>
      <c r="S45" s="17" t="s">
        <v>40</v>
      </c>
      <c r="T45" s="17" t="s">
        <v>36</v>
      </c>
      <c r="U45" s="17" t="s">
        <v>36</v>
      </c>
      <c r="V45" s="17">
        <v>18</v>
      </c>
      <c r="W45" s="17">
        <v>62</v>
      </c>
      <c r="X45" s="17">
        <v>54</v>
      </c>
      <c r="Y45" s="17">
        <v>68</v>
      </c>
      <c r="Z45" s="17">
        <v>64</v>
      </c>
      <c r="AA45" s="17">
        <v>4</v>
      </c>
      <c r="AB45" s="17">
        <v>86</v>
      </c>
      <c r="AC45" s="17">
        <v>85</v>
      </c>
      <c r="AD45" s="17">
        <v>55</v>
      </c>
      <c r="AE45" s="17">
        <v>57</v>
      </c>
      <c r="AF45" s="17">
        <v>86</v>
      </c>
      <c r="AG45" s="17">
        <v>76</v>
      </c>
      <c r="AH45" s="17">
        <v>55</v>
      </c>
      <c r="AI45" s="5">
        <f t="shared" si="1"/>
        <v>2.0249868000000002</v>
      </c>
      <c r="AJ45" s="5">
        <f t="shared" si="2"/>
        <v>0.60197960000000017</v>
      </c>
      <c r="AK45" s="5">
        <f t="shared" si="3"/>
        <v>2.4880640000000005</v>
      </c>
      <c r="AL45" s="5">
        <f t="shared" si="4"/>
        <v>0.91225640000000063</v>
      </c>
      <c r="AM45" s="5">
        <f t="shared" si="5"/>
        <v>0.74718700000000027</v>
      </c>
    </row>
    <row r="46" spans="1:39" ht="15" customHeight="1" thickBot="1" x14ac:dyDescent="0.35">
      <c r="A46" s="5">
        <f t="shared" si="0"/>
        <v>38.059600567326868</v>
      </c>
      <c r="B46" s="18">
        <v>74</v>
      </c>
      <c r="C46" s="11" t="s">
        <v>85</v>
      </c>
      <c r="D46" s="19" t="s">
        <v>42</v>
      </c>
      <c r="E46" s="19" t="s">
        <v>36</v>
      </c>
      <c r="F46" s="19" t="s">
        <v>36</v>
      </c>
      <c r="G46" s="19">
        <v>18</v>
      </c>
      <c r="H46" s="19">
        <v>31</v>
      </c>
      <c r="I46" s="19">
        <v>33</v>
      </c>
      <c r="J46" s="19">
        <v>32</v>
      </c>
      <c r="K46" s="19">
        <v>41</v>
      </c>
      <c r="L46" s="19">
        <v>55</v>
      </c>
      <c r="M46" s="19">
        <v>72</v>
      </c>
      <c r="N46" s="19">
        <v>28</v>
      </c>
      <c r="O46" s="19">
        <v>21</v>
      </c>
      <c r="P46" s="19">
        <v>52</v>
      </c>
      <c r="Q46" s="18">
        <v>74</v>
      </c>
      <c r="R46" s="11" t="s">
        <v>85</v>
      </c>
      <c r="S46" s="19" t="s">
        <v>42</v>
      </c>
      <c r="T46" s="19" t="s">
        <v>36</v>
      </c>
      <c r="U46" s="19" t="s">
        <v>36</v>
      </c>
      <c r="V46" s="19">
        <v>18</v>
      </c>
      <c r="W46" s="19">
        <v>65</v>
      </c>
      <c r="X46" s="19">
        <v>53</v>
      </c>
      <c r="Y46" s="19">
        <v>35</v>
      </c>
      <c r="Z46" s="19">
        <v>55</v>
      </c>
      <c r="AA46" s="19">
        <v>0</v>
      </c>
      <c r="AB46" s="19">
        <v>78</v>
      </c>
      <c r="AC46" s="19">
        <v>99</v>
      </c>
      <c r="AD46" s="19">
        <v>39</v>
      </c>
      <c r="AE46" s="19">
        <v>75</v>
      </c>
      <c r="AF46" s="19">
        <v>96</v>
      </c>
      <c r="AG46" s="19">
        <v>65</v>
      </c>
      <c r="AH46" s="19">
        <v>52</v>
      </c>
      <c r="AI46" s="5">
        <f t="shared" si="1"/>
        <v>2.0373352000000007</v>
      </c>
      <c r="AJ46" s="5">
        <f t="shared" si="2"/>
        <v>0.79866900000000018</v>
      </c>
      <c r="AK46" s="5">
        <f t="shared" si="3"/>
        <v>1.9085760000000005</v>
      </c>
      <c r="AL46" s="5">
        <f t="shared" si="4"/>
        <v>0.86474520000000044</v>
      </c>
      <c r="AM46" s="5">
        <f t="shared" si="5"/>
        <v>0.53048680000000015</v>
      </c>
    </row>
    <row r="47" spans="1:39" ht="15" customHeight="1" thickBot="1" x14ac:dyDescent="0.35">
      <c r="A47" s="5">
        <f t="shared" si="0"/>
        <v>37.876639524251779</v>
      </c>
      <c r="B47" s="16">
        <v>75</v>
      </c>
      <c r="C47" s="10" t="s">
        <v>86</v>
      </c>
      <c r="D47" s="17" t="s">
        <v>42</v>
      </c>
      <c r="E47" s="17" t="s">
        <v>36</v>
      </c>
      <c r="F47" s="17" t="s">
        <v>36</v>
      </c>
      <c r="G47" s="17">
        <v>18</v>
      </c>
      <c r="H47" s="17">
        <v>84</v>
      </c>
      <c r="I47" s="17">
        <v>0</v>
      </c>
      <c r="J47" s="17">
        <v>39</v>
      </c>
      <c r="K47" s="17">
        <v>13</v>
      </c>
      <c r="L47" s="17">
        <v>56</v>
      </c>
      <c r="M47" s="17">
        <v>98</v>
      </c>
      <c r="N47" s="17">
        <v>84</v>
      </c>
      <c r="O47" s="17">
        <v>61</v>
      </c>
      <c r="P47" s="17">
        <v>53</v>
      </c>
      <c r="Q47" s="16">
        <v>75</v>
      </c>
      <c r="R47" s="10" t="s">
        <v>86</v>
      </c>
      <c r="S47" s="17" t="s">
        <v>42</v>
      </c>
      <c r="T47" s="17" t="s">
        <v>36</v>
      </c>
      <c r="U47" s="17" t="s">
        <v>36</v>
      </c>
      <c r="V47" s="17">
        <v>18</v>
      </c>
      <c r="W47" s="17">
        <v>63</v>
      </c>
      <c r="X47" s="17">
        <v>32</v>
      </c>
      <c r="Y47" s="17">
        <v>38</v>
      </c>
      <c r="Z47" s="17">
        <v>42</v>
      </c>
      <c r="AA47" s="17">
        <v>44</v>
      </c>
      <c r="AB47" s="17">
        <v>64</v>
      </c>
      <c r="AC47" s="17">
        <v>81</v>
      </c>
      <c r="AD47" s="17">
        <v>89</v>
      </c>
      <c r="AE47" s="17">
        <v>61</v>
      </c>
      <c r="AF47" s="17">
        <v>7</v>
      </c>
      <c r="AG47" s="17">
        <v>38</v>
      </c>
      <c r="AH47" s="17">
        <v>53</v>
      </c>
      <c r="AI47" s="5">
        <f t="shared" si="1"/>
        <v>2.243880400000001</v>
      </c>
      <c r="AJ47" s="5">
        <f t="shared" si="2"/>
        <v>1.2251842000000006</v>
      </c>
      <c r="AK47" s="5">
        <f t="shared" si="3"/>
        <v>1.4332700000000005</v>
      </c>
      <c r="AL47" s="5">
        <f t="shared" si="4"/>
        <v>0.69493320000000014</v>
      </c>
      <c r="AM47" s="5">
        <f t="shared" si="5"/>
        <v>1.0260308000000002</v>
      </c>
    </row>
    <row r="48" spans="1:39" ht="15" customHeight="1" thickBot="1" x14ac:dyDescent="0.35">
      <c r="A48" s="5">
        <f t="shared" si="0"/>
        <v>41.634849420793806</v>
      </c>
      <c r="B48" s="16">
        <v>76</v>
      </c>
      <c r="C48" s="10" t="s">
        <v>87</v>
      </c>
      <c r="D48" s="17" t="s">
        <v>42</v>
      </c>
      <c r="E48" s="17" t="s">
        <v>36</v>
      </c>
      <c r="F48" s="17" t="s">
        <v>36</v>
      </c>
      <c r="G48" s="17">
        <v>18</v>
      </c>
      <c r="H48" s="17">
        <v>57</v>
      </c>
      <c r="I48" s="17">
        <v>43</v>
      </c>
      <c r="J48" s="17">
        <v>27</v>
      </c>
      <c r="K48" s="17">
        <v>22</v>
      </c>
      <c r="L48" s="17">
        <v>51</v>
      </c>
      <c r="M48" s="17">
        <v>52</v>
      </c>
      <c r="N48" s="17">
        <v>37</v>
      </c>
      <c r="O48" s="17">
        <v>48</v>
      </c>
      <c r="P48" s="17">
        <v>53</v>
      </c>
      <c r="Q48" s="16">
        <v>76</v>
      </c>
      <c r="R48" s="10" t="s">
        <v>87</v>
      </c>
      <c r="S48" s="17" t="s">
        <v>42</v>
      </c>
      <c r="T48" s="17" t="s">
        <v>36</v>
      </c>
      <c r="U48" s="17" t="s">
        <v>36</v>
      </c>
      <c r="V48" s="17">
        <v>18</v>
      </c>
      <c r="W48" s="17">
        <v>44</v>
      </c>
      <c r="X48" s="17">
        <v>40</v>
      </c>
      <c r="Y48" s="17">
        <v>74</v>
      </c>
      <c r="Z48" s="17">
        <v>74</v>
      </c>
      <c r="AA48" s="17">
        <v>15</v>
      </c>
      <c r="AB48" s="17">
        <v>86</v>
      </c>
      <c r="AC48" s="17">
        <v>67</v>
      </c>
      <c r="AD48" s="17">
        <v>17</v>
      </c>
      <c r="AE48" s="17">
        <v>43</v>
      </c>
      <c r="AF48" s="17">
        <v>37</v>
      </c>
      <c r="AG48" s="17">
        <v>49</v>
      </c>
      <c r="AH48" s="17">
        <v>53</v>
      </c>
      <c r="AI48" s="5">
        <f t="shared" si="1"/>
        <v>2.3221884000000004</v>
      </c>
      <c r="AJ48" s="5">
        <f t="shared" si="2"/>
        <v>0.56820840000000028</v>
      </c>
      <c r="AK48" s="5">
        <f t="shared" si="3"/>
        <v>2.2296960000000006</v>
      </c>
      <c r="AL48" s="5">
        <f t="shared" si="4"/>
        <v>0.87005720000000053</v>
      </c>
      <c r="AM48" s="5">
        <f t="shared" si="5"/>
        <v>0.15011020000000003</v>
      </c>
    </row>
    <row r="49" spans="1:39" ht="15" customHeight="1" thickBot="1" x14ac:dyDescent="0.35">
      <c r="A49" s="5">
        <f t="shared" si="0"/>
        <v>37.334177124055934</v>
      </c>
      <c r="B49" s="16">
        <v>77</v>
      </c>
      <c r="C49" s="10" t="s">
        <v>88</v>
      </c>
      <c r="D49" s="17" t="s">
        <v>57</v>
      </c>
      <c r="E49" s="17" t="s">
        <v>47</v>
      </c>
      <c r="F49" s="17" t="s">
        <v>47</v>
      </c>
      <c r="G49" s="17">
        <v>18</v>
      </c>
      <c r="H49" s="17">
        <v>81</v>
      </c>
      <c r="I49" s="17">
        <v>9</v>
      </c>
      <c r="J49" s="17">
        <v>18</v>
      </c>
      <c r="K49" s="17">
        <v>44</v>
      </c>
      <c r="L49" s="17">
        <v>46</v>
      </c>
      <c r="M49" s="17">
        <v>92</v>
      </c>
      <c r="N49" s="17">
        <v>53</v>
      </c>
      <c r="O49" s="17">
        <v>58</v>
      </c>
      <c r="P49" s="17">
        <v>51</v>
      </c>
      <c r="Q49" s="16">
        <v>77</v>
      </c>
      <c r="R49" s="10" t="s">
        <v>88</v>
      </c>
      <c r="S49" s="17" t="s">
        <v>57</v>
      </c>
      <c r="T49" s="17" t="s">
        <v>47</v>
      </c>
      <c r="U49" s="17" t="s">
        <v>47</v>
      </c>
      <c r="V49" s="17">
        <v>18</v>
      </c>
      <c r="W49" s="17">
        <v>58</v>
      </c>
      <c r="X49" s="17">
        <v>25</v>
      </c>
      <c r="Y49" s="17">
        <v>54</v>
      </c>
      <c r="Z49" s="17">
        <v>44</v>
      </c>
      <c r="AA49" s="17">
        <v>12</v>
      </c>
      <c r="AB49" s="17">
        <v>67</v>
      </c>
      <c r="AC49" s="17">
        <v>62</v>
      </c>
      <c r="AD49" s="17">
        <v>76</v>
      </c>
      <c r="AE49" s="17">
        <v>59</v>
      </c>
      <c r="AF49" s="17">
        <v>30</v>
      </c>
      <c r="AG49" s="17">
        <v>55</v>
      </c>
      <c r="AH49" s="17">
        <v>51</v>
      </c>
      <c r="AI49" s="5">
        <f t="shared" si="1"/>
        <v>2.1506448000000002</v>
      </c>
      <c r="AJ49" s="5">
        <f t="shared" si="2"/>
        <v>1.1123148000000003</v>
      </c>
      <c r="AK49" s="5">
        <f t="shared" si="3"/>
        <v>1.5422500000000006</v>
      </c>
      <c r="AL49" s="5">
        <f t="shared" si="4"/>
        <v>0.6800480000000001</v>
      </c>
      <c r="AM49" s="5">
        <f t="shared" si="5"/>
        <v>0.9377692000000003</v>
      </c>
    </row>
    <row r="50" spans="1:39" ht="15" customHeight="1" thickBot="1" x14ac:dyDescent="0.35">
      <c r="A50" s="5">
        <f t="shared" si="0"/>
        <v>48.140532048928321</v>
      </c>
      <c r="B50" s="16">
        <v>80</v>
      </c>
      <c r="C50" s="10" t="s">
        <v>89</v>
      </c>
      <c r="D50" s="17" t="s">
        <v>57</v>
      </c>
      <c r="E50" s="17" t="s">
        <v>46</v>
      </c>
      <c r="F50" s="17" t="s">
        <v>47</v>
      </c>
      <c r="G50" s="17">
        <v>19</v>
      </c>
      <c r="H50" s="17">
        <v>38</v>
      </c>
      <c r="I50" s="17">
        <v>38</v>
      </c>
      <c r="J50" s="17">
        <v>45</v>
      </c>
      <c r="K50" s="17">
        <v>69</v>
      </c>
      <c r="L50" s="17">
        <v>70</v>
      </c>
      <c r="M50" s="17">
        <v>56</v>
      </c>
      <c r="N50" s="17">
        <v>7</v>
      </c>
      <c r="O50" s="17">
        <v>4</v>
      </c>
      <c r="P50" s="17">
        <v>56</v>
      </c>
      <c r="Q50" s="16">
        <v>80</v>
      </c>
      <c r="R50" s="10" t="s">
        <v>89</v>
      </c>
      <c r="S50" s="17" t="s">
        <v>57</v>
      </c>
      <c r="T50" s="17" t="s">
        <v>46</v>
      </c>
      <c r="U50" s="17" t="s">
        <v>47</v>
      </c>
      <c r="V50" s="17">
        <v>19</v>
      </c>
      <c r="W50" s="17">
        <v>73</v>
      </c>
      <c r="X50" s="17">
        <v>72</v>
      </c>
      <c r="Y50" s="17">
        <v>30</v>
      </c>
      <c r="Z50" s="17">
        <v>32</v>
      </c>
      <c r="AA50" s="17">
        <v>20</v>
      </c>
      <c r="AB50" s="17">
        <v>74</v>
      </c>
      <c r="AC50" s="17">
        <v>77</v>
      </c>
      <c r="AD50" s="17">
        <v>33</v>
      </c>
      <c r="AE50" s="17">
        <v>56</v>
      </c>
      <c r="AF50" s="17">
        <v>100</v>
      </c>
      <c r="AG50" s="17">
        <v>51</v>
      </c>
      <c r="AH50" s="17">
        <v>56</v>
      </c>
      <c r="AI50" s="5">
        <f t="shared" si="1"/>
        <v>3.2852876000000002</v>
      </c>
      <c r="AJ50" s="5">
        <f t="shared" si="2"/>
        <v>0.53440600000000016</v>
      </c>
      <c r="AK50" s="5">
        <f t="shared" si="3"/>
        <v>1.9010740000000004</v>
      </c>
      <c r="AL50" s="5">
        <f t="shared" si="4"/>
        <v>0.79368040000000029</v>
      </c>
      <c r="AM50" s="5">
        <f t="shared" si="5"/>
        <v>0.40576660000000009</v>
      </c>
    </row>
    <row r="51" spans="1:39" ht="15" customHeight="1" thickBot="1" x14ac:dyDescent="0.35">
      <c r="A51" s="5">
        <f t="shared" si="0"/>
        <v>36.821610257960934</v>
      </c>
      <c r="B51" s="18">
        <v>81</v>
      </c>
      <c r="C51" s="11" t="s">
        <v>90</v>
      </c>
      <c r="D51" s="19" t="s">
        <v>42</v>
      </c>
      <c r="E51" s="19" t="s">
        <v>36</v>
      </c>
      <c r="F51" s="19" t="s">
        <v>36</v>
      </c>
      <c r="G51" s="19">
        <v>18</v>
      </c>
      <c r="H51" s="19">
        <v>11</v>
      </c>
      <c r="I51" s="19">
        <v>67</v>
      </c>
      <c r="J51" s="19">
        <v>32</v>
      </c>
      <c r="K51" s="19">
        <v>14</v>
      </c>
      <c r="L51" s="19">
        <v>52</v>
      </c>
      <c r="M51" s="19">
        <v>36</v>
      </c>
      <c r="N51" s="19">
        <v>1</v>
      </c>
      <c r="O51" s="19">
        <v>18</v>
      </c>
      <c r="P51" s="19">
        <v>48</v>
      </c>
      <c r="Q51" s="18">
        <v>81</v>
      </c>
      <c r="R51" s="11" t="s">
        <v>90</v>
      </c>
      <c r="S51" s="19" t="s">
        <v>42</v>
      </c>
      <c r="T51" s="19" t="s">
        <v>36</v>
      </c>
      <c r="U51" s="19" t="s">
        <v>36</v>
      </c>
      <c r="V51" s="19">
        <v>18</v>
      </c>
      <c r="W51" s="19">
        <v>51</v>
      </c>
      <c r="X51" s="19">
        <v>46</v>
      </c>
      <c r="Y51" s="19">
        <v>46</v>
      </c>
      <c r="Z51" s="19">
        <v>38</v>
      </c>
      <c r="AA51" s="19">
        <v>16</v>
      </c>
      <c r="AB51" s="19">
        <v>87</v>
      </c>
      <c r="AC51" s="19">
        <v>71</v>
      </c>
      <c r="AD51" s="19">
        <v>27</v>
      </c>
      <c r="AE51" s="19">
        <v>51</v>
      </c>
      <c r="AF51" s="19">
        <v>74</v>
      </c>
      <c r="AG51" s="19">
        <v>71</v>
      </c>
      <c r="AH51" s="19">
        <v>48</v>
      </c>
      <c r="AI51" s="5">
        <f t="shared" si="1"/>
        <v>2.3921824000000007</v>
      </c>
      <c r="AJ51" s="5">
        <f t="shared" si="2"/>
        <v>0.25087320000000002</v>
      </c>
      <c r="AK51" s="5">
        <f t="shared" si="3"/>
        <v>1.5041500000000003</v>
      </c>
      <c r="AL51" s="5">
        <f t="shared" si="4"/>
        <v>0.88753880000000041</v>
      </c>
      <c r="AM51" s="5">
        <f t="shared" si="5"/>
        <v>0.33667280000000011</v>
      </c>
    </row>
    <row r="52" spans="1:39" ht="15" customHeight="1" thickBot="1" x14ac:dyDescent="0.35">
      <c r="A52" s="5">
        <f t="shared" si="0"/>
        <v>36.237747107568907</v>
      </c>
      <c r="B52" s="18">
        <v>82</v>
      </c>
      <c r="C52" s="11" t="s">
        <v>91</v>
      </c>
      <c r="D52" s="19" t="s">
        <v>49</v>
      </c>
      <c r="E52" s="19" t="s">
        <v>36</v>
      </c>
      <c r="F52" s="19" t="s">
        <v>36</v>
      </c>
      <c r="G52" s="19">
        <v>18</v>
      </c>
      <c r="H52" s="19">
        <v>45</v>
      </c>
      <c r="I52" s="19">
        <v>23</v>
      </c>
      <c r="J52" s="19">
        <v>19</v>
      </c>
      <c r="K52" s="19">
        <v>34</v>
      </c>
      <c r="L52" s="19">
        <v>11</v>
      </c>
      <c r="M52" s="19">
        <v>56</v>
      </c>
      <c r="N52" s="19">
        <v>58</v>
      </c>
      <c r="O52" s="19">
        <v>11</v>
      </c>
      <c r="P52" s="19">
        <v>55</v>
      </c>
      <c r="Q52" s="18">
        <v>82</v>
      </c>
      <c r="R52" s="11" t="s">
        <v>91</v>
      </c>
      <c r="S52" s="19" t="s">
        <v>49</v>
      </c>
      <c r="T52" s="19" t="s">
        <v>36</v>
      </c>
      <c r="U52" s="19" t="s">
        <v>36</v>
      </c>
      <c r="V52" s="19">
        <v>18</v>
      </c>
      <c r="W52" s="19">
        <v>85</v>
      </c>
      <c r="X52" s="19">
        <v>77</v>
      </c>
      <c r="Y52" s="19">
        <v>48</v>
      </c>
      <c r="Z52" s="19">
        <v>66</v>
      </c>
      <c r="AA52" s="19">
        <v>0</v>
      </c>
      <c r="AB52" s="19">
        <v>93</v>
      </c>
      <c r="AC52" s="19">
        <v>94</v>
      </c>
      <c r="AD52" s="19">
        <v>89</v>
      </c>
      <c r="AE52" s="19">
        <v>49</v>
      </c>
      <c r="AF52" s="19">
        <v>0</v>
      </c>
      <c r="AG52" s="19">
        <v>35</v>
      </c>
      <c r="AH52" s="19">
        <v>55</v>
      </c>
      <c r="AI52" s="5">
        <f t="shared" si="1"/>
        <v>0.98532120000000001</v>
      </c>
      <c r="AJ52" s="5">
        <f t="shared" si="2"/>
        <v>0.6488750000000002</v>
      </c>
      <c r="AK52" s="5">
        <f t="shared" si="3"/>
        <v>2.8233880000000005</v>
      </c>
      <c r="AL52" s="5">
        <f t="shared" si="4"/>
        <v>0.96472320000000034</v>
      </c>
      <c r="AM52" s="5">
        <f t="shared" si="5"/>
        <v>1.0041692000000002</v>
      </c>
    </row>
    <row r="53" spans="1:39" ht="15" customHeight="1" thickBot="1" x14ac:dyDescent="0.35">
      <c r="A53" s="5">
        <f t="shared" si="0"/>
        <v>36.230767979150016</v>
      </c>
      <c r="B53" s="18">
        <v>83</v>
      </c>
      <c r="C53" s="11" t="s">
        <v>92</v>
      </c>
      <c r="D53" s="19" t="s">
        <v>49</v>
      </c>
      <c r="E53" s="19" t="s">
        <v>46</v>
      </c>
      <c r="F53" s="19" t="s">
        <v>36</v>
      </c>
      <c r="G53" s="19">
        <v>18</v>
      </c>
      <c r="H53" s="19">
        <v>51</v>
      </c>
      <c r="I53" s="19">
        <v>19</v>
      </c>
      <c r="J53" s="19">
        <v>12</v>
      </c>
      <c r="K53" s="19">
        <v>31</v>
      </c>
      <c r="L53" s="19">
        <v>15</v>
      </c>
      <c r="M53" s="19">
        <v>63</v>
      </c>
      <c r="N53" s="19">
        <v>69</v>
      </c>
      <c r="O53" s="19">
        <v>32</v>
      </c>
      <c r="P53" s="19">
        <v>57</v>
      </c>
      <c r="Q53" s="18">
        <v>83</v>
      </c>
      <c r="R53" s="11" t="s">
        <v>92</v>
      </c>
      <c r="S53" s="19" t="s">
        <v>49</v>
      </c>
      <c r="T53" s="19" t="s">
        <v>46</v>
      </c>
      <c r="U53" s="19" t="s">
        <v>36</v>
      </c>
      <c r="V53" s="19">
        <v>18</v>
      </c>
      <c r="W53" s="19">
        <v>86</v>
      </c>
      <c r="X53" s="19">
        <v>67</v>
      </c>
      <c r="Y53" s="19">
        <v>51</v>
      </c>
      <c r="Z53" s="19">
        <v>68</v>
      </c>
      <c r="AA53" s="19">
        <v>3</v>
      </c>
      <c r="AB53" s="19">
        <v>100</v>
      </c>
      <c r="AC53" s="19">
        <v>100</v>
      </c>
      <c r="AD53" s="19">
        <v>89</v>
      </c>
      <c r="AE53" s="19">
        <v>80</v>
      </c>
      <c r="AF53" s="19">
        <v>0</v>
      </c>
      <c r="AG53" s="19">
        <v>31</v>
      </c>
      <c r="AH53" s="19">
        <v>57</v>
      </c>
      <c r="AI53" s="5">
        <f t="shared" si="1"/>
        <v>0.96653520000000004</v>
      </c>
      <c r="AJ53" s="5">
        <f t="shared" si="2"/>
        <v>0.80150080000000024</v>
      </c>
      <c r="AK53" s="5">
        <f t="shared" si="3"/>
        <v>2.776196000000001</v>
      </c>
      <c r="AL53" s="5">
        <f t="shared" si="4"/>
        <v>0.99000000000000032</v>
      </c>
      <c r="AM53" s="5">
        <f t="shared" si="5"/>
        <v>1.0417658000000003</v>
      </c>
    </row>
    <row r="54" spans="1:39" ht="15" customHeight="1" thickBot="1" x14ac:dyDescent="0.35">
      <c r="A54" s="5">
        <f t="shared" si="0"/>
        <v>36.13952698762391</v>
      </c>
      <c r="B54" s="16">
        <v>85</v>
      </c>
      <c r="C54" s="10" t="s">
        <v>93</v>
      </c>
      <c r="D54" s="17" t="s">
        <v>45</v>
      </c>
      <c r="E54" s="17" t="s">
        <v>47</v>
      </c>
      <c r="F54" s="17" t="s">
        <v>36</v>
      </c>
      <c r="G54" s="17">
        <v>18</v>
      </c>
      <c r="H54" s="17">
        <v>24</v>
      </c>
      <c r="I54" s="17">
        <v>45</v>
      </c>
      <c r="J54" s="17">
        <v>32</v>
      </c>
      <c r="K54" s="17">
        <v>45</v>
      </c>
      <c r="L54" s="17">
        <v>36</v>
      </c>
      <c r="M54" s="17">
        <v>31</v>
      </c>
      <c r="N54" s="17">
        <v>39</v>
      </c>
      <c r="O54" s="17">
        <v>13</v>
      </c>
      <c r="P54" s="17">
        <v>50</v>
      </c>
      <c r="Q54" s="16">
        <v>85</v>
      </c>
      <c r="R54" s="10" t="s">
        <v>93</v>
      </c>
      <c r="S54" s="17" t="s">
        <v>45</v>
      </c>
      <c r="T54" s="17" t="s">
        <v>47</v>
      </c>
      <c r="U54" s="17" t="s">
        <v>36</v>
      </c>
      <c r="V54" s="17">
        <v>18</v>
      </c>
      <c r="W54" s="17">
        <v>56</v>
      </c>
      <c r="X54" s="17">
        <v>74</v>
      </c>
      <c r="Y54" s="17">
        <v>44</v>
      </c>
      <c r="Z54" s="17">
        <v>44</v>
      </c>
      <c r="AA54" s="17">
        <v>16</v>
      </c>
      <c r="AB54" s="17">
        <v>78</v>
      </c>
      <c r="AC54" s="17">
        <v>100</v>
      </c>
      <c r="AD54" s="17">
        <v>26</v>
      </c>
      <c r="AE54" s="17">
        <v>48</v>
      </c>
      <c r="AF54" s="17">
        <v>74</v>
      </c>
      <c r="AG54" s="17">
        <v>81</v>
      </c>
      <c r="AH54" s="17">
        <v>50</v>
      </c>
      <c r="AI54" s="5">
        <f t="shared" si="1"/>
        <v>1.9037632</v>
      </c>
      <c r="AJ54" s="5">
        <f t="shared" si="2"/>
        <v>0.24231300000000006</v>
      </c>
      <c r="AK54" s="5">
        <f t="shared" si="3"/>
        <v>2.0346640000000007</v>
      </c>
      <c r="AL54" s="5">
        <f t="shared" si="4"/>
        <v>0.86518080000000031</v>
      </c>
      <c r="AM54" s="5">
        <f t="shared" si="5"/>
        <v>0.33339860000000004</v>
      </c>
    </row>
    <row r="55" spans="1:39" ht="15" customHeight="1" thickBot="1" x14ac:dyDescent="0.35">
      <c r="A55" s="5">
        <f t="shared" si="0"/>
        <v>43.517582525180522</v>
      </c>
      <c r="B55" s="18">
        <v>89</v>
      </c>
      <c r="C55" s="11" t="s">
        <v>94</v>
      </c>
      <c r="D55" s="19" t="s">
        <v>40</v>
      </c>
      <c r="E55" s="19" t="s">
        <v>36</v>
      </c>
      <c r="F55" s="19" t="s">
        <v>36</v>
      </c>
      <c r="G55" s="19">
        <v>18</v>
      </c>
      <c r="H55" s="19">
        <v>55</v>
      </c>
      <c r="I55" s="19">
        <v>32</v>
      </c>
      <c r="J55" s="19">
        <v>19</v>
      </c>
      <c r="K55" s="19">
        <v>9</v>
      </c>
      <c r="L55" s="19">
        <v>57</v>
      </c>
      <c r="M55" s="19">
        <v>75</v>
      </c>
      <c r="N55" s="19">
        <v>65</v>
      </c>
      <c r="O55" s="19">
        <v>5</v>
      </c>
      <c r="P55" s="19">
        <v>60</v>
      </c>
      <c r="Q55" s="18">
        <v>89</v>
      </c>
      <c r="R55" s="11" t="s">
        <v>94</v>
      </c>
      <c r="S55" s="19" t="s">
        <v>40</v>
      </c>
      <c r="T55" s="19" t="s">
        <v>36</v>
      </c>
      <c r="U55" s="19" t="s">
        <v>36</v>
      </c>
      <c r="V55" s="19">
        <v>18</v>
      </c>
      <c r="W55" s="19">
        <v>54</v>
      </c>
      <c r="X55" s="19">
        <v>44</v>
      </c>
      <c r="Y55" s="19">
        <v>83</v>
      </c>
      <c r="Z55" s="19">
        <v>80</v>
      </c>
      <c r="AA55" s="19">
        <v>1</v>
      </c>
      <c r="AB55" s="19">
        <v>100</v>
      </c>
      <c r="AC55" s="19">
        <v>75</v>
      </c>
      <c r="AD55" s="19">
        <v>62</v>
      </c>
      <c r="AE55" s="19">
        <v>36</v>
      </c>
      <c r="AF55" s="19">
        <v>65</v>
      </c>
      <c r="AG55" s="19">
        <v>62</v>
      </c>
      <c r="AH55" s="19">
        <v>60</v>
      </c>
      <c r="AI55" s="5">
        <f t="shared" si="1"/>
        <v>1.9615148000000009</v>
      </c>
      <c r="AJ55" s="5">
        <f t="shared" si="2"/>
        <v>0.93172500000000014</v>
      </c>
      <c r="AK55" s="5">
        <f t="shared" si="3"/>
        <v>2.6041500000000006</v>
      </c>
      <c r="AL55" s="5">
        <f t="shared" si="4"/>
        <v>0.95175000000000032</v>
      </c>
      <c r="AM55" s="5">
        <f t="shared" si="5"/>
        <v>0.77675220000000011</v>
      </c>
    </row>
    <row r="56" spans="1:39" ht="15" customHeight="1" thickBot="1" x14ac:dyDescent="0.35">
      <c r="A56" s="5">
        <f t="shared" si="0"/>
        <v>55.069936139729421</v>
      </c>
      <c r="B56" s="16">
        <v>90</v>
      </c>
      <c r="C56" s="10" t="s">
        <v>95</v>
      </c>
      <c r="D56" s="17" t="s">
        <v>49</v>
      </c>
      <c r="E56" s="17" t="s">
        <v>46</v>
      </c>
      <c r="F56" s="17" t="s">
        <v>36</v>
      </c>
      <c r="G56" s="17">
        <v>22</v>
      </c>
      <c r="H56" s="17">
        <v>68</v>
      </c>
      <c r="I56" s="17">
        <v>0</v>
      </c>
      <c r="J56" s="17">
        <v>60</v>
      </c>
      <c r="K56" s="17">
        <v>21</v>
      </c>
      <c r="L56" s="17">
        <v>69</v>
      </c>
      <c r="M56" s="17">
        <v>85</v>
      </c>
      <c r="N56" s="17">
        <v>73</v>
      </c>
      <c r="O56" s="17">
        <v>54</v>
      </c>
      <c r="P56" s="17">
        <v>66</v>
      </c>
      <c r="Q56" s="16">
        <v>90</v>
      </c>
      <c r="R56" s="10" t="s">
        <v>95</v>
      </c>
      <c r="S56" s="17" t="s">
        <v>49</v>
      </c>
      <c r="T56" s="17" t="s">
        <v>46</v>
      </c>
      <c r="U56" s="17" t="s">
        <v>36</v>
      </c>
      <c r="V56" s="17">
        <v>22</v>
      </c>
      <c r="W56" s="17">
        <v>97</v>
      </c>
      <c r="X56" s="17">
        <v>79</v>
      </c>
      <c r="Y56" s="17">
        <v>63</v>
      </c>
      <c r="Z56" s="17">
        <v>73</v>
      </c>
      <c r="AA56" s="17">
        <v>29</v>
      </c>
      <c r="AB56" s="17">
        <v>82</v>
      </c>
      <c r="AC56" s="17">
        <v>98</v>
      </c>
      <c r="AD56" s="17">
        <v>68</v>
      </c>
      <c r="AE56" s="17">
        <v>91</v>
      </c>
      <c r="AF56" s="17">
        <v>69</v>
      </c>
      <c r="AG56" s="17">
        <v>0</v>
      </c>
      <c r="AH56" s="17">
        <v>66</v>
      </c>
      <c r="AI56" s="5">
        <f t="shared" si="1"/>
        <v>2.6923800000000009</v>
      </c>
      <c r="AJ56" s="5">
        <f t="shared" si="2"/>
        <v>1.1105184000000006</v>
      </c>
      <c r="AK56" s="5">
        <f t="shared" si="3"/>
        <v>3.2386080000000006</v>
      </c>
      <c r="AL56" s="5">
        <f t="shared" si="4"/>
        <v>0.8984144000000005</v>
      </c>
      <c r="AM56" s="5">
        <f t="shared" si="5"/>
        <v>0.87534400000000023</v>
      </c>
    </row>
    <row r="57" spans="1:39" ht="15" customHeight="1" thickBot="1" x14ac:dyDescent="0.35">
      <c r="A57" s="5">
        <f t="shared" si="0"/>
        <v>33.839121363312373</v>
      </c>
      <c r="B57" s="16">
        <v>92</v>
      </c>
      <c r="C57" s="10" t="s">
        <v>96</v>
      </c>
      <c r="D57" s="17" t="s">
        <v>49</v>
      </c>
      <c r="E57" s="17" t="s">
        <v>47</v>
      </c>
      <c r="F57" s="17" t="s">
        <v>36</v>
      </c>
      <c r="G57" s="17">
        <v>18</v>
      </c>
      <c r="H57" s="17">
        <v>1</v>
      </c>
      <c r="I57" s="17">
        <v>0</v>
      </c>
      <c r="J57" s="17">
        <v>25</v>
      </c>
      <c r="K57" s="17">
        <v>32</v>
      </c>
      <c r="L57" s="17">
        <v>36</v>
      </c>
      <c r="M57" s="17">
        <v>67</v>
      </c>
      <c r="N57" s="17">
        <v>65</v>
      </c>
      <c r="O57" s="17">
        <v>49</v>
      </c>
      <c r="P57" s="17">
        <v>44</v>
      </c>
      <c r="Q57" s="16">
        <v>92</v>
      </c>
      <c r="R57" s="10" t="s">
        <v>96</v>
      </c>
      <c r="S57" s="17" t="s">
        <v>49</v>
      </c>
      <c r="T57" s="17" t="s">
        <v>47</v>
      </c>
      <c r="U57" s="17" t="s">
        <v>36</v>
      </c>
      <c r="V57" s="17">
        <v>18</v>
      </c>
      <c r="W57" s="17">
        <v>79</v>
      </c>
      <c r="X57" s="17">
        <v>82</v>
      </c>
      <c r="Y57" s="17">
        <v>66</v>
      </c>
      <c r="Z57" s="17">
        <v>57</v>
      </c>
      <c r="AA57" s="17">
        <v>8</v>
      </c>
      <c r="AB57" s="17">
        <v>85</v>
      </c>
      <c r="AC57" s="17">
        <v>100</v>
      </c>
      <c r="AD57" s="17">
        <v>30</v>
      </c>
      <c r="AE57" s="17">
        <v>56</v>
      </c>
      <c r="AF57" s="17">
        <v>58</v>
      </c>
      <c r="AG57" s="17">
        <v>54</v>
      </c>
      <c r="AH57" s="17">
        <v>44</v>
      </c>
      <c r="AI57" s="5">
        <f t="shared" si="1"/>
        <v>0.74133720000000014</v>
      </c>
      <c r="AJ57" s="5">
        <f t="shared" si="2"/>
        <v>0.8705162000000003</v>
      </c>
      <c r="AK57" s="5">
        <f t="shared" si="3"/>
        <v>2.9518080000000007</v>
      </c>
      <c r="AL57" s="5">
        <f t="shared" si="4"/>
        <v>0.92220000000000046</v>
      </c>
      <c r="AM57" s="5">
        <f t="shared" si="5"/>
        <v>0.33139360000000007</v>
      </c>
    </row>
    <row r="58" spans="1:39" ht="15" customHeight="1" thickBot="1" x14ac:dyDescent="0.35">
      <c r="A58" s="5">
        <f t="shared" si="0"/>
        <v>37.311952165993503</v>
      </c>
      <c r="B58" s="18">
        <v>93</v>
      </c>
      <c r="C58" s="11" t="s">
        <v>97</v>
      </c>
      <c r="D58" s="19" t="s">
        <v>38</v>
      </c>
      <c r="E58" s="19" t="s">
        <v>36</v>
      </c>
      <c r="F58" s="19" t="s">
        <v>36</v>
      </c>
      <c r="G58" s="19">
        <v>18</v>
      </c>
      <c r="H58" s="19">
        <v>44</v>
      </c>
      <c r="I58" s="19">
        <v>13</v>
      </c>
      <c r="J58" s="19">
        <v>22</v>
      </c>
      <c r="K58" s="19">
        <v>4</v>
      </c>
      <c r="L58" s="19">
        <v>15</v>
      </c>
      <c r="M58" s="19">
        <v>71</v>
      </c>
      <c r="N58" s="19">
        <v>60</v>
      </c>
      <c r="O58" s="19">
        <v>47</v>
      </c>
      <c r="P58" s="19">
        <v>46</v>
      </c>
      <c r="Q58" s="18">
        <v>93</v>
      </c>
      <c r="R58" s="11" t="s">
        <v>97</v>
      </c>
      <c r="S58" s="19" t="s">
        <v>38</v>
      </c>
      <c r="T58" s="19" t="s">
        <v>36</v>
      </c>
      <c r="U58" s="19" t="s">
        <v>36</v>
      </c>
      <c r="V58" s="19">
        <v>18</v>
      </c>
      <c r="W58" s="19">
        <v>87</v>
      </c>
      <c r="X58" s="19">
        <v>84</v>
      </c>
      <c r="Y58" s="19">
        <v>100</v>
      </c>
      <c r="Z58" s="19">
        <v>77</v>
      </c>
      <c r="AA58" s="19">
        <v>6</v>
      </c>
      <c r="AB58" s="19">
        <v>79</v>
      </c>
      <c r="AC58" s="19">
        <v>31</v>
      </c>
      <c r="AD58" s="19">
        <v>46</v>
      </c>
      <c r="AE58" s="19">
        <v>60</v>
      </c>
      <c r="AF58" s="19">
        <v>42</v>
      </c>
      <c r="AG58" s="19">
        <v>58</v>
      </c>
      <c r="AH58" s="19">
        <v>46</v>
      </c>
      <c r="AI58" s="5">
        <f t="shared" si="1"/>
        <v>0.61016880000000018</v>
      </c>
      <c r="AJ58" s="5">
        <f t="shared" si="2"/>
        <v>0.90705140000000017</v>
      </c>
      <c r="AK58" s="5">
        <f t="shared" si="3"/>
        <v>3.6310000000000011</v>
      </c>
      <c r="AL58" s="5">
        <f t="shared" si="4"/>
        <v>0.71268120000000035</v>
      </c>
      <c r="AM58" s="5">
        <f t="shared" si="5"/>
        <v>0.53450400000000009</v>
      </c>
    </row>
    <row r="59" spans="1:39" ht="15" customHeight="1" thickBot="1" x14ac:dyDescent="0.35">
      <c r="A59" s="5">
        <f t="shared" si="0"/>
        <v>33.118086639740227</v>
      </c>
      <c r="B59" s="18">
        <v>94</v>
      </c>
      <c r="C59" s="11" t="s">
        <v>98</v>
      </c>
      <c r="D59" s="19" t="s">
        <v>40</v>
      </c>
      <c r="E59" s="19" t="s">
        <v>46</v>
      </c>
      <c r="F59" s="19" t="s">
        <v>36</v>
      </c>
      <c r="G59" s="19">
        <v>18</v>
      </c>
      <c r="H59" s="19">
        <v>47</v>
      </c>
      <c r="I59" s="19">
        <v>4</v>
      </c>
      <c r="J59" s="19">
        <v>1</v>
      </c>
      <c r="K59" s="19">
        <v>6</v>
      </c>
      <c r="L59" s="19">
        <v>23</v>
      </c>
      <c r="M59" s="19">
        <v>70</v>
      </c>
      <c r="N59" s="19">
        <v>94</v>
      </c>
      <c r="O59" s="19">
        <v>57</v>
      </c>
      <c r="P59" s="19">
        <v>45</v>
      </c>
      <c r="Q59" s="18">
        <v>94</v>
      </c>
      <c r="R59" s="11" t="s">
        <v>98</v>
      </c>
      <c r="S59" s="19" t="s">
        <v>40</v>
      </c>
      <c r="T59" s="19" t="s">
        <v>46</v>
      </c>
      <c r="U59" s="19" t="s">
        <v>36</v>
      </c>
      <c r="V59" s="19">
        <v>18</v>
      </c>
      <c r="W59" s="19">
        <v>57</v>
      </c>
      <c r="X59" s="19">
        <v>53</v>
      </c>
      <c r="Y59" s="19">
        <v>95</v>
      </c>
      <c r="Z59" s="19">
        <v>91</v>
      </c>
      <c r="AA59" s="19">
        <v>0</v>
      </c>
      <c r="AB59" s="19">
        <v>100</v>
      </c>
      <c r="AC59" s="19">
        <v>82</v>
      </c>
      <c r="AD59" s="19">
        <v>23</v>
      </c>
      <c r="AE59" s="19">
        <v>27</v>
      </c>
      <c r="AF59" s="19">
        <v>80</v>
      </c>
      <c r="AG59" s="19">
        <v>57</v>
      </c>
      <c r="AH59" s="19">
        <v>45</v>
      </c>
      <c r="AI59" s="5">
        <f t="shared" si="1"/>
        <v>0.62486200000000003</v>
      </c>
      <c r="AJ59" s="5">
        <f t="shared" si="2"/>
        <v>0.98374980000000012</v>
      </c>
      <c r="AK59" s="5">
        <f t="shared" si="3"/>
        <v>2.9648480000000008</v>
      </c>
      <c r="AL59" s="5">
        <f t="shared" si="4"/>
        <v>0.96734880000000034</v>
      </c>
      <c r="AM59" s="5">
        <f t="shared" si="5"/>
        <v>0.25092680000000006</v>
      </c>
    </row>
    <row r="60" spans="1:39" ht="15" customHeight="1" thickBot="1" x14ac:dyDescent="0.35">
      <c r="A60" s="5">
        <f t="shared" si="0"/>
        <v>36.660907147022598</v>
      </c>
      <c r="B60" s="16">
        <v>95</v>
      </c>
      <c r="C60" s="10" t="s">
        <v>99</v>
      </c>
      <c r="D60" s="17" t="s">
        <v>57</v>
      </c>
      <c r="E60" s="17" t="s">
        <v>36</v>
      </c>
      <c r="F60" s="17" t="s">
        <v>36</v>
      </c>
      <c r="G60" s="17">
        <v>18</v>
      </c>
      <c r="H60" s="17">
        <v>52</v>
      </c>
      <c r="I60" s="17">
        <v>0</v>
      </c>
      <c r="J60" s="17">
        <v>35</v>
      </c>
      <c r="K60" s="17">
        <v>34</v>
      </c>
      <c r="L60" s="17">
        <v>57</v>
      </c>
      <c r="M60" s="17">
        <v>75</v>
      </c>
      <c r="N60" s="17">
        <v>93</v>
      </c>
      <c r="O60" s="17">
        <v>44</v>
      </c>
      <c r="P60" s="17">
        <v>56</v>
      </c>
      <c r="Q60" s="16">
        <v>95</v>
      </c>
      <c r="R60" s="10" t="s">
        <v>99</v>
      </c>
      <c r="S60" s="17" t="s">
        <v>57</v>
      </c>
      <c r="T60" s="17" t="s">
        <v>36</v>
      </c>
      <c r="U60" s="17" t="s">
        <v>36</v>
      </c>
      <c r="V60" s="17">
        <v>18</v>
      </c>
      <c r="W60" s="17">
        <v>61</v>
      </c>
      <c r="X60" s="17">
        <v>66</v>
      </c>
      <c r="Y60" s="17">
        <v>30</v>
      </c>
      <c r="Z60" s="17">
        <v>26</v>
      </c>
      <c r="AA60" s="17">
        <v>6</v>
      </c>
      <c r="AB60" s="17">
        <v>91</v>
      </c>
      <c r="AC60" s="17">
        <v>88</v>
      </c>
      <c r="AD60" s="17">
        <v>80</v>
      </c>
      <c r="AE60" s="17">
        <v>65</v>
      </c>
      <c r="AF60" s="17">
        <v>2</v>
      </c>
      <c r="AG60" s="17">
        <v>53</v>
      </c>
      <c r="AH60" s="17">
        <v>56</v>
      </c>
      <c r="AI60" s="5">
        <f t="shared" si="1"/>
        <v>1.9458316000000004</v>
      </c>
      <c r="AJ60" s="5">
        <f t="shared" si="2"/>
        <v>1.0271584</v>
      </c>
      <c r="AK60" s="5">
        <f t="shared" si="3"/>
        <v>1.586554</v>
      </c>
      <c r="AL60" s="5">
        <f t="shared" si="4"/>
        <v>0.9474096000000003</v>
      </c>
      <c r="AM60" s="5">
        <f t="shared" si="5"/>
        <v>0.97131400000000012</v>
      </c>
    </row>
    <row r="61" spans="1:39" ht="15" customHeight="1" thickBot="1" x14ac:dyDescent="0.35">
      <c r="A61" s="5">
        <f t="shared" si="0"/>
        <v>36.524044147821762</v>
      </c>
      <c r="B61" s="18">
        <v>97</v>
      </c>
      <c r="C61" s="11" t="s">
        <v>100</v>
      </c>
      <c r="D61" s="19" t="s">
        <v>49</v>
      </c>
      <c r="E61" s="19" t="s">
        <v>36</v>
      </c>
      <c r="F61" s="19" t="s">
        <v>36</v>
      </c>
      <c r="G61" s="19">
        <v>18</v>
      </c>
      <c r="H61" s="19">
        <v>20</v>
      </c>
      <c r="I61" s="19">
        <v>10</v>
      </c>
      <c r="J61" s="19">
        <v>6</v>
      </c>
      <c r="K61" s="19">
        <v>22</v>
      </c>
      <c r="L61" s="19">
        <v>40</v>
      </c>
      <c r="M61" s="19">
        <v>58</v>
      </c>
      <c r="N61" s="19">
        <v>59</v>
      </c>
      <c r="O61" s="19">
        <v>46</v>
      </c>
      <c r="P61" s="19">
        <v>49</v>
      </c>
      <c r="Q61" s="18">
        <v>97</v>
      </c>
      <c r="R61" s="11" t="s">
        <v>100</v>
      </c>
      <c r="S61" s="19" t="s">
        <v>49</v>
      </c>
      <c r="T61" s="19" t="s">
        <v>36</v>
      </c>
      <c r="U61" s="19" t="s">
        <v>36</v>
      </c>
      <c r="V61" s="19">
        <v>18</v>
      </c>
      <c r="W61" s="19">
        <v>80</v>
      </c>
      <c r="X61" s="19">
        <v>66</v>
      </c>
      <c r="Y61" s="19">
        <v>75</v>
      </c>
      <c r="Z61" s="19">
        <v>85</v>
      </c>
      <c r="AA61" s="19">
        <v>0</v>
      </c>
      <c r="AB61" s="19">
        <v>74</v>
      </c>
      <c r="AC61" s="19">
        <v>95</v>
      </c>
      <c r="AD61" s="19">
        <v>90</v>
      </c>
      <c r="AE61" s="19">
        <v>100</v>
      </c>
      <c r="AF61" s="19">
        <v>73</v>
      </c>
      <c r="AG61" s="19">
        <v>47</v>
      </c>
      <c r="AH61" s="19">
        <v>49</v>
      </c>
      <c r="AI61" s="5">
        <f t="shared" si="1"/>
        <v>0.68534880000000009</v>
      </c>
      <c r="AJ61" s="5">
        <f t="shared" si="2"/>
        <v>0.71889320000000012</v>
      </c>
      <c r="AK61" s="5">
        <f t="shared" si="3"/>
        <v>3.2403280000000008</v>
      </c>
      <c r="AL61" s="5">
        <f t="shared" si="4"/>
        <v>0.82392760000000032</v>
      </c>
      <c r="AM61" s="5">
        <f t="shared" si="5"/>
        <v>1.161448</v>
      </c>
    </row>
    <row r="62" spans="1:39" ht="15" customHeight="1" thickBot="1" x14ac:dyDescent="0.35">
      <c r="A62" s="5">
        <f t="shared" si="0"/>
        <v>34.763045278155751</v>
      </c>
      <c r="B62" s="16">
        <v>100</v>
      </c>
      <c r="C62" s="10" t="s">
        <v>101</v>
      </c>
      <c r="D62" s="17" t="s">
        <v>57</v>
      </c>
      <c r="E62" s="17" t="s">
        <v>36</v>
      </c>
      <c r="F62" s="17" t="s">
        <v>36</v>
      </c>
      <c r="G62" s="17">
        <v>18</v>
      </c>
      <c r="H62" s="17">
        <v>35</v>
      </c>
      <c r="I62" s="17">
        <v>30</v>
      </c>
      <c r="J62" s="17">
        <v>43</v>
      </c>
      <c r="K62" s="17">
        <v>17</v>
      </c>
      <c r="L62" s="17">
        <v>59</v>
      </c>
      <c r="M62" s="17">
        <v>51</v>
      </c>
      <c r="N62" s="17">
        <v>22</v>
      </c>
      <c r="O62" s="17">
        <v>17</v>
      </c>
      <c r="P62" s="17">
        <v>54</v>
      </c>
      <c r="Q62" s="16">
        <v>100</v>
      </c>
      <c r="R62" s="10" t="s">
        <v>101</v>
      </c>
      <c r="S62" s="17" t="s">
        <v>57</v>
      </c>
      <c r="T62" s="17" t="s">
        <v>36</v>
      </c>
      <c r="U62" s="17" t="s">
        <v>36</v>
      </c>
      <c r="V62" s="17">
        <v>18</v>
      </c>
      <c r="W62" s="17">
        <v>38</v>
      </c>
      <c r="X62" s="17">
        <v>21</v>
      </c>
      <c r="Y62" s="17">
        <v>62</v>
      </c>
      <c r="Z62" s="17">
        <v>54</v>
      </c>
      <c r="AA62" s="17">
        <v>8</v>
      </c>
      <c r="AB62" s="17">
        <v>97</v>
      </c>
      <c r="AC62" s="17">
        <v>64</v>
      </c>
      <c r="AD62" s="17">
        <v>79</v>
      </c>
      <c r="AE62" s="17">
        <v>31</v>
      </c>
      <c r="AF62" s="17">
        <v>84</v>
      </c>
      <c r="AG62" s="17">
        <v>86</v>
      </c>
      <c r="AH62" s="17">
        <v>54</v>
      </c>
      <c r="AI62" s="5">
        <f t="shared" si="1"/>
        <v>1.9468300000000003</v>
      </c>
      <c r="AJ62" s="5">
        <f t="shared" si="2"/>
        <v>0.48209020000000008</v>
      </c>
      <c r="AK62" s="5">
        <f t="shared" si="3"/>
        <v>1.4790500000000004</v>
      </c>
      <c r="AL62" s="5">
        <f t="shared" si="4"/>
        <v>0.91587360000000029</v>
      </c>
      <c r="AM62" s="5">
        <f t="shared" si="5"/>
        <v>1.0444378000000003</v>
      </c>
    </row>
    <row r="63" spans="1:39" ht="15" customHeight="1" thickBot="1" x14ac:dyDescent="0.35">
      <c r="A63" s="5">
        <f t="shared" si="0"/>
        <v>30.850237658120772</v>
      </c>
      <c r="B63" s="18">
        <v>102</v>
      </c>
      <c r="C63" s="11" t="s">
        <v>102</v>
      </c>
      <c r="D63" s="19" t="s">
        <v>64</v>
      </c>
      <c r="E63" s="19" t="s">
        <v>36</v>
      </c>
      <c r="F63" s="19" t="s">
        <v>36</v>
      </c>
      <c r="G63" s="19">
        <v>18</v>
      </c>
      <c r="H63" s="19">
        <v>16</v>
      </c>
      <c r="I63" s="19">
        <v>43</v>
      </c>
      <c r="J63" s="19">
        <v>54</v>
      </c>
      <c r="K63" s="19">
        <v>24</v>
      </c>
      <c r="L63" s="19">
        <v>20</v>
      </c>
      <c r="M63" s="19">
        <v>72</v>
      </c>
      <c r="N63" s="19">
        <v>70</v>
      </c>
      <c r="O63" s="19">
        <v>78</v>
      </c>
      <c r="P63" s="19">
        <v>47</v>
      </c>
      <c r="Q63" s="18">
        <v>102</v>
      </c>
      <c r="R63" s="11" t="s">
        <v>102</v>
      </c>
      <c r="S63" s="19" t="s">
        <v>64</v>
      </c>
      <c r="T63" s="19" t="s">
        <v>36</v>
      </c>
      <c r="U63" s="19" t="s">
        <v>36</v>
      </c>
      <c r="V63" s="19">
        <v>18</v>
      </c>
      <c r="W63" s="19">
        <v>9</v>
      </c>
      <c r="X63" s="19">
        <v>20</v>
      </c>
      <c r="Y63" s="19">
        <v>85</v>
      </c>
      <c r="Z63" s="19">
        <v>78</v>
      </c>
      <c r="AA63" s="19">
        <v>93</v>
      </c>
      <c r="AB63" s="19">
        <v>72</v>
      </c>
      <c r="AC63" s="19">
        <v>82</v>
      </c>
      <c r="AD63" s="19">
        <v>11</v>
      </c>
      <c r="AE63" s="19">
        <v>78</v>
      </c>
      <c r="AF63" s="19">
        <v>45</v>
      </c>
      <c r="AG63" s="19">
        <v>90</v>
      </c>
      <c r="AH63" s="19">
        <v>47</v>
      </c>
      <c r="AI63" s="5">
        <f t="shared" si="1"/>
        <v>1.4772040000000006</v>
      </c>
      <c r="AJ63" s="5">
        <f t="shared" si="2"/>
        <v>0.99158160000000029</v>
      </c>
      <c r="AK63" s="5">
        <f t="shared" si="3"/>
        <v>1.6804838000000006</v>
      </c>
      <c r="AL63" s="5">
        <f t="shared" si="4"/>
        <v>0.78429600000000033</v>
      </c>
      <c r="AM63" s="5">
        <f t="shared" si="5"/>
        <v>0.22798060000000003</v>
      </c>
    </row>
    <row r="64" spans="1:39" ht="15" customHeight="1" thickBot="1" x14ac:dyDescent="0.35">
      <c r="A64" s="5">
        <f t="shared" si="0"/>
        <v>39.24347466107978</v>
      </c>
      <c r="B64" s="16">
        <v>103</v>
      </c>
      <c r="C64" s="10" t="s">
        <v>103</v>
      </c>
      <c r="D64" s="17" t="s">
        <v>42</v>
      </c>
      <c r="E64" s="17" t="s">
        <v>36</v>
      </c>
      <c r="F64" s="17" t="s">
        <v>36</v>
      </c>
      <c r="G64" s="17">
        <v>21</v>
      </c>
      <c r="H64" s="17">
        <v>20</v>
      </c>
      <c r="I64" s="17">
        <v>26</v>
      </c>
      <c r="J64" s="17">
        <v>41</v>
      </c>
      <c r="K64" s="17">
        <v>49</v>
      </c>
      <c r="L64" s="17">
        <v>57</v>
      </c>
      <c r="M64" s="17">
        <v>53</v>
      </c>
      <c r="N64" s="17">
        <v>87</v>
      </c>
      <c r="O64" s="17">
        <v>34</v>
      </c>
      <c r="P64" s="17">
        <v>51</v>
      </c>
      <c r="Q64" s="16">
        <v>103</v>
      </c>
      <c r="R64" s="10" t="s">
        <v>103</v>
      </c>
      <c r="S64" s="17" t="s">
        <v>42</v>
      </c>
      <c r="T64" s="17" t="s">
        <v>36</v>
      </c>
      <c r="U64" s="17" t="s">
        <v>36</v>
      </c>
      <c r="V64" s="17">
        <v>21</v>
      </c>
      <c r="W64" s="17">
        <v>71</v>
      </c>
      <c r="X64" s="17">
        <v>66</v>
      </c>
      <c r="Y64" s="17">
        <v>39</v>
      </c>
      <c r="Z64" s="17">
        <v>42</v>
      </c>
      <c r="AA64" s="17">
        <v>20</v>
      </c>
      <c r="AB64" s="17">
        <v>70</v>
      </c>
      <c r="AC64" s="17">
        <v>75</v>
      </c>
      <c r="AD64" s="17">
        <v>71</v>
      </c>
      <c r="AE64" s="17">
        <v>33</v>
      </c>
      <c r="AF64" s="17">
        <v>93</v>
      </c>
      <c r="AG64" s="17">
        <v>36</v>
      </c>
      <c r="AH64" s="17">
        <v>51</v>
      </c>
      <c r="AI64" s="5">
        <f t="shared" si="1"/>
        <v>2.0466108000000007</v>
      </c>
      <c r="AJ64" s="5">
        <f t="shared" si="2"/>
        <v>0.69629200000000024</v>
      </c>
      <c r="AK64" s="5">
        <f t="shared" si="3"/>
        <v>2.0428120000000005</v>
      </c>
      <c r="AL64" s="5">
        <f t="shared" si="4"/>
        <v>0.74775000000000014</v>
      </c>
      <c r="AM64" s="5">
        <f t="shared" si="5"/>
        <v>0.88987600000000022</v>
      </c>
    </row>
    <row r="65" spans="1:39" ht="15" customHeight="1" thickBot="1" x14ac:dyDescent="0.35">
      <c r="A65" s="5">
        <f t="shared" si="0"/>
        <v>30.218870529961041</v>
      </c>
      <c r="B65" s="18">
        <v>104</v>
      </c>
      <c r="C65" s="11" t="s">
        <v>104</v>
      </c>
      <c r="D65" s="19" t="s">
        <v>57</v>
      </c>
      <c r="E65" s="19" t="s">
        <v>36</v>
      </c>
      <c r="F65" s="19" t="s">
        <v>36</v>
      </c>
      <c r="G65" s="19">
        <v>18</v>
      </c>
      <c r="H65" s="19">
        <v>56</v>
      </c>
      <c r="I65" s="19">
        <v>37</v>
      </c>
      <c r="J65" s="19">
        <v>29</v>
      </c>
      <c r="K65" s="19">
        <v>30</v>
      </c>
      <c r="L65" s="19">
        <v>47</v>
      </c>
      <c r="M65" s="19">
        <v>43</v>
      </c>
      <c r="N65" s="19">
        <v>2</v>
      </c>
      <c r="O65" s="19">
        <v>44</v>
      </c>
      <c r="P65" s="19">
        <v>43</v>
      </c>
      <c r="Q65" s="18">
        <v>104</v>
      </c>
      <c r="R65" s="11" t="s">
        <v>104</v>
      </c>
      <c r="S65" s="19" t="s">
        <v>57</v>
      </c>
      <c r="T65" s="19" t="s">
        <v>36</v>
      </c>
      <c r="U65" s="19" t="s">
        <v>36</v>
      </c>
      <c r="V65" s="19">
        <v>18</v>
      </c>
      <c r="W65" s="19">
        <v>13</v>
      </c>
      <c r="X65" s="19">
        <v>1</v>
      </c>
      <c r="Y65" s="19">
        <v>47</v>
      </c>
      <c r="Z65" s="19">
        <v>53</v>
      </c>
      <c r="AA65" s="19">
        <v>59</v>
      </c>
      <c r="AB65" s="19">
        <v>67</v>
      </c>
      <c r="AC65" s="19">
        <v>50</v>
      </c>
      <c r="AD65" s="19">
        <v>33</v>
      </c>
      <c r="AE65" s="19">
        <v>80</v>
      </c>
      <c r="AF65" s="19">
        <v>53</v>
      </c>
      <c r="AG65" s="19">
        <v>83</v>
      </c>
      <c r="AH65" s="19">
        <v>43</v>
      </c>
      <c r="AI65" s="5">
        <f t="shared" si="1"/>
        <v>2.1652700000000005</v>
      </c>
      <c r="AJ65" s="5">
        <f t="shared" si="2"/>
        <v>0.37745400000000012</v>
      </c>
      <c r="AK65" s="5">
        <f t="shared" si="3"/>
        <v>0.92612040000000007</v>
      </c>
      <c r="AL65" s="5">
        <f t="shared" si="4"/>
        <v>0.64440320000000018</v>
      </c>
      <c r="AM65" s="5">
        <f t="shared" si="5"/>
        <v>0.43054920000000002</v>
      </c>
    </row>
    <row r="66" spans="1:39" ht="15" customHeight="1" thickBot="1" x14ac:dyDescent="0.35">
      <c r="A66" s="5">
        <f t="shared" si="0"/>
        <v>30.022547931200812</v>
      </c>
      <c r="B66" s="18">
        <v>105</v>
      </c>
      <c r="C66" s="11" t="s">
        <v>105</v>
      </c>
      <c r="D66" s="19" t="s">
        <v>42</v>
      </c>
      <c r="E66" s="19" t="s">
        <v>46</v>
      </c>
      <c r="F66" s="19" t="s">
        <v>36</v>
      </c>
      <c r="G66" s="19">
        <v>18</v>
      </c>
      <c r="H66" s="19">
        <v>25</v>
      </c>
      <c r="I66" s="19">
        <v>22</v>
      </c>
      <c r="J66" s="19">
        <v>12</v>
      </c>
      <c r="K66" s="19">
        <v>32</v>
      </c>
      <c r="L66" s="19">
        <v>47</v>
      </c>
      <c r="M66" s="19">
        <v>51</v>
      </c>
      <c r="N66" s="19">
        <v>87</v>
      </c>
      <c r="O66" s="19">
        <v>59</v>
      </c>
      <c r="P66" s="19">
        <v>48</v>
      </c>
      <c r="Q66" s="18">
        <v>105</v>
      </c>
      <c r="R66" s="11" t="s">
        <v>105</v>
      </c>
      <c r="S66" s="19" t="s">
        <v>42</v>
      </c>
      <c r="T66" s="19" t="s">
        <v>46</v>
      </c>
      <c r="U66" s="19" t="s">
        <v>36</v>
      </c>
      <c r="V66" s="19">
        <v>18</v>
      </c>
      <c r="W66" s="19">
        <v>71</v>
      </c>
      <c r="X66" s="19">
        <v>48</v>
      </c>
      <c r="Y66" s="19">
        <v>36</v>
      </c>
      <c r="Z66" s="19">
        <v>47</v>
      </c>
      <c r="AA66" s="19">
        <v>16</v>
      </c>
      <c r="AB66" s="19">
        <v>77</v>
      </c>
      <c r="AC66" s="19">
        <v>72</v>
      </c>
      <c r="AD66" s="19">
        <v>66</v>
      </c>
      <c r="AE66" s="19">
        <v>20</v>
      </c>
      <c r="AF66" s="19">
        <v>11</v>
      </c>
      <c r="AG66" s="19">
        <v>100</v>
      </c>
      <c r="AH66" s="19">
        <v>48</v>
      </c>
      <c r="AI66" s="5">
        <f t="shared" si="1"/>
        <v>1.2064792000000004</v>
      </c>
      <c r="AJ66" s="5">
        <f t="shared" si="2"/>
        <v>0.70231900000000014</v>
      </c>
      <c r="AK66" s="5">
        <f t="shared" si="3"/>
        <v>1.8098360000000002</v>
      </c>
      <c r="AL66" s="5">
        <f t="shared" si="4"/>
        <v>0.8102480000000003</v>
      </c>
      <c r="AM66" s="5">
        <f t="shared" si="5"/>
        <v>0.78762379999999999</v>
      </c>
    </row>
    <row r="67" spans="1:39" ht="15" customHeight="1" thickBot="1" x14ac:dyDescent="0.35">
      <c r="A67" s="5">
        <f t="shared" si="0"/>
        <v>41.967495770247005</v>
      </c>
      <c r="B67" s="18">
        <v>108</v>
      </c>
      <c r="C67" s="11" t="s">
        <v>106</v>
      </c>
      <c r="D67" s="19" t="s">
        <v>40</v>
      </c>
      <c r="E67" s="19" t="s">
        <v>47</v>
      </c>
      <c r="F67" s="19" t="s">
        <v>47</v>
      </c>
      <c r="G67" s="19">
        <v>18</v>
      </c>
      <c r="H67" s="19">
        <v>40</v>
      </c>
      <c r="I67" s="19">
        <v>14</v>
      </c>
      <c r="J67" s="19">
        <v>11</v>
      </c>
      <c r="K67" s="19">
        <v>2</v>
      </c>
      <c r="L67" s="19">
        <v>61</v>
      </c>
      <c r="M67" s="19">
        <v>73</v>
      </c>
      <c r="N67" s="19">
        <v>100</v>
      </c>
      <c r="O67" s="19">
        <v>34</v>
      </c>
      <c r="P67" s="19">
        <v>57</v>
      </c>
      <c r="Q67" s="18">
        <v>108</v>
      </c>
      <c r="R67" s="11" t="s">
        <v>106</v>
      </c>
      <c r="S67" s="19" t="s">
        <v>40</v>
      </c>
      <c r="T67" s="19" t="s">
        <v>47</v>
      </c>
      <c r="U67" s="19" t="s">
        <v>47</v>
      </c>
      <c r="V67" s="19">
        <v>18</v>
      </c>
      <c r="W67" s="19">
        <v>73</v>
      </c>
      <c r="X67" s="19">
        <v>63</v>
      </c>
      <c r="Y67" s="19">
        <v>78</v>
      </c>
      <c r="Z67" s="19">
        <v>71</v>
      </c>
      <c r="AA67" s="19">
        <v>0</v>
      </c>
      <c r="AB67" s="19">
        <v>100</v>
      </c>
      <c r="AC67" s="19">
        <v>86</v>
      </c>
      <c r="AD67" s="19">
        <v>83</v>
      </c>
      <c r="AE67" s="19">
        <v>10</v>
      </c>
      <c r="AF67" s="19">
        <v>100</v>
      </c>
      <c r="AG67" s="19">
        <v>30</v>
      </c>
      <c r="AH67" s="19">
        <v>57</v>
      </c>
      <c r="AI67" s="5">
        <f t="shared" si="1"/>
        <v>1.3989516000000002</v>
      </c>
      <c r="AJ67" s="5">
        <f t="shared" si="2"/>
        <v>0.99393720000000019</v>
      </c>
      <c r="AK67" s="5">
        <f t="shared" si="3"/>
        <v>2.9938060000000011</v>
      </c>
      <c r="AL67" s="5">
        <f t="shared" si="4"/>
        <v>0.97480160000000038</v>
      </c>
      <c r="AM67" s="5">
        <f t="shared" si="5"/>
        <v>1.0036060000000004</v>
      </c>
    </row>
    <row r="68" spans="1:39" ht="15" customHeight="1" thickBot="1" x14ac:dyDescent="0.35">
      <c r="A68" s="5">
        <f t="shared" si="0"/>
        <v>29.064562229565791</v>
      </c>
      <c r="B68" s="18">
        <v>109</v>
      </c>
      <c r="C68" s="11" t="s">
        <v>107</v>
      </c>
      <c r="D68" s="19" t="s">
        <v>57</v>
      </c>
      <c r="E68" s="19" t="s">
        <v>36</v>
      </c>
      <c r="F68" s="19" t="s">
        <v>36</v>
      </c>
      <c r="G68" s="19">
        <v>18</v>
      </c>
      <c r="H68" s="19">
        <v>3</v>
      </c>
      <c r="I68" s="19">
        <v>44</v>
      </c>
      <c r="J68" s="19">
        <v>28</v>
      </c>
      <c r="K68" s="19">
        <v>38</v>
      </c>
      <c r="L68" s="19">
        <v>65</v>
      </c>
      <c r="M68" s="19">
        <v>27</v>
      </c>
      <c r="N68" s="19">
        <v>22</v>
      </c>
      <c r="O68" s="19">
        <v>32</v>
      </c>
      <c r="P68" s="19">
        <v>42</v>
      </c>
      <c r="Q68" s="18">
        <v>109</v>
      </c>
      <c r="R68" s="11" t="s">
        <v>107</v>
      </c>
      <c r="S68" s="19" t="s">
        <v>57</v>
      </c>
      <c r="T68" s="19" t="s">
        <v>36</v>
      </c>
      <c r="U68" s="19" t="s">
        <v>36</v>
      </c>
      <c r="V68" s="19">
        <v>18</v>
      </c>
      <c r="W68" s="19">
        <v>31</v>
      </c>
      <c r="X68" s="19">
        <v>46</v>
      </c>
      <c r="Y68" s="19">
        <v>11</v>
      </c>
      <c r="Z68" s="19">
        <v>17</v>
      </c>
      <c r="AA68" s="19">
        <v>17</v>
      </c>
      <c r="AB68" s="19">
        <v>72</v>
      </c>
      <c r="AC68" s="19">
        <v>94</v>
      </c>
      <c r="AD68" s="19">
        <v>40</v>
      </c>
      <c r="AE68" s="19">
        <v>54</v>
      </c>
      <c r="AF68" s="19">
        <v>48</v>
      </c>
      <c r="AG68" s="19">
        <v>75</v>
      </c>
      <c r="AH68" s="19">
        <v>42</v>
      </c>
      <c r="AI68" s="5">
        <f t="shared" si="1"/>
        <v>2.2505544000000004</v>
      </c>
      <c r="AJ68" s="5">
        <f t="shared" si="2"/>
        <v>0.17418520000000004</v>
      </c>
      <c r="AK68" s="5">
        <f t="shared" si="3"/>
        <v>0.62859800000000021</v>
      </c>
      <c r="AL68" s="5">
        <f t="shared" si="4"/>
        <v>0.80273760000000027</v>
      </c>
      <c r="AM68" s="5">
        <f t="shared" si="5"/>
        <v>0.47188380000000008</v>
      </c>
    </row>
    <row r="69" spans="1:39" ht="15" customHeight="1" thickBot="1" x14ac:dyDescent="0.35">
      <c r="A69" s="5">
        <f t="shared" si="0"/>
        <v>31.619281625953036</v>
      </c>
      <c r="B69" s="16">
        <v>111</v>
      </c>
      <c r="C69" s="10" t="s">
        <v>108</v>
      </c>
      <c r="D69" s="17" t="s">
        <v>42</v>
      </c>
      <c r="E69" s="17" t="s">
        <v>36</v>
      </c>
      <c r="F69" s="17" t="s">
        <v>36</v>
      </c>
      <c r="G69" s="17">
        <v>18</v>
      </c>
      <c r="H69" s="17">
        <v>15</v>
      </c>
      <c r="I69" s="17">
        <v>14</v>
      </c>
      <c r="J69" s="17">
        <v>24</v>
      </c>
      <c r="K69" s="17">
        <v>15</v>
      </c>
      <c r="L69" s="17">
        <v>49</v>
      </c>
      <c r="M69" s="17">
        <v>53</v>
      </c>
      <c r="N69" s="17">
        <v>0</v>
      </c>
      <c r="O69" s="17">
        <v>46</v>
      </c>
      <c r="P69" s="17">
        <v>47</v>
      </c>
      <c r="Q69" s="16">
        <v>111</v>
      </c>
      <c r="R69" s="10" t="s">
        <v>108</v>
      </c>
      <c r="S69" s="17" t="s">
        <v>42</v>
      </c>
      <c r="T69" s="17" t="s">
        <v>36</v>
      </c>
      <c r="U69" s="17" t="s">
        <v>36</v>
      </c>
      <c r="V69" s="17">
        <v>18</v>
      </c>
      <c r="W69" s="17">
        <v>51</v>
      </c>
      <c r="X69" s="17">
        <v>40</v>
      </c>
      <c r="Y69" s="17">
        <v>83</v>
      </c>
      <c r="Z69" s="17">
        <v>67</v>
      </c>
      <c r="AA69" s="17">
        <v>14</v>
      </c>
      <c r="AB69" s="17">
        <v>89</v>
      </c>
      <c r="AC69" s="17">
        <v>79</v>
      </c>
      <c r="AD69" s="17">
        <v>65</v>
      </c>
      <c r="AE69" s="17">
        <v>56</v>
      </c>
      <c r="AF69" s="17">
        <v>87</v>
      </c>
      <c r="AG69" s="17">
        <v>79</v>
      </c>
      <c r="AH69" s="17">
        <v>47</v>
      </c>
      <c r="AI69" s="5">
        <f t="shared" si="1"/>
        <v>0.93113120000000027</v>
      </c>
      <c r="AJ69" s="5">
        <f t="shared" si="2"/>
        <v>0.52841080000000018</v>
      </c>
      <c r="AK69" s="5">
        <f t="shared" si="3"/>
        <v>2.3407780000000002</v>
      </c>
      <c r="AL69" s="5">
        <f t="shared" si="4"/>
        <v>0.91933400000000032</v>
      </c>
      <c r="AM69" s="5">
        <f t="shared" si="5"/>
        <v>0.89647040000000011</v>
      </c>
    </row>
    <row r="70" spans="1:39" ht="15" customHeight="1" thickBot="1" x14ac:dyDescent="0.35">
      <c r="A70" s="5">
        <f t="shared" si="0"/>
        <v>28.365815820356083</v>
      </c>
      <c r="B70" s="18">
        <v>113</v>
      </c>
      <c r="C70" s="11" t="s">
        <v>109</v>
      </c>
      <c r="D70" s="19" t="s">
        <v>45</v>
      </c>
      <c r="E70" s="19" t="s">
        <v>47</v>
      </c>
      <c r="F70" s="19" t="s">
        <v>47</v>
      </c>
      <c r="G70" s="19">
        <v>18</v>
      </c>
      <c r="H70" s="19">
        <v>16</v>
      </c>
      <c r="I70" s="19">
        <v>24</v>
      </c>
      <c r="J70" s="19">
        <v>20</v>
      </c>
      <c r="K70" s="19">
        <v>14</v>
      </c>
      <c r="L70" s="19">
        <v>39</v>
      </c>
      <c r="M70" s="19">
        <v>69</v>
      </c>
      <c r="N70" s="19">
        <v>77</v>
      </c>
      <c r="O70" s="19">
        <v>24</v>
      </c>
      <c r="P70" s="19">
        <v>46</v>
      </c>
      <c r="Q70" s="18">
        <v>113</v>
      </c>
      <c r="R70" s="11" t="s">
        <v>109</v>
      </c>
      <c r="S70" s="19" t="s">
        <v>45</v>
      </c>
      <c r="T70" s="19" t="s">
        <v>47</v>
      </c>
      <c r="U70" s="19" t="s">
        <v>47</v>
      </c>
      <c r="V70" s="19">
        <v>18</v>
      </c>
      <c r="W70" s="19">
        <v>53</v>
      </c>
      <c r="X70" s="19">
        <v>48</v>
      </c>
      <c r="Y70" s="19">
        <v>64</v>
      </c>
      <c r="Z70" s="19">
        <v>45</v>
      </c>
      <c r="AA70" s="19">
        <v>21</v>
      </c>
      <c r="AB70" s="19">
        <v>74</v>
      </c>
      <c r="AC70" s="19">
        <v>98</v>
      </c>
      <c r="AD70" s="19">
        <v>78</v>
      </c>
      <c r="AE70" s="19">
        <v>89</v>
      </c>
      <c r="AF70" s="19">
        <v>46</v>
      </c>
      <c r="AG70" s="19">
        <v>47</v>
      </c>
      <c r="AH70" s="19">
        <v>46</v>
      </c>
      <c r="AI70" s="5">
        <f t="shared" si="1"/>
        <v>0.82198720000000014</v>
      </c>
      <c r="AJ70" s="5">
        <f t="shared" si="2"/>
        <v>0.8967320000000002</v>
      </c>
      <c r="AK70" s="5">
        <f t="shared" si="3"/>
        <v>1.9284040000000005</v>
      </c>
      <c r="AL70" s="5">
        <f t="shared" si="4"/>
        <v>0.8261968000000004</v>
      </c>
      <c r="AM70" s="5">
        <f t="shared" si="5"/>
        <v>1.0064024000000003</v>
      </c>
    </row>
    <row r="71" spans="1:39" ht="15" customHeight="1" thickBot="1" x14ac:dyDescent="0.35">
      <c r="A71" s="5">
        <f t="shared" ref="A71:A134" si="6">IFERROR((AI71*AI$3+AJ71*AJ$3+AK71*AK$3+AL71*AL$3+AM71*AM$3)*100/(AI$5*AI$3+AJ$5*AJ$3+AK$5*AK$3+AL$5*AL$3+AM$5*AM$3),0)</f>
        <v>36.53086042175137</v>
      </c>
      <c r="B71" s="16">
        <v>114</v>
      </c>
      <c r="C71" s="10" t="s">
        <v>110</v>
      </c>
      <c r="D71" s="17" t="s">
        <v>57</v>
      </c>
      <c r="E71" s="17" t="s">
        <v>47</v>
      </c>
      <c r="F71" s="17" t="s">
        <v>47</v>
      </c>
      <c r="G71" s="17">
        <v>19</v>
      </c>
      <c r="H71" s="17">
        <v>43</v>
      </c>
      <c r="I71" s="17">
        <v>57</v>
      </c>
      <c r="J71" s="17">
        <v>25</v>
      </c>
      <c r="K71" s="17">
        <v>8</v>
      </c>
      <c r="L71" s="17">
        <v>31</v>
      </c>
      <c r="M71" s="17">
        <v>37</v>
      </c>
      <c r="N71" s="17">
        <v>80</v>
      </c>
      <c r="O71" s="17">
        <v>65</v>
      </c>
      <c r="P71" s="17">
        <v>49</v>
      </c>
      <c r="Q71" s="16">
        <v>114</v>
      </c>
      <c r="R71" s="10" t="s">
        <v>110</v>
      </c>
      <c r="S71" s="17" t="s">
        <v>57</v>
      </c>
      <c r="T71" s="17" t="s">
        <v>47</v>
      </c>
      <c r="U71" s="17" t="s">
        <v>47</v>
      </c>
      <c r="V71" s="17">
        <v>19</v>
      </c>
      <c r="W71" s="17">
        <v>76</v>
      </c>
      <c r="X71" s="17">
        <v>24</v>
      </c>
      <c r="Y71" s="17">
        <v>53</v>
      </c>
      <c r="Z71" s="17">
        <v>60</v>
      </c>
      <c r="AA71" s="17">
        <v>0</v>
      </c>
      <c r="AB71" s="17">
        <v>93</v>
      </c>
      <c r="AC71" s="17">
        <v>62</v>
      </c>
      <c r="AD71" s="17">
        <v>29</v>
      </c>
      <c r="AE71" s="17">
        <v>39</v>
      </c>
      <c r="AF71" s="17">
        <v>0</v>
      </c>
      <c r="AG71" s="17">
        <v>59</v>
      </c>
      <c r="AH71" s="17">
        <v>49</v>
      </c>
      <c r="AI71" s="5">
        <f t="shared" ref="AI71:AI134" si="7">H$1*((-0.000002)*H71^3+0.00032*H71^2+(-0.0021)*H71)+I$1*((-0.000002)*I71^3+0.00032*I71^2+(-0.0021)*I71)+J$1*((-0.000002)*J71^3+0.00032*J71^2+(-0.0021)*J71)+K$1*((-0.000002)*K71^3+0.00032*K71^2+(-0.0021)*K71)+L$1*((-0.000002)*L71^3+0.00032*L71^2+(-0.0021)*L71)</f>
        <v>1.9220052000000003</v>
      </c>
      <c r="AJ71" s="5">
        <f t="shared" ref="AJ71:AJ134" si="8">M$1*((-0.000002)*M71^3+0.00032*M71^2+(-0.0021)*M71)+N$1*((-0.000002)*N71^3+0.00032*N71^2+(-0.0021)*N71)+O$1*((-0.000002)*O71^3+0.00032*O71^2+(-0.0021)*O71)</f>
        <v>0.49689900000000009</v>
      </c>
      <c r="AK71" s="5">
        <f t="shared" ref="AK71:AK134" si="9">IF(AA71&lt;50,W$1*((-0.000002)*W71^3+0.00032*W71^2+(-0.0021)*W71)+X$1*((-0.000002)*X71^3+0.00032*X71^2+(-0.0021)*X71)+Y$1*((-0.000002)*Y71^3+0.00032*Y71^2+(-0.0021)*Y71)+Z$1*((-0.000002)*Z71^3+0.00032*Z71^2+(-0.0021)*Z71),X$2*((-0.000002)*X71^3+0.00032*X71^2+(-0.0021)*X71)+Y$2*((-0.000002)*Y71^3+0.00032*Y71^2+(-0.0021)*Y71)+Z$2*((-0.000002)*Z71^3+0.00032*Z71^2+(-0.0021)*Z71)+AA$2*((-0.000002)*AA71^3+0.00032*AA71^2+(-0.0021)*AA71))</f>
        <v>2.0008660000000007</v>
      </c>
      <c r="AL71" s="5">
        <f t="shared" ref="AL71:AL134" si="10">AB$1*((-0.000002)*AB71^3+0.00032*AB71^2+(-0.0021)*AB71)+AC$1*((-0.000002)*AC71^3+0.00032*AC71^2+(-0.0021)*AC71)</f>
        <v>0.89557760000000031</v>
      </c>
      <c r="AM71" s="5">
        <f t="shared" ref="AM71:AM134" si="11">AD$1*((-0.000002)*AD71^3+0.00032*AD71^2+(-0.0021)*AD71)+AE$1*((-0.000002)*AE71^3+0.00032*AE71^2+(-0.0021)*AE71)+AF$1*((-0.000002)*AF71^3+0.00032*AF71^2+(-0.0021)*AF71)+AG$1*((-0.000002)*AG71^3+0.00032*AG71^2+(-0.0021)*AG71)</f>
        <v>0.24598640000000005</v>
      </c>
    </row>
    <row r="72" spans="1:39" ht="15" customHeight="1" thickBot="1" x14ac:dyDescent="0.35">
      <c r="A72" s="5">
        <f t="shared" si="6"/>
        <v>36.42444674830989</v>
      </c>
      <c r="B72" s="18">
        <v>115</v>
      </c>
      <c r="C72" s="11" t="s">
        <v>111</v>
      </c>
      <c r="D72" s="19" t="s">
        <v>57</v>
      </c>
      <c r="E72" s="19" t="s">
        <v>36</v>
      </c>
      <c r="F72" s="19" t="s">
        <v>36</v>
      </c>
      <c r="G72" s="19">
        <v>21</v>
      </c>
      <c r="H72" s="19">
        <v>78</v>
      </c>
      <c r="I72" s="19">
        <v>15</v>
      </c>
      <c r="J72" s="19">
        <v>27</v>
      </c>
      <c r="K72" s="19">
        <v>17</v>
      </c>
      <c r="L72" s="19">
        <v>66</v>
      </c>
      <c r="M72" s="19">
        <v>10</v>
      </c>
      <c r="N72" s="19">
        <v>46</v>
      </c>
      <c r="O72" s="19">
        <v>25</v>
      </c>
      <c r="P72" s="19">
        <v>54</v>
      </c>
      <c r="Q72" s="18">
        <v>115</v>
      </c>
      <c r="R72" s="11" t="s">
        <v>111</v>
      </c>
      <c r="S72" s="19" t="s">
        <v>57</v>
      </c>
      <c r="T72" s="19" t="s">
        <v>36</v>
      </c>
      <c r="U72" s="19" t="s">
        <v>36</v>
      </c>
      <c r="V72" s="19">
        <v>21</v>
      </c>
      <c r="W72" s="19">
        <v>0</v>
      </c>
      <c r="X72" s="19">
        <v>60</v>
      </c>
      <c r="Y72" s="19">
        <v>89</v>
      </c>
      <c r="Z72" s="19">
        <v>100</v>
      </c>
      <c r="AA72" s="19">
        <v>70</v>
      </c>
      <c r="AB72" s="19">
        <v>81</v>
      </c>
      <c r="AC72" s="19">
        <v>74</v>
      </c>
      <c r="AD72" s="19">
        <v>9</v>
      </c>
      <c r="AE72" s="19">
        <v>100</v>
      </c>
      <c r="AF72" s="19">
        <v>0</v>
      </c>
      <c r="AG72" s="19">
        <v>55</v>
      </c>
      <c r="AH72" s="19">
        <v>54</v>
      </c>
      <c r="AI72" s="5">
        <f t="shared" si="7"/>
        <v>2.3503548000000003</v>
      </c>
      <c r="AJ72" s="5">
        <f t="shared" si="8"/>
        <v>9.7794600000000009E-2</v>
      </c>
      <c r="AK72" s="5">
        <f t="shared" si="9"/>
        <v>1.6197410000000003</v>
      </c>
      <c r="AL72" s="5">
        <f t="shared" si="10"/>
        <v>0.85052480000000019</v>
      </c>
      <c r="AM72" s="5">
        <f t="shared" si="11"/>
        <v>0.15653700000000004</v>
      </c>
    </row>
    <row r="73" spans="1:39" ht="15" customHeight="1" thickBot="1" x14ac:dyDescent="0.35">
      <c r="A73" s="5">
        <f t="shared" si="6"/>
        <v>36.382867880515768</v>
      </c>
      <c r="B73" s="16">
        <v>116</v>
      </c>
      <c r="C73" s="10" t="s">
        <v>112</v>
      </c>
      <c r="D73" s="17" t="s">
        <v>57</v>
      </c>
      <c r="E73" s="17" t="s">
        <v>36</v>
      </c>
      <c r="F73" s="17" t="s">
        <v>36</v>
      </c>
      <c r="G73" s="17">
        <v>20</v>
      </c>
      <c r="H73" s="17">
        <v>45</v>
      </c>
      <c r="I73" s="17">
        <v>22</v>
      </c>
      <c r="J73" s="17">
        <v>45</v>
      </c>
      <c r="K73" s="17">
        <v>36</v>
      </c>
      <c r="L73" s="17">
        <v>68</v>
      </c>
      <c r="M73" s="17">
        <v>22</v>
      </c>
      <c r="N73" s="17">
        <v>40</v>
      </c>
      <c r="O73" s="17">
        <v>43</v>
      </c>
      <c r="P73" s="17">
        <v>47</v>
      </c>
      <c r="Q73" s="16">
        <v>116</v>
      </c>
      <c r="R73" s="10" t="s">
        <v>112</v>
      </c>
      <c r="S73" s="17" t="s">
        <v>57</v>
      </c>
      <c r="T73" s="17" t="s">
        <v>36</v>
      </c>
      <c r="U73" s="17" t="s">
        <v>36</v>
      </c>
      <c r="V73" s="17">
        <v>20</v>
      </c>
      <c r="W73" s="17">
        <v>38</v>
      </c>
      <c r="X73" s="17">
        <v>12</v>
      </c>
      <c r="Y73" s="17">
        <v>70</v>
      </c>
      <c r="Z73" s="17">
        <v>43</v>
      </c>
      <c r="AA73" s="17">
        <v>34</v>
      </c>
      <c r="AB73" s="17">
        <v>61</v>
      </c>
      <c r="AC73" s="17">
        <v>76</v>
      </c>
      <c r="AD73" s="17">
        <v>69</v>
      </c>
      <c r="AE73" s="17">
        <v>79</v>
      </c>
      <c r="AF73" s="17">
        <v>62</v>
      </c>
      <c r="AG73" s="17">
        <v>71</v>
      </c>
      <c r="AH73" s="17">
        <v>47</v>
      </c>
      <c r="AI73" s="5">
        <f t="shared" si="7"/>
        <v>2.4193132000000004</v>
      </c>
      <c r="AJ73" s="5">
        <f t="shared" si="8"/>
        <v>0.18162060000000002</v>
      </c>
      <c r="AK73" s="5">
        <f t="shared" si="9"/>
        <v>1.3673260000000003</v>
      </c>
      <c r="AL73" s="5">
        <f t="shared" si="10"/>
        <v>0.6490800000000001</v>
      </c>
      <c r="AM73" s="5">
        <f t="shared" si="11"/>
        <v>0.94325840000000016</v>
      </c>
    </row>
    <row r="74" spans="1:39" ht="15" customHeight="1" thickBot="1" x14ac:dyDescent="0.35">
      <c r="A74" s="5">
        <f t="shared" si="6"/>
        <v>34.180511602122429</v>
      </c>
      <c r="B74" s="18">
        <v>119</v>
      </c>
      <c r="C74" s="11" t="s">
        <v>113</v>
      </c>
      <c r="D74" s="19" t="s">
        <v>40</v>
      </c>
      <c r="E74" s="19" t="s">
        <v>46</v>
      </c>
      <c r="F74" s="19" t="s">
        <v>47</v>
      </c>
      <c r="G74" s="19">
        <v>18</v>
      </c>
      <c r="H74" s="19">
        <v>25</v>
      </c>
      <c r="I74" s="19">
        <v>13</v>
      </c>
      <c r="J74" s="19">
        <v>23</v>
      </c>
      <c r="K74" s="19">
        <v>15</v>
      </c>
      <c r="L74" s="19">
        <v>54</v>
      </c>
      <c r="M74" s="19">
        <v>49</v>
      </c>
      <c r="N74" s="19">
        <v>68</v>
      </c>
      <c r="O74" s="19">
        <v>69</v>
      </c>
      <c r="P74" s="19">
        <v>50</v>
      </c>
      <c r="Q74" s="18">
        <v>119</v>
      </c>
      <c r="R74" s="11" t="s">
        <v>113</v>
      </c>
      <c r="S74" s="19" t="s">
        <v>40</v>
      </c>
      <c r="T74" s="19" t="s">
        <v>46</v>
      </c>
      <c r="U74" s="19" t="s">
        <v>47</v>
      </c>
      <c r="V74" s="19">
        <v>18</v>
      </c>
      <c r="W74" s="19">
        <v>65</v>
      </c>
      <c r="X74" s="19">
        <v>56</v>
      </c>
      <c r="Y74" s="19">
        <v>65</v>
      </c>
      <c r="Z74" s="19">
        <v>58</v>
      </c>
      <c r="AA74" s="19">
        <v>26</v>
      </c>
      <c r="AB74" s="19">
        <v>85</v>
      </c>
      <c r="AC74" s="19">
        <v>76</v>
      </c>
      <c r="AD74" s="19">
        <v>64</v>
      </c>
      <c r="AE74" s="19">
        <v>54</v>
      </c>
      <c r="AF74" s="19">
        <v>92</v>
      </c>
      <c r="AG74" s="19">
        <v>92</v>
      </c>
      <c r="AH74" s="19">
        <v>50</v>
      </c>
      <c r="AI74" s="5">
        <f t="shared" si="7"/>
        <v>1.1290852000000002</v>
      </c>
      <c r="AJ74" s="5">
        <f t="shared" si="8"/>
        <v>0.64388540000000016</v>
      </c>
      <c r="AK74" s="5">
        <f t="shared" si="9"/>
        <v>2.4316440000000008</v>
      </c>
      <c r="AL74" s="5">
        <f t="shared" si="10"/>
        <v>0.88635360000000052</v>
      </c>
      <c r="AM74" s="5">
        <f t="shared" si="11"/>
        <v>0.89409200000000033</v>
      </c>
    </row>
    <row r="75" spans="1:39" ht="15" customHeight="1" thickBot="1" x14ac:dyDescent="0.35">
      <c r="A75" s="5">
        <f t="shared" si="6"/>
        <v>35.443998934462222</v>
      </c>
      <c r="B75" s="18">
        <v>120</v>
      </c>
      <c r="C75" s="11" t="s">
        <v>114</v>
      </c>
      <c r="D75" s="19" t="s">
        <v>42</v>
      </c>
      <c r="E75" s="19" t="s">
        <v>36</v>
      </c>
      <c r="F75" s="19" t="s">
        <v>36</v>
      </c>
      <c r="G75" s="19">
        <v>22</v>
      </c>
      <c r="H75" s="19">
        <v>21</v>
      </c>
      <c r="I75" s="19">
        <v>16</v>
      </c>
      <c r="J75" s="19">
        <v>57</v>
      </c>
      <c r="K75" s="19">
        <v>11</v>
      </c>
      <c r="L75" s="19">
        <v>47</v>
      </c>
      <c r="M75" s="19">
        <v>91</v>
      </c>
      <c r="N75" s="19">
        <v>79</v>
      </c>
      <c r="O75" s="19">
        <v>31</v>
      </c>
      <c r="P75" s="19">
        <v>53</v>
      </c>
      <c r="Q75" s="18">
        <v>120</v>
      </c>
      <c r="R75" s="11" t="s">
        <v>114</v>
      </c>
      <c r="S75" s="19" t="s">
        <v>42</v>
      </c>
      <c r="T75" s="19" t="s">
        <v>36</v>
      </c>
      <c r="U75" s="19" t="s">
        <v>36</v>
      </c>
      <c r="V75" s="19">
        <v>22</v>
      </c>
      <c r="W75" s="19">
        <v>77</v>
      </c>
      <c r="X75" s="19">
        <v>36</v>
      </c>
      <c r="Y75" s="19">
        <v>73</v>
      </c>
      <c r="Z75" s="19">
        <v>44</v>
      </c>
      <c r="AA75" s="19">
        <v>0</v>
      </c>
      <c r="AB75" s="19">
        <v>100</v>
      </c>
      <c r="AC75" s="19">
        <v>53</v>
      </c>
      <c r="AD75" s="19">
        <v>54</v>
      </c>
      <c r="AE75" s="19">
        <v>90</v>
      </c>
      <c r="AF75" s="19">
        <v>30</v>
      </c>
      <c r="AG75" s="19">
        <v>84</v>
      </c>
      <c r="AH75" s="19">
        <v>53</v>
      </c>
      <c r="AI75" s="5">
        <f t="shared" si="7"/>
        <v>1.3804516000000004</v>
      </c>
      <c r="AJ75" s="5">
        <f t="shared" si="8"/>
        <v>1.1389902000000005</v>
      </c>
      <c r="AK75" s="5">
        <f t="shared" si="9"/>
        <v>2.1990200000000004</v>
      </c>
      <c r="AL75" s="5">
        <f t="shared" si="10"/>
        <v>0.88996520000000023</v>
      </c>
      <c r="AM75" s="5">
        <f t="shared" si="11"/>
        <v>0.70600320000000016</v>
      </c>
    </row>
    <row r="76" spans="1:39" ht="15" customHeight="1" thickBot="1" x14ac:dyDescent="0.35">
      <c r="A76" s="5">
        <f t="shared" si="6"/>
        <v>27.096558025011337</v>
      </c>
      <c r="B76" s="16">
        <v>121</v>
      </c>
      <c r="C76" s="10" t="s">
        <v>115</v>
      </c>
      <c r="D76" s="17" t="s">
        <v>57</v>
      </c>
      <c r="E76" s="17" t="s">
        <v>46</v>
      </c>
      <c r="F76" s="17" t="s">
        <v>36</v>
      </c>
      <c r="G76" s="17">
        <v>18</v>
      </c>
      <c r="H76" s="17">
        <v>35</v>
      </c>
      <c r="I76" s="17">
        <v>14</v>
      </c>
      <c r="J76" s="17">
        <v>13</v>
      </c>
      <c r="K76" s="17">
        <v>33</v>
      </c>
      <c r="L76" s="17">
        <v>39</v>
      </c>
      <c r="M76" s="17">
        <v>73</v>
      </c>
      <c r="N76" s="17">
        <v>93</v>
      </c>
      <c r="O76" s="17">
        <v>47</v>
      </c>
      <c r="P76" s="17">
        <v>45</v>
      </c>
      <c r="Q76" s="16">
        <v>121</v>
      </c>
      <c r="R76" s="10" t="s">
        <v>115</v>
      </c>
      <c r="S76" s="17" t="s">
        <v>57</v>
      </c>
      <c r="T76" s="17" t="s">
        <v>46</v>
      </c>
      <c r="U76" s="17" t="s">
        <v>36</v>
      </c>
      <c r="V76" s="17">
        <v>18</v>
      </c>
      <c r="W76" s="17">
        <v>68</v>
      </c>
      <c r="X76" s="17">
        <v>35</v>
      </c>
      <c r="Y76" s="17">
        <v>27</v>
      </c>
      <c r="Z76" s="17">
        <v>46</v>
      </c>
      <c r="AA76" s="17">
        <v>5</v>
      </c>
      <c r="AB76" s="17">
        <v>78</v>
      </c>
      <c r="AC76" s="17">
        <v>64</v>
      </c>
      <c r="AD76" s="17">
        <v>71</v>
      </c>
      <c r="AE76" s="17">
        <v>75</v>
      </c>
      <c r="AF76" s="17">
        <v>45</v>
      </c>
      <c r="AG76" s="17">
        <v>41</v>
      </c>
      <c r="AH76" s="17">
        <v>45</v>
      </c>
      <c r="AI76" s="5">
        <f t="shared" si="7"/>
        <v>1.0640084000000003</v>
      </c>
      <c r="AJ76" s="5">
        <f t="shared" si="8"/>
        <v>1.0067326000000001</v>
      </c>
      <c r="AK76" s="5">
        <f t="shared" si="9"/>
        <v>1.4638280000000004</v>
      </c>
      <c r="AL76" s="5">
        <f t="shared" si="10"/>
        <v>0.79758720000000027</v>
      </c>
      <c r="AM76" s="5">
        <f t="shared" si="11"/>
        <v>0.89659580000000016</v>
      </c>
    </row>
    <row r="77" spans="1:39" ht="15" customHeight="1" thickBot="1" x14ac:dyDescent="0.35">
      <c r="A77" s="5">
        <f t="shared" si="6"/>
        <v>30.058128973267952</v>
      </c>
      <c r="B77" s="16">
        <v>123</v>
      </c>
      <c r="C77" s="10" t="s">
        <v>116</v>
      </c>
      <c r="D77" s="17" t="s">
        <v>42</v>
      </c>
      <c r="E77" s="17" t="s">
        <v>36</v>
      </c>
      <c r="F77" s="17" t="s">
        <v>36</v>
      </c>
      <c r="G77" s="17">
        <v>18</v>
      </c>
      <c r="H77" s="17">
        <v>36</v>
      </c>
      <c r="I77" s="17">
        <v>47</v>
      </c>
      <c r="J77" s="17">
        <v>5</v>
      </c>
      <c r="K77" s="17">
        <v>7</v>
      </c>
      <c r="L77" s="17">
        <v>32</v>
      </c>
      <c r="M77" s="17">
        <v>34</v>
      </c>
      <c r="N77" s="17">
        <v>12</v>
      </c>
      <c r="O77" s="17">
        <v>30</v>
      </c>
      <c r="P77" s="17">
        <v>40</v>
      </c>
      <c r="Q77" s="16">
        <v>123</v>
      </c>
      <c r="R77" s="10" t="s">
        <v>116</v>
      </c>
      <c r="S77" s="17" t="s">
        <v>42</v>
      </c>
      <c r="T77" s="17" t="s">
        <v>36</v>
      </c>
      <c r="U77" s="17" t="s">
        <v>36</v>
      </c>
      <c r="V77" s="17">
        <v>18</v>
      </c>
      <c r="W77" s="17">
        <v>34</v>
      </c>
      <c r="X77" s="17">
        <v>32</v>
      </c>
      <c r="Y77" s="17">
        <v>71</v>
      </c>
      <c r="Z77" s="17">
        <v>66</v>
      </c>
      <c r="AA77" s="17">
        <v>0</v>
      </c>
      <c r="AB77" s="17">
        <v>91</v>
      </c>
      <c r="AC77" s="17">
        <v>66</v>
      </c>
      <c r="AD77" s="17">
        <v>19</v>
      </c>
      <c r="AE77" s="17">
        <v>57</v>
      </c>
      <c r="AF77" s="17">
        <v>49</v>
      </c>
      <c r="AG77" s="17">
        <v>32</v>
      </c>
      <c r="AH77" s="17">
        <v>40</v>
      </c>
      <c r="AI77" s="5">
        <f t="shared" si="7"/>
        <v>1.4055508000000001</v>
      </c>
      <c r="AJ77" s="5">
        <f t="shared" si="8"/>
        <v>0.24049680000000004</v>
      </c>
      <c r="AK77" s="5">
        <f t="shared" si="9"/>
        <v>1.8433820000000003</v>
      </c>
      <c r="AL77" s="5">
        <f t="shared" si="10"/>
        <v>0.89740800000000021</v>
      </c>
      <c r="AM77" s="5">
        <f t="shared" si="11"/>
        <v>0.17936800000000008</v>
      </c>
    </row>
    <row r="78" spans="1:39" ht="15" customHeight="1" thickBot="1" x14ac:dyDescent="0.35">
      <c r="A78" s="5">
        <f t="shared" si="6"/>
        <v>26.408977011742508</v>
      </c>
      <c r="B78" s="18">
        <v>124</v>
      </c>
      <c r="C78" s="11" t="s">
        <v>117</v>
      </c>
      <c r="D78" s="19" t="s">
        <v>57</v>
      </c>
      <c r="E78" s="19" t="s">
        <v>47</v>
      </c>
      <c r="F78" s="19" t="s">
        <v>36</v>
      </c>
      <c r="G78" s="19">
        <v>18</v>
      </c>
      <c r="H78" s="19">
        <v>51</v>
      </c>
      <c r="I78" s="19">
        <v>0</v>
      </c>
      <c r="J78" s="19">
        <v>22</v>
      </c>
      <c r="K78" s="19">
        <v>33</v>
      </c>
      <c r="L78" s="19">
        <v>23</v>
      </c>
      <c r="M78" s="19">
        <v>66</v>
      </c>
      <c r="N78" s="19">
        <v>35</v>
      </c>
      <c r="O78" s="19">
        <v>72</v>
      </c>
      <c r="P78" s="19">
        <v>48</v>
      </c>
      <c r="Q78" s="18">
        <v>124</v>
      </c>
      <c r="R78" s="11" t="s">
        <v>117</v>
      </c>
      <c r="S78" s="19" t="s">
        <v>57</v>
      </c>
      <c r="T78" s="19" t="s">
        <v>47</v>
      </c>
      <c r="U78" s="19" t="s">
        <v>36</v>
      </c>
      <c r="V78" s="19">
        <v>18</v>
      </c>
      <c r="W78" s="19">
        <v>0</v>
      </c>
      <c r="X78" s="19">
        <v>26</v>
      </c>
      <c r="Y78" s="19">
        <v>99</v>
      </c>
      <c r="Z78" s="19">
        <v>94</v>
      </c>
      <c r="AA78" s="19">
        <v>74</v>
      </c>
      <c r="AB78" s="19">
        <v>91</v>
      </c>
      <c r="AC78" s="19">
        <v>100</v>
      </c>
      <c r="AD78" s="19">
        <v>21</v>
      </c>
      <c r="AE78" s="19">
        <v>45</v>
      </c>
      <c r="AF78" s="19">
        <v>13</v>
      </c>
      <c r="AG78" s="19">
        <v>48</v>
      </c>
      <c r="AH78" s="19">
        <v>48</v>
      </c>
      <c r="AI78" s="5">
        <f t="shared" si="7"/>
        <v>1.0426864</v>
      </c>
      <c r="AJ78" s="5">
        <f t="shared" si="8"/>
        <v>0.80299640000000005</v>
      </c>
      <c r="AK78" s="5">
        <f t="shared" si="9"/>
        <v>1.5963822000000008</v>
      </c>
      <c r="AL78" s="5">
        <f t="shared" si="10"/>
        <v>0.95934240000000026</v>
      </c>
      <c r="AM78" s="5">
        <f t="shared" si="11"/>
        <v>0.15939120000000007</v>
      </c>
    </row>
    <row r="79" spans="1:39" ht="15" customHeight="1" thickBot="1" x14ac:dyDescent="0.35">
      <c r="A79" s="5">
        <f t="shared" si="6"/>
        <v>25.04342095221638</v>
      </c>
      <c r="B79" s="16">
        <v>125</v>
      </c>
      <c r="C79" s="10" t="s">
        <v>118</v>
      </c>
      <c r="D79" s="17" t="s">
        <v>57</v>
      </c>
      <c r="E79" s="17" t="s">
        <v>47</v>
      </c>
      <c r="F79" s="17" t="s">
        <v>47</v>
      </c>
      <c r="G79" s="17">
        <v>18</v>
      </c>
      <c r="H79" s="17">
        <v>17</v>
      </c>
      <c r="I79" s="17">
        <v>42</v>
      </c>
      <c r="J79" s="17">
        <v>0</v>
      </c>
      <c r="K79" s="17">
        <v>4</v>
      </c>
      <c r="L79" s="17">
        <v>38</v>
      </c>
      <c r="M79" s="17">
        <v>27</v>
      </c>
      <c r="N79" s="17">
        <v>16</v>
      </c>
      <c r="O79" s="17">
        <v>0</v>
      </c>
      <c r="P79" s="17">
        <v>33</v>
      </c>
      <c r="Q79" s="16">
        <v>125</v>
      </c>
      <c r="R79" s="10" t="s">
        <v>118</v>
      </c>
      <c r="S79" s="17" t="s">
        <v>57</v>
      </c>
      <c r="T79" s="17" t="s">
        <v>47</v>
      </c>
      <c r="U79" s="17" t="s">
        <v>47</v>
      </c>
      <c r="V79" s="17">
        <v>18</v>
      </c>
      <c r="W79" s="17">
        <v>35</v>
      </c>
      <c r="X79" s="17">
        <v>8</v>
      </c>
      <c r="Y79" s="17">
        <v>67</v>
      </c>
      <c r="Z79" s="17">
        <v>61</v>
      </c>
      <c r="AA79" s="17">
        <v>5</v>
      </c>
      <c r="AB79" s="17">
        <v>97</v>
      </c>
      <c r="AC79" s="17">
        <v>38</v>
      </c>
      <c r="AD79" s="17">
        <v>16</v>
      </c>
      <c r="AE79" s="17">
        <v>29</v>
      </c>
      <c r="AF79" s="17">
        <v>76</v>
      </c>
      <c r="AG79" s="17">
        <v>29</v>
      </c>
      <c r="AH79" s="17">
        <v>33</v>
      </c>
      <c r="AI79" s="5">
        <f t="shared" si="7"/>
        <v>1.1445208000000002</v>
      </c>
      <c r="AJ79" s="5">
        <f t="shared" si="8"/>
        <v>0.14523960000000002</v>
      </c>
      <c r="AK79" s="5">
        <f t="shared" si="9"/>
        <v>1.5383180000000003</v>
      </c>
      <c r="AL79" s="5">
        <f t="shared" si="10"/>
        <v>0.83997440000000023</v>
      </c>
      <c r="AM79" s="5">
        <f t="shared" si="11"/>
        <v>0.15309320000000001</v>
      </c>
    </row>
    <row r="80" spans="1:39" ht="15" customHeight="1" thickBot="1" x14ac:dyDescent="0.35">
      <c r="A80" s="5">
        <f t="shared" si="6"/>
        <v>35.439936211725225</v>
      </c>
      <c r="B80" s="16">
        <v>126</v>
      </c>
      <c r="C80" s="10" t="s">
        <v>119</v>
      </c>
      <c r="D80" s="17" t="s">
        <v>42</v>
      </c>
      <c r="E80" s="17" t="s">
        <v>36</v>
      </c>
      <c r="F80" s="17" t="s">
        <v>36</v>
      </c>
      <c r="G80" s="17">
        <v>18</v>
      </c>
      <c r="H80" s="17">
        <v>66</v>
      </c>
      <c r="I80" s="17">
        <v>14</v>
      </c>
      <c r="J80" s="17">
        <v>18</v>
      </c>
      <c r="K80" s="17">
        <v>20</v>
      </c>
      <c r="L80" s="17">
        <v>42</v>
      </c>
      <c r="M80" s="17">
        <v>69</v>
      </c>
      <c r="N80" s="17">
        <v>87</v>
      </c>
      <c r="O80" s="17">
        <v>58</v>
      </c>
      <c r="P80" s="17">
        <v>56</v>
      </c>
      <c r="Q80" s="16">
        <v>126</v>
      </c>
      <c r="R80" s="10" t="s">
        <v>119</v>
      </c>
      <c r="S80" s="17" t="s">
        <v>42</v>
      </c>
      <c r="T80" s="17" t="s">
        <v>36</v>
      </c>
      <c r="U80" s="17" t="s">
        <v>36</v>
      </c>
      <c r="V80" s="17">
        <v>18</v>
      </c>
      <c r="W80" s="17">
        <v>56</v>
      </c>
      <c r="X80" s="17">
        <v>32</v>
      </c>
      <c r="Y80" s="17">
        <v>56</v>
      </c>
      <c r="Z80" s="17">
        <v>67</v>
      </c>
      <c r="AA80" s="17">
        <v>9</v>
      </c>
      <c r="AB80" s="17">
        <v>95</v>
      </c>
      <c r="AC80" s="17">
        <v>79</v>
      </c>
      <c r="AD80" s="17">
        <v>78</v>
      </c>
      <c r="AE80" s="17">
        <v>41</v>
      </c>
      <c r="AF80" s="17">
        <v>26</v>
      </c>
      <c r="AG80" s="17">
        <v>62</v>
      </c>
      <c r="AH80" s="17">
        <v>56</v>
      </c>
      <c r="AI80" s="5">
        <f t="shared" si="7"/>
        <v>1.5352400000000004</v>
      </c>
      <c r="AJ80" s="5">
        <f t="shared" si="8"/>
        <v>0.96252240000000022</v>
      </c>
      <c r="AK80" s="5">
        <f t="shared" si="9"/>
        <v>1.9585740000000007</v>
      </c>
      <c r="AL80" s="5">
        <f t="shared" si="10"/>
        <v>0.94802840000000044</v>
      </c>
      <c r="AM80" s="5">
        <f t="shared" si="11"/>
        <v>0.94035300000000033</v>
      </c>
    </row>
    <row r="81" spans="1:39" ht="15" customHeight="1" thickBot="1" x14ac:dyDescent="0.35">
      <c r="A81" s="5">
        <f t="shared" si="6"/>
        <v>34.028420340252126</v>
      </c>
      <c r="B81" s="16">
        <v>129</v>
      </c>
      <c r="C81" s="10" t="s">
        <v>120</v>
      </c>
      <c r="D81" s="17" t="s">
        <v>57</v>
      </c>
      <c r="E81" s="17" t="s">
        <v>47</v>
      </c>
      <c r="F81" s="17" t="s">
        <v>47</v>
      </c>
      <c r="G81" s="17">
        <v>18</v>
      </c>
      <c r="H81" s="17">
        <v>23</v>
      </c>
      <c r="I81" s="17">
        <v>38</v>
      </c>
      <c r="J81" s="17">
        <v>37</v>
      </c>
      <c r="K81" s="17">
        <v>24</v>
      </c>
      <c r="L81" s="17">
        <v>48</v>
      </c>
      <c r="M81" s="17">
        <v>77</v>
      </c>
      <c r="N81" s="17">
        <v>48</v>
      </c>
      <c r="O81" s="17">
        <v>66</v>
      </c>
      <c r="P81" s="17">
        <v>49</v>
      </c>
      <c r="Q81" s="16">
        <v>129</v>
      </c>
      <c r="R81" s="10" t="s">
        <v>120</v>
      </c>
      <c r="S81" s="17" t="s">
        <v>57</v>
      </c>
      <c r="T81" s="17" t="s">
        <v>47</v>
      </c>
      <c r="U81" s="17" t="s">
        <v>47</v>
      </c>
      <c r="V81" s="17">
        <v>18</v>
      </c>
      <c r="W81" s="17">
        <v>57</v>
      </c>
      <c r="X81" s="17">
        <v>22</v>
      </c>
      <c r="Y81" s="17">
        <v>57</v>
      </c>
      <c r="Z81" s="17">
        <v>55</v>
      </c>
      <c r="AA81" s="17">
        <v>15</v>
      </c>
      <c r="AB81" s="17">
        <v>81</v>
      </c>
      <c r="AC81" s="17">
        <v>75</v>
      </c>
      <c r="AD81" s="17">
        <v>52</v>
      </c>
      <c r="AE81" s="17">
        <v>54</v>
      </c>
      <c r="AF81" s="17">
        <v>0</v>
      </c>
      <c r="AG81" s="17">
        <v>26</v>
      </c>
      <c r="AH81" s="17">
        <v>49</v>
      </c>
      <c r="AI81" s="5">
        <f t="shared" si="7"/>
        <v>1.7121212000000003</v>
      </c>
      <c r="AJ81" s="5">
        <f t="shared" si="8"/>
        <v>0.97360600000000019</v>
      </c>
      <c r="AK81" s="5">
        <f t="shared" si="9"/>
        <v>1.7063220000000006</v>
      </c>
      <c r="AL81" s="5">
        <f t="shared" si="10"/>
        <v>0.85298040000000019</v>
      </c>
      <c r="AM81" s="5">
        <f t="shared" si="11"/>
        <v>0.53800000000000026</v>
      </c>
    </row>
    <row r="82" spans="1:39" ht="15" customHeight="1" thickBot="1" x14ac:dyDescent="0.35">
      <c r="A82" s="5">
        <f t="shared" si="6"/>
        <v>22.934488721858635</v>
      </c>
      <c r="B82" s="18">
        <v>131</v>
      </c>
      <c r="C82" s="11" t="s">
        <v>121</v>
      </c>
      <c r="D82" s="19" t="s">
        <v>57</v>
      </c>
      <c r="E82" s="19" t="s">
        <v>36</v>
      </c>
      <c r="F82" s="19" t="s">
        <v>36</v>
      </c>
      <c r="G82" s="19">
        <v>18</v>
      </c>
      <c r="H82" s="19">
        <v>20</v>
      </c>
      <c r="I82" s="19">
        <v>19</v>
      </c>
      <c r="J82" s="19">
        <v>15</v>
      </c>
      <c r="K82" s="19">
        <v>10</v>
      </c>
      <c r="L82" s="19">
        <v>33</v>
      </c>
      <c r="M82" s="19">
        <v>53</v>
      </c>
      <c r="N82" s="19">
        <v>65</v>
      </c>
      <c r="O82" s="19">
        <v>20</v>
      </c>
      <c r="P82" s="19">
        <v>44</v>
      </c>
      <c r="Q82" s="18">
        <v>131</v>
      </c>
      <c r="R82" s="11" t="s">
        <v>121</v>
      </c>
      <c r="S82" s="19" t="s">
        <v>57</v>
      </c>
      <c r="T82" s="19" t="s">
        <v>36</v>
      </c>
      <c r="U82" s="19" t="s">
        <v>36</v>
      </c>
      <c r="V82" s="19">
        <v>18</v>
      </c>
      <c r="W82" s="19">
        <v>30</v>
      </c>
      <c r="X82" s="19">
        <v>33</v>
      </c>
      <c r="Y82" s="19">
        <v>58</v>
      </c>
      <c r="Z82" s="19">
        <v>62</v>
      </c>
      <c r="AA82" s="19">
        <v>22</v>
      </c>
      <c r="AB82" s="19">
        <v>100</v>
      </c>
      <c r="AC82" s="19">
        <v>78</v>
      </c>
      <c r="AD82" s="19">
        <v>64</v>
      </c>
      <c r="AE82" s="19">
        <v>44</v>
      </c>
      <c r="AF82" s="19">
        <v>17</v>
      </c>
      <c r="AG82" s="19">
        <v>50</v>
      </c>
      <c r="AH82" s="19">
        <v>44</v>
      </c>
      <c r="AI82" s="5">
        <f t="shared" si="7"/>
        <v>0.5840436</v>
      </c>
      <c r="AJ82" s="5">
        <f t="shared" si="8"/>
        <v>0.63007600000000019</v>
      </c>
      <c r="AK82" s="5">
        <f t="shared" si="9"/>
        <v>1.5659860000000003</v>
      </c>
      <c r="AL82" s="5">
        <f t="shared" si="10"/>
        <v>0.95879520000000029</v>
      </c>
      <c r="AM82" s="5">
        <f t="shared" si="11"/>
        <v>0.73690260000000019</v>
      </c>
    </row>
    <row r="83" spans="1:39" ht="15" customHeight="1" thickBot="1" x14ac:dyDescent="0.35">
      <c r="A83" s="5">
        <f t="shared" si="6"/>
        <v>29.220499362837199</v>
      </c>
      <c r="B83" s="16">
        <v>132</v>
      </c>
      <c r="C83" s="10" t="s">
        <v>122</v>
      </c>
      <c r="D83" s="17" t="s">
        <v>42</v>
      </c>
      <c r="E83" s="17" t="s">
        <v>36</v>
      </c>
      <c r="F83" s="17" t="s">
        <v>36</v>
      </c>
      <c r="G83" s="17">
        <v>19</v>
      </c>
      <c r="H83" s="17">
        <v>40</v>
      </c>
      <c r="I83" s="17">
        <v>4</v>
      </c>
      <c r="J83" s="17">
        <v>24</v>
      </c>
      <c r="K83" s="17">
        <v>23</v>
      </c>
      <c r="L83" s="17">
        <v>43</v>
      </c>
      <c r="M83" s="17">
        <v>60</v>
      </c>
      <c r="N83" s="17">
        <v>56</v>
      </c>
      <c r="O83" s="17">
        <v>50</v>
      </c>
      <c r="P83" s="17">
        <v>42</v>
      </c>
      <c r="Q83" s="16">
        <v>132</v>
      </c>
      <c r="R83" s="10" t="s">
        <v>122</v>
      </c>
      <c r="S83" s="17" t="s">
        <v>42</v>
      </c>
      <c r="T83" s="17" t="s">
        <v>36</v>
      </c>
      <c r="U83" s="17" t="s">
        <v>36</v>
      </c>
      <c r="V83" s="17">
        <v>19</v>
      </c>
      <c r="W83" s="17">
        <v>88</v>
      </c>
      <c r="X83" s="17">
        <v>38</v>
      </c>
      <c r="Y83" s="17">
        <v>50</v>
      </c>
      <c r="Z83" s="17">
        <v>34</v>
      </c>
      <c r="AA83" s="17">
        <v>4</v>
      </c>
      <c r="AB83" s="17">
        <v>66</v>
      </c>
      <c r="AC83" s="17">
        <v>86</v>
      </c>
      <c r="AD83" s="17">
        <v>49</v>
      </c>
      <c r="AE83" s="17">
        <v>63</v>
      </c>
      <c r="AF83" s="17">
        <v>74</v>
      </c>
      <c r="AG83" s="17">
        <v>88</v>
      </c>
      <c r="AH83" s="17">
        <v>42</v>
      </c>
      <c r="AI83" s="5">
        <f t="shared" si="7"/>
        <v>1.1232168000000002</v>
      </c>
      <c r="AJ83" s="5">
        <f t="shared" si="8"/>
        <v>0.74543760000000026</v>
      </c>
      <c r="AK83" s="5">
        <f t="shared" si="9"/>
        <v>1.8677840000000006</v>
      </c>
      <c r="AL83" s="5">
        <f t="shared" si="10"/>
        <v>0.72706400000000015</v>
      </c>
      <c r="AM83" s="5">
        <f t="shared" si="11"/>
        <v>0.66557140000000015</v>
      </c>
    </row>
    <row r="84" spans="1:39" ht="15" customHeight="1" thickBot="1" x14ac:dyDescent="0.35">
      <c r="A84" s="5">
        <f t="shared" si="6"/>
        <v>22.408444962814169</v>
      </c>
      <c r="B84" s="16">
        <v>134</v>
      </c>
      <c r="C84" s="10" t="s">
        <v>123</v>
      </c>
      <c r="D84" s="17" t="s">
        <v>57</v>
      </c>
      <c r="E84" s="17" t="s">
        <v>36</v>
      </c>
      <c r="F84" s="17" t="s">
        <v>36</v>
      </c>
      <c r="G84" s="17">
        <v>18</v>
      </c>
      <c r="H84" s="17">
        <v>15</v>
      </c>
      <c r="I84" s="17">
        <v>18</v>
      </c>
      <c r="J84" s="17">
        <v>22</v>
      </c>
      <c r="K84" s="17">
        <v>17</v>
      </c>
      <c r="L84" s="17">
        <v>50</v>
      </c>
      <c r="M84" s="17">
        <v>47</v>
      </c>
      <c r="N84" s="17">
        <v>36</v>
      </c>
      <c r="O84" s="17">
        <v>25</v>
      </c>
      <c r="P84" s="17">
        <v>37</v>
      </c>
      <c r="Q84" s="16">
        <v>134</v>
      </c>
      <c r="R84" s="10" t="s">
        <v>123</v>
      </c>
      <c r="S84" s="17" t="s">
        <v>57</v>
      </c>
      <c r="T84" s="17" t="s">
        <v>36</v>
      </c>
      <c r="U84" s="17" t="s">
        <v>36</v>
      </c>
      <c r="V84" s="17">
        <v>18</v>
      </c>
      <c r="W84" s="17">
        <v>37</v>
      </c>
      <c r="X84" s="17">
        <v>25</v>
      </c>
      <c r="Y84" s="17">
        <v>52</v>
      </c>
      <c r="Z84" s="17">
        <v>41</v>
      </c>
      <c r="AA84" s="17">
        <v>4</v>
      </c>
      <c r="AB84" s="17">
        <v>77</v>
      </c>
      <c r="AC84" s="17">
        <v>19</v>
      </c>
      <c r="AD84" s="17">
        <v>57</v>
      </c>
      <c r="AE84" s="17">
        <v>51</v>
      </c>
      <c r="AF84" s="17">
        <v>45</v>
      </c>
      <c r="AG84" s="17">
        <v>94</v>
      </c>
      <c r="AH84" s="17">
        <v>37</v>
      </c>
      <c r="AI84" s="5">
        <f t="shared" si="7"/>
        <v>1.0046608000000004</v>
      </c>
      <c r="AJ84" s="5">
        <f t="shared" si="8"/>
        <v>0.46132060000000008</v>
      </c>
      <c r="AK84" s="5">
        <f t="shared" si="9"/>
        <v>1.1641660000000003</v>
      </c>
      <c r="AL84" s="5">
        <f t="shared" si="10"/>
        <v>0.6703916000000002</v>
      </c>
      <c r="AM84" s="5">
        <f t="shared" si="11"/>
        <v>0.7296060000000002</v>
      </c>
    </row>
    <row r="85" spans="1:39" ht="15" customHeight="1" thickBot="1" x14ac:dyDescent="0.35">
      <c r="A85" s="5">
        <f t="shared" si="6"/>
        <v>29.107010806568876</v>
      </c>
      <c r="B85" s="18">
        <v>141</v>
      </c>
      <c r="C85" s="11" t="s">
        <v>124</v>
      </c>
      <c r="D85" s="19" t="s">
        <v>57</v>
      </c>
      <c r="E85" s="19" t="s">
        <v>36</v>
      </c>
      <c r="F85" s="19" t="s">
        <v>36</v>
      </c>
      <c r="G85" s="19">
        <v>21</v>
      </c>
      <c r="H85" s="19">
        <v>34</v>
      </c>
      <c r="I85" s="19">
        <v>12</v>
      </c>
      <c r="J85" s="19">
        <v>46</v>
      </c>
      <c r="K85" s="19">
        <v>28</v>
      </c>
      <c r="L85" s="19">
        <v>61</v>
      </c>
      <c r="M85" s="19">
        <v>21</v>
      </c>
      <c r="N85" s="19">
        <v>0</v>
      </c>
      <c r="O85" s="19">
        <v>20</v>
      </c>
      <c r="P85" s="19">
        <v>42</v>
      </c>
      <c r="Q85" s="18">
        <v>141</v>
      </c>
      <c r="R85" s="11" t="s">
        <v>124</v>
      </c>
      <c r="S85" s="19" t="s">
        <v>57</v>
      </c>
      <c r="T85" s="19" t="s">
        <v>36</v>
      </c>
      <c r="U85" s="19" t="s">
        <v>36</v>
      </c>
      <c r="V85" s="19">
        <v>21</v>
      </c>
      <c r="W85" s="19">
        <v>0</v>
      </c>
      <c r="X85" s="19">
        <v>45</v>
      </c>
      <c r="Y85" s="19">
        <v>45</v>
      </c>
      <c r="Z85" s="19">
        <v>51</v>
      </c>
      <c r="AA85" s="19">
        <v>0</v>
      </c>
      <c r="AB85" s="19">
        <v>94</v>
      </c>
      <c r="AC85" s="19">
        <v>62</v>
      </c>
      <c r="AD85" s="19">
        <v>19</v>
      </c>
      <c r="AE85" s="19">
        <v>86</v>
      </c>
      <c r="AF85" s="19">
        <v>33</v>
      </c>
      <c r="AG85" s="19">
        <v>59</v>
      </c>
      <c r="AH85" s="19">
        <v>42</v>
      </c>
      <c r="AI85" s="5">
        <f t="shared" si="7"/>
        <v>1.8362544000000001</v>
      </c>
      <c r="AJ85" s="5">
        <f t="shared" si="8"/>
        <v>8.5498000000000032E-2</v>
      </c>
      <c r="AK85" s="5">
        <f t="shared" si="9"/>
        <v>1.202418</v>
      </c>
      <c r="AL85" s="5">
        <f t="shared" si="10"/>
        <v>0.89980640000000023</v>
      </c>
      <c r="AM85" s="5">
        <f t="shared" si="11"/>
        <v>0.23195960000000007</v>
      </c>
    </row>
    <row r="86" spans="1:39" ht="15" customHeight="1" thickBot="1" x14ac:dyDescent="0.35">
      <c r="A86" s="5">
        <f t="shared" si="6"/>
        <v>0</v>
      </c>
      <c r="B86" s="18">
        <v>227</v>
      </c>
      <c r="C86" s="11" t="s">
        <v>125</v>
      </c>
      <c r="D86" s="19" t="s">
        <v>64</v>
      </c>
      <c r="E86" s="19" t="s">
        <v>47</v>
      </c>
      <c r="F86" s="19" t="s">
        <v>36</v>
      </c>
      <c r="G86" s="19">
        <v>21</v>
      </c>
      <c r="H86" s="19" t="s">
        <v>126</v>
      </c>
      <c r="I86" s="19" t="s">
        <v>126</v>
      </c>
      <c r="J86" s="19" t="s">
        <v>126</v>
      </c>
      <c r="K86" s="19" t="s">
        <v>126</v>
      </c>
      <c r="L86" s="19" t="s">
        <v>126</v>
      </c>
      <c r="M86" s="19" t="s">
        <v>126</v>
      </c>
      <c r="N86" s="19" t="s">
        <v>126</v>
      </c>
      <c r="O86" s="19" t="s">
        <v>126</v>
      </c>
      <c r="P86" s="19" t="s">
        <v>126</v>
      </c>
      <c r="Q86" s="18">
        <v>227</v>
      </c>
      <c r="R86" s="11" t="s">
        <v>125</v>
      </c>
      <c r="S86" s="19" t="s">
        <v>64</v>
      </c>
      <c r="T86" s="19" t="s">
        <v>47</v>
      </c>
      <c r="U86" s="19" t="s">
        <v>36</v>
      </c>
      <c r="V86" s="19">
        <v>21</v>
      </c>
      <c r="W86" s="19" t="s">
        <v>126</v>
      </c>
      <c r="X86" s="19" t="s">
        <v>126</v>
      </c>
      <c r="Y86" s="19" t="s">
        <v>126</v>
      </c>
      <c r="Z86" s="19" t="s">
        <v>126</v>
      </c>
      <c r="AA86" s="19" t="s">
        <v>126</v>
      </c>
      <c r="AB86" s="19" t="s">
        <v>126</v>
      </c>
      <c r="AC86" s="19" t="s">
        <v>126</v>
      </c>
      <c r="AD86" s="19" t="s">
        <v>126</v>
      </c>
      <c r="AE86" s="19" t="s">
        <v>126</v>
      </c>
      <c r="AF86" s="19" t="s">
        <v>126</v>
      </c>
      <c r="AG86" s="19" t="s">
        <v>126</v>
      </c>
      <c r="AH86" s="19" t="s">
        <v>126</v>
      </c>
      <c r="AI86" s="5" t="e">
        <f t="shared" si="7"/>
        <v>#VALUE!</v>
      </c>
      <c r="AJ86" s="5" t="e">
        <f t="shared" si="8"/>
        <v>#VALUE!</v>
      </c>
      <c r="AK86" s="5" t="e">
        <f t="shared" si="9"/>
        <v>#VALUE!</v>
      </c>
      <c r="AL86" s="5" t="e">
        <f t="shared" si="10"/>
        <v>#VALUE!</v>
      </c>
      <c r="AM86" s="5" t="e">
        <f t="shared" si="11"/>
        <v>#VALUE!</v>
      </c>
    </row>
    <row r="87" spans="1:39" ht="15" customHeight="1" thickBot="1" x14ac:dyDescent="0.35">
      <c r="A87" s="5">
        <f t="shared" si="6"/>
        <v>0</v>
      </c>
      <c r="B87" s="18">
        <v>228</v>
      </c>
      <c r="C87" s="11" t="s">
        <v>127</v>
      </c>
      <c r="D87" s="19" t="s">
        <v>64</v>
      </c>
      <c r="E87" s="19" t="s">
        <v>36</v>
      </c>
      <c r="F87" s="19" t="s">
        <v>36</v>
      </c>
      <c r="G87" s="19">
        <v>21</v>
      </c>
      <c r="H87" s="19" t="s">
        <v>126</v>
      </c>
      <c r="I87" s="19" t="s">
        <v>126</v>
      </c>
      <c r="J87" s="19" t="s">
        <v>126</v>
      </c>
      <c r="K87" s="19" t="s">
        <v>126</v>
      </c>
      <c r="L87" s="19" t="s">
        <v>126</v>
      </c>
      <c r="M87" s="19" t="s">
        <v>126</v>
      </c>
      <c r="N87" s="19" t="s">
        <v>126</v>
      </c>
      <c r="O87" s="19" t="s">
        <v>126</v>
      </c>
      <c r="P87" s="19" t="s">
        <v>126</v>
      </c>
      <c r="Q87" s="18">
        <v>228</v>
      </c>
      <c r="R87" s="11" t="s">
        <v>127</v>
      </c>
      <c r="S87" s="19" t="s">
        <v>64</v>
      </c>
      <c r="T87" s="19" t="s">
        <v>36</v>
      </c>
      <c r="U87" s="19" t="s">
        <v>36</v>
      </c>
      <c r="V87" s="19">
        <v>21</v>
      </c>
      <c r="W87" s="19" t="s">
        <v>126</v>
      </c>
      <c r="X87" s="19" t="s">
        <v>126</v>
      </c>
      <c r="Y87" s="19" t="s">
        <v>126</v>
      </c>
      <c r="Z87" s="19" t="s">
        <v>126</v>
      </c>
      <c r="AA87" s="19" t="s">
        <v>126</v>
      </c>
      <c r="AB87" s="19" t="s">
        <v>126</v>
      </c>
      <c r="AC87" s="19" t="s">
        <v>126</v>
      </c>
      <c r="AD87" s="19" t="s">
        <v>126</v>
      </c>
      <c r="AE87" s="19" t="s">
        <v>126</v>
      </c>
      <c r="AF87" s="19" t="s">
        <v>126</v>
      </c>
      <c r="AG87" s="19" t="s">
        <v>126</v>
      </c>
      <c r="AH87" s="19" t="s">
        <v>126</v>
      </c>
      <c r="AI87" s="5" t="e">
        <f t="shared" si="7"/>
        <v>#VALUE!</v>
      </c>
      <c r="AJ87" s="5" t="e">
        <f t="shared" si="8"/>
        <v>#VALUE!</v>
      </c>
      <c r="AK87" s="5" t="e">
        <f t="shared" si="9"/>
        <v>#VALUE!</v>
      </c>
      <c r="AL87" s="5" t="e">
        <f t="shared" si="10"/>
        <v>#VALUE!</v>
      </c>
      <c r="AM87" s="5" t="e">
        <f t="shared" si="11"/>
        <v>#VALUE!</v>
      </c>
    </row>
    <row r="88" spans="1:39" ht="15" customHeight="1" thickBot="1" x14ac:dyDescent="0.35">
      <c r="A88" s="5">
        <f t="shared" si="6"/>
        <v>0</v>
      </c>
      <c r="B88" s="16">
        <v>229</v>
      </c>
      <c r="C88" s="10" t="s">
        <v>128</v>
      </c>
      <c r="D88" s="17" t="s">
        <v>64</v>
      </c>
      <c r="E88" s="17" t="s">
        <v>36</v>
      </c>
      <c r="F88" s="17" t="s">
        <v>36</v>
      </c>
      <c r="G88" s="17">
        <v>21</v>
      </c>
      <c r="H88" s="17" t="s">
        <v>126</v>
      </c>
      <c r="I88" s="17" t="s">
        <v>126</v>
      </c>
      <c r="J88" s="17" t="s">
        <v>126</v>
      </c>
      <c r="K88" s="17" t="s">
        <v>126</v>
      </c>
      <c r="L88" s="17" t="s">
        <v>126</v>
      </c>
      <c r="M88" s="17" t="s">
        <v>126</v>
      </c>
      <c r="N88" s="17" t="s">
        <v>126</v>
      </c>
      <c r="O88" s="17" t="s">
        <v>126</v>
      </c>
      <c r="P88" s="17" t="s">
        <v>126</v>
      </c>
      <c r="Q88" s="16">
        <v>229</v>
      </c>
      <c r="R88" s="10" t="s">
        <v>128</v>
      </c>
      <c r="S88" s="17" t="s">
        <v>64</v>
      </c>
      <c r="T88" s="17" t="s">
        <v>36</v>
      </c>
      <c r="U88" s="17" t="s">
        <v>36</v>
      </c>
      <c r="V88" s="17">
        <v>21</v>
      </c>
      <c r="W88" s="17" t="s">
        <v>126</v>
      </c>
      <c r="X88" s="17" t="s">
        <v>126</v>
      </c>
      <c r="Y88" s="17" t="s">
        <v>126</v>
      </c>
      <c r="Z88" s="17" t="s">
        <v>126</v>
      </c>
      <c r="AA88" s="17" t="s">
        <v>126</v>
      </c>
      <c r="AB88" s="17" t="s">
        <v>126</v>
      </c>
      <c r="AC88" s="17" t="s">
        <v>126</v>
      </c>
      <c r="AD88" s="17" t="s">
        <v>126</v>
      </c>
      <c r="AE88" s="17" t="s">
        <v>126</v>
      </c>
      <c r="AF88" s="17" t="s">
        <v>126</v>
      </c>
      <c r="AG88" s="17" t="s">
        <v>126</v>
      </c>
      <c r="AH88" s="17" t="s">
        <v>126</v>
      </c>
      <c r="AI88" s="5" t="e">
        <f t="shared" si="7"/>
        <v>#VALUE!</v>
      </c>
      <c r="AJ88" s="5" t="e">
        <f t="shared" si="8"/>
        <v>#VALUE!</v>
      </c>
      <c r="AK88" s="5" t="e">
        <f t="shared" si="9"/>
        <v>#VALUE!</v>
      </c>
      <c r="AL88" s="5" t="e">
        <f t="shared" si="10"/>
        <v>#VALUE!</v>
      </c>
      <c r="AM88" s="5" t="e">
        <f t="shared" si="11"/>
        <v>#VALUE!</v>
      </c>
    </row>
    <row r="89" spans="1:39" ht="15" customHeight="1" thickBot="1" x14ac:dyDescent="0.35">
      <c r="A89" s="5">
        <f t="shared" si="6"/>
        <v>0</v>
      </c>
      <c r="B89" s="18">
        <v>230</v>
      </c>
      <c r="C89" s="11" t="s">
        <v>129</v>
      </c>
      <c r="D89" s="19" t="s">
        <v>64</v>
      </c>
      <c r="E89" s="19" t="s">
        <v>36</v>
      </c>
      <c r="F89" s="19" t="s">
        <v>36</v>
      </c>
      <c r="G89" s="19">
        <v>22</v>
      </c>
      <c r="H89" s="19" t="s">
        <v>126</v>
      </c>
      <c r="I89" s="19" t="s">
        <v>126</v>
      </c>
      <c r="J89" s="19" t="s">
        <v>126</v>
      </c>
      <c r="K89" s="19" t="s">
        <v>126</v>
      </c>
      <c r="L89" s="19" t="s">
        <v>126</v>
      </c>
      <c r="M89" s="19" t="s">
        <v>126</v>
      </c>
      <c r="N89" s="19" t="s">
        <v>126</v>
      </c>
      <c r="O89" s="19" t="s">
        <v>126</v>
      </c>
      <c r="P89" s="19" t="s">
        <v>126</v>
      </c>
      <c r="Q89" s="18">
        <v>230</v>
      </c>
      <c r="R89" s="11" t="s">
        <v>129</v>
      </c>
      <c r="S89" s="19" t="s">
        <v>64</v>
      </c>
      <c r="T89" s="19" t="s">
        <v>36</v>
      </c>
      <c r="U89" s="19" t="s">
        <v>36</v>
      </c>
      <c r="V89" s="19">
        <v>22</v>
      </c>
      <c r="W89" s="19" t="s">
        <v>126</v>
      </c>
      <c r="X89" s="19" t="s">
        <v>126</v>
      </c>
      <c r="Y89" s="19" t="s">
        <v>126</v>
      </c>
      <c r="Z89" s="19" t="s">
        <v>126</v>
      </c>
      <c r="AA89" s="19" t="s">
        <v>126</v>
      </c>
      <c r="AB89" s="19" t="s">
        <v>126</v>
      </c>
      <c r="AC89" s="19" t="s">
        <v>126</v>
      </c>
      <c r="AD89" s="19" t="s">
        <v>126</v>
      </c>
      <c r="AE89" s="19" t="s">
        <v>126</v>
      </c>
      <c r="AF89" s="19" t="s">
        <v>126</v>
      </c>
      <c r="AG89" s="19" t="s">
        <v>126</v>
      </c>
      <c r="AH89" s="19" t="s">
        <v>126</v>
      </c>
      <c r="AI89" s="5" t="e">
        <f t="shared" si="7"/>
        <v>#VALUE!</v>
      </c>
      <c r="AJ89" s="5" t="e">
        <f t="shared" si="8"/>
        <v>#VALUE!</v>
      </c>
      <c r="AK89" s="5" t="e">
        <f t="shared" si="9"/>
        <v>#VALUE!</v>
      </c>
      <c r="AL89" s="5" t="e">
        <f t="shared" si="10"/>
        <v>#VALUE!</v>
      </c>
      <c r="AM89" s="5" t="e">
        <f t="shared" si="11"/>
        <v>#VALUE!</v>
      </c>
    </row>
    <row r="90" spans="1:39" ht="15" customHeight="1" thickBot="1" x14ac:dyDescent="0.35">
      <c r="A90" s="5">
        <f t="shared" si="6"/>
        <v>0</v>
      </c>
      <c r="B90" s="16">
        <v>231</v>
      </c>
      <c r="C90" s="10" t="s">
        <v>130</v>
      </c>
      <c r="D90" s="17" t="s">
        <v>64</v>
      </c>
      <c r="E90" s="17" t="s">
        <v>36</v>
      </c>
      <c r="F90" s="17" t="s">
        <v>36</v>
      </c>
      <c r="G90" s="17">
        <v>21</v>
      </c>
      <c r="H90" s="17" t="s">
        <v>126</v>
      </c>
      <c r="I90" s="17" t="s">
        <v>126</v>
      </c>
      <c r="J90" s="17" t="s">
        <v>126</v>
      </c>
      <c r="K90" s="17" t="s">
        <v>126</v>
      </c>
      <c r="L90" s="17" t="s">
        <v>126</v>
      </c>
      <c r="M90" s="17" t="s">
        <v>126</v>
      </c>
      <c r="N90" s="17" t="s">
        <v>126</v>
      </c>
      <c r="O90" s="17" t="s">
        <v>126</v>
      </c>
      <c r="P90" s="17" t="s">
        <v>126</v>
      </c>
      <c r="Q90" s="16">
        <v>231</v>
      </c>
      <c r="R90" s="10" t="s">
        <v>130</v>
      </c>
      <c r="S90" s="17" t="s">
        <v>64</v>
      </c>
      <c r="T90" s="17" t="s">
        <v>36</v>
      </c>
      <c r="U90" s="17" t="s">
        <v>36</v>
      </c>
      <c r="V90" s="17">
        <v>21</v>
      </c>
      <c r="W90" s="17" t="s">
        <v>126</v>
      </c>
      <c r="X90" s="17" t="s">
        <v>126</v>
      </c>
      <c r="Y90" s="17" t="s">
        <v>126</v>
      </c>
      <c r="Z90" s="17" t="s">
        <v>126</v>
      </c>
      <c r="AA90" s="17" t="s">
        <v>126</v>
      </c>
      <c r="AB90" s="17" t="s">
        <v>126</v>
      </c>
      <c r="AC90" s="17" t="s">
        <v>126</v>
      </c>
      <c r="AD90" s="17" t="s">
        <v>126</v>
      </c>
      <c r="AE90" s="17" t="s">
        <v>126</v>
      </c>
      <c r="AF90" s="17" t="s">
        <v>126</v>
      </c>
      <c r="AG90" s="17" t="s">
        <v>126</v>
      </c>
      <c r="AH90" s="17" t="s">
        <v>126</v>
      </c>
      <c r="AI90" s="5" t="e">
        <f t="shared" si="7"/>
        <v>#VALUE!</v>
      </c>
      <c r="AJ90" s="5" t="e">
        <f t="shared" si="8"/>
        <v>#VALUE!</v>
      </c>
      <c r="AK90" s="5" t="e">
        <f t="shared" si="9"/>
        <v>#VALUE!</v>
      </c>
      <c r="AL90" s="5" t="e">
        <f t="shared" si="10"/>
        <v>#VALUE!</v>
      </c>
      <c r="AM90" s="5" t="e">
        <f t="shared" si="11"/>
        <v>#VALUE!</v>
      </c>
    </row>
    <row r="91" spans="1:39" ht="15" customHeight="1" thickBot="1" x14ac:dyDescent="0.35">
      <c r="A91" s="5">
        <f t="shared" si="6"/>
        <v>0</v>
      </c>
      <c r="B91" s="18">
        <v>232</v>
      </c>
      <c r="C91" s="11" t="s">
        <v>131</v>
      </c>
      <c r="D91" s="19" t="s">
        <v>64</v>
      </c>
      <c r="E91" s="19" t="s">
        <v>36</v>
      </c>
      <c r="F91" s="19" t="s">
        <v>36</v>
      </c>
      <c r="G91" s="19">
        <v>19</v>
      </c>
      <c r="H91" s="19" t="s">
        <v>126</v>
      </c>
      <c r="I91" s="19" t="s">
        <v>126</v>
      </c>
      <c r="J91" s="19" t="s">
        <v>126</v>
      </c>
      <c r="K91" s="19" t="s">
        <v>126</v>
      </c>
      <c r="L91" s="19" t="s">
        <v>126</v>
      </c>
      <c r="M91" s="19" t="s">
        <v>126</v>
      </c>
      <c r="N91" s="19" t="s">
        <v>126</v>
      </c>
      <c r="O91" s="19" t="s">
        <v>126</v>
      </c>
      <c r="P91" s="19" t="s">
        <v>126</v>
      </c>
      <c r="Q91" s="18">
        <v>232</v>
      </c>
      <c r="R91" s="11" t="s">
        <v>131</v>
      </c>
      <c r="S91" s="19" t="s">
        <v>64</v>
      </c>
      <c r="T91" s="19" t="s">
        <v>36</v>
      </c>
      <c r="U91" s="19" t="s">
        <v>36</v>
      </c>
      <c r="V91" s="19">
        <v>19</v>
      </c>
      <c r="W91" s="19" t="s">
        <v>126</v>
      </c>
      <c r="X91" s="19" t="s">
        <v>126</v>
      </c>
      <c r="Y91" s="19" t="s">
        <v>126</v>
      </c>
      <c r="Z91" s="19" t="s">
        <v>126</v>
      </c>
      <c r="AA91" s="19" t="s">
        <v>126</v>
      </c>
      <c r="AB91" s="19" t="s">
        <v>126</v>
      </c>
      <c r="AC91" s="19" t="s">
        <v>126</v>
      </c>
      <c r="AD91" s="19" t="s">
        <v>126</v>
      </c>
      <c r="AE91" s="19" t="s">
        <v>126</v>
      </c>
      <c r="AF91" s="19" t="s">
        <v>126</v>
      </c>
      <c r="AG91" s="19" t="s">
        <v>126</v>
      </c>
      <c r="AH91" s="19" t="s">
        <v>126</v>
      </c>
      <c r="AI91" s="5" t="e">
        <f t="shared" si="7"/>
        <v>#VALUE!</v>
      </c>
      <c r="AJ91" s="5" t="e">
        <f t="shared" si="8"/>
        <v>#VALUE!</v>
      </c>
      <c r="AK91" s="5" t="e">
        <f t="shared" si="9"/>
        <v>#VALUE!</v>
      </c>
      <c r="AL91" s="5" t="e">
        <f t="shared" si="10"/>
        <v>#VALUE!</v>
      </c>
      <c r="AM91" s="5" t="e">
        <f t="shared" si="11"/>
        <v>#VALUE!</v>
      </c>
    </row>
    <row r="92" spans="1:39" ht="15" customHeight="1" thickBot="1" x14ac:dyDescent="0.35">
      <c r="A92" s="5">
        <f t="shared" si="6"/>
        <v>0</v>
      </c>
      <c r="B92" s="18">
        <v>233</v>
      </c>
      <c r="C92" s="11" t="s">
        <v>132</v>
      </c>
      <c r="D92" s="19" t="s">
        <v>64</v>
      </c>
      <c r="E92" s="19" t="s">
        <v>36</v>
      </c>
      <c r="F92" s="19" t="s">
        <v>36</v>
      </c>
      <c r="G92" s="19">
        <v>19</v>
      </c>
      <c r="H92" s="19" t="s">
        <v>126</v>
      </c>
      <c r="I92" s="19" t="s">
        <v>126</v>
      </c>
      <c r="J92" s="19" t="s">
        <v>126</v>
      </c>
      <c r="K92" s="19" t="s">
        <v>126</v>
      </c>
      <c r="L92" s="19" t="s">
        <v>126</v>
      </c>
      <c r="M92" s="19" t="s">
        <v>126</v>
      </c>
      <c r="N92" s="19" t="s">
        <v>126</v>
      </c>
      <c r="O92" s="19" t="s">
        <v>126</v>
      </c>
      <c r="P92" s="19" t="s">
        <v>126</v>
      </c>
      <c r="Q92" s="18">
        <v>233</v>
      </c>
      <c r="R92" s="11" t="s">
        <v>132</v>
      </c>
      <c r="S92" s="19" t="s">
        <v>64</v>
      </c>
      <c r="T92" s="19" t="s">
        <v>36</v>
      </c>
      <c r="U92" s="19" t="s">
        <v>36</v>
      </c>
      <c r="V92" s="19">
        <v>19</v>
      </c>
      <c r="W92" s="19" t="s">
        <v>126</v>
      </c>
      <c r="X92" s="19" t="s">
        <v>126</v>
      </c>
      <c r="Y92" s="19" t="s">
        <v>126</v>
      </c>
      <c r="Z92" s="19" t="s">
        <v>126</v>
      </c>
      <c r="AA92" s="19" t="s">
        <v>126</v>
      </c>
      <c r="AB92" s="19" t="s">
        <v>126</v>
      </c>
      <c r="AC92" s="19" t="s">
        <v>126</v>
      </c>
      <c r="AD92" s="19" t="s">
        <v>126</v>
      </c>
      <c r="AE92" s="19" t="s">
        <v>126</v>
      </c>
      <c r="AF92" s="19" t="s">
        <v>126</v>
      </c>
      <c r="AG92" s="19" t="s">
        <v>126</v>
      </c>
      <c r="AH92" s="19" t="s">
        <v>126</v>
      </c>
      <c r="AI92" s="5" t="e">
        <f t="shared" si="7"/>
        <v>#VALUE!</v>
      </c>
      <c r="AJ92" s="5" t="e">
        <f t="shared" si="8"/>
        <v>#VALUE!</v>
      </c>
      <c r="AK92" s="5" t="e">
        <f t="shared" si="9"/>
        <v>#VALUE!</v>
      </c>
      <c r="AL92" s="5" t="e">
        <f t="shared" si="10"/>
        <v>#VALUE!</v>
      </c>
      <c r="AM92" s="5" t="e">
        <f t="shared" si="11"/>
        <v>#VALUE!</v>
      </c>
    </row>
    <row r="93" spans="1:39" ht="15" customHeight="1" thickBot="1" x14ac:dyDescent="0.35">
      <c r="A93" s="5">
        <f t="shared" si="6"/>
        <v>0</v>
      </c>
      <c r="B93" s="18">
        <v>234</v>
      </c>
      <c r="C93" s="11" t="s">
        <v>133</v>
      </c>
      <c r="D93" s="19" t="s">
        <v>64</v>
      </c>
      <c r="E93" s="19" t="s">
        <v>36</v>
      </c>
      <c r="F93" s="19" t="s">
        <v>36</v>
      </c>
      <c r="G93" s="19">
        <v>20</v>
      </c>
      <c r="H93" s="19" t="s">
        <v>126</v>
      </c>
      <c r="I93" s="19" t="s">
        <v>126</v>
      </c>
      <c r="J93" s="19" t="s">
        <v>126</v>
      </c>
      <c r="K93" s="19" t="s">
        <v>126</v>
      </c>
      <c r="L93" s="19" t="s">
        <v>126</v>
      </c>
      <c r="M93" s="19" t="s">
        <v>126</v>
      </c>
      <c r="N93" s="19" t="s">
        <v>126</v>
      </c>
      <c r="O93" s="19" t="s">
        <v>126</v>
      </c>
      <c r="P93" s="19" t="s">
        <v>126</v>
      </c>
      <c r="Q93" s="18">
        <v>234</v>
      </c>
      <c r="R93" s="11" t="s">
        <v>133</v>
      </c>
      <c r="S93" s="19" t="s">
        <v>64</v>
      </c>
      <c r="T93" s="19" t="s">
        <v>36</v>
      </c>
      <c r="U93" s="19" t="s">
        <v>36</v>
      </c>
      <c r="V93" s="19">
        <v>20</v>
      </c>
      <c r="W93" s="19" t="s">
        <v>126</v>
      </c>
      <c r="X93" s="19" t="s">
        <v>126</v>
      </c>
      <c r="Y93" s="19" t="s">
        <v>126</v>
      </c>
      <c r="Z93" s="19" t="s">
        <v>126</v>
      </c>
      <c r="AA93" s="19" t="s">
        <v>126</v>
      </c>
      <c r="AB93" s="19" t="s">
        <v>126</v>
      </c>
      <c r="AC93" s="19" t="s">
        <v>126</v>
      </c>
      <c r="AD93" s="19" t="s">
        <v>126</v>
      </c>
      <c r="AE93" s="19" t="s">
        <v>126</v>
      </c>
      <c r="AF93" s="19" t="s">
        <v>126</v>
      </c>
      <c r="AG93" s="19" t="s">
        <v>126</v>
      </c>
      <c r="AH93" s="19" t="s">
        <v>126</v>
      </c>
      <c r="AI93" s="5" t="e">
        <f t="shared" si="7"/>
        <v>#VALUE!</v>
      </c>
      <c r="AJ93" s="5" t="e">
        <f t="shared" si="8"/>
        <v>#VALUE!</v>
      </c>
      <c r="AK93" s="5" t="e">
        <f t="shared" si="9"/>
        <v>#VALUE!</v>
      </c>
      <c r="AL93" s="5" t="e">
        <f t="shared" si="10"/>
        <v>#VALUE!</v>
      </c>
      <c r="AM93" s="5" t="e">
        <f t="shared" si="11"/>
        <v>#VALUE!</v>
      </c>
    </row>
    <row r="94" spans="1:39" ht="15" customHeight="1" thickBot="1" x14ac:dyDescent="0.35">
      <c r="A94" s="5">
        <f t="shared" si="6"/>
        <v>0</v>
      </c>
      <c r="B94" s="18">
        <v>235</v>
      </c>
      <c r="C94" s="11" t="s">
        <v>134</v>
      </c>
      <c r="D94" s="19" t="s">
        <v>64</v>
      </c>
      <c r="E94" s="19" t="s">
        <v>36</v>
      </c>
      <c r="F94" s="19" t="s">
        <v>36</v>
      </c>
      <c r="G94" s="19">
        <v>21</v>
      </c>
      <c r="H94" s="19" t="s">
        <v>126</v>
      </c>
      <c r="I94" s="19" t="s">
        <v>126</v>
      </c>
      <c r="J94" s="19" t="s">
        <v>126</v>
      </c>
      <c r="K94" s="19" t="s">
        <v>126</v>
      </c>
      <c r="L94" s="19" t="s">
        <v>126</v>
      </c>
      <c r="M94" s="19" t="s">
        <v>126</v>
      </c>
      <c r="N94" s="19" t="s">
        <v>126</v>
      </c>
      <c r="O94" s="19" t="s">
        <v>126</v>
      </c>
      <c r="P94" s="19" t="s">
        <v>126</v>
      </c>
      <c r="Q94" s="18">
        <v>235</v>
      </c>
      <c r="R94" s="11" t="s">
        <v>134</v>
      </c>
      <c r="S94" s="19" t="s">
        <v>64</v>
      </c>
      <c r="T94" s="19" t="s">
        <v>36</v>
      </c>
      <c r="U94" s="19" t="s">
        <v>36</v>
      </c>
      <c r="V94" s="19">
        <v>21</v>
      </c>
      <c r="W94" s="19" t="s">
        <v>126</v>
      </c>
      <c r="X94" s="19" t="s">
        <v>126</v>
      </c>
      <c r="Y94" s="19" t="s">
        <v>126</v>
      </c>
      <c r="Z94" s="19" t="s">
        <v>126</v>
      </c>
      <c r="AA94" s="19" t="s">
        <v>126</v>
      </c>
      <c r="AB94" s="19" t="s">
        <v>126</v>
      </c>
      <c r="AC94" s="19" t="s">
        <v>126</v>
      </c>
      <c r="AD94" s="19" t="s">
        <v>126</v>
      </c>
      <c r="AE94" s="19" t="s">
        <v>126</v>
      </c>
      <c r="AF94" s="19" t="s">
        <v>126</v>
      </c>
      <c r="AG94" s="19" t="s">
        <v>126</v>
      </c>
      <c r="AH94" s="19" t="s">
        <v>126</v>
      </c>
      <c r="AI94" s="5" t="e">
        <f t="shared" si="7"/>
        <v>#VALUE!</v>
      </c>
      <c r="AJ94" s="5" t="e">
        <f t="shared" si="8"/>
        <v>#VALUE!</v>
      </c>
      <c r="AK94" s="5" t="e">
        <f t="shared" si="9"/>
        <v>#VALUE!</v>
      </c>
      <c r="AL94" s="5" t="e">
        <f t="shared" si="10"/>
        <v>#VALUE!</v>
      </c>
      <c r="AM94" s="5" t="e">
        <f t="shared" si="11"/>
        <v>#VALUE!</v>
      </c>
    </row>
    <row r="95" spans="1:39" ht="15" customHeight="1" thickBot="1" x14ac:dyDescent="0.35">
      <c r="A95" s="5">
        <f t="shared" si="6"/>
        <v>0</v>
      </c>
      <c r="B95" s="18">
        <v>236</v>
      </c>
      <c r="C95" s="11" t="s">
        <v>135</v>
      </c>
      <c r="D95" s="19" t="s">
        <v>64</v>
      </c>
      <c r="E95" s="19" t="s">
        <v>36</v>
      </c>
      <c r="F95" s="19" t="s">
        <v>36</v>
      </c>
      <c r="G95" s="19">
        <v>19</v>
      </c>
      <c r="H95" s="19" t="s">
        <v>126</v>
      </c>
      <c r="I95" s="19" t="s">
        <v>126</v>
      </c>
      <c r="J95" s="19" t="s">
        <v>126</v>
      </c>
      <c r="K95" s="19" t="s">
        <v>126</v>
      </c>
      <c r="L95" s="19" t="s">
        <v>126</v>
      </c>
      <c r="M95" s="19" t="s">
        <v>126</v>
      </c>
      <c r="N95" s="19" t="s">
        <v>126</v>
      </c>
      <c r="O95" s="19" t="s">
        <v>126</v>
      </c>
      <c r="P95" s="19" t="s">
        <v>126</v>
      </c>
      <c r="Q95" s="18">
        <v>236</v>
      </c>
      <c r="R95" s="11" t="s">
        <v>135</v>
      </c>
      <c r="S95" s="19" t="s">
        <v>64</v>
      </c>
      <c r="T95" s="19" t="s">
        <v>36</v>
      </c>
      <c r="U95" s="19" t="s">
        <v>36</v>
      </c>
      <c r="V95" s="19">
        <v>19</v>
      </c>
      <c r="W95" s="19" t="s">
        <v>126</v>
      </c>
      <c r="X95" s="19" t="s">
        <v>126</v>
      </c>
      <c r="Y95" s="19" t="s">
        <v>126</v>
      </c>
      <c r="Z95" s="19" t="s">
        <v>126</v>
      </c>
      <c r="AA95" s="19" t="s">
        <v>126</v>
      </c>
      <c r="AB95" s="19" t="s">
        <v>126</v>
      </c>
      <c r="AC95" s="19" t="s">
        <v>126</v>
      </c>
      <c r="AD95" s="19" t="s">
        <v>126</v>
      </c>
      <c r="AE95" s="19" t="s">
        <v>126</v>
      </c>
      <c r="AF95" s="19" t="s">
        <v>126</v>
      </c>
      <c r="AG95" s="19" t="s">
        <v>126</v>
      </c>
      <c r="AH95" s="19" t="s">
        <v>126</v>
      </c>
      <c r="AI95" s="5" t="e">
        <f t="shared" si="7"/>
        <v>#VALUE!</v>
      </c>
      <c r="AJ95" s="5" t="e">
        <f t="shared" si="8"/>
        <v>#VALUE!</v>
      </c>
      <c r="AK95" s="5" t="e">
        <f t="shared" si="9"/>
        <v>#VALUE!</v>
      </c>
      <c r="AL95" s="5" t="e">
        <f t="shared" si="10"/>
        <v>#VALUE!</v>
      </c>
      <c r="AM95" s="5" t="e">
        <f t="shared" si="11"/>
        <v>#VALUE!</v>
      </c>
    </row>
    <row r="96" spans="1:39" ht="15" customHeight="1" thickBot="1" x14ac:dyDescent="0.35">
      <c r="A96" s="5">
        <f t="shared" si="6"/>
        <v>0</v>
      </c>
      <c r="B96" s="16">
        <v>237</v>
      </c>
      <c r="C96" s="10" t="s">
        <v>136</v>
      </c>
      <c r="D96" s="17" t="s">
        <v>64</v>
      </c>
      <c r="E96" s="17" t="s">
        <v>47</v>
      </c>
      <c r="F96" s="17" t="s">
        <v>36</v>
      </c>
      <c r="G96" s="17">
        <v>18</v>
      </c>
      <c r="H96" s="17" t="s">
        <v>126</v>
      </c>
      <c r="I96" s="17" t="s">
        <v>126</v>
      </c>
      <c r="J96" s="17" t="s">
        <v>126</v>
      </c>
      <c r="K96" s="17" t="s">
        <v>126</v>
      </c>
      <c r="L96" s="17" t="s">
        <v>126</v>
      </c>
      <c r="M96" s="17" t="s">
        <v>126</v>
      </c>
      <c r="N96" s="17" t="s">
        <v>126</v>
      </c>
      <c r="O96" s="17" t="s">
        <v>126</v>
      </c>
      <c r="P96" s="17" t="s">
        <v>126</v>
      </c>
      <c r="Q96" s="16">
        <v>237</v>
      </c>
      <c r="R96" s="10" t="s">
        <v>136</v>
      </c>
      <c r="S96" s="17" t="s">
        <v>64</v>
      </c>
      <c r="T96" s="17" t="s">
        <v>47</v>
      </c>
      <c r="U96" s="17" t="s">
        <v>36</v>
      </c>
      <c r="V96" s="17">
        <v>18</v>
      </c>
      <c r="W96" s="17" t="s">
        <v>126</v>
      </c>
      <c r="X96" s="17" t="s">
        <v>126</v>
      </c>
      <c r="Y96" s="17" t="s">
        <v>126</v>
      </c>
      <c r="Z96" s="17" t="s">
        <v>126</v>
      </c>
      <c r="AA96" s="17" t="s">
        <v>126</v>
      </c>
      <c r="AB96" s="17" t="s">
        <v>126</v>
      </c>
      <c r="AC96" s="17" t="s">
        <v>126</v>
      </c>
      <c r="AD96" s="17" t="s">
        <v>126</v>
      </c>
      <c r="AE96" s="17" t="s">
        <v>126</v>
      </c>
      <c r="AF96" s="17" t="s">
        <v>126</v>
      </c>
      <c r="AG96" s="17" t="s">
        <v>126</v>
      </c>
      <c r="AH96" s="17" t="s">
        <v>126</v>
      </c>
      <c r="AI96" s="5" t="e">
        <f t="shared" si="7"/>
        <v>#VALUE!</v>
      </c>
      <c r="AJ96" s="5" t="e">
        <f t="shared" si="8"/>
        <v>#VALUE!</v>
      </c>
      <c r="AK96" s="5" t="e">
        <f t="shared" si="9"/>
        <v>#VALUE!</v>
      </c>
      <c r="AL96" s="5" t="e">
        <f t="shared" si="10"/>
        <v>#VALUE!</v>
      </c>
      <c r="AM96" s="5" t="e">
        <f t="shared" si="11"/>
        <v>#VALUE!</v>
      </c>
    </row>
    <row r="97" spans="1:39" ht="15" customHeight="1" thickBot="1" x14ac:dyDescent="0.35">
      <c r="A97" s="5">
        <f t="shared" si="6"/>
        <v>0</v>
      </c>
      <c r="B97" s="18">
        <v>238</v>
      </c>
      <c r="C97" s="11" t="s">
        <v>137</v>
      </c>
      <c r="D97" s="19" t="s">
        <v>64</v>
      </c>
      <c r="E97" s="19" t="s">
        <v>36</v>
      </c>
      <c r="F97" s="19" t="s">
        <v>36</v>
      </c>
      <c r="G97" s="19">
        <v>18</v>
      </c>
      <c r="H97" s="19" t="s">
        <v>126</v>
      </c>
      <c r="I97" s="19" t="s">
        <v>126</v>
      </c>
      <c r="J97" s="19" t="s">
        <v>126</v>
      </c>
      <c r="K97" s="19" t="s">
        <v>126</v>
      </c>
      <c r="L97" s="19" t="s">
        <v>126</v>
      </c>
      <c r="M97" s="19" t="s">
        <v>126</v>
      </c>
      <c r="N97" s="19" t="s">
        <v>126</v>
      </c>
      <c r="O97" s="19" t="s">
        <v>126</v>
      </c>
      <c r="P97" s="19" t="s">
        <v>126</v>
      </c>
      <c r="Q97" s="18">
        <v>238</v>
      </c>
      <c r="R97" s="11" t="s">
        <v>137</v>
      </c>
      <c r="S97" s="19" t="s">
        <v>64</v>
      </c>
      <c r="T97" s="19" t="s">
        <v>36</v>
      </c>
      <c r="U97" s="19" t="s">
        <v>36</v>
      </c>
      <c r="V97" s="19">
        <v>18</v>
      </c>
      <c r="W97" s="19" t="s">
        <v>126</v>
      </c>
      <c r="X97" s="19" t="s">
        <v>126</v>
      </c>
      <c r="Y97" s="19" t="s">
        <v>126</v>
      </c>
      <c r="Z97" s="19" t="s">
        <v>126</v>
      </c>
      <c r="AA97" s="19" t="s">
        <v>126</v>
      </c>
      <c r="AB97" s="19" t="s">
        <v>126</v>
      </c>
      <c r="AC97" s="19" t="s">
        <v>126</v>
      </c>
      <c r="AD97" s="19" t="s">
        <v>126</v>
      </c>
      <c r="AE97" s="19" t="s">
        <v>126</v>
      </c>
      <c r="AF97" s="19" t="s">
        <v>126</v>
      </c>
      <c r="AG97" s="19" t="s">
        <v>126</v>
      </c>
      <c r="AH97" s="19" t="s">
        <v>126</v>
      </c>
      <c r="AI97" s="5" t="e">
        <f t="shared" si="7"/>
        <v>#VALUE!</v>
      </c>
      <c r="AJ97" s="5" t="e">
        <f t="shared" si="8"/>
        <v>#VALUE!</v>
      </c>
      <c r="AK97" s="5" t="e">
        <f t="shared" si="9"/>
        <v>#VALUE!</v>
      </c>
      <c r="AL97" s="5" t="e">
        <f t="shared" si="10"/>
        <v>#VALUE!</v>
      </c>
      <c r="AM97" s="5" t="e">
        <f t="shared" si="11"/>
        <v>#VALUE!</v>
      </c>
    </row>
    <row r="98" spans="1:39" ht="15" customHeight="1" thickBot="1" x14ac:dyDescent="0.35">
      <c r="A98" s="5">
        <f t="shared" si="6"/>
        <v>0</v>
      </c>
      <c r="B98" s="16">
        <v>239</v>
      </c>
      <c r="C98" s="10" t="s">
        <v>138</v>
      </c>
      <c r="D98" s="17" t="s">
        <v>42</v>
      </c>
      <c r="E98" s="17" t="s">
        <v>36</v>
      </c>
      <c r="F98" s="17" t="s">
        <v>36</v>
      </c>
      <c r="G98" s="17">
        <v>22</v>
      </c>
      <c r="H98" s="17" t="s">
        <v>126</v>
      </c>
      <c r="I98" s="17" t="s">
        <v>126</v>
      </c>
      <c r="J98" s="17" t="s">
        <v>126</v>
      </c>
      <c r="K98" s="17" t="s">
        <v>126</v>
      </c>
      <c r="L98" s="17" t="s">
        <v>126</v>
      </c>
      <c r="M98" s="17" t="s">
        <v>126</v>
      </c>
      <c r="N98" s="17" t="s">
        <v>126</v>
      </c>
      <c r="O98" s="17" t="s">
        <v>126</v>
      </c>
      <c r="P98" s="17" t="s">
        <v>126</v>
      </c>
      <c r="Q98" s="16">
        <v>239</v>
      </c>
      <c r="R98" s="10" t="s">
        <v>138</v>
      </c>
      <c r="S98" s="17" t="s">
        <v>42</v>
      </c>
      <c r="T98" s="17" t="s">
        <v>36</v>
      </c>
      <c r="U98" s="17" t="s">
        <v>36</v>
      </c>
      <c r="V98" s="17">
        <v>22</v>
      </c>
      <c r="W98" s="17" t="s">
        <v>126</v>
      </c>
      <c r="X98" s="17" t="s">
        <v>126</v>
      </c>
      <c r="Y98" s="17" t="s">
        <v>126</v>
      </c>
      <c r="Z98" s="17" t="s">
        <v>126</v>
      </c>
      <c r="AA98" s="17" t="s">
        <v>126</v>
      </c>
      <c r="AB98" s="17" t="s">
        <v>126</v>
      </c>
      <c r="AC98" s="17" t="s">
        <v>126</v>
      </c>
      <c r="AD98" s="17" t="s">
        <v>126</v>
      </c>
      <c r="AE98" s="17" t="s">
        <v>126</v>
      </c>
      <c r="AF98" s="17" t="s">
        <v>126</v>
      </c>
      <c r="AG98" s="17" t="s">
        <v>126</v>
      </c>
      <c r="AH98" s="17" t="s">
        <v>126</v>
      </c>
      <c r="AI98" s="5" t="e">
        <f t="shared" si="7"/>
        <v>#VALUE!</v>
      </c>
      <c r="AJ98" s="5" t="e">
        <f t="shared" si="8"/>
        <v>#VALUE!</v>
      </c>
      <c r="AK98" s="5" t="e">
        <f t="shared" si="9"/>
        <v>#VALUE!</v>
      </c>
      <c r="AL98" s="5" t="e">
        <f t="shared" si="10"/>
        <v>#VALUE!</v>
      </c>
      <c r="AM98" s="5" t="e">
        <f t="shared" si="11"/>
        <v>#VALUE!</v>
      </c>
    </row>
    <row r="99" spans="1:39" ht="15" customHeight="1" thickBot="1" x14ac:dyDescent="0.35">
      <c r="A99" s="5">
        <f t="shared" si="6"/>
        <v>0</v>
      </c>
      <c r="B99" s="18">
        <v>240</v>
      </c>
      <c r="C99" s="11" t="s">
        <v>139</v>
      </c>
      <c r="D99" s="19" t="s">
        <v>42</v>
      </c>
      <c r="E99" s="19" t="s">
        <v>47</v>
      </c>
      <c r="F99" s="19" t="s">
        <v>47</v>
      </c>
      <c r="G99" s="19">
        <v>20</v>
      </c>
      <c r="H99" s="19" t="s">
        <v>126</v>
      </c>
      <c r="I99" s="19" t="s">
        <v>126</v>
      </c>
      <c r="J99" s="19" t="s">
        <v>126</v>
      </c>
      <c r="K99" s="19" t="s">
        <v>126</v>
      </c>
      <c r="L99" s="19" t="s">
        <v>126</v>
      </c>
      <c r="M99" s="19" t="s">
        <v>126</v>
      </c>
      <c r="N99" s="19" t="s">
        <v>126</v>
      </c>
      <c r="O99" s="19" t="s">
        <v>126</v>
      </c>
      <c r="P99" s="19" t="s">
        <v>126</v>
      </c>
      <c r="Q99" s="18">
        <v>240</v>
      </c>
      <c r="R99" s="11" t="s">
        <v>139</v>
      </c>
      <c r="S99" s="19" t="s">
        <v>42</v>
      </c>
      <c r="T99" s="19" t="s">
        <v>47</v>
      </c>
      <c r="U99" s="19" t="s">
        <v>47</v>
      </c>
      <c r="V99" s="19">
        <v>20</v>
      </c>
      <c r="W99" s="19" t="s">
        <v>126</v>
      </c>
      <c r="X99" s="19" t="s">
        <v>126</v>
      </c>
      <c r="Y99" s="19" t="s">
        <v>126</v>
      </c>
      <c r="Z99" s="19" t="s">
        <v>126</v>
      </c>
      <c r="AA99" s="19" t="s">
        <v>126</v>
      </c>
      <c r="AB99" s="19" t="s">
        <v>126</v>
      </c>
      <c r="AC99" s="19" t="s">
        <v>126</v>
      </c>
      <c r="AD99" s="19" t="s">
        <v>126</v>
      </c>
      <c r="AE99" s="19" t="s">
        <v>126</v>
      </c>
      <c r="AF99" s="19" t="s">
        <v>126</v>
      </c>
      <c r="AG99" s="19" t="s">
        <v>126</v>
      </c>
      <c r="AH99" s="19" t="s">
        <v>126</v>
      </c>
      <c r="AI99" s="5" t="e">
        <f t="shared" si="7"/>
        <v>#VALUE!</v>
      </c>
      <c r="AJ99" s="5" t="e">
        <f t="shared" si="8"/>
        <v>#VALUE!</v>
      </c>
      <c r="AK99" s="5" t="e">
        <f t="shared" si="9"/>
        <v>#VALUE!</v>
      </c>
      <c r="AL99" s="5" t="e">
        <f t="shared" si="10"/>
        <v>#VALUE!</v>
      </c>
      <c r="AM99" s="5" t="e">
        <f t="shared" si="11"/>
        <v>#VALUE!</v>
      </c>
    </row>
    <row r="100" spans="1:39" ht="15" customHeight="1" thickBot="1" x14ac:dyDescent="0.35">
      <c r="A100" s="5">
        <f t="shared" si="6"/>
        <v>0</v>
      </c>
      <c r="B100" s="16">
        <v>241</v>
      </c>
      <c r="C100" s="10" t="s">
        <v>140</v>
      </c>
      <c r="D100" s="17" t="s">
        <v>42</v>
      </c>
      <c r="E100" s="17" t="s">
        <v>36</v>
      </c>
      <c r="F100" s="17" t="s">
        <v>36</v>
      </c>
      <c r="G100" s="17">
        <v>20</v>
      </c>
      <c r="H100" s="17" t="s">
        <v>126</v>
      </c>
      <c r="I100" s="17" t="s">
        <v>126</v>
      </c>
      <c r="J100" s="17" t="s">
        <v>126</v>
      </c>
      <c r="K100" s="17" t="s">
        <v>126</v>
      </c>
      <c r="L100" s="17" t="s">
        <v>126</v>
      </c>
      <c r="M100" s="17" t="s">
        <v>126</v>
      </c>
      <c r="N100" s="17" t="s">
        <v>126</v>
      </c>
      <c r="O100" s="17" t="s">
        <v>126</v>
      </c>
      <c r="P100" s="17" t="s">
        <v>126</v>
      </c>
      <c r="Q100" s="16">
        <v>241</v>
      </c>
      <c r="R100" s="10" t="s">
        <v>140</v>
      </c>
      <c r="S100" s="17" t="s">
        <v>42</v>
      </c>
      <c r="T100" s="17" t="s">
        <v>36</v>
      </c>
      <c r="U100" s="17" t="s">
        <v>36</v>
      </c>
      <c r="V100" s="17">
        <v>20</v>
      </c>
      <c r="W100" s="17" t="s">
        <v>126</v>
      </c>
      <c r="X100" s="17" t="s">
        <v>126</v>
      </c>
      <c r="Y100" s="17" t="s">
        <v>126</v>
      </c>
      <c r="Z100" s="17" t="s">
        <v>126</v>
      </c>
      <c r="AA100" s="17" t="s">
        <v>126</v>
      </c>
      <c r="AB100" s="17" t="s">
        <v>126</v>
      </c>
      <c r="AC100" s="17" t="s">
        <v>126</v>
      </c>
      <c r="AD100" s="17" t="s">
        <v>126</v>
      </c>
      <c r="AE100" s="17" t="s">
        <v>126</v>
      </c>
      <c r="AF100" s="17" t="s">
        <v>126</v>
      </c>
      <c r="AG100" s="17" t="s">
        <v>126</v>
      </c>
      <c r="AH100" s="17" t="s">
        <v>126</v>
      </c>
      <c r="AI100" s="5" t="e">
        <f t="shared" si="7"/>
        <v>#VALUE!</v>
      </c>
      <c r="AJ100" s="5" t="e">
        <f t="shared" si="8"/>
        <v>#VALUE!</v>
      </c>
      <c r="AK100" s="5" t="e">
        <f t="shared" si="9"/>
        <v>#VALUE!</v>
      </c>
      <c r="AL100" s="5" t="e">
        <f t="shared" si="10"/>
        <v>#VALUE!</v>
      </c>
      <c r="AM100" s="5" t="e">
        <f t="shared" si="11"/>
        <v>#VALUE!</v>
      </c>
    </row>
    <row r="101" spans="1:39" ht="15" customHeight="1" thickBot="1" x14ac:dyDescent="0.35">
      <c r="A101" s="5">
        <f t="shared" si="6"/>
        <v>0</v>
      </c>
      <c r="B101" s="16">
        <v>242</v>
      </c>
      <c r="C101" s="10" t="s">
        <v>141</v>
      </c>
      <c r="D101" s="17" t="s">
        <v>49</v>
      </c>
      <c r="E101" s="17" t="s">
        <v>36</v>
      </c>
      <c r="F101" s="17" t="s">
        <v>36</v>
      </c>
      <c r="G101" s="17">
        <v>19</v>
      </c>
      <c r="H101" s="17" t="s">
        <v>126</v>
      </c>
      <c r="I101" s="17" t="s">
        <v>126</v>
      </c>
      <c r="J101" s="17" t="s">
        <v>126</v>
      </c>
      <c r="K101" s="17" t="s">
        <v>126</v>
      </c>
      <c r="L101" s="17" t="s">
        <v>126</v>
      </c>
      <c r="M101" s="17" t="s">
        <v>126</v>
      </c>
      <c r="N101" s="17" t="s">
        <v>126</v>
      </c>
      <c r="O101" s="17" t="s">
        <v>126</v>
      </c>
      <c r="P101" s="17" t="s">
        <v>126</v>
      </c>
      <c r="Q101" s="16">
        <v>242</v>
      </c>
      <c r="R101" s="10" t="s">
        <v>141</v>
      </c>
      <c r="S101" s="17" t="s">
        <v>49</v>
      </c>
      <c r="T101" s="17" t="s">
        <v>36</v>
      </c>
      <c r="U101" s="17" t="s">
        <v>36</v>
      </c>
      <c r="V101" s="17">
        <v>19</v>
      </c>
      <c r="W101" s="17" t="s">
        <v>126</v>
      </c>
      <c r="X101" s="17" t="s">
        <v>126</v>
      </c>
      <c r="Y101" s="17" t="s">
        <v>126</v>
      </c>
      <c r="Z101" s="17" t="s">
        <v>126</v>
      </c>
      <c r="AA101" s="17" t="s">
        <v>126</v>
      </c>
      <c r="AB101" s="17" t="s">
        <v>126</v>
      </c>
      <c r="AC101" s="17" t="s">
        <v>126</v>
      </c>
      <c r="AD101" s="17" t="s">
        <v>126</v>
      </c>
      <c r="AE101" s="17" t="s">
        <v>126</v>
      </c>
      <c r="AF101" s="17" t="s">
        <v>126</v>
      </c>
      <c r="AG101" s="17" t="s">
        <v>126</v>
      </c>
      <c r="AH101" s="17" t="s">
        <v>126</v>
      </c>
      <c r="AI101" s="5" t="e">
        <f t="shared" si="7"/>
        <v>#VALUE!</v>
      </c>
      <c r="AJ101" s="5" t="e">
        <f t="shared" si="8"/>
        <v>#VALUE!</v>
      </c>
      <c r="AK101" s="5" t="e">
        <f t="shared" si="9"/>
        <v>#VALUE!</v>
      </c>
      <c r="AL101" s="5" t="e">
        <f t="shared" si="10"/>
        <v>#VALUE!</v>
      </c>
      <c r="AM101" s="5" t="e">
        <f t="shared" si="11"/>
        <v>#VALUE!</v>
      </c>
    </row>
    <row r="102" spans="1:39" ht="15" customHeight="1" thickBot="1" x14ac:dyDescent="0.35">
      <c r="A102" s="5">
        <f t="shared" si="6"/>
        <v>0</v>
      </c>
      <c r="B102" s="16">
        <v>243</v>
      </c>
      <c r="C102" s="10" t="s">
        <v>142</v>
      </c>
      <c r="D102" s="17" t="s">
        <v>49</v>
      </c>
      <c r="E102" s="17" t="s">
        <v>36</v>
      </c>
      <c r="F102" s="17" t="s">
        <v>36</v>
      </c>
      <c r="G102" s="17">
        <v>20</v>
      </c>
      <c r="H102" s="17" t="s">
        <v>126</v>
      </c>
      <c r="I102" s="17" t="s">
        <v>126</v>
      </c>
      <c r="J102" s="17" t="s">
        <v>126</v>
      </c>
      <c r="K102" s="17" t="s">
        <v>126</v>
      </c>
      <c r="L102" s="17" t="s">
        <v>126</v>
      </c>
      <c r="M102" s="17" t="s">
        <v>126</v>
      </c>
      <c r="N102" s="17" t="s">
        <v>126</v>
      </c>
      <c r="O102" s="17" t="s">
        <v>126</v>
      </c>
      <c r="P102" s="17" t="s">
        <v>126</v>
      </c>
      <c r="Q102" s="16">
        <v>243</v>
      </c>
      <c r="R102" s="10" t="s">
        <v>142</v>
      </c>
      <c r="S102" s="17" t="s">
        <v>49</v>
      </c>
      <c r="T102" s="17" t="s">
        <v>36</v>
      </c>
      <c r="U102" s="17" t="s">
        <v>36</v>
      </c>
      <c r="V102" s="17">
        <v>20</v>
      </c>
      <c r="W102" s="17" t="s">
        <v>126</v>
      </c>
      <c r="X102" s="17" t="s">
        <v>126</v>
      </c>
      <c r="Y102" s="17" t="s">
        <v>126</v>
      </c>
      <c r="Z102" s="17" t="s">
        <v>126</v>
      </c>
      <c r="AA102" s="17" t="s">
        <v>126</v>
      </c>
      <c r="AB102" s="17" t="s">
        <v>126</v>
      </c>
      <c r="AC102" s="17" t="s">
        <v>126</v>
      </c>
      <c r="AD102" s="17" t="s">
        <v>126</v>
      </c>
      <c r="AE102" s="17" t="s">
        <v>126</v>
      </c>
      <c r="AF102" s="17" t="s">
        <v>126</v>
      </c>
      <c r="AG102" s="17" t="s">
        <v>126</v>
      </c>
      <c r="AH102" s="17" t="s">
        <v>126</v>
      </c>
      <c r="AI102" s="5" t="e">
        <f t="shared" si="7"/>
        <v>#VALUE!</v>
      </c>
      <c r="AJ102" s="5" t="e">
        <f t="shared" si="8"/>
        <v>#VALUE!</v>
      </c>
      <c r="AK102" s="5" t="e">
        <f t="shared" si="9"/>
        <v>#VALUE!</v>
      </c>
      <c r="AL102" s="5" t="e">
        <f t="shared" si="10"/>
        <v>#VALUE!</v>
      </c>
      <c r="AM102" s="5" t="e">
        <f t="shared" si="11"/>
        <v>#VALUE!</v>
      </c>
    </row>
    <row r="103" spans="1:39" ht="15" customHeight="1" thickBot="1" x14ac:dyDescent="0.35">
      <c r="A103" s="5">
        <f t="shared" si="6"/>
        <v>0</v>
      </c>
      <c r="B103" s="16">
        <v>244</v>
      </c>
      <c r="C103" s="10" t="s">
        <v>143</v>
      </c>
      <c r="D103" s="17" t="s">
        <v>49</v>
      </c>
      <c r="E103" s="17" t="s">
        <v>46</v>
      </c>
      <c r="F103" s="17" t="s">
        <v>36</v>
      </c>
      <c r="G103" s="17">
        <v>22</v>
      </c>
      <c r="H103" s="17" t="s">
        <v>126</v>
      </c>
      <c r="I103" s="17" t="s">
        <v>126</v>
      </c>
      <c r="J103" s="17" t="s">
        <v>126</v>
      </c>
      <c r="K103" s="17" t="s">
        <v>126</v>
      </c>
      <c r="L103" s="17" t="s">
        <v>126</v>
      </c>
      <c r="M103" s="17" t="s">
        <v>126</v>
      </c>
      <c r="N103" s="17" t="s">
        <v>126</v>
      </c>
      <c r="O103" s="17" t="s">
        <v>126</v>
      </c>
      <c r="P103" s="17" t="s">
        <v>126</v>
      </c>
      <c r="Q103" s="16">
        <v>244</v>
      </c>
      <c r="R103" s="10" t="s">
        <v>143</v>
      </c>
      <c r="S103" s="17" t="s">
        <v>49</v>
      </c>
      <c r="T103" s="17" t="s">
        <v>46</v>
      </c>
      <c r="U103" s="17" t="s">
        <v>36</v>
      </c>
      <c r="V103" s="17">
        <v>22</v>
      </c>
      <c r="W103" s="17" t="s">
        <v>126</v>
      </c>
      <c r="X103" s="17" t="s">
        <v>126</v>
      </c>
      <c r="Y103" s="17" t="s">
        <v>126</v>
      </c>
      <c r="Z103" s="17" t="s">
        <v>126</v>
      </c>
      <c r="AA103" s="17" t="s">
        <v>126</v>
      </c>
      <c r="AB103" s="17" t="s">
        <v>126</v>
      </c>
      <c r="AC103" s="17" t="s">
        <v>126</v>
      </c>
      <c r="AD103" s="17" t="s">
        <v>126</v>
      </c>
      <c r="AE103" s="17" t="s">
        <v>126</v>
      </c>
      <c r="AF103" s="17" t="s">
        <v>126</v>
      </c>
      <c r="AG103" s="17" t="s">
        <v>126</v>
      </c>
      <c r="AH103" s="17" t="s">
        <v>126</v>
      </c>
      <c r="AI103" s="5" t="e">
        <f t="shared" si="7"/>
        <v>#VALUE!</v>
      </c>
      <c r="AJ103" s="5" t="e">
        <f t="shared" si="8"/>
        <v>#VALUE!</v>
      </c>
      <c r="AK103" s="5" t="e">
        <f t="shared" si="9"/>
        <v>#VALUE!</v>
      </c>
      <c r="AL103" s="5" t="e">
        <f t="shared" si="10"/>
        <v>#VALUE!</v>
      </c>
      <c r="AM103" s="5" t="e">
        <f t="shared" si="11"/>
        <v>#VALUE!</v>
      </c>
    </row>
    <row r="104" spans="1:39" ht="15" customHeight="1" thickBot="1" x14ac:dyDescent="0.35">
      <c r="A104" s="5">
        <f t="shared" si="6"/>
        <v>0</v>
      </c>
      <c r="B104" s="18">
        <v>245</v>
      </c>
      <c r="C104" s="11" t="s">
        <v>144</v>
      </c>
      <c r="D104" s="19" t="s">
        <v>49</v>
      </c>
      <c r="E104" s="19" t="s">
        <v>36</v>
      </c>
      <c r="F104" s="19" t="s">
        <v>36</v>
      </c>
      <c r="G104" s="19">
        <v>19</v>
      </c>
      <c r="H104" s="19" t="s">
        <v>126</v>
      </c>
      <c r="I104" s="19" t="s">
        <v>126</v>
      </c>
      <c r="J104" s="19" t="s">
        <v>126</v>
      </c>
      <c r="K104" s="19" t="s">
        <v>126</v>
      </c>
      <c r="L104" s="19" t="s">
        <v>126</v>
      </c>
      <c r="M104" s="19" t="s">
        <v>126</v>
      </c>
      <c r="N104" s="19" t="s">
        <v>126</v>
      </c>
      <c r="O104" s="19" t="s">
        <v>126</v>
      </c>
      <c r="P104" s="19" t="s">
        <v>126</v>
      </c>
      <c r="Q104" s="18">
        <v>245</v>
      </c>
      <c r="R104" s="11" t="s">
        <v>144</v>
      </c>
      <c r="S104" s="19" t="s">
        <v>49</v>
      </c>
      <c r="T104" s="19" t="s">
        <v>36</v>
      </c>
      <c r="U104" s="19" t="s">
        <v>36</v>
      </c>
      <c r="V104" s="19">
        <v>19</v>
      </c>
      <c r="W104" s="19" t="s">
        <v>126</v>
      </c>
      <c r="X104" s="19" t="s">
        <v>126</v>
      </c>
      <c r="Y104" s="19" t="s">
        <v>126</v>
      </c>
      <c r="Z104" s="19" t="s">
        <v>126</v>
      </c>
      <c r="AA104" s="19" t="s">
        <v>126</v>
      </c>
      <c r="AB104" s="19" t="s">
        <v>126</v>
      </c>
      <c r="AC104" s="19" t="s">
        <v>126</v>
      </c>
      <c r="AD104" s="19" t="s">
        <v>126</v>
      </c>
      <c r="AE104" s="19" t="s">
        <v>126</v>
      </c>
      <c r="AF104" s="19" t="s">
        <v>126</v>
      </c>
      <c r="AG104" s="19" t="s">
        <v>126</v>
      </c>
      <c r="AH104" s="19" t="s">
        <v>126</v>
      </c>
      <c r="AI104" s="5" t="e">
        <f t="shared" si="7"/>
        <v>#VALUE!</v>
      </c>
      <c r="AJ104" s="5" t="e">
        <f t="shared" si="8"/>
        <v>#VALUE!</v>
      </c>
      <c r="AK104" s="5" t="e">
        <f t="shared" si="9"/>
        <v>#VALUE!</v>
      </c>
      <c r="AL104" s="5" t="e">
        <f t="shared" si="10"/>
        <v>#VALUE!</v>
      </c>
      <c r="AM104" s="5" t="e">
        <f t="shared" si="11"/>
        <v>#VALUE!</v>
      </c>
    </row>
    <row r="105" spans="1:39" ht="15" customHeight="1" thickBot="1" x14ac:dyDescent="0.35">
      <c r="A105" s="5">
        <f t="shared" si="6"/>
        <v>0</v>
      </c>
      <c r="B105" s="18">
        <v>246</v>
      </c>
      <c r="C105" s="11" t="s">
        <v>145</v>
      </c>
      <c r="D105" s="19" t="s">
        <v>49</v>
      </c>
      <c r="E105" s="19" t="s">
        <v>36</v>
      </c>
      <c r="F105" s="19" t="s">
        <v>36</v>
      </c>
      <c r="G105" s="19">
        <v>18</v>
      </c>
      <c r="H105" s="19" t="s">
        <v>126</v>
      </c>
      <c r="I105" s="19" t="s">
        <v>126</v>
      </c>
      <c r="J105" s="19" t="s">
        <v>126</v>
      </c>
      <c r="K105" s="19" t="s">
        <v>126</v>
      </c>
      <c r="L105" s="19" t="s">
        <v>126</v>
      </c>
      <c r="M105" s="19" t="s">
        <v>126</v>
      </c>
      <c r="N105" s="19" t="s">
        <v>126</v>
      </c>
      <c r="O105" s="19" t="s">
        <v>126</v>
      </c>
      <c r="P105" s="19" t="s">
        <v>126</v>
      </c>
      <c r="Q105" s="18">
        <v>246</v>
      </c>
      <c r="R105" s="11" t="s">
        <v>145</v>
      </c>
      <c r="S105" s="19" t="s">
        <v>49</v>
      </c>
      <c r="T105" s="19" t="s">
        <v>36</v>
      </c>
      <c r="U105" s="19" t="s">
        <v>36</v>
      </c>
      <c r="V105" s="19">
        <v>18</v>
      </c>
      <c r="W105" s="19" t="s">
        <v>126</v>
      </c>
      <c r="X105" s="19" t="s">
        <v>126</v>
      </c>
      <c r="Y105" s="19" t="s">
        <v>126</v>
      </c>
      <c r="Z105" s="19" t="s">
        <v>126</v>
      </c>
      <c r="AA105" s="19" t="s">
        <v>126</v>
      </c>
      <c r="AB105" s="19" t="s">
        <v>126</v>
      </c>
      <c r="AC105" s="19" t="s">
        <v>126</v>
      </c>
      <c r="AD105" s="19" t="s">
        <v>126</v>
      </c>
      <c r="AE105" s="19" t="s">
        <v>126</v>
      </c>
      <c r="AF105" s="19" t="s">
        <v>126</v>
      </c>
      <c r="AG105" s="19" t="s">
        <v>126</v>
      </c>
      <c r="AH105" s="19" t="s">
        <v>126</v>
      </c>
      <c r="AI105" s="5" t="e">
        <f t="shared" si="7"/>
        <v>#VALUE!</v>
      </c>
      <c r="AJ105" s="5" t="e">
        <f t="shared" si="8"/>
        <v>#VALUE!</v>
      </c>
      <c r="AK105" s="5" t="e">
        <f t="shared" si="9"/>
        <v>#VALUE!</v>
      </c>
      <c r="AL105" s="5" t="e">
        <f t="shared" si="10"/>
        <v>#VALUE!</v>
      </c>
      <c r="AM105" s="5" t="e">
        <f t="shared" si="11"/>
        <v>#VALUE!</v>
      </c>
    </row>
    <row r="106" spans="1:39" ht="15" customHeight="1" thickBot="1" x14ac:dyDescent="0.35">
      <c r="A106" s="5">
        <f t="shared" si="6"/>
        <v>0</v>
      </c>
      <c r="B106" s="16">
        <v>247</v>
      </c>
      <c r="C106" s="10" t="s">
        <v>146</v>
      </c>
      <c r="D106" s="17" t="s">
        <v>49</v>
      </c>
      <c r="E106" s="17" t="s">
        <v>36</v>
      </c>
      <c r="F106" s="17" t="s">
        <v>36</v>
      </c>
      <c r="G106" s="17">
        <v>22</v>
      </c>
      <c r="H106" s="17" t="s">
        <v>126</v>
      </c>
      <c r="I106" s="17" t="s">
        <v>126</v>
      </c>
      <c r="J106" s="17" t="s">
        <v>126</v>
      </c>
      <c r="K106" s="17" t="s">
        <v>126</v>
      </c>
      <c r="L106" s="17" t="s">
        <v>126</v>
      </c>
      <c r="M106" s="17" t="s">
        <v>126</v>
      </c>
      <c r="N106" s="17" t="s">
        <v>126</v>
      </c>
      <c r="O106" s="17" t="s">
        <v>126</v>
      </c>
      <c r="P106" s="17" t="s">
        <v>126</v>
      </c>
      <c r="Q106" s="16">
        <v>247</v>
      </c>
      <c r="R106" s="10" t="s">
        <v>146</v>
      </c>
      <c r="S106" s="17" t="s">
        <v>49</v>
      </c>
      <c r="T106" s="17" t="s">
        <v>36</v>
      </c>
      <c r="U106" s="17" t="s">
        <v>36</v>
      </c>
      <c r="V106" s="17">
        <v>22</v>
      </c>
      <c r="W106" s="17" t="s">
        <v>126</v>
      </c>
      <c r="X106" s="17" t="s">
        <v>126</v>
      </c>
      <c r="Y106" s="17" t="s">
        <v>126</v>
      </c>
      <c r="Z106" s="17" t="s">
        <v>126</v>
      </c>
      <c r="AA106" s="17" t="s">
        <v>126</v>
      </c>
      <c r="AB106" s="17" t="s">
        <v>126</v>
      </c>
      <c r="AC106" s="17" t="s">
        <v>126</v>
      </c>
      <c r="AD106" s="17" t="s">
        <v>126</v>
      </c>
      <c r="AE106" s="17" t="s">
        <v>126</v>
      </c>
      <c r="AF106" s="17" t="s">
        <v>126</v>
      </c>
      <c r="AG106" s="17" t="s">
        <v>126</v>
      </c>
      <c r="AH106" s="17" t="s">
        <v>126</v>
      </c>
      <c r="AI106" s="5" t="e">
        <f t="shared" si="7"/>
        <v>#VALUE!</v>
      </c>
      <c r="AJ106" s="5" t="e">
        <f t="shared" si="8"/>
        <v>#VALUE!</v>
      </c>
      <c r="AK106" s="5" t="e">
        <f t="shared" si="9"/>
        <v>#VALUE!</v>
      </c>
      <c r="AL106" s="5" t="e">
        <f t="shared" si="10"/>
        <v>#VALUE!</v>
      </c>
      <c r="AM106" s="5" t="e">
        <f t="shared" si="11"/>
        <v>#VALUE!</v>
      </c>
    </row>
    <row r="107" spans="1:39" ht="15" customHeight="1" thickBot="1" x14ac:dyDescent="0.35">
      <c r="A107" s="5">
        <f t="shared" si="6"/>
        <v>0</v>
      </c>
      <c r="B107" s="16">
        <v>248</v>
      </c>
      <c r="C107" s="10" t="s">
        <v>147</v>
      </c>
      <c r="D107" s="17" t="s">
        <v>49</v>
      </c>
      <c r="E107" s="17" t="s">
        <v>36</v>
      </c>
      <c r="F107" s="17" t="s">
        <v>36</v>
      </c>
      <c r="G107" s="17">
        <v>19</v>
      </c>
      <c r="H107" s="17" t="s">
        <v>126</v>
      </c>
      <c r="I107" s="17" t="s">
        <v>126</v>
      </c>
      <c r="J107" s="17" t="s">
        <v>126</v>
      </c>
      <c r="K107" s="17" t="s">
        <v>126</v>
      </c>
      <c r="L107" s="17" t="s">
        <v>126</v>
      </c>
      <c r="M107" s="17" t="s">
        <v>126</v>
      </c>
      <c r="N107" s="17" t="s">
        <v>126</v>
      </c>
      <c r="O107" s="17" t="s">
        <v>126</v>
      </c>
      <c r="P107" s="17" t="s">
        <v>126</v>
      </c>
      <c r="Q107" s="16">
        <v>248</v>
      </c>
      <c r="R107" s="10" t="s">
        <v>147</v>
      </c>
      <c r="S107" s="17" t="s">
        <v>49</v>
      </c>
      <c r="T107" s="17" t="s">
        <v>36</v>
      </c>
      <c r="U107" s="17" t="s">
        <v>36</v>
      </c>
      <c r="V107" s="17">
        <v>19</v>
      </c>
      <c r="W107" s="17" t="s">
        <v>126</v>
      </c>
      <c r="X107" s="17" t="s">
        <v>126</v>
      </c>
      <c r="Y107" s="17" t="s">
        <v>126</v>
      </c>
      <c r="Z107" s="17" t="s">
        <v>126</v>
      </c>
      <c r="AA107" s="17" t="s">
        <v>126</v>
      </c>
      <c r="AB107" s="17" t="s">
        <v>126</v>
      </c>
      <c r="AC107" s="17" t="s">
        <v>126</v>
      </c>
      <c r="AD107" s="17" t="s">
        <v>126</v>
      </c>
      <c r="AE107" s="17" t="s">
        <v>126</v>
      </c>
      <c r="AF107" s="17" t="s">
        <v>126</v>
      </c>
      <c r="AG107" s="17" t="s">
        <v>126</v>
      </c>
      <c r="AH107" s="17" t="s">
        <v>126</v>
      </c>
      <c r="AI107" s="5" t="e">
        <f t="shared" si="7"/>
        <v>#VALUE!</v>
      </c>
      <c r="AJ107" s="5" t="e">
        <f t="shared" si="8"/>
        <v>#VALUE!</v>
      </c>
      <c r="AK107" s="5" t="e">
        <f t="shared" si="9"/>
        <v>#VALUE!</v>
      </c>
      <c r="AL107" s="5" t="e">
        <f t="shared" si="10"/>
        <v>#VALUE!</v>
      </c>
      <c r="AM107" s="5" t="e">
        <f t="shared" si="11"/>
        <v>#VALUE!</v>
      </c>
    </row>
    <row r="108" spans="1:39" ht="15" customHeight="1" thickBot="1" x14ac:dyDescent="0.35">
      <c r="A108" s="5">
        <f t="shared" si="6"/>
        <v>0</v>
      </c>
      <c r="B108" s="18">
        <v>249</v>
      </c>
      <c r="C108" s="11" t="s">
        <v>148</v>
      </c>
      <c r="D108" s="19" t="s">
        <v>49</v>
      </c>
      <c r="E108" s="19" t="s">
        <v>36</v>
      </c>
      <c r="F108" s="19" t="s">
        <v>36</v>
      </c>
      <c r="G108" s="19">
        <v>19</v>
      </c>
      <c r="H108" s="19" t="s">
        <v>126</v>
      </c>
      <c r="I108" s="19" t="s">
        <v>126</v>
      </c>
      <c r="J108" s="19" t="s">
        <v>126</v>
      </c>
      <c r="K108" s="19" t="s">
        <v>126</v>
      </c>
      <c r="L108" s="19" t="s">
        <v>126</v>
      </c>
      <c r="M108" s="19" t="s">
        <v>126</v>
      </c>
      <c r="N108" s="19" t="s">
        <v>126</v>
      </c>
      <c r="O108" s="19" t="s">
        <v>126</v>
      </c>
      <c r="P108" s="19" t="s">
        <v>126</v>
      </c>
      <c r="Q108" s="18">
        <v>249</v>
      </c>
      <c r="R108" s="11" t="s">
        <v>148</v>
      </c>
      <c r="S108" s="19" t="s">
        <v>49</v>
      </c>
      <c r="T108" s="19" t="s">
        <v>36</v>
      </c>
      <c r="U108" s="19" t="s">
        <v>36</v>
      </c>
      <c r="V108" s="19">
        <v>19</v>
      </c>
      <c r="W108" s="19" t="s">
        <v>126</v>
      </c>
      <c r="X108" s="19" t="s">
        <v>126</v>
      </c>
      <c r="Y108" s="19" t="s">
        <v>126</v>
      </c>
      <c r="Z108" s="19" t="s">
        <v>126</v>
      </c>
      <c r="AA108" s="19" t="s">
        <v>126</v>
      </c>
      <c r="AB108" s="19" t="s">
        <v>126</v>
      </c>
      <c r="AC108" s="19" t="s">
        <v>126</v>
      </c>
      <c r="AD108" s="19" t="s">
        <v>126</v>
      </c>
      <c r="AE108" s="19" t="s">
        <v>126</v>
      </c>
      <c r="AF108" s="19" t="s">
        <v>126</v>
      </c>
      <c r="AG108" s="19" t="s">
        <v>126</v>
      </c>
      <c r="AH108" s="19" t="s">
        <v>126</v>
      </c>
      <c r="AI108" s="5" t="e">
        <f t="shared" si="7"/>
        <v>#VALUE!</v>
      </c>
      <c r="AJ108" s="5" t="e">
        <f t="shared" si="8"/>
        <v>#VALUE!</v>
      </c>
      <c r="AK108" s="5" t="e">
        <f t="shared" si="9"/>
        <v>#VALUE!</v>
      </c>
      <c r="AL108" s="5" t="e">
        <f t="shared" si="10"/>
        <v>#VALUE!</v>
      </c>
      <c r="AM108" s="5" t="e">
        <f t="shared" si="11"/>
        <v>#VALUE!</v>
      </c>
    </row>
    <row r="109" spans="1:39" ht="15" customHeight="1" thickBot="1" x14ac:dyDescent="0.35">
      <c r="A109" s="5">
        <f t="shared" si="6"/>
        <v>0</v>
      </c>
      <c r="B109" s="16">
        <v>250</v>
      </c>
      <c r="C109" s="10" t="s">
        <v>149</v>
      </c>
      <c r="D109" s="17" t="s">
        <v>49</v>
      </c>
      <c r="E109" s="17" t="s">
        <v>36</v>
      </c>
      <c r="F109" s="17" t="s">
        <v>36</v>
      </c>
      <c r="G109" s="17">
        <v>18</v>
      </c>
      <c r="H109" s="17" t="s">
        <v>126</v>
      </c>
      <c r="I109" s="17" t="s">
        <v>126</v>
      </c>
      <c r="J109" s="17" t="s">
        <v>126</v>
      </c>
      <c r="K109" s="17" t="s">
        <v>126</v>
      </c>
      <c r="L109" s="17" t="s">
        <v>126</v>
      </c>
      <c r="M109" s="17" t="s">
        <v>126</v>
      </c>
      <c r="N109" s="17" t="s">
        <v>126</v>
      </c>
      <c r="O109" s="17" t="s">
        <v>126</v>
      </c>
      <c r="P109" s="17" t="s">
        <v>126</v>
      </c>
      <c r="Q109" s="16">
        <v>250</v>
      </c>
      <c r="R109" s="10" t="s">
        <v>149</v>
      </c>
      <c r="S109" s="17" t="s">
        <v>49</v>
      </c>
      <c r="T109" s="17" t="s">
        <v>36</v>
      </c>
      <c r="U109" s="17" t="s">
        <v>36</v>
      </c>
      <c r="V109" s="17">
        <v>18</v>
      </c>
      <c r="W109" s="17" t="s">
        <v>126</v>
      </c>
      <c r="X109" s="17" t="s">
        <v>126</v>
      </c>
      <c r="Y109" s="17" t="s">
        <v>126</v>
      </c>
      <c r="Z109" s="17" t="s">
        <v>126</v>
      </c>
      <c r="AA109" s="17" t="s">
        <v>126</v>
      </c>
      <c r="AB109" s="17" t="s">
        <v>126</v>
      </c>
      <c r="AC109" s="17" t="s">
        <v>126</v>
      </c>
      <c r="AD109" s="17" t="s">
        <v>126</v>
      </c>
      <c r="AE109" s="17" t="s">
        <v>126</v>
      </c>
      <c r="AF109" s="17" t="s">
        <v>126</v>
      </c>
      <c r="AG109" s="17" t="s">
        <v>126</v>
      </c>
      <c r="AH109" s="17" t="s">
        <v>126</v>
      </c>
      <c r="AI109" s="5" t="e">
        <f t="shared" si="7"/>
        <v>#VALUE!</v>
      </c>
      <c r="AJ109" s="5" t="e">
        <f t="shared" si="8"/>
        <v>#VALUE!</v>
      </c>
      <c r="AK109" s="5" t="e">
        <f t="shared" si="9"/>
        <v>#VALUE!</v>
      </c>
      <c r="AL109" s="5" t="e">
        <f t="shared" si="10"/>
        <v>#VALUE!</v>
      </c>
      <c r="AM109" s="5" t="e">
        <f t="shared" si="11"/>
        <v>#VALUE!</v>
      </c>
    </row>
    <row r="110" spans="1:39" ht="15" customHeight="1" thickBot="1" x14ac:dyDescent="0.35">
      <c r="A110" s="5">
        <f t="shared" si="6"/>
        <v>0</v>
      </c>
      <c r="B110" s="18">
        <v>251</v>
      </c>
      <c r="C110" s="11" t="s">
        <v>150</v>
      </c>
      <c r="D110" s="19" t="s">
        <v>49</v>
      </c>
      <c r="E110" s="19" t="s">
        <v>47</v>
      </c>
      <c r="F110" s="19" t="s">
        <v>36</v>
      </c>
      <c r="G110" s="19">
        <v>18</v>
      </c>
      <c r="H110" s="19" t="s">
        <v>126</v>
      </c>
      <c r="I110" s="19" t="s">
        <v>126</v>
      </c>
      <c r="J110" s="19" t="s">
        <v>126</v>
      </c>
      <c r="K110" s="19" t="s">
        <v>126</v>
      </c>
      <c r="L110" s="19" t="s">
        <v>126</v>
      </c>
      <c r="M110" s="19" t="s">
        <v>126</v>
      </c>
      <c r="N110" s="19" t="s">
        <v>126</v>
      </c>
      <c r="O110" s="19" t="s">
        <v>126</v>
      </c>
      <c r="P110" s="19" t="s">
        <v>126</v>
      </c>
      <c r="Q110" s="18">
        <v>251</v>
      </c>
      <c r="R110" s="11" t="s">
        <v>150</v>
      </c>
      <c r="S110" s="19" t="s">
        <v>49</v>
      </c>
      <c r="T110" s="19" t="s">
        <v>47</v>
      </c>
      <c r="U110" s="19" t="s">
        <v>36</v>
      </c>
      <c r="V110" s="19">
        <v>18</v>
      </c>
      <c r="W110" s="19" t="s">
        <v>126</v>
      </c>
      <c r="X110" s="19" t="s">
        <v>126</v>
      </c>
      <c r="Y110" s="19" t="s">
        <v>126</v>
      </c>
      <c r="Z110" s="19" t="s">
        <v>126</v>
      </c>
      <c r="AA110" s="19" t="s">
        <v>126</v>
      </c>
      <c r="AB110" s="19" t="s">
        <v>126</v>
      </c>
      <c r="AC110" s="19" t="s">
        <v>126</v>
      </c>
      <c r="AD110" s="19" t="s">
        <v>126</v>
      </c>
      <c r="AE110" s="19" t="s">
        <v>126</v>
      </c>
      <c r="AF110" s="19" t="s">
        <v>126</v>
      </c>
      <c r="AG110" s="19" t="s">
        <v>126</v>
      </c>
      <c r="AH110" s="19" t="s">
        <v>126</v>
      </c>
      <c r="AI110" s="5" t="e">
        <f t="shared" si="7"/>
        <v>#VALUE!</v>
      </c>
      <c r="AJ110" s="5" t="e">
        <f t="shared" si="8"/>
        <v>#VALUE!</v>
      </c>
      <c r="AK110" s="5" t="e">
        <f t="shared" si="9"/>
        <v>#VALUE!</v>
      </c>
      <c r="AL110" s="5" t="e">
        <f t="shared" si="10"/>
        <v>#VALUE!</v>
      </c>
      <c r="AM110" s="5" t="e">
        <f t="shared" si="11"/>
        <v>#VALUE!</v>
      </c>
    </row>
    <row r="111" spans="1:39" ht="15" customHeight="1" thickBot="1" x14ac:dyDescent="0.35">
      <c r="A111" s="5">
        <f t="shared" si="6"/>
        <v>0</v>
      </c>
      <c r="B111" s="18">
        <v>252</v>
      </c>
      <c r="C111" s="11" t="s">
        <v>151</v>
      </c>
      <c r="D111" s="19" t="s">
        <v>49</v>
      </c>
      <c r="E111" s="19" t="s">
        <v>46</v>
      </c>
      <c r="F111" s="19" t="s">
        <v>36</v>
      </c>
      <c r="G111" s="19">
        <v>22</v>
      </c>
      <c r="H111" s="19" t="s">
        <v>126</v>
      </c>
      <c r="I111" s="19" t="s">
        <v>126</v>
      </c>
      <c r="J111" s="19" t="s">
        <v>126</v>
      </c>
      <c r="K111" s="19" t="s">
        <v>126</v>
      </c>
      <c r="L111" s="19" t="s">
        <v>126</v>
      </c>
      <c r="M111" s="19" t="s">
        <v>126</v>
      </c>
      <c r="N111" s="19" t="s">
        <v>126</v>
      </c>
      <c r="O111" s="19" t="s">
        <v>126</v>
      </c>
      <c r="P111" s="19" t="s">
        <v>126</v>
      </c>
      <c r="Q111" s="18">
        <v>252</v>
      </c>
      <c r="R111" s="11" t="s">
        <v>151</v>
      </c>
      <c r="S111" s="19" t="s">
        <v>49</v>
      </c>
      <c r="T111" s="19" t="s">
        <v>46</v>
      </c>
      <c r="U111" s="19" t="s">
        <v>36</v>
      </c>
      <c r="V111" s="19">
        <v>22</v>
      </c>
      <c r="W111" s="19" t="s">
        <v>126</v>
      </c>
      <c r="X111" s="19" t="s">
        <v>126</v>
      </c>
      <c r="Y111" s="19" t="s">
        <v>126</v>
      </c>
      <c r="Z111" s="19" t="s">
        <v>126</v>
      </c>
      <c r="AA111" s="19" t="s">
        <v>126</v>
      </c>
      <c r="AB111" s="19" t="s">
        <v>126</v>
      </c>
      <c r="AC111" s="19" t="s">
        <v>126</v>
      </c>
      <c r="AD111" s="19" t="s">
        <v>126</v>
      </c>
      <c r="AE111" s="19" t="s">
        <v>126</v>
      </c>
      <c r="AF111" s="19" t="s">
        <v>126</v>
      </c>
      <c r="AG111" s="19" t="s">
        <v>126</v>
      </c>
      <c r="AH111" s="19" t="s">
        <v>126</v>
      </c>
      <c r="AI111" s="5" t="e">
        <f t="shared" si="7"/>
        <v>#VALUE!</v>
      </c>
      <c r="AJ111" s="5" t="e">
        <f t="shared" si="8"/>
        <v>#VALUE!</v>
      </c>
      <c r="AK111" s="5" t="e">
        <f t="shared" si="9"/>
        <v>#VALUE!</v>
      </c>
      <c r="AL111" s="5" t="e">
        <f t="shared" si="10"/>
        <v>#VALUE!</v>
      </c>
      <c r="AM111" s="5" t="e">
        <f t="shared" si="11"/>
        <v>#VALUE!</v>
      </c>
    </row>
    <row r="112" spans="1:39" ht="15" customHeight="1" thickBot="1" x14ac:dyDescent="0.35">
      <c r="A112" s="5">
        <f t="shared" si="6"/>
        <v>0</v>
      </c>
      <c r="B112" s="16">
        <v>253</v>
      </c>
      <c r="C112" s="10" t="s">
        <v>152</v>
      </c>
      <c r="D112" s="17" t="s">
        <v>49</v>
      </c>
      <c r="E112" s="17" t="s">
        <v>36</v>
      </c>
      <c r="F112" s="17" t="s">
        <v>36</v>
      </c>
      <c r="G112" s="17">
        <v>20</v>
      </c>
      <c r="H112" s="17" t="s">
        <v>126</v>
      </c>
      <c r="I112" s="17" t="s">
        <v>126</v>
      </c>
      <c r="J112" s="17" t="s">
        <v>126</v>
      </c>
      <c r="K112" s="17" t="s">
        <v>126</v>
      </c>
      <c r="L112" s="17" t="s">
        <v>126</v>
      </c>
      <c r="M112" s="17" t="s">
        <v>126</v>
      </c>
      <c r="N112" s="17" t="s">
        <v>126</v>
      </c>
      <c r="O112" s="17" t="s">
        <v>126</v>
      </c>
      <c r="P112" s="17" t="s">
        <v>126</v>
      </c>
      <c r="Q112" s="16">
        <v>253</v>
      </c>
      <c r="R112" s="10" t="s">
        <v>152</v>
      </c>
      <c r="S112" s="17" t="s">
        <v>49</v>
      </c>
      <c r="T112" s="17" t="s">
        <v>36</v>
      </c>
      <c r="U112" s="17" t="s">
        <v>36</v>
      </c>
      <c r="V112" s="17">
        <v>20</v>
      </c>
      <c r="W112" s="17" t="s">
        <v>126</v>
      </c>
      <c r="X112" s="17" t="s">
        <v>126</v>
      </c>
      <c r="Y112" s="17" t="s">
        <v>126</v>
      </c>
      <c r="Z112" s="17" t="s">
        <v>126</v>
      </c>
      <c r="AA112" s="17" t="s">
        <v>126</v>
      </c>
      <c r="AB112" s="17" t="s">
        <v>126</v>
      </c>
      <c r="AC112" s="17" t="s">
        <v>126</v>
      </c>
      <c r="AD112" s="17" t="s">
        <v>126</v>
      </c>
      <c r="AE112" s="17" t="s">
        <v>126</v>
      </c>
      <c r="AF112" s="17" t="s">
        <v>126</v>
      </c>
      <c r="AG112" s="17" t="s">
        <v>126</v>
      </c>
      <c r="AH112" s="17" t="s">
        <v>126</v>
      </c>
      <c r="AI112" s="5" t="e">
        <f t="shared" si="7"/>
        <v>#VALUE!</v>
      </c>
      <c r="AJ112" s="5" t="e">
        <f t="shared" si="8"/>
        <v>#VALUE!</v>
      </c>
      <c r="AK112" s="5" t="e">
        <f t="shared" si="9"/>
        <v>#VALUE!</v>
      </c>
      <c r="AL112" s="5" t="e">
        <f t="shared" si="10"/>
        <v>#VALUE!</v>
      </c>
      <c r="AM112" s="5" t="e">
        <f t="shared" si="11"/>
        <v>#VALUE!</v>
      </c>
    </row>
    <row r="113" spans="1:39" ht="15" customHeight="1" thickBot="1" x14ac:dyDescent="0.35">
      <c r="A113" s="5">
        <f t="shared" si="6"/>
        <v>0</v>
      </c>
      <c r="B113" s="16">
        <v>254</v>
      </c>
      <c r="C113" s="10" t="s">
        <v>153</v>
      </c>
      <c r="D113" s="17" t="s">
        <v>49</v>
      </c>
      <c r="E113" s="17" t="s">
        <v>36</v>
      </c>
      <c r="F113" s="17" t="s">
        <v>36</v>
      </c>
      <c r="G113" s="17">
        <v>21</v>
      </c>
      <c r="H113" s="17" t="s">
        <v>126</v>
      </c>
      <c r="I113" s="17" t="s">
        <v>126</v>
      </c>
      <c r="J113" s="17" t="s">
        <v>126</v>
      </c>
      <c r="K113" s="17" t="s">
        <v>126</v>
      </c>
      <c r="L113" s="17" t="s">
        <v>126</v>
      </c>
      <c r="M113" s="17" t="s">
        <v>126</v>
      </c>
      <c r="N113" s="17" t="s">
        <v>126</v>
      </c>
      <c r="O113" s="17" t="s">
        <v>126</v>
      </c>
      <c r="P113" s="17" t="s">
        <v>126</v>
      </c>
      <c r="Q113" s="16">
        <v>254</v>
      </c>
      <c r="R113" s="10" t="s">
        <v>153</v>
      </c>
      <c r="S113" s="17" t="s">
        <v>49</v>
      </c>
      <c r="T113" s="17" t="s">
        <v>36</v>
      </c>
      <c r="U113" s="17" t="s">
        <v>36</v>
      </c>
      <c r="V113" s="17">
        <v>21</v>
      </c>
      <c r="W113" s="17" t="s">
        <v>126</v>
      </c>
      <c r="X113" s="17" t="s">
        <v>126</v>
      </c>
      <c r="Y113" s="17" t="s">
        <v>126</v>
      </c>
      <c r="Z113" s="17" t="s">
        <v>126</v>
      </c>
      <c r="AA113" s="17" t="s">
        <v>126</v>
      </c>
      <c r="AB113" s="17" t="s">
        <v>126</v>
      </c>
      <c r="AC113" s="17" t="s">
        <v>126</v>
      </c>
      <c r="AD113" s="17" t="s">
        <v>126</v>
      </c>
      <c r="AE113" s="17" t="s">
        <v>126</v>
      </c>
      <c r="AF113" s="17" t="s">
        <v>126</v>
      </c>
      <c r="AG113" s="17" t="s">
        <v>126</v>
      </c>
      <c r="AH113" s="17" t="s">
        <v>126</v>
      </c>
      <c r="AI113" s="5" t="e">
        <f t="shared" si="7"/>
        <v>#VALUE!</v>
      </c>
      <c r="AJ113" s="5" t="e">
        <f t="shared" si="8"/>
        <v>#VALUE!</v>
      </c>
      <c r="AK113" s="5" t="e">
        <f t="shared" si="9"/>
        <v>#VALUE!</v>
      </c>
      <c r="AL113" s="5" t="e">
        <f t="shared" si="10"/>
        <v>#VALUE!</v>
      </c>
      <c r="AM113" s="5" t="e">
        <f t="shared" si="11"/>
        <v>#VALUE!</v>
      </c>
    </row>
    <row r="114" spans="1:39" ht="15" customHeight="1" thickBot="1" x14ac:dyDescent="0.35">
      <c r="A114" s="5">
        <f t="shared" si="6"/>
        <v>0</v>
      </c>
      <c r="B114" s="16">
        <v>255</v>
      </c>
      <c r="C114" s="10" t="s">
        <v>154</v>
      </c>
      <c r="D114" s="17" t="s">
        <v>35</v>
      </c>
      <c r="E114" s="17" t="s">
        <v>46</v>
      </c>
      <c r="F114" s="17" t="s">
        <v>36</v>
      </c>
      <c r="G114" s="17">
        <v>18</v>
      </c>
      <c r="H114" s="17" t="s">
        <v>126</v>
      </c>
      <c r="I114" s="17" t="s">
        <v>126</v>
      </c>
      <c r="J114" s="17" t="s">
        <v>126</v>
      </c>
      <c r="K114" s="17" t="s">
        <v>126</v>
      </c>
      <c r="L114" s="17" t="s">
        <v>126</v>
      </c>
      <c r="M114" s="17" t="s">
        <v>126</v>
      </c>
      <c r="N114" s="17" t="s">
        <v>126</v>
      </c>
      <c r="O114" s="17" t="s">
        <v>126</v>
      </c>
      <c r="P114" s="17" t="s">
        <v>126</v>
      </c>
      <c r="Q114" s="16">
        <v>255</v>
      </c>
      <c r="R114" s="10" t="s">
        <v>154</v>
      </c>
      <c r="S114" s="17" t="s">
        <v>35</v>
      </c>
      <c r="T114" s="17" t="s">
        <v>46</v>
      </c>
      <c r="U114" s="17" t="s">
        <v>36</v>
      </c>
      <c r="V114" s="17">
        <v>18</v>
      </c>
      <c r="W114" s="17" t="s">
        <v>126</v>
      </c>
      <c r="X114" s="17" t="s">
        <v>126</v>
      </c>
      <c r="Y114" s="17" t="s">
        <v>126</v>
      </c>
      <c r="Z114" s="17" t="s">
        <v>126</v>
      </c>
      <c r="AA114" s="17" t="s">
        <v>126</v>
      </c>
      <c r="AB114" s="17" t="s">
        <v>126</v>
      </c>
      <c r="AC114" s="17" t="s">
        <v>126</v>
      </c>
      <c r="AD114" s="17" t="s">
        <v>126</v>
      </c>
      <c r="AE114" s="17" t="s">
        <v>126</v>
      </c>
      <c r="AF114" s="17" t="s">
        <v>126</v>
      </c>
      <c r="AG114" s="17" t="s">
        <v>126</v>
      </c>
      <c r="AH114" s="17" t="s">
        <v>126</v>
      </c>
      <c r="AI114" s="5" t="e">
        <f t="shared" si="7"/>
        <v>#VALUE!</v>
      </c>
      <c r="AJ114" s="5" t="e">
        <f t="shared" si="8"/>
        <v>#VALUE!</v>
      </c>
      <c r="AK114" s="5" t="e">
        <f t="shared" si="9"/>
        <v>#VALUE!</v>
      </c>
      <c r="AL114" s="5" t="e">
        <f t="shared" si="10"/>
        <v>#VALUE!</v>
      </c>
      <c r="AM114" s="5" t="e">
        <f t="shared" si="11"/>
        <v>#VALUE!</v>
      </c>
    </row>
    <row r="115" spans="1:39" ht="15" customHeight="1" thickBot="1" x14ac:dyDescent="0.35">
      <c r="A115" s="5">
        <f t="shared" si="6"/>
        <v>0</v>
      </c>
      <c r="B115" s="16">
        <v>256</v>
      </c>
      <c r="C115" s="10" t="s">
        <v>155</v>
      </c>
      <c r="D115" s="17" t="s">
        <v>35</v>
      </c>
      <c r="E115" s="17" t="s">
        <v>36</v>
      </c>
      <c r="F115" s="17" t="s">
        <v>36</v>
      </c>
      <c r="G115" s="17">
        <v>18</v>
      </c>
      <c r="H115" s="17" t="s">
        <v>126</v>
      </c>
      <c r="I115" s="17" t="s">
        <v>126</v>
      </c>
      <c r="J115" s="17" t="s">
        <v>126</v>
      </c>
      <c r="K115" s="17" t="s">
        <v>126</v>
      </c>
      <c r="L115" s="17" t="s">
        <v>126</v>
      </c>
      <c r="M115" s="17" t="s">
        <v>126</v>
      </c>
      <c r="N115" s="17" t="s">
        <v>126</v>
      </c>
      <c r="O115" s="17" t="s">
        <v>126</v>
      </c>
      <c r="P115" s="17" t="s">
        <v>126</v>
      </c>
      <c r="Q115" s="16">
        <v>256</v>
      </c>
      <c r="R115" s="10" t="s">
        <v>155</v>
      </c>
      <c r="S115" s="17" t="s">
        <v>35</v>
      </c>
      <c r="T115" s="17" t="s">
        <v>36</v>
      </c>
      <c r="U115" s="17" t="s">
        <v>36</v>
      </c>
      <c r="V115" s="17">
        <v>18</v>
      </c>
      <c r="W115" s="17" t="s">
        <v>126</v>
      </c>
      <c r="X115" s="17" t="s">
        <v>126</v>
      </c>
      <c r="Y115" s="17" t="s">
        <v>126</v>
      </c>
      <c r="Z115" s="17" t="s">
        <v>126</v>
      </c>
      <c r="AA115" s="17" t="s">
        <v>126</v>
      </c>
      <c r="AB115" s="17" t="s">
        <v>126</v>
      </c>
      <c r="AC115" s="17" t="s">
        <v>126</v>
      </c>
      <c r="AD115" s="17" t="s">
        <v>126</v>
      </c>
      <c r="AE115" s="17" t="s">
        <v>126</v>
      </c>
      <c r="AF115" s="17" t="s">
        <v>126</v>
      </c>
      <c r="AG115" s="17" t="s">
        <v>126</v>
      </c>
      <c r="AH115" s="17" t="s">
        <v>126</v>
      </c>
      <c r="AI115" s="5" t="e">
        <f t="shared" si="7"/>
        <v>#VALUE!</v>
      </c>
      <c r="AJ115" s="5" t="e">
        <f t="shared" si="8"/>
        <v>#VALUE!</v>
      </c>
      <c r="AK115" s="5" t="e">
        <f t="shared" si="9"/>
        <v>#VALUE!</v>
      </c>
      <c r="AL115" s="5" t="e">
        <f t="shared" si="10"/>
        <v>#VALUE!</v>
      </c>
      <c r="AM115" s="5" t="e">
        <f t="shared" si="11"/>
        <v>#VALUE!</v>
      </c>
    </row>
    <row r="116" spans="1:39" ht="15" customHeight="1" thickBot="1" x14ac:dyDescent="0.35">
      <c r="A116" s="5">
        <f t="shared" si="6"/>
        <v>0</v>
      </c>
      <c r="B116" s="18">
        <v>257</v>
      </c>
      <c r="C116" s="11" t="s">
        <v>156</v>
      </c>
      <c r="D116" s="19" t="s">
        <v>35</v>
      </c>
      <c r="E116" s="19" t="s">
        <v>36</v>
      </c>
      <c r="F116" s="19" t="s">
        <v>36</v>
      </c>
      <c r="G116" s="19">
        <v>22</v>
      </c>
      <c r="H116" s="19" t="s">
        <v>126</v>
      </c>
      <c r="I116" s="19" t="s">
        <v>126</v>
      </c>
      <c r="J116" s="19" t="s">
        <v>126</v>
      </c>
      <c r="K116" s="19" t="s">
        <v>126</v>
      </c>
      <c r="L116" s="19" t="s">
        <v>126</v>
      </c>
      <c r="M116" s="19" t="s">
        <v>126</v>
      </c>
      <c r="N116" s="19" t="s">
        <v>126</v>
      </c>
      <c r="O116" s="19" t="s">
        <v>126</v>
      </c>
      <c r="P116" s="19" t="s">
        <v>126</v>
      </c>
      <c r="Q116" s="18">
        <v>257</v>
      </c>
      <c r="R116" s="11" t="s">
        <v>156</v>
      </c>
      <c r="S116" s="19" t="s">
        <v>35</v>
      </c>
      <c r="T116" s="19" t="s">
        <v>36</v>
      </c>
      <c r="U116" s="19" t="s">
        <v>36</v>
      </c>
      <c r="V116" s="19">
        <v>22</v>
      </c>
      <c r="W116" s="19" t="s">
        <v>126</v>
      </c>
      <c r="X116" s="19" t="s">
        <v>126</v>
      </c>
      <c r="Y116" s="19" t="s">
        <v>126</v>
      </c>
      <c r="Z116" s="19" t="s">
        <v>126</v>
      </c>
      <c r="AA116" s="19" t="s">
        <v>126</v>
      </c>
      <c r="AB116" s="19" t="s">
        <v>126</v>
      </c>
      <c r="AC116" s="19" t="s">
        <v>126</v>
      </c>
      <c r="AD116" s="19" t="s">
        <v>126</v>
      </c>
      <c r="AE116" s="19" t="s">
        <v>126</v>
      </c>
      <c r="AF116" s="19" t="s">
        <v>126</v>
      </c>
      <c r="AG116" s="19" t="s">
        <v>126</v>
      </c>
      <c r="AH116" s="19" t="s">
        <v>126</v>
      </c>
      <c r="AI116" s="5" t="e">
        <f t="shared" si="7"/>
        <v>#VALUE!</v>
      </c>
      <c r="AJ116" s="5" t="e">
        <f t="shared" si="8"/>
        <v>#VALUE!</v>
      </c>
      <c r="AK116" s="5" t="e">
        <f t="shared" si="9"/>
        <v>#VALUE!</v>
      </c>
      <c r="AL116" s="5" t="e">
        <f t="shared" si="10"/>
        <v>#VALUE!</v>
      </c>
      <c r="AM116" s="5" t="e">
        <f t="shared" si="11"/>
        <v>#VALUE!</v>
      </c>
    </row>
    <row r="117" spans="1:39" ht="15" customHeight="1" thickBot="1" x14ac:dyDescent="0.35">
      <c r="A117" s="5">
        <f t="shared" si="6"/>
        <v>0</v>
      </c>
      <c r="B117" s="16">
        <v>258</v>
      </c>
      <c r="C117" s="10" t="s">
        <v>157</v>
      </c>
      <c r="D117" s="17" t="s">
        <v>35</v>
      </c>
      <c r="E117" s="17" t="s">
        <v>36</v>
      </c>
      <c r="F117" s="17" t="s">
        <v>36</v>
      </c>
      <c r="G117" s="17">
        <v>19</v>
      </c>
      <c r="H117" s="17" t="s">
        <v>126</v>
      </c>
      <c r="I117" s="17" t="s">
        <v>126</v>
      </c>
      <c r="J117" s="17" t="s">
        <v>126</v>
      </c>
      <c r="K117" s="17" t="s">
        <v>126</v>
      </c>
      <c r="L117" s="17" t="s">
        <v>126</v>
      </c>
      <c r="M117" s="17" t="s">
        <v>126</v>
      </c>
      <c r="N117" s="17" t="s">
        <v>126</v>
      </c>
      <c r="O117" s="17" t="s">
        <v>126</v>
      </c>
      <c r="P117" s="17" t="s">
        <v>126</v>
      </c>
      <c r="Q117" s="16">
        <v>258</v>
      </c>
      <c r="R117" s="10" t="s">
        <v>157</v>
      </c>
      <c r="S117" s="17" t="s">
        <v>35</v>
      </c>
      <c r="T117" s="17" t="s">
        <v>36</v>
      </c>
      <c r="U117" s="17" t="s">
        <v>36</v>
      </c>
      <c r="V117" s="17">
        <v>19</v>
      </c>
      <c r="W117" s="17" t="s">
        <v>126</v>
      </c>
      <c r="X117" s="17" t="s">
        <v>126</v>
      </c>
      <c r="Y117" s="17" t="s">
        <v>126</v>
      </c>
      <c r="Z117" s="17" t="s">
        <v>126</v>
      </c>
      <c r="AA117" s="17" t="s">
        <v>126</v>
      </c>
      <c r="AB117" s="17" t="s">
        <v>126</v>
      </c>
      <c r="AC117" s="17" t="s">
        <v>126</v>
      </c>
      <c r="AD117" s="17" t="s">
        <v>126</v>
      </c>
      <c r="AE117" s="17" t="s">
        <v>126</v>
      </c>
      <c r="AF117" s="17" t="s">
        <v>126</v>
      </c>
      <c r="AG117" s="17" t="s">
        <v>126</v>
      </c>
      <c r="AH117" s="17" t="s">
        <v>126</v>
      </c>
      <c r="AI117" s="5" t="e">
        <f t="shared" si="7"/>
        <v>#VALUE!</v>
      </c>
      <c r="AJ117" s="5" t="e">
        <f t="shared" si="8"/>
        <v>#VALUE!</v>
      </c>
      <c r="AK117" s="5" t="e">
        <f t="shared" si="9"/>
        <v>#VALUE!</v>
      </c>
      <c r="AL117" s="5" t="e">
        <f t="shared" si="10"/>
        <v>#VALUE!</v>
      </c>
      <c r="AM117" s="5" t="e">
        <f t="shared" si="11"/>
        <v>#VALUE!</v>
      </c>
    </row>
    <row r="118" spans="1:39" ht="15" customHeight="1" thickBot="1" x14ac:dyDescent="0.35">
      <c r="A118" s="5">
        <f t="shared" si="6"/>
        <v>0</v>
      </c>
      <c r="B118" s="18">
        <v>259</v>
      </c>
      <c r="C118" s="11" t="s">
        <v>158</v>
      </c>
      <c r="D118" s="19" t="s">
        <v>35</v>
      </c>
      <c r="E118" s="19" t="s">
        <v>36</v>
      </c>
      <c r="F118" s="19" t="s">
        <v>36</v>
      </c>
      <c r="G118" s="19">
        <v>22</v>
      </c>
      <c r="H118" s="19" t="s">
        <v>126</v>
      </c>
      <c r="I118" s="19" t="s">
        <v>126</v>
      </c>
      <c r="J118" s="19" t="s">
        <v>126</v>
      </c>
      <c r="K118" s="19" t="s">
        <v>126</v>
      </c>
      <c r="L118" s="19" t="s">
        <v>126</v>
      </c>
      <c r="M118" s="19" t="s">
        <v>126</v>
      </c>
      <c r="N118" s="19" t="s">
        <v>126</v>
      </c>
      <c r="O118" s="19" t="s">
        <v>126</v>
      </c>
      <c r="P118" s="19" t="s">
        <v>126</v>
      </c>
      <c r="Q118" s="18">
        <v>259</v>
      </c>
      <c r="R118" s="11" t="s">
        <v>158</v>
      </c>
      <c r="S118" s="19" t="s">
        <v>35</v>
      </c>
      <c r="T118" s="19" t="s">
        <v>36</v>
      </c>
      <c r="U118" s="19" t="s">
        <v>36</v>
      </c>
      <c r="V118" s="19">
        <v>22</v>
      </c>
      <c r="W118" s="19" t="s">
        <v>126</v>
      </c>
      <c r="X118" s="19" t="s">
        <v>126</v>
      </c>
      <c r="Y118" s="19" t="s">
        <v>126</v>
      </c>
      <c r="Z118" s="19" t="s">
        <v>126</v>
      </c>
      <c r="AA118" s="19" t="s">
        <v>126</v>
      </c>
      <c r="AB118" s="19" t="s">
        <v>126</v>
      </c>
      <c r="AC118" s="19" t="s">
        <v>126</v>
      </c>
      <c r="AD118" s="19" t="s">
        <v>126</v>
      </c>
      <c r="AE118" s="19" t="s">
        <v>126</v>
      </c>
      <c r="AF118" s="19" t="s">
        <v>126</v>
      </c>
      <c r="AG118" s="19" t="s">
        <v>126</v>
      </c>
      <c r="AH118" s="19" t="s">
        <v>126</v>
      </c>
      <c r="AI118" s="5" t="e">
        <f t="shared" si="7"/>
        <v>#VALUE!</v>
      </c>
      <c r="AJ118" s="5" t="e">
        <f t="shared" si="8"/>
        <v>#VALUE!</v>
      </c>
      <c r="AK118" s="5" t="e">
        <f t="shared" si="9"/>
        <v>#VALUE!</v>
      </c>
      <c r="AL118" s="5" t="e">
        <f t="shared" si="10"/>
        <v>#VALUE!</v>
      </c>
      <c r="AM118" s="5" t="e">
        <f t="shared" si="11"/>
        <v>#VALUE!</v>
      </c>
    </row>
    <row r="119" spans="1:39" ht="15" customHeight="1" thickBot="1" x14ac:dyDescent="0.35">
      <c r="A119" s="5">
        <f t="shared" si="6"/>
        <v>0</v>
      </c>
      <c r="B119" s="16">
        <v>260</v>
      </c>
      <c r="C119" s="10" t="s">
        <v>159</v>
      </c>
      <c r="D119" s="17" t="s">
        <v>35</v>
      </c>
      <c r="E119" s="17" t="s">
        <v>36</v>
      </c>
      <c r="F119" s="17" t="s">
        <v>36</v>
      </c>
      <c r="G119" s="17">
        <v>19</v>
      </c>
      <c r="H119" s="17" t="s">
        <v>126</v>
      </c>
      <c r="I119" s="17" t="s">
        <v>126</v>
      </c>
      <c r="J119" s="17" t="s">
        <v>126</v>
      </c>
      <c r="K119" s="17" t="s">
        <v>126</v>
      </c>
      <c r="L119" s="17" t="s">
        <v>126</v>
      </c>
      <c r="M119" s="17" t="s">
        <v>126</v>
      </c>
      <c r="N119" s="17" t="s">
        <v>126</v>
      </c>
      <c r="O119" s="17" t="s">
        <v>126</v>
      </c>
      <c r="P119" s="17" t="s">
        <v>126</v>
      </c>
      <c r="Q119" s="16">
        <v>260</v>
      </c>
      <c r="R119" s="10" t="s">
        <v>159</v>
      </c>
      <c r="S119" s="17" t="s">
        <v>35</v>
      </c>
      <c r="T119" s="17" t="s">
        <v>36</v>
      </c>
      <c r="U119" s="17" t="s">
        <v>36</v>
      </c>
      <c r="V119" s="17">
        <v>19</v>
      </c>
      <c r="W119" s="17" t="s">
        <v>126</v>
      </c>
      <c r="X119" s="17" t="s">
        <v>126</v>
      </c>
      <c r="Y119" s="17" t="s">
        <v>126</v>
      </c>
      <c r="Z119" s="17" t="s">
        <v>126</v>
      </c>
      <c r="AA119" s="17" t="s">
        <v>126</v>
      </c>
      <c r="AB119" s="17" t="s">
        <v>126</v>
      </c>
      <c r="AC119" s="17" t="s">
        <v>126</v>
      </c>
      <c r="AD119" s="17" t="s">
        <v>126</v>
      </c>
      <c r="AE119" s="17" t="s">
        <v>126</v>
      </c>
      <c r="AF119" s="17" t="s">
        <v>126</v>
      </c>
      <c r="AG119" s="17" t="s">
        <v>126</v>
      </c>
      <c r="AH119" s="17" t="s">
        <v>126</v>
      </c>
      <c r="AI119" s="5" t="e">
        <f t="shared" si="7"/>
        <v>#VALUE!</v>
      </c>
      <c r="AJ119" s="5" t="e">
        <f t="shared" si="8"/>
        <v>#VALUE!</v>
      </c>
      <c r="AK119" s="5" t="e">
        <f t="shared" si="9"/>
        <v>#VALUE!</v>
      </c>
      <c r="AL119" s="5" t="e">
        <f t="shared" si="10"/>
        <v>#VALUE!</v>
      </c>
      <c r="AM119" s="5" t="e">
        <f t="shared" si="11"/>
        <v>#VALUE!</v>
      </c>
    </row>
    <row r="120" spans="1:39" ht="15" customHeight="1" thickBot="1" x14ac:dyDescent="0.35">
      <c r="A120" s="5">
        <f t="shared" si="6"/>
        <v>0</v>
      </c>
      <c r="B120" s="18">
        <v>261</v>
      </c>
      <c r="C120" s="11" t="s">
        <v>160</v>
      </c>
      <c r="D120" s="19" t="s">
        <v>35</v>
      </c>
      <c r="E120" s="19" t="s">
        <v>47</v>
      </c>
      <c r="F120" s="19" t="s">
        <v>36</v>
      </c>
      <c r="G120" s="19">
        <v>19</v>
      </c>
      <c r="H120" s="19" t="s">
        <v>126</v>
      </c>
      <c r="I120" s="19" t="s">
        <v>126</v>
      </c>
      <c r="J120" s="19" t="s">
        <v>126</v>
      </c>
      <c r="K120" s="19" t="s">
        <v>126</v>
      </c>
      <c r="L120" s="19" t="s">
        <v>126</v>
      </c>
      <c r="M120" s="19" t="s">
        <v>126</v>
      </c>
      <c r="N120" s="19" t="s">
        <v>126</v>
      </c>
      <c r="O120" s="19" t="s">
        <v>126</v>
      </c>
      <c r="P120" s="19" t="s">
        <v>126</v>
      </c>
      <c r="Q120" s="18">
        <v>261</v>
      </c>
      <c r="R120" s="11" t="s">
        <v>160</v>
      </c>
      <c r="S120" s="19" t="s">
        <v>35</v>
      </c>
      <c r="T120" s="19" t="s">
        <v>47</v>
      </c>
      <c r="U120" s="19" t="s">
        <v>36</v>
      </c>
      <c r="V120" s="19">
        <v>19</v>
      </c>
      <c r="W120" s="19" t="s">
        <v>126</v>
      </c>
      <c r="X120" s="19" t="s">
        <v>126</v>
      </c>
      <c r="Y120" s="19" t="s">
        <v>126</v>
      </c>
      <c r="Z120" s="19" t="s">
        <v>126</v>
      </c>
      <c r="AA120" s="19" t="s">
        <v>126</v>
      </c>
      <c r="AB120" s="19" t="s">
        <v>126</v>
      </c>
      <c r="AC120" s="19" t="s">
        <v>126</v>
      </c>
      <c r="AD120" s="19" t="s">
        <v>126</v>
      </c>
      <c r="AE120" s="19" t="s">
        <v>126</v>
      </c>
      <c r="AF120" s="19" t="s">
        <v>126</v>
      </c>
      <c r="AG120" s="19" t="s">
        <v>126</v>
      </c>
      <c r="AH120" s="19" t="s">
        <v>126</v>
      </c>
      <c r="AI120" s="5" t="e">
        <f t="shared" si="7"/>
        <v>#VALUE!</v>
      </c>
      <c r="AJ120" s="5" t="e">
        <f t="shared" si="8"/>
        <v>#VALUE!</v>
      </c>
      <c r="AK120" s="5" t="e">
        <f t="shared" si="9"/>
        <v>#VALUE!</v>
      </c>
      <c r="AL120" s="5" t="e">
        <f t="shared" si="10"/>
        <v>#VALUE!</v>
      </c>
      <c r="AM120" s="5" t="e">
        <f t="shared" si="11"/>
        <v>#VALUE!</v>
      </c>
    </row>
    <row r="121" spans="1:39" ht="15" customHeight="1" thickBot="1" x14ac:dyDescent="0.35">
      <c r="A121" s="5">
        <f t="shared" si="6"/>
        <v>0</v>
      </c>
      <c r="B121" s="18">
        <v>262</v>
      </c>
      <c r="C121" s="11" t="s">
        <v>161</v>
      </c>
      <c r="D121" s="19" t="s">
        <v>35</v>
      </c>
      <c r="E121" s="19" t="s">
        <v>47</v>
      </c>
      <c r="F121" s="19" t="s">
        <v>36</v>
      </c>
      <c r="G121" s="19">
        <v>22</v>
      </c>
      <c r="H121" s="19" t="s">
        <v>126</v>
      </c>
      <c r="I121" s="19" t="s">
        <v>126</v>
      </c>
      <c r="J121" s="19" t="s">
        <v>126</v>
      </c>
      <c r="K121" s="19" t="s">
        <v>126</v>
      </c>
      <c r="L121" s="19" t="s">
        <v>126</v>
      </c>
      <c r="M121" s="19" t="s">
        <v>126</v>
      </c>
      <c r="N121" s="19" t="s">
        <v>126</v>
      </c>
      <c r="O121" s="19" t="s">
        <v>126</v>
      </c>
      <c r="P121" s="19" t="s">
        <v>126</v>
      </c>
      <c r="Q121" s="18">
        <v>262</v>
      </c>
      <c r="R121" s="11" t="s">
        <v>161</v>
      </c>
      <c r="S121" s="19" t="s">
        <v>35</v>
      </c>
      <c r="T121" s="19" t="s">
        <v>47</v>
      </c>
      <c r="U121" s="19" t="s">
        <v>36</v>
      </c>
      <c r="V121" s="19">
        <v>22</v>
      </c>
      <c r="W121" s="19" t="s">
        <v>126</v>
      </c>
      <c r="X121" s="19" t="s">
        <v>126</v>
      </c>
      <c r="Y121" s="19" t="s">
        <v>126</v>
      </c>
      <c r="Z121" s="19" t="s">
        <v>126</v>
      </c>
      <c r="AA121" s="19" t="s">
        <v>126</v>
      </c>
      <c r="AB121" s="19" t="s">
        <v>126</v>
      </c>
      <c r="AC121" s="19" t="s">
        <v>126</v>
      </c>
      <c r="AD121" s="19" t="s">
        <v>126</v>
      </c>
      <c r="AE121" s="19" t="s">
        <v>126</v>
      </c>
      <c r="AF121" s="19" t="s">
        <v>126</v>
      </c>
      <c r="AG121" s="19" t="s">
        <v>126</v>
      </c>
      <c r="AH121" s="19" t="s">
        <v>126</v>
      </c>
      <c r="AI121" s="5" t="e">
        <f t="shared" si="7"/>
        <v>#VALUE!</v>
      </c>
      <c r="AJ121" s="5" t="e">
        <f t="shared" si="8"/>
        <v>#VALUE!</v>
      </c>
      <c r="AK121" s="5" t="e">
        <f t="shared" si="9"/>
        <v>#VALUE!</v>
      </c>
      <c r="AL121" s="5" t="e">
        <f t="shared" si="10"/>
        <v>#VALUE!</v>
      </c>
      <c r="AM121" s="5" t="e">
        <f t="shared" si="11"/>
        <v>#VALUE!</v>
      </c>
    </row>
    <row r="122" spans="1:39" ht="15" customHeight="1" thickBot="1" x14ac:dyDescent="0.35">
      <c r="A122" s="5">
        <f t="shared" si="6"/>
        <v>0</v>
      </c>
      <c r="B122" s="16">
        <v>263</v>
      </c>
      <c r="C122" s="10" t="s">
        <v>162</v>
      </c>
      <c r="D122" s="17" t="s">
        <v>35</v>
      </c>
      <c r="E122" s="17" t="s">
        <v>36</v>
      </c>
      <c r="F122" s="17" t="s">
        <v>36</v>
      </c>
      <c r="G122" s="17">
        <v>18</v>
      </c>
      <c r="H122" s="17" t="s">
        <v>126</v>
      </c>
      <c r="I122" s="17" t="s">
        <v>126</v>
      </c>
      <c r="J122" s="17" t="s">
        <v>126</v>
      </c>
      <c r="K122" s="17" t="s">
        <v>126</v>
      </c>
      <c r="L122" s="17" t="s">
        <v>126</v>
      </c>
      <c r="M122" s="17" t="s">
        <v>126</v>
      </c>
      <c r="N122" s="17" t="s">
        <v>126</v>
      </c>
      <c r="O122" s="17" t="s">
        <v>126</v>
      </c>
      <c r="P122" s="17" t="s">
        <v>126</v>
      </c>
      <c r="Q122" s="16">
        <v>263</v>
      </c>
      <c r="R122" s="10" t="s">
        <v>162</v>
      </c>
      <c r="S122" s="17" t="s">
        <v>35</v>
      </c>
      <c r="T122" s="17" t="s">
        <v>36</v>
      </c>
      <c r="U122" s="17" t="s">
        <v>36</v>
      </c>
      <c r="V122" s="17">
        <v>18</v>
      </c>
      <c r="W122" s="17" t="s">
        <v>126</v>
      </c>
      <c r="X122" s="17" t="s">
        <v>126</v>
      </c>
      <c r="Y122" s="17" t="s">
        <v>126</v>
      </c>
      <c r="Z122" s="17" t="s">
        <v>126</v>
      </c>
      <c r="AA122" s="17" t="s">
        <v>126</v>
      </c>
      <c r="AB122" s="17" t="s">
        <v>126</v>
      </c>
      <c r="AC122" s="17" t="s">
        <v>126</v>
      </c>
      <c r="AD122" s="17" t="s">
        <v>126</v>
      </c>
      <c r="AE122" s="17" t="s">
        <v>126</v>
      </c>
      <c r="AF122" s="17" t="s">
        <v>126</v>
      </c>
      <c r="AG122" s="17" t="s">
        <v>126</v>
      </c>
      <c r="AH122" s="17" t="s">
        <v>126</v>
      </c>
      <c r="AI122" s="5" t="e">
        <f t="shared" si="7"/>
        <v>#VALUE!</v>
      </c>
      <c r="AJ122" s="5" t="e">
        <f t="shared" si="8"/>
        <v>#VALUE!</v>
      </c>
      <c r="AK122" s="5" t="e">
        <f t="shared" si="9"/>
        <v>#VALUE!</v>
      </c>
      <c r="AL122" s="5" t="e">
        <f t="shared" si="10"/>
        <v>#VALUE!</v>
      </c>
      <c r="AM122" s="5" t="e">
        <f t="shared" si="11"/>
        <v>#VALUE!</v>
      </c>
    </row>
    <row r="123" spans="1:39" ht="15" customHeight="1" thickBot="1" x14ac:dyDescent="0.35">
      <c r="A123" s="5">
        <f t="shared" si="6"/>
        <v>0</v>
      </c>
      <c r="B123" s="18">
        <v>264</v>
      </c>
      <c r="C123" s="11" t="s">
        <v>163</v>
      </c>
      <c r="D123" s="19" t="s">
        <v>35</v>
      </c>
      <c r="E123" s="19" t="s">
        <v>36</v>
      </c>
      <c r="F123" s="19" t="s">
        <v>36</v>
      </c>
      <c r="G123" s="19">
        <v>22</v>
      </c>
      <c r="H123" s="19" t="s">
        <v>126</v>
      </c>
      <c r="I123" s="19" t="s">
        <v>126</v>
      </c>
      <c r="J123" s="19" t="s">
        <v>126</v>
      </c>
      <c r="K123" s="19" t="s">
        <v>126</v>
      </c>
      <c r="L123" s="19" t="s">
        <v>126</v>
      </c>
      <c r="M123" s="19" t="s">
        <v>126</v>
      </c>
      <c r="N123" s="19" t="s">
        <v>126</v>
      </c>
      <c r="O123" s="19" t="s">
        <v>126</v>
      </c>
      <c r="P123" s="19" t="s">
        <v>126</v>
      </c>
      <c r="Q123" s="18">
        <v>264</v>
      </c>
      <c r="R123" s="11" t="s">
        <v>163</v>
      </c>
      <c r="S123" s="19" t="s">
        <v>35</v>
      </c>
      <c r="T123" s="19" t="s">
        <v>36</v>
      </c>
      <c r="U123" s="19" t="s">
        <v>36</v>
      </c>
      <c r="V123" s="19">
        <v>22</v>
      </c>
      <c r="W123" s="19" t="s">
        <v>126</v>
      </c>
      <c r="X123" s="19" t="s">
        <v>126</v>
      </c>
      <c r="Y123" s="19" t="s">
        <v>126</v>
      </c>
      <c r="Z123" s="19" t="s">
        <v>126</v>
      </c>
      <c r="AA123" s="19" t="s">
        <v>126</v>
      </c>
      <c r="AB123" s="19" t="s">
        <v>126</v>
      </c>
      <c r="AC123" s="19" t="s">
        <v>126</v>
      </c>
      <c r="AD123" s="19" t="s">
        <v>126</v>
      </c>
      <c r="AE123" s="19" t="s">
        <v>126</v>
      </c>
      <c r="AF123" s="19" t="s">
        <v>126</v>
      </c>
      <c r="AG123" s="19" t="s">
        <v>126</v>
      </c>
      <c r="AH123" s="19" t="s">
        <v>126</v>
      </c>
      <c r="AI123" s="5" t="e">
        <f t="shared" si="7"/>
        <v>#VALUE!</v>
      </c>
      <c r="AJ123" s="5" t="e">
        <f t="shared" si="8"/>
        <v>#VALUE!</v>
      </c>
      <c r="AK123" s="5" t="e">
        <f t="shared" si="9"/>
        <v>#VALUE!</v>
      </c>
      <c r="AL123" s="5" t="e">
        <f t="shared" si="10"/>
        <v>#VALUE!</v>
      </c>
      <c r="AM123" s="5" t="e">
        <f t="shared" si="11"/>
        <v>#VALUE!</v>
      </c>
    </row>
    <row r="124" spans="1:39" ht="15" customHeight="1" thickBot="1" x14ac:dyDescent="0.35">
      <c r="A124" s="5">
        <f t="shared" si="6"/>
        <v>0</v>
      </c>
      <c r="B124" s="16">
        <v>265</v>
      </c>
      <c r="C124" s="10" t="s">
        <v>164</v>
      </c>
      <c r="D124" s="17" t="s">
        <v>35</v>
      </c>
      <c r="E124" s="17" t="s">
        <v>36</v>
      </c>
      <c r="F124" s="17" t="s">
        <v>36</v>
      </c>
      <c r="G124" s="17">
        <v>18</v>
      </c>
      <c r="H124" s="17" t="s">
        <v>126</v>
      </c>
      <c r="I124" s="17" t="s">
        <v>126</v>
      </c>
      <c r="J124" s="17" t="s">
        <v>126</v>
      </c>
      <c r="K124" s="17" t="s">
        <v>126</v>
      </c>
      <c r="L124" s="17" t="s">
        <v>126</v>
      </c>
      <c r="M124" s="17" t="s">
        <v>126</v>
      </c>
      <c r="N124" s="17" t="s">
        <v>126</v>
      </c>
      <c r="O124" s="17" t="s">
        <v>126</v>
      </c>
      <c r="P124" s="17" t="s">
        <v>126</v>
      </c>
      <c r="Q124" s="16">
        <v>265</v>
      </c>
      <c r="R124" s="10" t="s">
        <v>164</v>
      </c>
      <c r="S124" s="17" t="s">
        <v>35</v>
      </c>
      <c r="T124" s="17" t="s">
        <v>36</v>
      </c>
      <c r="U124" s="17" t="s">
        <v>36</v>
      </c>
      <c r="V124" s="17">
        <v>18</v>
      </c>
      <c r="W124" s="17" t="s">
        <v>126</v>
      </c>
      <c r="X124" s="17" t="s">
        <v>126</v>
      </c>
      <c r="Y124" s="17" t="s">
        <v>126</v>
      </c>
      <c r="Z124" s="17" t="s">
        <v>126</v>
      </c>
      <c r="AA124" s="17" t="s">
        <v>126</v>
      </c>
      <c r="AB124" s="17" t="s">
        <v>126</v>
      </c>
      <c r="AC124" s="17" t="s">
        <v>126</v>
      </c>
      <c r="AD124" s="17" t="s">
        <v>126</v>
      </c>
      <c r="AE124" s="17" t="s">
        <v>126</v>
      </c>
      <c r="AF124" s="17" t="s">
        <v>126</v>
      </c>
      <c r="AG124" s="17" t="s">
        <v>126</v>
      </c>
      <c r="AH124" s="17" t="s">
        <v>126</v>
      </c>
      <c r="AI124" s="5" t="e">
        <f t="shared" si="7"/>
        <v>#VALUE!</v>
      </c>
      <c r="AJ124" s="5" t="e">
        <f t="shared" si="8"/>
        <v>#VALUE!</v>
      </c>
      <c r="AK124" s="5" t="e">
        <f t="shared" si="9"/>
        <v>#VALUE!</v>
      </c>
      <c r="AL124" s="5" t="e">
        <f t="shared" si="10"/>
        <v>#VALUE!</v>
      </c>
      <c r="AM124" s="5" t="e">
        <f t="shared" si="11"/>
        <v>#VALUE!</v>
      </c>
    </row>
    <row r="125" spans="1:39" ht="15" customHeight="1" thickBot="1" x14ac:dyDescent="0.35">
      <c r="A125" s="5">
        <f t="shared" si="6"/>
        <v>0</v>
      </c>
      <c r="B125" s="16">
        <v>266</v>
      </c>
      <c r="C125" s="10" t="s">
        <v>165</v>
      </c>
      <c r="D125" s="17" t="s">
        <v>35</v>
      </c>
      <c r="E125" s="17" t="s">
        <v>36</v>
      </c>
      <c r="F125" s="17" t="s">
        <v>36</v>
      </c>
      <c r="G125" s="17">
        <v>21</v>
      </c>
      <c r="H125" s="17" t="s">
        <v>126</v>
      </c>
      <c r="I125" s="17" t="s">
        <v>126</v>
      </c>
      <c r="J125" s="17" t="s">
        <v>126</v>
      </c>
      <c r="K125" s="17" t="s">
        <v>126</v>
      </c>
      <c r="L125" s="17" t="s">
        <v>126</v>
      </c>
      <c r="M125" s="17" t="s">
        <v>126</v>
      </c>
      <c r="N125" s="17" t="s">
        <v>126</v>
      </c>
      <c r="O125" s="17" t="s">
        <v>126</v>
      </c>
      <c r="P125" s="17" t="s">
        <v>126</v>
      </c>
      <c r="Q125" s="16">
        <v>266</v>
      </c>
      <c r="R125" s="10" t="s">
        <v>165</v>
      </c>
      <c r="S125" s="17" t="s">
        <v>35</v>
      </c>
      <c r="T125" s="17" t="s">
        <v>36</v>
      </c>
      <c r="U125" s="17" t="s">
        <v>36</v>
      </c>
      <c r="V125" s="17">
        <v>21</v>
      </c>
      <c r="W125" s="17" t="s">
        <v>126</v>
      </c>
      <c r="X125" s="17" t="s">
        <v>126</v>
      </c>
      <c r="Y125" s="17" t="s">
        <v>126</v>
      </c>
      <c r="Z125" s="17" t="s">
        <v>126</v>
      </c>
      <c r="AA125" s="17" t="s">
        <v>126</v>
      </c>
      <c r="AB125" s="17" t="s">
        <v>126</v>
      </c>
      <c r="AC125" s="17" t="s">
        <v>126</v>
      </c>
      <c r="AD125" s="17" t="s">
        <v>126</v>
      </c>
      <c r="AE125" s="17" t="s">
        <v>126</v>
      </c>
      <c r="AF125" s="17" t="s">
        <v>126</v>
      </c>
      <c r="AG125" s="17" t="s">
        <v>126</v>
      </c>
      <c r="AH125" s="17" t="s">
        <v>126</v>
      </c>
      <c r="AI125" s="5" t="e">
        <f t="shared" si="7"/>
        <v>#VALUE!</v>
      </c>
      <c r="AJ125" s="5" t="e">
        <f t="shared" si="8"/>
        <v>#VALUE!</v>
      </c>
      <c r="AK125" s="5" t="e">
        <f t="shared" si="9"/>
        <v>#VALUE!</v>
      </c>
      <c r="AL125" s="5" t="e">
        <f t="shared" si="10"/>
        <v>#VALUE!</v>
      </c>
      <c r="AM125" s="5" t="e">
        <f t="shared" si="11"/>
        <v>#VALUE!</v>
      </c>
    </row>
    <row r="126" spans="1:39" ht="15" customHeight="1" thickBot="1" x14ac:dyDescent="0.35">
      <c r="A126" s="5">
        <f t="shared" si="6"/>
        <v>0</v>
      </c>
      <c r="B126" s="16">
        <v>267</v>
      </c>
      <c r="C126" s="10" t="s">
        <v>166</v>
      </c>
      <c r="D126" s="17" t="s">
        <v>38</v>
      </c>
      <c r="E126" s="17" t="s">
        <v>36</v>
      </c>
      <c r="F126" s="17" t="s">
        <v>36</v>
      </c>
      <c r="G126" s="17">
        <v>18</v>
      </c>
      <c r="H126" s="17" t="s">
        <v>126</v>
      </c>
      <c r="I126" s="17" t="s">
        <v>126</v>
      </c>
      <c r="J126" s="17" t="s">
        <v>126</v>
      </c>
      <c r="K126" s="17" t="s">
        <v>126</v>
      </c>
      <c r="L126" s="17" t="s">
        <v>126</v>
      </c>
      <c r="M126" s="17" t="s">
        <v>126</v>
      </c>
      <c r="N126" s="17" t="s">
        <v>126</v>
      </c>
      <c r="O126" s="17" t="s">
        <v>126</v>
      </c>
      <c r="P126" s="17" t="s">
        <v>126</v>
      </c>
      <c r="Q126" s="16">
        <v>267</v>
      </c>
      <c r="R126" s="10" t="s">
        <v>166</v>
      </c>
      <c r="S126" s="17" t="s">
        <v>38</v>
      </c>
      <c r="T126" s="17" t="s">
        <v>36</v>
      </c>
      <c r="U126" s="17" t="s">
        <v>36</v>
      </c>
      <c r="V126" s="17">
        <v>18</v>
      </c>
      <c r="W126" s="17" t="s">
        <v>126</v>
      </c>
      <c r="X126" s="17" t="s">
        <v>126</v>
      </c>
      <c r="Y126" s="17" t="s">
        <v>126</v>
      </c>
      <c r="Z126" s="17" t="s">
        <v>126</v>
      </c>
      <c r="AA126" s="17" t="s">
        <v>126</v>
      </c>
      <c r="AB126" s="17" t="s">
        <v>126</v>
      </c>
      <c r="AC126" s="17" t="s">
        <v>126</v>
      </c>
      <c r="AD126" s="17" t="s">
        <v>126</v>
      </c>
      <c r="AE126" s="17" t="s">
        <v>126</v>
      </c>
      <c r="AF126" s="17" t="s">
        <v>126</v>
      </c>
      <c r="AG126" s="17" t="s">
        <v>126</v>
      </c>
      <c r="AH126" s="17" t="s">
        <v>126</v>
      </c>
      <c r="AI126" s="5" t="e">
        <f t="shared" si="7"/>
        <v>#VALUE!</v>
      </c>
      <c r="AJ126" s="5" t="e">
        <f t="shared" si="8"/>
        <v>#VALUE!</v>
      </c>
      <c r="AK126" s="5" t="e">
        <f t="shared" si="9"/>
        <v>#VALUE!</v>
      </c>
      <c r="AL126" s="5" t="e">
        <f t="shared" si="10"/>
        <v>#VALUE!</v>
      </c>
      <c r="AM126" s="5" t="e">
        <f t="shared" si="11"/>
        <v>#VALUE!</v>
      </c>
    </row>
    <row r="127" spans="1:39" ht="15" customHeight="1" thickBot="1" x14ac:dyDescent="0.35">
      <c r="A127" s="5">
        <f t="shared" si="6"/>
        <v>0</v>
      </c>
      <c r="B127" s="16">
        <v>268</v>
      </c>
      <c r="C127" s="10" t="s">
        <v>167</v>
      </c>
      <c r="D127" s="17" t="s">
        <v>38</v>
      </c>
      <c r="E127" s="17" t="s">
        <v>46</v>
      </c>
      <c r="F127" s="17" t="s">
        <v>36</v>
      </c>
      <c r="G127" s="17">
        <v>18</v>
      </c>
      <c r="H127" s="17" t="s">
        <v>126</v>
      </c>
      <c r="I127" s="17" t="s">
        <v>126</v>
      </c>
      <c r="J127" s="17" t="s">
        <v>126</v>
      </c>
      <c r="K127" s="17" t="s">
        <v>126</v>
      </c>
      <c r="L127" s="17" t="s">
        <v>126</v>
      </c>
      <c r="M127" s="17" t="s">
        <v>126</v>
      </c>
      <c r="N127" s="17" t="s">
        <v>126</v>
      </c>
      <c r="O127" s="17" t="s">
        <v>126</v>
      </c>
      <c r="P127" s="17" t="s">
        <v>126</v>
      </c>
      <c r="Q127" s="16">
        <v>268</v>
      </c>
      <c r="R127" s="10" t="s">
        <v>167</v>
      </c>
      <c r="S127" s="17" t="s">
        <v>38</v>
      </c>
      <c r="T127" s="17" t="s">
        <v>46</v>
      </c>
      <c r="U127" s="17" t="s">
        <v>36</v>
      </c>
      <c r="V127" s="17">
        <v>18</v>
      </c>
      <c r="W127" s="17" t="s">
        <v>126</v>
      </c>
      <c r="X127" s="17" t="s">
        <v>126</v>
      </c>
      <c r="Y127" s="17" t="s">
        <v>126</v>
      </c>
      <c r="Z127" s="17" t="s">
        <v>126</v>
      </c>
      <c r="AA127" s="17" t="s">
        <v>126</v>
      </c>
      <c r="AB127" s="17" t="s">
        <v>126</v>
      </c>
      <c r="AC127" s="17" t="s">
        <v>126</v>
      </c>
      <c r="AD127" s="17" t="s">
        <v>126</v>
      </c>
      <c r="AE127" s="17" t="s">
        <v>126</v>
      </c>
      <c r="AF127" s="17" t="s">
        <v>126</v>
      </c>
      <c r="AG127" s="17" t="s">
        <v>126</v>
      </c>
      <c r="AH127" s="17" t="s">
        <v>126</v>
      </c>
      <c r="AI127" s="5" t="e">
        <f t="shared" si="7"/>
        <v>#VALUE!</v>
      </c>
      <c r="AJ127" s="5" t="e">
        <f t="shared" si="8"/>
        <v>#VALUE!</v>
      </c>
      <c r="AK127" s="5" t="e">
        <f t="shared" si="9"/>
        <v>#VALUE!</v>
      </c>
      <c r="AL127" s="5" t="e">
        <f t="shared" si="10"/>
        <v>#VALUE!</v>
      </c>
      <c r="AM127" s="5" t="e">
        <f t="shared" si="11"/>
        <v>#VALUE!</v>
      </c>
    </row>
    <row r="128" spans="1:39" ht="15" customHeight="1" thickBot="1" x14ac:dyDescent="0.35">
      <c r="A128" s="5">
        <f t="shared" si="6"/>
        <v>0</v>
      </c>
      <c r="B128" s="18">
        <v>269</v>
      </c>
      <c r="C128" s="11" t="s">
        <v>168</v>
      </c>
      <c r="D128" s="19" t="s">
        <v>38</v>
      </c>
      <c r="E128" s="19" t="s">
        <v>36</v>
      </c>
      <c r="F128" s="19" t="s">
        <v>36</v>
      </c>
      <c r="G128" s="19">
        <v>21</v>
      </c>
      <c r="H128" s="19" t="s">
        <v>126</v>
      </c>
      <c r="I128" s="19" t="s">
        <v>126</v>
      </c>
      <c r="J128" s="19" t="s">
        <v>126</v>
      </c>
      <c r="K128" s="19" t="s">
        <v>126</v>
      </c>
      <c r="L128" s="19" t="s">
        <v>126</v>
      </c>
      <c r="M128" s="19" t="s">
        <v>126</v>
      </c>
      <c r="N128" s="19" t="s">
        <v>126</v>
      </c>
      <c r="O128" s="19" t="s">
        <v>126</v>
      </c>
      <c r="P128" s="19" t="s">
        <v>126</v>
      </c>
      <c r="Q128" s="18">
        <v>269</v>
      </c>
      <c r="R128" s="11" t="s">
        <v>168</v>
      </c>
      <c r="S128" s="19" t="s">
        <v>38</v>
      </c>
      <c r="T128" s="19" t="s">
        <v>36</v>
      </c>
      <c r="U128" s="19" t="s">
        <v>36</v>
      </c>
      <c r="V128" s="19">
        <v>21</v>
      </c>
      <c r="W128" s="19" t="s">
        <v>126</v>
      </c>
      <c r="X128" s="19" t="s">
        <v>126</v>
      </c>
      <c r="Y128" s="19" t="s">
        <v>126</v>
      </c>
      <c r="Z128" s="19" t="s">
        <v>126</v>
      </c>
      <c r="AA128" s="19" t="s">
        <v>126</v>
      </c>
      <c r="AB128" s="19" t="s">
        <v>126</v>
      </c>
      <c r="AC128" s="19" t="s">
        <v>126</v>
      </c>
      <c r="AD128" s="19" t="s">
        <v>126</v>
      </c>
      <c r="AE128" s="19" t="s">
        <v>126</v>
      </c>
      <c r="AF128" s="19" t="s">
        <v>126</v>
      </c>
      <c r="AG128" s="19" t="s">
        <v>126</v>
      </c>
      <c r="AH128" s="19" t="s">
        <v>126</v>
      </c>
      <c r="AI128" s="5" t="e">
        <f t="shared" si="7"/>
        <v>#VALUE!</v>
      </c>
      <c r="AJ128" s="5" t="e">
        <f t="shared" si="8"/>
        <v>#VALUE!</v>
      </c>
      <c r="AK128" s="5" t="e">
        <f t="shared" si="9"/>
        <v>#VALUE!</v>
      </c>
      <c r="AL128" s="5" t="e">
        <f t="shared" si="10"/>
        <v>#VALUE!</v>
      </c>
      <c r="AM128" s="5" t="e">
        <f t="shared" si="11"/>
        <v>#VALUE!</v>
      </c>
    </row>
    <row r="129" spans="1:39" ht="15" customHeight="1" thickBot="1" x14ac:dyDescent="0.35">
      <c r="A129" s="5">
        <f t="shared" si="6"/>
        <v>0</v>
      </c>
      <c r="B129" s="16">
        <v>270</v>
      </c>
      <c r="C129" s="10" t="s">
        <v>169</v>
      </c>
      <c r="D129" s="17" t="s">
        <v>38</v>
      </c>
      <c r="E129" s="17" t="s">
        <v>46</v>
      </c>
      <c r="F129" s="17" t="s">
        <v>36</v>
      </c>
      <c r="G129" s="17">
        <v>21</v>
      </c>
      <c r="H129" s="17" t="s">
        <v>126</v>
      </c>
      <c r="I129" s="17" t="s">
        <v>126</v>
      </c>
      <c r="J129" s="17" t="s">
        <v>126</v>
      </c>
      <c r="K129" s="17" t="s">
        <v>126</v>
      </c>
      <c r="L129" s="17" t="s">
        <v>126</v>
      </c>
      <c r="M129" s="17" t="s">
        <v>126</v>
      </c>
      <c r="N129" s="17" t="s">
        <v>126</v>
      </c>
      <c r="O129" s="17" t="s">
        <v>126</v>
      </c>
      <c r="P129" s="17" t="s">
        <v>126</v>
      </c>
      <c r="Q129" s="16">
        <v>270</v>
      </c>
      <c r="R129" s="10" t="s">
        <v>169</v>
      </c>
      <c r="S129" s="17" t="s">
        <v>38</v>
      </c>
      <c r="T129" s="17" t="s">
        <v>46</v>
      </c>
      <c r="U129" s="17" t="s">
        <v>36</v>
      </c>
      <c r="V129" s="17">
        <v>21</v>
      </c>
      <c r="W129" s="17" t="s">
        <v>126</v>
      </c>
      <c r="X129" s="17" t="s">
        <v>126</v>
      </c>
      <c r="Y129" s="17" t="s">
        <v>126</v>
      </c>
      <c r="Z129" s="17" t="s">
        <v>126</v>
      </c>
      <c r="AA129" s="17" t="s">
        <v>126</v>
      </c>
      <c r="AB129" s="17" t="s">
        <v>126</v>
      </c>
      <c r="AC129" s="17" t="s">
        <v>126</v>
      </c>
      <c r="AD129" s="17" t="s">
        <v>126</v>
      </c>
      <c r="AE129" s="17" t="s">
        <v>126</v>
      </c>
      <c r="AF129" s="17" t="s">
        <v>126</v>
      </c>
      <c r="AG129" s="17" t="s">
        <v>126</v>
      </c>
      <c r="AH129" s="17" t="s">
        <v>126</v>
      </c>
      <c r="AI129" s="5" t="e">
        <f t="shared" si="7"/>
        <v>#VALUE!</v>
      </c>
      <c r="AJ129" s="5" t="e">
        <f t="shared" si="8"/>
        <v>#VALUE!</v>
      </c>
      <c r="AK129" s="5" t="e">
        <f t="shared" si="9"/>
        <v>#VALUE!</v>
      </c>
      <c r="AL129" s="5" t="e">
        <f t="shared" si="10"/>
        <v>#VALUE!</v>
      </c>
      <c r="AM129" s="5" t="e">
        <f t="shared" si="11"/>
        <v>#VALUE!</v>
      </c>
    </row>
    <row r="130" spans="1:39" ht="15" customHeight="1" thickBot="1" x14ac:dyDescent="0.35">
      <c r="A130" s="5">
        <f t="shared" si="6"/>
        <v>0</v>
      </c>
      <c r="B130" s="16">
        <v>271</v>
      </c>
      <c r="C130" s="10" t="s">
        <v>170</v>
      </c>
      <c r="D130" s="17" t="s">
        <v>38</v>
      </c>
      <c r="E130" s="17" t="s">
        <v>36</v>
      </c>
      <c r="F130" s="17" t="s">
        <v>36</v>
      </c>
      <c r="G130" s="17">
        <v>21</v>
      </c>
      <c r="H130" s="17" t="s">
        <v>126</v>
      </c>
      <c r="I130" s="17" t="s">
        <v>126</v>
      </c>
      <c r="J130" s="17" t="s">
        <v>126</v>
      </c>
      <c r="K130" s="17" t="s">
        <v>126</v>
      </c>
      <c r="L130" s="17" t="s">
        <v>126</v>
      </c>
      <c r="M130" s="17" t="s">
        <v>126</v>
      </c>
      <c r="N130" s="17" t="s">
        <v>126</v>
      </c>
      <c r="O130" s="17" t="s">
        <v>126</v>
      </c>
      <c r="P130" s="17" t="s">
        <v>126</v>
      </c>
      <c r="Q130" s="16">
        <v>271</v>
      </c>
      <c r="R130" s="10" t="s">
        <v>170</v>
      </c>
      <c r="S130" s="17" t="s">
        <v>38</v>
      </c>
      <c r="T130" s="17" t="s">
        <v>36</v>
      </c>
      <c r="U130" s="17" t="s">
        <v>36</v>
      </c>
      <c r="V130" s="17">
        <v>21</v>
      </c>
      <c r="W130" s="17" t="s">
        <v>126</v>
      </c>
      <c r="X130" s="17" t="s">
        <v>126</v>
      </c>
      <c r="Y130" s="17" t="s">
        <v>126</v>
      </c>
      <c r="Z130" s="17" t="s">
        <v>126</v>
      </c>
      <c r="AA130" s="17" t="s">
        <v>126</v>
      </c>
      <c r="AB130" s="17" t="s">
        <v>126</v>
      </c>
      <c r="AC130" s="17" t="s">
        <v>126</v>
      </c>
      <c r="AD130" s="17" t="s">
        <v>126</v>
      </c>
      <c r="AE130" s="17" t="s">
        <v>126</v>
      </c>
      <c r="AF130" s="17" t="s">
        <v>126</v>
      </c>
      <c r="AG130" s="17" t="s">
        <v>126</v>
      </c>
      <c r="AH130" s="17" t="s">
        <v>126</v>
      </c>
      <c r="AI130" s="5" t="e">
        <f t="shared" si="7"/>
        <v>#VALUE!</v>
      </c>
      <c r="AJ130" s="5" t="e">
        <f t="shared" si="8"/>
        <v>#VALUE!</v>
      </c>
      <c r="AK130" s="5" t="e">
        <f t="shared" si="9"/>
        <v>#VALUE!</v>
      </c>
      <c r="AL130" s="5" t="e">
        <f t="shared" si="10"/>
        <v>#VALUE!</v>
      </c>
      <c r="AM130" s="5" t="e">
        <f t="shared" si="11"/>
        <v>#VALUE!</v>
      </c>
    </row>
    <row r="131" spans="1:39" ht="15" customHeight="1" thickBot="1" x14ac:dyDescent="0.35">
      <c r="A131" s="5">
        <f t="shared" si="6"/>
        <v>0</v>
      </c>
      <c r="B131" s="18">
        <v>272</v>
      </c>
      <c r="C131" s="11" t="s">
        <v>171</v>
      </c>
      <c r="D131" s="19" t="s">
        <v>38</v>
      </c>
      <c r="E131" s="19" t="s">
        <v>36</v>
      </c>
      <c r="F131" s="19" t="s">
        <v>36</v>
      </c>
      <c r="G131" s="19">
        <v>22</v>
      </c>
      <c r="H131" s="19" t="s">
        <v>126</v>
      </c>
      <c r="I131" s="19" t="s">
        <v>126</v>
      </c>
      <c r="J131" s="19" t="s">
        <v>126</v>
      </c>
      <c r="K131" s="19" t="s">
        <v>126</v>
      </c>
      <c r="L131" s="19" t="s">
        <v>126</v>
      </c>
      <c r="M131" s="19" t="s">
        <v>126</v>
      </c>
      <c r="N131" s="19" t="s">
        <v>126</v>
      </c>
      <c r="O131" s="19" t="s">
        <v>126</v>
      </c>
      <c r="P131" s="19" t="s">
        <v>126</v>
      </c>
      <c r="Q131" s="18">
        <v>272</v>
      </c>
      <c r="R131" s="11" t="s">
        <v>171</v>
      </c>
      <c r="S131" s="19" t="s">
        <v>38</v>
      </c>
      <c r="T131" s="19" t="s">
        <v>36</v>
      </c>
      <c r="U131" s="19" t="s">
        <v>36</v>
      </c>
      <c r="V131" s="19">
        <v>22</v>
      </c>
      <c r="W131" s="19" t="s">
        <v>126</v>
      </c>
      <c r="X131" s="19" t="s">
        <v>126</v>
      </c>
      <c r="Y131" s="19" t="s">
        <v>126</v>
      </c>
      <c r="Z131" s="19" t="s">
        <v>126</v>
      </c>
      <c r="AA131" s="19" t="s">
        <v>126</v>
      </c>
      <c r="AB131" s="19" t="s">
        <v>126</v>
      </c>
      <c r="AC131" s="19" t="s">
        <v>126</v>
      </c>
      <c r="AD131" s="19" t="s">
        <v>126</v>
      </c>
      <c r="AE131" s="19" t="s">
        <v>126</v>
      </c>
      <c r="AF131" s="19" t="s">
        <v>126</v>
      </c>
      <c r="AG131" s="19" t="s">
        <v>126</v>
      </c>
      <c r="AH131" s="19" t="s">
        <v>126</v>
      </c>
      <c r="AI131" s="5" t="e">
        <f t="shared" si="7"/>
        <v>#VALUE!</v>
      </c>
      <c r="AJ131" s="5" t="e">
        <f t="shared" si="8"/>
        <v>#VALUE!</v>
      </c>
      <c r="AK131" s="5" t="e">
        <f t="shared" si="9"/>
        <v>#VALUE!</v>
      </c>
      <c r="AL131" s="5" t="e">
        <f t="shared" si="10"/>
        <v>#VALUE!</v>
      </c>
      <c r="AM131" s="5" t="e">
        <f t="shared" si="11"/>
        <v>#VALUE!</v>
      </c>
    </row>
    <row r="132" spans="1:39" ht="15" customHeight="1" thickBot="1" x14ac:dyDescent="0.35">
      <c r="A132" s="5">
        <f t="shared" si="6"/>
        <v>0</v>
      </c>
      <c r="B132" s="16">
        <v>273</v>
      </c>
      <c r="C132" s="10" t="s">
        <v>172</v>
      </c>
      <c r="D132" s="17" t="s">
        <v>38</v>
      </c>
      <c r="E132" s="17" t="s">
        <v>36</v>
      </c>
      <c r="F132" s="17" t="s">
        <v>36</v>
      </c>
      <c r="G132" s="17">
        <v>19</v>
      </c>
      <c r="H132" s="17" t="s">
        <v>126</v>
      </c>
      <c r="I132" s="17" t="s">
        <v>126</v>
      </c>
      <c r="J132" s="17" t="s">
        <v>126</v>
      </c>
      <c r="K132" s="17" t="s">
        <v>126</v>
      </c>
      <c r="L132" s="17" t="s">
        <v>126</v>
      </c>
      <c r="M132" s="17" t="s">
        <v>126</v>
      </c>
      <c r="N132" s="17" t="s">
        <v>126</v>
      </c>
      <c r="O132" s="17" t="s">
        <v>126</v>
      </c>
      <c r="P132" s="17" t="s">
        <v>126</v>
      </c>
      <c r="Q132" s="16">
        <v>273</v>
      </c>
      <c r="R132" s="10" t="s">
        <v>172</v>
      </c>
      <c r="S132" s="17" t="s">
        <v>38</v>
      </c>
      <c r="T132" s="17" t="s">
        <v>36</v>
      </c>
      <c r="U132" s="17" t="s">
        <v>36</v>
      </c>
      <c r="V132" s="17">
        <v>19</v>
      </c>
      <c r="W132" s="17" t="s">
        <v>126</v>
      </c>
      <c r="X132" s="17" t="s">
        <v>126</v>
      </c>
      <c r="Y132" s="17" t="s">
        <v>126</v>
      </c>
      <c r="Z132" s="17" t="s">
        <v>126</v>
      </c>
      <c r="AA132" s="17" t="s">
        <v>126</v>
      </c>
      <c r="AB132" s="17" t="s">
        <v>126</v>
      </c>
      <c r="AC132" s="17" t="s">
        <v>126</v>
      </c>
      <c r="AD132" s="17" t="s">
        <v>126</v>
      </c>
      <c r="AE132" s="17" t="s">
        <v>126</v>
      </c>
      <c r="AF132" s="17" t="s">
        <v>126</v>
      </c>
      <c r="AG132" s="17" t="s">
        <v>126</v>
      </c>
      <c r="AH132" s="17" t="s">
        <v>126</v>
      </c>
      <c r="AI132" s="5" t="e">
        <f t="shared" si="7"/>
        <v>#VALUE!</v>
      </c>
      <c r="AJ132" s="5" t="e">
        <f t="shared" si="8"/>
        <v>#VALUE!</v>
      </c>
      <c r="AK132" s="5" t="e">
        <f t="shared" si="9"/>
        <v>#VALUE!</v>
      </c>
      <c r="AL132" s="5" t="e">
        <f t="shared" si="10"/>
        <v>#VALUE!</v>
      </c>
      <c r="AM132" s="5" t="e">
        <f t="shared" si="11"/>
        <v>#VALUE!</v>
      </c>
    </row>
    <row r="133" spans="1:39" ht="15" customHeight="1" thickBot="1" x14ac:dyDescent="0.35">
      <c r="A133" s="5">
        <f t="shared" si="6"/>
        <v>0</v>
      </c>
      <c r="B133" s="16">
        <v>274</v>
      </c>
      <c r="C133" s="10" t="s">
        <v>173</v>
      </c>
      <c r="D133" s="17" t="s">
        <v>38</v>
      </c>
      <c r="E133" s="17" t="s">
        <v>36</v>
      </c>
      <c r="F133" s="17" t="s">
        <v>36</v>
      </c>
      <c r="G133" s="17">
        <v>22</v>
      </c>
      <c r="H133" s="17" t="s">
        <v>126</v>
      </c>
      <c r="I133" s="17" t="s">
        <v>126</v>
      </c>
      <c r="J133" s="17" t="s">
        <v>126</v>
      </c>
      <c r="K133" s="17" t="s">
        <v>126</v>
      </c>
      <c r="L133" s="17" t="s">
        <v>126</v>
      </c>
      <c r="M133" s="17" t="s">
        <v>126</v>
      </c>
      <c r="N133" s="17" t="s">
        <v>126</v>
      </c>
      <c r="O133" s="17" t="s">
        <v>126</v>
      </c>
      <c r="P133" s="17" t="s">
        <v>126</v>
      </c>
      <c r="Q133" s="16">
        <v>274</v>
      </c>
      <c r="R133" s="10" t="s">
        <v>173</v>
      </c>
      <c r="S133" s="17" t="s">
        <v>38</v>
      </c>
      <c r="T133" s="17" t="s">
        <v>36</v>
      </c>
      <c r="U133" s="17" t="s">
        <v>36</v>
      </c>
      <c r="V133" s="17">
        <v>22</v>
      </c>
      <c r="W133" s="17" t="s">
        <v>126</v>
      </c>
      <c r="X133" s="17" t="s">
        <v>126</v>
      </c>
      <c r="Y133" s="17" t="s">
        <v>126</v>
      </c>
      <c r="Z133" s="17" t="s">
        <v>126</v>
      </c>
      <c r="AA133" s="17" t="s">
        <v>126</v>
      </c>
      <c r="AB133" s="17" t="s">
        <v>126</v>
      </c>
      <c r="AC133" s="17" t="s">
        <v>126</v>
      </c>
      <c r="AD133" s="17" t="s">
        <v>126</v>
      </c>
      <c r="AE133" s="17" t="s">
        <v>126</v>
      </c>
      <c r="AF133" s="17" t="s">
        <v>126</v>
      </c>
      <c r="AG133" s="17" t="s">
        <v>126</v>
      </c>
      <c r="AH133" s="17" t="s">
        <v>126</v>
      </c>
      <c r="AI133" s="5" t="e">
        <f t="shared" si="7"/>
        <v>#VALUE!</v>
      </c>
      <c r="AJ133" s="5" t="e">
        <f t="shared" si="8"/>
        <v>#VALUE!</v>
      </c>
      <c r="AK133" s="5" t="e">
        <f t="shared" si="9"/>
        <v>#VALUE!</v>
      </c>
      <c r="AL133" s="5" t="e">
        <f t="shared" si="10"/>
        <v>#VALUE!</v>
      </c>
      <c r="AM133" s="5" t="e">
        <f t="shared" si="11"/>
        <v>#VALUE!</v>
      </c>
    </row>
    <row r="134" spans="1:39" ht="15" customHeight="1" thickBot="1" x14ac:dyDescent="0.35">
      <c r="A134" s="5">
        <f t="shared" si="6"/>
        <v>0</v>
      </c>
      <c r="B134" s="16">
        <v>275</v>
      </c>
      <c r="C134" s="10" t="s">
        <v>174</v>
      </c>
      <c r="D134" s="17" t="s">
        <v>38</v>
      </c>
      <c r="E134" s="17" t="s">
        <v>46</v>
      </c>
      <c r="F134" s="17" t="s">
        <v>36</v>
      </c>
      <c r="G134" s="17">
        <v>21</v>
      </c>
      <c r="H134" s="17" t="s">
        <v>126</v>
      </c>
      <c r="I134" s="17" t="s">
        <v>126</v>
      </c>
      <c r="J134" s="17" t="s">
        <v>126</v>
      </c>
      <c r="K134" s="17" t="s">
        <v>126</v>
      </c>
      <c r="L134" s="17" t="s">
        <v>126</v>
      </c>
      <c r="M134" s="17" t="s">
        <v>126</v>
      </c>
      <c r="N134" s="17" t="s">
        <v>126</v>
      </c>
      <c r="O134" s="17" t="s">
        <v>126</v>
      </c>
      <c r="P134" s="17" t="s">
        <v>126</v>
      </c>
      <c r="Q134" s="16">
        <v>275</v>
      </c>
      <c r="R134" s="10" t="s">
        <v>174</v>
      </c>
      <c r="S134" s="17" t="s">
        <v>38</v>
      </c>
      <c r="T134" s="17" t="s">
        <v>46</v>
      </c>
      <c r="U134" s="17" t="s">
        <v>36</v>
      </c>
      <c r="V134" s="17">
        <v>21</v>
      </c>
      <c r="W134" s="17" t="s">
        <v>126</v>
      </c>
      <c r="X134" s="17" t="s">
        <v>126</v>
      </c>
      <c r="Y134" s="17" t="s">
        <v>126</v>
      </c>
      <c r="Z134" s="17" t="s">
        <v>126</v>
      </c>
      <c r="AA134" s="17" t="s">
        <v>126</v>
      </c>
      <c r="AB134" s="17" t="s">
        <v>126</v>
      </c>
      <c r="AC134" s="17" t="s">
        <v>126</v>
      </c>
      <c r="AD134" s="17" t="s">
        <v>126</v>
      </c>
      <c r="AE134" s="17" t="s">
        <v>126</v>
      </c>
      <c r="AF134" s="17" t="s">
        <v>126</v>
      </c>
      <c r="AG134" s="17" t="s">
        <v>126</v>
      </c>
      <c r="AH134" s="17" t="s">
        <v>126</v>
      </c>
      <c r="AI134" s="5" t="e">
        <f t="shared" si="7"/>
        <v>#VALUE!</v>
      </c>
      <c r="AJ134" s="5" t="e">
        <f t="shared" si="8"/>
        <v>#VALUE!</v>
      </c>
      <c r="AK134" s="5" t="e">
        <f t="shared" si="9"/>
        <v>#VALUE!</v>
      </c>
      <c r="AL134" s="5" t="e">
        <f t="shared" si="10"/>
        <v>#VALUE!</v>
      </c>
      <c r="AM134" s="5" t="e">
        <f t="shared" si="11"/>
        <v>#VALUE!</v>
      </c>
    </row>
    <row r="135" spans="1:39" ht="15" customHeight="1" thickBot="1" x14ac:dyDescent="0.35">
      <c r="A135" s="5">
        <f t="shared" ref="A135:A198" si="12">IFERROR((AI135*AI$3+AJ135*AJ$3+AK135*AK$3+AL135*AL$3+AM135*AM$3)*100/(AI$5*AI$3+AJ$5*AJ$3+AK$5*AK$3+AL$5*AL$3+AM$5*AM$3),0)</f>
        <v>0</v>
      </c>
      <c r="B135" s="16">
        <v>276</v>
      </c>
      <c r="C135" s="10" t="s">
        <v>175</v>
      </c>
      <c r="D135" s="17" t="s">
        <v>38</v>
      </c>
      <c r="E135" s="17" t="s">
        <v>36</v>
      </c>
      <c r="F135" s="17" t="s">
        <v>36</v>
      </c>
      <c r="G135" s="17">
        <v>18</v>
      </c>
      <c r="H135" s="17" t="s">
        <v>126</v>
      </c>
      <c r="I135" s="17" t="s">
        <v>126</v>
      </c>
      <c r="J135" s="17" t="s">
        <v>126</v>
      </c>
      <c r="K135" s="17" t="s">
        <v>126</v>
      </c>
      <c r="L135" s="17" t="s">
        <v>126</v>
      </c>
      <c r="M135" s="17" t="s">
        <v>126</v>
      </c>
      <c r="N135" s="17" t="s">
        <v>126</v>
      </c>
      <c r="O135" s="17" t="s">
        <v>126</v>
      </c>
      <c r="P135" s="17" t="s">
        <v>126</v>
      </c>
      <c r="Q135" s="16">
        <v>276</v>
      </c>
      <c r="R135" s="10" t="s">
        <v>175</v>
      </c>
      <c r="S135" s="17" t="s">
        <v>38</v>
      </c>
      <c r="T135" s="17" t="s">
        <v>36</v>
      </c>
      <c r="U135" s="17" t="s">
        <v>36</v>
      </c>
      <c r="V135" s="17">
        <v>18</v>
      </c>
      <c r="W135" s="17" t="s">
        <v>126</v>
      </c>
      <c r="X135" s="17" t="s">
        <v>126</v>
      </c>
      <c r="Y135" s="17" t="s">
        <v>126</v>
      </c>
      <c r="Z135" s="17" t="s">
        <v>126</v>
      </c>
      <c r="AA135" s="17" t="s">
        <v>126</v>
      </c>
      <c r="AB135" s="17" t="s">
        <v>126</v>
      </c>
      <c r="AC135" s="17" t="s">
        <v>126</v>
      </c>
      <c r="AD135" s="17" t="s">
        <v>126</v>
      </c>
      <c r="AE135" s="17" t="s">
        <v>126</v>
      </c>
      <c r="AF135" s="17" t="s">
        <v>126</v>
      </c>
      <c r="AG135" s="17" t="s">
        <v>126</v>
      </c>
      <c r="AH135" s="17" t="s">
        <v>126</v>
      </c>
      <c r="AI135" s="5" t="e">
        <f t="shared" ref="AI135:AI198" si="13">H$1*((-0.000002)*H135^3+0.00032*H135^2+(-0.0021)*H135)+I$1*((-0.000002)*I135^3+0.00032*I135^2+(-0.0021)*I135)+J$1*((-0.000002)*J135^3+0.00032*J135^2+(-0.0021)*J135)+K$1*((-0.000002)*K135^3+0.00032*K135^2+(-0.0021)*K135)+L$1*((-0.000002)*L135^3+0.00032*L135^2+(-0.0021)*L135)</f>
        <v>#VALUE!</v>
      </c>
      <c r="AJ135" s="5" t="e">
        <f t="shared" ref="AJ135:AJ198" si="14">M$1*((-0.000002)*M135^3+0.00032*M135^2+(-0.0021)*M135)+N$1*((-0.000002)*N135^3+0.00032*N135^2+(-0.0021)*N135)+O$1*((-0.000002)*O135^3+0.00032*O135^2+(-0.0021)*O135)</f>
        <v>#VALUE!</v>
      </c>
      <c r="AK135" s="5" t="e">
        <f t="shared" ref="AK135:AK198" si="15">IF(AA135&lt;50,W$1*((-0.000002)*W135^3+0.00032*W135^2+(-0.0021)*W135)+X$1*((-0.000002)*X135^3+0.00032*X135^2+(-0.0021)*X135)+Y$1*((-0.000002)*Y135^3+0.00032*Y135^2+(-0.0021)*Y135)+Z$1*((-0.000002)*Z135^3+0.00032*Z135^2+(-0.0021)*Z135),X$2*((-0.000002)*X135^3+0.00032*X135^2+(-0.0021)*X135)+Y$2*((-0.000002)*Y135^3+0.00032*Y135^2+(-0.0021)*Y135)+Z$2*((-0.000002)*Z135^3+0.00032*Z135^2+(-0.0021)*Z135)+AA$2*((-0.000002)*AA135^3+0.00032*AA135^2+(-0.0021)*AA135))</f>
        <v>#VALUE!</v>
      </c>
      <c r="AL135" s="5" t="e">
        <f t="shared" ref="AL135:AL198" si="16">AB$1*((-0.000002)*AB135^3+0.00032*AB135^2+(-0.0021)*AB135)+AC$1*((-0.000002)*AC135^3+0.00032*AC135^2+(-0.0021)*AC135)</f>
        <v>#VALUE!</v>
      </c>
      <c r="AM135" s="5" t="e">
        <f t="shared" ref="AM135:AM198" si="17">AD$1*((-0.000002)*AD135^3+0.00032*AD135^2+(-0.0021)*AD135)+AE$1*((-0.000002)*AE135^3+0.00032*AE135^2+(-0.0021)*AE135)+AF$1*((-0.000002)*AF135^3+0.00032*AF135^2+(-0.0021)*AF135)+AG$1*((-0.000002)*AG135^3+0.00032*AG135^2+(-0.0021)*AG135)</f>
        <v>#VALUE!</v>
      </c>
    </row>
    <row r="136" spans="1:39" ht="15" customHeight="1" thickBot="1" x14ac:dyDescent="0.35">
      <c r="A136" s="5">
        <f t="shared" si="12"/>
        <v>0</v>
      </c>
      <c r="B136" s="18">
        <v>277</v>
      </c>
      <c r="C136" s="11" t="s">
        <v>176</v>
      </c>
      <c r="D136" s="19" t="s">
        <v>38</v>
      </c>
      <c r="E136" s="19" t="s">
        <v>36</v>
      </c>
      <c r="F136" s="19" t="s">
        <v>36</v>
      </c>
      <c r="G136" s="19">
        <v>19</v>
      </c>
      <c r="H136" s="19" t="s">
        <v>126</v>
      </c>
      <c r="I136" s="19" t="s">
        <v>126</v>
      </c>
      <c r="J136" s="19" t="s">
        <v>126</v>
      </c>
      <c r="K136" s="19" t="s">
        <v>126</v>
      </c>
      <c r="L136" s="19" t="s">
        <v>126</v>
      </c>
      <c r="M136" s="19" t="s">
        <v>126</v>
      </c>
      <c r="N136" s="19" t="s">
        <v>126</v>
      </c>
      <c r="O136" s="19" t="s">
        <v>126</v>
      </c>
      <c r="P136" s="19" t="s">
        <v>126</v>
      </c>
      <c r="Q136" s="18">
        <v>277</v>
      </c>
      <c r="R136" s="11" t="s">
        <v>176</v>
      </c>
      <c r="S136" s="19" t="s">
        <v>38</v>
      </c>
      <c r="T136" s="19" t="s">
        <v>36</v>
      </c>
      <c r="U136" s="19" t="s">
        <v>36</v>
      </c>
      <c r="V136" s="19">
        <v>19</v>
      </c>
      <c r="W136" s="19" t="s">
        <v>126</v>
      </c>
      <c r="X136" s="19" t="s">
        <v>126</v>
      </c>
      <c r="Y136" s="19" t="s">
        <v>126</v>
      </c>
      <c r="Z136" s="19" t="s">
        <v>126</v>
      </c>
      <c r="AA136" s="19" t="s">
        <v>126</v>
      </c>
      <c r="AB136" s="19" t="s">
        <v>126</v>
      </c>
      <c r="AC136" s="19" t="s">
        <v>126</v>
      </c>
      <c r="AD136" s="19" t="s">
        <v>126</v>
      </c>
      <c r="AE136" s="19" t="s">
        <v>126</v>
      </c>
      <c r="AF136" s="19" t="s">
        <v>126</v>
      </c>
      <c r="AG136" s="19" t="s">
        <v>126</v>
      </c>
      <c r="AH136" s="19" t="s">
        <v>126</v>
      </c>
      <c r="AI136" s="5" t="e">
        <f t="shared" si="13"/>
        <v>#VALUE!</v>
      </c>
      <c r="AJ136" s="5" t="e">
        <f t="shared" si="14"/>
        <v>#VALUE!</v>
      </c>
      <c r="AK136" s="5" t="e">
        <f t="shared" si="15"/>
        <v>#VALUE!</v>
      </c>
      <c r="AL136" s="5" t="e">
        <f t="shared" si="16"/>
        <v>#VALUE!</v>
      </c>
      <c r="AM136" s="5" t="e">
        <f t="shared" si="17"/>
        <v>#VALUE!</v>
      </c>
    </row>
    <row r="137" spans="1:39" ht="15" customHeight="1" thickBot="1" x14ac:dyDescent="0.35">
      <c r="A137" s="5">
        <f t="shared" si="12"/>
        <v>0</v>
      </c>
      <c r="B137" s="16">
        <v>278</v>
      </c>
      <c r="C137" s="10" t="s">
        <v>177</v>
      </c>
      <c r="D137" s="17" t="s">
        <v>38</v>
      </c>
      <c r="E137" s="17" t="s">
        <v>36</v>
      </c>
      <c r="F137" s="17" t="s">
        <v>36</v>
      </c>
      <c r="G137" s="17">
        <v>22</v>
      </c>
      <c r="H137" s="17" t="s">
        <v>126</v>
      </c>
      <c r="I137" s="17" t="s">
        <v>126</v>
      </c>
      <c r="J137" s="17" t="s">
        <v>126</v>
      </c>
      <c r="K137" s="17" t="s">
        <v>126</v>
      </c>
      <c r="L137" s="17" t="s">
        <v>126</v>
      </c>
      <c r="M137" s="17" t="s">
        <v>126</v>
      </c>
      <c r="N137" s="17" t="s">
        <v>126</v>
      </c>
      <c r="O137" s="17" t="s">
        <v>126</v>
      </c>
      <c r="P137" s="17" t="s">
        <v>126</v>
      </c>
      <c r="Q137" s="16">
        <v>278</v>
      </c>
      <c r="R137" s="10" t="s">
        <v>177</v>
      </c>
      <c r="S137" s="17" t="s">
        <v>38</v>
      </c>
      <c r="T137" s="17" t="s">
        <v>36</v>
      </c>
      <c r="U137" s="17" t="s">
        <v>36</v>
      </c>
      <c r="V137" s="17">
        <v>22</v>
      </c>
      <c r="W137" s="17" t="s">
        <v>126</v>
      </c>
      <c r="X137" s="17" t="s">
        <v>126</v>
      </c>
      <c r="Y137" s="17" t="s">
        <v>126</v>
      </c>
      <c r="Z137" s="17" t="s">
        <v>126</v>
      </c>
      <c r="AA137" s="17" t="s">
        <v>126</v>
      </c>
      <c r="AB137" s="17" t="s">
        <v>126</v>
      </c>
      <c r="AC137" s="17" t="s">
        <v>126</v>
      </c>
      <c r="AD137" s="17" t="s">
        <v>126</v>
      </c>
      <c r="AE137" s="17" t="s">
        <v>126</v>
      </c>
      <c r="AF137" s="17" t="s">
        <v>126</v>
      </c>
      <c r="AG137" s="17" t="s">
        <v>126</v>
      </c>
      <c r="AH137" s="17" t="s">
        <v>126</v>
      </c>
      <c r="AI137" s="5" t="e">
        <f t="shared" si="13"/>
        <v>#VALUE!</v>
      </c>
      <c r="AJ137" s="5" t="e">
        <f t="shared" si="14"/>
        <v>#VALUE!</v>
      </c>
      <c r="AK137" s="5" t="e">
        <f t="shared" si="15"/>
        <v>#VALUE!</v>
      </c>
      <c r="AL137" s="5" t="e">
        <f t="shared" si="16"/>
        <v>#VALUE!</v>
      </c>
      <c r="AM137" s="5" t="e">
        <f t="shared" si="17"/>
        <v>#VALUE!</v>
      </c>
    </row>
    <row r="138" spans="1:39" ht="15" customHeight="1" thickBot="1" x14ac:dyDescent="0.35">
      <c r="A138" s="5">
        <f t="shared" si="12"/>
        <v>0</v>
      </c>
      <c r="B138" s="16">
        <v>279</v>
      </c>
      <c r="C138" s="10" t="s">
        <v>178</v>
      </c>
      <c r="D138" s="17" t="s">
        <v>38</v>
      </c>
      <c r="E138" s="17" t="s">
        <v>36</v>
      </c>
      <c r="F138" s="17" t="s">
        <v>36</v>
      </c>
      <c r="G138" s="17">
        <v>21</v>
      </c>
      <c r="H138" s="17" t="s">
        <v>126</v>
      </c>
      <c r="I138" s="17" t="s">
        <v>126</v>
      </c>
      <c r="J138" s="17" t="s">
        <v>126</v>
      </c>
      <c r="K138" s="17" t="s">
        <v>126</v>
      </c>
      <c r="L138" s="17" t="s">
        <v>126</v>
      </c>
      <c r="M138" s="17" t="s">
        <v>126</v>
      </c>
      <c r="N138" s="17" t="s">
        <v>126</v>
      </c>
      <c r="O138" s="17" t="s">
        <v>126</v>
      </c>
      <c r="P138" s="17" t="s">
        <v>126</v>
      </c>
      <c r="Q138" s="16">
        <v>279</v>
      </c>
      <c r="R138" s="10" t="s">
        <v>178</v>
      </c>
      <c r="S138" s="17" t="s">
        <v>38</v>
      </c>
      <c r="T138" s="17" t="s">
        <v>36</v>
      </c>
      <c r="U138" s="17" t="s">
        <v>36</v>
      </c>
      <c r="V138" s="17">
        <v>21</v>
      </c>
      <c r="W138" s="17" t="s">
        <v>126</v>
      </c>
      <c r="X138" s="17" t="s">
        <v>126</v>
      </c>
      <c r="Y138" s="17" t="s">
        <v>126</v>
      </c>
      <c r="Z138" s="17" t="s">
        <v>126</v>
      </c>
      <c r="AA138" s="17" t="s">
        <v>126</v>
      </c>
      <c r="AB138" s="17" t="s">
        <v>126</v>
      </c>
      <c r="AC138" s="17" t="s">
        <v>126</v>
      </c>
      <c r="AD138" s="17" t="s">
        <v>126</v>
      </c>
      <c r="AE138" s="17" t="s">
        <v>126</v>
      </c>
      <c r="AF138" s="17" t="s">
        <v>126</v>
      </c>
      <c r="AG138" s="17" t="s">
        <v>126</v>
      </c>
      <c r="AH138" s="17" t="s">
        <v>126</v>
      </c>
      <c r="AI138" s="5" t="e">
        <f t="shared" si="13"/>
        <v>#VALUE!</v>
      </c>
      <c r="AJ138" s="5" t="e">
        <f t="shared" si="14"/>
        <v>#VALUE!</v>
      </c>
      <c r="AK138" s="5" t="e">
        <f t="shared" si="15"/>
        <v>#VALUE!</v>
      </c>
      <c r="AL138" s="5" t="e">
        <f t="shared" si="16"/>
        <v>#VALUE!</v>
      </c>
      <c r="AM138" s="5" t="e">
        <f t="shared" si="17"/>
        <v>#VALUE!</v>
      </c>
    </row>
    <row r="139" spans="1:39" ht="15" customHeight="1" thickBot="1" x14ac:dyDescent="0.35">
      <c r="A139" s="5">
        <f t="shared" si="12"/>
        <v>0</v>
      </c>
      <c r="B139" s="18">
        <v>280</v>
      </c>
      <c r="C139" s="11" t="s">
        <v>179</v>
      </c>
      <c r="D139" s="19" t="s">
        <v>38</v>
      </c>
      <c r="E139" s="19" t="s">
        <v>36</v>
      </c>
      <c r="F139" s="19" t="s">
        <v>36</v>
      </c>
      <c r="G139" s="19">
        <v>22</v>
      </c>
      <c r="H139" s="19" t="s">
        <v>126</v>
      </c>
      <c r="I139" s="19" t="s">
        <v>126</v>
      </c>
      <c r="J139" s="19" t="s">
        <v>126</v>
      </c>
      <c r="K139" s="19" t="s">
        <v>126</v>
      </c>
      <c r="L139" s="19" t="s">
        <v>126</v>
      </c>
      <c r="M139" s="19" t="s">
        <v>126</v>
      </c>
      <c r="N139" s="19" t="s">
        <v>126</v>
      </c>
      <c r="O139" s="19" t="s">
        <v>126</v>
      </c>
      <c r="P139" s="19" t="s">
        <v>126</v>
      </c>
      <c r="Q139" s="18">
        <v>280</v>
      </c>
      <c r="R139" s="11" t="s">
        <v>179</v>
      </c>
      <c r="S139" s="19" t="s">
        <v>38</v>
      </c>
      <c r="T139" s="19" t="s">
        <v>36</v>
      </c>
      <c r="U139" s="19" t="s">
        <v>36</v>
      </c>
      <c r="V139" s="19">
        <v>22</v>
      </c>
      <c r="W139" s="19" t="s">
        <v>126</v>
      </c>
      <c r="X139" s="19" t="s">
        <v>126</v>
      </c>
      <c r="Y139" s="19" t="s">
        <v>126</v>
      </c>
      <c r="Z139" s="19" t="s">
        <v>126</v>
      </c>
      <c r="AA139" s="19" t="s">
        <v>126</v>
      </c>
      <c r="AB139" s="19" t="s">
        <v>126</v>
      </c>
      <c r="AC139" s="19" t="s">
        <v>126</v>
      </c>
      <c r="AD139" s="19" t="s">
        <v>126</v>
      </c>
      <c r="AE139" s="19" t="s">
        <v>126</v>
      </c>
      <c r="AF139" s="19" t="s">
        <v>126</v>
      </c>
      <c r="AG139" s="19" t="s">
        <v>126</v>
      </c>
      <c r="AH139" s="19" t="s">
        <v>126</v>
      </c>
      <c r="AI139" s="5" t="e">
        <f t="shared" si="13"/>
        <v>#VALUE!</v>
      </c>
      <c r="AJ139" s="5" t="e">
        <f t="shared" si="14"/>
        <v>#VALUE!</v>
      </c>
      <c r="AK139" s="5" t="e">
        <f t="shared" si="15"/>
        <v>#VALUE!</v>
      </c>
      <c r="AL139" s="5" t="e">
        <f t="shared" si="16"/>
        <v>#VALUE!</v>
      </c>
      <c r="AM139" s="5" t="e">
        <f t="shared" si="17"/>
        <v>#VALUE!</v>
      </c>
    </row>
    <row r="140" spans="1:39" ht="15" customHeight="1" thickBot="1" x14ac:dyDescent="0.35">
      <c r="A140" s="5">
        <f t="shared" si="12"/>
        <v>0</v>
      </c>
      <c r="B140" s="18">
        <v>281</v>
      </c>
      <c r="C140" s="11" t="s">
        <v>180</v>
      </c>
      <c r="D140" s="19" t="s">
        <v>38</v>
      </c>
      <c r="E140" s="19" t="s">
        <v>36</v>
      </c>
      <c r="F140" s="19" t="s">
        <v>36</v>
      </c>
      <c r="G140" s="19">
        <v>19</v>
      </c>
      <c r="H140" s="19" t="s">
        <v>126</v>
      </c>
      <c r="I140" s="19" t="s">
        <v>126</v>
      </c>
      <c r="J140" s="19" t="s">
        <v>126</v>
      </c>
      <c r="K140" s="19" t="s">
        <v>126</v>
      </c>
      <c r="L140" s="19" t="s">
        <v>126</v>
      </c>
      <c r="M140" s="19" t="s">
        <v>126</v>
      </c>
      <c r="N140" s="19" t="s">
        <v>126</v>
      </c>
      <c r="O140" s="19" t="s">
        <v>126</v>
      </c>
      <c r="P140" s="19" t="s">
        <v>126</v>
      </c>
      <c r="Q140" s="18">
        <v>281</v>
      </c>
      <c r="R140" s="11" t="s">
        <v>180</v>
      </c>
      <c r="S140" s="19" t="s">
        <v>38</v>
      </c>
      <c r="T140" s="19" t="s">
        <v>36</v>
      </c>
      <c r="U140" s="19" t="s">
        <v>36</v>
      </c>
      <c r="V140" s="19">
        <v>19</v>
      </c>
      <c r="W140" s="19" t="s">
        <v>126</v>
      </c>
      <c r="X140" s="19" t="s">
        <v>126</v>
      </c>
      <c r="Y140" s="19" t="s">
        <v>126</v>
      </c>
      <c r="Z140" s="19" t="s">
        <v>126</v>
      </c>
      <c r="AA140" s="19" t="s">
        <v>126</v>
      </c>
      <c r="AB140" s="19" t="s">
        <v>126</v>
      </c>
      <c r="AC140" s="19" t="s">
        <v>126</v>
      </c>
      <c r="AD140" s="19" t="s">
        <v>126</v>
      </c>
      <c r="AE140" s="19" t="s">
        <v>126</v>
      </c>
      <c r="AF140" s="19" t="s">
        <v>126</v>
      </c>
      <c r="AG140" s="19" t="s">
        <v>126</v>
      </c>
      <c r="AH140" s="19" t="s">
        <v>126</v>
      </c>
      <c r="AI140" s="5" t="e">
        <f t="shared" si="13"/>
        <v>#VALUE!</v>
      </c>
      <c r="AJ140" s="5" t="e">
        <f t="shared" si="14"/>
        <v>#VALUE!</v>
      </c>
      <c r="AK140" s="5" t="e">
        <f t="shared" si="15"/>
        <v>#VALUE!</v>
      </c>
      <c r="AL140" s="5" t="e">
        <f t="shared" si="16"/>
        <v>#VALUE!</v>
      </c>
      <c r="AM140" s="5" t="e">
        <f t="shared" si="17"/>
        <v>#VALUE!</v>
      </c>
    </row>
    <row r="141" spans="1:39" ht="15" customHeight="1" thickBot="1" x14ac:dyDescent="0.35">
      <c r="A141" s="5">
        <f t="shared" si="12"/>
        <v>0</v>
      </c>
      <c r="B141" s="18">
        <v>282</v>
      </c>
      <c r="C141" s="11" t="s">
        <v>181</v>
      </c>
      <c r="D141" s="19" t="s">
        <v>38</v>
      </c>
      <c r="E141" s="19" t="s">
        <v>36</v>
      </c>
      <c r="F141" s="19" t="s">
        <v>36</v>
      </c>
      <c r="G141" s="19">
        <v>19</v>
      </c>
      <c r="H141" s="19" t="s">
        <v>126</v>
      </c>
      <c r="I141" s="19" t="s">
        <v>126</v>
      </c>
      <c r="J141" s="19" t="s">
        <v>126</v>
      </c>
      <c r="K141" s="19" t="s">
        <v>126</v>
      </c>
      <c r="L141" s="19" t="s">
        <v>126</v>
      </c>
      <c r="M141" s="19" t="s">
        <v>126</v>
      </c>
      <c r="N141" s="19" t="s">
        <v>126</v>
      </c>
      <c r="O141" s="19" t="s">
        <v>126</v>
      </c>
      <c r="P141" s="19" t="s">
        <v>126</v>
      </c>
      <c r="Q141" s="18">
        <v>282</v>
      </c>
      <c r="R141" s="11" t="s">
        <v>181</v>
      </c>
      <c r="S141" s="19" t="s">
        <v>38</v>
      </c>
      <c r="T141" s="19" t="s">
        <v>36</v>
      </c>
      <c r="U141" s="19" t="s">
        <v>36</v>
      </c>
      <c r="V141" s="19">
        <v>19</v>
      </c>
      <c r="W141" s="19" t="s">
        <v>126</v>
      </c>
      <c r="X141" s="19" t="s">
        <v>126</v>
      </c>
      <c r="Y141" s="19" t="s">
        <v>126</v>
      </c>
      <c r="Z141" s="19" t="s">
        <v>126</v>
      </c>
      <c r="AA141" s="19" t="s">
        <v>126</v>
      </c>
      <c r="AB141" s="19" t="s">
        <v>126</v>
      </c>
      <c r="AC141" s="19" t="s">
        <v>126</v>
      </c>
      <c r="AD141" s="19" t="s">
        <v>126</v>
      </c>
      <c r="AE141" s="19" t="s">
        <v>126</v>
      </c>
      <c r="AF141" s="19" t="s">
        <v>126</v>
      </c>
      <c r="AG141" s="19" t="s">
        <v>126</v>
      </c>
      <c r="AH141" s="19" t="s">
        <v>126</v>
      </c>
      <c r="AI141" s="5" t="e">
        <f t="shared" si="13"/>
        <v>#VALUE!</v>
      </c>
      <c r="AJ141" s="5" t="e">
        <f t="shared" si="14"/>
        <v>#VALUE!</v>
      </c>
      <c r="AK141" s="5" t="e">
        <f t="shared" si="15"/>
        <v>#VALUE!</v>
      </c>
      <c r="AL141" s="5" t="e">
        <f t="shared" si="16"/>
        <v>#VALUE!</v>
      </c>
      <c r="AM141" s="5" t="e">
        <f t="shared" si="17"/>
        <v>#VALUE!</v>
      </c>
    </row>
    <row r="142" spans="1:39" ht="15" customHeight="1" thickBot="1" x14ac:dyDescent="0.35">
      <c r="A142" s="5">
        <f t="shared" si="12"/>
        <v>0</v>
      </c>
      <c r="B142" s="18">
        <v>283</v>
      </c>
      <c r="C142" s="11" t="s">
        <v>182</v>
      </c>
      <c r="D142" s="19" t="s">
        <v>38</v>
      </c>
      <c r="E142" s="19" t="s">
        <v>47</v>
      </c>
      <c r="F142" s="19" t="s">
        <v>36</v>
      </c>
      <c r="G142" s="19">
        <v>21</v>
      </c>
      <c r="H142" s="19" t="s">
        <v>126</v>
      </c>
      <c r="I142" s="19" t="s">
        <v>126</v>
      </c>
      <c r="J142" s="19" t="s">
        <v>126</v>
      </c>
      <c r="K142" s="19" t="s">
        <v>126</v>
      </c>
      <c r="L142" s="19" t="s">
        <v>126</v>
      </c>
      <c r="M142" s="19" t="s">
        <v>126</v>
      </c>
      <c r="N142" s="19" t="s">
        <v>126</v>
      </c>
      <c r="O142" s="19" t="s">
        <v>126</v>
      </c>
      <c r="P142" s="19" t="s">
        <v>126</v>
      </c>
      <c r="Q142" s="18">
        <v>283</v>
      </c>
      <c r="R142" s="11" t="s">
        <v>182</v>
      </c>
      <c r="S142" s="19" t="s">
        <v>38</v>
      </c>
      <c r="T142" s="19" t="s">
        <v>47</v>
      </c>
      <c r="U142" s="19" t="s">
        <v>36</v>
      </c>
      <c r="V142" s="19">
        <v>21</v>
      </c>
      <c r="W142" s="19" t="s">
        <v>126</v>
      </c>
      <c r="X142" s="19" t="s">
        <v>126</v>
      </c>
      <c r="Y142" s="19" t="s">
        <v>126</v>
      </c>
      <c r="Z142" s="19" t="s">
        <v>126</v>
      </c>
      <c r="AA142" s="19" t="s">
        <v>126</v>
      </c>
      <c r="AB142" s="19" t="s">
        <v>126</v>
      </c>
      <c r="AC142" s="19" t="s">
        <v>126</v>
      </c>
      <c r="AD142" s="19" t="s">
        <v>126</v>
      </c>
      <c r="AE142" s="19" t="s">
        <v>126</v>
      </c>
      <c r="AF142" s="19" t="s">
        <v>126</v>
      </c>
      <c r="AG142" s="19" t="s">
        <v>126</v>
      </c>
      <c r="AH142" s="19" t="s">
        <v>126</v>
      </c>
      <c r="AI142" s="5" t="e">
        <f t="shared" si="13"/>
        <v>#VALUE!</v>
      </c>
      <c r="AJ142" s="5" t="e">
        <f t="shared" si="14"/>
        <v>#VALUE!</v>
      </c>
      <c r="AK142" s="5" t="e">
        <f t="shared" si="15"/>
        <v>#VALUE!</v>
      </c>
      <c r="AL142" s="5" t="e">
        <f t="shared" si="16"/>
        <v>#VALUE!</v>
      </c>
      <c r="AM142" s="5" t="e">
        <f t="shared" si="17"/>
        <v>#VALUE!</v>
      </c>
    </row>
    <row r="143" spans="1:39" ht="15" customHeight="1" thickBot="1" x14ac:dyDescent="0.35">
      <c r="A143" s="5">
        <f t="shared" si="12"/>
        <v>0</v>
      </c>
      <c r="B143" s="18">
        <v>284</v>
      </c>
      <c r="C143" s="11" t="s">
        <v>183</v>
      </c>
      <c r="D143" s="19" t="s">
        <v>38</v>
      </c>
      <c r="E143" s="19" t="s">
        <v>36</v>
      </c>
      <c r="F143" s="19" t="s">
        <v>36</v>
      </c>
      <c r="G143" s="19">
        <v>18</v>
      </c>
      <c r="H143" s="19" t="s">
        <v>126</v>
      </c>
      <c r="I143" s="19" t="s">
        <v>126</v>
      </c>
      <c r="J143" s="19" t="s">
        <v>126</v>
      </c>
      <c r="K143" s="19" t="s">
        <v>126</v>
      </c>
      <c r="L143" s="19" t="s">
        <v>126</v>
      </c>
      <c r="M143" s="19" t="s">
        <v>126</v>
      </c>
      <c r="N143" s="19" t="s">
        <v>126</v>
      </c>
      <c r="O143" s="19" t="s">
        <v>126</v>
      </c>
      <c r="P143" s="19" t="s">
        <v>126</v>
      </c>
      <c r="Q143" s="18">
        <v>284</v>
      </c>
      <c r="R143" s="11" t="s">
        <v>183</v>
      </c>
      <c r="S143" s="19" t="s">
        <v>38</v>
      </c>
      <c r="T143" s="19" t="s">
        <v>36</v>
      </c>
      <c r="U143" s="19" t="s">
        <v>36</v>
      </c>
      <c r="V143" s="19">
        <v>18</v>
      </c>
      <c r="W143" s="19" t="s">
        <v>126</v>
      </c>
      <c r="X143" s="19" t="s">
        <v>126</v>
      </c>
      <c r="Y143" s="19" t="s">
        <v>126</v>
      </c>
      <c r="Z143" s="19" t="s">
        <v>126</v>
      </c>
      <c r="AA143" s="19" t="s">
        <v>126</v>
      </c>
      <c r="AB143" s="19" t="s">
        <v>126</v>
      </c>
      <c r="AC143" s="19" t="s">
        <v>126</v>
      </c>
      <c r="AD143" s="19" t="s">
        <v>126</v>
      </c>
      <c r="AE143" s="19" t="s">
        <v>126</v>
      </c>
      <c r="AF143" s="19" t="s">
        <v>126</v>
      </c>
      <c r="AG143" s="19" t="s">
        <v>126</v>
      </c>
      <c r="AH143" s="19" t="s">
        <v>126</v>
      </c>
      <c r="AI143" s="5" t="e">
        <f t="shared" si="13"/>
        <v>#VALUE!</v>
      </c>
      <c r="AJ143" s="5" t="e">
        <f t="shared" si="14"/>
        <v>#VALUE!</v>
      </c>
      <c r="AK143" s="5" t="e">
        <f t="shared" si="15"/>
        <v>#VALUE!</v>
      </c>
      <c r="AL143" s="5" t="e">
        <f t="shared" si="16"/>
        <v>#VALUE!</v>
      </c>
      <c r="AM143" s="5" t="e">
        <f t="shared" si="17"/>
        <v>#VALUE!</v>
      </c>
    </row>
    <row r="144" spans="1:39" ht="15" customHeight="1" thickBot="1" x14ac:dyDescent="0.35">
      <c r="A144" s="5">
        <f t="shared" si="12"/>
        <v>0</v>
      </c>
      <c r="B144" s="18">
        <v>285</v>
      </c>
      <c r="C144" s="11" t="s">
        <v>184</v>
      </c>
      <c r="D144" s="19" t="s">
        <v>38</v>
      </c>
      <c r="E144" s="19" t="s">
        <v>36</v>
      </c>
      <c r="F144" s="19" t="s">
        <v>36</v>
      </c>
      <c r="G144" s="19">
        <v>22</v>
      </c>
      <c r="H144" s="19" t="s">
        <v>126</v>
      </c>
      <c r="I144" s="19" t="s">
        <v>126</v>
      </c>
      <c r="J144" s="19" t="s">
        <v>126</v>
      </c>
      <c r="K144" s="19" t="s">
        <v>126</v>
      </c>
      <c r="L144" s="19" t="s">
        <v>126</v>
      </c>
      <c r="M144" s="19" t="s">
        <v>126</v>
      </c>
      <c r="N144" s="19" t="s">
        <v>126</v>
      </c>
      <c r="O144" s="19" t="s">
        <v>126</v>
      </c>
      <c r="P144" s="19" t="s">
        <v>126</v>
      </c>
      <c r="Q144" s="18">
        <v>285</v>
      </c>
      <c r="R144" s="11" t="s">
        <v>184</v>
      </c>
      <c r="S144" s="19" t="s">
        <v>38</v>
      </c>
      <c r="T144" s="19" t="s">
        <v>36</v>
      </c>
      <c r="U144" s="19" t="s">
        <v>36</v>
      </c>
      <c r="V144" s="19">
        <v>22</v>
      </c>
      <c r="W144" s="19" t="s">
        <v>126</v>
      </c>
      <c r="X144" s="19" t="s">
        <v>126</v>
      </c>
      <c r="Y144" s="19" t="s">
        <v>126</v>
      </c>
      <c r="Z144" s="19" t="s">
        <v>126</v>
      </c>
      <c r="AA144" s="19" t="s">
        <v>126</v>
      </c>
      <c r="AB144" s="19" t="s">
        <v>126</v>
      </c>
      <c r="AC144" s="19" t="s">
        <v>126</v>
      </c>
      <c r="AD144" s="19" t="s">
        <v>126</v>
      </c>
      <c r="AE144" s="19" t="s">
        <v>126</v>
      </c>
      <c r="AF144" s="19" t="s">
        <v>126</v>
      </c>
      <c r="AG144" s="19" t="s">
        <v>126</v>
      </c>
      <c r="AH144" s="19" t="s">
        <v>126</v>
      </c>
      <c r="AI144" s="5" t="e">
        <f t="shared" si="13"/>
        <v>#VALUE!</v>
      </c>
      <c r="AJ144" s="5" t="e">
        <f t="shared" si="14"/>
        <v>#VALUE!</v>
      </c>
      <c r="AK144" s="5" t="e">
        <f t="shared" si="15"/>
        <v>#VALUE!</v>
      </c>
      <c r="AL144" s="5" t="e">
        <f t="shared" si="16"/>
        <v>#VALUE!</v>
      </c>
      <c r="AM144" s="5" t="e">
        <f t="shared" si="17"/>
        <v>#VALUE!</v>
      </c>
    </row>
    <row r="145" spans="1:39" ht="15" customHeight="1" thickBot="1" x14ac:dyDescent="0.35">
      <c r="A145" s="5">
        <f t="shared" si="12"/>
        <v>0</v>
      </c>
      <c r="B145" s="18">
        <v>286</v>
      </c>
      <c r="C145" s="11" t="s">
        <v>185</v>
      </c>
      <c r="D145" s="19" t="s">
        <v>45</v>
      </c>
      <c r="E145" s="19" t="s">
        <v>36</v>
      </c>
      <c r="F145" s="19" t="s">
        <v>36</v>
      </c>
      <c r="G145" s="19">
        <v>18</v>
      </c>
      <c r="H145" s="19" t="s">
        <v>126</v>
      </c>
      <c r="I145" s="19" t="s">
        <v>126</v>
      </c>
      <c r="J145" s="19" t="s">
        <v>126</v>
      </c>
      <c r="K145" s="19" t="s">
        <v>126</v>
      </c>
      <c r="L145" s="19" t="s">
        <v>126</v>
      </c>
      <c r="M145" s="19" t="s">
        <v>126</v>
      </c>
      <c r="N145" s="19" t="s">
        <v>126</v>
      </c>
      <c r="O145" s="19" t="s">
        <v>126</v>
      </c>
      <c r="P145" s="19" t="s">
        <v>126</v>
      </c>
      <c r="Q145" s="18">
        <v>286</v>
      </c>
      <c r="R145" s="11" t="s">
        <v>185</v>
      </c>
      <c r="S145" s="19" t="s">
        <v>45</v>
      </c>
      <c r="T145" s="19" t="s">
        <v>36</v>
      </c>
      <c r="U145" s="19" t="s">
        <v>36</v>
      </c>
      <c r="V145" s="19">
        <v>18</v>
      </c>
      <c r="W145" s="19" t="s">
        <v>126</v>
      </c>
      <c r="X145" s="19" t="s">
        <v>126</v>
      </c>
      <c r="Y145" s="19" t="s">
        <v>126</v>
      </c>
      <c r="Z145" s="19" t="s">
        <v>126</v>
      </c>
      <c r="AA145" s="19" t="s">
        <v>126</v>
      </c>
      <c r="AB145" s="19" t="s">
        <v>126</v>
      </c>
      <c r="AC145" s="19" t="s">
        <v>126</v>
      </c>
      <c r="AD145" s="19" t="s">
        <v>126</v>
      </c>
      <c r="AE145" s="19" t="s">
        <v>126</v>
      </c>
      <c r="AF145" s="19" t="s">
        <v>126</v>
      </c>
      <c r="AG145" s="19" t="s">
        <v>126</v>
      </c>
      <c r="AH145" s="19" t="s">
        <v>126</v>
      </c>
      <c r="AI145" s="5" t="e">
        <f t="shared" si="13"/>
        <v>#VALUE!</v>
      </c>
      <c r="AJ145" s="5" t="e">
        <f t="shared" si="14"/>
        <v>#VALUE!</v>
      </c>
      <c r="AK145" s="5" t="e">
        <f t="shared" si="15"/>
        <v>#VALUE!</v>
      </c>
      <c r="AL145" s="5" t="e">
        <f t="shared" si="16"/>
        <v>#VALUE!</v>
      </c>
      <c r="AM145" s="5" t="e">
        <f t="shared" si="17"/>
        <v>#VALUE!</v>
      </c>
    </row>
    <row r="146" spans="1:39" ht="15" customHeight="1" thickBot="1" x14ac:dyDescent="0.35">
      <c r="A146" s="5">
        <f t="shared" si="12"/>
        <v>0</v>
      </c>
      <c r="B146" s="16">
        <v>287</v>
      </c>
      <c r="C146" s="10" t="s">
        <v>186</v>
      </c>
      <c r="D146" s="17" t="s">
        <v>45</v>
      </c>
      <c r="E146" s="17" t="s">
        <v>47</v>
      </c>
      <c r="F146" s="17" t="s">
        <v>47</v>
      </c>
      <c r="G146" s="17">
        <v>22</v>
      </c>
      <c r="H146" s="17" t="s">
        <v>126</v>
      </c>
      <c r="I146" s="17" t="s">
        <v>126</v>
      </c>
      <c r="J146" s="17" t="s">
        <v>126</v>
      </c>
      <c r="K146" s="17" t="s">
        <v>126</v>
      </c>
      <c r="L146" s="17" t="s">
        <v>126</v>
      </c>
      <c r="M146" s="17" t="s">
        <v>126</v>
      </c>
      <c r="N146" s="17" t="s">
        <v>126</v>
      </c>
      <c r="O146" s="17" t="s">
        <v>126</v>
      </c>
      <c r="P146" s="17" t="s">
        <v>126</v>
      </c>
      <c r="Q146" s="16">
        <v>287</v>
      </c>
      <c r="R146" s="10" t="s">
        <v>186</v>
      </c>
      <c r="S146" s="17" t="s">
        <v>45</v>
      </c>
      <c r="T146" s="17" t="s">
        <v>47</v>
      </c>
      <c r="U146" s="17" t="s">
        <v>47</v>
      </c>
      <c r="V146" s="17">
        <v>22</v>
      </c>
      <c r="W146" s="17" t="s">
        <v>126</v>
      </c>
      <c r="X146" s="17" t="s">
        <v>126</v>
      </c>
      <c r="Y146" s="17" t="s">
        <v>126</v>
      </c>
      <c r="Z146" s="17" t="s">
        <v>126</v>
      </c>
      <c r="AA146" s="17" t="s">
        <v>126</v>
      </c>
      <c r="AB146" s="17" t="s">
        <v>126</v>
      </c>
      <c r="AC146" s="17" t="s">
        <v>126</v>
      </c>
      <c r="AD146" s="17" t="s">
        <v>126</v>
      </c>
      <c r="AE146" s="17" t="s">
        <v>126</v>
      </c>
      <c r="AF146" s="17" t="s">
        <v>126</v>
      </c>
      <c r="AG146" s="17" t="s">
        <v>126</v>
      </c>
      <c r="AH146" s="17" t="s">
        <v>126</v>
      </c>
      <c r="AI146" s="5" t="e">
        <f t="shared" si="13"/>
        <v>#VALUE!</v>
      </c>
      <c r="AJ146" s="5" t="e">
        <f t="shared" si="14"/>
        <v>#VALUE!</v>
      </c>
      <c r="AK146" s="5" t="e">
        <f t="shared" si="15"/>
        <v>#VALUE!</v>
      </c>
      <c r="AL146" s="5" t="e">
        <f t="shared" si="16"/>
        <v>#VALUE!</v>
      </c>
      <c r="AM146" s="5" t="e">
        <f t="shared" si="17"/>
        <v>#VALUE!</v>
      </c>
    </row>
    <row r="147" spans="1:39" ht="15" customHeight="1" thickBot="1" x14ac:dyDescent="0.35">
      <c r="A147" s="5">
        <f t="shared" si="12"/>
        <v>0</v>
      </c>
      <c r="B147" s="16">
        <v>288</v>
      </c>
      <c r="C147" s="10" t="s">
        <v>187</v>
      </c>
      <c r="D147" s="17" t="s">
        <v>45</v>
      </c>
      <c r="E147" s="17" t="s">
        <v>47</v>
      </c>
      <c r="F147" s="17" t="s">
        <v>47</v>
      </c>
      <c r="G147" s="17">
        <v>22</v>
      </c>
      <c r="H147" s="17" t="s">
        <v>126</v>
      </c>
      <c r="I147" s="17" t="s">
        <v>126</v>
      </c>
      <c r="J147" s="17" t="s">
        <v>126</v>
      </c>
      <c r="K147" s="17" t="s">
        <v>126</v>
      </c>
      <c r="L147" s="17" t="s">
        <v>126</v>
      </c>
      <c r="M147" s="17" t="s">
        <v>126</v>
      </c>
      <c r="N147" s="17" t="s">
        <v>126</v>
      </c>
      <c r="O147" s="17" t="s">
        <v>126</v>
      </c>
      <c r="P147" s="17" t="s">
        <v>126</v>
      </c>
      <c r="Q147" s="16">
        <v>288</v>
      </c>
      <c r="R147" s="10" t="s">
        <v>187</v>
      </c>
      <c r="S147" s="17" t="s">
        <v>45</v>
      </c>
      <c r="T147" s="17" t="s">
        <v>47</v>
      </c>
      <c r="U147" s="17" t="s">
        <v>47</v>
      </c>
      <c r="V147" s="17">
        <v>22</v>
      </c>
      <c r="W147" s="17" t="s">
        <v>126</v>
      </c>
      <c r="X147" s="17" t="s">
        <v>126</v>
      </c>
      <c r="Y147" s="17" t="s">
        <v>126</v>
      </c>
      <c r="Z147" s="17" t="s">
        <v>126</v>
      </c>
      <c r="AA147" s="17" t="s">
        <v>126</v>
      </c>
      <c r="AB147" s="17" t="s">
        <v>126</v>
      </c>
      <c r="AC147" s="17" t="s">
        <v>126</v>
      </c>
      <c r="AD147" s="17" t="s">
        <v>126</v>
      </c>
      <c r="AE147" s="17" t="s">
        <v>126</v>
      </c>
      <c r="AF147" s="17" t="s">
        <v>126</v>
      </c>
      <c r="AG147" s="17" t="s">
        <v>126</v>
      </c>
      <c r="AH147" s="17" t="s">
        <v>126</v>
      </c>
      <c r="AI147" s="5" t="e">
        <f t="shared" si="13"/>
        <v>#VALUE!</v>
      </c>
      <c r="AJ147" s="5" t="e">
        <f t="shared" si="14"/>
        <v>#VALUE!</v>
      </c>
      <c r="AK147" s="5" t="e">
        <f t="shared" si="15"/>
        <v>#VALUE!</v>
      </c>
      <c r="AL147" s="5" t="e">
        <f t="shared" si="16"/>
        <v>#VALUE!</v>
      </c>
      <c r="AM147" s="5" t="e">
        <f t="shared" si="17"/>
        <v>#VALUE!</v>
      </c>
    </row>
    <row r="148" spans="1:39" ht="15" customHeight="1" thickBot="1" x14ac:dyDescent="0.35">
      <c r="A148" s="5">
        <f t="shared" si="12"/>
        <v>0</v>
      </c>
      <c r="B148" s="16">
        <v>289</v>
      </c>
      <c r="C148" s="10" t="s">
        <v>188</v>
      </c>
      <c r="D148" s="17" t="s">
        <v>45</v>
      </c>
      <c r="E148" s="17" t="s">
        <v>36</v>
      </c>
      <c r="F148" s="17" t="s">
        <v>36</v>
      </c>
      <c r="G148" s="17">
        <v>21</v>
      </c>
      <c r="H148" s="17" t="s">
        <v>126</v>
      </c>
      <c r="I148" s="17" t="s">
        <v>126</v>
      </c>
      <c r="J148" s="17" t="s">
        <v>126</v>
      </c>
      <c r="K148" s="17" t="s">
        <v>126</v>
      </c>
      <c r="L148" s="17" t="s">
        <v>126</v>
      </c>
      <c r="M148" s="17" t="s">
        <v>126</v>
      </c>
      <c r="N148" s="17" t="s">
        <v>126</v>
      </c>
      <c r="O148" s="17" t="s">
        <v>126</v>
      </c>
      <c r="P148" s="17" t="s">
        <v>126</v>
      </c>
      <c r="Q148" s="16">
        <v>289</v>
      </c>
      <c r="R148" s="10" t="s">
        <v>188</v>
      </c>
      <c r="S148" s="17" t="s">
        <v>45</v>
      </c>
      <c r="T148" s="17" t="s">
        <v>36</v>
      </c>
      <c r="U148" s="17" t="s">
        <v>36</v>
      </c>
      <c r="V148" s="17">
        <v>21</v>
      </c>
      <c r="W148" s="17" t="s">
        <v>126</v>
      </c>
      <c r="X148" s="17" t="s">
        <v>126</v>
      </c>
      <c r="Y148" s="17" t="s">
        <v>126</v>
      </c>
      <c r="Z148" s="17" t="s">
        <v>126</v>
      </c>
      <c r="AA148" s="17" t="s">
        <v>126</v>
      </c>
      <c r="AB148" s="17" t="s">
        <v>126</v>
      </c>
      <c r="AC148" s="17" t="s">
        <v>126</v>
      </c>
      <c r="AD148" s="17" t="s">
        <v>126</v>
      </c>
      <c r="AE148" s="17" t="s">
        <v>126</v>
      </c>
      <c r="AF148" s="17" t="s">
        <v>126</v>
      </c>
      <c r="AG148" s="17" t="s">
        <v>126</v>
      </c>
      <c r="AH148" s="17" t="s">
        <v>126</v>
      </c>
      <c r="AI148" s="5" t="e">
        <f t="shared" si="13"/>
        <v>#VALUE!</v>
      </c>
      <c r="AJ148" s="5" t="e">
        <f t="shared" si="14"/>
        <v>#VALUE!</v>
      </c>
      <c r="AK148" s="5" t="e">
        <f t="shared" si="15"/>
        <v>#VALUE!</v>
      </c>
      <c r="AL148" s="5" t="e">
        <f t="shared" si="16"/>
        <v>#VALUE!</v>
      </c>
      <c r="AM148" s="5" t="e">
        <f t="shared" si="17"/>
        <v>#VALUE!</v>
      </c>
    </row>
    <row r="149" spans="1:39" ht="15" customHeight="1" thickBot="1" x14ac:dyDescent="0.35">
      <c r="A149" s="5">
        <f t="shared" si="12"/>
        <v>0</v>
      </c>
      <c r="B149" s="18">
        <v>290</v>
      </c>
      <c r="C149" s="11" t="s">
        <v>189</v>
      </c>
      <c r="D149" s="19" t="s">
        <v>45</v>
      </c>
      <c r="E149" s="19" t="s">
        <v>36</v>
      </c>
      <c r="F149" s="19" t="s">
        <v>36</v>
      </c>
      <c r="G149" s="19">
        <v>18</v>
      </c>
      <c r="H149" s="19" t="s">
        <v>126</v>
      </c>
      <c r="I149" s="19" t="s">
        <v>126</v>
      </c>
      <c r="J149" s="19" t="s">
        <v>126</v>
      </c>
      <c r="K149" s="19" t="s">
        <v>126</v>
      </c>
      <c r="L149" s="19" t="s">
        <v>126</v>
      </c>
      <c r="M149" s="19" t="s">
        <v>126</v>
      </c>
      <c r="N149" s="19" t="s">
        <v>126</v>
      </c>
      <c r="O149" s="19" t="s">
        <v>126</v>
      </c>
      <c r="P149" s="19" t="s">
        <v>126</v>
      </c>
      <c r="Q149" s="18">
        <v>290</v>
      </c>
      <c r="R149" s="11" t="s">
        <v>189</v>
      </c>
      <c r="S149" s="19" t="s">
        <v>45</v>
      </c>
      <c r="T149" s="19" t="s">
        <v>36</v>
      </c>
      <c r="U149" s="19" t="s">
        <v>36</v>
      </c>
      <c r="V149" s="19">
        <v>18</v>
      </c>
      <c r="W149" s="19" t="s">
        <v>126</v>
      </c>
      <c r="X149" s="19" t="s">
        <v>126</v>
      </c>
      <c r="Y149" s="19" t="s">
        <v>126</v>
      </c>
      <c r="Z149" s="19" t="s">
        <v>126</v>
      </c>
      <c r="AA149" s="19" t="s">
        <v>126</v>
      </c>
      <c r="AB149" s="19" t="s">
        <v>126</v>
      </c>
      <c r="AC149" s="19" t="s">
        <v>126</v>
      </c>
      <c r="AD149" s="19" t="s">
        <v>126</v>
      </c>
      <c r="AE149" s="19" t="s">
        <v>126</v>
      </c>
      <c r="AF149" s="19" t="s">
        <v>126</v>
      </c>
      <c r="AG149" s="19" t="s">
        <v>126</v>
      </c>
      <c r="AH149" s="19" t="s">
        <v>126</v>
      </c>
      <c r="AI149" s="5" t="e">
        <f t="shared" si="13"/>
        <v>#VALUE!</v>
      </c>
      <c r="AJ149" s="5" t="e">
        <f t="shared" si="14"/>
        <v>#VALUE!</v>
      </c>
      <c r="AK149" s="5" t="e">
        <f t="shared" si="15"/>
        <v>#VALUE!</v>
      </c>
      <c r="AL149" s="5" t="e">
        <f t="shared" si="16"/>
        <v>#VALUE!</v>
      </c>
      <c r="AM149" s="5" t="e">
        <f t="shared" si="17"/>
        <v>#VALUE!</v>
      </c>
    </row>
    <row r="150" spans="1:39" ht="15" customHeight="1" thickBot="1" x14ac:dyDescent="0.35">
      <c r="A150" s="5">
        <f t="shared" si="12"/>
        <v>0</v>
      </c>
      <c r="B150" s="16">
        <v>291</v>
      </c>
      <c r="C150" s="10" t="s">
        <v>190</v>
      </c>
      <c r="D150" s="17" t="s">
        <v>45</v>
      </c>
      <c r="E150" s="17" t="s">
        <v>46</v>
      </c>
      <c r="F150" s="17" t="s">
        <v>47</v>
      </c>
      <c r="G150" s="17">
        <v>21</v>
      </c>
      <c r="H150" s="17" t="s">
        <v>126</v>
      </c>
      <c r="I150" s="17" t="s">
        <v>126</v>
      </c>
      <c r="J150" s="17" t="s">
        <v>126</v>
      </c>
      <c r="K150" s="17" t="s">
        <v>126</v>
      </c>
      <c r="L150" s="17" t="s">
        <v>126</v>
      </c>
      <c r="M150" s="17" t="s">
        <v>126</v>
      </c>
      <c r="N150" s="17" t="s">
        <v>126</v>
      </c>
      <c r="O150" s="17" t="s">
        <v>126</v>
      </c>
      <c r="P150" s="17" t="s">
        <v>126</v>
      </c>
      <c r="Q150" s="16">
        <v>291</v>
      </c>
      <c r="R150" s="10" t="s">
        <v>190</v>
      </c>
      <c r="S150" s="17" t="s">
        <v>45</v>
      </c>
      <c r="T150" s="17" t="s">
        <v>46</v>
      </c>
      <c r="U150" s="17" t="s">
        <v>47</v>
      </c>
      <c r="V150" s="17">
        <v>21</v>
      </c>
      <c r="W150" s="17" t="s">
        <v>126</v>
      </c>
      <c r="X150" s="17" t="s">
        <v>126</v>
      </c>
      <c r="Y150" s="17" t="s">
        <v>126</v>
      </c>
      <c r="Z150" s="17" t="s">
        <v>126</v>
      </c>
      <c r="AA150" s="17" t="s">
        <v>126</v>
      </c>
      <c r="AB150" s="17" t="s">
        <v>126</v>
      </c>
      <c r="AC150" s="17" t="s">
        <v>126</v>
      </c>
      <c r="AD150" s="17" t="s">
        <v>126</v>
      </c>
      <c r="AE150" s="17" t="s">
        <v>126</v>
      </c>
      <c r="AF150" s="17" t="s">
        <v>126</v>
      </c>
      <c r="AG150" s="17" t="s">
        <v>126</v>
      </c>
      <c r="AH150" s="17" t="s">
        <v>126</v>
      </c>
      <c r="AI150" s="5" t="e">
        <f t="shared" si="13"/>
        <v>#VALUE!</v>
      </c>
      <c r="AJ150" s="5" t="e">
        <f t="shared" si="14"/>
        <v>#VALUE!</v>
      </c>
      <c r="AK150" s="5" t="e">
        <f t="shared" si="15"/>
        <v>#VALUE!</v>
      </c>
      <c r="AL150" s="5" t="e">
        <f t="shared" si="16"/>
        <v>#VALUE!</v>
      </c>
      <c r="AM150" s="5" t="e">
        <f t="shared" si="17"/>
        <v>#VALUE!</v>
      </c>
    </row>
    <row r="151" spans="1:39" ht="15" customHeight="1" thickBot="1" x14ac:dyDescent="0.35">
      <c r="A151" s="5">
        <f t="shared" si="12"/>
        <v>0</v>
      </c>
      <c r="B151" s="16">
        <v>292</v>
      </c>
      <c r="C151" s="10" t="s">
        <v>191</v>
      </c>
      <c r="D151" s="17" t="s">
        <v>73</v>
      </c>
      <c r="E151" s="17" t="s">
        <v>36</v>
      </c>
      <c r="F151" s="17" t="s">
        <v>36</v>
      </c>
      <c r="G151" s="17">
        <v>18</v>
      </c>
      <c r="H151" s="17" t="s">
        <v>126</v>
      </c>
      <c r="I151" s="17" t="s">
        <v>126</v>
      </c>
      <c r="J151" s="17" t="s">
        <v>126</v>
      </c>
      <c r="K151" s="17" t="s">
        <v>126</v>
      </c>
      <c r="L151" s="17" t="s">
        <v>126</v>
      </c>
      <c r="M151" s="17" t="s">
        <v>126</v>
      </c>
      <c r="N151" s="17" t="s">
        <v>126</v>
      </c>
      <c r="O151" s="17" t="s">
        <v>126</v>
      </c>
      <c r="P151" s="17" t="s">
        <v>126</v>
      </c>
      <c r="Q151" s="16">
        <v>292</v>
      </c>
      <c r="R151" s="10" t="s">
        <v>191</v>
      </c>
      <c r="S151" s="17" t="s">
        <v>73</v>
      </c>
      <c r="T151" s="17" t="s">
        <v>36</v>
      </c>
      <c r="U151" s="17" t="s">
        <v>36</v>
      </c>
      <c r="V151" s="17">
        <v>18</v>
      </c>
      <c r="W151" s="17" t="s">
        <v>126</v>
      </c>
      <c r="X151" s="17" t="s">
        <v>126</v>
      </c>
      <c r="Y151" s="17" t="s">
        <v>126</v>
      </c>
      <c r="Z151" s="17" t="s">
        <v>126</v>
      </c>
      <c r="AA151" s="17" t="s">
        <v>126</v>
      </c>
      <c r="AB151" s="17" t="s">
        <v>126</v>
      </c>
      <c r="AC151" s="17" t="s">
        <v>126</v>
      </c>
      <c r="AD151" s="17" t="s">
        <v>126</v>
      </c>
      <c r="AE151" s="17" t="s">
        <v>126</v>
      </c>
      <c r="AF151" s="17" t="s">
        <v>126</v>
      </c>
      <c r="AG151" s="17" t="s">
        <v>126</v>
      </c>
      <c r="AH151" s="17" t="s">
        <v>126</v>
      </c>
      <c r="AI151" s="5" t="e">
        <f t="shared" si="13"/>
        <v>#VALUE!</v>
      </c>
      <c r="AJ151" s="5" t="e">
        <f t="shared" si="14"/>
        <v>#VALUE!</v>
      </c>
      <c r="AK151" s="5" t="e">
        <f t="shared" si="15"/>
        <v>#VALUE!</v>
      </c>
      <c r="AL151" s="5" t="e">
        <f t="shared" si="16"/>
        <v>#VALUE!</v>
      </c>
      <c r="AM151" s="5" t="e">
        <f t="shared" si="17"/>
        <v>#VALUE!</v>
      </c>
    </row>
    <row r="152" spans="1:39" ht="15" customHeight="1" thickBot="1" x14ac:dyDescent="0.35">
      <c r="A152" s="5">
        <f t="shared" si="12"/>
        <v>0</v>
      </c>
      <c r="B152" s="16">
        <v>293</v>
      </c>
      <c r="C152" s="10" t="s">
        <v>192</v>
      </c>
      <c r="D152" s="17" t="s">
        <v>73</v>
      </c>
      <c r="E152" s="17" t="s">
        <v>47</v>
      </c>
      <c r="F152" s="17" t="s">
        <v>47</v>
      </c>
      <c r="G152" s="17">
        <v>18</v>
      </c>
      <c r="H152" s="17" t="s">
        <v>126</v>
      </c>
      <c r="I152" s="17" t="s">
        <v>126</v>
      </c>
      <c r="J152" s="17" t="s">
        <v>126</v>
      </c>
      <c r="K152" s="17" t="s">
        <v>126</v>
      </c>
      <c r="L152" s="17" t="s">
        <v>126</v>
      </c>
      <c r="M152" s="17" t="s">
        <v>126</v>
      </c>
      <c r="N152" s="17" t="s">
        <v>126</v>
      </c>
      <c r="O152" s="17" t="s">
        <v>126</v>
      </c>
      <c r="P152" s="17" t="s">
        <v>126</v>
      </c>
      <c r="Q152" s="16">
        <v>293</v>
      </c>
      <c r="R152" s="10" t="s">
        <v>192</v>
      </c>
      <c r="S152" s="17" t="s">
        <v>73</v>
      </c>
      <c r="T152" s="17" t="s">
        <v>47</v>
      </c>
      <c r="U152" s="17" t="s">
        <v>47</v>
      </c>
      <c r="V152" s="17">
        <v>18</v>
      </c>
      <c r="W152" s="17" t="s">
        <v>126</v>
      </c>
      <c r="X152" s="17" t="s">
        <v>126</v>
      </c>
      <c r="Y152" s="17" t="s">
        <v>126</v>
      </c>
      <c r="Z152" s="17" t="s">
        <v>126</v>
      </c>
      <c r="AA152" s="17" t="s">
        <v>126</v>
      </c>
      <c r="AB152" s="17" t="s">
        <v>126</v>
      </c>
      <c r="AC152" s="17" t="s">
        <v>126</v>
      </c>
      <c r="AD152" s="17" t="s">
        <v>126</v>
      </c>
      <c r="AE152" s="17" t="s">
        <v>126</v>
      </c>
      <c r="AF152" s="17" t="s">
        <v>126</v>
      </c>
      <c r="AG152" s="17" t="s">
        <v>126</v>
      </c>
      <c r="AH152" s="17" t="s">
        <v>126</v>
      </c>
      <c r="AI152" s="5" t="e">
        <f t="shared" si="13"/>
        <v>#VALUE!</v>
      </c>
      <c r="AJ152" s="5" t="e">
        <f t="shared" si="14"/>
        <v>#VALUE!</v>
      </c>
      <c r="AK152" s="5" t="e">
        <f t="shared" si="15"/>
        <v>#VALUE!</v>
      </c>
      <c r="AL152" s="5" t="e">
        <f t="shared" si="16"/>
        <v>#VALUE!</v>
      </c>
      <c r="AM152" s="5" t="e">
        <f t="shared" si="17"/>
        <v>#VALUE!</v>
      </c>
    </row>
    <row r="153" spans="1:39" ht="15" customHeight="1" thickBot="1" x14ac:dyDescent="0.35">
      <c r="A153" s="5">
        <f t="shared" si="12"/>
        <v>0</v>
      </c>
      <c r="B153" s="18">
        <v>294</v>
      </c>
      <c r="C153" s="11" t="s">
        <v>193</v>
      </c>
      <c r="D153" s="19" t="s">
        <v>73</v>
      </c>
      <c r="E153" s="19" t="s">
        <v>46</v>
      </c>
      <c r="F153" s="19" t="s">
        <v>47</v>
      </c>
      <c r="G153" s="19">
        <v>22</v>
      </c>
      <c r="H153" s="19" t="s">
        <v>126</v>
      </c>
      <c r="I153" s="19" t="s">
        <v>126</v>
      </c>
      <c r="J153" s="19" t="s">
        <v>126</v>
      </c>
      <c r="K153" s="19" t="s">
        <v>126</v>
      </c>
      <c r="L153" s="19" t="s">
        <v>126</v>
      </c>
      <c r="M153" s="19" t="s">
        <v>126</v>
      </c>
      <c r="N153" s="19" t="s">
        <v>126</v>
      </c>
      <c r="O153" s="19" t="s">
        <v>126</v>
      </c>
      <c r="P153" s="19" t="s">
        <v>126</v>
      </c>
      <c r="Q153" s="18">
        <v>294</v>
      </c>
      <c r="R153" s="11" t="s">
        <v>193</v>
      </c>
      <c r="S153" s="19" t="s">
        <v>73</v>
      </c>
      <c r="T153" s="19" t="s">
        <v>46</v>
      </c>
      <c r="U153" s="19" t="s">
        <v>47</v>
      </c>
      <c r="V153" s="19">
        <v>22</v>
      </c>
      <c r="W153" s="19" t="s">
        <v>126</v>
      </c>
      <c r="X153" s="19" t="s">
        <v>126</v>
      </c>
      <c r="Y153" s="19" t="s">
        <v>126</v>
      </c>
      <c r="Z153" s="19" t="s">
        <v>126</v>
      </c>
      <c r="AA153" s="19" t="s">
        <v>126</v>
      </c>
      <c r="AB153" s="19" t="s">
        <v>126</v>
      </c>
      <c r="AC153" s="19" t="s">
        <v>126</v>
      </c>
      <c r="AD153" s="19" t="s">
        <v>126</v>
      </c>
      <c r="AE153" s="19" t="s">
        <v>126</v>
      </c>
      <c r="AF153" s="19" t="s">
        <v>126</v>
      </c>
      <c r="AG153" s="19" t="s">
        <v>126</v>
      </c>
      <c r="AH153" s="19" t="s">
        <v>126</v>
      </c>
      <c r="AI153" s="5" t="e">
        <f t="shared" si="13"/>
        <v>#VALUE!</v>
      </c>
      <c r="AJ153" s="5" t="e">
        <f t="shared" si="14"/>
        <v>#VALUE!</v>
      </c>
      <c r="AK153" s="5" t="e">
        <f t="shared" si="15"/>
        <v>#VALUE!</v>
      </c>
      <c r="AL153" s="5" t="e">
        <f t="shared" si="16"/>
        <v>#VALUE!</v>
      </c>
      <c r="AM153" s="5" t="e">
        <f t="shared" si="17"/>
        <v>#VALUE!</v>
      </c>
    </row>
    <row r="154" spans="1:39" ht="15" customHeight="1" thickBot="1" x14ac:dyDescent="0.35">
      <c r="A154" s="5">
        <f t="shared" si="12"/>
        <v>0</v>
      </c>
      <c r="B154" s="18">
        <v>295</v>
      </c>
      <c r="C154" s="11" t="s">
        <v>194</v>
      </c>
      <c r="D154" s="19" t="s">
        <v>73</v>
      </c>
      <c r="E154" s="19" t="s">
        <v>36</v>
      </c>
      <c r="F154" s="19" t="s">
        <v>36</v>
      </c>
      <c r="G154" s="19">
        <v>19</v>
      </c>
      <c r="H154" s="19" t="s">
        <v>126</v>
      </c>
      <c r="I154" s="19" t="s">
        <v>126</v>
      </c>
      <c r="J154" s="19" t="s">
        <v>126</v>
      </c>
      <c r="K154" s="19" t="s">
        <v>126</v>
      </c>
      <c r="L154" s="19" t="s">
        <v>126</v>
      </c>
      <c r="M154" s="19" t="s">
        <v>126</v>
      </c>
      <c r="N154" s="19" t="s">
        <v>126</v>
      </c>
      <c r="O154" s="19" t="s">
        <v>126</v>
      </c>
      <c r="P154" s="19" t="s">
        <v>126</v>
      </c>
      <c r="Q154" s="18">
        <v>295</v>
      </c>
      <c r="R154" s="11" t="s">
        <v>194</v>
      </c>
      <c r="S154" s="19" t="s">
        <v>73</v>
      </c>
      <c r="T154" s="19" t="s">
        <v>36</v>
      </c>
      <c r="U154" s="19" t="s">
        <v>36</v>
      </c>
      <c r="V154" s="19">
        <v>19</v>
      </c>
      <c r="W154" s="19" t="s">
        <v>126</v>
      </c>
      <c r="X154" s="19" t="s">
        <v>126</v>
      </c>
      <c r="Y154" s="19" t="s">
        <v>126</v>
      </c>
      <c r="Z154" s="19" t="s">
        <v>126</v>
      </c>
      <c r="AA154" s="19" t="s">
        <v>126</v>
      </c>
      <c r="AB154" s="19" t="s">
        <v>126</v>
      </c>
      <c r="AC154" s="19" t="s">
        <v>126</v>
      </c>
      <c r="AD154" s="19" t="s">
        <v>126</v>
      </c>
      <c r="AE154" s="19" t="s">
        <v>126</v>
      </c>
      <c r="AF154" s="19" t="s">
        <v>126</v>
      </c>
      <c r="AG154" s="19" t="s">
        <v>126</v>
      </c>
      <c r="AH154" s="19" t="s">
        <v>126</v>
      </c>
      <c r="AI154" s="5" t="e">
        <f t="shared" si="13"/>
        <v>#VALUE!</v>
      </c>
      <c r="AJ154" s="5" t="e">
        <f t="shared" si="14"/>
        <v>#VALUE!</v>
      </c>
      <c r="AK154" s="5" t="e">
        <f t="shared" si="15"/>
        <v>#VALUE!</v>
      </c>
      <c r="AL154" s="5" t="e">
        <f t="shared" si="16"/>
        <v>#VALUE!</v>
      </c>
      <c r="AM154" s="5" t="e">
        <f t="shared" si="17"/>
        <v>#VALUE!</v>
      </c>
    </row>
    <row r="155" spans="1:39" ht="15" customHeight="1" thickBot="1" x14ac:dyDescent="0.35">
      <c r="A155" s="5">
        <f t="shared" si="12"/>
        <v>0</v>
      </c>
      <c r="B155" s="18">
        <v>296</v>
      </c>
      <c r="C155" s="11" t="s">
        <v>195</v>
      </c>
      <c r="D155" s="19" t="s">
        <v>73</v>
      </c>
      <c r="E155" s="19" t="s">
        <v>36</v>
      </c>
      <c r="F155" s="19" t="s">
        <v>36</v>
      </c>
      <c r="G155" s="19">
        <v>22</v>
      </c>
      <c r="H155" s="19" t="s">
        <v>126</v>
      </c>
      <c r="I155" s="19" t="s">
        <v>126</v>
      </c>
      <c r="J155" s="19" t="s">
        <v>126</v>
      </c>
      <c r="K155" s="19" t="s">
        <v>126</v>
      </c>
      <c r="L155" s="19" t="s">
        <v>126</v>
      </c>
      <c r="M155" s="19" t="s">
        <v>126</v>
      </c>
      <c r="N155" s="19" t="s">
        <v>126</v>
      </c>
      <c r="O155" s="19" t="s">
        <v>126</v>
      </c>
      <c r="P155" s="19" t="s">
        <v>126</v>
      </c>
      <c r="Q155" s="18">
        <v>296</v>
      </c>
      <c r="R155" s="11" t="s">
        <v>195</v>
      </c>
      <c r="S155" s="19" t="s">
        <v>73</v>
      </c>
      <c r="T155" s="19" t="s">
        <v>36</v>
      </c>
      <c r="U155" s="19" t="s">
        <v>36</v>
      </c>
      <c r="V155" s="19">
        <v>22</v>
      </c>
      <c r="W155" s="19" t="s">
        <v>126</v>
      </c>
      <c r="X155" s="19" t="s">
        <v>126</v>
      </c>
      <c r="Y155" s="19" t="s">
        <v>126</v>
      </c>
      <c r="Z155" s="19" t="s">
        <v>126</v>
      </c>
      <c r="AA155" s="19" t="s">
        <v>126</v>
      </c>
      <c r="AB155" s="19" t="s">
        <v>126</v>
      </c>
      <c r="AC155" s="19" t="s">
        <v>126</v>
      </c>
      <c r="AD155" s="19" t="s">
        <v>126</v>
      </c>
      <c r="AE155" s="19" t="s">
        <v>126</v>
      </c>
      <c r="AF155" s="19" t="s">
        <v>126</v>
      </c>
      <c r="AG155" s="19" t="s">
        <v>126</v>
      </c>
      <c r="AH155" s="19" t="s">
        <v>126</v>
      </c>
      <c r="AI155" s="5" t="e">
        <f t="shared" si="13"/>
        <v>#VALUE!</v>
      </c>
      <c r="AJ155" s="5" t="e">
        <f t="shared" si="14"/>
        <v>#VALUE!</v>
      </c>
      <c r="AK155" s="5" t="e">
        <f t="shared" si="15"/>
        <v>#VALUE!</v>
      </c>
      <c r="AL155" s="5" t="e">
        <f t="shared" si="16"/>
        <v>#VALUE!</v>
      </c>
      <c r="AM155" s="5" t="e">
        <f t="shared" si="17"/>
        <v>#VALUE!</v>
      </c>
    </row>
    <row r="156" spans="1:39" ht="15" customHeight="1" thickBot="1" x14ac:dyDescent="0.35">
      <c r="A156" s="5">
        <f t="shared" si="12"/>
        <v>0</v>
      </c>
      <c r="B156" s="16">
        <v>297</v>
      </c>
      <c r="C156" s="10" t="s">
        <v>196</v>
      </c>
      <c r="D156" s="17" t="s">
        <v>73</v>
      </c>
      <c r="E156" s="17" t="s">
        <v>36</v>
      </c>
      <c r="F156" s="17" t="s">
        <v>36</v>
      </c>
      <c r="G156" s="17">
        <v>20</v>
      </c>
      <c r="H156" s="17" t="s">
        <v>126</v>
      </c>
      <c r="I156" s="17" t="s">
        <v>126</v>
      </c>
      <c r="J156" s="17" t="s">
        <v>126</v>
      </c>
      <c r="K156" s="17" t="s">
        <v>126</v>
      </c>
      <c r="L156" s="17" t="s">
        <v>126</v>
      </c>
      <c r="M156" s="17" t="s">
        <v>126</v>
      </c>
      <c r="N156" s="17" t="s">
        <v>126</v>
      </c>
      <c r="O156" s="17" t="s">
        <v>126</v>
      </c>
      <c r="P156" s="17" t="s">
        <v>126</v>
      </c>
      <c r="Q156" s="16">
        <v>297</v>
      </c>
      <c r="R156" s="10" t="s">
        <v>196</v>
      </c>
      <c r="S156" s="17" t="s">
        <v>73</v>
      </c>
      <c r="T156" s="17" t="s">
        <v>36</v>
      </c>
      <c r="U156" s="17" t="s">
        <v>36</v>
      </c>
      <c r="V156" s="17">
        <v>20</v>
      </c>
      <c r="W156" s="17" t="s">
        <v>126</v>
      </c>
      <c r="X156" s="17" t="s">
        <v>126</v>
      </c>
      <c r="Y156" s="17" t="s">
        <v>126</v>
      </c>
      <c r="Z156" s="17" t="s">
        <v>126</v>
      </c>
      <c r="AA156" s="17" t="s">
        <v>126</v>
      </c>
      <c r="AB156" s="17" t="s">
        <v>126</v>
      </c>
      <c r="AC156" s="17" t="s">
        <v>126</v>
      </c>
      <c r="AD156" s="17" t="s">
        <v>126</v>
      </c>
      <c r="AE156" s="17" t="s">
        <v>126</v>
      </c>
      <c r="AF156" s="17" t="s">
        <v>126</v>
      </c>
      <c r="AG156" s="17" t="s">
        <v>126</v>
      </c>
      <c r="AH156" s="17" t="s">
        <v>126</v>
      </c>
      <c r="AI156" s="5" t="e">
        <f t="shared" si="13"/>
        <v>#VALUE!</v>
      </c>
      <c r="AJ156" s="5" t="e">
        <f t="shared" si="14"/>
        <v>#VALUE!</v>
      </c>
      <c r="AK156" s="5" t="e">
        <f t="shared" si="15"/>
        <v>#VALUE!</v>
      </c>
      <c r="AL156" s="5" t="e">
        <f t="shared" si="16"/>
        <v>#VALUE!</v>
      </c>
      <c r="AM156" s="5" t="e">
        <f t="shared" si="17"/>
        <v>#VALUE!</v>
      </c>
    </row>
    <row r="157" spans="1:39" ht="15" customHeight="1" thickBot="1" x14ac:dyDescent="0.35">
      <c r="A157" s="5">
        <f t="shared" si="12"/>
        <v>0</v>
      </c>
      <c r="B157" s="18">
        <v>298</v>
      </c>
      <c r="C157" s="11" t="s">
        <v>197</v>
      </c>
      <c r="D157" s="19" t="s">
        <v>73</v>
      </c>
      <c r="E157" s="19" t="s">
        <v>36</v>
      </c>
      <c r="F157" s="19" t="s">
        <v>36</v>
      </c>
      <c r="G157" s="19">
        <v>20</v>
      </c>
      <c r="H157" s="19" t="s">
        <v>126</v>
      </c>
      <c r="I157" s="19" t="s">
        <v>126</v>
      </c>
      <c r="J157" s="19" t="s">
        <v>126</v>
      </c>
      <c r="K157" s="19" t="s">
        <v>126</v>
      </c>
      <c r="L157" s="19" t="s">
        <v>126</v>
      </c>
      <c r="M157" s="19" t="s">
        <v>126</v>
      </c>
      <c r="N157" s="19" t="s">
        <v>126</v>
      </c>
      <c r="O157" s="19" t="s">
        <v>126</v>
      </c>
      <c r="P157" s="19" t="s">
        <v>126</v>
      </c>
      <c r="Q157" s="18">
        <v>298</v>
      </c>
      <c r="R157" s="11" t="s">
        <v>197</v>
      </c>
      <c r="S157" s="19" t="s">
        <v>73</v>
      </c>
      <c r="T157" s="19" t="s">
        <v>36</v>
      </c>
      <c r="U157" s="19" t="s">
        <v>36</v>
      </c>
      <c r="V157" s="19">
        <v>20</v>
      </c>
      <c r="W157" s="19" t="s">
        <v>126</v>
      </c>
      <c r="X157" s="19" t="s">
        <v>126</v>
      </c>
      <c r="Y157" s="19" t="s">
        <v>126</v>
      </c>
      <c r="Z157" s="19" t="s">
        <v>126</v>
      </c>
      <c r="AA157" s="19" t="s">
        <v>126</v>
      </c>
      <c r="AB157" s="19" t="s">
        <v>126</v>
      </c>
      <c r="AC157" s="19" t="s">
        <v>126</v>
      </c>
      <c r="AD157" s="19" t="s">
        <v>126</v>
      </c>
      <c r="AE157" s="19" t="s">
        <v>126</v>
      </c>
      <c r="AF157" s="19" t="s">
        <v>126</v>
      </c>
      <c r="AG157" s="19" t="s">
        <v>126</v>
      </c>
      <c r="AH157" s="19" t="s">
        <v>126</v>
      </c>
      <c r="AI157" s="5" t="e">
        <f t="shared" si="13"/>
        <v>#VALUE!</v>
      </c>
      <c r="AJ157" s="5" t="e">
        <f t="shared" si="14"/>
        <v>#VALUE!</v>
      </c>
      <c r="AK157" s="5" t="e">
        <f t="shared" si="15"/>
        <v>#VALUE!</v>
      </c>
      <c r="AL157" s="5" t="e">
        <f t="shared" si="16"/>
        <v>#VALUE!</v>
      </c>
      <c r="AM157" s="5" t="e">
        <f t="shared" si="17"/>
        <v>#VALUE!</v>
      </c>
    </row>
    <row r="158" spans="1:39" ht="15" customHeight="1" thickBot="1" x14ac:dyDescent="0.35">
      <c r="A158" s="5">
        <f t="shared" si="12"/>
        <v>0</v>
      </c>
      <c r="B158" s="18">
        <v>299</v>
      </c>
      <c r="C158" s="11" t="s">
        <v>198</v>
      </c>
      <c r="D158" s="19" t="s">
        <v>73</v>
      </c>
      <c r="E158" s="19" t="s">
        <v>36</v>
      </c>
      <c r="F158" s="19" t="s">
        <v>36</v>
      </c>
      <c r="G158" s="19">
        <v>22</v>
      </c>
      <c r="H158" s="19" t="s">
        <v>126</v>
      </c>
      <c r="I158" s="19" t="s">
        <v>126</v>
      </c>
      <c r="J158" s="19" t="s">
        <v>126</v>
      </c>
      <c r="K158" s="19" t="s">
        <v>126</v>
      </c>
      <c r="L158" s="19" t="s">
        <v>126</v>
      </c>
      <c r="M158" s="19" t="s">
        <v>126</v>
      </c>
      <c r="N158" s="19" t="s">
        <v>126</v>
      </c>
      <c r="O158" s="19" t="s">
        <v>126</v>
      </c>
      <c r="P158" s="19" t="s">
        <v>126</v>
      </c>
      <c r="Q158" s="18">
        <v>299</v>
      </c>
      <c r="R158" s="11" t="s">
        <v>198</v>
      </c>
      <c r="S158" s="19" t="s">
        <v>73</v>
      </c>
      <c r="T158" s="19" t="s">
        <v>36</v>
      </c>
      <c r="U158" s="19" t="s">
        <v>36</v>
      </c>
      <c r="V158" s="19">
        <v>22</v>
      </c>
      <c r="W158" s="19" t="s">
        <v>126</v>
      </c>
      <c r="X158" s="19" t="s">
        <v>126</v>
      </c>
      <c r="Y158" s="19" t="s">
        <v>126</v>
      </c>
      <c r="Z158" s="19" t="s">
        <v>126</v>
      </c>
      <c r="AA158" s="19" t="s">
        <v>126</v>
      </c>
      <c r="AB158" s="19" t="s">
        <v>126</v>
      </c>
      <c r="AC158" s="19" t="s">
        <v>126</v>
      </c>
      <c r="AD158" s="19" t="s">
        <v>126</v>
      </c>
      <c r="AE158" s="19" t="s">
        <v>126</v>
      </c>
      <c r="AF158" s="19" t="s">
        <v>126</v>
      </c>
      <c r="AG158" s="19" t="s">
        <v>126</v>
      </c>
      <c r="AH158" s="19" t="s">
        <v>126</v>
      </c>
      <c r="AI158" s="5" t="e">
        <f t="shared" si="13"/>
        <v>#VALUE!</v>
      </c>
      <c r="AJ158" s="5" t="e">
        <f t="shared" si="14"/>
        <v>#VALUE!</v>
      </c>
      <c r="AK158" s="5" t="e">
        <f t="shared" si="15"/>
        <v>#VALUE!</v>
      </c>
      <c r="AL158" s="5" t="e">
        <f t="shared" si="16"/>
        <v>#VALUE!</v>
      </c>
      <c r="AM158" s="5" t="e">
        <f t="shared" si="17"/>
        <v>#VALUE!</v>
      </c>
    </row>
    <row r="159" spans="1:39" ht="15" customHeight="1" thickBot="1" x14ac:dyDescent="0.35">
      <c r="A159" s="5">
        <f t="shared" si="12"/>
        <v>0</v>
      </c>
      <c r="B159" s="18">
        <v>300</v>
      </c>
      <c r="C159" s="11" t="s">
        <v>199</v>
      </c>
      <c r="D159" s="19" t="s">
        <v>73</v>
      </c>
      <c r="E159" s="19" t="s">
        <v>36</v>
      </c>
      <c r="F159" s="19" t="s">
        <v>36</v>
      </c>
      <c r="G159" s="19">
        <v>19</v>
      </c>
      <c r="H159" s="19" t="s">
        <v>126</v>
      </c>
      <c r="I159" s="19" t="s">
        <v>126</v>
      </c>
      <c r="J159" s="19" t="s">
        <v>126</v>
      </c>
      <c r="K159" s="19" t="s">
        <v>126</v>
      </c>
      <c r="L159" s="19" t="s">
        <v>126</v>
      </c>
      <c r="M159" s="19" t="s">
        <v>126</v>
      </c>
      <c r="N159" s="19" t="s">
        <v>126</v>
      </c>
      <c r="O159" s="19" t="s">
        <v>126</v>
      </c>
      <c r="P159" s="19" t="s">
        <v>126</v>
      </c>
      <c r="Q159" s="18">
        <v>300</v>
      </c>
      <c r="R159" s="11" t="s">
        <v>199</v>
      </c>
      <c r="S159" s="19" t="s">
        <v>73</v>
      </c>
      <c r="T159" s="19" t="s">
        <v>36</v>
      </c>
      <c r="U159" s="19" t="s">
        <v>36</v>
      </c>
      <c r="V159" s="19">
        <v>19</v>
      </c>
      <c r="W159" s="19" t="s">
        <v>126</v>
      </c>
      <c r="X159" s="19" t="s">
        <v>126</v>
      </c>
      <c r="Y159" s="19" t="s">
        <v>126</v>
      </c>
      <c r="Z159" s="19" t="s">
        <v>126</v>
      </c>
      <c r="AA159" s="19" t="s">
        <v>126</v>
      </c>
      <c r="AB159" s="19" t="s">
        <v>126</v>
      </c>
      <c r="AC159" s="19" t="s">
        <v>126</v>
      </c>
      <c r="AD159" s="19" t="s">
        <v>126</v>
      </c>
      <c r="AE159" s="19" t="s">
        <v>126</v>
      </c>
      <c r="AF159" s="19" t="s">
        <v>126</v>
      </c>
      <c r="AG159" s="19" t="s">
        <v>126</v>
      </c>
      <c r="AH159" s="19" t="s">
        <v>126</v>
      </c>
      <c r="AI159" s="5" t="e">
        <f t="shared" si="13"/>
        <v>#VALUE!</v>
      </c>
      <c r="AJ159" s="5" t="e">
        <f t="shared" si="14"/>
        <v>#VALUE!</v>
      </c>
      <c r="AK159" s="5" t="e">
        <f t="shared" si="15"/>
        <v>#VALUE!</v>
      </c>
      <c r="AL159" s="5" t="e">
        <f t="shared" si="16"/>
        <v>#VALUE!</v>
      </c>
      <c r="AM159" s="5" t="e">
        <f t="shared" si="17"/>
        <v>#VALUE!</v>
      </c>
    </row>
    <row r="160" spans="1:39" ht="15" customHeight="1" thickBot="1" x14ac:dyDescent="0.35">
      <c r="A160" s="5">
        <f t="shared" si="12"/>
        <v>0</v>
      </c>
      <c r="B160" s="16">
        <v>301</v>
      </c>
      <c r="C160" s="10" t="s">
        <v>200</v>
      </c>
      <c r="D160" s="17" t="s">
        <v>73</v>
      </c>
      <c r="E160" s="17" t="s">
        <v>47</v>
      </c>
      <c r="F160" s="17" t="s">
        <v>47</v>
      </c>
      <c r="G160" s="17">
        <v>22</v>
      </c>
      <c r="H160" s="17" t="s">
        <v>126</v>
      </c>
      <c r="I160" s="17" t="s">
        <v>126</v>
      </c>
      <c r="J160" s="17" t="s">
        <v>126</v>
      </c>
      <c r="K160" s="17" t="s">
        <v>126</v>
      </c>
      <c r="L160" s="17" t="s">
        <v>126</v>
      </c>
      <c r="M160" s="17" t="s">
        <v>126</v>
      </c>
      <c r="N160" s="17" t="s">
        <v>126</v>
      </c>
      <c r="O160" s="17" t="s">
        <v>126</v>
      </c>
      <c r="P160" s="17" t="s">
        <v>126</v>
      </c>
      <c r="Q160" s="16">
        <v>301</v>
      </c>
      <c r="R160" s="10" t="s">
        <v>200</v>
      </c>
      <c r="S160" s="17" t="s">
        <v>73</v>
      </c>
      <c r="T160" s="17" t="s">
        <v>47</v>
      </c>
      <c r="U160" s="17" t="s">
        <v>47</v>
      </c>
      <c r="V160" s="17">
        <v>22</v>
      </c>
      <c r="W160" s="17" t="s">
        <v>126</v>
      </c>
      <c r="X160" s="17" t="s">
        <v>126</v>
      </c>
      <c r="Y160" s="17" t="s">
        <v>126</v>
      </c>
      <c r="Z160" s="17" t="s">
        <v>126</v>
      </c>
      <c r="AA160" s="17" t="s">
        <v>126</v>
      </c>
      <c r="AB160" s="17" t="s">
        <v>126</v>
      </c>
      <c r="AC160" s="17" t="s">
        <v>126</v>
      </c>
      <c r="AD160" s="17" t="s">
        <v>126</v>
      </c>
      <c r="AE160" s="17" t="s">
        <v>126</v>
      </c>
      <c r="AF160" s="17" t="s">
        <v>126</v>
      </c>
      <c r="AG160" s="17" t="s">
        <v>126</v>
      </c>
      <c r="AH160" s="17" t="s">
        <v>126</v>
      </c>
      <c r="AI160" s="5" t="e">
        <f t="shared" si="13"/>
        <v>#VALUE!</v>
      </c>
      <c r="AJ160" s="5" t="e">
        <f t="shared" si="14"/>
        <v>#VALUE!</v>
      </c>
      <c r="AK160" s="5" t="e">
        <f t="shared" si="15"/>
        <v>#VALUE!</v>
      </c>
      <c r="AL160" s="5" t="e">
        <f t="shared" si="16"/>
        <v>#VALUE!</v>
      </c>
      <c r="AM160" s="5" t="e">
        <f t="shared" si="17"/>
        <v>#VALUE!</v>
      </c>
    </row>
    <row r="161" spans="1:39" ht="15" customHeight="1" thickBot="1" x14ac:dyDescent="0.35">
      <c r="A161" s="5">
        <f t="shared" si="12"/>
        <v>0</v>
      </c>
      <c r="B161" s="16">
        <v>302</v>
      </c>
      <c r="C161" s="10" t="s">
        <v>201</v>
      </c>
      <c r="D161" s="17" t="s">
        <v>73</v>
      </c>
      <c r="E161" s="17" t="s">
        <v>46</v>
      </c>
      <c r="F161" s="17" t="s">
        <v>36</v>
      </c>
      <c r="G161" s="17">
        <v>22</v>
      </c>
      <c r="H161" s="17" t="s">
        <v>126</v>
      </c>
      <c r="I161" s="17" t="s">
        <v>126</v>
      </c>
      <c r="J161" s="17" t="s">
        <v>126</v>
      </c>
      <c r="K161" s="17" t="s">
        <v>126</v>
      </c>
      <c r="L161" s="17" t="s">
        <v>126</v>
      </c>
      <c r="M161" s="17" t="s">
        <v>126</v>
      </c>
      <c r="N161" s="17" t="s">
        <v>126</v>
      </c>
      <c r="O161" s="17" t="s">
        <v>126</v>
      </c>
      <c r="P161" s="17" t="s">
        <v>126</v>
      </c>
      <c r="Q161" s="16">
        <v>302</v>
      </c>
      <c r="R161" s="10" t="s">
        <v>201</v>
      </c>
      <c r="S161" s="17" t="s">
        <v>73</v>
      </c>
      <c r="T161" s="17" t="s">
        <v>46</v>
      </c>
      <c r="U161" s="17" t="s">
        <v>36</v>
      </c>
      <c r="V161" s="17">
        <v>22</v>
      </c>
      <c r="W161" s="17" t="s">
        <v>126</v>
      </c>
      <c r="X161" s="17" t="s">
        <v>126</v>
      </c>
      <c r="Y161" s="17" t="s">
        <v>126</v>
      </c>
      <c r="Z161" s="17" t="s">
        <v>126</v>
      </c>
      <c r="AA161" s="17" t="s">
        <v>126</v>
      </c>
      <c r="AB161" s="17" t="s">
        <v>126</v>
      </c>
      <c r="AC161" s="17" t="s">
        <v>126</v>
      </c>
      <c r="AD161" s="17" t="s">
        <v>126</v>
      </c>
      <c r="AE161" s="17" t="s">
        <v>126</v>
      </c>
      <c r="AF161" s="17" t="s">
        <v>126</v>
      </c>
      <c r="AG161" s="17" t="s">
        <v>126</v>
      </c>
      <c r="AH161" s="17" t="s">
        <v>126</v>
      </c>
      <c r="AI161" s="5" t="e">
        <f t="shared" si="13"/>
        <v>#VALUE!</v>
      </c>
      <c r="AJ161" s="5" t="e">
        <f t="shared" si="14"/>
        <v>#VALUE!</v>
      </c>
      <c r="AK161" s="5" t="e">
        <f t="shared" si="15"/>
        <v>#VALUE!</v>
      </c>
      <c r="AL161" s="5" t="e">
        <f t="shared" si="16"/>
        <v>#VALUE!</v>
      </c>
      <c r="AM161" s="5" t="e">
        <f t="shared" si="17"/>
        <v>#VALUE!</v>
      </c>
    </row>
    <row r="162" spans="1:39" ht="15" customHeight="1" thickBot="1" x14ac:dyDescent="0.35">
      <c r="A162" s="5">
        <f t="shared" si="12"/>
        <v>0</v>
      </c>
      <c r="B162" s="18">
        <v>303</v>
      </c>
      <c r="C162" s="11" t="s">
        <v>202</v>
      </c>
      <c r="D162" s="19" t="s">
        <v>40</v>
      </c>
      <c r="E162" s="19" t="s">
        <v>46</v>
      </c>
      <c r="F162" s="19" t="s">
        <v>36</v>
      </c>
      <c r="G162" s="19">
        <v>18</v>
      </c>
      <c r="H162" s="19" t="s">
        <v>126</v>
      </c>
      <c r="I162" s="19" t="s">
        <v>126</v>
      </c>
      <c r="J162" s="19" t="s">
        <v>126</v>
      </c>
      <c r="K162" s="19" t="s">
        <v>126</v>
      </c>
      <c r="L162" s="19" t="s">
        <v>126</v>
      </c>
      <c r="M162" s="19" t="s">
        <v>126</v>
      </c>
      <c r="N162" s="19" t="s">
        <v>126</v>
      </c>
      <c r="O162" s="19" t="s">
        <v>126</v>
      </c>
      <c r="P162" s="19" t="s">
        <v>126</v>
      </c>
      <c r="Q162" s="18">
        <v>303</v>
      </c>
      <c r="R162" s="11" t="s">
        <v>202</v>
      </c>
      <c r="S162" s="19" t="s">
        <v>40</v>
      </c>
      <c r="T162" s="19" t="s">
        <v>46</v>
      </c>
      <c r="U162" s="19" t="s">
        <v>36</v>
      </c>
      <c r="V162" s="19">
        <v>18</v>
      </c>
      <c r="W162" s="19" t="s">
        <v>126</v>
      </c>
      <c r="X162" s="19" t="s">
        <v>126</v>
      </c>
      <c r="Y162" s="19" t="s">
        <v>126</v>
      </c>
      <c r="Z162" s="19" t="s">
        <v>126</v>
      </c>
      <c r="AA162" s="19" t="s">
        <v>126</v>
      </c>
      <c r="AB162" s="19" t="s">
        <v>126</v>
      </c>
      <c r="AC162" s="19" t="s">
        <v>126</v>
      </c>
      <c r="AD162" s="19" t="s">
        <v>126</v>
      </c>
      <c r="AE162" s="19" t="s">
        <v>126</v>
      </c>
      <c r="AF162" s="19" t="s">
        <v>126</v>
      </c>
      <c r="AG162" s="19" t="s">
        <v>126</v>
      </c>
      <c r="AH162" s="19" t="s">
        <v>126</v>
      </c>
      <c r="AI162" s="5" t="e">
        <f t="shared" si="13"/>
        <v>#VALUE!</v>
      </c>
      <c r="AJ162" s="5" t="e">
        <f t="shared" si="14"/>
        <v>#VALUE!</v>
      </c>
      <c r="AK162" s="5" t="e">
        <f t="shared" si="15"/>
        <v>#VALUE!</v>
      </c>
      <c r="AL162" s="5" t="e">
        <f t="shared" si="16"/>
        <v>#VALUE!</v>
      </c>
      <c r="AM162" s="5" t="e">
        <f t="shared" si="17"/>
        <v>#VALUE!</v>
      </c>
    </row>
    <row r="163" spans="1:39" ht="15" customHeight="1" thickBot="1" x14ac:dyDescent="0.35">
      <c r="A163" s="5">
        <f t="shared" si="12"/>
        <v>0</v>
      </c>
      <c r="B163" s="18">
        <v>304</v>
      </c>
      <c r="C163" s="11" t="s">
        <v>203</v>
      </c>
      <c r="D163" s="19" t="s">
        <v>40</v>
      </c>
      <c r="E163" s="19" t="s">
        <v>36</v>
      </c>
      <c r="F163" s="19" t="s">
        <v>36</v>
      </c>
      <c r="G163" s="19">
        <v>19</v>
      </c>
      <c r="H163" s="19" t="s">
        <v>126</v>
      </c>
      <c r="I163" s="19" t="s">
        <v>126</v>
      </c>
      <c r="J163" s="19" t="s">
        <v>126</v>
      </c>
      <c r="K163" s="19" t="s">
        <v>126</v>
      </c>
      <c r="L163" s="19" t="s">
        <v>126</v>
      </c>
      <c r="M163" s="19" t="s">
        <v>126</v>
      </c>
      <c r="N163" s="19" t="s">
        <v>126</v>
      </c>
      <c r="O163" s="19" t="s">
        <v>126</v>
      </c>
      <c r="P163" s="19" t="s">
        <v>126</v>
      </c>
      <c r="Q163" s="18">
        <v>304</v>
      </c>
      <c r="R163" s="11" t="s">
        <v>203</v>
      </c>
      <c r="S163" s="19" t="s">
        <v>40</v>
      </c>
      <c r="T163" s="19" t="s">
        <v>36</v>
      </c>
      <c r="U163" s="19" t="s">
        <v>36</v>
      </c>
      <c r="V163" s="19">
        <v>19</v>
      </c>
      <c r="W163" s="19" t="s">
        <v>126</v>
      </c>
      <c r="X163" s="19" t="s">
        <v>126</v>
      </c>
      <c r="Y163" s="19" t="s">
        <v>126</v>
      </c>
      <c r="Z163" s="19" t="s">
        <v>126</v>
      </c>
      <c r="AA163" s="19" t="s">
        <v>126</v>
      </c>
      <c r="AB163" s="19" t="s">
        <v>126</v>
      </c>
      <c r="AC163" s="19" t="s">
        <v>126</v>
      </c>
      <c r="AD163" s="19" t="s">
        <v>126</v>
      </c>
      <c r="AE163" s="19" t="s">
        <v>126</v>
      </c>
      <c r="AF163" s="19" t="s">
        <v>126</v>
      </c>
      <c r="AG163" s="19" t="s">
        <v>126</v>
      </c>
      <c r="AH163" s="19" t="s">
        <v>126</v>
      </c>
      <c r="AI163" s="5" t="e">
        <f t="shared" si="13"/>
        <v>#VALUE!</v>
      </c>
      <c r="AJ163" s="5" t="e">
        <f t="shared" si="14"/>
        <v>#VALUE!</v>
      </c>
      <c r="AK163" s="5" t="e">
        <f t="shared" si="15"/>
        <v>#VALUE!</v>
      </c>
      <c r="AL163" s="5" t="e">
        <f t="shared" si="16"/>
        <v>#VALUE!</v>
      </c>
      <c r="AM163" s="5" t="e">
        <f t="shared" si="17"/>
        <v>#VALUE!</v>
      </c>
    </row>
    <row r="164" spans="1:39" ht="15" customHeight="1" thickBot="1" x14ac:dyDescent="0.35">
      <c r="A164" s="5">
        <f t="shared" si="12"/>
        <v>0</v>
      </c>
      <c r="B164" s="18">
        <v>305</v>
      </c>
      <c r="C164" s="11" t="s">
        <v>204</v>
      </c>
      <c r="D164" s="19" t="s">
        <v>40</v>
      </c>
      <c r="E164" s="19" t="s">
        <v>36</v>
      </c>
      <c r="F164" s="19" t="s">
        <v>36</v>
      </c>
      <c r="G164" s="19">
        <v>20</v>
      </c>
      <c r="H164" s="19" t="s">
        <v>126</v>
      </c>
      <c r="I164" s="19" t="s">
        <v>126</v>
      </c>
      <c r="J164" s="19" t="s">
        <v>126</v>
      </c>
      <c r="K164" s="19" t="s">
        <v>126</v>
      </c>
      <c r="L164" s="19" t="s">
        <v>126</v>
      </c>
      <c r="M164" s="19" t="s">
        <v>126</v>
      </c>
      <c r="N164" s="19" t="s">
        <v>126</v>
      </c>
      <c r="O164" s="19" t="s">
        <v>126</v>
      </c>
      <c r="P164" s="19" t="s">
        <v>126</v>
      </c>
      <c r="Q164" s="18">
        <v>305</v>
      </c>
      <c r="R164" s="11" t="s">
        <v>204</v>
      </c>
      <c r="S164" s="19" t="s">
        <v>40</v>
      </c>
      <c r="T164" s="19" t="s">
        <v>36</v>
      </c>
      <c r="U164" s="19" t="s">
        <v>36</v>
      </c>
      <c r="V164" s="19">
        <v>20</v>
      </c>
      <c r="W164" s="19" t="s">
        <v>126</v>
      </c>
      <c r="X164" s="19" t="s">
        <v>126</v>
      </c>
      <c r="Y164" s="19" t="s">
        <v>126</v>
      </c>
      <c r="Z164" s="19" t="s">
        <v>126</v>
      </c>
      <c r="AA164" s="19" t="s">
        <v>126</v>
      </c>
      <c r="AB164" s="19" t="s">
        <v>126</v>
      </c>
      <c r="AC164" s="19" t="s">
        <v>126</v>
      </c>
      <c r="AD164" s="19" t="s">
        <v>126</v>
      </c>
      <c r="AE164" s="19" t="s">
        <v>126</v>
      </c>
      <c r="AF164" s="19" t="s">
        <v>126</v>
      </c>
      <c r="AG164" s="19" t="s">
        <v>126</v>
      </c>
      <c r="AH164" s="19" t="s">
        <v>126</v>
      </c>
      <c r="AI164" s="5" t="e">
        <f t="shared" si="13"/>
        <v>#VALUE!</v>
      </c>
      <c r="AJ164" s="5" t="e">
        <f t="shared" si="14"/>
        <v>#VALUE!</v>
      </c>
      <c r="AK164" s="5" t="e">
        <f t="shared" si="15"/>
        <v>#VALUE!</v>
      </c>
      <c r="AL164" s="5" t="e">
        <f t="shared" si="16"/>
        <v>#VALUE!</v>
      </c>
      <c r="AM164" s="5" t="e">
        <f t="shared" si="17"/>
        <v>#VALUE!</v>
      </c>
    </row>
    <row r="165" spans="1:39" ht="15" customHeight="1" thickBot="1" x14ac:dyDescent="0.35">
      <c r="A165" s="5">
        <f t="shared" si="12"/>
        <v>0</v>
      </c>
      <c r="B165" s="16">
        <v>306</v>
      </c>
      <c r="C165" s="10" t="s">
        <v>205</v>
      </c>
      <c r="D165" s="17" t="s">
        <v>40</v>
      </c>
      <c r="E165" s="17" t="s">
        <v>36</v>
      </c>
      <c r="F165" s="17" t="s">
        <v>36</v>
      </c>
      <c r="G165" s="17">
        <v>20</v>
      </c>
      <c r="H165" s="17" t="s">
        <v>126</v>
      </c>
      <c r="I165" s="17" t="s">
        <v>126</v>
      </c>
      <c r="J165" s="17" t="s">
        <v>126</v>
      </c>
      <c r="K165" s="17" t="s">
        <v>126</v>
      </c>
      <c r="L165" s="17" t="s">
        <v>126</v>
      </c>
      <c r="M165" s="17" t="s">
        <v>126</v>
      </c>
      <c r="N165" s="17" t="s">
        <v>126</v>
      </c>
      <c r="O165" s="17" t="s">
        <v>126</v>
      </c>
      <c r="P165" s="17" t="s">
        <v>126</v>
      </c>
      <c r="Q165" s="16">
        <v>306</v>
      </c>
      <c r="R165" s="10" t="s">
        <v>205</v>
      </c>
      <c r="S165" s="17" t="s">
        <v>40</v>
      </c>
      <c r="T165" s="17" t="s">
        <v>36</v>
      </c>
      <c r="U165" s="17" t="s">
        <v>36</v>
      </c>
      <c r="V165" s="17">
        <v>20</v>
      </c>
      <c r="W165" s="17" t="s">
        <v>126</v>
      </c>
      <c r="X165" s="17" t="s">
        <v>126</v>
      </c>
      <c r="Y165" s="17" t="s">
        <v>126</v>
      </c>
      <c r="Z165" s="17" t="s">
        <v>126</v>
      </c>
      <c r="AA165" s="17" t="s">
        <v>126</v>
      </c>
      <c r="AB165" s="17" t="s">
        <v>126</v>
      </c>
      <c r="AC165" s="17" t="s">
        <v>126</v>
      </c>
      <c r="AD165" s="17" t="s">
        <v>126</v>
      </c>
      <c r="AE165" s="17" t="s">
        <v>126</v>
      </c>
      <c r="AF165" s="17" t="s">
        <v>126</v>
      </c>
      <c r="AG165" s="17" t="s">
        <v>126</v>
      </c>
      <c r="AH165" s="17" t="s">
        <v>126</v>
      </c>
      <c r="AI165" s="5" t="e">
        <f t="shared" si="13"/>
        <v>#VALUE!</v>
      </c>
      <c r="AJ165" s="5" t="e">
        <f t="shared" si="14"/>
        <v>#VALUE!</v>
      </c>
      <c r="AK165" s="5" t="e">
        <f t="shared" si="15"/>
        <v>#VALUE!</v>
      </c>
      <c r="AL165" s="5" t="e">
        <f t="shared" si="16"/>
        <v>#VALUE!</v>
      </c>
      <c r="AM165" s="5" t="e">
        <f t="shared" si="17"/>
        <v>#VALUE!</v>
      </c>
    </row>
    <row r="166" spans="1:39" ht="15" customHeight="1" thickBot="1" x14ac:dyDescent="0.35">
      <c r="A166" s="5">
        <f t="shared" si="12"/>
        <v>0</v>
      </c>
      <c r="B166" s="18">
        <v>307</v>
      </c>
      <c r="C166" s="11" t="s">
        <v>206</v>
      </c>
      <c r="D166" s="19" t="s">
        <v>40</v>
      </c>
      <c r="E166" s="19" t="s">
        <v>46</v>
      </c>
      <c r="F166" s="19" t="s">
        <v>36</v>
      </c>
      <c r="G166" s="19">
        <v>20</v>
      </c>
      <c r="H166" s="19" t="s">
        <v>126</v>
      </c>
      <c r="I166" s="19" t="s">
        <v>126</v>
      </c>
      <c r="J166" s="19" t="s">
        <v>126</v>
      </c>
      <c r="K166" s="19" t="s">
        <v>126</v>
      </c>
      <c r="L166" s="19" t="s">
        <v>126</v>
      </c>
      <c r="M166" s="19" t="s">
        <v>126</v>
      </c>
      <c r="N166" s="19" t="s">
        <v>126</v>
      </c>
      <c r="O166" s="19" t="s">
        <v>126</v>
      </c>
      <c r="P166" s="19" t="s">
        <v>126</v>
      </c>
      <c r="Q166" s="18">
        <v>307</v>
      </c>
      <c r="R166" s="11" t="s">
        <v>206</v>
      </c>
      <c r="S166" s="19" t="s">
        <v>40</v>
      </c>
      <c r="T166" s="19" t="s">
        <v>46</v>
      </c>
      <c r="U166" s="19" t="s">
        <v>36</v>
      </c>
      <c r="V166" s="19">
        <v>20</v>
      </c>
      <c r="W166" s="19" t="s">
        <v>126</v>
      </c>
      <c r="X166" s="19" t="s">
        <v>126</v>
      </c>
      <c r="Y166" s="19" t="s">
        <v>126</v>
      </c>
      <c r="Z166" s="19" t="s">
        <v>126</v>
      </c>
      <c r="AA166" s="19" t="s">
        <v>126</v>
      </c>
      <c r="AB166" s="19" t="s">
        <v>126</v>
      </c>
      <c r="AC166" s="19" t="s">
        <v>126</v>
      </c>
      <c r="AD166" s="19" t="s">
        <v>126</v>
      </c>
      <c r="AE166" s="19" t="s">
        <v>126</v>
      </c>
      <c r="AF166" s="19" t="s">
        <v>126</v>
      </c>
      <c r="AG166" s="19" t="s">
        <v>126</v>
      </c>
      <c r="AH166" s="19" t="s">
        <v>126</v>
      </c>
      <c r="AI166" s="5" t="e">
        <f t="shared" si="13"/>
        <v>#VALUE!</v>
      </c>
      <c r="AJ166" s="5" t="e">
        <f t="shared" si="14"/>
        <v>#VALUE!</v>
      </c>
      <c r="AK166" s="5" t="e">
        <f t="shared" si="15"/>
        <v>#VALUE!</v>
      </c>
      <c r="AL166" s="5" t="e">
        <f t="shared" si="16"/>
        <v>#VALUE!</v>
      </c>
      <c r="AM166" s="5" t="e">
        <f t="shared" si="17"/>
        <v>#VALUE!</v>
      </c>
    </row>
    <row r="167" spans="1:39" ht="15" customHeight="1" thickBot="1" x14ac:dyDescent="0.35">
      <c r="A167" s="5">
        <f t="shared" si="12"/>
        <v>0</v>
      </c>
      <c r="B167" s="16">
        <v>308</v>
      </c>
      <c r="C167" s="10" t="s">
        <v>207</v>
      </c>
      <c r="D167" s="17" t="s">
        <v>40</v>
      </c>
      <c r="E167" s="17" t="s">
        <v>36</v>
      </c>
      <c r="F167" s="17" t="s">
        <v>36</v>
      </c>
      <c r="G167" s="17">
        <v>22</v>
      </c>
      <c r="H167" s="17" t="s">
        <v>126</v>
      </c>
      <c r="I167" s="17" t="s">
        <v>126</v>
      </c>
      <c r="J167" s="17" t="s">
        <v>126</v>
      </c>
      <c r="K167" s="17" t="s">
        <v>126</v>
      </c>
      <c r="L167" s="17" t="s">
        <v>126</v>
      </c>
      <c r="M167" s="17" t="s">
        <v>126</v>
      </c>
      <c r="N167" s="17" t="s">
        <v>126</v>
      </c>
      <c r="O167" s="17" t="s">
        <v>126</v>
      </c>
      <c r="P167" s="17" t="s">
        <v>126</v>
      </c>
      <c r="Q167" s="16">
        <v>308</v>
      </c>
      <c r="R167" s="10" t="s">
        <v>207</v>
      </c>
      <c r="S167" s="17" t="s">
        <v>40</v>
      </c>
      <c r="T167" s="17" t="s">
        <v>36</v>
      </c>
      <c r="U167" s="17" t="s">
        <v>36</v>
      </c>
      <c r="V167" s="17">
        <v>22</v>
      </c>
      <c r="W167" s="17" t="s">
        <v>126</v>
      </c>
      <c r="X167" s="17" t="s">
        <v>126</v>
      </c>
      <c r="Y167" s="17" t="s">
        <v>126</v>
      </c>
      <c r="Z167" s="17" t="s">
        <v>126</v>
      </c>
      <c r="AA167" s="17" t="s">
        <v>126</v>
      </c>
      <c r="AB167" s="17" t="s">
        <v>126</v>
      </c>
      <c r="AC167" s="17" t="s">
        <v>126</v>
      </c>
      <c r="AD167" s="17" t="s">
        <v>126</v>
      </c>
      <c r="AE167" s="17" t="s">
        <v>126</v>
      </c>
      <c r="AF167" s="17" t="s">
        <v>126</v>
      </c>
      <c r="AG167" s="17" t="s">
        <v>126</v>
      </c>
      <c r="AH167" s="17" t="s">
        <v>126</v>
      </c>
      <c r="AI167" s="5" t="e">
        <f t="shared" si="13"/>
        <v>#VALUE!</v>
      </c>
      <c r="AJ167" s="5" t="e">
        <f t="shared" si="14"/>
        <v>#VALUE!</v>
      </c>
      <c r="AK167" s="5" t="e">
        <f t="shared" si="15"/>
        <v>#VALUE!</v>
      </c>
      <c r="AL167" s="5" t="e">
        <f t="shared" si="16"/>
        <v>#VALUE!</v>
      </c>
      <c r="AM167" s="5" t="e">
        <f t="shared" si="17"/>
        <v>#VALUE!</v>
      </c>
    </row>
    <row r="168" spans="1:39" ht="15" customHeight="1" thickBot="1" x14ac:dyDescent="0.35">
      <c r="A168" s="5">
        <f t="shared" si="12"/>
        <v>0</v>
      </c>
      <c r="B168" s="18">
        <v>309</v>
      </c>
      <c r="C168" s="11" t="s">
        <v>208</v>
      </c>
      <c r="D168" s="19" t="s">
        <v>40</v>
      </c>
      <c r="E168" s="19" t="s">
        <v>36</v>
      </c>
      <c r="F168" s="19" t="s">
        <v>36</v>
      </c>
      <c r="G168" s="19">
        <v>18</v>
      </c>
      <c r="H168" s="19" t="s">
        <v>126</v>
      </c>
      <c r="I168" s="19" t="s">
        <v>126</v>
      </c>
      <c r="J168" s="19" t="s">
        <v>126</v>
      </c>
      <c r="K168" s="19" t="s">
        <v>126</v>
      </c>
      <c r="L168" s="19" t="s">
        <v>126</v>
      </c>
      <c r="M168" s="19" t="s">
        <v>126</v>
      </c>
      <c r="N168" s="19" t="s">
        <v>126</v>
      </c>
      <c r="O168" s="19" t="s">
        <v>126</v>
      </c>
      <c r="P168" s="19" t="s">
        <v>126</v>
      </c>
      <c r="Q168" s="18">
        <v>309</v>
      </c>
      <c r="R168" s="11" t="s">
        <v>208</v>
      </c>
      <c r="S168" s="19" t="s">
        <v>40</v>
      </c>
      <c r="T168" s="19" t="s">
        <v>36</v>
      </c>
      <c r="U168" s="19" t="s">
        <v>36</v>
      </c>
      <c r="V168" s="19">
        <v>18</v>
      </c>
      <c r="W168" s="19" t="s">
        <v>126</v>
      </c>
      <c r="X168" s="19" t="s">
        <v>126</v>
      </c>
      <c r="Y168" s="19" t="s">
        <v>126</v>
      </c>
      <c r="Z168" s="19" t="s">
        <v>126</v>
      </c>
      <c r="AA168" s="19" t="s">
        <v>126</v>
      </c>
      <c r="AB168" s="19" t="s">
        <v>126</v>
      </c>
      <c r="AC168" s="19" t="s">
        <v>126</v>
      </c>
      <c r="AD168" s="19" t="s">
        <v>126</v>
      </c>
      <c r="AE168" s="19" t="s">
        <v>126</v>
      </c>
      <c r="AF168" s="19" t="s">
        <v>126</v>
      </c>
      <c r="AG168" s="19" t="s">
        <v>126</v>
      </c>
      <c r="AH168" s="19" t="s">
        <v>126</v>
      </c>
      <c r="AI168" s="5" t="e">
        <f t="shared" si="13"/>
        <v>#VALUE!</v>
      </c>
      <c r="AJ168" s="5" t="e">
        <f t="shared" si="14"/>
        <v>#VALUE!</v>
      </c>
      <c r="AK168" s="5" t="e">
        <f t="shared" si="15"/>
        <v>#VALUE!</v>
      </c>
      <c r="AL168" s="5" t="e">
        <f t="shared" si="16"/>
        <v>#VALUE!</v>
      </c>
      <c r="AM168" s="5" t="e">
        <f t="shared" si="17"/>
        <v>#VALUE!</v>
      </c>
    </row>
    <row r="169" spans="1:39" ht="15" customHeight="1" thickBot="1" x14ac:dyDescent="0.35">
      <c r="A169" s="5">
        <f t="shared" si="12"/>
        <v>0</v>
      </c>
      <c r="B169" s="16">
        <v>310</v>
      </c>
      <c r="C169" s="10" t="s">
        <v>209</v>
      </c>
      <c r="D169" s="17" t="s">
        <v>126</v>
      </c>
      <c r="E169" s="17" t="s">
        <v>126</v>
      </c>
      <c r="F169" s="17" t="s">
        <v>126</v>
      </c>
      <c r="G169" s="17" t="s">
        <v>126</v>
      </c>
      <c r="H169" s="17" t="s">
        <v>126</v>
      </c>
      <c r="I169" s="17" t="s">
        <v>126</v>
      </c>
      <c r="J169" s="17" t="s">
        <v>126</v>
      </c>
      <c r="K169" s="17" t="s">
        <v>126</v>
      </c>
      <c r="L169" s="17" t="s">
        <v>126</v>
      </c>
      <c r="M169" s="17" t="s">
        <v>126</v>
      </c>
      <c r="N169" s="17" t="s">
        <v>126</v>
      </c>
      <c r="O169" s="17" t="s">
        <v>126</v>
      </c>
      <c r="P169" s="17" t="s">
        <v>126</v>
      </c>
      <c r="Q169" s="16">
        <v>310</v>
      </c>
      <c r="R169" s="10" t="s">
        <v>209</v>
      </c>
      <c r="S169" s="17" t="s">
        <v>126</v>
      </c>
      <c r="T169" s="17" t="s">
        <v>126</v>
      </c>
      <c r="U169" s="17" t="s">
        <v>126</v>
      </c>
      <c r="V169" s="17" t="s">
        <v>126</v>
      </c>
      <c r="W169" s="17" t="s">
        <v>126</v>
      </c>
      <c r="X169" s="17" t="s">
        <v>126</v>
      </c>
      <c r="Y169" s="17" t="s">
        <v>126</v>
      </c>
      <c r="Z169" s="17" t="s">
        <v>126</v>
      </c>
      <c r="AA169" s="17" t="s">
        <v>126</v>
      </c>
      <c r="AB169" s="17" t="s">
        <v>126</v>
      </c>
      <c r="AC169" s="17" t="s">
        <v>126</v>
      </c>
      <c r="AD169" s="17" t="s">
        <v>126</v>
      </c>
      <c r="AE169" s="17" t="s">
        <v>126</v>
      </c>
      <c r="AF169" s="17" t="s">
        <v>126</v>
      </c>
      <c r="AG169" s="17" t="s">
        <v>126</v>
      </c>
      <c r="AH169" s="17" t="s">
        <v>126</v>
      </c>
      <c r="AI169" s="5" t="e">
        <f t="shared" si="13"/>
        <v>#VALUE!</v>
      </c>
      <c r="AJ169" s="5" t="e">
        <f t="shared" si="14"/>
        <v>#VALUE!</v>
      </c>
      <c r="AK169" s="5" t="e">
        <f t="shared" si="15"/>
        <v>#VALUE!</v>
      </c>
      <c r="AL169" s="5" t="e">
        <f t="shared" si="16"/>
        <v>#VALUE!</v>
      </c>
      <c r="AM169" s="5" t="e">
        <f t="shared" si="17"/>
        <v>#VALUE!</v>
      </c>
    </row>
    <row r="170" spans="1:39" ht="15" customHeight="1" thickBot="1" x14ac:dyDescent="0.35">
      <c r="A170" s="5">
        <f t="shared" si="12"/>
        <v>0</v>
      </c>
      <c r="B170" s="18">
        <v>311</v>
      </c>
      <c r="C170" s="11" t="s">
        <v>210</v>
      </c>
      <c r="D170" s="19" t="s">
        <v>126</v>
      </c>
      <c r="E170" s="19" t="s">
        <v>126</v>
      </c>
      <c r="F170" s="19" t="s">
        <v>126</v>
      </c>
      <c r="G170" s="19" t="s">
        <v>126</v>
      </c>
      <c r="H170" s="19" t="s">
        <v>126</v>
      </c>
      <c r="I170" s="19" t="s">
        <v>126</v>
      </c>
      <c r="J170" s="19" t="s">
        <v>126</v>
      </c>
      <c r="K170" s="19" t="s">
        <v>126</v>
      </c>
      <c r="L170" s="19" t="s">
        <v>126</v>
      </c>
      <c r="M170" s="19" t="s">
        <v>126</v>
      </c>
      <c r="N170" s="19" t="s">
        <v>126</v>
      </c>
      <c r="O170" s="19" t="s">
        <v>126</v>
      </c>
      <c r="P170" s="19" t="s">
        <v>126</v>
      </c>
      <c r="Q170" s="18">
        <v>311</v>
      </c>
      <c r="R170" s="11" t="s">
        <v>210</v>
      </c>
      <c r="S170" s="19" t="s">
        <v>126</v>
      </c>
      <c r="T170" s="19" t="s">
        <v>126</v>
      </c>
      <c r="U170" s="19" t="s">
        <v>126</v>
      </c>
      <c r="V170" s="19" t="s">
        <v>126</v>
      </c>
      <c r="W170" s="19" t="s">
        <v>126</v>
      </c>
      <c r="X170" s="19" t="s">
        <v>126</v>
      </c>
      <c r="Y170" s="19" t="s">
        <v>126</v>
      </c>
      <c r="Z170" s="19" t="s">
        <v>126</v>
      </c>
      <c r="AA170" s="19" t="s">
        <v>126</v>
      </c>
      <c r="AB170" s="19" t="s">
        <v>126</v>
      </c>
      <c r="AC170" s="19" t="s">
        <v>126</v>
      </c>
      <c r="AD170" s="19" t="s">
        <v>126</v>
      </c>
      <c r="AE170" s="19" t="s">
        <v>126</v>
      </c>
      <c r="AF170" s="19" t="s">
        <v>126</v>
      </c>
      <c r="AG170" s="19" t="s">
        <v>126</v>
      </c>
      <c r="AH170" s="19" t="s">
        <v>126</v>
      </c>
      <c r="AI170" s="5" t="e">
        <f t="shared" si="13"/>
        <v>#VALUE!</v>
      </c>
      <c r="AJ170" s="5" t="e">
        <f t="shared" si="14"/>
        <v>#VALUE!</v>
      </c>
      <c r="AK170" s="5" t="e">
        <f t="shared" si="15"/>
        <v>#VALUE!</v>
      </c>
      <c r="AL170" s="5" t="e">
        <f t="shared" si="16"/>
        <v>#VALUE!</v>
      </c>
      <c r="AM170" s="5" t="e">
        <f t="shared" si="17"/>
        <v>#VALUE!</v>
      </c>
    </row>
    <row r="171" spans="1:39" ht="15" customHeight="1" thickBot="1" x14ac:dyDescent="0.35">
      <c r="A171" s="5">
        <f t="shared" si="12"/>
        <v>0</v>
      </c>
      <c r="B171" s="16">
        <v>312</v>
      </c>
      <c r="C171" s="10" t="s">
        <v>211</v>
      </c>
      <c r="D171" s="17" t="s">
        <v>126</v>
      </c>
      <c r="E171" s="17" t="s">
        <v>126</v>
      </c>
      <c r="F171" s="17" t="s">
        <v>126</v>
      </c>
      <c r="G171" s="17" t="s">
        <v>126</v>
      </c>
      <c r="H171" s="17" t="s">
        <v>126</v>
      </c>
      <c r="I171" s="17" t="s">
        <v>126</v>
      </c>
      <c r="J171" s="17" t="s">
        <v>126</v>
      </c>
      <c r="K171" s="17" t="s">
        <v>126</v>
      </c>
      <c r="L171" s="17" t="s">
        <v>126</v>
      </c>
      <c r="M171" s="17" t="s">
        <v>126</v>
      </c>
      <c r="N171" s="17" t="s">
        <v>126</v>
      </c>
      <c r="O171" s="17" t="s">
        <v>126</v>
      </c>
      <c r="P171" s="17" t="s">
        <v>126</v>
      </c>
      <c r="Q171" s="16">
        <v>312</v>
      </c>
      <c r="R171" s="10" t="s">
        <v>211</v>
      </c>
      <c r="S171" s="17" t="s">
        <v>126</v>
      </c>
      <c r="T171" s="17" t="s">
        <v>126</v>
      </c>
      <c r="U171" s="17" t="s">
        <v>126</v>
      </c>
      <c r="V171" s="17" t="s">
        <v>126</v>
      </c>
      <c r="W171" s="17" t="s">
        <v>126</v>
      </c>
      <c r="X171" s="17" t="s">
        <v>126</v>
      </c>
      <c r="Y171" s="17" t="s">
        <v>126</v>
      </c>
      <c r="Z171" s="17" t="s">
        <v>126</v>
      </c>
      <c r="AA171" s="17" t="s">
        <v>126</v>
      </c>
      <c r="AB171" s="17" t="s">
        <v>126</v>
      </c>
      <c r="AC171" s="17" t="s">
        <v>126</v>
      </c>
      <c r="AD171" s="17" t="s">
        <v>126</v>
      </c>
      <c r="AE171" s="17" t="s">
        <v>126</v>
      </c>
      <c r="AF171" s="17" t="s">
        <v>126</v>
      </c>
      <c r="AG171" s="17" t="s">
        <v>126</v>
      </c>
      <c r="AH171" s="17" t="s">
        <v>126</v>
      </c>
      <c r="AI171" s="5" t="e">
        <f t="shared" si="13"/>
        <v>#VALUE!</v>
      </c>
      <c r="AJ171" s="5" t="e">
        <f t="shared" si="14"/>
        <v>#VALUE!</v>
      </c>
      <c r="AK171" s="5" t="e">
        <f t="shared" si="15"/>
        <v>#VALUE!</v>
      </c>
      <c r="AL171" s="5" t="e">
        <f t="shared" si="16"/>
        <v>#VALUE!</v>
      </c>
      <c r="AM171" s="5" t="e">
        <f t="shared" si="17"/>
        <v>#VALUE!</v>
      </c>
    </row>
    <row r="172" spans="1:39" ht="15" customHeight="1" thickBot="1" x14ac:dyDescent="0.35">
      <c r="A172" s="5">
        <f t="shared" si="12"/>
        <v>0</v>
      </c>
      <c r="B172" s="16">
        <v>313</v>
      </c>
      <c r="C172" s="10" t="s">
        <v>212</v>
      </c>
      <c r="D172" s="17" t="s">
        <v>126</v>
      </c>
      <c r="E172" s="17" t="s">
        <v>126</v>
      </c>
      <c r="F172" s="17" t="s">
        <v>126</v>
      </c>
      <c r="G172" s="17" t="s">
        <v>126</v>
      </c>
      <c r="H172" s="17" t="s">
        <v>126</v>
      </c>
      <c r="I172" s="17" t="s">
        <v>126</v>
      </c>
      <c r="J172" s="17" t="s">
        <v>126</v>
      </c>
      <c r="K172" s="17" t="s">
        <v>126</v>
      </c>
      <c r="L172" s="17" t="s">
        <v>126</v>
      </c>
      <c r="M172" s="17" t="s">
        <v>126</v>
      </c>
      <c r="N172" s="17" t="s">
        <v>126</v>
      </c>
      <c r="O172" s="17" t="s">
        <v>126</v>
      </c>
      <c r="P172" s="17" t="s">
        <v>126</v>
      </c>
      <c r="Q172" s="16">
        <v>313</v>
      </c>
      <c r="R172" s="10" t="s">
        <v>212</v>
      </c>
      <c r="S172" s="17" t="s">
        <v>126</v>
      </c>
      <c r="T172" s="17" t="s">
        <v>126</v>
      </c>
      <c r="U172" s="17" t="s">
        <v>126</v>
      </c>
      <c r="V172" s="17" t="s">
        <v>126</v>
      </c>
      <c r="W172" s="17" t="s">
        <v>126</v>
      </c>
      <c r="X172" s="17" t="s">
        <v>126</v>
      </c>
      <c r="Y172" s="17" t="s">
        <v>126</v>
      </c>
      <c r="Z172" s="17" t="s">
        <v>126</v>
      </c>
      <c r="AA172" s="17" t="s">
        <v>126</v>
      </c>
      <c r="AB172" s="17" t="s">
        <v>126</v>
      </c>
      <c r="AC172" s="17" t="s">
        <v>126</v>
      </c>
      <c r="AD172" s="17" t="s">
        <v>126</v>
      </c>
      <c r="AE172" s="17" t="s">
        <v>126</v>
      </c>
      <c r="AF172" s="17" t="s">
        <v>126</v>
      </c>
      <c r="AG172" s="17" t="s">
        <v>126</v>
      </c>
      <c r="AH172" s="17" t="s">
        <v>126</v>
      </c>
      <c r="AI172" s="5" t="e">
        <f t="shared" si="13"/>
        <v>#VALUE!</v>
      </c>
      <c r="AJ172" s="5" t="e">
        <f t="shared" si="14"/>
        <v>#VALUE!</v>
      </c>
      <c r="AK172" s="5" t="e">
        <f t="shared" si="15"/>
        <v>#VALUE!</v>
      </c>
      <c r="AL172" s="5" t="e">
        <f t="shared" si="16"/>
        <v>#VALUE!</v>
      </c>
      <c r="AM172" s="5" t="e">
        <f t="shared" si="17"/>
        <v>#VALUE!</v>
      </c>
    </row>
    <row r="173" spans="1:39" ht="15" customHeight="1" thickBot="1" x14ac:dyDescent="0.35">
      <c r="A173" s="5">
        <f t="shared" si="12"/>
        <v>0</v>
      </c>
      <c r="B173" s="18">
        <v>314</v>
      </c>
      <c r="C173" s="11" t="s">
        <v>213</v>
      </c>
      <c r="D173" s="19" t="s">
        <v>126</v>
      </c>
      <c r="E173" s="19" t="s">
        <v>126</v>
      </c>
      <c r="F173" s="19" t="s">
        <v>126</v>
      </c>
      <c r="G173" s="19" t="s">
        <v>126</v>
      </c>
      <c r="H173" s="19" t="s">
        <v>126</v>
      </c>
      <c r="I173" s="19" t="s">
        <v>126</v>
      </c>
      <c r="J173" s="19" t="s">
        <v>126</v>
      </c>
      <c r="K173" s="19" t="s">
        <v>126</v>
      </c>
      <c r="L173" s="19" t="s">
        <v>126</v>
      </c>
      <c r="M173" s="19" t="s">
        <v>126</v>
      </c>
      <c r="N173" s="19" t="s">
        <v>126</v>
      </c>
      <c r="O173" s="19" t="s">
        <v>126</v>
      </c>
      <c r="P173" s="19" t="s">
        <v>126</v>
      </c>
      <c r="Q173" s="18">
        <v>314</v>
      </c>
      <c r="R173" s="11" t="s">
        <v>213</v>
      </c>
      <c r="S173" s="19" t="s">
        <v>126</v>
      </c>
      <c r="T173" s="19" t="s">
        <v>126</v>
      </c>
      <c r="U173" s="19" t="s">
        <v>126</v>
      </c>
      <c r="V173" s="19" t="s">
        <v>126</v>
      </c>
      <c r="W173" s="19" t="s">
        <v>126</v>
      </c>
      <c r="X173" s="19" t="s">
        <v>126</v>
      </c>
      <c r="Y173" s="19" t="s">
        <v>126</v>
      </c>
      <c r="Z173" s="19" t="s">
        <v>126</v>
      </c>
      <c r="AA173" s="19" t="s">
        <v>126</v>
      </c>
      <c r="AB173" s="19" t="s">
        <v>126</v>
      </c>
      <c r="AC173" s="19" t="s">
        <v>126</v>
      </c>
      <c r="AD173" s="19" t="s">
        <v>126</v>
      </c>
      <c r="AE173" s="19" t="s">
        <v>126</v>
      </c>
      <c r="AF173" s="19" t="s">
        <v>126</v>
      </c>
      <c r="AG173" s="19" t="s">
        <v>126</v>
      </c>
      <c r="AH173" s="19" t="s">
        <v>126</v>
      </c>
      <c r="AI173" s="5" t="e">
        <f t="shared" si="13"/>
        <v>#VALUE!</v>
      </c>
      <c r="AJ173" s="5" t="e">
        <f t="shared" si="14"/>
        <v>#VALUE!</v>
      </c>
      <c r="AK173" s="5" t="e">
        <f t="shared" si="15"/>
        <v>#VALUE!</v>
      </c>
      <c r="AL173" s="5" t="e">
        <f t="shared" si="16"/>
        <v>#VALUE!</v>
      </c>
      <c r="AM173" s="5" t="e">
        <f t="shared" si="17"/>
        <v>#VALUE!</v>
      </c>
    </row>
    <row r="174" spans="1:39" ht="15" customHeight="1" thickBot="1" x14ac:dyDescent="0.35">
      <c r="A174" s="5">
        <f t="shared" si="12"/>
        <v>0</v>
      </c>
      <c r="B174" s="16">
        <v>315</v>
      </c>
      <c r="C174" s="10" t="s">
        <v>214</v>
      </c>
      <c r="D174" s="17" t="s">
        <v>126</v>
      </c>
      <c r="E174" s="17" t="s">
        <v>126</v>
      </c>
      <c r="F174" s="17" t="s">
        <v>126</v>
      </c>
      <c r="G174" s="17" t="s">
        <v>126</v>
      </c>
      <c r="H174" s="17" t="s">
        <v>126</v>
      </c>
      <c r="I174" s="17" t="s">
        <v>126</v>
      </c>
      <c r="J174" s="17" t="s">
        <v>126</v>
      </c>
      <c r="K174" s="17" t="s">
        <v>126</v>
      </c>
      <c r="L174" s="17" t="s">
        <v>126</v>
      </c>
      <c r="M174" s="17" t="s">
        <v>126</v>
      </c>
      <c r="N174" s="17" t="s">
        <v>126</v>
      </c>
      <c r="O174" s="17" t="s">
        <v>126</v>
      </c>
      <c r="P174" s="17" t="s">
        <v>126</v>
      </c>
      <c r="Q174" s="16">
        <v>315</v>
      </c>
      <c r="R174" s="10" t="s">
        <v>214</v>
      </c>
      <c r="S174" s="17" t="s">
        <v>126</v>
      </c>
      <c r="T174" s="17" t="s">
        <v>126</v>
      </c>
      <c r="U174" s="17" t="s">
        <v>126</v>
      </c>
      <c r="V174" s="17" t="s">
        <v>126</v>
      </c>
      <c r="W174" s="17" t="s">
        <v>126</v>
      </c>
      <c r="X174" s="17" t="s">
        <v>126</v>
      </c>
      <c r="Y174" s="17" t="s">
        <v>126</v>
      </c>
      <c r="Z174" s="17" t="s">
        <v>126</v>
      </c>
      <c r="AA174" s="17" t="s">
        <v>126</v>
      </c>
      <c r="AB174" s="17" t="s">
        <v>126</v>
      </c>
      <c r="AC174" s="17" t="s">
        <v>126</v>
      </c>
      <c r="AD174" s="17" t="s">
        <v>126</v>
      </c>
      <c r="AE174" s="17" t="s">
        <v>126</v>
      </c>
      <c r="AF174" s="17" t="s">
        <v>126</v>
      </c>
      <c r="AG174" s="17" t="s">
        <v>126</v>
      </c>
      <c r="AH174" s="17" t="s">
        <v>126</v>
      </c>
      <c r="AI174" s="5" t="e">
        <f t="shared" si="13"/>
        <v>#VALUE!</v>
      </c>
      <c r="AJ174" s="5" t="e">
        <f t="shared" si="14"/>
        <v>#VALUE!</v>
      </c>
      <c r="AK174" s="5" t="e">
        <f t="shared" si="15"/>
        <v>#VALUE!</v>
      </c>
      <c r="AL174" s="5" t="e">
        <f t="shared" si="16"/>
        <v>#VALUE!</v>
      </c>
      <c r="AM174" s="5" t="e">
        <f t="shared" si="17"/>
        <v>#VALUE!</v>
      </c>
    </row>
    <row r="175" spans="1:39" ht="15" customHeight="1" thickBot="1" x14ac:dyDescent="0.35">
      <c r="A175" s="5">
        <f t="shared" si="12"/>
        <v>0</v>
      </c>
      <c r="B175" s="16">
        <v>316</v>
      </c>
      <c r="C175" s="10" t="s">
        <v>215</v>
      </c>
      <c r="D175" s="17" t="s">
        <v>126</v>
      </c>
      <c r="E175" s="17" t="s">
        <v>126</v>
      </c>
      <c r="F175" s="17" t="s">
        <v>126</v>
      </c>
      <c r="G175" s="17" t="s">
        <v>126</v>
      </c>
      <c r="H175" s="17" t="s">
        <v>126</v>
      </c>
      <c r="I175" s="17" t="s">
        <v>126</v>
      </c>
      <c r="J175" s="17" t="s">
        <v>126</v>
      </c>
      <c r="K175" s="17" t="s">
        <v>126</v>
      </c>
      <c r="L175" s="17" t="s">
        <v>126</v>
      </c>
      <c r="M175" s="17" t="s">
        <v>126</v>
      </c>
      <c r="N175" s="17" t="s">
        <v>126</v>
      </c>
      <c r="O175" s="17" t="s">
        <v>126</v>
      </c>
      <c r="P175" s="17" t="s">
        <v>126</v>
      </c>
      <c r="Q175" s="16">
        <v>316</v>
      </c>
      <c r="R175" s="10" t="s">
        <v>215</v>
      </c>
      <c r="S175" s="17" t="s">
        <v>126</v>
      </c>
      <c r="T175" s="17" t="s">
        <v>126</v>
      </c>
      <c r="U175" s="17" t="s">
        <v>126</v>
      </c>
      <c r="V175" s="17" t="s">
        <v>126</v>
      </c>
      <c r="W175" s="17" t="s">
        <v>126</v>
      </c>
      <c r="X175" s="17" t="s">
        <v>126</v>
      </c>
      <c r="Y175" s="17" t="s">
        <v>126</v>
      </c>
      <c r="Z175" s="17" t="s">
        <v>126</v>
      </c>
      <c r="AA175" s="17" t="s">
        <v>126</v>
      </c>
      <c r="AB175" s="17" t="s">
        <v>126</v>
      </c>
      <c r="AC175" s="17" t="s">
        <v>126</v>
      </c>
      <c r="AD175" s="17" t="s">
        <v>126</v>
      </c>
      <c r="AE175" s="17" t="s">
        <v>126</v>
      </c>
      <c r="AF175" s="17" t="s">
        <v>126</v>
      </c>
      <c r="AG175" s="17" t="s">
        <v>126</v>
      </c>
      <c r="AH175" s="17" t="s">
        <v>126</v>
      </c>
      <c r="AI175" s="5" t="e">
        <f t="shared" si="13"/>
        <v>#VALUE!</v>
      </c>
      <c r="AJ175" s="5" t="e">
        <f t="shared" si="14"/>
        <v>#VALUE!</v>
      </c>
      <c r="AK175" s="5" t="e">
        <f t="shared" si="15"/>
        <v>#VALUE!</v>
      </c>
      <c r="AL175" s="5" t="e">
        <f t="shared" si="16"/>
        <v>#VALUE!</v>
      </c>
      <c r="AM175" s="5" t="e">
        <f t="shared" si="17"/>
        <v>#VALUE!</v>
      </c>
    </row>
    <row r="176" spans="1:39" ht="15" customHeight="1" thickBot="1" x14ac:dyDescent="0.35">
      <c r="A176" s="5">
        <f t="shared" si="12"/>
        <v>0</v>
      </c>
      <c r="B176" s="18">
        <v>317</v>
      </c>
      <c r="C176" s="11" t="s">
        <v>216</v>
      </c>
      <c r="D176" s="19" t="s">
        <v>126</v>
      </c>
      <c r="E176" s="19" t="s">
        <v>126</v>
      </c>
      <c r="F176" s="19" t="s">
        <v>126</v>
      </c>
      <c r="G176" s="19" t="s">
        <v>126</v>
      </c>
      <c r="H176" s="19" t="s">
        <v>126</v>
      </c>
      <c r="I176" s="19" t="s">
        <v>126</v>
      </c>
      <c r="J176" s="19" t="s">
        <v>126</v>
      </c>
      <c r="K176" s="19" t="s">
        <v>126</v>
      </c>
      <c r="L176" s="19" t="s">
        <v>126</v>
      </c>
      <c r="M176" s="19" t="s">
        <v>126</v>
      </c>
      <c r="N176" s="19" t="s">
        <v>126</v>
      </c>
      <c r="O176" s="19" t="s">
        <v>126</v>
      </c>
      <c r="P176" s="19" t="s">
        <v>126</v>
      </c>
      <c r="Q176" s="18">
        <v>317</v>
      </c>
      <c r="R176" s="11" t="s">
        <v>216</v>
      </c>
      <c r="S176" s="19" t="s">
        <v>126</v>
      </c>
      <c r="T176" s="19" t="s">
        <v>126</v>
      </c>
      <c r="U176" s="19" t="s">
        <v>126</v>
      </c>
      <c r="V176" s="19" t="s">
        <v>126</v>
      </c>
      <c r="W176" s="19" t="s">
        <v>126</v>
      </c>
      <c r="X176" s="19" t="s">
        <v>126</v>
      </c>
      <c r="Y176" s="19" t="s">
        <v>126</v>
      </c>
      <c r="Z176" s="19" t="s">
        <v>126</v>
      </c>
      <c r="AA176" s="19" t="s">
        <v>126</v>
      </c>
      <c r="AB176" s="19" t="s">
        <v>126</v>
      </c>
      <c r="AC176" s="19" t="s">
        <v>126</v>
      </c>
      <c r="AD176" s="19" t="s">
        <v>126</v>
      </c>
      <c r="AE176" s="19" t="s">
        <v>126</v>
      </c>
      <c r="AF176" s="19" t="s">
        <v>126</v>
      </c>
      <c r="AG176" s="19" t="s">
        <v>126</v>
      </c>
      <c r="AH176" s="19" t="s">
        <v>126</v>
      </c>
      <c r="AI176" s="5" t="e">
        <f t="shared" si="13"/>
        <v>#VALUE!</v>
      </c>
      <c r="AJ176" s="5" t="e">
        <f t="shared" si="14"/>
        <v>#VALUE!</v>
      </c>
      <c r="AK176" s="5" t="e">
        <f t="shared" si="15"/>
        <v>#VALUE!</v>
      </c>
      <c r="AL176" s="5" t="e">
        <f t="shared" si="16"/>
        <v>#VALUE!</v>
      </c>
      <c r="AM176" s="5" t="e">
        <f t="shared" si="17"/>
        <v>#VALUE!</v>
      </c>
    </row>
    <row r="177" spans="1:39" ht="15" customHeight="1" thickBot="1" x14ac:dyDescent="0.35">
      <c r="A177" s="5">
        <f t="shared" si="12"/>
        <v>0</v>
      </c>
      <c r="B177" s="18">
        <v>318</v>
      </c>
      <c r="C177" s="11" t="s">
        <v>217</v>
      </c>
      <c r="D177" s="19" t="s">
        <v>126</v>
      </c>
      <c r="E177" s="19" t="s">
        <v>126</v>
      </c>
      <c r="F177" s="19" t="s">
        <v>126</v>
      </c>
      <c r="G177" s="19" t="s">
        <v>126</v>
      </c>
      <c r="H177" s="19" t="s">
        <v>126</v>
      </c>
      <c r="I177" s="19" t="s">
        <v>126</v>
      </c>
      <c r="J177" s="19" t="s">
        <v>126</v>
      </c>
      <c r="K177" s="19" t="s">
        <v>126</v>
      </c>
      <c r="L177" s="19" t="s">
        <v>126</v>
      </c>
      <c r="M177" s="19" t="s">
        <v>126</v>
      </c>
      <c r="N177" s="19" t="s">
        <v>126</v>
      </c>
      <c r="O177" s="19" t="s">
        <v>126</v>
      </c>
      <c r="P177" s="19" t="s">
        <v>126</v>
      </c>
      <c r="Q177" s="18">
        <v>318</v>
      </c>
      <c r="R177" s="11" t="s">
        <v>217</v>
      </c>
      <c r="S177" s="19" t="s">
        <v>126</v>
      </c>
      <c r="T177" s="19" t="s">
        <v>126</v>
      </c>
      <c r="U177" s="19" t="s">
        <v>126</v>
      </c>
      <c r="V177" s="19" t="s">
        <v>126</v>
      </c>
      <c r="W177" s="19" t="s">
        <v>126</v>
      </c>
      <c r="X177" s="19" t="s">
        <v>126</v>
      </c>
      <c r="Y177" s="19" t="s">
        <v>126</v>
      </c>
      <c r="Z177" s="19" t="s">
        <v>126</v>
      </c>
      <c r="AA177" s="19" t="s">
        <v>126</v>
      </c>
      <c r="AB177" s="19" t="s">
        <v>126</v>
      </c>
      <c r="AC177" s="19" t="s">
        <v>126</v>
      </c>
      <c r="AD177" s="19" t="s">
        <v>126</v>
      </c>
      <c r="AE177" s="19" t="s">
        <v>126</v>
      </c>
      <c r="AF177" s="19" t="s">
        <v>126</v>
      </c>
      <c r="AG177" s="19" t="s">
        <v>126</v>
      </c>
      <c r="AH177" s="19" t="s">
        <v>126</v>
      </c>
      <c r="AI177" s="5" t="e">
        <f t="shared" si="13"/>
        <v>#VALUE!</v>
      </c>
      <c r="AJ177" s="5" t="e">
        <f t="shared" si="14"/>
        <v>#VALUE!</v>
      </c>
      <c r="AK177" s="5" t="e">
        <f t="shared" si="15"/>
        <v>#VALUE!</v>
      </c>
      <c r="AL177" s="5" t="e">
        <f t="shared" si="16"/>
        <v>#VALUE!</v>
      </c>
      <c r="AM177" s="5" t="e">
        <f t="shared" si="17"/>
        <v>#VALUE!</v>
      </c>
    </row>
    <row r="178" spans="1:39" ht="15" customHeight="1" thickBot="1" x14ac:dyDescent="0.35">
      <c r="A178" s="5">
        <f t="shared" si="12"/>
        <v>0</v>
      </c>
      <c r="B178" s="18">
        <v>319</v>
      </c>
      <c r="C178" s="11" t="s">
        <v>218</v>
      </c>
      <c r="D178" s="19" t="s">
        <v>126</v>
      </c>
      <c r="E178" s="19" t="s">
        <v>126</v>
      </c>
      <c r="F178" s="19" t="s">
        <v>126</v>
      </c>
      <c r="G178" s="19" t="s">
        <v>126</v>
      </c>
      <c r="H178" s="19" t="s">
        <v>126</v>
      </c>
      <c r="I178" s="19" t="s">
        <v>126</v>
      </c>
      <c r="J178" s="19" t="s">
        <v>126</v>
      </c>
      <c r="K178" s="19" t="s">
        <v>126</v>
      </c>
      <c r="L178" s="19" t="s">
        <v>126</v>
      </c>
      <c r="M178" s="19" t="s">
        <v>126</v>
      </c>
      <c r="N178" s="19" t="s">
        <v>126</v>
      </c>
      <c r="O178" s="19" t="s">
        <v>126</v>
      </c>
      <c r="P178" s="19" t="s">
        <v>126</v>
      </c>
      <c r="Q178" s="18">
        <v>319</v>
      </c>
      <c r="R178" s="11" t="s">
        <v>218</v>
      </c>
      <c r="S178" s="19" t="s">
        <v>126</v>
      </c>
      <c r="T178" s="19" t="s">
        <v>126</v>
      </c>
      <c r="U178" s="19" t="s">
        <v>126</v>
      </c>
      <c r="V178" s="19" t="s">
        <v>126</v>
      </c>
      <c r="W178" s="19" t="s">
        <v>126</v>
      </c>
      <c r="X178" s="19" t="s">
        <v>126</v>
      </c>
      <c r="Y178" s="19" t="s">
        <v>126</v>
      </c>
      <c r="Z178" s="19" t="s">
        <v>126</v>
      </c>
      <c r="AA178" s="19" t="s">
        <v>126</v>
      </c>
      <c r="AB178" s="19" t="s">
        <v>126</v>
      </c>
      <c r="AC178" s="19" t="s">
        <v>126</v>
      </c>
      <c r="AD178" s="19" t="s">
        <v>126</v>
      </c>
      <c r="AE178" s="19" t="s">
        <v>126</v>
      </c>
      <c r="AF178" s="19" t="s">
        <v>126</v>
      </c>
      <c r="AG178" s="19" t="s">
        <v>126</v>
      </c>
      <c r="AH178" s="19" t="s">
        <v>126</v>
      </c>
      <c r="AI178" s="5" t="e">
        <f t="shared" si="13"/>
        <v>#VALUE!</v>
      </c>
      <c r="AJ178" s="5" t="e">
        <f t="shared" si="14"/>
        <v>#VALUE!</v>
      </c>
      <c r="AK178" s="5" t="e">
        <f t="shared" si="15"/>
        <v>#VALUE!</v>
      </c>
      <c r="AL178" s="5" t="e">
        <f t="shared" si="16"/>
        <v>#VALUE!</v>
      </c>
      <c r="AM178" s="5" t="e">
        <f t="shared" si="17"/>
        <v>#VALUE!</v>
      </c>
    </row>
    <row r="179" spans="1:39" ht="15" customHeight="1" thickBot="1" x14ac:dyDescent="0.35">
      <c r="A179" s="5">
        <f t="shared" si="12"/>
        <v>0</v>
      </c>
      <c r="B179" s="16">
        <v>320</v>
      </c>
      <c r="C179" s="10" t="s">
        <v>219</v>
      </c>
      <c r="D179" s="17" t="s">
        <v>126</v>
      </c>
      <c r="E179" s="17" t="s">
        <v>126</v>
      </c>
      <c r="F179" s="17" t="s">
        <v>126</v>
      </c>
      <c r="G179" s="17" t="s">
        <v>126</v>
      </c>
      <c r="H179" s="17" t="s">
        <v>126</v>
      </c>
      <c r="I179" s="17" t="s">
        <v>126</v>
      </c>
      <c r="J179" s="17" t="s">
        <v>126</v>
      </c>
      <c r="K179" s="17" t="s">
        <v>126</v>
      </c>
      <c r="L179" s="17" t="s">
        <v>126</v>
      </c>
      <c r="M179" s="17" t="s">
        <v>126</v>
      </c>
      <c r="N179" s="17" t="s">
        <v>126</v>
      </c>
      <c r="O179" s="17" t="s">
        <v>126</v>
      </c>
      <c r="P179" s="17" t="s">
        <v>126</v>
      </c>
      <c r="Q179" s="16">
        <v>320</v>
      </c>
      <c r="R179" s="10" t="s">
        <v>219</v>
      </c>
      <c r="S179" s="17" t="s">
        <v>126</v>
      </c>
      <c r="T179" s="17" t="s">
        <v>126</v>
      </c>
      <c r="U179" s="17" t="s">
        <v>126</v>
      </c>
      <c r="V179" s="17" t="s">
        <v>126</v>
      </c>
      <c r="W179" s="17" t="s">
        <v>126</v>
      </c>
      <c r="X179" s="17" t="s">
        <v>126</v>
      </c>
      <c r="Y179" s="17" t="s">
        <v>126</v>
      </c>
      <c r="Z179" s="17" t="s">
        <v>126</v>
      </c>
      <c r="AA179" s="17" t="s">
        <v>126</v>
      </c>
      <c r="AB179" s="17" t="s">
        <v>126</v>
      </c>
      <c r="AC179" s="17" t="s">
        <v>126</v>
      </c>
      <c r="AD179" s="17" t="s">
        <v>126</v>
      </c>
      <c r="AE179" s="17" t="s">
        <v>126</v>
      </c>
      <c r="AF179" s="17" t="s">
        <v>126</v>
      </c>
      <c r="AG179" s="17" t="s">
        <v>126</v>
      </c>
      <c r="AH179" s="17" t="s">
        <v>126</v>
      </c>
      <c r="AI179" s="5" t="e">
        <f t="shared" si="13"/>
        <v>#VALUE!</v>
      </c>
      <c r="AJ179" s="5" t="e">
        <f t="shared" si="14"/>
        <v>#VALUE!</v>
      </c>
      <c r="AK179" s="5" t="e">
        <f t="shared" si="15"/>
        <v>#VALUE!</v>
      </c>
      <c r="AL179" s="5" t="e">
        <f t="shared" si="16"/>
        <v>#VALUE!</v>
      </c>
      <c r="AM179" s="5" t="e">
        <f t="shared" si="17"/>
        <v>#VALUE!</v>
      </c>
    </row>
    <row r="180" spans="1:39" ht="15" customHeight="1" thickBot="1" x14ac:dyDescent="0.35">
      <c r="A180" s="5">
        <f t="shared" si="12"/>
        <v>0</v>
      </c>
      <c r="B180" s="16">
        <v>321</v>
      </c>
      <c r="C180" s="10" t="s">
        <v>220</v>
      </c>
      <c r="D180" s="17" t="s">
        <v>126</v>
      </c>
      <c r="E180" s="17" t="s">
        <v>126</v>
      </c>
      <c r="F180" s="17" t="s">
        <v>126</v>
      </c>
      <c r="G180" s="17" t="s">
        <v>126</v>
      </c>
      <c r="H180" s="17" t="s">
        <v>126</v>
      </c>
      <c r="I180" s="17" t="s">
        <v>126</v>
      </c>
      <c r="J180" s="17" t="s">
        <v>126</v>
      </c>
      <c r="K180" s="17" t="s">
        <v>126</v>
      </c>
      <c r="L180" s="17" t="s">
        <v>126</v>
      </c>
      <c r="M180" s="17" t="s">
        <v>126</v>
      </c>
      <c r="N180" s="17" t="s">
        <v>126</v>
      </c>
      <c r="O180" s="17" t="s">
        <v>126</v>
      </c>
      <c r="P180" s="17" t="s">
        <v>126</v>
      </c>
      <c r="Q180" s="16">
        <v>321</v>
      </c>
      <c r="R180" s="10" t="s">
        <v>220</v>
      </c>
      <c r="S180" s="17" t="s">
        <v>126</v>
      </c>
      <c r="T180" s="17" t="s">
        <v>126</v>
      </c>
      <c r="U180" s="17" t="s">
        <v>126</v>
      </c>
      <c r="V180" s="17" t="s">
        <v>126</v>
      </c>
      <c r="W180" s="17" t="s">
        <v>126</v>
      </c>
      <c r="X180" s="17" t="s">
        <v>126</v>
      </c>
      <c r="Y180" s="17" t="s">
        <v>126</v>
      </c>
      <c r="Z180" s="17" t="s">
        <v>126</v>
      </c>
      <c r="AA180" s="17" t="s">
        <v>126</v>
      </c>
      <c r="AB180" s="17" t="s">
        <v>126</v>
      </c>
      <c r="AC180" s="17" t="s">
        <v>126</v>
      </c>
      <c r="AD180" s="17" t="s">
        <v>126</v>
      </c>
      <c r="AE180" s="17" t="s">
        <v>126</v>
      </c>
      <c r="AF180" s="17" t="s">
        <v>126</v>
      </c>
      <c r="AG180" s="17" t="s">
        <v>126</v>
      </c>
      <c r="AH180" s="17" t="s">
        <v>126</v>
      </c>
      <c r="AI180" s="5" t="e">
        <f t="shared" si="13"/>
        <v>#VALUE!</v>
      </c>
      <c r="AJ180" s="5" t="e">
        <f t="shared" si="14"/>
        <v>#VALUE!</v>
      </c>
      <c r="AK180" s="5" t="e">
        <f t="shared" si="15"/>
        <v>#VALUE!</v>
      </c>
      <c r="AL180" s="5" t="e">
        <f t="shared" si="16"/>
        <v>#VALUE!</v>
      </c>
      <c r="AM180" s="5" t="e">
        <f t="shared" si="17"/>
        <v>#VALUE!</v>
      </c>
    </row>
    <row r="181" spans="1:39" ht="15" customHeight="1" thickBot="1" x14ac:dyDescent="0.35">
      <c r="A181" s="5">
        <f t="shared" si="12"/>
        <v>0</v>
      </c>
      <c r="B181" s="16">
        <v>322</v>
      </c>
      <c r="C181" s="10" t="s">
        <v>221</v>
      </c>
      <c r="D181" s="17" t="s">
        <v>126</v>
      </c>
      <c r="E181" s="17" t="s">
        <v>126</v>
      </c>
      <c r="F181" s="17" t="s">
        <v>126</v>
      </c>
      <c r="G181" s="17" t="s">
        <v>126</v>
      </c>
      <c r="H181" s="17" t="s">
        <v>126</v>
      </c>
      <c r="I181" s="17" t="s">
        <v>126</v>
      </c>
      <c r="J181" s="17" t="s">
        <v>126</v>
      </c>
      <c r="K181" s="17" t="s">
        <v>126</v>
      </c>
      <c r="L181" s="17" t="s">
        <v>126</v>
      </c>
      <c r="M181" s="17" t="s">
        <v>126</v>
      </c>
      <c r="N181" s="17" t="s">
        <v>126</v>
      </c>
      <c r="O181" s="17" t="s">
        <v>126</v>
      </c>
      <c r="P181" s="17" t="s">
        <v>126</v>
      </c>
      <c r="Q181" s="16">
        <v>322</v>
      </c>
      <c r="R181" s="10" t="s">
        <v>221</v>
      </c>
      <c r="S181" s="17" t="s">
        <v>126</v>
      </c>
      <c r="T181" s="17" t="s">
        <v>126</v>
      </c>
      <c r="U181" s="17" t="s">
        <v>126</v>
      </c>
      <c r="V181" s="17" t="s">
        <v>126</v>
      </c>
      <c r="W181" s="17" t="s">
        <v>126</v>
      </c>
      <c r="X181" s="17" t="s">
        <v>126</v>
      </c>
      <c r="Y181" s="17" t="s">
        <v>126</v>
      </c>
      <c r="Z181" s="17" t="s">
        <v>126</v>
      </c>
      <c r="AA181" s="17" t="s">
        <v>126</v>
      </c>
      <c r="AB181" s="17" t="s">
        <v>126</v>
      </c>
      <c r="AC181" s="17" t="s">
        <v>126</v>
      </c>
      <c r="AD181" s="17" t="s">
        <v>126</v>
      </c>
      <c r="AE181" s="17" t="s">
        <v>126</v>
      </c>
      <c r="AF181" s="17" t="s">
        <v>126</v>
      </c>
      <c r="AG181" s="17" t="s">
        <v>126</v>
      </c>
      <c r="AH181" s="17" t="s">
        <v>126</v>
      </c>
      <c r="AI181" s="5" t="e">
        <f t="shared" si="13"/>
        <v>#VALUE!</v>
      </c>
      <c r="AJ181" s="5" t="e">
        <f t="shared" si="14"/>
        <v>#VALUE!</v>
      </c>
      <c r="AK181" s="5" t="e">
        <f t="shared" si="15"/>
        <v>#VALUE!</v>
      </c>
      <c r="AL181" s="5" t="e">
        <f t="shared" si="16"/>
        <v>#VALUE!</v>
      </c>
      <c r="AM181" s="5" t="e">
        <f t="shared" si="17"/>
        <v>#VALUE!</v>
      </c>
    </row>
    <row r="182" spans="1:39" ht="15" customHeight="1" thickBot="1" x14ac:dyDescent="0.35">
      <c r="A182" s="5">
        <f t="shared" si="12"/>
        <v>0</v>
      </c>
      <c r="B182" s="16">
        <v>323</v>
      </c>
      <c r="C182" s="10" t="s">
        <v>222</v>
      </c>
      <c r="D182" s="17" t="s">
        <v>126</v>
      </c>
      <c r="E182" s="17" t="s">
        <v>126</v>
      </c>
      <c r="F182" s="17" t="s">
        <v>126</v>
      </c>
      <c r="G182" s="17" t="s">
        <v>126</v>
      </c>
      <c r="H182" s="17" t="s">
        <v>126</v>
      </c>
      <c r="I182" s="17" t="s">
        <v>126</v>
      </c>
      <c r="J182" s="17" t="s">
        <v>126</v>
      </c>
      <c r="K182" s="17" t="s">
        <v>126</v>
      </c>
      <c r="L182" s="17" t="s">
        <v>126</v>
      </c>
      <c r="M182" s="17" t="s">
        <v>126</v>
      </c>
      <c r="N182" s="17" t="s">
        <v>126</v>
      </c>
      <c r="O182" s="17" t="s">
        <v>126</v>
      </c>
      <c r="P182" s="17" t="s">
        <v>126</v>
      </c>
      <c r="Q182" s="16">
        <v>323</v>
      </c>
      <c r="R182" s="10" t="s">
        <v>222</v>
      </c>
      <c r="S182" s="17" t="s">
        <v>126</v>
      </c>
      <c r="T182" s="17" t="s">
        <v>126</v>
      </c>
      <c r="U182" s="17" t="s">
        <v>126</v>
      </c>
      <c r="V182" s="17" t="s">
        <v>126</v>
      </c>
      <c r="W182" s="17" t="s">
        <v>126</v>
      </c>
      <c r="X182" s="17" t="s">
        <v>126</v>
      </c>
      <c r="Y182" s="17" t="s">
        <v>126</v>
      </c>
      <c r="Z182" s="17" t="s">
        <v>126</v>
      </c>
      <c r="AA182" s="17" t="s">
        <v>126</v>
      </c>
      <c r="AB182" s="17" t="s">
        <v>126</v>
      </c>
      <c r="AC182" s="17" t="s">
        <v>126</v>
      </c>
      <c r="AD182" s="17" t="s">
        <v>126</v>
      </c>
      <c r="AE182" s="17" t="s">
        <v>126</v>
      </c>
      <c r="AF182" s="17" t="s">
        <v>126</v>
      </c>
      <c r="AG182" s="17" t="s">
        <v>126</v>
      </c>
      <c r="AH182" s="17" t="s">
        <v>126</v>
      </c>
      <c r="AI182" s="5" t="e">
        <f t="shared" si="13"/>
        <v>#VALUE!</v>
      </c>
      <c r="AJ182" s="5" t="e">
        <f t="shared" si="14"/>
        <v>#VALUE!</v>
      </c>
      <c r="AK182" s="5" t="e">
        <f t="shared" si="15"/>
        <v>#VALUE!</v>
      </c>
      <c r="AL182" s="5" t="e">
        <f t="shared" si="16"/>
        <v>#VALUE!</v>
      </c>
      <c r="AM182" s="5" t="e">
        <f t="shared" si="17"/>
        <v>#VALUE!</v>
      </c>
    </row>
    <row r="183" spans="1:39" ht="15" customHeight="1" thickBot="1" x14ac:dyDescent="0.35">
      <c r="A183" s="5">
        <f t="shared" si="12"/>
        <v>0</v>
      </c>
      <c r="B183" s="16">
        <v>324</v>
      </c>
      <c r="C183" s="10" t="s">
        <v>223</v>
      </c>
      <c r="D183" s="17" t="s">
        <v>126</v>
      </c>
      <c r="E183" s="17" t="s">
        <v>126</v>
      </c>
      <c r="F183" s="17" t="s">
        <v>126</v>
      </c>
      <c r="G183" s="17" t="s">
        <v>126</v>
      </c>
      <c r="H183" s="17" t="s">
        <v>126</v>
      </c>
      <c r="I183" s="17" t="s">
        <v>126</v>
      </c>
      <c r="J183" s="17" t="s">
        <v>126</v>
      </c>
      <c r="K183" s="17" t="s">
        <v>126</v>
      </c>
      <c r="L183" s="17" t="s">
        <v>126</v>
      </c>
      <c r="M183" s="17" t="s">
        <v>126</v>
      </c>
      <c r="N183" s="17" t="s">
        <v>126</v>
      </c>
      <c r="O183" s="17" t="s">
        <v>126</v>
      </c>
      <c r="P183" s="17" t="s">
        <v>126</v>
      </c>
      <c r="Q183" s="16">
        <v>324</v>
      </c>
      <c r="R183" s="10" t="s">
        <v>223</v>
      </c>
      <c r="S183" s="17" t="s">
        <v>126</v>
      </c>
      <c r="T183" s="17" t="s">
        <v>126</v>
      </c>
      <c r="U183" s="17" t="s">
        <v>126</v>
      </c>
      <c r="V183" s="17" t="s">
        <v>126</v>
      </c>
      <c r="W183" s="17" t="s">
        <v>126</v>
      </c>
      <c r="X183" s="17" t="s">
        <v>126</v>
      </c>
      <c r="Y183" s="17" t="s">
        <v>126</v>
      </c>
      <c r="Z183" s="17" t="s">
        <v>126</v>
      </c>
      <c r="AA183" s="17" t="s">
        <v>126</v>
      </c>
      <c r="AB183" s="17" t="s">
        <v>126</v>
      </c>
      <c r="AC183" s="17" t="s">
        <v>126</v>
      </c>
      <c r="AD183" s="17" t="s">
        <v>126</v>
      </c>
      <c r="AE183" s="17" t="s">
        <v>126</v>
      </c>
      <c r="AF183" s="17" t="s">
        <v>126</v>
      </c>
      <c r="AG183" s="17" t="s">
        <v>126</v>
      </c>
      <c r="AH183" s="17" t="s">
        <v>126</v>
      </c>
      <c r="AI183" s="5" t="e">
        <f t="shared" si="13"/>
        <v>#VALUE!</v>
      </c>
      <c r="AJ183" s="5" t="e">
        <f t="shared" si="14"/>
        <v>#VALUE!</v>
      </c>
      <c r="AK183" s="5" t="e">
        <f t="shared" si="15"/>
        <v>#VALUE!</v>
      </c>
      <c r="AL183" s="5" t="e">
        <f t="shared" si="16"/>
        <v>#VALUE!</v>
      </c>
      <c r="AM183" s="5" t="e">
        <f t="shared" si="17"/>
        <v>#VALUE!</v>
      </c>
    </row>
    <row r="184" spans="1:39" ht="15" customHeight="1" thickBot="1" x14ac:dyDescent="0.35">
      <c r="A184" s="5">
        <f t="shared" si="12"/>
        <v>0</v>
      </c>
      <c r="B184" s="16">
        <v>325</v>
      </c>
      <c r="C184" s="10" t="s">
        <v>224</v>
      </c>
      <c r="D184" s="17" t="s">
        <v>126</v>
      </c>
      <c r="E184" s="17" t="s">
        <v>126</v>
      </c>
      <c r="F184" s="17" t="s">
        <v>126</v>
      </c>
      <c r="G184" s="17" t="s">
        <v>126</v>
      </c>
      <c r="H184" s="17" t="s">
        <v>126</v>
      </c>
      <c r="I184" s="17" t="s">
        <v>126</v>
      </c>
      <c r="J184" s="17" t="s">
        <v>126</v>
      </c>
      <c r="K184" s="17" t="s">
        <v>126</v>
      </c>
      <c r="L184" s="17" t="s">
        <v>126</v>
      </c>
      <c r="M184" s="17" t="s">
        <v>126</v>
      </c>
      <c r="N184" s="17" t="s">
        <v>126</v>
      </c>
      <c r="O184" s="17" t="s">
        <v>126</v>
      </c>
      <c r="P184" s="17" t="s">
        <v>126</v>
      </c>
      <c r="Q184" s="16">
        <v>325</v>
      </c>
      <c r="R184" s="10" t="s">
        <v>224</v>
      </c>
      <c r="S184" s="17" t="s">
        <v>126</v>
      </c>
      <c r="T184" s="17" t="s">
        <v>126</v>
      </c>
      <c r="U184" s="17" t="s">
        <v>126</v>
      </c>
      <c r="V184" s="17" t="s">
        <v>126</v>
      </c>
      <c r="W184" s="17" t="s">
        <v>126</v>
      </c>
      <c r="X184" s="17" t="s">
        <v>126</v>
      </c>
      <c r="Y184" s="17" t="s">
        <v>126</v>
      </c>
      <c r="Z184" s="17" t="s">
        <v>126</v>
      </c>
      <c r="AA184" s="17" t="s">
        <v>126</v>
      </c>
      <c r="AB184" s="17" t="s">
        <v>126</v>
      </c>
      <c r="AC184" s="17" t="s">
        <v>126</v>
      </c>
      <c r="AD184" s="17" t="s">
        <v>126</v>
      </c>
      <c r="AE184" s="17" t="s">
        <v>126</v>
      </c>
      <c r="AF184" s="17" t="s">
        <v>126</v>
      </c>
      <c r="AG184" s="17" t="s">
        <v>126</v>
      </c>
      <c r="AH184" s="17" t="s">
        <v>126</v>
      </c>
      <c r="AI184" s="5" t="e">
        <f t="shared" si="13"/>
        <v>#VALUE!</v>
      </c>
      <c r="AJ184" s="5" t="e">
        <f t="shared" si="14"/>
        <v>#VALUE!</v>
      </c>
      <c r="AK184" s="5" t="e">
        <f t="shared" si="15"/>
        <v>#VALUE!</v>
      </c>
      <c r="AL184" s="5" t="e">
        <f t="shared" si="16"/>
        <v>#VALUE!</v>
      </c>
      <c r="AM184" s="5" t="e">
        <f t="shared" si="17"/>
        <v>#VALUE!</v>
      </c>
    </row>
    <row r="185" spans="1:39" ht="15" customHeight="1" thickBot="1" x14ac:dyDescent="0.35">
      <c r="A185" s="5">
        <f t="shared" si="12"/>
        <v>0</v>
      </c>
      <c r="B185" s="16">
        <v>326</v>
      </c>
      <c r="C185" s="10" t="s">
        <v>225</v>
      </c>
      <c r="D185" s="17" t="s">
        <v>126</v>
      </c>
      <c r="E185" s="17" t="s">
        <v>126</v>
      </c>
      <c r="F185" s="17" t="s">
        <v>126</v>
      </c>
      <c r="G185" s="17" t="s">
        <v>126</v>
      </c>
      <c r="H185" s="17" t="s">
        <v>126</v>
      </c>
      <c r="I185" s="17" t="s">
        <v>126</v>
      </c>
      <c r="J185" s="17" t="s">
        <v>126</v>
      </c>
      <c r="K185" s="17" t="s">
        <v>126</v>
      </c>
      <c r="L185" s="17" t="s">
        <v>126</v>
      </c>
      <c r="M185" s="17" t="s">
        <v>126</v>
      </c>
      <c r="N185" s="17" t="s">
        <v>126</v>
      </c>
      <c r="O185" s="17" t="s">
        <v>126</v>
      </c>
      <c r="P185" s="17" t="s">
        <v>126</v>
      </c>
      <c r="Q185" s="16">
        <v>326</v>
      </c>
      <c r="R185" s="10" t="s">
        <v>225</v>
      </c>
      <c r="S185" s="17" t="s">
        <v>126</v>
      </c>
      <c r="T185" s="17" t="s">
        <v>126</v>
      </c>
      <c r="U185" s="17" t="s">
        <v>126</v>
      </c>
      <c r="V185" s="17" t="s">
        <v>126</v>
      </c>
      <c r="W185" s="17" t="s">
        <v>126</v>
      </c>
      <c r="X185" s="17" t="s">
        <v>126</v>
      </c>
      <c r="Y185" s="17" t="s">
        <v>126</v>
      </c>
      <c r="Z185" s="17" t="s">
        <v>126</v>
      </c>
      <c r="AA185" s="17" t="s">
        <v>126</v>
      </c>
      <c r="AB185" s="17" t="s">
        <v>126</v>
      </c>
      <c r="AC185" s="17" t="s">
        <v>126</v>
      </c>
      <c r="AD185" s="17" t="s">
        <v>126</v>
      </c>
      <c r="AE185" s="17" t="s">
        <v>126</v>
      </c>
      <c r="AF185" s="17" t="s">
        <v>126</v>
      </c>
      <c r="AG185" s="17" t="s">
        <v>126</v>
      </c>
      <c r="AH185" s="17" t="s">
        <v>126</v>
      </c>
      <c r="AI185" s="5" t="e">
        <f t="shared" si="13"/>
        <v>#VALUE!</v>
      </c>
      <c r="AJ185" s="5" t="e">
        <f t="shared" si="14"/>
        <v>#VALUE!</v>
      </c>
      <c r="AK185" s="5" t="e">
        <f t="shared" si="15"/>
        <v>#VALUE!</v>
      </c>
      <c r="AL185" s="5" t="e">
        <f t="shared" si="16"/>
        <v>#VALUE!</v>
      </c>
      <c r="AM185" s="5" t="e">
        <f t="shared" si="17"/>
        <v>#VALUE!</v>
      </c>
    </row>
    <row r="186" spans="1:39" ht="15" customHeight="1" thickBot="1" x14ac:dyDescent="0.35">
      <c r="A186" s="5">
        <f t="shared" si="12"/>
        <v>0</v>
      </c>
      <c r="B186" s="18">
        <v>327</v>
      </c>
      <c r="C186" s="11" t="s">
        <v>226</v>
      </c>
      <c r="D186" s="19" t="s">
        <v>126</v>
      </c>
      <c r="E186" s="19" t="s">
        <v>126</v>
      </c>
      <c r="F186" s="19" t="s">
        <v>126</v>
      </c>
      <c r="G186" s="19" t="s">
        <v>126</v>
      </c>
      <c r="H186" s="19" t="s">
        <v>126</v>
      </c>
      <c r="I186" s="19" t="s">
        <v>126</v>
      </c>
      <c r="J186" s="19" t="s">
        <v>126</v>
      </c>
      <c r="K186" s="19" t="s">
        <v>126</v>
      </c>
      <c r="L186" s="19" t="s">
        <v>126</v>
      </c>
      <c r="M186" s="19" t="s">
        <v>126</v>
      </c>
      <c r="N186" s="19" t="s">
        <v>126</v>
      </c>
      <c r="O186" s="19" t="s">
        <v>126</v>
      </c>
      <c r="P186" s="19" t="s">
        <v>126</v>
      </c>
      <c r="Q186" s="18">
        <v>327</v>
      </c>
      <c r="R186" s="11" t="s">
        <v>226</v>
      </c>
      <c r="S186" s="19" t="s">
        <v>126</v>
      </c>
      <c r="T186" s="19" t="s">
        <v>126</v>
      </c>
      <c r="U186" s="19" t="s">
        <v>126</v>
      </c>
      <c r="V186" s="19" t="s">
        <v>126</v>
      </c>
      <c r="W186" s="19" t="s">
        <v>126</v>
      </c>
      <c r="X186" s="19" t="s">
        <v>126</v>
      </c>
      <c r="Y186" s="19" t="s">
        <v>126</v>
      </c>
      <c r="Z186" s="19" t="s">
        <v>126</v>
      </c>
      <c r="AA186" s="19" t="s">
        <v>126</v>
      </c>
      <c r="AB186" s="19" t="s">
        <v>126</v>
      </c>
      <c r="AC186" s="19" t="s">
        <v>126</v>
      </c>
      <c r="AD186" s="19" t="s">
        <v>126</v>
      </c>
      <c r="AE186" s="19" t="s">
        <v>126</v>
      </c>
      <c r="AF186" s="19" t="s">
        <v>126</v>
      </c>
      <c r="AG186" s="19" t="s">
        <v>126</v>
      </c>
      <c r="AH186" s="19" t="s">
        <v>126</v>
      </c>
      <c r="AI186" s="5" t="e">
        <f t="shared" si="13"/>
        <v>#VALUE!</v>
      </c>
      <c r="AJ186" s="5" t="e">
        <f t="shared" si="14"/>
        <v>#VALUE!</v>
      </c>
      <c r="AK186" s="5" t="e">
        <f t="shared" si="15"/>
        <v>#VALUE!</v>
      </c>
      <c r="AL186" s="5" t="e">
        <f t="shared" si="16"/>
        <v>#VALUE!</v>
      </c>
      <c r="AM186" s="5" t="e">
        <f t="shared" si="17"/>
        <v>#VALUE!</v>
      </c>
    </row>
    <row r="187" spans="1:39" ht="15" customHeight="1" thickBot="1" x14ac:dyDescent="0.35">
      <c r="A187" s="5">
        <f t="shared" si="12"/>
        <v>0</v>
      </c>
      <c r="B187" s="18">
        <v>328</v>
      </c>
      <c r="C187" s="11" t="s">
        <v>227</v>
      </c>
      <c r="D187" s="19" t="s">
        <v>126</v>
      </c>
      <c r="E187" s="19" t="s">
        <v>126</v>
      </c>
      <c r="F187" s="19" t="s">
        <v>126</v>
      </c>
      <c r="G187" s="19" t="s">
        <v>126</v>
      </c>
      <c r="H187" s="19" t="s">
        <v>126</v>
      </c>
      <c r="I187" s="19" t="s">
        <v>126</v>
      </c>
      <c r="J187" s="19" t="s">
        <v>126</v>
      </c>
      <c r="K187" s="19" t="s">
        <v>126</v>
      </c>
      <c r="L187" s="19" t="s">
        <v>126</v>
      </c>
      <c r="M187" s="19" t="s">
        <v>126</v>
      </c>
      <c r="N187" s="19" t="s">
        <v>126</v>
      </c>
      <c r="O187" s="19" t="s">
        <v>126</v>
      </c>
      <c r="P187" s="19" t="s">
        <v>126</v>
      </c>
      <c r="Q187" s="18">
        <v>328</v>
      </c>
      <c r="R187" s="11" t="s">
        <v>227</v>
      </c>
      <c r="S187" s="19" t="s">
        <v>126</v>
      </c>
      <c r="T187" s="19" t="s">
        <v>126</v>
      </c>
      <c r="U187" s="19" t="s">
        <v>126</v>
      </c>
      <c r="V187" s="19" t="s">
        <v>126</v>
      </c>
      <c r="W187" s="19" t="s">
        <v>126</v>
      </c>
      <c r="X187" s="19" t="s">
        <v>126</v>
      </c>
      <c r="Y187" s="19" t="s">
        <v>126</v>
      </c>
      <c r="Z187" s="19" t="s">
        <v>126</v>
      </c>
      <c r="AA187" s="19" t="s">
        <v>126</v>
      </c>
      <c r="AB187" s="19" t="s">
        <v>126</v>
      </c>
      <c r="AC187" s="19" t="s">
        <v>126</v>
      </c>
      <c r="AD187" s="19" t="s">
        <v>126</v>
      </c>
      <c r="AE187" s="19" t="s">
        <v>126</v>
      </c>
      <c r="AF187" s="19" t="s">
        <v>126</v>
      </c>
      <c r="AG187" s="19" t="s">
        <v>126</v>
      </c>
      <c r="AH187" s="19" t="s">
        <v>126</v>
      </c>
      <c r="AI187" s="5" t="e">
        <f t="shared" si="13"/>
        <v>#VALUE!</v>
      </c>
      <c r="AJ187" s="5" t="e">
        <f t="shared" si="14"/>
        <v>#VALUE!</v>
      </c>
      <c r="AK187" s="5" t="e">
        <f t="shared" si="15"/>
        <v>#VALUE!</v>
      </c>
      <c r="AL187" s="5" t="e">
        <f t="shared" si="16"/>
        <v>#VALUE!</v>
      </c>
      <c r="AM187" s="5" t="e">
        <f t="shared" si="17"/>
        <v>#VALUE!</v>
      </c>
    </row>
    <row r="188" spans="1:39" ht="15" customHeight="1" thickBot="1" x14ac:dyDescent="0.35">
      <c r="A188" s="5">
        <f t="shared" si="12"/>
        <v>0</v>
      </c>
      <c r="B188" s="18">
        <v>329</v>
      </c>
      <c r="C188" s="11" t="s">
        <v>228</v>
      </c>
      <c r="D188" s="19" t="s">
        <v>126</v>
      </c>
      <c r="E188" s="19" t="s">
        <v>126</v>
      </c>
      <c r="F188" s="19" t="s">
        <v>126</v>
      </c>
      <c r="G188" s="19" t="s">
        <v>126</v>
      </c>
      <c r="H188" s="19" t="s">
        <v>126</v>
      </c>
      <c r="I188" s="19" t="s">
        <v>126</v>
      </c>
      <c r="J188" s="19" t="s">
        <v>126</v>
      </c>
      <c r="K188" s="19" t="s">
        <v>126</v>
      </c>
      <c r="L188" s="19" t="s">
        <v>126</v>
      </c>
      <c r="M188" s="19" t="s">
        <v>126</v>
      </c>
      <c r="N188" s="19" t="s">
        <v>126</v>
      </c>
      <c r="O188" s="19" t="s">
        <v>126</v>
      </c>
      <c r="P188" s="19" t="s">
        <v>126</v>
      </c>
      <c r="Q188" s="18">
        <v>329</v>
      </c>
      <c r="R188" s="11" t="s">
        <v>228</v>
      </c>
      <c r="S188" s="19" t="s">
        <v>126</v>
      </c>
      <c r="T188" s="19" t="s">
        <v>126</v>
      </c>
      <c r="U188" s="19" t="s">
        <v>126</v>
      </c>
      <c r="V188" s="19" t="s">
        <v>126</v>
      </c>
      <c r="W188" s="19" t="s">
        <v>126</v>
      </c>
      <c r="X188" s="19" t="s">
        <v>126</v>
      </c>
      <c r="Y188" s="19" t="s">
        <v>126</v>
      </c>
      <c r="Z188" s="19" t="s">
        <v>126</v>
      </c>
      <c r="AA188" s="19" t="s">
        <v>126</v>
      </c>
      <c r="AB188" s="19" t="s">
        <v>126</v>
      </c>
      <c r="AC188" s="19" t="s">
        <v>126</v>
      </c>
      <c r="AD188" s="19" t="s">
        <v>126</v>
      </c>
      <c r="AE188" s="19" t="s">
        <v>126</v>
      </c>
      <c r="AF188" s="19" t="s">
        <v>126</v>
      </c>
      <c r="AG188" s="19" t="s">
        <v>126</v>
      </c>
      <c r="AH188" s="19" t="s">
        <v>126</v>
      </c>
      <c r="AI188" s="5" t="e">
        <f t="shared" si="13"/>
        <v>#VALUE!</v>
      </c>
      <c r="AJ188" s="5" t="e">
        <f t="shared" si="14"/>
        <v>#VALUE!</v>
      </c>
      <c r="AK188" s="5" t="e">
        <f t="shared" si="15"/>
        <v>#VALUE!</v>
      </c>
      <c r="AL188" s="5" t="e">
        <f t="shared" si="16"/>
        <v>#VALUE!</v>
      </c>
      <c r="AM188" s="5" t="e">
        <f t="shared" si="17"/>
        <v>#VALUE!</v>
      </c>
    </row>
    <row r="189" spans="1:39" ht="15" customHeight="1" thickBot="1" x14ac:dyDescent="0.35">
      <c r="A189" s="5">
        <f t="shared" si="12"/>
        <v>0</v>
      </c>
      <c r="B189" s="16">
        <v>330</v>
      </c>
      <c r="C189" s="10" t="s">
        <v>229</v>
      </c>
      <c r="D189" s="17" t="s">
        <v>126</v>
      </c>
      <c r="E189" s="17" t="s">
        <v>126</v>
      </c>
      <c r="F189" s="17" t="s">
        <v>126</v>
      </c>
      <c r="G189" s="17" t="s">
        <v>126</v>
      </c>
      <c r="H189" s="17" t="s">
        <v>126</v>
      </c>
      <c r="I189" s="17" t="s">
        <v>126</v>
      </c>
      <c r="J189" s="17" t="s">
        <v>126</v>
      </c>
      <c r="K189" s="17" t="s">
        <v>126</v>
      </c>
      <c r="L189" s="17" t="s">
        <v>126</v>
      </c>
      <c r="M189" s="17" t="s">
        <v>126</v>
      </c>
      <c r="N189" s="17" t="s">
        <v>126</v>
      </c>
      <c r="O189" s="17" t="s">
        <v>126</v>
      </c>
      <c r="P189" s="17" t="s">
        <v>126</v>
      </c>
      <c r="Q189" s="16">
        <v>330</v>
      </c>
      <c r="R189" s="10" t="s">
        <v>229</v>
      </c>
      <c r="S189" s="17" t="s">
        <v>126</v>
      </c>
      <c r="T189" s="17" t="s">
        <v>126</v>
      </c>
      <c r="U189" s="17" t="s">
        <v>126</v>
      </c>
      <c r="V189" s="17" t="s">
        <v>126</v>
      </c>
      <c r="W189" s="17" t="s">
        <v>126</v>
      </c>
      <c r="X189" s="17" t="s">
        <v>126</v>
      </c>
      <c r="Y189" s="17" t="s">
        <v>126</v>
      </c>
      <c r="Z189" s="17" t="s">
        <v>126</v>
      </c>
      <c r="AA189" s="17" t="s">
        <v>126</v>
      </c>
      <c r="AB189" s="17" t="s">
        <v>126</v>
      </c>
      <c r="AC189" s="17" t="s">
        <v>126</v>
      </c>
      <c r="AD189" s="17" t="s">
        <v>126</v>
      </c>
      <c r="AE189" s="17" t="s">
        <v>126</v>
      </c>
      <c r="AF189" s="17" t="s">
        <v>126</v>
      </c>
      <c r="AG189" s="17" t="s">
        <v>126</v>
      </c>
      <c r="AH189" s="17" t="s">
        <v>126</v>
      </c>
      <c r="AI189" s="5" t="e">
        <f t="shared" si="13"/>
        <v>#VALUE!</v>
      </c>
      <c r="AJ189" s="5" t="e">
        <f t="shared" si="14"/>
        <v>#VALUE!</v>
      </c>
      <c r="AK189" s="5" t="e">
        <f t="shared" si="15"/>
        <v>#VALUE!</v>
      </c>
      <c r="AL189" s="5" t="e">
        <f t="shared" si="16"/>
        <v>#VALUE!</v>
      </c>
      <c r="AM189" s="5" t="e">
        <f t="shared" si="17"/>
        <v>#VALUE!</v>
      </c>
    </row>
    <row r="190" spans="1:39" ht="15" customHeight="1" thickBot="1" x14ac:dyDescent="0.35">
      <c r="A190" s="5">
        <f t="shared" si="12"/>
        <v>0</v>
      </c>
      <c r="B190" s="16">
        <v>331</v>
      </c>
      <c r="C190" s="10" t="s">
        <v>230</v>
      </c>
      <c r="D190" s="17" t="s">
        <v>126</v>
      </c>
      <c r="E190" s="17" t="s">
        <v>126</v>
      </c>
      <c r="F190" s="17" t="s">
        <v>126</v>
      </c>
      <c r="G190" s="17" t="s">
        <v>126</v>
      </c>
      <c r="H190" s="17" t="s">
        <v>126</v>
      </c>
      <c r="I190" s="17" t="s">
        <v>126</v>
      </c>
      <c r="J190" s="17" t="s">
        <v>126</v>
      </c>
      <c r="K190" s="17" t="s">
        <v>126</v>
      </c>
      <c r="L190" s="17" t="s">
        <v>126</v>
      </c>
      <c r="M190" s="17" t="s">
        <v>126</v>
      </c>
      <c r="N190" s="17" t="s">
        <v>126</v>
      </c>
      <c r="O190" s="17" t="s">
        <v>126</v>
      </c>
      <c r="P190" s="17" t="s">
        <v>126</v>
      </c>
      <c r="Q190" s="16">
        <v>331</v>
      </c>
      <c r="R190" s="10" t="s">
        <v>230</v>
      </c>
      <c r="S190" s="17" t="s">
        <v>126</v>
      </c>
      <c r="T190" s="17" t="s">
        <v>126</v>
      </c>
      <c r="U190" s="17" t="s">
        <v>126</v>
      </c>
      <c r="V190" s="17" t="s">
        <v>126</v>
      </c>
      <c r="W190" s="17" t="s">
        <v>126</v>
      </c>
      <c r="X190" s="17" t="s">
        <v>126</v>
      </c>
      <c r="Y190" s="17" t="s">
        <v>126</v>
      </c>
      <c r="Z190" s="17" t="s">
        <v>126</v>
      </c>
      <c r="AA190" s="17" t="s">
        <v>126</v>
      </c>
      <c r="AB190" s="17" t="s">
        <v>126</v>
      </c>
      <c r="AC190" s="17" t="s">
        <v>126</v>
      </c>
      <c r="AD190" s="17" t="s">
        <v>126</v>
      </c>
      <c r="AE190" s="17" t="s">
        <v>126</v>
      </c>
      <c r="AF190" s="17" t="s">
        <v>126</v>
      </c>
      <c r="AG190" s="17" t="s">
        <v>126</v>
      </c>
      <c r="AH190" s="17" t="s">
        <v>126</v>
      </c>
      <c r="AI190" s="5" t="e">
        <f t="shared" si="13"/>
        <v>#VALUE!</v>
      </c>
      <c r="AJ190" s="5" t="e">
        <f t="shared" si="14"/>
        <v>#VALUE!</v>
      </c>
      <c r="AK190" s="5" t="e">
        <f t="shared" si="15"/>
        <v>#VALUE!</v>
      </c>
      <c r="AL190" s="5" t="e">
        <f t="shared" si="16"/>
        <v>#VALUE!</v>
      </c>
      <c r="AM190" s="5" t="e">
        <f t="shared" si="17"/>
        <v>#VALUE!</v>
      </c>
    </row>
    <row r="191" spans="1:39" ht="15" customHeight="1" thickBot="1" x14ac:dyDescent="0.35">
      <c r="A191" s="5">
        <f t="shared" si="12"/>
        <v>0</v>
      </c>
      <c r="B191" s="18">
        <v>332</v>
      </c>
      <c r="C191" s="11" t="s">
        <v>231</v>
      </c>
      <c r="D191" s="19" t="s">
        <v>126</v>
      </c>
      <c r="E191" s="19" t="s">
        <v>126</v>
      </c>
      <c r="F191" s="19" t="s">
        <v>126</v>
      </c>
      <c r="G191" s="19" t="s">
        <v>126</v>
      </c>
      <c r="H191" s="19" t="s">
        <v>126</v>
      </c>
      <c r="I191" s="19" t="s">
        <v>126</v>
      </c>
      <c r="J191" s="19" t="s">
        <v>126</v>
      </c>
      <c r="K191" s="19" t="s">
        <v>126</v>
      </c>
      <c r="L191" s="19" t="s">
        <v>126</v>
      </c>
      <c r="M191" s="19" t="s">
        <v>126</v>
      </c>
      <c r="N191" s="19" t="s">
        <v>126</v>
      </c>
      <c r="O191" s="19" t="s">
        <v>126</v>
      </c>
      <c r="P191" s="19" t="s">
        <v>126</v>
      </c>
      <c r="Q191" s="18">
        <v>332</v>
      </c>
      <c r="R191" s="11" t="s">
        <v>231</v>
      </c>
      <c r="S191" s="19" t="s">
        <v>126</v>
      </c>
      <c r="T191" s="19" t="s">
        <v>126</v>
      </c>
      <c r="U191" s="19" t="s">
        <v>126</v>
      </c>
      <c r="V191" s="19" t="s">
        <v>126</v>
      </c>
      <c r="W191" s="19" t="s">
        <v>126</v>
      </c>
      <c r="X191" s="19" t="s">
        <v>126</v>
      </c>
      <c r="Y191" s="19" t="s">
        <v>126</v>
      </c>
      <c r="Z191" s="19" t="s">
        <v>126</v>
      </c>
      <c r="AA191" s="19" t="s">
        <v>126</v>
      </c>
      <c r="AB191" s="19" t="s">
        <v>126</v>
      </c>
      <c r="AC191" s="19" t="s">
        <v>126</v>
      </c>
      <c r="AD191" s="19" t="s">
        <v>126</v>
      </c>
      <c r="AE191" s="19" t="s">
        <v>126</v>
      </c>
      <c r="AF191" s="19" t="s">
        <v>126</v>
      </c>
      <c r="AG191" s="19" t="s">
        <v>126</v>
      </c>
      <c r="AH191" s="19" t="s">
        <v>126</v>
      </c>
      <c r="AI191" s="5" t="e">
        <f t="shared" si="13"/>
        <v>#VALUE!</v>
      </c>
      <c r="AJ191" s="5" t="e">
        <f t="shared" si="14"/>
        <v>#VALUE!</v>
      </c>
      <c r="AK191" s="5" t="e">
        <f t="shared" si="15"/>
        <v>#VALUE!</v>
      </c>
      <c r="AL191" s="5" t="e">
        <f t="shared" si="16"/>
        <v>#VALUE!</v>
      </c>
      <c r="AM191" s="5" t="e">
        <f t="shared" si="17"/>
        <v>#VALUE!</v>
      </c>
    </row>
    <row r="192" spans="1:39" ht="15" customHeight="1" thickBot="1" x14ac:dyDescent="0.35">
      <c r="A192" s="5">
        <f t="shared" si="12"/>
        <v>0</v>
      </c>
      <c r="B192" s="16">
        <v>333</v>
      </c>
      <c r="C192" s="10" t="s">
        <v>232</v>
      </c>
      <c r="D192" s="17" t="s">
        <v>126</v>
      </c>
      <c r="E192" s="17" t="s">
        <v>126</v>
      </c>
      <c r="F192" s="17" t="s">
        <v>126</v>
      </c>
      <c r="G192" s="17" t="s">
        <v>126</v>
      </c>
      <c r="H192" s="17" t="s">
        <v>126</v>
      </c>
      <c r="I192" s="17" t="s">
        <v>126</v>
      </c>
      <c r="J192" s="17" t="s">
        <v>126</v>
      </c>
      <c r="K192" s="17" t="s">
        <v>126</v>
      </c>
      <c r="L192" s="17" t="s">
        <v>126</v>
      </c>
      <c r="M192" s="17" t="s">
        <v>126</v>
      </c>
      <c r="N192" s="17" t="s">
        <v>126</v>
      </c>
      <c r="O192" s="17" t="s">
        <v>126</v>
      </c>
      <c r="P192" s="17" t="s">
        <v>126</v>
      </c>
      <c r="Q192" s="16">
        <v>333</v>
      </c>
      <c r="R192" s="10" t="s">
        <v>232</v>
      </c>
      <c r="S192" s="17" t="s">
        <v>126</v>
      </c>
      <c r="T192" s="17" t="s">
        <v>126</v>
      </c>
      <c r="U192" s="17" t="s">
        <v>126</v>
      </c>
      <c r="V192" s="17" t="s">
        <v>126</v>
      </c>
      <c r="W192" s="17" t="s">
        <v>126</v>
      </c>
      <c r="X192" s="17" t="s">
        <v>126</v>
      </c>
      <c r="Y192" s="17" t="s">
        <v>126</v>
      </c>
      <c r="Z192" s="17" t="s">
        <v>126</v>
      </c>
      <c r="AA192" s="17" t="s">
        <v>126</v>
      </c>
      <c r="AB192" s="17" t="s">
        <v>126</v>
      </c>
      <c r="AC192" s="17" t="s">
        <v>126</v>
      </c>
      <c r="AD192" s="17" t="s">
        <v>126</v>
      </c>
      <c r="AE192" s="17" t="s">
        <v>126</v>
      </c>
      <c r="AF192" s="17" t="s">
        <v>126</v>
      </c>
      <c r="AG192" s="17" t="s">
        <v>126</v>
      </c>
      <c r="AH192" s="17" t="s">
        <v>126</v>
      </c>
      <c r="AI192" s="5" t="e">
        <f t="shared" si="13"/>
        <v>#VALUE!</v>
      </c>
      <c r="AJ192" s="5" t="e">
        <f t="shared" si="14"/>
        <v>#VALUE!</v>
      </c>
      <c r="AK192" s="5" t="e">
        <f t="shared" si="15"/>
        <v>#VALUE!</v>
      </c>
      <c r="AL192" s="5" t="e">
        <f t="shared" si="16"/>
        <v>#VALUE!</v>
      </c>
      <c r="AM192" s="5" t="e">
        <f t="shared" si="17"/>
        <v>#VALUE!</v>
      </c>
    </row>
    <row r="193" spans="1:39" ht="15" customHeight="1" thickBot="1" x14ac:dyDescent="0.35">
      <c r="A193" s="5">
        <f t="shared" si="12"/>
        <v>0</v>
      </c>
      <c r="B193" s="16">
        <v>334</v>
      </c>
      <c r="C193" s="10" t="s">
        <v>233</v>
      </c>
      <c r="D193" s="17" t="s">
        <v>126</v>
      </c>
      <c r="E193" s="17" t="s">
        <v>126</v>
      </c>
      <c r="F193" s="17" t="s">
        <v>126</v>
      </c>
      <c r="G193" s="17" t="s">
        <v>126</v>
      </c>
      <c r="H193" s="17" t="s">
        <v>126</v>
      </c>
      <c r="I193" s="17" t="s">
        <v>126</v>
      </c>
      <c r="J193" s="17" t="s">
        <v>126</v>
      </c>
      <c r="K193" s="17" t="s">
        <v>126</v>
      </c>
      <c r="L193" s="17" t="s">
        <v>126</v>
      </c>
      <c r="M193" s="17" t="s">
        <v>126</v>
      </c>
      <c r="N193" s="17" t="s">
        <v>126</v>
      </c>
      <c r="O193" s="17" t="s">
        <v>126</v>
      </c>
      <c r="P193" s="17" t="s">
        <v>126</v>
      </c>
      <c r="Q193" s="16">
        <v>334</v>
      </c>
      <c r="R193" s="10" t="s">
        <v>233</v>
      </c>
      <c r="S193" s="17" t="s">
        <v>126</v>
      </c>
      <c r="T193" s="17" t="s">
        <v>126</v>
      </c>
      <c r="U193" s="17" t="s">
        <v>126</v>
      </c>
      <c r="V193" s="17" t="s">
        <v>126</v>
      </c>
      <c r="W193" s="17" t="s">
        <v>126</v>
      </c>
      <c r="X193" s="17" t="s">
        <v>126</v>
      </c>
      <c r="Y193" s="17" t="s">
        <v>126</v>
      </c>
      <c r="Z193" s="17" t="s">
        <v>126</v>
      </c>
      <c r="AA193" s="17" t="s">
        <v>126</v>
      </c>
      <c r="AB193" s="17" t="s">
        <v>126</v>
      </c>
      <c r="AC193" s="17" t="s">
        <v>126</v>
      </c>
      <c r="AD193" s="17" t="s">
        <v>126</v>
      </c>
      <c r="AE193" s="17" t="s">
        <v>126</v>
      </c>
      <c r="AF193" s="17" t="s">
        <v>126</v>
      </c>
      <c r="AG193" s="17" t="s">
        <v>126</v>
      </c>
      <c r="AH193" s="17" t="s">
        <v>126</v>
      </c>
      <c r="AI193" s="5" t="e">
        <f t="shared" si="13"/>
        <v>#VALUE!</v>
      </c>
      <c r="AJ193" s="5" t="e">
        <f t="shared" si="14"/>
        <v>#VALUE!</v>
      </c>
      <c r="AK193" s="5" t="e">
        <f t="shared" si="15"/>
        <v>#VALUE!</v>
      </c>
      <c r="AL193" s="5" t="e">
        <f t="shared" si="16"/>
        <v>#VALUE!</v>
      </c>
      <c r="AM193" s="5" t="e">
        <f t="shared" si="17"/>
        <v>#VALUE!</v>
      </c>
    </row>
    <row r="194" spans="1:39" ht="15" customHeight="1" thickBot="1" x14ac:dyDescent="0.35">
      <c r="A194" s="5">
        <f t="shared" si="12"/>
        <v>0</v>
      </c>
      <c r="B194" s="16">
        <v>335</v>
      </c>
      <c r="C194" s="10" t="s">
        <v>234</v>
      </c>
      <c r="D194" s="17" t="s">
        <v>126</v>
      </c>
      <c r="E194" s="17" t="s">
        <v>126</v>
      </c>
      <c r="F194" s="17" t="s">
        <v>126</v>
      </c>
      <c r="G194" s="17" t="s">
        <v>126</v>
      </c>
      <c r="H194" s="17" t="s">
        <v>126</v>
      </c>
      <c r="I194" s="17" t="s">
        <v>126</v>
      </c>
      <c r="J194" s="17" t="s">
        <v>126</v>
      </c>
      <c r="K194" s="17" t="s">
        <v>126</v>
      </c>
      <c r="L194" s="17" t="s">
        <v>126</v>
      </c>
      <c r="M194" s="17" t="s">
        <v>126</v>
      </c>
      <c r="N194" s="17" t="s">
        <v>126</v>
      </c>
      <c r="O194" s="17" t="s">
        <v>126</v>
      </c>
      <c r="P194" s="17" t="s">
        <v>126</v>
      </c>
      <c r="Q194" s="16">
        <v>335</v>
      </c>
      <c r="R194" s="10" t="s">
        <v>234</v>
      </c>
      <c r="S194" s="17" t="s">
        <v>126</v>
      </c>
      <c r="T194" s="17" t="s">
        <v>126</v>
      </c>
      <c r="U194" s="17" t="s">
        <v>126</v>
      </c>
      <c r="V194" s="17" t="s">
        <v>126</v>
      </c>
      <c r="W194" s="17" t="s">
        <v>126</v>
      </c>
      <c r="X194" s="17" t="s">
        <v>126</v>
      </c>
      <c r="Y194" s="17" t="s">
        <v>126</v>
      </c>
      <c r="Z194" s="17" t="s">
        <v>126</v>
      </c>
      <c r="AA194" s="17" t="s">
        <v>126</v>
      </c>
      <c r="AB194" s="17" t="s">
        <v>126</v>
      </c>
      <c r="AC194" s="17" t="s">
        <v>126</v>
      </c>
      <c r="AD194" s="17" t="s">
        <v>126</v>
      </c>
      <c r="AE194" s="17" t="s">
        <v>126</v>
      </c>
      <c r="AF194" s="17" t="s">
        <v>126</v>
      </c>
      <c r="AG194" s="17" t="s">
        <v>126</v>
      </c>
      <c r="AH194" s="17" t="s">
        <v>126</v>
      </c>
      <c r="AI194" s="5" t="e">
        <f t="shared" si="13"/>
        <v>#VALUE!</v>
      </c>
      <c r="AJ194" s="5" t="e">
        <f t="shared" si="14"/>
        <v>#VALUE!</v>
      </c>
      <c r="AK194" s="5" t="e">
        <f t="shared" si="15"/>
        <v>#VALUE!</v>
      </c>
      <c r="AL194" s="5" t="e">
        <f t="shared" si="16"/>
        <v>#VALUE!</v>
      </c>
      <c r="AM194" s="5" t="e">
        <f t="shared" si="17"/>
        <v>#VALUE!</v>
      </c>
    </row>
    <row r="195" spans="1:39" ht="15" customHeight="1" thickBot="1" x14ac:dyDescent="0.35">
      <c r="A195" s="5">
        <f t="shared" si="12"/>
        <v>0</v>
      </c>
      <c r="B195" s="16">
        <v>336</v>
      </c>
      <c r="C195" s="10" t="s">
        <v>235</v>
      </c>
      <c r="D195" s="17" t="s">
        <v>126</v>
      </c>
      <c r="E195" s="17" t="s">
        <v>126</v>
      </c>
      <c r="F195" s="17" t="s">
        <v>126</v>
      </c>
      <c r="G195" s="17" t="s">
        <v>126</v>
      </c>
      <c r="H195" s="17" t="s">
        <v>126</v>
      </c>
      <c r="I195" s="17" t="s">
        <v>126</v>
      </c>
      <c r="J195" s="17" t="s">
        <v>126</v>
      </c>
      <c r="K195" s="17" t="s">
        <v>126</v>
      </c>
      <c r="L195" s="17" t="s">
        <v>126</v>
      </c>
      <c r="M195" s="17" t="s">
        <v>126</v>
      </c>
      <c r="N195" s="17" t="s">
        <v>126</v>
      </c>
      <c r="O195" s="17" t="s">
        <v>126</v>
      </c>
      <c r="P195" s="17" t="s">
        <v>126</v>
      </c>
      <c r="Q195" s="16">
        <v>336</v>
      </c>
      <c r="R195" s="10" t="s">
        <v>235</v>
      </c>
      <c r="S195" s="17" t="s">
        <v>126</v>
      </c>
      <c r="T195" s="17" t="s">
        <v>126</v>
      </c>
      <c r="U195" s="17" t="s">
        <v>126</v>
      </c>
      <c r="V195" s="17" t="s">
        <v>126</v>
      </c>
      <c r="W195" s="17" t="s">
        <v>126</v>
      </c>
      <c r="X195" s="17" t="s">
        <v>126</v>
      </c>
      <c r="Y195" s="17" t="s">
        <v>126</v>
      </c>
      <c r="Z195" s="17" t="s">
        <v>126</v>
      </c>
      <c r="AA195" s="17" t="s">
        <v>126</v>
      </c>
      <c r="AB195" s="17" t="s">
        <v>126</v>
      </c>
      <c r="AC195" s="17" t="s">
        <v>126</v>
      </c>
      <c r="AD195" s="17" t="s">
        <v>126</v>
      </c>
      <c r="AE195" s="17" t="s">
        <v>126</v>
      </c>
      <c r="AF195" s="17" t="s">
        <v>126</v>
      </c>
      <c r="AG195" s="17" t="s">
        <v>126</v>
      </c>
      <c r="AH195" s="17" t="s">
        <v>126</v>
      </c>
      <c r="AI195" s="5" t="e">
        <f t="shared" si="13"/>
        <v>#VALUE!</v>
      </c>
      <c r="AJ195" s="5" t="e">
        <f t="shared" si="14"/>
        <v>#VALUE!</v>
      </c>
      <c r="AK195" s="5" t="e">
        <f t="shared" si="15"/>
        <v>#VALUE!</v>
      </c>
      <c r="AL195" s="5" t="e">
        <f t="shared" si="16"/>
        <v>#VALUE!</v>
      </c>
      <c r="AM195" s="5" t="e">
        <f t="shared" si="17"/>
        <v>#VALUE!</v>
      </c>
    </row>
    <row r="196" spans="1:39" ht="15" customHeight="1" thickBot="1" x14ac:dyDescent="0.35">
      <c r="A196" s="5">
        <f t="shared" si="12"/>
        <v>0</v>
      </c>
      <c r="B196" s="18">
        <v>337</v>
      </c>
      <c r="C196" s="11" t="s">
        <v>236</v>
      </c>
      <c r="D196" s="19" t="s">
        <v>126</v>
      </c>
      <c r="E196" s="19" t="s">
        <v>126</v>
      </c>
      <c r="F196" s="19" t="s">
        <v>126</v>
      </c>
      <c r="G196" s="19" t="s">
        <v>126</v>
      </c>
      <c r="H196" s="19" t="s">
        <v>126</v>
      </c>
      <c r="I196" s="19" t="s">
        <v>126</v>
      </c>
      <c r="J196" s="19" t="s">
        <v>126</v>
      </c>
      <c r="K196" s="19" t="s">
        <v>126</v>
      </c>
      <c r="L196" s="19" t="s">
        <v>126</v>
      </c>
      <c r="M196" s="19" t="s">
        <v>126</v>
      </c>
      <c r="N196" s="19" t="s">
        <v>126</v>
      </c>
      <c r="O196" s="19" t="s">
        <v>126</v>
      </c>
      <c r="P196" s="19" t="s">
        <v>126</v>
      </c>
      <c r="Q196" s="18">
        <v>337</v>
      </c>
      <c r="R196" s="11" t="s">
        <v>236</v>
      </c>
      <c r="S196" s="19" t="s">
        <v>126</v>
      </c>
      <c r="T196" s="19" t="s">
        <v>126</v>
      </c>
      <c r="U196" s="19" t="s">
        <v>126</v>
      </c>
      <c r="V196" s="19" t="s">
        <v>126</v>
      </c>
      <c r="W196" s="19" t="s">
        <v>126</v>
      </c>
      <c r="X196" s="19" t="s">
        <v>126</v>
      </c>
      <c r="Y196" s="19" t="s">
        <v>126</v>
      </c>
      <c r="Z196" s="19" t="s">
        <v>126</v>
      </c>
      <c r="AA196" s="19" t="s">
        <v>126</v>
      </c>
      <c r="AB196" s="19" t="s">
        <v>126</v>
      </c>
      <c r="AC196" s="19" t="s">
        <v>126</v>
      </c>
      <c r="AD196" s="19" t="s">
        <v>126</v>
      </c>
      <c r="AE196" s="19" t="s">
        <v>126</v>
      </c>
      <c r="AF196" s="19" t="s">
        <v>126</v>
      </c>
      <c r="AG196" s="19" t="s">
        <v>126</v>
      </c>
      <c r="AH196" s="19" t="s">
        <v>126</v>
      </c>
      <c r="AI196" s="5" t="e">
        <f t="shared" si="13"/>
        <v>#VALUE!</v>
      </c>
      <c r="AJ196" s="5" t="e">
        <f t="shared" si="14"/>
        <v>#VALUE!</v>
      </c>
      <c r="AK196" s="5" t="e">
        <f t="shared" si="15"/>
        <v>#VALUE!</v>
      </c>
      <c r="AL196" s="5" t="e">
        <f t="shared" si="16"/>
        <v>#VALUE!</v>
      </c>
      <c r="AM196" s="5" t="e">
        <f t="shared" si="17"/>
        <v>#VALUE!</v>
      </c>
    </row>
    <row r="197" spans="1:39" ht="15" customHeight="1" thickBot="1" x14ac:dyDescent="0.35">
      <c r="A197" s="5">
        <f t="shared" si="12"/>
        <v>0</v>
      </c>
      <c r="B197" s="18">
        <v>338</v>
      </c>
      <c r="C197" s="11" t="s">
        <v>237</v>
      </c>
      <c r="D197" s="19" t="s">
        <v>126</v>
      </c>
      <c r="E197" s="19" t="s">
        <v>126</v>
      </c>
      <c r="F197" s="19" t="s">
        <v>126</v>
      </c>
      <c r="G197" s="19" t="s">
        <v>126</v>
      </c>
      <c r="H197" s="19" t="s">
        <v>126</v>
      </c>
      <c r="I197" s="19" t="s">
        <v>126</v>
      </c>
      <c r="J197" s="19" t="s">
        <v>126</v>
      </c>
      <c r="K197" s="19" t="s">
        <v>126</v>
      </c>
      <c r="L197" s="19" t="s">
        <v>126</v>
      </c>
      <c r="M197" s="19" t="s">
        <v>126</v>
      </c>
      <c r="N197" s="19" t="s">
        <v>126</v>
      </c>
      <c r="O197" s="19" t="s">
        <v>126</v>
      </c>
      <c r="P197" s="19" t="s">
        <v>126</v>
      </c>
      <c r="Q197" s="18">
        <v>338</v>
      </c>
      <c r="R197" s="11" t="s">
        <v>237</v>
      </c>
      <c r="S197" s="19" t="s">
        <v>126</v>
      </c>
      <c r="T197" s="19" t="s">
        <v>126</v>
      </c>
      <c r="U197" s="19" t="s">
        <v>126</v>
      </c>
      <c r="V197" s="19" t="s">
        <v>126</v>
      </c>
      <c r="W197" s="19" t="s">
        <v>126</v>
      </c>
      <c r="X197" s="19" t="s">
        <v>126</v>
      </c>
      <c r="Y197" s="19" t="s">
        <v>126</v>
      </c>
      <c r="Z197" s="19" t="s">
        <v>126</v>
      </c>
      <c r="AA197" s="19" t="s">
        <v>126</v>
      </c>
      <c r="AB197" s="19" t="s">
        <v>126</v>
      </c>
      <c r="AC197" s="19" t="s">
        <v>126</v>
      </c>
      <c r="AD197" s="19" t="s">
        <v>126</v>
      </c>
      <c r="AE197" s="19" t="s">
        <v>126</v>
      </c>
      <c r="AF197" s="19" t="s">
        <v>126</v>
      </c>
      <c r="AG197" s="19" t="s">
        <v>126</v>
      </c>
      <c r="AH197" s="19" t="s">
        <v>126</v>
      </c>
      <c r="AI197" s="5" t="e">
        <f t="shared" si="13"/>
        <v>#VALUE!</v>
      </c>
      <c r="AJ197" s="5" t="e">
        <f t="shared" si="14"/>
        <v>#VALUE!</v>
      </c>
      <c r="AK197" s="5" t="e">
        <f t="shared" si="15"/>
        <v>#VALUE!</v>
      </c>
      <c r="AL197" s="5" t="e">
        <f t="shared" si="16"/>
        <v>#VALUE!</v>
      </c>
      <c r="AM197" s="5" t="e">
        <f t="shared" si="17"/>
        <v>#VALUE!</v>
      </c>
    </row>
    <row r="198" spans="1:39" ht="15" customHeight="1" thickBot="1" x14ac:dyDescent="0.35">
      <c r="A198" s="5">
        <f t="shared" si="12"/>
        <v>0</v>
      </c>
      <c r="B198" s="18">
        <v>339</v>
      </c>
      <c r="C198" s="11" t="s">
        <v>238</v>
      </c>
      <c r="D198" s="19" t="s">
        <v>126</v>
      </c>
      <c r="E198" s="19" t="s">
        <v>126</v>
      </c>
      <c r="F198" s="19" t="s">
        <v>126</v>
      </c>
      <c r="G198" s="19" t="s">
        <v>126</v>
      </c>
      <c r="H198" s="19" t="s">
        <v>126</v>
      </c>
      <c r="I198" s="19" t="s">
        <v>126</v>
      </c>
      <c r="J198" s="19" t="s">
        <v>126</v>
      </c>
      <c r="K198" s="19" t="s">
        <v>126</v>
      </c>
      <c r="L198" s="19" t="s">
        <v>126</v>
      </c>
      <c r="M198" s="19" t="s">
        <v>126</v>
      </c>
      <c r="N198" s="19" t="s">
        <v>126</v>
      </c>
      <c r="O198" s="19" t="s">
        <v>126</v>
      </c>
      <c r="P198" s="19" t="s">
        <v>126</v>
      </c>
      <c r="Q198" s="18">
        <v>339</v>
      </c>
      <c r="R198" s="11" t="s">
        <v>238</v>
      </c>
      <c r="S198" s="19" t="s">
        <v>126</v>
      </c>
      <c r="T198" s="19" t="s">
        <v>126</v>
      </c>
      <c r="U198" s="19" t="s">
        <v>126</v>
      </c>
      <c r="V198" s="19" t="s">
        <v>126</v>
      </c>
      <c r="W198" s="19" t="s">
        <v>126</v>
      </c>
      <c r="X198" s="19" t="s">
        <v>126</v>
      </c>
      <c r="Y198" s="19" t="s">
        <v>126</v>
      </c>
      <c r="Z198" s="19" t="s">
        <v>126</v>
      </c>
      <c r="AA198" s="19" t="s">
        <v>126</v>
      </c>
      <c r="AB198" s="19" t="s">
        <v>126</v>
      </c>
      <c r="AC198" s="19" t="s">
        <v>126</v>
      </c>
      <c r="AD198" s="19" t="s">
        <v>126</v>
      </c>
      <c r="AE198" s="19" t="s">
        <v>126</v>
      </c>
      <c r="AF198" s="19" t="s">
        <v>126</v>
      </c>
      <c r="AG198" s="19" t="s">
        <v>126</v>
      </c>
      <c r="AH198" s="19" t="s">
        <v>126</v>
      </c>
      <c r="AI198" s="5" t="e">
        <f t="shared" si="13"/>
        <v>#VALUE!</v>
      </c>
      <c r="AJ198" s="5" t="e">
        <f t="shared" si="14"/>
        <v>#VALUE!</v>
      </c>
      <c r="AK198" s="5" t="e">
        <f t="shared" si="15"/>
        <v>#VALUE!</v>
      </c>
      <c r="AL198" s="5" t="e">
        <f t="shared" si="16"/>
        <v>#VALUE!</v>
      </c>
      <c r="AM198" s="5" t="e">
        <f t="shared" si="17"/>
        <v>#VALUE!</v>
      </c>
    </row>
    <row r="199" spans="1:39" ht="15" customHeight="1" thickBot="1" x14ac:dyDescent="0.35">
      <c r="A199" s="5">
        <f t="shared" ref="A199:A262" si="18">IFERROR((AI199*AI$3+AJ199*AJ$3+AK199*AK$3+AL199*AL$3+AM199*AM$3)*100/(AI$5*AI$3+AJ$5*AJ$3+AK$5*AK$3+AL$5*AL$3+AM$5*AM$3),0)</f>
        <v>0</v>
      </c>
      <c r="B199" s="16">
        <v>340</v>
      </c>
      <c r="C199" s="10" t="s">
        <v>239</v>
      </c>
      <c r="D199" s="17" t="s">
        <v>126</v>
      </c>
      <c r="E199" s="17" t="s">
        <v>126</v>
      </c>
      <c r="F199" s="17" t="s">
        <v>126</v>
      </c>
      <c r="G199" s="17" t="s">
        <v>126</v>
      </c>
      <c r="H199" s="17" t="s">
        <v>126</v>
      </c>
      <c r="I199" s="17" t="s">
        <v>126</v>
      </c>
      <c r="J199" s="17" t="s">
        <v>126</v>
      </c>
      <c r="K199" s="17" t="s">
        <v>126</v>
      </c>
      <c r="L199" s="17" t="s">
        <v>126</v>
      </c>
      <c r="M199" s="17" t="s">
        <v>126</v>
      </c>
      <c r="N199" s="17" t="s">
        <v>126</v>
      </c>
      <c r="O199" s="17" t="s">
        <v>126</v>
      </c>
      <c r="P199" s="17" t="s">
        <v>126</v>
      </c>
      <c r="Q199" s="16">
        <v>340</v>
      </c>
      <c r="R199" s="10" t="s">
        <v>239</v>
      </c>
      <c r="S199" s="17" t="s">
        <v>126</v>
      </c>
      <c r="T199" s="17" t="s">
        <v>126</v>
      </c>
      <c r="U199" s="17" t="s">
        <v>126</v>
      </c>
      <c r="V199" s="17" t="s">
        <v>126</v>
      </c>
      <c r="W199" s="17" t="s">
        <v>126</v>
      </c>
      <c r="X199" s="17" t="s">
        <v>126</v>
      </c>
      <c r="Y199" s="17" t="s">
        <v>126</v>
      </c>
      <c r="Z199" s="17" t="s">
        <v>126</v>
      </c>
      <c r="AA199" s="17" t="s">
        <v>126</v>
      </c>
      <c r="AB199" s="17" t="s">
        <v>126</v>
      </c>
      <c r="AC199" s="17" t="s">
        <v>126</v>
      </c>
      <c r="AD199" s="17" t="s">
        <v>126</v>
      </c>
      <c r="AE199" s="17" t="s">
        <v>126</v>
      </c>
      <c r="AF199" s="17" t="s">
        <v>126</v>
      </c>
      <c r="AG199" s="17" t="s">
        <v>126</v>
      </c>
      <c r="AH199" s="17" t="s">
        <v>126</v>
      </c>
      <c r="AI199" s="5" t="e">
        <f t="shared" ref="AI199:AI262" si="19">H$1*((-0.000002)*H199^3+0.00032*H199^2+(-0.0021)*H199)+I$1*((-0.000002)*I199^3+0.00032*I199^2+(-0.0021)*I199)+J$1*((-0.000002)*J199^3+0.00032*J199^2+(-0.0021)*J199)+K$1*((-0.000002)*K199^3+0.00032*K199^2+(-0.0021)*K199)+L$1*((-0.000002)*L199^3+0.00032*L199^2+(-0.0021)*L199)</f>
        <v>#VALUE!</v>
      </c>
      <c r="AJ199" s="5" t="e">
        <f t="shared" ref="AJ199:AJ262" si="20">M$1*((-0.000002)*M199^3+0.00032*M199^2+(-0.0021)*M199)+N$1*((-0.000002)*N199^3+0.00032*N199^2+(-0.0021)*N199)+O$1*((-0.000002)*O199^3+0.00032*O199^2+(-0.0021)*O199)</f>
        <v>#VALUE!</v>
      </c>
      <c r="AK199" s="5" t="e">
        <f t="shared" ref="AK199:AK262" si="21">IF(AA199&lt;50,W$1*((-0.000002)*W199^3+0.00032*W199^2+(-0.0021)*W199)+X$1*((-0.000002)*X199^3+0.00032*X199^2+(-0.0021)*X199)+Y$1*((-0.000002)*Y199^3+0.00032*Y199^2+(-0.0021)*Y199)+Z$1*((-0.000002)*Z199^3+0.00032*Z199^2+(-0.0021)*Z199),X$2*((-0.000002)*X199^3+0.00032*X199^2+(-0.0021)*X199)+Y$2*((-0.000002)*Y199^3+0.00032*Y199^2+(-0.0021)*Y199)+Z$2*((-0.000002)*Z199^3+0.00032*Z199^2+(-0.0021)*Z199)+AA$2*((-0.000002)*AA199^3+0.00032*AA199^2+(-0.0021)*AA199))</f>
        <v>#VALUE!</v>
      </c>
      <c r="AL199" s="5" t="e">
        <f t="shared" ref="AL199:AL262" si="22">AB$1*((-0.000002)*AB199^3+0.00032*AB199^2+(-0.0021)*AB199)+AC$1*((-0.000002)*AC199^3+0.00032*AC199^2+(-0.0021)*AC199)</f>
        <v>#VALUE!</v>
      </c>
      <c r="AM199" s="5" t="e">
        <f t="shared" ref="AM199:AM262" si="23">AD$1*((-0.000002)*AD199^3+0.00032*AD199^2+(-0.0021)*AD199)+AE$1*((-0.000002)*AE199^3+0.00032*AE199^2+(-0.0021)*AE199)+AF$1*((-0.000002)*AF199^3+0.00032*AF199^2+(-0.0021)*AF199)+AG$1*((-0.000002)*AG199^3+0.00032*AG199^2+(-0.0021)*AG199)</f>
        <v>#VALUE!</v>
      </c>
    </row>
    <row r="200" spans="1:39" ht="15" customHeight="1" thickBot="1" x14ac:dyDescent="0.35">
      <c r="A200" s="5">
        <f t="shared" si="18"/>
        <v>0</v>
      </c>
      <c r="B200" s="18">
        <v>341</v>
      </c>
      <c r="C200" s="11" t="s">
        <v>240</v>
      </c>
      <c r="D200" s="19" t="s">
        <v>126</v>
      </c>
      <c r="E200" s="19" t="s">
        <v>126</v>
      </c>
      <c r="F200" s="19" t="s">
        <v>126</v>
      </c>
      <c r="G200" s="19" t="s">
        <v>126</v>
      </c>
      <c r="H200" s="19" t="s">
        <v>126</v>
      </c>
      <c r="I200" s="19" t="s">
        <v>126</v>
      </c>
      <c r="J200" s="19" t="s">
        <v>126</v>
      </c>
      <c r="K200" s="19" t="s">
        <v>126</v>
      </c>
      <c r="L200" s="19" t="s">
        <v>126</v>
      </c>
      <c r="M200" s="19" t="s">
        <v>126</v>
      </c>
      <c r="N200" s="19" t="s">
        <v>126</v>
      </c>
      <c r="O200" s="19" t="s">
        <v>126</v>
      </c>
      <c r="P200" s="19" t="s">
        <v>126</v>
      </c>
      <c r="Q200" s="18">
        <v>341</v>
      </c>
      <c r="R200" s="11" t="s">
        <v>240</v>
      </c>
      <c r="S200" s="19" t="s">
        <v>126</v>
      </c>
      <c r="T200" s="19" t="s">
        <v>126</v>
      </c>
      <c r="U200" s="19" t="s">
        <v>126</v>
      </c>
      <c r="V200" s="19" t="s">
        <v>126</v>
      </c>
      <c r="W200" s="19" t="s">
        <v>126</v>
      </c>
      <c r="X200" s="19" t="s">
        <v>126</v>
      </c>
      <c r="Y200" s="19" t="s">
        <v>126</v>
      </c>
      <c r="Z200" s="19" t="s">
        <v>126</v>
      </c>
      <c r="AA200" s="19" t="s">
        <v>126</v>
      </c>
      <c r="AB200" s="19" t="s">
        <v>126</v>
      </c>
      <c r="AC200" s="19" t="s">
        <v>126</v>
      </c>
      <c r="AD200" s="19" t="s">
        <v>126</v>
      </c>
      <c r="AE200" s="19" t="s">
        <v>126</v>
      </c>
      <c r="AF200" s="19" t="s">
        <v>126</v>
      </c>
      <c r="AG200" s="19" t="s">
        <v>126</v>
      </c>
      <c r="AH200" s="19" t="s">
        <v>126</v>
      </c>
      <c r="AI200" s="5" t="e">
        <f t="shared" si="19"/>
        <v>#VALUE!</v>
      </c>
      <c r="AJ200" s="5" t="e">
        <f t="shared" si="20"/>
        <v>#VALUE!</v>
      </c>
      <c r="AK200" s="5" t="e">
        <f t="shared" si="21"/>
        <v>#VALUE!</v>
      </c>
      <c r="AL200" s="5" t="e">
        <f t="shared" si="22"/>
        <v>#VALUE!</v>
      </c>
      <c r="AM200" s="5" t="e">
        <f t="shared" si="23"/>
        <v>#VALUE!</v>
      </c>
    </row>
    <row r="201" spans="1:39" ht="15" customHeight="1" thickBot="1" x14ac:dyDescent="0.35">
      <c r="A201" s="5">
        <f t="shared" si="18"/>
        <v>0</v>
      </c>
      <c r="B201" s="16">
        <v>342</v>
      </c>
      <c r="C201" s="10" t="s">
        <v>241</v>
      </c>
      <c r="D201" s="17" t="s">
        <v>126</v>
      </c>
      <c r="E201" s="17" t="s">
        <v>126</v>
      </c>
      <c r="F201" s="17" t="s">
        <v>126</v>
      </c>
      <c r="G201" s="17" t="s">
        <v>126</v>
      </c>
      <c r="H201" s="17" t="s">
        <v>126</v>
      </c>
      <c r="I201" s="17" t="s">
        <v>126</v>
      </c>
      <c r="J201" s="17" t="s">
        <v>126</v>
      </c>
      <c r="K201" s="17" t="s">
        <v>126</v>
      </c>
      <c r="L201" s="17" t="s">
        <v>126</v>
      </c>
      <c r="M201" s="17" t="s">
        <v>126</v>
      </c>
      <c r="N201" s="17" t="s">
        <v>126</v>
      </c>
      <c r="O201" s="17" t="s">
        <v>126</v>
      </c>
      <c r="P201" s="17" t="s">
        <v>126</v>
      </c>
      <c r="Q201" s="16">
        <v>342</v>
      </c>
      <c r="R201" s="10" t="s">
        <v>241</v>
      </c>
      <c r="S201" s="17" t="s">
        <v>126</v>
      </c>
      <c r="T201" s="17" t="s">
        <v>126</v>
      </c>
      <c r="U201" s="17" t="s">
        <v>126</v>
      </c>
      <c r="V201" s="17" t="s">
        <v>126</v>
      </c>
      <c r="W201" s="17" t="s">
        <v>126</v>
      </c>
      <c r="X201" s="17" t="s">
        <v>126</v>
      </c>
      <c r="Y201" s="17" t="s">
        <v>126</v>
      </c>
      <c r="Z201" s="17" t="s">
        <v>126</v>
      </c>
      <c r="AA201" s="17" t="s">
        <v>126</v>
      </c>
      <c r="AB201" s="17" t="s">
        <v>126</v>
      </c>
      <c r="AC201" s="17" t="s">
        <v>126</v>
      </c>
      <c r="AD201" s="17" t="s">
        <v>126</v>
      </c>
      <c r="AE201" s="17" t="s">
        <v>126</v>
      </c>
      <c r="AF201" s="17" t="s">
        <v>126</v>
      </c>
      <c r="AG201" s="17" t="s">
        <v>126</v>
      </c>
      <c r="AH201" s="17" t="s">
        <v>126</v>
      </c>
      <c r="AI201" s="5" t="e">
        <f t="shared" si="19"/>
        <v>#VALUE!</v>
      </c>
      <c r="AJ201" s="5" t="e">
        <f t="shared" si="20"/>
        <v>#VALUE!</v>
      </c>
      <c r="AK201" s="5" t="e">
        <f t="shared" si="21"/>
        <v>#VALUE!</v>
      </c>
      <c r="AL201" s="5" t="e">
        <f t="shared" si="22"/>
        <v>#VALUE!</v>
      </c>
      <c r="AM201" s="5" t="e">
        <f t="shared" si="23"/>
        <v>#VALUE!</v>
      </c>
    </row>
    <row r="202" spans="1:39" ht="15" customHeight="1" thickBot="1" x14ac:dyDescent="0.35">
      <c r="A202" s="5">
        <f t="shared" si="18"/>
        <v>0</v>
      </c>
      <c r="B202" s="16">
        <v>343</v>
      </c>
      <c r="C202" s="10" t="s">
        <v>242</v>
      </c>
      <c r="D202" s="17" t="s">
        <v>126</v>
      </c>
      <c r="E202" s="17" t="s">
        <v>126</v>
      </c>
      <c r="F202" s="17" t="s">
        <v>126</v>
      </c>
      <c r="G202" s="17" t="s">
        <v>126</v>
      </c>
      <c r="H202" s="17" t="s">
        <v>126</v>
      </c>
      <c r="I202" s="17" t="s">
        <v>126</v>
      </c>
      <c r="J202" s="17" t="s">
        <v>126</v>
      </c>
      <c r="K202" s="17" t="s">
        <v>126</v>
      </c>
      <c r="L202" s="17" t="s">
        <v>126</v>
      </c>
      <c r="M202" s="17" t="s">
        <v>126</v>
      </c>
      <c r="N202" s="17" t="s">
        <v>126</v>
      </c>
      <c r="O202" s="17" t="s">
        <v>126</v>
      </c>
      <c r="P202" s="17" t="s">
        <v>126</v>
      </c>
      <c r="Q202" s="16">
        <v>343</v>
      </c>
      <c r="R202" s="10" t="s">
        <v>242</v>
      </c>
      <c r="S202" s="17" t="s">
        <v>126</v>
      </c>
      <c r="T202" s="17" t="s">
        <v>126</v>
      </c>
      <c r="U202" s="17" t="s">
        <v>126</v>
      </c>
      <c r="V202" s="17" t="s">
        <v>126</v>
      </c>
      <c r="W202" s="17" t="s">
        <v>126</v>
      </c>
      <c r="X202" s="17" t="s">
        <v>126</v>
      </c>
      <c r="Y202" s="17" t="s">
        <v>126</v>
      </c>
      <c r="Z202" s="17" t="s">
        <v>126</v>
      </c>
      <c r="AA202" s="17" t="s">
        <v>126</v>
      </c>
      <c r="AB202" s="17" t="s">
        <v>126</v>
      </c>
      <c r="AC202" s="17" t="s">
        <v>126</v>
      </c>
      <c r="AD202" s="17" t="s">
        <v>126</v>
      </c>
      <c r="AE202" s="17" t="s">
        <v>126</v>
      </c>
      <c r="AF202" s="17" t="s">
        <v>126</v>
      </c>
      <c r="AG202" s="17" t="s">
        <v>126</v>
      </c>
      <c r="AH202" s="17" t="s">
        <v>126</v>
      </c>
      <c r="AI202" s="5" t="e">
        <f t="shared" si="19"/>
        <v>#VALUE!</v>
      </c>
      <c r="AJ202" s="5" t="e">
        <f t="shared" si="20"/>
        <v>#VALUE!</v>
      </c>
      <c r="AK202" s="5" t="e">
        <f t="shared" si="21"/>
        <v>#VALUE!</v>
      </c>
      <c r="AL202" s="5" t="e">
        <f t="shared" si="22"/>
        <v>#VALUE!</v>
      </c>
      <c r="AM202" s="5" t="e">
        <f t="shared" si="23"/>
        <v>#VALUE!</v>
      </c>
    </row>
    <row r="203" spans="1:39" ht="15" customHeight="1" thickBot="1" x14ac:dyDescent="0.35">
      <c r="A203" s="5">
        <f t="shared" si="18"/>
        <v>0</v>
      </c>
      <c r="B203" s="18">
        <v>344</v>
      </c>
      <c r="C203" s="11" t="s">
        <v>243</v>
      </c>
      <c r="D203" s="19" t="s">
        <v>126</v>
      </c>
      <c r="E203" s="19" t="s">
        <v>126</v>
      </c>
      <c r="F203" s="19" t="s">
        <v>126</v>
      </c>
      <c r="G203" s="19" t="s">
        <v>126</v>
      </c>
      <c r="H203" s="19" t="s">
        <v>126</v>
      </c>
      <c r="I203" s="19" t="s">
        <v>126</v>
      </c>
      <c r="J203" s="19" t="s">
        <v>126</v>
      </c>
      <c r="K203" s="19" t="s">
        <v>126</v>
      </c>
      <c r="L203" s="19" t="s">
        <v>126</v>
      </c>
      <c r="M203" s="19" t="s">
        <v>126</v>
      </c>
      <c r="N203" s="19" t="s">
        <v>126</v>
      </c>
      <c r="O203" s="19" t="s">
        <v>126</v>
      </c>
      <c r="P203" s="19" t="s">
        <v>126</v>
      </c>
      <c r="Q203" s="18">
        <v>344</v>
      </c>
      <c r="R203" s="11" t="s">
        <v>243</v>
      </c>
      <c r="S203" s="19" t="s">
        <v>126</v>
      </c>
      <c r="T203" s="19" t="s">
        <v>126</v>
      </c>
      <c r="U203" s="19" t="s">
        <v>126</v>
      </c>
      <c r="V203" s="19" t="s">
        <v>126</v>
      </c>
      <c r="W203" s="19" t="s">
        <v>126</v>
      </c>
      <c r="X203" s="19" t="s">
        <v>126</v>
      </c>
      <c r="Y203" s="19" t="s">
        <v>126</v>
      </c>
      <c r="Z203" s="19" t="s">
        <v>126</v>
      </c>
      <c r="AA203" s="19" t="s">
        <v>126</v>
      </c>
      <c r="AB203" s="19" t="s">
        <v>126</v>
      </c>
      <c r="AC203" s="19" t="s">
        <v>126</v>
      </c>
      <c r="AD203" s="19" t="s">
        <v>126</v>
      </c>
      <c r="AE203" s="19" t="s">
        <v>126</v>
      </c>
      <c r="AF203" s="19" t="s">
        <v>126</v>
      </c>
      <c r="AG203" s="19" t="s">
        <v>126</v>
      </c>
      <c r="AH203" s="19" t="s">
        <v>126</v>
      </c>
      <c r="AI203" s="5" t="e">
        <f t="shared" si="19"/>
        <v>#VALUE!</v>
      </c>
      <c r="AJ203" s="5" t="e">
        <f t="shared" si="20"/>
        <v>#VALUE!</v>
      </c>
      <c r="AK203" s="5" t="e">
        <f t="shared" si="21"/>
        <v>#VALUE!</v>
      </c>
      <c r="AL203" s="5" t="e">
        <f t="shared" si="22"/>
        <v>#VALUE!</v>
      </c>
      <c r="AM203" s="5" t="e">
        <f t="shared" si="23"/>
        <v>#VALUE!</v>
      </c>
    </row>
    <row r="204" spans="1:39" ht="15" customHeight="1" thickBot="1" x14ac:dyDescent="0.35">
      <c r="A204" s="5">
        <f t="shared" si="18"/>
        <v>0</v>
      </c>
      <c r="B204" s="16">
        <v>345</v>
      </c>
      <c r="C204" s="10" t="s">
        <v>244</v>
      </c>
      <c r="D204" s="17" t="s">
        <v>126</v>
      </c>
      <c r="E204" s="17" t="s">
        <v>126</v>
      </c>
      <c r="F204" s="17" t="s">
        <v>126</v>
      </c>
      <c r="G204" s="17" t="s">
        <v>126</v>
      </c>
      <c r="H204" s="17" t="s">
        <v>126</v>
      </c>
      <c r="I204" s="17" t="s">
        <v>126</v>
      </c>
      <c r="J204" s="17" t="s">
        <v>126</v>
      </c>
      <c r="K204" s="17" t="s">
        <v>126</v>
      </c>
      <c r="L204" s="17" t="s">
        <v>126</v>
      </c>
      <c r="M204" s="17" t="s">
        <v>126</v>
      </c>
      <c r="N204" s="17" t="s">
        <v>126</v>
      </c>
      <c r="O204" s="17" t="s">
        <v>126</v>
      </c>
      <c r="P204" s="17" t="s">
        <v>126</v>
      </c>
      <c r="Q204" s="16">
        <v>345</v>
      </c>
      <c r="R204" s="10" t="s">
        <v>244</v>
      </c>
      <c r="S204" s="17" t="s">
        <v>126</v>
      </c>
      <c r="T204" s="17" t="s">
        <v>126</v>
      </c>
      <c r="U204" s="17" t="s">
        <v>126</v>
      </c>
      <c r="V204" s="17" t="s">
        <v>126</v>
      </c>
      <c r="W204" s="17" t="s">
        <v>126</v>
      </c>
      <c r="X204" s="17" t="s">
        <v>126</v>
      </c>
      <c r="Y204" s="17" t="s">
        <v>126</v>
      </c>
      <c r="Z204" s="17" t="s">
        <v>126</v>
      </c>
      <c r="AA204" s="17" t="s">
        <v>126</v>
      </c>
      <c r="AB204" s="17" t="s">
        <v>126</v>
      </c>
      <c r="AC204" s="17" t="s">
        <v>126</v>
      </c>
      <c r="AD204" s="17" t="s">
        <v>126</v>
      </c>
      <c r="AE204" s="17" t="s">
        <v>126</v>
      </c>
      <c r="AF204" s="17" t="s">
        <v>126</v>
      </c>
      <c r="AG204" s="17" t="s">
        <v>126</v>
      </c>
      <c r="AH204" s="17" t="s">
        <v>126</v>
      </c>
      <c r="AI204" s="5" t="e">
        <f t="shared" si="19"/>
        <v>#VALUE!</v>
      </c>
      <c r="AJ204" s="5" t="e">
        <f t="shared" si="20"/>
        <v>#VALUE!</v>
      </c>
      <c r="AK204" s="5" t="e">
        <f t="shared" si="21"/>
        <v>#VALUE!</v>
      </c>
      <c r="AL204" s="5" t="e">
        <f t="shared" si="22"/>
        <v>#VALUE!</v>
      </c>
      <c r="AM204" s="5" t="e">
        <f t="shared" si="23"/>
        <v>#VALUE!</v>
      </c>
    </row>
    <row r="205" spans="1:39" ht="15" customHeight="1" thickBot="1" x14ac:dyDescent="0.35">
      <c r="A205" s="5">
        <f t="shared" si="18"/>
        <v>0</v>
      </c>
      <c r="B205" s="16">
        <v>346</v>
      </c>
      <c r="C205" s="10" t="s">
        <v>245</v>
      </c>
      <c r="D205" s="17" t="s">
        <v>126</v>
      </c>
      <c r="E205" s="17" t="s">
        <v>126</v>
      </c>
      <c r="F205" s="17" t="s">
        <v>126</v>
      </c>
      <c r="G205" s="17" t="s">
        <v>126</v>
      </c>
      <c r="H205" s="17" t="s">
        <v>126</v>
      </c>
      <c r="I205" s="17" t="s">
        <v>126</v>
      </c>
      <c r="J205" s="17" t="s">
        <v>126</v>
      </c>
      <c r="K205" s="17" t="s">
        <v>126</v>
      </c>
      <c r="L205" s="17" t="s">
        <v>126</v>
      </c>
      <c r="M205" s="17" t="s">
        <v>126</v>
      </c>
      <c r="N205" s="17" t="s">
        <v>126</v>
      </c>
      <c r="O205" s="17" t="s">
        <v>126</v>
      </c>
      <c r="P205" s="17" t="s">
        <v>126</v>
      </c>
      <c r="Q205" s="16">
        <v>346</v>
      </c>
      <c r="R205" s="10" t="s">
        <v>245</v>
      </c>
      <c r="S205" s="17" t="s">
        <v>126</v>
      </c>
      <c r="T205" s="17" t="s">
        <v>126</v>
      </c>
      <c r="U205" s="17" t="s">
        <v>126</v>
      </c>
      <c r="V205" s="17" t="s">
        <v>126</v>
      </c>
      <c r="W205" s="17" t="s">
        <v>126</v>
      </c>
      <c r="X205" s="17" t="s">
        <v>126</v>
      </c>
      <c r="Y205" s="17" t="s">
        <v>126</v>
      </c>
      <c r="Z205" s="17" t="s">
        <v>126</v>
      </c>
      <c r="AA205" s="17" t="s">
        <v>126</v>
      </c>
      <c r="AB205" s="17" t="s">
        <v>126</v>
      </c>
      <c r="AC205" s="17" t="s">
        <v>126</v>
      </c>
      <c r="AD205" s="17" t="s">
        <v>126</v>
      </c>
      <c r="AE205" s="17" t="s">
        <v>126</v>
      </c>
      <c r="AF205" s="17" t="s">
        <v>126</v>
      </c>
      <c r="AG205" s="17" t="s">
        <v>126</v>
      </c>
      <c r="AH205" s="17" t="s">
        <v>126</v>
      </c>
      <c r="AI205" s="5" t="e">
        <f t="shared" si="19"/>
        <v>#VALUE!</v>
      </c>
      <c r="AJ205" s="5" t="e">
        <f t="shared" si="20"/>
        <v>#VALUE!</v>
      </c>
      <c r="AK205" s="5" t="e">
        <f t="shared" si="21"/>
        <v>#VALUE!</v>
      </c>
      <c r="AL205" s="5" t="e">
        <f t="shared" si="22"/>
        <v>#VALUE!</v>
      </c>
      <c r="AM205" s="5" t="e">
        <f t="shared" si="23"/>
        <v>#VALUE!</v>
      </c>
    </row>
    <row r="206" spans="1:39" ht="15" customHeight="1" thickBot="1" x14ac:dyDescent="0.35">
      <c r="A206" s="5">
        <f t="shared" si="18"/>
        <v>0</v>
      </c>
      <c r="B206" s="16">
        <v>347</v>
      </c>
      <c r="C206" s="10" t="s">
        <v>246</v>
      </c>
      <c r="D206" s="17" t="s">
        <v>126</v>
      </c>
      <c r="E206" s="17" t="s">
        <v>126</v>
      </c>
      <c r="F206" s="17" t="s">
        <v>126</v>
      </c>
      <c r="G206" s="17" t="s">
        <v>126</v>
      </c>
      <c r="H206" s="17" t="s">
        <v>126</v>
      </c>
      <c r="I206" s="17" t="s">
        <v>126</v>
      </c>
      <c r="J206" s="17" t="s">
        <v>126</v>
      </c>
      <c r="K206" s="17" t="s">
        <v>126</v>
      </c>
      <c r="L206" s="17" t="s">
        <v>126</v>
      </c>
      <c r="M206" s="17" t="s">
        <v>126</v>
      </c>
      <c r="N206" s="17" t="s">
        <v>126</v>
      </c>
      <c r="O206" s="17" t="s">
        <v>126</v>
      </c>
      <c r="P206" s="17" t="s">
        <v>126</v>
      </c>
      <c r="Q206" s="16">
        <v>347</v>
      </c>
      <c r="R206" s="10" t="s">
        <v>246</v>
      </c>
      <c r="S206" s="17" t="s">
        <v>126</v>
      </c>
      <c r="T206" s="17" t="s">
        <v>126</v>
      </c>
      <c r="U206" s="17" t="s">
        <v>126</v>
      </c>
      <c r="V206" s="17" t="s">
        <v>126</v>
      </c>
      <c r="W206" s="17" t="s">
        <v>126</v>
      </c>
      <c r="X206" s="17" t="s">
        <v>126</v>
      </c>
      <c r="Y206" s="17" t="s">
        <v>126</v>
      </c>
      <c r="Z206" s="17" t="s">
        <v>126</v>
      </c>
      <c r="AA206" s="17" t="s">
        <v>126</v>
      </c>
      <c r="AB206" s="17" t="s">
        <v>126</v>
      </c>
      <c r="AC206" s="17" t="s">
        <v>126</v>
      </c>
      <c r="AD206" s="17" t="s">
        <v>126</v>
      </c>
      <c r="AE206" s="17" t="s">
        <v>126</v>
      </c>
      <c r="AF206" s="17" t="s">
        <v>126</v>
      </c>
      <c r="AG206" s="17" t="s">
        <v>126</v>
      </c>
      <c r="AH206" s="17" t="s">
        <v>126</v>
      </c>
      <c r="AI206" s="5" t="e">
        <f t="shared" si="19"/>
        <v>#VALUE!</v>
      </c>
      <c r="AJ206" s="5" t="e">
        <f t="shared" si="20"/>
        <v>#VALUE!</v>
      </c>
      <c r="AK206" s="5" t="e">
        <f t="shared" si="21"/>
        <v>#VALUE!</v>
      </c>
      <c r="AL206" s="5" t="e">
        <f t="shared" si="22"/>
        <v>#VALUE!</v>
      </c>
      <c r="AM206" s="5" t="e">
        <f t="shared" si="23"/>
        <v>#VALUE!</v>
      </c>
    </row>
    <row r="207" spans="1:39" ht="15" customHeight="1" thickBot="1" x14ac:dyDescent="0.35">
      <c r="A207" s="5">
        <f t="shared" si="18"/>
        <v>0</v>
      </c>
      <c r="B207" s="18">
        <v>348</v>
      </c>
      <c r="C207" s="11" t="s">
        <v>247</v>
      </c>
      <c r="D207" s="19" t="s">
        <v>126</v>
      </c>
      <c r="E207" s="19" t="s">
        <v>126</v>
      </c>
      <c r="F207" s="19" t="s">
        <v>126</v>
      </c>
      <c r="G207" s="19" t="s">
        <v>126</v>
      </c>
      <c r="H207" s="19" t="s">
        <v>126</v>
      </c>
      <c r="I207" s="19" t="s">
        <v>126</v>
      </c>
      <c r="J207" s="19" t="s">
        <v>126</v>
      </c>
      <c r="K207" s="19" t="s">
        <v>126</v>
      </c>
      <c r="L207" s="19" t="s">
        <v>126</v>
      </c>
      <c r="M207" s="19" t="s">
        <v>126</v>
      </c>
      <c r="N207" s="19" t="s">
        <v>126</v>
      </c>
      <c r="O207" s="19" t="s">
        <v>126</v>
      </c>
      <c r="P207" s="19" t="s">
        <v>126</v>
      </c>
      <c r="Q207" s="18">
        <v>348</v>
      </c>
      <c r="R207" s="11" t="s">
        <v>247</v>
      </c>
      <c r="S207" s="19" t="s">
        <v>126</v>
      </c>
      <c r="T207" s="19" t="s">
        <v>126</v>
      </c>
      <c r="U207" s="19" t="s">
        <v>126</v>
      </c>
      <c r="V207" s="19" t="s">
        <v>126</v>
      </c>
      <c r="W207" s="19" t="s">
        <v>126</v>
      </c>
      <c r="X207" s="19" t="s">
        <v>126</v>
      </c>
      <c r="Y207" s="19" t="s">
        <v>126</v>
      </c>
      <c r="Z207" s="19" t="s">
        <v>126</v>
      </c>
      <c r="AA207" s="19" t="s">
        <v>126</v>
      </c>
      <c r="AB207" s="19" t="s">
        <v>126</v>
      </c>
      <c r="AC207" s="19" t="s">
        <v>126</v>
      </c>
      <c r="AD207" s="19" t="s">
        <v>126</v>
      </c>
      <c r="AE207" s="19" t="s">
        <v>126</v>
      </c>
      <c r="AF207" s="19" t="s">
        <v>126</v>
      </c>
      <c r="AG207" s="19" t="s">
        <v>126</v>
      </c>
      <c r="AH207" s="19" t="s">
        <v>126</v>
      </c>
      <c r="AI207" s="5" t="e">
        <f t="shared" si="19"/>
        <v>#VALUE!</v>
      </c>
      <c r="AJ207" s="5" t="e">
        <f t="shared" si="20"/>
        <v>#VALUE!</v>
      </c>
      <c r="AK207" s="5" t="e">
        <f t="shared" si="21"/>
        <v>#VALUE!</v>
      </c>
      <c r="AL207" s="5" t="e">
        <f t="shared" si="22"/>
        <v>#VALUE!</v>
      </c>
      <c r="AM207" s="5" t="e">
        <f t="shared" si="23"/>
        <v>#VALUE!</v>
      </c>
    </row>
    <row r="208" spans="1:39" ht="15" customHeight="1" thickBot="1" x14ac:dyDescent="0.35">
      <c r="A208">
        <f t="shared" si="18"/>
        <v>0</v>
      </c>
      <c r="B208" s="18">
        <v>349</v>
      </c>
      <c r="C208" s="11" t="s">
        <v>248</v>
      </c>
      <c r="D208" s="19" t="s">
        <v>126</v>
      </c>
      <c r="E208" s="19" t="s">
        <v>126</v>
      </c>
      <c r="F208" s="19" t="s">
        <v>126</v>
      </c>
      <c r="G208" s="19" t="s">
        <v>126</v>
      </c>
      <c r="H208" s="19" t="s">
        <v>126</v>
      </c>
      <c r="I208" s="19" t="s">
        <v>126</v>
      </c>
      <c r="J208" s="19" t="s">
        <v>126</v>
      </c>
      <c r="K208" s="19" t="s">
        <v>126</v>
      </c>
      <c r="L208" s="19" t="s">
        <v>126</v>
      </c>
      <c r="M208" s="19" t="s">
        <v>126</v>
      </c>
      <c r="N208" s="19" t="s">
        <v>126</v>
      </c>
      <c r="O208" s="19" t="s">
        <v>126</v>
      </c>
      <c r="P208" s="19" t="s">
        <v>126</v>
      </c>
      <c r="Q208" s="18">
        <v>349</v>
      </c>
      <c r="R208" s="11" t="s">
        <v>248</v>
      </c>
      <c r="S208" s="19" t="s">
        <v>126</v>
      </c>
      <c r="T208" s="19" t="s">
        <v>126</v>
      </c>
      <c r="U208" s="19" t="s">
        <v>126</v>
      </c>
      <c r="V208" s="19" t="s">
        <v>126</v>
      </c>
      <c r="W208" s="19" t="s">
        <v>126</v>
      </c>
      <c r="X208" s="19" t="s">
        <v>126</v>
      </c>
      <c r="Y208" s="19" t="s">
        <v>126</v>
      </c>
      <c r="Z208" s="19" t="s">
        <v>126</v>
      </c>
      <c r="AA208" s="19" t="s">
        <v>126</v>
      </c>
      <c r="AB208" s="19" t="s">
        <v>126</v>
      </c>
      <c r="AC208" s="19" t="s">
        <v>126</v>
      </c>
      <c r="AD208" s="19" t="s">
        <v>126</v>
      </c>
      <c r="AE208" s="19" t="s">
        <v>126</v>
      </c>
      <c r="AF208" s="19" t="s">
        <v>126</v>
      </c>
      <c r="AG208" s="19" t="s">
        <v>126</v>
      </c>
      <c r="AH208" s="19" t="s">
        <v>126</v>
      </c>
      <c r="AI208" s="5" t="e">
        <f t="shared" si="19"/>
        <v>#VALUE!</v>
      </c>
      <c r="AJ208" s="5" t="e">
        <f t="shared" si="20"/>
        <v>#VALUE!</v>
      </c>
      <c r="AK208" s="5" t="e">
        <f t="shared" si="21"/>
        <v>#VALUE!</v>
      </c>
      <c r="AL208" s="5" t="e">
        <f t="shared" si="22"/>
        <v>#VALUE!</v>
      </c>
      <c r="AM208" s="5" t="e">
        <f t="shared" si="23"/>
        <v>#VALUE!</v>
      </c>
    </row>
    <row r="209" spans="1:39" ht="15" customHeight="1" thickBot="1" x14ac:dyDescent="0.35">
      <c r="A209">
        <f t="shared" si="18"/>
        <v>0</v>
      </c>
      <c r="B209" s="16">
        <v>350</v>
      </c>
      <c r="C209" s="10" t="s">
        <v>249</v>
      </c>
      <c r="D209" s="17" t="s">
        <v>126</v>
      </c>
      <c r="E209" s="17" t="s">
        <v>126</v>
      </c>
      <c r="F209" s="17" t="s">
        <v>126</v>
      </c>
      <c r="G209" s="17" t="s">
        <v>126</v>
      </c>
      <c r="H209" s="17" t="s">
        <v>126</v>
      </c>
      <c r="I209" s="17" t="s">
        <v>126</v>
      </c>
      <c r="J209" s="17" t="s">
        <v>126</v>
      </c>
      <c r="K209" s="17" t="s">
        <v>126</v>
      </c>
      <c r="L209" s="17" t="s">
        <v>126</v>
      </c>
      <c r="M209" s="17" t="s">
        <v>126</v>
      </c>
      <c r="N209" s="17" t="s">
        <v>126</v>
      </c>
      <c r="O209" s="17" t="s">
        <v>126</v>
      </c>
      <c r="P209" s="17" t="s">
        <v>126</v>
      </c>
      <c r="Q209" s="16">
        <v>350</v>
      </c>
      <c r="R209" s="10" t="s">
        <v>249</v>
      </c>
      <c r="S209" s="17" t="s">
        <v>126</v>
      </c>
      <c r="T209" s="17" t="s">
        <v>126</v>
      </c>
      <c r="U209" s="17" t="s">
        <v>126</v>
      </c>
      <c r="V209" s="17" t="s">
        <v>126</v>
      </c>
      <c r="W209" s="17" t="s">
        <v>126</v>
      </c>
      <c r="X209" s="17" t="s">
        <v>126</v>
      </c>
      <c r="Y209" s="17" t="s">
        <v>126</v>
      </c>
      <c r="Z209" s="17" t="s">
        <v>126</v>
      </c>
      <c r="AA209" s="17" t="s">
        <v>126</v>
      </c>
      <c r="AB209" s="17" t="s">
        <v>126</v>
      </c>
      <c r="AC209" s="17" t="s">
        <v>126</v>
      </c>
      <c r="AD209" s="17" t="s">
        <v>126</v>
      </c>
      <c r="AE209" s="17" t="s">
        <v>126</v>
      </c>
      <c r="AF209" s="17" t="s">
        <v>126</v>
      </c>
      <c r="AG209" s="17" t="s">
        <v>126</v>
      </c>
      <c r="AH209" s="17" t="s">
        <v>126</v>
      </c>
      <c r="AI209" s="5" t="e">
        <f t="shared" si="19"/>
        <v>#VALUE!</v>
      </c>
      <c r="AJ209" s="5" t="e">
        <f t="shared" si="20"/>
        <v>#VALUE!</v>
      </c>
      <c r="AK209" s="5" t="e">
        <f t="shared" si="21"/>
        <v>#VALUE!</v>
      </c>
      <c r="AL209" s="5" t="e">
        <f t="shared" si="22"/>
        <v>#VALUE!</v>
      </c>
      <c r="AM209" s="5" t="e">
        <f t="shared" si="23"/>
        <v>#VALUE!</v>
      </c>
    </row>
    <row r="210" spans="1:39" ht="15" customHeight="1" thickBot="1" x14ac:dyDescent="0.35">
      <c r="A210">
        <f t="shared" si="18"/>
        <v>0</v>
      </c>
      <c r="B210" s="18">
        <v>351</v>
      </c>
      <c r="C210" s="11" t="s">
        <v>250</v>
      </c>
      <c r="D210" s="19" t="s">
        <v>126</v>
      </c>
      <c r="E210" s="19" t="s">
        <v>126</v>
      </c>
      <c r="F210" s="19" t="s">
        <v>126</v>
      </c>
      <c r="G210" s="19" t="s">
        <v>126</v>
      </c>
      <c r="H210" s="19" t="s">
        <v>126</v>
      </c>
      <c r="I210" s="19" t="s">
        <v>126</v>
      </c>
      <c r="J210" s="19" t="s">
        <v>126</v>
      </c>
      <c r="K210" s="19" t="s">
        <v>126</v>
      </c>
      <c r="L210" s="19" t="s">
        <v>126</v>
      </c>
      <c r="M210" s="19" t="s">
        <v>126</v>
      </c>
      <c r="N210" s="19" t="s">
        <v>126</v>
      </c>
      <c r="O210" s="19" t="s">
        <v>126</v>
      </c>
      <c r="P210" s="19" t="s">
        <v>126</v>
      </c>
      <c r="Q210" s="18">
        <v>351</v>
      </c>
      <c r="R210" s="11" t="s">
        <v>250</v>
      </c>
      <c r="S210" s="19" t="s">
        <v>126</v>
      </c>
      <c r="T210" s="19" t="s">
        <v>126</v>
      </c>
      <c r="U210" s="19" t="s">
        <v>126</v>
      </c>
      <c r="V210" s="19" t="s">
        <v>126</v>
      </c>
      <c r="W210" s="19" t="s">
        <v>126</v>
      </c>
      <c r="X210" s="19" t="s">
        <v>126</v>
      </c>
      <c r="Y210" s="19" t="s">
        <v>126</v>
      </c>
      <c r="Z210" s="19" t="s">
        <v>126</v>
      </c>
      <c r="AA210" s="19" t="s">
        <v>126</v>
      </c>
      <c r="AB210" s="19" t="s">
        <v>126</v>
      </c>
      <c r="AC210" s="19" t="s">
        <v>126</v>
      </c>
      <c r="AD210" s="19" t="s">
        <v>126</v>
      </c>
      <c r="AE210" s="19" t="s">
        <v>126</v>
      </c>
      <c r="AF210" s="19" t="s">
        <v>126</v>
      </c>
      <c r="AG210" s="19" t="s">
        <v>126</v>
      </c>
      <c r="AH210" s="19" t="s">
        <v>126</v>
      </c>
      <c r="AI210" s="5" t="e">
        <f t="shared" si="19"/>
        <v>#VALUE!</v>
      </c>
      <c r="AJ210" s="5" t="e">
        <f t="shared" si="20"/>
        <v>#VALUE!</v>
      </c>
      <c r="AK210" s="5" t="e">
        <f t="shared" si="21"/>
        <v>#VALUE!</v>
      </c>
      <c r="AL210" s="5" t="e">
        <f t="shared" si="22"/>
        <v>#VALUE!</v>
      </c>
      <c r="AM210" s="5" t="e">
        <f t="shared" si="23"/>
        <v>#VALUE!</v>
      </c>
    </row>
    <row r="211" spans="1:39" ht="15" customHeight="1" thickBot="1" x14ac:dyDescent="0.35">
      <c r="A211">
        <f t="shared" si="18"/>
        <v>0</v>
      </c>
      <c r="B211" s="16">
        <v>352</v>
      </c>
      <c r="C211" s="10" t="s">
        <v>251</v>
      </c>
      <c r="D211" s="17" t="s">
        <v>126</v>
      </c>
      <c r="E211" s="17" t="s">
        <v>126</v>
      </c>
      <c r="F211" s="17" t="s">
        <v>126</v>
      </c>
      <c r="G211" s="17" t="s">
        <v>126</v>
      </c>
      <c r="H211" s="17" t="s">
        <v>126</v>
      </c>
      <c r="I211" s="17" t="s">
        <v>126</v>
      </c>
      <c r="J211" s="17" t="s">
        <v>126</v>
      </c>
      <c r="K211" s="17" t="s">
        <v>126</v>
      </c>
      <c r="L211" s="17" t="s">
        <v>126</v>
      </c>
      <c r="M211" s="17" t="s">
        <v>126</v>
      </c>
      <c r="N211" s="17" t="s">
        <v>126</v>
      </c>
      <c r="O211" s="17" t="s">
        <v>126</v>
      </c>
      <c r="P211" s="17" t="s">
        <v>126</v>
      </c>
      <c r="Q211" s="16">
        <v>352</v>
      </c>
      <c r="R211" s="10" t="s">
        <v>251</v>
      </c>
      <c r="S211" s="17" t="s">
        <v>126</v>
      </c>
      <c r="T211" s="17" t="s">
        <v>126</v>
      </c>
      <c r="U211" s="17" t="s">
        <v>126</v>
      </c>
      <c r="V211" s="17" t="s">
        <v>126</v>
      </c>
      <c r="W211" s="17" t="s">
        <v>126</v>
      </c>
      <c r="X211" s="17" t="s">
        <v>126</v>
      </c>
      <c r="Y211" s="17" t="s">
        <v>126</v>
      </c>
      <c r="Z211" s="17" t="s">
        <v>126</v>
      </c>
      <c r="AA211" s="17" t="s">
        <v>126</v>
      </c>
      <c r="AB211" s="17" t="s">
        <v>126</v>
      </c>
      <c r="AC211" s="17" t="s">
        <v>126</v>
      </c>
      <c r="AD211" s="17" t="s">
        <v>126</v>
      </c>
      <c r="AE211" s="17" t="s">
        <v>126</v>
      </c>
      <c r="AF211" s="17" t="s">
        <v>126</v>
      </c>
      <c r="AG211" s="17" t="s">
        <v>126</v>
      </c>
      <c r="AH211" s="17" t="s">
        <v>126</v>
      </c>
      <c r="AI211" s="5" t="e">
        <f t="shared" si="19"/>
        <v>#VALUE!</v>
      </c>
      <c r="AJ211" s="5" t="e">
        <f t="shared" si="20"/>
        <v>#VALUE!</v>
      </c>
      <c r="AK211" s="5" t="e">
        <f t="shared" si="21"/>
        <v>#VALUE!</v>
      </c>
      <c r="AL211" s="5" t="e">
        <f t="shared" si="22"/>
        <v>#VALUE!</v>
      </c>
      <c r="AM211" s="5" t="e">
        <f t="shared" si="23"/>
        <v>#VALUE!</v>
      </c>
    </row>
    <row r="212" spans="1:39" ht="15" customHeight="1" thickBot="1" x14ac:dyDescent="0.35">
      <c r="A212">
        <f t="shared" si="18"/>
        <v>0</v>
      </c>
      <c r="B212" s="18">
        <v>353</v>
      </c>
      <c r="C212" s="11" t="s">
        <v>252</v>
      </c>
      <c r="D212" s="19" t="s">
        <v>126</v>
      </c>
      <c r="E212" s="19" t="s">
        <v>126</v>
      </c>
      <c r="F212" s="19" t="s">
        <v>126</v>
      </c>
      <c r="G212" s="19" t="s">
        <v>126</v>
      </c>
      <c r="H212" s="19" t="s">
        <v>126</v>
      </c>
      <c r="I212" s="19" t="s">
        <v>126</v>
      </c>
      <c r="J212" s="19" t="s">
        <v>126</v>
      </c>
      <c r="K212" s="19" t="s">
        <v>126</v>
      </c>
      <c r="L212" s="19" t="s">
        <v>126</v>
      </c>
      <c r="M212" s="19" t="s">
        <v>126</v>
      </c>
      <c r="N212" s="19" t="s">
        <v>126</v>
      </c>
      <c r="O212" s="19" t="s">
        <v>126</v>
      </c>
      <c r="P212" s="19" t="s">
        <v>126</v>
      </c>
      <c r="Q212" s="18">
        <v>353</v>
      </c>
      <c r="R212" s="11" t="s">
        <v>252</v>
      </c>
      <c r="S212" s="19" t="s">
        <v>126</v>
      </c>
      <c r="T212" s="19" t="s">
        <v>126</v>
      </c>
      <c r="U212" s="19" t="s">
        <v>126</v>
      </c>
      <c r="V212" s="19" t="s">
        <v>126</v>
      </c>
      <c r="W212" s="19" t="s">
        <v>126</v>
      </c>
      <c r="X212" s="19" t="s">
        <v>126</v>
      </c>
      <c r="Y212" s="19" t="s">
        <v>126</v>
      </c>
      <c r="Z212" s="19" t="s">
        <v>126</v>
      </c>
      <c r="AA212" s="19" t="s">
        <v>126</v>
      </c>
      <c r="AB212" s="19" t="s">
        <v>126</v>
      </c>
      <c r="AC212" s="19" t="s">
        <v>126</v>
      </c>
      <c r="AD212" s="19" t="s">
        <v>126</v>
      </c>
      <c r="AE212" s="19" t="s">
        <v>126</v>
      </c>
      <c r="AF212" s="19" t="s">
        <v>126</v>
      </c>
      <c r="AG212" s="19" t="s">
        <v>126</v>
      </c>
      <c r="AH212" s="19" t="s">
        <v>126</v>
      </c>
      <c r="AI212" s="5" t="e">
        <f t="shared" si="19"/>
        <v>#VALUE!</v>
      </c>
      <c r="AJ212" s="5" t="e">
        <f t="shared" si="20"/>
        <v>#VALUE!</v>
      </c>
      <c r="AK212" s="5" t="e">
        <f t="shared" si="21"/>
        <v>#VALUE!</v>
      </c>
      <c r="AL212" s="5" t="e">
        <f t="shared" si="22"/>
        <v>#VALUE!</v>
      </c>
      <c r="AM212" s="5" t="e">
        <f t="shared" si="23"/>
        <v>#VALUE!</v>
      </c>
    </row>
    <row r="213" spans="1:39" ht="15" customHeight="1" thickBot="1" x14ac:dyDescent="0.35">
      <c r="A213">
        <f t="shared" si="18"/>
        <v>0</v>
      </c>
      <c r="B213" s="16">
        <v>354</v>
      </c>
      <c r="C213" s="10" t="s">
        <v>253</v>
      </c>
      <c r="D213" s="17" t="s">
        <v>126</v>
      </c>
      <c r="E213" s="17" t="s">
        <v>126</v>
      </c>
      <c r="F213" s="17" t="s">
        <v>126</v>
      </c>
      <c r="G213" s="17" t="s">
        <v>126</v>
      </c>
      <c r="H213" s="17" t="s">
        <v>126</v>
      </c>
      <c r="I213" s="17" t="s">
        <v>126</v>
      </c>
      <c r="J213" s="17" t="s">
        <v>126</v>
      </c>
      <c r="K213" s="17" t="s">
        <v>126</v>
      </c>
      <c r="L213" s="17" t="s">
        <v>126</v>
      </c>
      <c r="M213" s="17" t="s">
        <v>126</v>
      </c>
      <c r="N213" s="17" t="s">
        <v>126</v>
      </c>
      <c r="O213" s="17" t="s">
        <v>126</v>
      </c>
      <c r="P213" s="17" t="s">
        <v>126</v>
      </c>
      <c r="Q213" s="16">
        <v>354</v>
      </c>
      <c r="R213" s="10" t="s">
        <v>253</v>
      </c>
      <c r="S213" s="17" t="s">
        <v>126</v>
      </c>
      <c r="T213" s="17" t="s">
        <v>126</v>
      </c>
      <c r="U213" s="17" t="s">
        <v>126</v>
      </c>
      <c r="V213" s="17" t="s">
        <v>126</v>
      </c>
      <c r="W213" s="17" t="s">
        <v>126</v>
      </c>
      <c r="X213" s="17" t="s">
        <v>126</v>
      </c>
      <c r="Y213" s="17" t="s">
        <v>126</v>
      </c>
      <c r="Z213" s="17" t="s">
        <v>126</v>
      </c>
      <c r="AA213" s="17" t="s">
        <v>126</v>
      </c>
      <c r="AB213" s="17" t="s">
        <v>126</v>
      </c>
      <c r="AC213" s="17" t="s">
        <v>126</v>
      </c>
      <c r="AD213" s="17" t="s">
        <v>126</v>
      </c>
      <c r="AE213" s="17" t="s">
        <v>126</v>
      </c>
      <c r="AF213" s="17" t="s">
        <v>126</v>
      </c>
      <c r="AG213" s="17" t="s">
        <v>126</v>
      </c>
      <c r="AH213" s="17" t="s">
        <v>126</v>
      </c>
      <c r="AI213" s="5" t="e">
        <f t="shared" si="19"/>
        <v>#VALUE!</v>
      </c>
      <c r="AJ213" s="5" t="e">
        <f t="shared" si="20"/>
        <v>#VALUE!</v>
      </c>
      <c r="AK213" s="5" t="e">
        <f t="shared" si="21"/>
        <v>#VALUE!</v>
      </c>
      <c r="AL213" s="5" t="e">
        <f t="shared" si="22"/>
        <v>#VALUE!</v>
      </c>
      <c r="AM213" s="5" t="e">
        <f t="shared" si="23"/>
        <v>#VALUE!</v>
      </c>
    </row>
    <row r="214" spans="1:39" ht="15" customHeight="1" thickBot="1" x14ac:dyDescent="0.35">
      <c r="A214">
        <f t="shared" si="18"/>
        <v>0</v>
      </c>
      <c r="B214" s="18">
        <v>355</v>
      </c>
      <c r="C214" s="11" t="s">
        <v>254</v>
      </c>
      <c r="D214" s="19" t="s">
        <v>126</v>
      </c>
      <c r="E214" s="19" t="s">
        <v>126</v>
      </c>
      <c r="F214" s="19" t="s">
        <v>126</v>
      </c>
      <c r="G214" s="19" t="s">
        <v>126</v>
      </c>
      <c r="H214" s="19" t="s">
        <v>126</v>
      </c>
      <c r="I214" s="19" t="s">
        <v>126</v>
      </c>
      <c r="J214" s="19" t="s">
        <v>126</v>
      </c>
      <c r="K214" s="19" t="s">
        <v>126</v>
      </c>
      <c r="L214" s="19" t="s">
        <v>126</v>
      </c>
      <c r="M214" s="19" t="s">
        <v>126</v>
      </c>
      <c r="N214" s="19" t="s">
        <v>126</v>
      </c>
      <c r="O214" s="19" t="s">
        <v>126</v>
      </c>
      <c r="P214" s="19" t="s">
        <v>126</v>
      </c>
      <c r="Q214" s="18">
        <v>355</v>
      </c>
      <c r="R214" s="11" t="s">
        <v>254</v>
      </c>
      <c r="S214" s="19" t="s">
        <v>126</v>
      </c>
      <c r="T214" s="19" t="s">
        <v>126</v>
      </c>
      <c r="U214" s="19" t="s">
        <v>126</v>
      </c>
      <c r="V214" s="19" t="s">
        <v>126</v>
      </c>
      <c r="W214" s="19" t="s">
        <v>126</v>
      </c>
      <c r="X214" s="19" t="s">
        <v>126</v>
      </c>
      <c r="Y214" s="19" t="s">
        <v>126</v>
      </c>
      <c r="Z214" s="19" t="s">
        <v>126</v>
      </c>
      <c r="AA214" s="19" t="s">
        <v>126</v>
      </c>
      <c r="AB214" s="19" t="s">
        <v>126</v>
      </c>
      <c r="AC214" s="19" t="s">
        <v>126</v>
      </c>
      <c r="AD214" s="19" t="s">
        <v>126</v>
      </c>
      <c r="AE214" s="19" t="s">
        <v>126</v>
      </c>
      <c r="AF214" s="19" t="s">
        <v>126</v>
      </c>
      <c r="AG214" s="19" t="s">
        <v>126</v>
      </c>
      <c r="AH214" s="19" t="s">
        <v>126</v>
      </c>
      <c r="AI214" s="5" t="e">
        <f t="shared" si="19"/>
        <v>#VALUE!</v>
      </c>
      <c r="AJ214" s="5" t="e">
        <f t="shared" si="20"/>
        <v>#VALUE!</v>
      </c>
      <c r="AK214" s="5" t="e">
        <f t="shared" si="21"/>
        <v>#VALUE!</v>
      </c>
      <c r="AL214" s="5" t="e">
        <f t="shared" si="22"/>
        <v>#VALUE!</v>
      </c>
      <c r="AM214" s="5" t="e">
        <f t="shared" si="23"/>
        <v>#VALUE!</v>
      </c>
    </row>
    <row r="215" spans="1:39" ht="15" customHeight="1" thickBot="1" x14ac:dyDescent="0.35">
      <c r="A215">
        <f t="shared" si="18"/>
        <v>0</v>
      </c>
      <c r="B215" s="16">
        <v>356</v>
      </c>
      <c r="C215" s="10" t="s">
        <v>255</v>
      </c>
      <c r="D215" s="17" t="s">
        <v>126</v>
      </c>
      <c r="E215" s="17" t="s">
        <v>126</v>
      </c>
      <c r="F215" s="17" t="s">
        <v>126</v>
      </c>
      <c r="G215" s="17" t="s">
        <v>126</v>
      </c>
      <c r="H215" s="17" t="s">
        <v>126</v>
      </c>
      <c r="I215" s="17" t="s">
        <v>126</v>
      </c>
      <c r="J215" s="17" t="s">
        <v>126</v>
      </c>
      <c r="K215" s="17" t="s">
        <v>126</v>
      </c>
      <c r="L215" s="17" t="s">
        <v>126</v>
      </c>
      <c r="M215" s="17" t="s">
        <v>126</v>
      </c>
      <c r="N215" s="17" t="s">
        <v>126</v>
      </c>
      <c r="O215" s="17" t="s">
        <v>126</v>
      </c>
      <c r="P215" s="17" t="s">
        <v>126</v>
      </c>
      <c r="Q215" s="16">
        <v>356</v>
      </c>
      <c r="R215" s="10" t="s">
        <v>255</v>
      </c>
      <c r="S215" s="17" t="s">
        <v>126</v>
      </c>
      <c r="T215" s="17" t="s">
        <v>126</v>
      </c>
      <c r="U215" s="17" t="s">
        <v>126</v>
      </c>
      <c r="V215" s="17" t="s">
        <v>126</v>
      </c>
      <c r="W215" s="17" t="s">
        <v>126</v>
      </c>
      <c r="X215" s="17" t="s">
        <v>126</v>
      </c>
      <c r="Y215" s="17" t="s">
        <v>126</v>
      </c>
      <c r="Z215" s="17" t="s">
        <v>126</v>
      </c>
      <c r="AA215" s="17" t="s">
        <v>126</v>
      </c>
      <c r="AB215" s="17" t="s">
        <v>126</v>
      </c>
      <c r="AC215" s="17" t="s">
        <v>126</v>
      </c>
      <c r="AD215" s="17" t="s">
        <v>126</v>
      </c>
      <c r="AE215" s="17" t="s">
        <v>126</v>
      </c>
      <c r="AF215" s="17" t="s">
        <v>126</v>
      </c>
      <c r="AG215" s="17" t="s">
        <v>126</v>
      </c>
      <c r="AH215" s="17" t="s">
        <v>126</v>
      </c>
      <c r="AI215" s="5" t="e">
        <f t="shared" si="19"/>
        <v>#VALUE!</v>
      </c>
      <c r="AJ215" s="5" t="e">
        <f t="shared" si="20"/>
        <v>#VALUE!</v>
      </c>
      <c r="AK215" s="5" t="e">
        <f t="shared" si="21"/>
        <v>#VALUE!</v>
      </c>
      <c r="AL215" s="5" t="e">
        <f t="shared" si="22"/>
        <v>#VALUE!</v>
      </c>
      <c r="AM215" s="5" t="e">
        <f t="shared" si="23"/>
        <v>#VALUE!</v>
      </c>
    </row>
    <row r="216" spans="1:39" ht="15" customHeight="1" thickBot="1" x14ac:dyDescent="0.35">
      <c r="A216">
        <f t="shared" si="18"/>
        <v>0</v>
      </c>
      <c r="B216" s="18">
        <v>357</v>
      </c>
      <c r="C216" s="11" t="s">
        <v>256</v>
      </c>
      <c r="D216" s="19" t="s">
        <v>126</v>
      </c>
      <c r="E216" s="19" t="s">
        <v>126</v>
      </c>
      <c r="F216" s="19" t="s">
        <v>126</v>
      </c>
      <c r="G216" s="19" t="s">
        <v>126</v>
      </c>
      <c r="H216" s="19" t="s">
        <v>126</v>
      </c>
      <c r="I216" s="19" t="s">
        <v>126</v>
      </c>
      <c r="J216" s="19" t="s">
        <v>126</v>
      </c>
      <c r="K216" s="19" t="s">
        <v>126</v>
      </c>
      <c r="L216" s="19" t="s">
        <v>126</v>
      </c>
      <c r="M216" s="19" t="s">
        <v>126</v>
      </c>
      <c r="N216" s="19" t="s">
        <v>126</v>
      </c>
      <c r="O216" s="19" t="s">
        <v>126</v>
      </c>
      <c r="P216" s="19" t="s">
        <v>126</v>
      </c>
      <c r="Q216" s="18">
        <v>357</v>
      </c>
      <c r="R216" s="11" t="s">
        <v>256</v>
      </c>
      <c r="S216" s="19" t="s">
        <v>126</v>
      </c>
      <c r="T216" s="19" t="s">
        <v>126</v>
      </c>
      <c r="U216" s="19" t="s">
        <v>126</v>
      </c>
      <c r="V216" s="19" t="s">
        <v>126</v>
      </c>
      <c r="W216" s="19" t="s">
        <v>126</v>
      </c>
      <c r="X216" s="19" t="s">
        <v>126</v>
      </c>
      <c r="Y216" s="19" t="s">
        <v>126</v>
      </c>
      <c r="Z216" s="19" t="s">
        <v>126</v>
      </c>
      <c r="AA216" s="19" t="s">
        <v>126</v>
      </c>
      <c r="AB216" s="19" t="s">
        <v>126</v>
      </c>
      <c r="AC216" s="19" t="s">
        <v>126</v>
      </c>
      <c r="AD216" s="19" t="s">
        <v>126</v>
      </c>
      <c r="AE216" s="19" t="s">
        <v>126</v>
      </c>
      <c r="AF216" s="19" t="s">
        <v>126</v>
      </c>
      <c r="AG216" s="19" t="s">
        <v>126</v>
      </c>
      <c r="AH216" s="19" t="s">
        <v>126</v>
      </c>
      <c r="AI216" s="5" t="e">
        <f t="shared" si="19"/>
        <v>#VALUE!</v>
      </c>
      <c r="AJ216" s="5" t="e">
        <f t="shared" si="20"/>
        <v>#VALUE!</v>
      </c>
      <c r="AK216" s="5" t="e">
        <f t="shared" si="21"/>
        <v>#VALUE!</v>
      </c>
      <c r="AL216" s="5" t="e">
        <f t="shared" si="22"/>
        <v>#VALUE!</v>
      </c>
      <c r="AM216" s="5" t="e">
        <f t="shared" si="23"/>
        <v>#VALUE!</v>
      </c>
    </row>
    <row r="217" spans="1:39" ht="15" customHeight="1" thickBot="1" x14ac:dyDescent="0.35">
      <c r="A217">
        <f t="shared" si="18"/>
        <v>0</v>
      </c>
      <c r="B217" s="16">
        <v>358</v>
      </c>
      <c r="C217" s="10" t="s">
        <v>257</v>
      </c>
      <c r="D217" s="17" t="s">
        <v>126</v>
      </c>
      <c r="E217" s="17" t="s">
        <v>126</v>
      </c>
      <c r="F217" s="17" t="s">
        <v>126</v>
      </c>
      <c r="G217" s="17" t="s">
        <v>126</v>
      </c>
      <c r="H217" s="17" t="s">
        <v>126</v>
      </c>
      <c r="I217" s="17" t="s">
        <v>126</v>
      </c>
      <c r="J217" s="17" t="s">
        <v>126</v>
      </c>
      <c r="K217" s="17" t="s">
        <v>126</v>
      </c>
      <c r="L217" s="17" t="s">
        <v>126</v>
      </c>
      <c r="M217" s="17" t="s">
        <v>126</v>
      </c>
      <c r="N217" s="17" t="s">
        <v>126</v>
      </c>
      <c r="O217" s="17" t="s">
        <v>126</v>
      </c>
      <c r="P217" s="17" t="s">
        <v>126</v>
      </c>
      <c r="Q217" s="16">
        <v>358</v>
      </c>
      <c r="R217" s="10" t="s">
        <v>257</v>
      </c>
      <c r="S217" s="17" t="s">
        <v>126</v>
      </c>
      <c r="T217" s="17" t="s">
        <v>126</v>
      </c>
      <c r="U217" s="17" t="s">
        <v>126</v>
      </c>
      <c r="V217" s="17" t="s">
        <v>126</v>
      </c>
      <c r="W217" s="17" t="s">
        <v>126</v>
      </c>
      <c r="X217" s="17" t="s">
        <v>126</v>
      </c>
      <c r="Y217" s="17" t="s">
        <v>126</v>
      </c>
      <c r="Z217" s="17" t="s">
        <v>126</v>
      </c>
      <c r="AA217" s="17" t="s">
        <v>126</v>
      </c>
      <c r="AB217" s="17" t="s">
        <v>126</v>
      </c>
      <c r="AC217" s="17" t="s">
        <v>126</v>
      </c>
      <c r="AD217" s="17" t="s">
        <v>126</v>
      </c>
      <c r="AE217" s="17" t="s">
        <v>126</v>
      </c>
      <c r="AF217" s="17" t="s">
        <v>126</v>
      </c>
      <c r="AG217" s="17" t="s">
        <v>126</v>
      </c>
      <c r="AH217" s="17" t="s">
        <v>126</v>
      </c>
      <c r="AI217" s="5" t="e">
        <f t="shared" si="19"/>
        <v>#VALUE!</v>
      </c>
      <c r="AJ217" s="5" t="e">
        <f t="shared" si="20"/>
        <v>#VALUE!</v>
      </c>
      <c r="AK217" s="5" t="e">
        <f t="shared" si="21"/>
        <v>#VALUE!</v>
      </c>
      <c r="AL217" s="5" t="e">
        <f t="shared" si="22"/>
        <v>#VALUE!</v>
      </c>
      <c r="AM217" s="5" t="e">
        <f t="shared" si="23"/>
        <v>#VALUE!</v>
      </c>
    </row>
    <row r="218" spans="1:39" ht="15" customHeight="1" thickBot="1" x14ac:dyDescent="0.35">
      <c r="A218">
        <f t="shared" si="18"/>
        <v>0</v>
      </c>
      <c r="B218" s="18">
        <v>359</v>
      </c>
      <c r="C218" s="11" t="s">
        <v>258</v>
      </c>
      <c r="D218" s="19" t="s">
        <v>126</v>
      </c>
      <c r="E218" s="19" t="s">
        <v>126</v>
      </c>
      <c r="F218" s="19" t="s">
        <v>126</v>
      </c>
      <c r="G218" s="19" t="s">
        <v>126</v>
      </c>
      <c r="H218" s="19" t="s">
        <v>126</v>
      </c>
      <c r="I218" s="19" t="s">
        <v>126</v>
      </c>
      <c r="J218" s="19" t="s">
        <v>126</v>
      </c>
      <c r="K218" s="19" t="s">
        <v>126</v>
      </c>
      <c r="L218" s="19" t="s">
        <v>126</v>
      </c>
      <c r="M218" s="19" t="s">
        <v>126</v>
      </c>
      <c r="N218" s="19" t="s">
        <v>126</v>
      </c>
      <c r="O218" s="19" t="s">
        <v>126</v>
      </c>
      <c r="P218" s="19" t="s">
        <v>126</v>
      </c>
      <c r="Q218" s="18">
        <v>359</v>
      </c>
      <c r="R218" s="11" t="s">
        <v>258</v>
      </c>
      <c r="S218" s="19" t="s">
        <v>126</v>
      </c>
      <c r="T218" s="19" t="s">
        <v>126</v>
      </c>
      <c r="U218" s="19" t="s">
        <v>126</v>
      </c>
      <c r="V218" s="19" t="s">
        <v>126</v>
      </c>
      <c r="W218" s="19" t="s">
        <v>126</v>
      </c>
      <c r="X218" s="19" t="s">
        <v>126</v>
      </c>
      <c r="Y218" s="19" t="s">
        <v>126</v>
      </c>
      <c r="Z218" s="19" t="s">
        <v>126</v>
      </c>
      <c r="AA218" s="19" t="s">
        <v>126</v>
      </c>
      <c r="AB218" s="19" t="s">
        <v>126</v>
      </c>
      <c r="AC218" s="19" t="s">
        <v>126</v>
      </c>
      <c r="AD218" s="19" t="s">
        <v>126</v>
      </c>
      <c r="AE218" s="19" t="s">
        <v>126</v>
      </c>
      <c r="AF218" s="19" t="s">
        <v>126</v>
      </c>
      <c r="AG218" s="19" t="s">
        <v>126</v>
      </c>
      <c r="AH218" s="19" t="s">
        <v>126</v>
      </c>
      <c r="AI218" s="5" t="e">
        <f t="shared" si="19"/>
        <v>#VALUE!</v>
      </c>
      <c r="AJ218" s="5" t="e">
        <f t="shared" si="20"/>
        <v>#VALUE!</v>
      </c>
      <c r="AK218" s="5" t="e">
        <f t="shared" si="21"/>
        <v>#VALUE!</v>
      </c>
      <c r="AL218" s="5" t="e">
        <f t="shared" si="22"/>
        <v>#VALUE!</v>
      </c>
      <c r="AM218" s="5" t="e">
        <f t="shared" si="23"/>
        <v>#VALUE!</v>
      </c>
    </row>
    <row r="219" spans="1:39" ht="15" customHeight="1" thickBot="1" x14ac:dyDescent="0.35">
      <c r="A219">
        <f t="shared" si="18"/>
        <v>0</v>
      </c>
      <c r="B219" s="16">
        <v>360</v>
      </c>
      <c r="C219" s="10" t="s">
        <v>259</v>
      </c>
      <c r="D219" s="17" t="s">
        <v>126</v>
      </c>
      <c r="E219" s="17" t="s">
        <v>126</v>
      </c>
      <c r="F219" s="17" t="s">
        <v>126</v>
      </c>
      <c r="G219" s="17" t="s">
        <v>126</v>
      </c>
      <c r="H219" s="17" t="s">
        <v>126</v>
      </c>
      <c r="I219" s="17" t="s">
        <v>126</v>
      </c>
      <c r="J219" s="17" t="s">
        <v>126</v>
      </c>
      <c r="K219" s="17" t="s">
        <v>126</v>
      </c>
      <c r="L219" s="17" t="s">
        <v>126</v>
      </c>
      <c r="M219" s="17" t="s">
        <v>126</v>
      </c>
      <c r="N219" s="17" t="s">
        <v>126</v>
      </c>
      <c r="O219" s="17" t="s">
        <v>126</v>
      </c>
      <c r="P219" s="17" t="s">
        <v>126</v>
      </c>
      <c r="Q219" s="16">
        <v>360</v>
      </c>
      <c r="R219" s="10" t="s">
        <v>259</v>
      </c>
      <c r="S219" s="17" t="s">
        <v>126</v>
      </c>
      <c r="T219" s="17" t="s">
        <v>126</v>
      </c>
      <c r="U219" s="17" t="s">
        <v>126</v>
      </c>
      <c r="V219" s="17" t="s">
        <v>126</v>
      </c>
      <c r="W219" s="17" t="s">
        <v>126</v>
      </c>
      <c r="X219" s="17" t="s">
        <v>126</v>
      </c>
      <c r="Y219" s="17" t="s">
        <v>126</v>
      </c>
      <c r="Z219" s="17" t="s">
        <v>126</v>
      </c>
      <c r="AA219" s="17" t="s">
        <v>126</v>
      </c>
      <c r="AB219" s="17" t="s">
        <v>126</v>
      </c>
      <c r="AC219" s="17" t="s">
        <v>126</v>
      </c>
      <c r="AD219" s="17" t="s">
        <v>126</v>
      </c>
      <c r="AE219" s="17" t="s">
        <v>126</v>
      </c>
      <c r="AF219" s="17" t="s">
        <v>126</v>
      </c>
      <c r="AG219" s="17" t="s">
        <v>126</v>
      </c>
      <c r="AH219" s="17" t="s">
        <v>126</v>
      </c>
      <c r="AI219" s="5" t="e">
        <f t="shared" si="19"/>
        <v>#VALUE!</v>
      </c>
      <c r="AJ219" s="5" t="e">
        <f t="shared" si="20"/>
        <v>#VALUE!</v>
      </c>
      <c r="AK219" s="5" t="e">
        <f t="shared" si="21"/>
        <v>#VALUE!</v>
      </c>
      <c r="AL219" s="5" t="e">
        <f t="shared" si="22"/>
        <v>#VALUE!</v>
      </c>
      <c r="AM219" s="5" t="e">
        <f t="shared" si="23"/>
        <v>#VALUE!</v>
      </c>
    </row>
    <row r="220" spans="1:39" ht="15" customHeight="1" thickBot="1" x14ac:dyDescent="0.35">
      <c r="A220">
        <f t="shared" si="18"/>
        <v>0</v>
      </c>
      <c r="B220" s="18">
        <v>361</v>
      </c>
      <c r="C220" s="11" t="s">
        <v>260</v>
      </c>
      <c r="D220" s="19" t="s">
        <v>126</v>
      </c>
      <c r="E220" s="19" t="s">
        <v>126</v>
      </c>
      <c r="F220" s="19" t="s">
        <v>126</v>
      </c>
      <c r="G220" s="19" t="s">
        <v>126</v>
      </c>
      <c r="H220" s="19" t="s">
        <v>126</v>
      </c>
      <c r="I220" s="19" t="s">
        <v>126</v>
      </c>
      <c r="J220" s="19" t="s">
        <v>126</v>
      </c>
      <c r="K220" s="19" t="s">
        <v>126</v>
      </c>
      <c r="L220" s="19" t="s">
        <v>126</v>
      </c>
      <c r="M220" s="19" t="s">
        <v>126</v>
      </c>
      <c r="N220" s="19" t="s">
        <v>126</v>
      </c>
      <c r="O220" s="19" t="s">
        <v>126</v>
      </c>
      <c r="P220" s="19" t="s">
        <v>126</v>
      </c>
      <c r="Q220" s="18">
        <v>361</v>
      </c>
      <c r="R220" s="11" t="s">
        <v>260</v>
      </c>
      <c r="S220" s="19" t="s">
        <v>126</v>
      </c>
      <c r="T220" s="19" t="s">
        <v>126</v>
      </c>
      <c r="U220" s="19" t="s">
        <v>126</v>
      </c>
      <c r="V220" s="19" t="s">
        <v>126</v>
      </c>
      <c r="W220" s="19" t="s">
        <v>126</v>
      </c>
      <c r="X220" s="19" t="s">
        <v>126</v>
      </c>
      <c r="Y220" s="19" t="s">
        <v>126</v>
      </c>
      <c r="Z220" s="19" t="s">
        <v>126</v>
      </c>
      <c r="AA220" s="19" t="s">
        <v>126</v>
      </c>
      <c r="AB220" s="19" t="s">
        <v>126</v>
      </c>
      <c r="AC220" s="19" t="s">
        <v>126</v>
      </c>
      <c r="AD220" s="19" t="s">
        <v>126</v>
      </c>
      <c r="AE220" s="19" t="s">
        <v>126</v>
      </c>
      <c r="AF220" s="19" t="s">
        <v>126</v>
      </c>
      <c r="AG220" s="19" t="s">
        <v>126</v>
      </c>
      <c r="AH220" s="19" t="s">
        <v>126</v>
      </c>
      <c r="AI220" s="5" t="e">
        <f t="shared" si="19"/>
        <v>#VALUE!</v>
      </c>
      <c r="AJ220" s="5" t="e">
        <f t="shared" si="20"/>
        <v>#VALUE!</v>
      </c>
      <c r="AK220" s="5" t="e">
        <f t="shared" si="21"/>
        <v>#VALUE!</v>
      </c>
      <c r="AL220" s="5" t="e">
        <f t="shared" si="22"/>
        <v>#VALUE!</v>
      </c>
      <c r="AM220" s="5" t="e">
        <f t="shared" si="23"/>
        <v>#VALUE!</v>
      </c>
    </row>
    <row r="221" spans="1:39" ht="15" customHeight="1" thickBot="1" x14ac:dyDescent="0.35">
      <c r="A221">
        <f t="shared" si="18"/>
        <v>0</v>
      </c>
      <c r="B221" s="16">
        <v>362</v>
      </c>
      <c r="C221" s="10" t="s">
        <v>261</v>
      </c>
      <c r="D221" s="17" t="s">
        <v>126</v>
      </c>
      <c r="E221" s="17" t="s">
        <v>126</v>
      </c>
      <c r="F221" s="17" t="s">
        <v>126</v>
      </c>
      <c r="G221" s="17" t="s">
        <v>126</v>
      </c>
      <c r="H221" s="17" t="s">
        <v>126</v>
      </c>
      <c r="I221" s="17" t="s">
        <v>126</v>
      </c>
      <c r="J221" s="17" t="s">
        <v>126</v>
      </c>
      <c r="K221" s="17" t="s">
        <v>126</v>
      </c>
      <c r="L221" s="17" t="s">
        <v>126</v>
      </c>
      <c r="M221" s="17" t="s">
        <v>126</v>
      </c>
      <c r="N221" s="17" t="s">
        <v>126</v>
      </c>
      <c r="O221" s="17" t="s">
        <v>126</v>
      </c>
      <c r="P221" s="17" t="s">
        <v>126</v>
      </c>
      <c r="Q221" s="16">
        <v>362</v>
      </c>
      <c r="R221" s="10" t="s">
        <v>261</v>
      </c>
      <c r="S221" s="17" t="s">
        <v>126</v>
      </c>
      <c r="T221" s="17" t="s">
        <v>126</v>
      </c>
      <c r="U221" s="17" t="s">
        <v>126</v>
      </c>
      <c r="V221" s="17" t="s">
        <v>126</v>
      </c>
      <c r="W221" s="17" t="s">
        <v>126</v>
      </c>
      <c r="X221" s="17" t="s">
        <v>126</v>
      </c>
      <c r="Y221" s="17" t="s">
        <v>126</v>
      </c>
      <c r="Z221" s="17" t="s">
        <v>126</v>
      </c>
      <c r="AA221" s="17" t="s">
        <v>126</v>
      </c>
      <c r="AB221" s="17" t="s">
        <v>126</v>
      </c>
      <c r="AC221" s="17" t="s">
        <v>126</v>
      </c>
      <c r="AD221" s="17" t="s">
        <v>126</v>
      </c>
      <c r="AE221" s="17" t="s">
        <v>126</v>
      </c>
      <c r="AF221" s="17" t="s">
        <v>126</v>
      </c>
      <c r="AG221" s="17" t="s">
        <v>126</v>
      </c>
      <c r="AH221" s="17" t="s">
        <v>126</v>
      </c>
      <c r="AI221" s="5" t="e">
        <f t="shared" si="19"/>
        <v>#VALUE!</v>
      </c>
      <c r="AJ221" s="5" t="e">
        <f t="shared" si="20"/>
        <v>#VALUE!</v>
      </c>
      <c r="AK221" s="5" t="e">
        <f t="shared" si="21"/>
        <v>#VALUE!</v>
      </c>
      <c r="AL221" s="5" t="e">
        <f t="shared" si="22"/>
        <v>#VALUE!</v>
      </c>
      <c r="AM221" s="5" t="e">
        <f t="shared" si="23"/>
        <v>#VALUE!</v>
      </c>
    </row>
    <row r="222" spans="1:39" ht="15" customHeight="1" thickBot="1" x14ac:dyDescent="0.35">
      <c r="A222">
        <f t="shared" si="18"/>
        <v>0</v>
      </c>
      <c r="B222" s="18">
        <v>363</v>
      </c>
      <c r="C222" s="11" t="s">
        <v>262</v>
      </c>
      <c r="D222" s="19" t="s">
        <v>126</v>
      </c>
      <c r="E222" s="19" t="s">
        <v>126</v>
      </c>
      <c r="F222" s="19" t="s">
        <v>126</v>
      </c>
      <c r="G222" s="19" t="s">
        <v>126</v>
      </c>
      <c r="H222" s="19" t="s">
        <v>126</v>
      </c>
      <c r="I222" s="19" t="s">
        <v>126</v>
      </c>
      <c r="J222" s="19" t="s">
        <v>126</v>
      </c>
      <c r="K222" s="19" t="s">
        <v>126</v>
      </c>
      <c r="L222" s="19" t="s">
        <v>126</v>
      </c>
      <c r="M222" s="19" t="s">
        <v>126</v>
      </c>
      <c r="N222" s="19" t="s">
        <v>126</v>
      </c>
      <c r="O222" s="19" t="s">
        <v>126</v>
      </c>
      <c r="P222" s="19" t="s">
        <v>126</v>
      </c>
      <c r="Q222" s="18">
        <v>363</v>
      </c>
      <c r="R222" s="11" t="s">
        <v>262</v>
      </c>
      <c r="S222" s="19" t="s">
        <v>126</v>
      </c>
      <c r="T222" s="19" t="s">
        <v>126</v>
      </c>
      <c r="U222" s="19" t="s">
        <v>126</v>
      </c>
      <c r="V222" s="19" t="s">
        <v>126</v>
      </c>
      <c r="W222" s="19" t="s">
        <v>126</v>
      </c>
      <c r="X222" s="19" t="s">
        <v>126</v>
      </c>
      <c r="Y222" s="19" t="s">
        <v>126</v>
      </c>
      <c r="Z222" s="19" t="s">
        <v>126</v>
      </c>
      <c r="AA222" s="19" t="s">
        <v>126</v>
      </c>
      <c r="AB222" s="19" t="s">
        <v>126</v>
      </c>
      <c r="AC222" s="19" t="s">
        <v>126</v>
      </c>
      <c r="AD222" s="19" t="s">
        <v>126</v>
      </c>
      <c r="AE222" s="19" t="s">
        <v>126</v>
      </c>
      <c r="AF222" s="19" t="s">
        <v>126</v>
      </c>
      <c r="AG222" s="19" t="s">
        <v>126</v>
      </c>
      <c r="AH222" s="19" t="s">
        <v>126</v>
      </c>
      <c r="AI222" s="5" t="e">
        <f t="shared" si="19"/>
        <v>#VALUE!</v>
      </c>
      <c r="AJ222" s="5" t="e">
        <f t="shared" si="20"/>
        <v>#VALUE!</v>
      </c>
      <c r="AK222" s="5" t="e">
        <f t="shared" si="21"/>
        <v>#VALUE!</v>
      </c>
      <c r="AL222" s="5" t="e">
        <f t="shared" si="22"/>
        <v>#VALUE!</v>
      </c>
      <c r="AM222" s="5" t="e">
        <f t="shared" si="23"/>
        <v>#VALUE!</v>
      </c>
    </row>
    <row r="223" spans="1:39" ht="15" customHeight="1" thickBot="1" x14ac:dyDescent="0.35">
      <c r="A223">
        <f t="shared" si="18"/>
        <v>0</v>
      </c>
      <c r="B223" s="16">
        <v>364</v>
      </c>
      <c r="C223" s="10" t="s">
        <v>263</v>
      </c>
      <c r="D223" s="17" t="s">
        <v>126</v>
      </c>
      <c r="E223" s="17" t="s">
        <v>126</v>
      </c>
      <c r="F223" s="17" t="s">
        <v>126</v>
      </c>
      <c r="G223" s="17" t="s">
        <v>126</v>
      </c>
      <c r="H223" s="17" t="s">
        <v>126</v>
      </c>
      <c r="I223" s="17" t="s">
        <v>126</v>
      </c>
      <c r="J223" s="17" t="s">
        <v>126</v>
      </c>
      <c r="K223" s="17" t="s">
        <v>126</v>
      </c>
      <c r="L223" s="17" t="s">
        <v>126</v>
      </c>
      <c r="M223" s="17" t="s">
        <v>126</v>
      </c>
      <c r="N223" s="17" t="s">
        <v>126</v>
      </c>
      <c r="O223" s="17" t="s">
        <v>126</v>
      </c>
      <c r="P223" s="17" t="s">
        <v>126</v>
      </c>
      <c r="Q223" s="16">
        <v>364</v>
      </c>
      <c r="R223" s="10" t="s">
        <v>263</v>
      </c>
      <c r="S223" s="17" t="s">
        <v>126</v>
      </c>
      <c r="T223" s="17" t="s">
        <v>126</v>
      </c>
      <c r="U223" s="17" t="s">
        <v>126</v>
      </c>
      <c r="V223" s="17" t="s">
        <v>126</v>
      </c>
      <c r="W223" s="17" t="s">
        <v>126</v>
      </c>
      <c r="X223" s="17" t="s">
        <v>126</v>
      </c>
      <c r="Y223" s="17" t="s">
        <v>126</v>
      </c>
      <c r="Z223" s="17" t="s">
        <v>126</v>
      </c>
      <c r="AA223" s="17" t="s">
        <v>126</v>
      </c>
      <c r="AB223" s="17" t="s">
        <v>126</v>
      </c>
      <c r="AC223" s="17" t="s">
        <v>126</v>
      </c>
      <c r="AD223" s="17" t="s">
        <v>126</v>
      </c>
      <c r="AE223" s="17" t="s">
        <v>126</v>
      </c>
      <c r="AF223" s="17" t="s">
        <v>126</v>
      </c>
      <c r="AG223" s="17" t="s">
        <v>126</v>
      </c>
      <c r="AH223" s="17" t="s">
        <v>126</v>
      </c>
      <c r="AI223" s="5" t="e">
        <f t="shared" si="19"/>
        <v>#VALUE!</v>
      </c>
      <c r="AJ223" s="5" t="e">
        <f t="shared" si="20"/>
        <v>#VALUE!</v>
      </c>
      <c r="AK223" s="5" t="e">
        <f t="shared" si="21"/>
        <v>#VALUE!</v>
      </c>
      <c r="AL223" s="5" t="e">
        <f t="shared" si="22"/>
        <v>#VALUE!</v>
      </c>
      <c r="AM223" s="5" t="e">
        <f t="shared" si="23"/>
        <v>#VALUE!</v>
      </c>
    </row>
    <row r="224" spans="1:39" ht="15" customHeight="1" thickBot="1" x14ac:dyDescent="0.35">
      <c r="A224">
        <f t="shared" si="18"/>
        <v>0</v>
      </c>
      <c r="B224" s="18">
        <v>365</v>
      </c>
      <c r="C224" s="11" t="s">
        <v>264</v>
      </c>
      <c r="D224" s="19" t="s">
        <v>126</v>
      </c>
      <c r="E224" s="19" t="s">
        <v>126</v>
      </c>
      <c r="F224" s="19" t="s">
        <v>126</v>
      </c>
      <c r="G224" s="19" t="s">
        <v>126</v>
      </c>
      <c r="H224" s="19" t="s">
        <v>126</v>
      </c>
      <c r="I224" s="19" t="s">
        <v>126</v>
      </c>
      <c r="J224" s="19" t="s">
        <v>126</v>
      </c>
      <c r="K224" s="19" t="s">
        <v>126</v>
      </c>
      <c r="L224" s="19" t="s">
        <v>126</v>
      </c>
      <c r="M224" s="19" t="s">
        <v>126</v>
      </c>
      <c r="N224" s="19" t="s">
        <v>126</v>
      </c>
      <c r="O224" s="19" t="s">
        <v>126</v>
      </c>
      <c r="P224" s="19" t="s">
        <v>126</v>
      </c>
      <c r="Q224" s="18">
        <v>365</v>
      </c>
      <c r="R224" s="11" t="s">
        <v>264</v>
      </c>
      <c r="S224" s="19" t="s">
        <v>126</v>
      </c>
      <c r="T224" s="19" t="s">
        <v>126</v>
      </c>
      <c r="U224" s="19" t="s">
        <v>126</v>
      </c>
      <c r="V224" s="19" t="s">
        <v>126</v>
      </c>
      <c r="W224" s="19" t="s">
        <v>126</v>
      </c>
      <c r="X224" s="19" t="s">
        <v>126</v>
      </c>
      <c r="Y224" s="19" t="s">
        <v>126</v>
      </c>
      <c r="Z224" s="19" t="s">
        <v>126</v>
      </c>
      <c r="AA224" s="19" t="s">
        <v>126</v>
      </c>
      <c r="AB224" s="19" t="s">
        <v>126</v>
      </c>
      <c r="AC224" s="19" t="s">
        <v>126</v>
      </c>
      <c r="AD224" s="19" t="s">
        <v>126</v>
      </c>
      <c r="AE224" s="19" t="s">
        <v>126</v>
      </c>
      <c r="AF224" s="19" t="s">
        <v>126</v>
      </c>
      <c r="AG224" s="19" t="s">
        <v>126</v>
      </c>
      <c r="AH224" s="19" t="s">
        <v>126</v>
      </c>
      <c r="AI224" s="5" t="e">
        <f t="shared" si="19"/>
        <v>#VALUE!</v>
      </c>
      <c r="AJ224" s="5" t="e">
        <f t="shared" si="20"/>
        <v>#VALUE!</v>
      </c>
      <c r="AK224" s="5" t="e">
        <f t="shared" si="21"/>
        <v>#VALUE!</v>
      </c>
      <c r="AL224" s="5" t="e">
        <f t="shared" si="22"/>
        <v>#VALUE!</v>
      </c>
      <c r="AM224" s="5" t="e">
        <f t="shared" si="23"/>
        <v>#VALUE!</v>
      </c>
    </row>
    <row r="225" spans="1:39" ht="15" customHeight="1" thickBot="1" x14ac:dyDescent="0.35">
      <c r="A225">
        <f t="shared" si="18"/>
        <v>0</v>
      </c>
      <c r="B225" s="16">
        <v>366</v>
      </c>
      <c r="C225" s="10" t="s">
        <v>265</v>
      </c>
      <c r="D225" s="17" t="s">
        <v>126</v>
      </c>
      <c r="E225" s="17" t="s">
        <v>126</v>
      </c>
      <c r="F225" s="17" t="s">
        <v>126</v>
      </c>
      <c r="G225" s="17" t="s">
        <v>126</v>
      </c>
      <c r="H225" s="17" t="s">
        <v>126</v>
      </c>
      <c r="I225" s="17" t="s">
        <v>126</v>
      </c>
      <c r="J225" s="17" t="s">
        <v>126</v>
      </c>
      <c r="K225" s="17" t="s">
        <v>126</v>
      </c>
      <c r="L225" s="17" t="s">
        <v>126</v>
      </c>
      <c r="M225" s="17" t="s">
        <v>126</v>
      </c>
      <c r="N225" s="17" t="s">
        <v>126</v>
      </c>
      <c r="O225" s="17" t="s">
        <v>126</v>
      </c>
      <c r="P225" s="17" t="s">
        <v>126</v>
      </c>
      <c r="Q225" s="16">
        <v>366</v>
      </c>
      <c r="R225" s="10" t="s">
        <v>265</v>
      </c>
      <c r="S225" s="17" t="s">
        <v>126</v>
      </c>
      <c r="T225" s="17" t="s">
        <v>126</v>
      </c>
      <c r="U225" s="17" t="s">
        <v>126</v>
      </c>
      <c r="V225" s="17" t="s">
        <v>126</v>
      </c>
      <c r="W225" s="17" t="s">
        <v>126</v>
      </c>
      <c r="X225" s="17" t="s">
        <v>126</v>
      </c>
      <c r="Y225" s="17" t="s">
        <v>126</v>
      </c>
      <c r="Z225" s="17" t="s">
        <v>126</v>
      </c>
      <c r="AA225" s="17" t="s">
        <v>126</v>
      </c>
      <c r="AB225" s="17" t="s">
        <v>126</v>
      </c>
      <c r="AC225" s="17" t="s">
        <v>126</v>
      </c>
      <c r="AD225" s="17" t="s">
        <v>126</v>
      </c>
      <c r="AE225" s="17" t="s">
        <v>126</v>
      </c>
      <c r="AF225" s="17" t="s">
        <v>126</v>
      </c>
      <c r="AG225" s="17" t="s">
        <v>126</v>
      </c>
      <c r="AH225" s="17" t="s">
        <v>126</v>
      </c>
      <c r="AI225" s="5" t="e">
        <f t="shared" si="19"/>
        <v>#VALUE!</v>
      </c>
      <c r="AJ225" s="5" t="e">
        <f t="shared" si="20"/>
        <v>#VALUE!</v>
      </c>
      <c r="AK225" s="5" t="e">
        <f t="shared" si="21"/>
        <v>#VALUE!</v>
      </c>
      <c r="AL225" s="5" t="e">
        <f t="shared" si="22"/>
        <v>#VALUE!</v>
      </c>
      <c r="AM225" s="5" t="e">
        <f t="shared" si="23"/>
        <v>#VALUE!</v>
      </c>
    </row>
    <row r="226" spans="1:39" ht="15" customHeight="1" thickBot="1" x14ac:dyDescent="0.35">
      <c r="A226">
        <f t="shared" si="18"/>
        <v>0</v>
      </c>
      <c r="B226" s="18">
        <v>367</v>
      </c>
      <c r="C226" s="11" t="s">
        <v>266</v>
      </c>
      <c r="D226" s="19" t="s">
        <v>126</v>
      </c>
      <c r="E226" s="19" t="s">
        <v>126</v>
      </c>
      <c r="F226" s="19" t="s">
        <v>126</v>
      </c>
      <c r="G226" s="19" t="s">
        <v>126</v>
      </c>
      <c r="H226" s="19" t="s">
        <v>126</v>
      </c>
      <c r="I226" s="19" t="s">
        <v>126</v>
      </c>
      <c r="J226" s="19" t="s">
        <v>126</v>
      </c>
      <c r="K226" s="19" t="s">
        <v>126</v>
      </c>
      <c r="L226" s="19" t="s">
        <v>126</v>
      </c>
      <c r="M226" s="19" t="s">
        <v>126</v>
      </c>
      <c r="N226" s="19" t="s">
        <v>126</v>
      </c>
      <c r="O226" s="19" t="s">
        <v>126</v>
      </c>
      <c r="P226" s="19" t="s">
        <v>126</v>
      </c>
      <c r="Q226" s="18">
        <v>367</v>
      </c>
      <c r="R226" s="11" t="s">
        <v>266</v>
      </c>
      <c r="S226" s="19" t="s">
        <v>126</v>
      </c>
      <c r="T226" s="19" t="s">
        <v>126</v>
      </c>
      <c r="U226" s="19" t="s">
        <v>126</v>
      </c>
      <c r="V226" s="19" t="s">
        <v>126</v>
      </c>
      <c r="W226" s="19" t="s">
        <v>126</v>
      </c>
      <c r="X226" s="19" t="s">
        <v>126</v>
      </c>
      <c r="Y226" s="19" t="s">
        <v>126</v>
      </c>
      <c r="Z226" s="19" t="s">
        <v>126</v>
      </c>
      <c r="AA226" s="19" t="s">
        <v>126</v>
      </c>
      <c r="AB226" s="19" t="s">
        <v>126</v>
      </c>
      <c r="AC226" s="19" t="s">
        <v>126</v>
      </c>
      <c r="AD226" s="19" t="s">
        <v>126</v>
      </c>
      <c r="AE226" s="19" t="s">
        <v>126</v>
      </c>
      <c r="AF226" s="19" t="s">
        <v>126</v>
      </c>
      <c r="AG226" s="19" t="s">
        <v>126</v>
      </c>
      <c r="AH226" s="19" t="s">
        <v>126</v>
      </c>
      <c r="AI226" s="5" t="e">
        <f t="shared" si="19"/>
        <v>#VALUE!</v>
      </c>
      <c r="AJ226" s="5" t="e">
        <f t="shared" si="20"/>
        <v>#VALUE!</v>
      </c>
      <c r="AK226" s="5" t="e">
        <f t="shared" si="21"/>
        <v>#VALUE!</v>
      </c>
      <c r="AL226" s="5" t="e">
        <f t="shared" si="22"/>
        <v>#VALUE!</v>
      </c>
      <c r="AM226" s="5" t="e">
        <f t="shared" si="23"/>
        <v>#VALUE!</v>
      </c>
    </row>
    <row r="227" spans="1:39" ht="15" customHeight="1" thickBot="1" x14ac:dyDescent="0.35">
      <c r="A227">
        <f t="shared" si="18"/>
        <v>0</v>
      </c>
      <c r="B227" s="16">
        <v>368</v>
      </c>
      <c r="C227" s="10" t="s">
        <v>267</v>
      </c>
      <c r="D227" s="17" t="s">
        <v>126</v>
      </c>
      <c r="E227" s="17" t="s">
        <v>126</v>
      </c>
      <c r="F227" s="17" t="s">
        <v>126</v>
      </c>
      <c r="G227" s="17" t="s">
        <v>126</v>
      </c>
      <c r="H227" s="17" t="s">
        <v>126</v>
      </c>
      <c r="I227" s="17" t="s">
        <v>126</v>
      </c>
      <c r="J227" s="17" t="s">
        <v>126</v>
      </c>
      <c r="K227" s="17" t="s">
        <v>126</v>
      </c>
      <c r="L227" s="17" t="s">
        <v>126</v>
      </c>
      <c r="M227" s="17" t="s">
        <v>126</v>
      </c>
      <c r="N227" s="17" t="s">
        <v>126</v>
      </c>
      <c r="O227" s="17" t="s">
        <v>126</v>
      </c>
      <c r="P227" s="17" t="s">
        <v>126</v>
      </c>
      <c r="Q227" s="16">
        <v>368</v>
      </c>
      <c r="R227" s="10" t="s">
        <v>267</v>
      </c>
      <c r="S227" s="17" t="s">
        <v>126</v>
      </c>
      <c r="T227" s="17" t="s">
        <v>126</v>
      </c>
      <c r="U227" s="17" t="s">
        <v>126</v>
      </c>
      <c r="V227" s="17" t="s">
        <v>126</v>
      </c>
      <c r="W227" s="17" t="s">
        <v>126</v>
      </c>
      <c r="X227" s="17" t="s">
        <v>126</v>
      </c>
      <c r="Y227" s="17" t="s">
        <v>126</v>
      </c>
      <c r="Z227" s="17" t="s">
        <v>126</v>
      </c>
      <c r="AA227" s="17" t="s">
        <v>126</v>
      </c>
      <c r="AB227" s="17" t="s">
        <v>126</v>
      </c>
      <c r="AC227" s="17" t="s">
        <v>126</v>
      </c>
      <c r="AD227" s="17" t="s">
        <v>126</v>
      </c>
      <c r="AE227" s="17" t="s">
        <v>126</v>
      </c>
      <c r="AF227" s="17" t="s">
        <v>126</v>
      </c>
      <c r="AG227" s="17" t="s">
        <v>126</v>
      </c>
      <c r="AH227" s="17" t="s">
        <v>126</v>
      </c>
      <c r="AI227" s="5" t="e">
        <f t="shared" si="19"/>
        <v>#VALUE!</v>
      </c>
      <c r="AJ227" s="5" t="e">
        <f t="shared" si="20"/>
        <v>#VALUE!</v>
      </c>
      <c r="AK227" s="5" t="e">
        <f t="shared" si="21"/>
        <v>#VALUE!</v>
      </c>
      <c r="AL227" s="5" t="e">
        <f t="shared" si="22"/>
        <v>#VALUE!</v>
      </c>
      <c r="AM227" s="5" t="e">
        <f t="shared" si="23"/>
        <v>#VALUE!</v>
      </c>
    </row>
    <row r="228" spans="1:39" ht="15" customHeight="1" thickBot="1" x14ac:dyDescent="0.35">
      <c r="A228">
        <f t="shared" si="18"/>
        <v>0</v>
      </c>
      <c r="B228" s="18">
        <v>369</v>
      </c>
      <c r="C228" s="11" t="s">
        <v>268</v>
      </c>
      <c r="D228" s="19" t="s">
        <v>126</v>
      </c>
      <c r="E228" s="19" t="s">
        <v>126</v>
      </c>
      <c r="F228" s="19" t="s">
        <v>126</v>
      </c>
      <c r="G228" s="19" t="s">
        <v>126</v>
      </c>
      <c r="H228" s="19" t="s">
        <v>126</v>
      </c>
      <c r="I228" s="19" t="s">
        <v>126</v>
      </c>
      <c r="J228" s="19" t="s">
        <v>126</v>
      </c>
      <c r="K228" s="19" t="s">
        <v>126</v>
      </c>
      <c r="L228" s="19" t="s">
        <v>126</v>
      </c>
      <c r="M228" s="19" t="s">
        <v>126</v>
      </c>
      <c r="N228" s="19" t="s">
        <v>126</v>
      </c>
      <c r="O228" s="19" t="s">
        <v>126</v>
      </c>
      <c r="P228" s="19" t="s">
        <v>126</v>
      </c>
      <c r="Q228" s="18">
        <v>369</v>
      </c>
      <c r="R228" s="11" t="s">
        <v>268</v>
      </c>
      <c r="S228" s="19" t="s">
        <v>126</v>
      </c>
      <c r="T228" s="19" t="s">
        <v>126</v>
      </c>
      <c r="U228" s="19" t="s">
        <v>126</v>
      </c>
      <c r="V228" s="19" t="s">
        <v>126</v>
      </c>
      <c r="W228" s="19" t="s">
        <v>126</v>
      </c>
      <c r="X228" s="19" t="s">
        <v>126</v>
      </c>
      <c r="Y228" s="19" t="s">
        <v>126</v>
      </c>
      <c r="Z228" s="19" t="s">
        <v>126</v>
      </c>
      <c r="AA228" s="19" t="s">
        <v>126</v>
      </c>
      <c r="AB228" s="19" t="s">
        <v>126</v>
      </c>
      <c r="AC228" s="19" t="s">
        <v>126</v>
      </c>
      <c r="AD228" s="19" t="s">
        <v>126</v>
      </c>
      <c r="AE228" s="19" t="s">
        <v>126</v>
      </c>
      <c r="AF228" s="19" t="s">
        <v>126</v>
      </c>
      <c r="AG228" s="19" t="s">
        <v>126</v>
      </c>
      <c r="AH228" s="19" t="s">
        <v>126</v>
      </c>
      <c r="AI228" s="5" t="e">
        <f t="shared" si="19"/>
        <v>#VALUE!</v>
      </c>
      <c r="AJ228" s="5" t="e">
        <f t="shared" si="20"/>
        <v>#VALUE!</v>
      </c>
      <c r="AK228" s="5" t="e">
        <f t="shared" si="21"/>
        <v>#VALUE!</v>
      </c>
      <c r="AL228" s="5" t="e">
        <f t="shared" si="22"/>
        <v>#VALUE!</v>
      </c>
      <c r="AM228" s="5" t="e">
        <f t="shared" si="23"/>
        <v>#VALUE!</v>
      </c>
    </row>
    <row r="229" spans="1:39" ht="15" customHeight="1" thickBot="1" x14ac:dyDescent="0.35">
      <c r="A229">
        <f t="shared" si="18"/>
        <v>0</v>
      </c>
      <c r="B229" s="16">
        <v>370</v>
      </c>
      <c r="C229" s="10" t="s">
        <v>269</v>
      </c>
      <c r="D229" s="17" t="s">
        <v>126</v>
      </c>
      <c r="E229" s="17" t="s">
        <v>126</v>
      </c>
      <c r="F229" s="17" t="s">
        <v>126</v>
      </c>
      <c r="G229" s="17" t="s">
        <v>126</v>
      </c>
      <c r="H229" s="17" t="s">
        <v>126</v>
      </c>
      <c r="I229" s="17" t="s">
        <v>126</v>
      </c>
      <c r="J229" s="17" t="s">
        <v>126</v>
      </c>
      <c r="K229" s="17" t="s">
        <v>126</v>
      </c>
      <c r="L229" s="17" t="s">
        <v>126</v>
      </c>
      <c r="M229" s="17" t="s">
        <v>126</v>
      </c>
      <c r="N229" s="17" t="s">
        <v>126</v>
      </c>
      <c r="O229" s="17" t="s">
        <v>126</v>
      </c>
      <c r="P229" s="17" t="s">
        <v>126</v>
      </c>
      <c r="Q229" s="16">
        <v>370</v>
      </c>
      <c r="R229" s="10" t="s">
        <v>269</v>
      </c>
      <c r="S229" s="17" t="s">
        <v>126</v>
      </c>
      <c r="T229" s="17" t="s">
        <v>126</v>
      </c>
      <c r="U229" s="17" t="s">
        <v>126</v>
      </c>
      <c r="V229" s="17" t="s">
        <v>126</v>
      </c>
      <c r="W229" s="17" t="s">
        <v>126</v>
      </c>
      <c r="X229" s="17" t="s">
        <v>126</v>
      </c>
      <c r="Y229" s="17" t="s">
        <v>126</v>
      </c>
      <c r="Z229" s="17" t="s">
        <v>126</v>
      </c>
      <c r="AA229" s="17" t="s">
        <v>126</v>
      </c>
      <c r="AB229" s="17" t="s">
        <v>126</v>
      </c>
      <c r="AC229" s="17" t="s">
        <v>126</v>
      </c>
      <c r="AD229" s="17" t="s">
        <v>126</v>
      </c>
      <c r="AE229" s="17" t="s">
        <v>126</v>
      </c>
      <c r="AF229" s="17" t="s">
        <v>126</v>
      </c>
      <c r="AG229" s="17" t="s">
        <v>126</v>
      </c>
      <c r="AH229" s="17" t="s">
        <v>126</v>
      </c>
      <c r="AI229" s="5" t="e">
        <f t="shared" si="19"/>
        <v>#VALUE!</v>
      </c>
      <c r="AJ229" s="5" t="e">
        <f t="shared" si="20"/>
        <v>#VALUE!</v>
      </c>
      <c r="AK229" s="5" t="e">
        <f t="shared" si="21"/>
        <v>#VALUE!</v>
      </c>
      <c r="AL229" s="5" t="e">
        <f t="shared" si="22"/>
        <v>#VALUE!</v>
      </c>
      <c r="AM229" s="5" t="e">
        <f t="shared" si="23"/>
        <v>#VALUE!</v>
      </c>
    </row>
    <row r="230" spans="1:39" ht="15" customHeight="1" thickBot="1" x14ac:dyDescent="0.35">
      <c r="A230">
        <f t="shared" si="18"/>
        <v>0</v>
      </c>
      <c r="B230" s="18">
        <v>371</v>
      </c>
      <c r="C230" s="11" t="s">
        <v>270</v>
      </c>
      <c r="D230" s="19" t="s">
        <v>126</v>
      </c>
      <c r="E230" s="19" t="s">
        <v>126</v>
      </c>
      <c r="F230" s="19" t="s">
        <v>126</v>
      </c>
      <c r="G230" s="19" t="s">
        <v>126</v>
      </c>
      <c r="H230" s="19" t="s">
        <v>126</v>
      </c>
      <c r="I230" s="19" t="s">
        <v>126</v>
      </c>
      <c r="J230" s="19" t="s">
        <v>126</v>
      </c>
      <c r="K230" s="19" t="s">
        <v>126</v>
      </c>
      <c r="L230" s="19" t="s">
        <v>126</v>
      </c>
      <c r="M230" s="19" t="s">
        <v>126</v>
      </c>
      <c r="N230" s="19" t="s">
        <v>126</v>
      </c>
      <c r="O230" s="19" t="s">
        <v>126</v>
      </c>
      <c r="P230" s="19" t="s">
        <v>126</v>
      </c>
      <c r="Q230" s="18">
        <v>371</v>
      </c>
      <c r="R230" s="11" t="s">
        <v>270</v>
      </c>
      <c r="S230" s="19" t="s">
        <v>126</v>
      </c>
      <c r="T230" s="19" t="s">
        <v>126</v>
      </c>
      <c r="U230" s="19" t="s">
        <v>126</v>
      </c>
      <c r="V230" s="19" t="s">
        <v>126</v>
      </c>
      <c r="W230" s="19" t="s">
        <v>126</v>
      </c>
      <c r="X230" s="19" t="s">
        <v>126</v>
      </c>
      <c r="Y230" s="19" t="s">
        <v>126</v>
      </c>
      <c r="Z230" s="19" t="s">
        <v>126</v>
      </c>
      <c r="AA230" s="19" t="s">
        <v>126</v>
      </c>
      <c r="AB230" s="19" t="s">
        <v>126</v>
      </c>
      <c r="AC230" s="19" t="s">
        <v>126</v>
      </c>
      <c r="AD230" s="19" t="s">
        <v>126</v>
      </c>
      <c r="AE230" s="19" t="s">
        <v>126</v>
      </c>
      <c r="AF230" s="19" t="s">
        <v>126</v>
      </c>
      <c r="AG230" s="19" t="s">
        <v>126</v>
      </c>
      <c r="AH230" s="19" t="s">
        <v>126</v>
      </c>
      <c r="AI230" s="5" t="e">
        <f t="shared" si="19"/>
        <v>#VALUE!</v>
      </c>
      <c r="AJ230" s="5" t="e">
        <f t="shared" si="20"/>
        <v>#VALUE!</v>
      </c>
      <c r="AK230" s="5" t="e">
        <f t="shared" si="21"/>
        <v>#VALUE!</v>
      </c>
      <c r="AL230" s="5" t="e">
        <f t="shared" si="22"/>
        <v>#VALUE!</v>
      </c>
      <c r="AM230" s="5" t="e">
        <f t="shared" si="23"/>
        <v>#VALUE!</v>
      </c>
    </row>
    <row r="231" spans="1:39" ht="15" customHeight="1" thickBot="1" x14ac:dyDescent="0.35">
      <c r="A231">
        <f t="shared" si="18"/>
        <v>0</v>
      </c>
      <c r="B231" s="16">
        <v>372</v>
      </c>
      <c r="C231" s="10" t="s">
        <v>271</v>
      </c>
      <c r="D231" s="17" t="s">
        <v>126</v>
      </c>
      <c r="E231" s="17" t="s">
        <v>126</v>
      </c>
      <c r="F231" s="17" t="s">
        <v>126</v>
      </c>
      <c r="G231" s="17" t="s">
        <v>126</v>
      </c>
      <c r="H231" s="17" t="s">
        <v>126</v>
      </c>
      <c r="I231" s="17" t="s">
        <v>126</v>
      </c>
      <c r="J231" s="17" t="s">
        <v>126</v>
      </c>
      <c r="K231" s="17" t="s">
        <v>126</v>
      </c>
      <c r="L231" s="17" t="s">
        <v>126</v>
      </c>
      <c r="M231" s="17" t="s">
        <v>126</v>
      </c>
      <c r="N231" s="17" t="s">
        <v>126</v>
      </c>
      <c r="O231" s="17" t="s">
        <v>126</v>
      </c>
      <c r="P231" s="17" t="s">
        <v>126</v>
      </c>
      <c r="Q231" s="16">
        <v>372</v>
      </c>
      <c r="R231" s="10" t="s">
        <v>271</v>
      </c>
      <c r="S231" s="17" t="s">
        <v>126</v>
      </c>
      <c r="T231" s="17" t="s">
        <v>126</v>
      </c>
      <c r="U231" s="17" t="s">
        <v>126</v>
      </c>
      <c r="V231" s="17" t="s">
        <v>126</v>
      </c>
      <c r="W231" s="17" t="s">
        <v>126</v>
      </c>
      <c r="X231" s="17" t="s">
        <v>126</v>
      </c>
      <c r="Y231" s="17" t="s">
        <v>126</v>
      </c>
      <c r="Z231" s="17" t="s">
        <v>126</v>
      </c>
      <c r="AA231" s="17" t="s">
        <v>126</v>
      </c>
      <c r="AB231" s="17" t="s">
        <v>126</v>
      </c>
      <c r="AC231" s="17" t="s">
        <v>126</v>
      </c>
      <c r="AD231" s="17" t="s">
        <v>126</v>
      </c>
      <c r="AE231" s="17" t="s">
        <v>126</v>
      </c>
      <c r="AF231" s="17" t="s">
        <v>126</v>
      </c>
      <c r="AG231" s="17" t="s">
        <v>126</v>
      </c>
      <c r="AH231" s="17" t="s">
        <v>126</v>
      </c>
      <c r="AI231" s="5" t="e">
        <f t="shared" si="19"/>
        <v>#VALUE!</v>
      </c>
      <c r="AJ231" s="5" t="e">
        <f t="shared" si="20"/>
        <v>#VALUE!</v>
      </c>
      <c r="AK231" s="5" t="e">
        <f t="shared" si="21"/>
        <v>#VALUE!</v>
      </c>
      <c r="AL231" s="5" t="e">
        <f t="shared" si="22"/>
        <v>#VALUE!</v>
      </c>
      <c r="AM231" s="5" t="e">
        <f t="shared" si="23"/>
        <v>#VALUE!</v>
      </c>
    </row>
    <row r="232" spans="1:39" ht="15" customHeight="1" thickBot="1" x14ac:dyDescent="0.35">
      <c r="A232">
        <f t="shared" si="18"/>
        <v>0</v>
      </c>
      <c r="B232" s="18">
        <v>373</v>
      </c>
      <c r="C232" s="11" t="s">
        <v>272</v>
      </c>
      <c r="D232" s="19" t="s">
        <v>126</v>
      </c>
      <c r="E232" s="19" t="s">
        <v>126</v>
      </c>
      <c r="F232" s="19" t="s">
        <v>126</v>
      </c>
      <c r="G232" s="19" t="s">
        <v>126</v>
      </c>
      <c r="H232" s="19" t="s">
        <v>126</v>
      </c>
      <c r="I232" s="19" t="s">
        <v>126</v>
      </c>
      <c r="J232" s="19" t="s">
        <v>126</v>
      </c>
      <c r="K232" s="19" t="s">
        <v>126</v>
      </c>
      <c r="L232" s="19" t="s">
        <v>126</v>
      </c>
      <c r="M232" s="19" t="s">
        <v>126</v>
      </c>
      <c r="N232" s="19" t="s">
        <v>126</v>
      </c>
      <c r="O232" s="19" t="s">
        <v>126</v>
      </c>
      <c r="P232" s="19" t="s">
        <v>126</v>
      </c>
      <c r="Q232" s="18">
        <v>373</v>
      </c>
      <c r="R232" s="11" t="s">
        <v>272</v>
      </c>
      <c r="S232" s="19" t="s">
        <v>126</v>
      </c>
      <c r="T232" s="19" t="s">
        <v>126</v>
      </c>
      <c r="U232" s="19" t="s">
        <v>126</v>
      </c>
      <c r="V232" s="19" t="s">
        <v>126</v>
      </c>
      <c r="W232" s="19" t="s">
        <v>126</v>
      </c>
      <c r="X232" s="19" t="s">
        <v>126</v>
      </c>
      <c r="Y232" s="19" t="s">
        <v>126</v>
      </c>
      <c r="Z232" s="19" t="s">
        <v>126</v>
      </c>
      <c r="AA232" s="19" t="s">
        <v>126</v>
      </c>
      <c r="AB232" s="19" t="s">
        <v>126</v>
      </c>
      <c r="AC232" s="19" t="s">
        <v>126</v>
      </c>
      <c r="AD232" s="19" t="s">
        <v>126</v>
      </c>
      <c r="AE232" s="19" t="s">
        <v>126</v>
      </c>
      <c r="AF232" s="19" t="s">
        <v>126</v>
      </c>
      <c r="AG232" s="19" t="s">
        <v>126</v>
      </c>
      <c r="AH232" s="19" t="s">
        <v>126</v>
      </c>
      <c r="AI232" s="5" t="e">
        <f t="shared" si="19"/>
        <v>#VALUE!</v>
      </c>
      <c r="AJ232" s="5" t="e">
        <f t="shared" si="20"/>
        <v>#VALUE!</v>
      </c>
      <c r="AK232" s="5" t="e">
        <f t="shared" si="21"/>
        <v>#VALUE!</v>
      </c>
      <c r="AL232" s="5" t="e">
        <f t="shared" si="22"/>
        <v>#VALUE!</v>
      </c>
      <c r="AM232" s="5" t="e">
        <f t="shared" si="23"/>
        <v>#VALUE!</v>
      </c>
    </row>
    <row r="233" spans="1:39" ht="15" customHeight="1" thickBot="1" x14ac:dyDescent="0.35">
      <c r="A233">
        <f t="shared" si="18"/>
        <v>0</v>
      </c>
      <c r="B233" s="16">
        <v>374</v>
      </c>
      <c r="C233" s="10" t="s">
        <v>273</v>
      </c>
      <c r="D233" s="17" t="s">
        <v>126</v>
      </c>
      <c r="E233" s="17" t="s">
        <v>126</v>
      </c>
      <c r="F233" s="17" t="s">
        <v>126</v>
      </c>
      <c r="G233" s="17" t="s">
        <v>126</v>
      </c>
      <c r="H233" s="17" t="s">
        <v>126</v>
      </c>
      <c r="I233" s="17" t="s">
        <v>126</v>
      </c>
      <c r="J233" s="17" t="s">
        <v>126</v>
      </c>
      <c r="K233" s="17" t="s">
        <v>126</v>
      </c>
      <c r="L233" s="17" t="s">
        <v>126</v>
      </c>
      <c r="M233" s="17" t="s">
        <v>126</v>
      </c>
      <c r="N233" s="17" t="s">
        <v>126</v>
      </c>
      <c r="O233" s="17" t="s">
        <v>126</v>
      </c>
      <c r="P233" s="17" t="s">
        <v>126</v>
      </c>
      <c r="Q233" s="16">
        <v>374</v>
      </c>
      <c r="R233" s="10" t="s">
        <v>273</v>
      </c>
      <c r="S233" s="17" t="s">
        <v>126</v>
      </c>
      <c r="T233" s="17" t="s">
        <v>126</v>
      </c>
      <c r="U233" s="17" t="s">
        <v>126</v>
      </c>
      <c r="V233" s="17" t="s">
        <v>126</v>
      </c>
      <c r="W233" s="17" t="s">
        <v>126</v>
      </c>
      <c r="X233" s="17" t="s">
        <v>126</v>
      </c>
      <c r="Y233" s="17" t="s">
        <v>126</v>
      </c>
      <c r="Z233" s="17" t="s">
        <v>126</v>
      </c>
      <c r="AA233" s="17" t="s">
        <v>126</v>
      </c>
      <c r="AB233" s="17" t="s">
        <v>126</v>
      </c>
      <c r="AC233" s="17" t="s">
        <v>126</v>
      </c>
      <c r="AD233" s="17" t="s">
        <v>126</v>
      </c>
      <c r="AE233" s="17" t="s">
        <v>126</v>
      </c>
      <c r="AF233" s="17" t="s">
        <v>126</v>
      </c>
      <c r="AG233" s="17" t="s">
        <v>126</v>
      </c>
      <c r="AH233" s="17" t="s">
        <v>126</v>
      </c>
      <c r="AI233" s="5" t="e">
        <f t="shared" si="19"/>
        <v>#VALUE!</v>
      </c>
      <c r="AJ233" s="5" t="e">
        <f t="shared" si="20"/>
        <v>#VALUE!</v>
      </c>
      <c r="AK233" s="5" t="e">
        <f t="shared" si="21"/>
        <v>#VALUE!</v>
      </c>
      <c r="AL233" s="5" t="e">
        <f t="shared" si="22"/>
        <v>#VALUE!</v>
      </c>
      <c r="AM233" s="5" t="e">
        <f t="shared" si="23"/>
        <v>#VALUE!</v>
      </c>
    </row>
    <row r="234" spans="1:39" ht="15" customHeight="1" thickBot="1" x14ac:dyDescent="0.35">
      <c r="A234">
        <f t="shared" si="18"/>
        <v>0</v>
      </c>
      <c r="B234" s="18">
        <v>375</v>
      </c>
      <c r="C234" s="11" t="s">
        <v>274</v>
      </c>
      <c r="D234" s="19" t="s">
        <v>126</v>
      </c>
      <c r="E234" s="19" t="s">
        <v>126</v>
      </c>
      <c r="F234" s="19" t="s">
        <v>126</v>
      </c>
      <c r="G234" s="19" t="s">
        <v>126</v>
      </c>
      <c r="H234" s="19" t="s">
        <v>126</v>
      </c>
      <c r="I234" s="19" t="s">
        <v>126</v>
      </c>
      <c r="J234" s="19" t="s">
        <v>126</v>
      </c>
      <c r="K234" s="19" t="s">
        <v>126</v>
      </c>
      <c r="L234" s="19" t="s">
        <v>126</v>
      </c>
      <c r="M234" s="19" t="s">
        <v>126</v>
      </c>
      <c r="N234" s="19" t="s">
        <v>126</v>
      </c>
      <c r="O234" s="19" t="s">
        <v>126</v>
      </c>
      <c r="P234" s="19" t="s">
        <v>126</v>
      </c>
      <c r="Q234" s="18">
        <v>375</v>
      </c>
      <c r="R234" s="11" t="s">
        <v>274</v>
      </c>
      <c r="S234" s="19" t="s">
        <v>126</v>
      </c>
      <c r="T234" s="19" t="s">
        <v>126</v>
      </c>
      <c r="U234" s="19" t="s">
        <v>126</v>
      </c>
      <c r="V234" s="19" t="s">
        <v>126</v>
      </c>
      <c r="W234" s="19" t="s">
        <v>126</v>
      </c>
      <c r="X234" s="19" t="s">
        <v>126</v>
      </c>
      <c r="Y234" s="19" t="s">
        <v>126</v>
      </c>
      <c r="Z234" s="19" t="s">
        <v>126</v>
      </c>
      <c r="AA234" s="19" t="s">
        <v>126</v>
      </c>
      <c r="AB234" s="19" t="s">
        <v>126</v>
      </c>
      <c r="AC234" s="19" t="s">
        <v>126</v>
      </c>
      <c r="AD234" s="19" t="s">
        <v>126</v>
      </c>
      <c r="AE234" s="19" t="s">
        <v>126</v>
      </c>
      <c r="AF234" s="19" t="s">
        <v>126</v>
      </c>
      <c r="AG234" s="19" t="s">
        <v>126</v>
      </c>
      <c r="AH234" s="19" t="s">
        <v>126</v>
      </c>
      <c r="AI234" s="5" t="e">
        <f t="shared" si="19"/>
        <v>#VALUE!</v>
      </c>
      <c r="AJ234" s="5" t="e">
        <f t="shared" si="20"/>
        <v>#VALUE!</v>
      </c>
      <c r="AK234" s="5" t="e">
        <f t="shared" si="21"/>
        <v>#VALUE!</v>
      </c>
      <c r="AL234" s="5" t="e">
        <f t="shared" si="22"/>
        <v>#VALUE!</v>
      </c>
      <c r="AM234" s="5" t="e">
        <f t="shared" si="23"/>
        <v>#VALUE!</v>
      </c>
    </row>
    <row r="235" spans="1:39" ht="15" customHeight="1" thickBot="1" x14ac:dyDescent="0.35">
      <c r="A235">
        <f t="shared" si="18"/>
        <v>0</v>
      </c>
      <c r="B235" s="16">
        <v>376</v>
      </c>
      <c r="C235" s="10" t="s">
        <v>275</v>
      </c>
      <c r="D235" s="17" t="s">
        <v>126</v>
      </c>
      <c r="E235" s="17" t="s">
        <v>126</v>
      </c>
      <c r="F235" s="17" t="s">
        <v>126</v>
      </c>
      <c r="G235" s="17" t="s">
        <v>126</v>
      </c>
      <c r="H235" s="17" t="s">
        <v>126</v>
      </c>
      <c r="I235" s="17" t="s">
        <v>126</v>
      </c>
      <c r="J235" s="17" t="s">
        <v>126</v>
      </c>
      <c r="K235" s="17" t="s">
        <v>126</v>
      </c>
      <c r="L235" s="17" t="s">
        <v>126</v>
      </c>
      <c r="M235" s="17" t="s">
        <v>126</v>
      </c>
      <c r="N235" s="17" t="s">
        <v>126</v>
      </c>
      <c r="O235" s="17" t="s">
        <v>126</v>
      </c>
      <c r="P235" s="17" t="s">
        <v>126</v>
      </c>
      <c r="Q235" s="16">
        <v>376</v>
      </c>
      <c r="R235" s="10" t="s">
        <v>275</v>
      </c>
      <c r="S235" s="17" t="s">
        <v>126</v>
      </c>
      <c r="T235" s="17" t="s">
        <v>126</v>
      </c>
      <c r="U235" s="17" t="s">
        <v>126</v>
      </c>
      <c r="V235" s="17" t="s">
        <v>126</v>
      </c>
      <c r="W235" s="17" t="s">
        <v>126</v>
      </c>
      <c r="X235" s="17" t="s">
        <v>126</v>
      </c>
      <c r="Y235" s="17" t="s">
        <v>126</v>
      </c>
      <c r="Z235" s="17" t="s">
        <v>126</v>
      </c>
      <c r="AA235" s="17" t="s">
        <v>126</v>
      </c>
      <c r="AB235" s="17" t="s">
        <v>126</v>
      </c>
      <c r="AC235" s="17" t="s">
        <v>126</v>
      </c>
      <c r="AD235" s="17" t="s">
        <v>126</v>
      </c>
      <c r="AE235" s="17" t="s">
        <v>126</v>
      </c>
      <c r="AF235" s="17" t="s">
        <v>126</v>
      </c>
      <c r="AG235" s="17" t="s">
        <v>126</v>
      </c>
      <c r="AH235" s="17" t="s">
        <v>126</v>
      </c>
      <c r="AI235" s="5" t="e">
        <f t="shared" si="19"/>
        <v>#VALUE!</v>
      </c>
      <c r="AJ235" s="5" t="e">
        <f t="shared" si="20"/>
        <v>#VALUE!</v>
      </c>
      <c r="AK235" s="5" t="e">
        <f t="shared" si="21"/>
        <v>#VALUE!</v>
      </c>
      <c r="AL235" s="5" t="e">
        <f t="shared" si="22"/>
        <v>#VALUE!</v>
      </c>
      <c r="AM235" s="5" t="e">
        <f t="shared" si="23"/>
        <v>#VALUE!</v>
      </c>
    </row>
    <row r="236" spans="1:39" ht="15" customHeight="1" thickBot="1" x14ac:dyDescent="0.35">
      <c r="A236">
        <f t="shared" si="18"/>
        <v>0</v>
      </c>
      <c r="B236" s="18">
        <v>377</v>
      </c>
      <c r="C236" s="11" t="s">
        <v>276</v>
      </c>
      <c r="D236" s="19" t="s">
        <v>126</v>
      </c>
      <c r="E236" s="19" t="s">
        <v>126</v>
      </c>
      <c r="F236" s="19" t="s">
        <v>126</v>
      </c>
      <c r="G236" s="19" t="s">
        <v>126</v>
      </c>
      <c r="H236" s="19" t="s">
        <v>126</v>
      </c>
      <c r="I236" s="19" t="s">
        <v>126</v>
      </c>
      <c r="J236" s="19" t="s">
        <v>126</v>
      </c>
      <c r="K236" s="19" t="s">
        <v>126</v>
      </c>
      <c r="L236" s="19" t="s">
        <v>126</v>
      </c>
      <c r="M236" s="19" t="s">
        <v>126</v>
      </c>
      <c r="N236" s="19" t="s">
        <v>126</v>
      </c>
      <c r="O236" s="19" t="s">
        <v>126</v>
      </c>
      <c r="P236" s="19" t="s">
        <v>126</v>
      </c>
      <c r="Q236" s="18">
        <v>377</v>
      </c>
      <c r="R236" s="11" t="s">
        <v>276</v>
      </c>
      <c r="S236" s="19" t="s">
        <v>126</v>
      </c>
      <c r="T236" s="19" t="s">
        <v>126</v>
      </c>
      <c r="U236" s="19" t="s">
        <v>126</v>
      </c>
      <c r="V236" s="19" t="s">
        <v>126</v>
      </c>
      <c r="W236" s="19" t="s">
        <v>126</v>
      </c>
      <c r="X236" s="19" t="s">
        <v>126</v>
      </c>
      <c r="Y236" s="19" t="s">
        <v>126</v>
      </c>
      <c r="Z236" s="19" t="s">
        <v>126</v>
      </c>
      <c r="AA236" s="19" t="s">
        <v>126</v>
      </c>
      <c r="AB236" s="19" t="s">
        <v>126</v>
      </c>
      <c r="AC236" s="19" t="s">
        <v>126</v>
      </c>
      <c r="AD236" s="19" t="s">
        <v>126</v>
      </c>
      <c r="AE236" s="19" t="s">
        <v>126</v>
      </c>
      <c r="AF236" s="19" t="s">
        <v>126</v>
      </c>
      <c r="AG236" s="19" t="s">
        <v>126</v>
      </c>
      <c r="AH236" s="19" t="s">
        <v>126</v>
      </c>
      <c r="AI236" s="5" t="e">
        <f t="shared" si="19"/>
        <v>#VALUE!</v>
      </c>
      <c r="AJ236" s="5" t="e">
        <f t="shared" si="20"/>
        <v>#VALUE!</v>
      </c>
      <c r="AK236" s="5" t="e">
        <f t="shared" si="21"/>
        <v>#VALUE!</v>
      </c>
      <c r="AL236" s="5" t="e">
        <f t="shared" si="22"/>
        <v>#VALUE!</v>
      </c>
      <c r="AM236" s="5" t="e">
        <f t="shared" si="23"/>
        <v>#VALUE!</v>
      </c>
    </row>
    <row r="237" spans="1:39" ht="15" customHeight="1" thickBot="1" x14ac:dyDescent="0.35">
      <c r="A237">
        <f t="shared" si="18"/>
        <v>0</v>
      </c>
      <c r="B237" s="16">
        <v>378</v>
      </c>
      <c r="C237" s="10" t="s">
        <v>277</v>
      </c>
      <c r="D237" s="17" t="s">
        <v>126</v>
      </c>
      <c r="E237" s="17" t="s">
        <v>126</v>
      </c>
      <c r="F237" s="17" t="s">
        <v>126</v>
      </c>
      <c r="G237" s="17" t="s">
        <v>126</v>
      </c>
      <c r="H237" s="17" t="s">
        <v>126</v>
      </c>
      <c r="I237" s="17" t="s">
        <v>126</v>
      </c>
      <c r="J237" s="17" t="s">
        <v>126</v>
      </c>
      <c r="K237" s="17" t="s">
        <v>126</v>
      </c>
      <c r="L237" s="17" t="s">
        <v>126</v>
      </c>
      <c r="M237" s="17" t="s">
        <v>126</v>
      </c>
      <c r="N237" s="17" t="s">
        <v>126</v>
      </c>
      <c r="O237" s="17" t="s">
        <v>126</v>
      </c>
      <c r="P237" s="17" t="s">
        <v>126</v>
      </c>
      <c r="Q237" s="16">
        <v>378</v>
      </c>
      <c r="R237" s="10" t="s">
        <v>277</v>
      </c>
      <c r="S237" s="17" t="s">
        <v>126</v>
      </c>
      <c r="T237" s="17" t="s">
        <v>126</v>
      </c>
      <c r="U237" s="17" t="s">
        <v>126</v>
      </c>
      <c r="V237" s="17" t="s">
        <v>126</v>
      </c>
      <c r="W237" s="17" t="s">
        <v>126</v>
      </c>
      <c r="X237" s="17" t="s">
        <v>126</v>
      </c>
      <c r="Y237" s="17" t="s">
        <v>126</v>
      </c>
      <c r="Z237" s="17" t="s">
        <v>126</v>
      </c>
      <c r="AA237" s="17" t="s">
        <v>126</v>
      </c>
      <c r="AB237" s="17" t="s">
        <v>126</v>
      </c>
      <c r="AC237" s="17" t="s">
        <v>126</v>
      </c>
      <c r="AD237" s="17" t="s">
        <v>126</v>
      </c>
      <c r="AE237" s="17" t="s">
        <v>126</v>
      </c>
      <c r="AF237" s="17" t="s">
        <v>126</v>
      </c>
      <c r="AG237" s="17" t="s">
        <v>126</v>
      </c>
      <c r="AH237" s="17" t="s">
        <v>126</v>
      </c>
      <c r="AI237" s="5" t="e">
        <f t="shared" si="19"/>
        <v>#VALUE!</v>
      </c>
      <c r="AJ237" s="5" t="e">
        <f t="shared" si="20"/>
        <v>#VALUE!</v>
      </c>
      <c r="AK237" s="5" t="e">
        <f t="shared" si="21"/>
        <v>#VALUE!</v>
      </c>
      <c r="AL237" s="5" t="e">
        <f t="shared" si="22"/>
        <v>#VALUE!</v>
      </c>
      <c r="AM237" s="5" t="e">
        <f t="shared" si="23"/>
        <v>#VALUE!</v>
      </c>
    </row>
    <row r="238" spans="1:39" ht="15" customHeight="1" thickBot="1" x14ac:dyDescent="0.35">
      <c r="A238">
        <f t="shared" si="18"/>
        <v>0</v>
      </c>
      <c r="B238" s="18">
        <v>379</v>
      </c>
      <c r="C238" s="11" t="s">
        <v>278</v>
      </c>
      <c r="D238" s="19" t="s">
        <v>126</v>
      </c>
      <c r="E238" s="19" t="s">
        <v>126</v>
      </c>
      <c r="F238" s="19" t="s">
        <v>126</v>
      </c>
      <c r="G238" s="19" t="s">
        <v>126</v>
      </c>
      <c r="H238" s="19" t="s">
        <v>126</v>
      </c>
      <c r="I238" s="19" t="s">
        <v>126</v>
      </c>
      <c r="J238" s="19" t="s">
        <v>126</v>
      </c>
      <c r="K238" s="19" t="s">
        <v>126</v>
      </c>
      <c r="L238" s="19" t="s">
        <v>126</v>
      </c>
      <c r="M238" s="19" t="s">
        <v>126</v>
      </c>
      <c r="N238" s="19" t="s">
        <v>126</v>
      </c>
      <c r="O238" s="19" t="s">
        <v>126</v>
      </c>
      <c r="P238" s="19" t="s">
        <v>126</v>
      </c>
      <c r="Q238" s="18">
        <v>379</v>
      </c>
      <c r="R238" s="11" t="s">
        <v>278</v>
      </c>
      <c r="S238" s="19" t="s">
        <v>126</v>
      </c>
      <c r="T238" s="19" t="s">
        <v>126</v>
      </c>
      <c r="U238" s="19" t="s">
        <v>126</v>
      </c>
      <c r="V238" s="19" t="s">
        <v>126</v>
      </c>
      <c r="W238" s="19" t="s">
        <v>126</v>
      </c>
      <c r="X238" s="19" t="s">
        <v>126</v>
      </c>
      <c r="Y238" s="19" t="s">
        <v>126</v>
      </c>
      <c r="Z238" s="19" t="s">
        <v>126</v>
      </c>
      <c r="AA238" s="19" t="s">
        <v>126</v>
      </c>
      <c r="AB238" s="19" t="s">
        <v>126</v>
      </c>
      <c r="AC238" s="19" t="s">
        <v>126</v>
      </c>
      <c r="AD238" s="19" t="s">
        <v>126</v>
      </c>
      <c r="AE238" s="19" t="s">
        <v>126</v>
      </c>
      <c r="AF238" s="19" t="s">
        <v>126</v>
      </c>
      <c r="AG238" s="19" t="s">
        <v>126</v>
      </c>
      <c r="AH238" s="19" t="s">
        <v>126</v>
      </c>
      <c r="AI238" s="5" t="e">
        <f t="shared" si="19"/>
        <v>#VALUE!</v>
      </c>
      <c r="AJ238" s="5" t="e">
        <f t="shared" si="20"/>
        <v>#VALUE!</v>
      </c>
      <c r="AK238" s="5" t="e">
        <f t="shared" si="21"/>
        <v>#VALUE!</v>
      </c>
      <c r="AL238" s="5" t="e">
        <f t="shared" si="22"/>
        <v>#VALUE!</v>
      </c>
      <c r="AM238" s="5" t="e">
        <f t="shared" si="23"/>
        <v>#VALUE!</v>
      </c>
    </row>
    <row r="239" spans="1:39" ht="15" customHeight="1" thickBot="1" x14ac:dyDescent="0.35">
      <c r="A239">
        <f t="shared" si="18"/>
        <v>0</v>
      </c>
      <c r="B239" s="16">
        <v>380</v>
      </c>
      <c r="C239" s="10" t="s">
        <v>279</v>
      </c>
      <c r="D239" s="17" t="s">
        <v>126</v>
      </c>
      <c r="E239" s="17" t="s">
        <v>126</v>
      </c>
      <c r="F239" s="17" t="s">
        <v>126</v>
      </c>
      <c r="G239" s="17" t="s">
        <v>126</v>
      </c>
      <c r="H239" s="17" t="s">
        <v>126</v>
      </c>
      <c r="I239" s="17" t="s">
        <v>126</v>
      </c>
      <c r="J239" s="17" t="s">
        <v>126</v>
      </c>
      <c r="K239" s="17" t="s">
        <v>126</v>
      </c>
      <c r="L239" s="17" t="s">
        <v>126</v>
      </c>
      <c r="M239" s="17" t="s">
        <v>126</v>
      </c>
      <c r="N239" s="17" t="s">
        <v>126</v>
      </c>
      <c r="O239" s="17" t="s">
        <v>126</v>
      </c>
      <c r="P239" s="17" t="s">
        <v>126</v>
      </c>
      <c r="Q239" s="16">
        <v>380</v>
      </c>
      <c r="R239" s="10" t="s">
        <v>279</v>
      </c>
      <c r="S239" s="17" t="s">
        <v>126</v>
      </c>
      <c r="T239" s="17" t="s">
        <v>126</v>
      </c>
      <c r="U239" s="17" t="s">
        <v>126</v>
      </c>
      <c r="V239" s="17" t="s">
        <v>126</v>
      </c>
      <c r="W239" s="17" t="s">
        <v>126</v>
      </c>
      <c r="X239" s="17" t="s">
        <v>126</v>
      </c>
      <c r="Y239" s="17" t="s">
        <v>126</v>
      </c>
      <c r="Z239" s="17" t="s">
        <v>126</v>
      </c>
      <c r="AA239" s="17" t="s">
        <v>126</v>
      </c>
      <c r="AB239" s="17" t="s">
        <v>126</v>
      </c>
      <c r="AC239" s="17" t="s">
        <v>126</v>
      </c>
      <c r="AD239" s="17" t="s">
        <v>126</v>
      </c>
      <c r="AE239" s="17" t="s">
        <v>126</v>
      </c>
      <c r="AF239" s="17" t="s">
        <v>126</v>
      </c>
      <c r="AG239" s="17" t="s">
        <v>126</v>
      </c>
      <c r="AH239" s="17" t="s">
        <v>126</v>
      </c>
      <c r="AI239" s="5" t="e">
        <f t="shared" si="19"/>
        <v>#VALUE!</v>
      </c>
      <c r="AJ239" s="5" t="e">
        <f t="shared" si="20"/>
        <v>#VALUE!</v>
      </c>
      <c r="AK239" s="5" t="e">
        <f t="shared" si="21"/>
        <v>#VALUE!</v>
      </c>
      <c r="AL239" s="5" t="e">
        <f t="shared" si="22"/>
        <v>#VALUE!</v>
      </c>
      <c r="AM239" s="5" t="e">
        <f t="shared" si="23"/>
        <v>#VALUE!</v>
      </c>
    </row>
    <row r="240" spans="1:39" ht="15" customHeight="1" thickBot="1" x14ac:dyDescent="0.35">
      <c r="A240">
        <f t="shared" si="18"/>
        <v>0</v>
      </c>
      <c r="B240" s="18">
        <v>381</v>
      </c>
      <c r="C240" s="11" t="s">
        <v>280</v>
      </c>
      <c r="D240" s="19" t="s">
        <v>126</v>
      </c>
      <c r="E240" s="19" t="s">
        <v>126</v>
      </c>
      <c r="F240" s="19" t="s">
        <v>126</v>
      </c>
      <c r="G240" s="19" t="s">
        <v>126</v>
      </c>
      <c r="H240" s="19" t="s">
        <v>126</v>
      </c>
      <c r="I240" s="19" t="s">
        <v>126</v>
      </c>
      <c r="J240" s="19" t="s">
        <v>126</v>
      </c>
      <c r="K240" s="19" t="s">
        <v>126</v>
      </c>
      <c r="L240" s="19" t="s">
        <v>126</v>
      </c>
      <c r="M240" s="19" t="s">
        <v>126</v>
      </c>
      <c r="N240" s="19" t="s">
        <v>126</v>
      </c>
      <c r="O240" s="19" t="s">
        <v>126</v>
      </c>
      <c r="P240" s="19" t="s">
        <v>126</v>
      </c>
      <c r="Q240" s="18">
        <v>381</v>
      </c>
      <c r="R240" s="11" t="s">
        <v>280</v>
      </c>
      <c r="S240" s="19" t="s">
        <v>126</v>
      </c>
      <c r="T240" s="19" t="s">
        <v>126</v>
      </c>
      <c r="U240" s="19" t="s">
        <v>126</v>
      </c>
      <c r="V240" s="19" t="s">
        <v>126</v>
      </c>
      <c r="W240" s="19" t="s">
        <v>126</v>
      </c>
      <c r="X240" s="19" t="s">
        <v>126</v>
      </c>
      <c r="Y240" s="19" t="s">
        <v>126</v>
      </c>
      <c r="Z240" s="19" t="s">
        <v>126</v>
      </c>
      <c r="AA240" s="19" t="s">
        <v>126</v>
      </c>
      <c r="AB240" s="19" t="s">
        <v>126</v>
      </c>
      <c r="AC240" s="19" t="s">
        <v>126</v>
      </c>
      <c r="AD240" s="19" t="s">
        <v>126</v>
      </c>
      <c r="AE240" s="19" t="s">
        <v>126</v>
      </c>
      <c r="AF240" s="19" t="s">
        <v>126</v>
      </c>
      <c r="AG240" s="19" t="s">
        <v>126</v>
      </c>
      <c r="AH240" s="19" t="s">
        <v>126</v>
      </c>
      <c r="AI240" s="5" t="e">
        <f t="shared" si="19"/>
        <v>#VALUE!</v>
      </c>
      <c r="AJ240" s="5" t="e">
        <f t="shared" si="20"/>
        <v>#VALUE!</v>
      </c>
      <c r="AK240" s="5" t="e">
        <f t="shared" si="21"/>
        <v>#VALUE!</v>
      </c>
      <c r="AL240" s="5" t="e">
        <f t="shared" si="22"/>
        <v>#VALUE!</v>
      </c>
      <c r="AM240" s="5" t="e">
        <f t="shared" si="23"/>
        <v>#VALUE!</v>
      </c>
    </row>
    <row r="241" spans="1:39" ht="15" customHeight="1" thickBot="1" x14ac:dyDescent="0.35">
      <c r="A241">
        <f t="shared" si="18"/>
        <v>0</v>
      </c>
      <c r="B241" s="16">
        <v>382</v>
      </c>
      <c r="C241" s="10" t="s">
        <v>281</v>
      </c>
      <c r="D241" s="17" t="s">
        <v>126</v>
      </c>
      <c r="E241" s="17" t="s">
        <v>126</v>
      </c>
      <c r="F241" s="17" t="s">
        <v>126</v>
      </c>
      <c r="G241" s="17" t="s">
        <v>126</v>
      </c>
      <c r="H241" s="17" t="s">
        <v>126</v>
      </c>
      <c r="I241" s="17" t="s">
        <v>126</v>
      </c>
      <c r="J241" s="17" t="s">
        <v>126</v>
      </c>
      <c r="K241" s="17" t="s">
        <v>126</v>
      </c>
      <c r="L241" s="17" t="s">
        <v>126</v>
      </c>
      <c r="M241" s="17" t="s">
        <v>126</v>
      </c>
      <c r="N241" s="17" t="s">
        <v>126</v>
      </c>
      <c r="O241" s="17" t="s">
        <v>126</v>
      </c>
      <c r="P241" s="17" t="s">
        <v>126</v>
      </c>
      <c r="Q241" s="16">
        <v>382</v>
      </c>
      <c r="R241" s="10" t="s">
        <v>281</v>
      </c>
      <c r="S241" s="17" t="s">
        <v>126</v>
      </c>
      <c r="T241" s="17" t="s">
        <v>126</v>
      </c>
      <c r="U241" s="17" t="s">
        <v>126</v>
      </c>
      <c r="V241" s="17" t="s">
        <v>126</v>
      </c>
      <c r="W241" s="17" t="s">
        <v>126</v>
      </c>
      <c r="X241" s="17" t="s">
        <v>126</v>
      </c>
      <c r="Y241" s="17" t="s">
        <v>126</v>
      </c>
      <c r="Z241" s="17" t="s">
        <v>126</v>
      </c>
      <c r="AA241" s="17" t="s">
        <v>126</v>
      </c>
      <c r="AB241" s="17" t="s">
        <v>126</v>
      </c>
      <c r="AC241" s="17" t="s">
        <v>126</v>
      </c>
      <c r="AD241" s="17" t="s">
        <v>126</v>
      </c>
      <c r="AE241" s="17" t="s">
        <v>126</v>
      </c>
      <c r="AF241" s="17" t="s">
        <v>126</v>
      </c>
      <c r="AG241" s="17" t="s">
        <v>126</v>
      </c>
      <c r="AH241" s="17" t="s">
        <v>126</v>
      </c>
      <c r="AI241" s="5" t="e">
        <f t="shared" si="19"/>
        <v>#VALUE!</v>
      </c>
      <c r="AJ241" s="5" t="e">
        <f t="shared" si="20"/>
        <v>#VALUE!</v>
      </c>
      <c r="AK241" s="5" t="e">
        <f t="shared" si="21"/>
        <v>#VALUE!</v>
      </c>
      <c r="AL241" s="5" t="e">
        <f t="shared" si="22"/>
        <v>#VALUE!</v>
      </c>
      <c r="AM241" s="5" t="e">
        <f t="shared" si="23"/>
        <v>#VALUE!</v>
      </c>
    </row>
    <row r="242" spans="1:39" ht="15" customHeight="1" thickBot="1" x14ac:dyDescent="0.35">
      <c r="A242">
        <f t="shared" si="18"/>
        <v>0</v>
      </c>
      <c r="B242" s="18">
        <v>383</v>
      </c>
      <c r="C242" s="11" t="s">
        <v>282</v>
      </c>
      <c r="D242" s="19" t="s">
        <v>126</v>
      </c>
      <c r="E242" s="19" t="s">
        <v>126</v>
      </c>
      <c r="F242" s="19" t="s">
        <v>126</v>
      </c>
      <c r="G242" s="19" t="s">
        <v>126</v>
      </c>
      <c r="H242" s="19" t="s">
        <v>126</v>
      </c>
      <c r="I242" s="19" t="s">
        <v>126</v>
      </c>
      <c r="J242" s="19" t="s">
        <v>126</v>
      </c>
      <c r="K242" s="19" t="s">
        <v>126</v>
      </c>
      <c r="L242" s="19" t="s">
        <v>126</v>
      </c>
      <c r="M242" s="19" t="s">
        <v>126</v>
      </c>
      <c r="N242" s="19" t="s">
        <v>126</v>
      </c>
      <c r="O242" s="19" t="s">
        <v>126</v>
      </c>
      <c r="P242" s="19" t="s">
        <v>126</v>
      </c>
      <c r="Q242" s="18">
        <v>383</v>
      </c>
      <c r="R242" s="11" t="s">
        <v>282</v>
      </c>
      <c r="S242" s="19" t="s">
        <v>126</v>
      </c>
      <c r="T242" s="19" t="s">
        <v>126</v>
      </c>
      <c r="U242" s="19" t="s">
        <v>126</v>
      </c>
      <c r="V242" s="19" t="s">
        <v>126</v>
      </c>
      <c r="W242" s="19" t="s">
        <v>126</v>
      </c>
      <c r="X242" s="19" t="s">
        <v>126</v>
      </c>
      <c r="Y242" s="19" t="s">
        <v>126</v>
      </c>
      <c r="Z242" s="19" t="s">
        <v>126</v>
      </c>
      <c r="AA242" s="19" t="s">
        <v>126</v>
      </c>
      <c r="AB242" s="19" t="s">
        <v>126</v>
      </c>
      <c r="AC242" s="19" t="s">
        <v>126</v>
      </c>
      <c r="AD242" s="19" t="s">
        <v>126</v>
      </c>
      <c r="AE242" s="19" t="s">
        <v>126</v>
      </c>
      <c r="AF242" s="19" t="s">
        <v>126</v>
      </c>
      <c r="AG242" s="19" t="s">
        <v>126</v>
      </c>
      <c r="AH242" s="19" t="s">
        <v>126</v>
      </c>
      <c r="AI242" s="5" t="e">
        <f t="shared" si="19"/>
        <v>#VALUE!</v>
      </c>
      <c r="AJ242" s="5" t="e">
        <f t="shared" si="20"/>
        <v>#VALUE!</v>
      </c>
      <c r="AK242" s="5" t="e">
        <f t="shared" si="21"/>
        <v>#VALUE!</v>
      </c>
      <c r="AL242" s="5" t="e">
        <f t="shared" si="22"/>
        <v>#VALUE!</v>
      </c>
      <c r="AM242" s="5" t="e">
        <f t="shared" si="23"/>
        <v>#VALUE!</v>
      </c>
    </row>
    <row r="243" spans="1:39" ht="15" customHeight="1" thickBot="1" x14ac:dyDescent="0.35">
      <c r="A243">
        <f t="shared" si="18"/>
        <v>0</v>
      </c>
      <c r="B243" s="16">
        <v>384</v>
      </c>
      <c r="C243" s="10" t="s">
        <v>283</v>
      </c>
      <c r="D243" s="17" t="s">
        <v>126</v>
      </c>
      <c r="E243" s="17" t="s">
        <v>126</v>
      </c>
      <c r="F243" s="17" t="s">
        <v>126</v>
      </c>
      <c r="G243" s="17" t="s">
        <v>126</v>
      </c>
      <c r="H243" s="17" t="s">
        <v>126</v>
      </c>
      <c r="I243" s="17" t="s">
        <v>126</v>
      </c>
      <c r="J243" s="17" t="s">
        <v>126</v>
      </c>
      <c r="K243" s="17" t="s">
        <v>126</v>
      </c>
      <c r="L243" s="17" t="s">
        <v>126</v>
      </c>
      <c r="M243" s="17" t="s">
        <v>126</v>
      </c>
      <c r="N243" s="17" t="s">
        <v>126</v>
      </c>
      <c r="O243" s="17" t="s">
        <v>126</v>
      </c>
      <c r="P243" s="17" t="s">
        <v>126</v>
      </c>
      <c r="Q243" s="16">
        <v>384</v>
      </c>
      <c r="R243" s="10" t="s">
        <v>283</v>
      </c>
      <c r="S243" s="17" t="s">
        <v>126</v>
      </c>
      <c r="T243" s="17" t="s">
        <v>126</v>
      </c>
      <c r="U243" s="17" t="s">
        <v>126</v>
      </c>
      <c r="V243" s="17" t="s">
        <v>126</v>
      </c>
      <c r="W243" s="17" t="s">
        <v>126</v>
      </c>
      <c r="X243" s="17" t="s">
        <v>126</v>
      </c>
      <c r="Y243" s="17" t="s">
        <v>126</v>
      </c>
      <c r="Z243" s="17" t="s">
        <v>126</v>
      </c>
      <c r="AA243" s="17" t="s">
        <v>126</v>
      </c>
      <c r="AB243" s="17" t="s">
        <v>126</v>
      </c>
      <c r="AC243" s="17" t="s">
        <v>126</v>
      </c>
      <c r="AD243" s="17" t="s">
        <v>126</v>
      </c>
      <c r="AE243" s="17" t="s">
        <v>126</v>
      </c>
      <c r="AF243" s="17" t="s">
        <v>126</v>
      </c>
      <c r="AG243" s="17" t="s">
        <v>126</v>
      </c>
      <c r="AH243" s="17" t="s">
        <v>126</v>
      </c>
      <c r="AI243" s="5" t="e">
        <f t="shared" si="19"/>
        <v>#VALUE!</v>
      </c>
      <c r="AJ243" s="5" t="e">
        <f t="shared" si="20"/>
        <v>#VALUE!</v>
      </c>
      <c r="AK243" s="5" t="e">
        <f t="shared" si="21"/>
        <v>#VALUE!</v>
      </c>
      <c r="AL243" s="5" t="e">
        <f t="shared" si="22"/>
        <v>#VALUE!</v>
      </c>
      <c r="AM243" s="5" t="e">
        <f t="shared" si="23"/>
        <v>#VALUE!</v>
      </c>
    </row>
    <row r="244" spans="1:39" ht="15" customHeight="1" thickBot="1" x14ac:dyDescent="0.35">
      <c r="A244">
        <f t="shared" si="18"/>
        <v>0</v>
      </c>
      <c r="B244" s="18">
        <v>385</v>
      </c>
      <c r="C244" s="11" t="s">
        <v>284</v>
      </c>
      <c r="D244" s="19" t="s">
        <v>126</v>
      </c>
      <c r="E244" s="19" t="s">
        <v>126</v>
      </c>
      <c r="F244" s="19" t="s">
        <v>126</v>
      </c>
      <c r="G244" s="19" t="s">
        <v>126</v>
      </c>
      <c r="H244" s="19" t="s">
        <v>126</v>
      </c>
      <c r="I244" s="19" t="s">
        <v>126</v>
      </c>
      <c r="J244" s="19" t="s">
        <v>126</v>
      </c>
      <c r="K244" s="19" t="s">
        <v>126</v>
      </c>
      <c r="L244" s="19" t="s">
        <v>126</v>
      </c>
      <c r="M244" s="19" t="s">
        <v>126</v>
      </c>
      <c r="N244" s="19" t="s">
        <v>126</v>
      </c>
      <c r="O244" s="19" t="s">
        <v>126</v>
      </c>
      <c r="P244" s="19" t="s">
        <v>126</v>
      </c>
      <c r="Q244" s="18">
        <v>385</v>
      </c>
      <c r="R244" s="11" t="s">
        <v>284</v>
      </c>
      <c r="S244" s="19" t="s">
        <v>126</v>
      </c>
      <c r="T244" s="19" t="s">
        <v>126</v>
      </c>
      <c r="U244" s="19" t="s">
        <v>126</v>
      </c>
      <c r="V244" s="19" t="s">
        <v>126</v>
      </c>
      <c r="W244" s="19" t="s">
        <v>126</v>
      </c>
      <c r="X244" s="19" t="s">
        <v>126</v>
      </c>
      <c r="Y244" s="19" t="s">
        <v>126</v>
      </c>
      <c r="Z244" s="19" t="s">
        <v>126</v>
      </c>
      <c r="AA244" s="19" t="s">
        <v>126</v>
      </c>
      <c r="AB244" s="19" t="s">
        <v>126</v>
      </c>
      <c r="AC244" s="19" t="s">
        <v>126</v>
      </c>
      <c r="AD244" s="19" t="s">
        <v>126</v>
      </c>
      <c r="AE244" s="19" t="s">
        <v>126</v>
      </c>
      <c r="AF244" s="19" t="s">
        <v>126</v>
      </c>
      <c r="AG244" s="19" t="s">
        <v>126</v>
      </c>
      <c r="AH244" s="19" t="s">
        <v>126</v>
      </c>
      <c r="AI244" s="5" t="e">
        <f t="shared" si="19"/>
        <v>#VALUE!</v>
      </c>
      <c r="AJ244" s="5" t="e">
        <f t="shared" si="20"/>
        <v>#VALUE!</v>
      </c>
      <c r="AK244" s="5" t="e">
        <f t="shared" si="21"/>
        <v>#VALUE!</v>
      </c>
      <c r="AL244" s="5" t="e">
        <f t="shared" si="22"/>
        <v>#VALUE!</v>
      </c>
      <c r="AM244" s="5" t="e">
        <f t="shared" si="23"/>
        <v>#VALUE!</v>
      </c>
    </row>
    <row r="245" spans="1:39" ht="15" customHeight="1" thickBot="1" x14ac:dyDescent="0.35">
      <c r="A245">
        <f t="shared" si="18"/>
        <v>0</v>
      </c>
      <c r="B245" s="16">
        <v>386</v>
      </c>
      <c r="C245" s="10" t="s">
        <v>285</v>
      </c>
      <c r="D245" s="17" t="s">
        <v>126</v>
      </c>
      <c r="E245" s="17" t="s">
        <v>126</v>
      </c>
      <c r="F245" s="17" t="s">
        <v>126</v>
      </c>
      <c r="G245" s="17" t="s">
        <v>126</v>
      </c>
      <c r="H245" s="17" t="s">
        <v>126</v>
      </c>
      <c r="I245" s="17" t="s">
        <v>126</v>
      </c>
      <c r="J245" s="17" t="s">
        <v>126</v>
      </c>
      <c r="K245" s="17" t="s">
        <v>126</v>
      </c>
      <c r="L245" s="17" t="s">
        <v>126</v>
      </c>
      <c r="M245" s="17" t="s">
        <v>126</v>
      </c>
      <c r="N245" s="17" t="s">
        <v>126</v>
      </c>
      <c r="O245" s="17" t="s">
        <v>126</v>
      </c>
      <c r="P245" s="17" t="s">
        <v>126</v>
      </c>
      <c r="Q245" s="16">
        <v>386</v>
      </c>
      <c r="R245" s="10" t="s">
        <v>285</v>
      </c>
      <c r="S245" s="17" t="s">
        <v>126</v>
      </c>
      <c r="T245" s="17" t="s">
        <v>126</v>
      </c>
      <c r="U245" s="17" t="s">
        <v>126</v>
      </c>
      <c r="V245" s="17" t="s">
        <v>126</v>
      </c>
      <c r="W245" s="17" t="s">
        <v>126</v>
      </c>
      <c r="X245" s="17" t="s">
        <v>126</v>
      </c>
      <c r="Y245" s="17" t="s">
        <v>126</v>
      </c>
      <c r="Z245" s="17" t="s">
        <v>126</v>
      </c>
      <c r="AA245" s="17" t="s">
        <v>126</v>
      </c>
      <c r="AB245" s="17" t="s">
        <v>126</v>
      </c>
      <c r="AC245" s="17" t="s">
        <v>126</v>
      </c>
      <c r="AD245" s="17" t="s">
        <v>126</v>
      </c>
      <c r="AE245" s="17" t="s">
        <v>126</v>
      </c>
      <c r="AF245" s="17" t="s">
        <v>126</v>
      </c>
      <c r="AG245" s="17" t="s">
        <v>126</v>
      </c>
      <c r="AH245" s="17" t="s">
        <v>126</v>
      </c>
      <c r="AI245" s="5" t="e">
        <f t="shared" si="19"/>
        <v>#VALUE!</v>
      </c>
      <c r="AJ245" s="5" t="e">
        <f t="shared" si="20"/>
        <v>#VALUE!</v>
      </c>
      <c r="AK245" s="5" t="e">
        <f t="shared" si="21"/>
        <v>#VALUE!</v>
      </c>
      <c r="AL245" s="5" t="e">
        <f t="shared" si="22"/>
        <v>#VALUE!</v>
      </c>
      <c r="AM245" s="5" t="e">
        <f t="shared" si="23"/>
        <v>#VALUE!</v>
      </c>
    </row>
    <row r="246" spans="1:39" ht="15" customHeight="1" thickBot="1" x14ac:dyDescent="0.35">
      <c r="A246">
        <f t="shared" si="18"/>
        <v>0</v>
      </c>
      <c r="B246" s="18">
        <v>387</v>
      </c>
      <c r="C246" s="11" t="s">
        <v>286</v>
      </c>
      <c r="D246" s="19" t="s">
        <v>126</v>
      </c>
      <c r="E246" s="19" t="s">
        <v>126</v>
      </c>
      <c r="F246" s="19" t="s">
        <v>126</v>
      </c>
      <c r="G246" s="19" t="s">
        <v>126</v>
      </c>
      <c r="H246" s="19" t="s">
        <v>126</v>
      </c>
      <c r="I246" s="19" t="s">
        <v>126</v>
      </c>
      <c r="J246" s="19" t="s">
        <v>126</v>
      </c>
      <c r="K246" s="19" t="s">
        <v>126</v>
      </c>
      <c r="L246" s="19" t="s">
        <v>126</v>
      </c>
      <c r="M246" s="19" t="s">
        <v>126</v>
      </c>
      <c r="N246" s="19" t="s">
        <v>126</v>
      </c>
      <c r="O246" s="19" t="s">
        <v>126</v>
      </c>
      <c r="P246" s="19" t="s">
        <v>126</v>
      </c>
      <c r="Q246" s="18">
        <v>387</v>
      </c>
      <c r="R246" s="11" t="s">
        <v>286</v>
      </c>
      <c r="S246" s="19" t="s">
        <v>126</v>
      </c>
      <c r="T246" s="19" t="s">
        <v>126</v>
      </c>
      <c r="U246" s="19" t="s">
        <v>126</v>
      </c>
      <c r="V246" s="19" t="s">
        <v>126</v>
      </c>
      <c r="W246" s="19" t="s">
        <v>126</v>
      </c>
      <c r="X246" s="19" t="s">
        <v>126</v>
      </c>
      <c r="Y246" s="19" t="s">
        <v>126</v>
      </c>
      <c r="Z246" s="19" t="s">
        <v>126</v>
      </c>
      <c r="AA246" s="19" t="s">
        <v>126</v>
      </c>
      <c r="AB246" s="19" t="s">
        <v>126</v>
      </c>
      <c r="AC246" s="19" t="s">
        <v>126</v>
      </c>
      <c r="AD246" s="19" t="s">
        <v>126</v>
      </c>
      <c r="AE246" s="19" t="s">
        <v>126</v>
      </c>
      <c r="AF246" s="19" t="s">
        <v>126</v>
      </c>
      <c r="AG246" s="19" t="s">
        <v>126</v>
      </c>
      <c r="AH246" s="19" t="s">
        <v>126</v>
      </c>
      <c r="AI246" s="5" t="e">
        <f t="shared" si="19"/>
        <v>#VALUE!</v>
      </c>
      <c r="AJ246" s="5" t="e">
        <f t="shared" si="20"/>
        <v>#VALUE!</v>
      </c>
      <c r="AK246" s="5" t="e">
        <f t="shared" si="21"/>
        <v>#VALUE!</v>
      </c>
      <c r="AL246" s="5" t="e">
        <f t="shared" si="22"/>
        <v>#VALUE!</v>
      </c>
      <c r="AM246" s="5" t="e">
        <f t="shared" si="23"/>
        <v>#VALUE!</v>
      </c>
    </row>
    <row r="247" spans="1:39" ht="15" customHeight="1" thickBot="1" x14ac:dyDescent="0.35">
      <c r="A247">
        <f t="shared" si="18"/>
        <v>0</v>
      </c>
      <c r="B247" s="16">
        <v>388</v>
      </c>
      <c r="C247" s="10" t="s">
        <v>287</v>
      </c>
      <c r="D247" s="17" t="s">
        <v>126</v>
      </c>
      <c r="E247" s="17" t="s">
        <v>126</v>
      </c>
      <c r="F247" s="17" t="s">
        <v>126</v>
      </c>
      <c r="G247" s="17" t="s">
        <v>126</v>
      </c>
      <c r="H247" s="17" t="s">
        <v>126</v>
      </c>
      <c r="I247" s="17" t="s">
        <v>126</v>
      </c>
      <c r="J247" s="17" t="s">
        <v>126</v>
      </c>
      <c r="K247" s="17" t="s">
        <v>126</v>
      </c>
      <c r="L247" s="17" t="s">
        <v>126</v>
      </c>
      <c r="M247" s="17" t="s">
        <v>126</v>
      </c>
      <c r="N247" s="17" t="s">
        <v>126</v>
      </c>
      <c r="O247" s="17" t="s">
        <v>126</v>
      </c>
      <c r="P247" s="17" t="s">
        <v>126</v>
      </c>
      <c r="Q247" s="16">
        <v>388</v>
      </c>
      <c r="R247" s="10" t="s">
        <v>287</v>
      </c>
      <c r="S247" s="17" t="s">
        <v>126</v>
      </c>
      <c r="T247" s="17" t="s">
        <v>126</v>
      </c>
      <c r="U247" s="17" t="s">
        <v>126</v>
      </c>
      <c r="V247" s="17" t="s">
        <v>126</v>
      </c>
      <c r="W247" s="17" t="s">
        <v>126</v>
      </c>
      <c r="X247" s="17" t="s">
        <v>126</v>
      </c>
      <c r="Y247" s="17" t="s">
        <v>126</v>
      </c>
      <c r="Z247" s="17" t="s">
        <v>126</v>
      </c>
      <c r="AA247" s="17" t="s">
        <v>126</v>
      </c>
      <c r="AB247" s="17" t="s">
        <v>126</v>
      </c>
      <c r="AC247" s="17" t="s">
        <v>126</v>
      </c>
      <c r="AD247" s="17" t="s">
        <v>126</v>
      </c>
      <c r="AE247" s="17" t="s">
        <v>126</v>
      </c>
      <c r="AF247" s="17" t="s">
        <v>126</v>
      </c>
      <c r="AG247" s="17" t="s">
        <v>126</v>
      </c>
      <c r="AH247" s="17" t="s">
        <v>126</v>
      </c>
      <c r="AI247" s="5" t="e">
        <f t="shared" si="19"/>
        <v>#VALUE!</v>
      </c>
      <c r="AJ247" s="5" t="e">
        <f t="shared" si="20"/>
        <v>#VALUE!</v>
      </c>
      <c r="AK247" s="5" t="e">
        <f t="shared" si="21"/>
        <v>#VALUE!</v>
      </c>
      <c r="AL247" s="5" t="e">
        <f t="shared" si="22"/>
        <v>#VALUE!</v>
      </c>
      <c r="AM247" s="5" t="e">
        <f t="shared" si="23"/>
        <v>#VALUE!</v>
      </c>
    </row>
    <row r="248" spans="1:39" ht="15" customHeight="1" thickBot="1" x14ac:dyDescent="0.35">
      <c r="A248">
        <f t="shared" si="18"/>
        <v>0</v>
      </c>
      <c r="B248" s="18">
        <v>389</v>
      </c>
      <c r="C248" s="11" t="s">
        <v>288</v>
      </c>
      <c r="D248" s="19" t="s">
        <v>126</v>
      </c>
      <c r="E248" s="19" t="s">
        <v>126</v>
      </c>
      <c r="F248" s="19" t="s">
        <v>126</v>
      </c>
      <c r="G248" s="19" t="s">
        <v>126</v>
      </c>
      <c r="H248" s="19" t="s">
        <v>126</v>
      </c>
      <c r="I248" s="19" t="s">
        <v>126</v>
      </c>
      <c r="J248" s="19" t="s">
        <v>126</v>
      </c>
      <c r="K248" s="19" t="s">
        <v>126</v>
      </c>
      <c r="L248" s="19" t="s">
        <v>126</v>
      </c>
      <c r="M248" s="19" t="s">
        <v>126</v>
      </c>
      <c r="N248" s="19" t="s">
        <v>126</v>
      </c>
      <c r="O248" s="19" t="s">
        <v>126</v>
      </c>
      <c r="P248" s="19" t="s">
        <v>126</v>
      </c>
      <c r="Q248" s="18">
        <v>389</v>
      </c>
      <c r="R248" s="11" t="s">
        <v>288</v>
      </c>
      <c r="S248" s="19" t="s">
        <v>126</v>
      </c>
      <c r="T248" s="19" t="s">
        <v>126</v>
      </c>
      <c r="U248" s="19" t="s">
        <v>126</v>
      </c>
      <c r="V248" s="19" t="s">
        <v>126</v>
      </c>
      <c r="W248" s="19" t="s">
        <v>126</v>
      </c>
      <c r="X248" s="19" t="s">
        <v>126</v>
      </c>
      <c r="Y248" s="19" t="s">
        <v>126</v>
      </c>
      <c r="Z248" s="19" t="s">
        <v>126</v>
      </c>
      <c r="AA248" s="19" t="s">
        <v>126</v>
      </c>
      <c r="AB248" s="19" t="s">
        <v>126</v>
      </c>
      <c r="AC248" s="19" t="s">
        <v>126</v>
      </c>
      <c r="AD248" s="19" t="s">
        <v>126</v>
      </c>
      <c r="AE248" s="19" t="s">
        <v>126</v>
      </c>
      <c r="AF248" s="19" t="s">
        <v>126</v>
      </c>
      <c r="AG248" s="19" t="s">
        <v>126</v>
      </c>
      <c r="AH248" s="19" t="s">
        <v>126</v>
      </c>
      <c r="AI248" s="5" t="e">
        <f t="shared" si="19"/>
        <v>#VALUE!</v>
      </c>
      <c r="AJ248" s="5" t="e">
        <f t="shared" si="20"/>
        <v>#VALUE!</v>
      </c>
      <c r="AK248" s="5" t="e">
        <f t="shared" si="21"/>
        <v>#VALUE!</v>
      </c>
      <c r="AL248" s="5" t="e">
        <f t="shared" si="22"/>
        <v>#VALUE!</v>
      </c>
      <c r="AM248" s="5" t="e">
        <f t="shared" si="23"/>
        <v>#VALUE!</v>
      </c>
    </row>
    <row r="249" spans="1:39" ht="15" customHeight="1" thickBot="1" x14ac:dyDescent="0.35">
      <c r="A249">
        <f t="shared" si="18"/>
        <v>0</v>
      </c>
      <c r="B249" s="16">
        <v>390</v>
      </c>
      <c r="C249" s="10" t="s">
        <v>289</v>
      </c>
      <c r="D249" s="17" t="s">
        <v>126</v>
      </c>
      <c r="E249" s="17" t="s">
        <v>126</v>
      </c>
      <c r="F249" s="17" t="s">
        <v>126</v>
      </c>
      <c r="G249" s="17" t="s">
        <v>126</v>
      </c>
      <c r="H249" s="17" t="s">
        <v>126</v>
      </c>
      <c r="I249" s="17" t="s">
        <v>126</v>
      </c>
      <c r="J249" s="17" t="s">
        <v>126</v>
      </c>
      <c r="K249" s="17" t="s">
        <v>126</v>
      </c>
      <c r="L249" s="17" t="s">
        <v>126</v>
      </c>
      <c r="M249" s="17" t="s">
        <v>126</v>
      </c>
      <c r="N249" s="17" t="s">
        <v>126</v>
      </c>
      <c r="O249" s="17" t="s">
        <v>126</v>
      </c>
      <c r="P249" s="17" t="s">
        <v>126</v>
      </c>
      <c r="Q249" s="16">
        <v>390</v>
      </c>
      <c r="R249" s="10" t="s">
        <v>289</v>
      </c>
      <c r="S249" s="17" t="s">
        <v>126</v>
      </c>
      <c r="T249" s="17" t="s">
        <v>126</v>
      </c>
      <c r="U249" s="17" t="s">
        <v>126</v>
      </c>
      <c r="V249" s="17" t="s">
        <v>126</v>
      </c>
      <c r="W249" s="17" t="s">
        <v>126</v>
      </c>
      <c r="X249" s="17" t="s">
        <v>126</v>
      </c>
      <c r="Y249" s="17" t="s">
        <v>126</v>
      </c>
      <c r="Z249" s="17" t="s">
        <v>126</v>
      </c>
      <c r="AA249" s="17" t="s">
        <v>126</v>
      </c>
      <c r="AB249" s="17" t="s">
        <v>126</v>
      </c>
      <c r="AC249" s="17" t="s">
        <v>126</v>
      </c>
      <c r="AD249" s="17" t="s">
        <v>126</v>
      </c>
      <c r="AE249" s="17" t="s">
        <v>126</v>
      </c>
      <c r="AF249" s="17" t="s">
        <v>126</v>
      </c>
      <c r="AG249" s="17" t="s">
        <v>126</v>
      </c>
      <c r="AH249" s="17" t="s">
        <v>126</v>
      </c>
      <c r="AI249" s="5" t="e">
        <f t="shared" si="19"/>
        <v>#VALUE!</v>
      </c>
      <c r="AJ249" s="5" t="e">
        <f t="shared" si="20"/>
        <v>#VALUE!</v>
      </c>
      <c r="AK249" s="5" t="e">
        <f t="shared" si="21"/>
        <v>#VALUE!</v>
      </c>
      <c r="AL249" s="5" t="e">
        <f t="shared" si="22"/>
        <v>#VALUE!</v>
      </c>
      <c r="AM249" s="5" t="e">
        <f t="shared" si="23"/>
        <v>#VALUE!</v>
      </c>
    </row>
    <row r="250" spans="1:39" ht="15" customHeight="1" thickBot="1" x14ac:dyDescent="0.35">
      <c r="A250">
        <f t="shared" si="18"/>
        <v>0</v>
      </c>
      <c r="B250" s="18">
        <v>391</v>
      </c>
      <c r="C250" s="11" t="s">
        <v>290</v>
      </c>
      <c r="D250" s="19" t="s">
        <v>126</v>
      </c>
      <c r="E250" s="19" t="s">
        <v>126</v>
      </c>
      <c r="F250" s="19" t="s">
        <v>126</v>
      </c>
      <c r="G250" s="19" t="s">
        <v>126</v>
      </c>
      <c r="H250" s="19" t="s">
        <v>126</v>
      </c>
      <c r="I250" s="19" t="s">
        <v>126</v>
      </c>
      <c r="J250" s="19" t="s">
        <v>126</v>
      </c>
      <c r="K250" s="19" t="s">
        <v>126</v>
      </c>
      <c r="L250" s="19" t="s">
        <v>126</v>
      </c>
      <c r="M250" s="19" t="s">
        <v>126</v>
      </c>
      <c r="N250" s="19" t="s">
        <v>126</v>
      </c>
      <c r="O250" s="19" t="s">
        <v>126</v>
      </c>
      <c r="P250" s="19" t="s">
        <v>126</v>
      </c>
      <c r="Q250" s="18">
        <v>391</v>
      </c>
      <c r="R250" s="11" t="s">
        <v>290</v>
      </c>
      <c r="S250" s="19" t="s">
        <v>126</v>
      </c>
      <c r="T250" s="19" t="s">
        <v>126</v>
      </c>
      <c r="U250" s="19" t="s">
        <v>126</v>
      </c>
      <c r="V250" s="19" t="s">
        <v>126</v>
      </c>
      <c r="W250" s="19" t="s">
        <v>126</v>
      </c>
      <c r="X250" s="19" t="s">
        <v>126</v>
      </c>
      <c r="Y250" s="19" t="s">
        <v>126</v>
      </c>
      <c r="Z250" s="19" t="s">
        <v>126</v>
      </c>
      <c r="AA250" s="19" t="s">
        <v>126</v>
      </c>
      <c r="AB250" s="19" t="s">
        <v>126</v>
      </c>
      <c r="AC250" s="19" t="s">
        <v>126</v>
      </c>
      <c r="AD250" s="19" t="s">
        <v>126</v>
      </c>
      <c r="AE250" s="19" t="s">
        <v>126</v>
      </c>
      <c r="AF250" s="19" t="s">
        <v>126</v>
      </c>
      <c r="AG250" s="19" t="s">
        <v>126</v>
      </c>
      <c r="AH250" s="19" t="s">
        <v>126</v>
      </c>
      <c r="AI250" s="5" t="e">
        <f t="shared" si="19"/>
        <v>#VALUE!</v>
      </c>
      <c r="AJ250" s="5" t="e">
        <f t="shared" si="20"/>
        <v>#VALUE!</v>
      </c>
      <c r="AK250" s="5" t="e">
        <f t="shared" si="21"/>
        <v>#VALUE!</v>
      </c>
      <c r="AL250" s="5" t="e">
        <f t="shared" si="22"/>
        <v>#VALUE!</v>
      </c>
      <c r="AM250" s="5" t="e">
        <f t="shared" si="23"/>
        <v>#VALUE!</v>
      </c>
    </row>
    <row r="251" spans="1:39" ht="15" customHeight="1" thickBot="1" x14ac:dyDescent="0.35">
      <c r="A251">
        <f t="shared" si="18"/>
        <v>0</v>
      </c>
      <c r="B251" s="16">
        <v>392</v>
      </c>
      <c r="C251" s="10" t="s">
        <v>291</v>
      </c>
      <c r="D251" s="17" t="s">
        <v>126</v>
      </c>
      <c r="E251" s="17" t="s">
        <v>126</v>
      </c>
      <c r="F251" s="17" t="s">
        <v>126</v>
      </c>
      <c r="G251" s="17" t="s">
        <v>126</v>
      </c>
      <c r="H251" s="17" t="s">
        <v>126</v>
      </c>
      <c r="I251" s="17" t="s">
        <v>126</v>
      </c>
      <c r="J251" s="17" t="s">
        <v>126</v>
      </c>
      <c r="K251" s="17" t="s">
        <v>126</v>
      </c>
      <c r="L251" s="17" t="s">
        <v>126</v>
      </c>
      <c r="M251" s="17" t="s">
        <v>126</v>
      </c>
      <c r="N251" s="17" t="s">
        <v>126</v>
      </c>
      <c r="O251" s="17" t="s">
        <v>126</v>
      </c>
      <c r="P251" s="17" t="s">
        <v>126</v>
      </c>
      <c r="Q251" s="16">
        <v>392</v>
      </c>
      <c r="R251" s="10" t="s">
        <v>291</v>
      </c>
      <c r="S251" s="17" t="s">
        <v>126</v>
      </c>
      <c r="T251" s="17" t="s">
        <v>126</v>
      </c>
      <c r="U251" s="17" t="s">
        <v>126</v>
      </c>
      <c r="V251" s="17" t="s">
        <v>126</v>
      </c>
      <c r="W251" s="17" t="s">
        <v>126</v>
      </c>
      <c r="X251" s="17" t="s">
        <v>126</v>
      </c>
      <c r="Y251" s="17" t="s">
        <v>126</v>
      </c>
      <c r="Z251" s="17" t="s">
        <v>126</v>
      </c>
      <c r="AA251" s="17" t="s">
        <v>126</v>
      </c>
      <c r="AB251" s="17" t="s">
        <v>126</v>
      </c>
      <c r="AC251" s="17" t="s">
        <v>126</v>
      </c>
      <c r="AD251" s="17" t="s">
        <v>126</v>
      </c>
      <c r="AE251" s="17" t="s">
        <v>126</v>
      </c>
      <c r="AF251" s="17" t="s">
        <v>126</v>
      </c>
      <c r="AG251" s="17" t="s">
        <v>126</v>
      </c>
      <c r="AH251" s="17" t="s">
        <v>126</v>
      </c>
      <c r="AI251" s="5" t="e">
        <f t="shared" si="19"/>
        <v>#VALUE!</v>
      </c>
      <c r="AJ251" s="5" t="e">
        <f t="shared" si="20"/>
        <v>#VALUE!</v>
      </c>
      <c r="AK251" s="5" t="e">
        <f t="shared" si="21"/>
        <v>#VALUE!</v>
      </c>
      <c r="AL251" s="5" t="e">
        <f t="shared" si="22"/>
        <v>#VALUE!</v>
      </c>
      <c r="AM251" s="5" t="e">
        <f t="shared" si="23"/>
        <v>#VALUE!</v>
      </c>
    </row>
    <row r="252" spans="1:39" ht="15" customHeight="1" thickBot="1" x14ac:dyDescent="0.35">
      <c r="A252">
        <f t="shared" si="18"/>
        <v>0</v>
      </c>
      <c r="B252" s="18">
        <v>393</v>
      </c>
      <c r="C252" s="11" t="s">
        <v>292</v>
      </c>
      <c r="D252" s="19" t="s">
        <v>126</v>
      </c>
      <c r="E252" s="19" t="s">
        <v>126</v>
      </c>
      <c r="F252" s="19" t="s">
        <v>126</v>
      </c>
      <c r="G252" s="19" t="s">
        <v>126</v>
      </c>
      <c r="H252" s="19" t="s">
        <v>126</v>
      </c>
      <c r="I252" s="19" t="s">
        <v>126</v>
      </c>
      <c r="J252" s="19" t="s">
        <v>126</v>
      </c>
      <c r="K252" s="19" t="s">
        <v>126</v>
      </c>
      <c r="L252" s="19" t="s">
        <v>126</v>
      </c>
      <c r="M252" s="19" t="s">
        <v>126</v>
      </c>
      <c r="N252" s="19" t="s">
        <v>126</v>
      </c>
      <c r="O252" s="19" t="s">
        <v>126</v>
      </c>
      <c r="P252" s="19" t="s">
        <v>126</v>
      </c>
      <c r="Q252" s="18">
        <v>393</v>
      </c>
      <c r="R252" s="11" t="s">
        <v>292</v>
      </c>
      <c r="S252" s="19" t="s">
        <v>126</v>
      </c>
      <c r="T252" s="19" t="s">
        <v>126</v>
      </c>
      <c r="U252" s="19" t="s">
        <v>126</v>
      </c>
      <c r="V252" s="19" t="s">
        <v>126</v>
      </c>
      <c r="W252" s="19" t="s">
        <v>126</v>
      </c>
      <c r="X252" s="19" t="s">
        <v>126</v>
      </c>
      <c r="Y252" s="19" t="s">
        <v>126</v>
      </c>
      <c r="Z252" s="19" t="s">
        <v>126</v>
      </c>
      <c r="AA252" s="19" t="s">
        <v>126</v>
      </c>
      <c r="AB252" s="19" t="s">
        <v>126</v>
      </c>
      <c r="AC252" s="19" t="s">
        <v>126</v>
      </c>
      <c r="AD252" s="19" t="s">
        <v>126</v>
      </c>
      <c r="AE252" s="19" t="s">
        <v>126</v>
      </c>
      <c r="AF252" s="19" t="s">
        <v>126</v>
      </c>
      <c r="AG252" s="19" t="s">
        <v>126</v>
      </c>
      <c r="AH252" s="19" t="s">
        <v>126</v>
      </c>
      <c r="AI252" s="5" t="e">
        <f t="shared" si="19"/>
        <v>#VALUE!</v>
      </c>
      <c r="AJ252" s="5" t="e">
        <f t="shared" si="20"/>
        <v>#VALUE!</v>
      </c>
      <c r="AK252" s="5" t="e">
        <f t="shared" si="21"/>
        <v>#VALUE!</v>
      </c>
      <c r="AL252" s="5" t="e">
        <f t="shared" si="22"/>
        <v>#VALUE!</v>
      </c>
      <c r="AM252" s="5" t="e">
        <f t="shared" si="23"/>
        <v>#VALUE!</v>
      </c>
    </row>
    <row r="253" spans="1:39" ht="15" customHeight="1" thickBot="1" x14ac:dyDescent="0.35">
      <c r="A253">
        <f t="shared" si="18"/>
        <v>0</v>
      </c>
      <c r="B253" s="16">
        <v>394</v>
      </c>
      <c r="C253" s="10" t="s">
        <v>293</v>
      </c>
      <c r="D253" s="17" t="s">
        <v>126</v>
      </c>
      <c r="E253" s="17" t="s">
        <v>126</v>
      </c>
      <c r="F253" s="17" t="s">
        <v>126</v>
      </c>
      <c r="G253" s="17" t="s">
        <v>126</v>
      </c>
      <c r="H253" s="17" t="s">
        <v>126</v>
      </c>
      <c r="I253" s="17" t="s">
        <v>126</v>
      </c>
      <c r="J253" s="17" t="s">
        <v>126</v>
      </c>
      <c r="K253" s="17" t="s">
        <v>126</v>
      </c>
      <c r="L253" s="17" t="s">
        <v>126</v>
      </c>
      <c r="M253" s="17" t="s">
        <v>126</v>
      </c>
      <c r="N253" s="17" t="s">
        <v>126</v>
      </c>
      <c r="O253" s="17" t="s">
        <v>126</v>
      </c>
      <c r="P253" s="17" t="s">
        <v>126</v>
      </c>
      <c r="Q253" s="16">
        <v>394</v>
      </c>
      <c r="R253" s="10" t="s">
        <v>293</v>
      </c>
      <c r="S253" s="17" t="s">
        <v>126</v>
      </c>
      <c r="T253" s="17" t="s">
        <v>126</v>
      </c>
      <c r="U253" s="17" t="s">
        <v>126</v>
      </c>
      <c r="V253" s="17" t="s">
        <v>126</v>
      </c>
      <c r="W253" s="17" t="s">
        <v>126</v>
      </c>
      <c r="X253" s="17" t="s">
        <v>126</v>
      </c>
      <c r="Y253" s="17" t="s">
        <v>126</v>
      </c>
      <c r="Z253" s="17" t="s">
        <v>126</v>
      </c>
      <c r="AA253" s="17" t="s">
        <v>126</v>
      </c>
      <c r="AB253" s="17" t="s">
        <v>126</v>
      </c>
      <c r="AC253" s="17" t="s">
        <v>126</v>
      </c>
      <c r="AD253" s="17" t="s">
        <v>126</v>
      </c>
      <c r="AE253" s="17" t="s">
        <v>126</v>
      </c>
      <c r="AF253" s="17" t="s">
        <v>126</v>
      </c>
      <c r="AG253" s="17" t="s">
        <v>126</v>
      </c>
      <c r="AH253" s="17" t="s">
        <v>126</v>
      </c>
      <c r="AI253" s="5" t="e">
        <f t="shared" si="19"/>
        <v>#VALUE!</v>
      </c>
      <c r="AJ253" s="5" t="e">
        <f t="shared" si="20"/>
        <v>#VALUE!</v>
      </c>
      <c r="AK253" s="5" t="e">
        <f t="shared" si="21"/>
        <v>#VALUE!</v>
      </c>
      <c r="AL253" s="5" t="e">
        <f t="shared" si="22"/>
        <v>#VALUE!</v>
      </c>
      <c r="AM253" s="5" t="e">
        <f t="shared" si="23"/>
        <v>#VALUE!</v>
      </c>
    </row>
    <row r="254" spans="1:39" ht="15" customHeight="1" thickBot="1" x14ac:dyDescent="0.35">
      <c r="A254">
        <f t="shared" si="18"/>
        <v>0</v>
      </c>
      <c r="B254" s="18">
        <v>395</v>
      </c>
      <c r="C254" s="11" t="s">
        <v>294</v>
      </c>
      <c r="D254" s="19" t="s">
        <v>126</v>
      </c>
      <c r="E254" s="19" t="s">
        <v>126</v>
      </c>
      <c r="F254" s="19" t="s">
        <v>126</v>
      </c>
      <c r="G254" s="19" t="s">
        <v>126</v>
      </c>
      <c r="H254" s="19" t="s">
        <v>126</v>
      </c>
      <c r="I254" s="19" t="s">
        <v>126</v>
      </c>
      <c r="J254" s="19" t="s">
        <v>126</v>
      </c>
      <c r="K254" s="19" t="s">
        <v>126</v>
      </c>
      <c r="L254" s="19" t="s">
        <v>126</v>
      </c>
      <c r="M254" s="19" t="s">
        <v>126</v>
      </c>
      <c r="N254" s="19" t="s">
        <v>126</v>
      </c>
      <c r="O254" s="19" t="s">
        <v>126</v>
      </c>
      <c r="P254" s="19" t="s">
        <v>126</v>
      </c>
      <c r="Q254" s="18">
        <v>395</v>
      </c>
      <c r="R254" s="11" t="s">
        <v>294</v>
      </c>
      <c r="S254" s="19" t="s">
        <v>126</v>
      </c>
      <c r="T254" s="19" t="s">
        <v>126</v>
      </c>
      <c r="U254" s="19" t="s">
        <v>126</v>
      </c>
      <c r="V254" s="19" t="s">
        <v>126</v>
      </c>
      <c r="W254" s="19" t="s">
        <v>126</v>
      </c>
      <c r="X254" s="19" t="s">
        <v>126</v>
      </c>
      <c r="Y254" s="19" t="s">
        <v>126</v>
      </c>
      <c r="Z254" s="19" t="s">
        <v>126</v>
      </c>
      <c r="AA254" s="19" t="s">
        <v>126</v>
      </c>
      <c r="AB254" s="19" t="s">
        <v>126</v>
      </c>
      <c r="AC254" s="19" t="s">
        <v>126</v>
      </c>
      <c r="AD254" s="19" t="s">
        <v>126</v>
      </c>
      <c r="AE254" s="19" t="s">
        <v>126</v>
      </c>
      <c r="AF254" s="19" t="s">
        <v>126</v>
      </c>
      <c r="AG254" s="19" t="s">
        <v>126</v>
      </c>
      <c r="AH254" s="19" t="s">
        <v>126</v>
      </c>
      <c r="AI254" s="5" t="e">
        <f t="shared" si="19"/>
        <v>#VALUE!</v>
      </c>
      <c r="AJ254" s="5" t="e">
        <f t="shared" si="20"/>
        <v>#VALUE!</v>
      </c>
      <c r="AK254" s="5" t="e">
        <f t="shared" si="21"/>
        <v>#VALUE!</v>
      </c>
      <c r="AL254" s="5" t="e">
        <f t="shared" si="22"/>
        <v>#VALUE!</v>
      </c>
      <c r="AM254" s="5" t="e">
        <f t="shared" si="23"/>
        <v>#VALUE!</v>
      </c>
    </row>
    <row r="255" spans="1:39" ht="15" customHeight="1" thickBot="1" x14ac:dyDescent="0.35">
      <c r="A255">
        <f t="shared" si="18"/>
        <v>0</v>
      </c>
      <c r="B255" s="16">
        <v>396</v>
      </c>
      <c r="C255" s="10" t="s">
        <v>295</v>
      </c>
      <c r="D255" s="17" t="s">
        <v>126</v>
      </c>
      <c r="E255" s="17" t="s">
        <v>126</v>
      </c>
      <c r="F255" s="17" t="s">
        <v>126</v>
      </c>
      <c r="G255" s="17" t="s">
        <v>126</v>
      </c>
      <c r="H255" s="17" t="s">
        <v>126</v>
      </c>
      <c r="I255" s="17" t="s">
        <v>126</v>
      </c>
      <c r="J255" s="17" t="s">
        <v>126</v>
      </c>
      <c r="K255" s="17" t="s">
        <v>126</v>
      </c>
      <c r="L255" s="17" t="s">
        <v>126</v>
      </c>
      <c r="M255" s="17" t="s">
        <v>126</v>
      </c>
      <c r="N255" s="17" t="s">
        <v>126</v>
      </c>
      <c r="O255" s="17" t="s">
        <v>126</v>
      </c>
      <c r="P255" s="17" t="s">
        <v>126</v>
      </c>
      <c r="Q255" s="16">
        <v>396</v>
      </c>
      <c r="R255" s="10" t="s">
        <v>295</v>
      </c>
      <c r="S255" s="17" t="s">
        <v>126</v>
      </c>
      <c r="T255" s="17" t="s">
        <v>126</v>
      </c>
      <c r="U255" s="17" t="s">
        <v>126</v>
      </c>
      <c r="V255" s="17" t="s">
        <v>126</v>
      </c>
      <c r="W255" s="17" t="s">
        <v>126</v>
      </c>
      <c r="X255" s="17" t="s">
        <v>126</v>
      </c>
      <c r="Y255" s="17" t="s">
        <v>126</v>
      </c>
      <c r="Z255" s="17" t="s">
        <v>126</v>
      </c>
      <c r="AA255" s="17" t="s">
        <v>126</v>
      </c>
      <c r="AB255" s="17" t="s">
        <v>126</v>
      </c>
      <c r="AC255" s="17" t="s">
        <v>126</v>
      </c>
      <c r="AD255" s="17" t="s">
        <v>126</v>
      </c>
      <c r="AE255" s="17" t="s">
        <v>126</v>
      </c>
      <c r="AF255" s="17" t="s">
        <v>126</v>
      </c>
      <c r="AG255" s="17" t="s">
        <v>126</v>
      </c>
      <c r="AH255" s="17" t="s">
        <v>126</v>
      </c>
      <c r="AI255" s="5" t="e">
        <f t="shared" si="19"/>
        <v>#VALUE!</v>
      </c>
      <c r="AJ255" s="5" t="e">
        <f t="shared" si="20"/>
        <v>#VALUE!</v>
      </c>
      <c r="AK255" s="5" t="e">
        <f t="shared" si="21"/>
        <v>#VALUE!</v>
      </c>
      <c r="AL255" s="5" t="e">
        <f t="shared" si="22"/>
        <v>#VALUE!</v>
      </c>
      <c r="AM255" s="5" t="e">
        <f t="shared" si="23"/>
        <v>#VALUE!</v>
      </c>
    </row>
    <row r="256" spans="1:39" ht="15" customHeight="1" thickBot="1" x14ac:dyDescent="0.35">
      <c r="A256">
        <f t="shared" si="18"/>
        <v>0</v>
      </c>
      <c r="B256" s="18">
        <v>397</v>
      </c>
      <c r="C256" s="11" t="s">
        <v>296</v>
      </c>
      <c r="D256" s="19" t="s">
        <v>126</v>
      </c>
      <c r="E256" s="19" t="s">
        <v>126</v>
      </c>
      <c r="F256" s="19" t="s">
        <v>126</v>
      </c>
      <c r="G256" s="19" t="s">
        <v>126</v>
      </c>
      <c r="H256" s="19" t="s">
        <v>126</v>
      </c>
      <c r="I256" s="19" t="s">
        <v>126</v>
      </c>
      <c r="J256" s="19" t="s">
        <v>126</v>
      </c>
      <c r="K256" s="19" t="s">
        <v>126</v>
      </c>
      <c r="L256" s="19" t="s">
        <v>126</v>
      </c>
      <c r="M256" s="19" t="s">
        <v>126</v>
      </c>
      <c r="N256" s="19" t="s">
        <v>126</v>
      </c>
      <c r="O256" s="19" t="s">
        <v>126</v>
      </c>
      <c r="P256" s="19" t="s">
        <v>126</v>
      </c>
      <c r="Q256" s="18">
        <v>397</v>
      </c>
      <c r="R256" s="11" t="s">
        <v>296</v>
      </c>
      <c r="S256" s="19" t="s">
        <v>126</v>
      </c>
      <c r="T256" s="19" t="s">
        <v>126</v>
      </c>
      <c r="U256" s="19" t="s">
        <v>126</v>
      </c>
      <c r="V256" s="19" t="s">
        <v>126</v>
      </c>
      <c r="W256" s="19" t="s">
        <v>126</v>
      </c>
      <c r="X256" s="19" t="s">
        <v>126</v>
      </c>
      <c r="Y256" s="19" t="s">
        <v>126</v>
      </c>
      <c r="Z256" s="19" t="s">
        <v>126</v>
      </c>
      <c r="AA256" s="19" t="s">
        <v>126</v>
      </c>
      <c r="AB256" s="19" t="s">
        <v>126</v>
      </c>
      <c r="AC256" s="19" t="s">
        <v>126</v>
      </c>
      <c r="AD256" s="19" t="s">
        <v>126</v>
      </c>
      <c r="AE256" s="19" t="s">
        <v>126</v>
      </c>
      <c r="AF256" s="19" t="s">
        <v>126</v>
      </c>
      <c r="AG256" s="19" t="s">
        <v>126</v>
      </c>
      <c r="AH256" s="19" t="s">
        <v>126</v>
      </c>
      <c r="AI256" s="5" t="e">
        <f t="shared" si="19"/>
        <v>#VALUE!</v>
      </c>
      <c r="AJ256" s="5" t="e">
        <f t="shared" si="20"/>
        <v>#VALUE!</v>
      </c>
      <c r="AK256" s="5" t="e">
        <f t="shared" si="21"/>
        <v>#VALUE!</v>
      </c>
      <c r="AL256" s="5" t="e">
        <f t="shared" si="22"/>
        <v>#VALUE!</v>
      </c>
      <c r="AM256" s="5" t="e">
        <f t="shared" si="23"/>
        <v>#VALUE!</v>
      </c>
    </row>
    <row r="257" spans="1:39" ht="15" customHeight="1" thickBot="1" x14ac:dyDescent="0.35">
      <c r="A257">
        <f t="shared" si="18"/>
        <v>0</v>
      </c>
      <c r="B257" s="16">
        <v>398</v>
      </c>
      <c r="C257" s="10" t="s">
        <v>297</v>
      </c>
      <c r="D257" s="17" t="s">
        <v>126</v>
      </c>
      <c r="E257" s="17" t="s">
        <v>126</v>
      </c>
      <c r="F257" s="17" t="s">
        <v>126</v>
      </c>
      <c r="G257" s="17" t="s">
        <v>126</v>
      </c>
      <c r="H257" s="17" t="s">
        <v>126</v>
      </c>
      <c r="I257" s="17" t="s">
        <v>126</v>
      </c>
      <c r="J257" s="17" t="s">
        <v>126</v>
      </c>
      <c r="K257" s="17" t="s">
        <v>126</v>
      </c>
      <c r="L257" s="17" t="s">
        <v>126</v>
      </c>
      <c r="M257" s="17" t="s">
        <v>126</v>
      </c>
      <c r="N257" s="17" t="s">
        <v>126</v>
      </c>
      <c r="O257" s="17" t="s">
        <v>126</v>
      </c>
      <c r="P257" s="17" t="s">
        <v>126</v>
      </c>
      <c r="Q257" s="16">
        <v>398</v>
      </c>
      <c r="R257" s="10" t="s">
        <v>297</v>
      </c>
      <c r="S257" s="17" t="s">
        <v>126</v>
      </c>
      <c r="T257" s="17" t="s">
        <v>126</v>
      </c>
      <c r="U257" s="17" t="s">
        <v>126</v>
      </c>
      <c r="V257" s="17" t="s">
        <v>126</v>
      </c>
      <c r="W257" s="17" t="s">
        <v>126</v>
      </c>
      <c r="X257" s="17" t="s">
        <v>126</v>
      </c>
      <c r="Y257" s="17" t="s">
        <v>126</v>
      </c>
      <c r="Z257" s="17" t="s">
        <v>126</v>
      </c>
      <c r="AA257" s="17" t="s">
        <v>126</v>
      </c>
      <c r="AB257" s="17" t="s">
        <v>126</v>
      </c>
      <c r="AC257" s="17" t="s">
        <v>126</v>
      </c>
      <c r="AD257" s="17" t="s">
        <v>126</v>
      </c>
      <c r="AE257" s="17" t="s">
        <v>126</v>
      </c>
      <c r="AF257" s="17" t="s">
        <v>126</v>
      </c>
      <c r="AG257" s="17" t="s">
        <v>126</v>
      </c>
      <c r="AH257" s="17" t="s">
        <v>126</v>
      </c>
      <c r="AI257" s="5" t="e">
        <f t="shared" si="19"/>
        <v>#VALUE!</v>
      </c>
      <c r="AJ257" s="5" t="e">
        <f t="shared" si="20"/>
        <v>#VALUE!</v>
      </c>
      <c r="AK257" s="5" t="e">
        <f t="shared" si="21"/>
        <v>#VALUE!</v>
      </c>
      <c r="AL257" s="5" t="e">
        <f t="shared" si="22"/>
        <v>#VALUE!</v>
      </c>
      <c r="AM257" s="5" t="e">
        <f t="shared" si="23"/>
        <v>#VALUE!</v>
      </c>
    </row>
    <row r="258" spans="1:39" ht="15" customHeight="1" thickBot="1" x14ac:dyDescent="0.35">
      <c r="A258">
        <f t="shared" si="18"/>
        <v>0</v>
      </c>
      <c r="B258" s="18">
        <v>399</v>
      </c>
      <c r="C258" s="11" t="s">
        <v>298</v>
      </c>
      <c r="D258" s="19" t="s">
        <v>126</v>
      </c>
      <c r="E258" s="19" t="s">
        <v>126</v>
      </c>
      <c r="F258" s="19" t="s">
        <v>126</v>
      </c>
      <c r="G258" s="19" t="s">
        <v>126</v>
      </c>
      <c r="H258" s="19" t="s">
        <v>126</v>
      </c>
      <c r="I258" s="19" t="s">
        <v>126</v>
      </c>
      <c r="J258" s="19" t="s">
        <v>126</v>
      </c>
      <c r="K258" s="19" t="s">
        <v>126</v>
      </c>
      <c r="L258" s="19" t="s">
        <v>126</v>
      </c>
      <c r="M258" s="19" t="s">
        <v>126</v>
      </c>
      <c r="N258" s="19" t="s">
        <v>126</v>
      </c>
      <c r="O258" s="19" t="s">
        <v>126</v>
      </c>
      <c r="P258" s="19" t="s">
        <v>126</v>
      </c>
      <c r="Q258" s="18">
        <v>399</v>
      </c>
      <c r="R258" s="11" t="s">
        <v>298</v>
      </c>
      <c r="S258" s="19" t="s">
        <v>126</v>
      </c>
      <c r="T258" s="19" t="s">
        <v>126</v>
      </c>
      <c r="U258" s="19" t="s">
        <v>126</v>
      </c>
      <c r="V258" s="19" t="s">
        <v>126</v>
      </c>
      <c r="W258" s="19" t="s">
        <v>126</v>
      </c>
      <c r="X258" s="19" t="s">
        <v>126</v>
      </c>
      <c r="Y258" s="19" t="s">
        <v>126</v>
      </c>
      <c r="Z258" s="19" t="s">
        <v>126</v>
      </c>
      <c r="AA258" s="19" t="s">
        <v>126</v>
      </c>
      <c r="AB258" s="19" t="s">
        <v>126</v>
      </c>
      <c r="AC258" s="19" t="s">
        <v>126</v>
      </c>
      <c r="AD258" s="19" t="s">
        <v>126</v>
      </c>
      <c r="AE258" s="19" t="s">
        <v>126</v>
      </c>
      <c r="AF258" s="19" t="s">
        <v>126</v>
      </c>
      <c r="AG258" s="19" t="s">
        <v>126</v>
      </c>
      <c r="AH258" s="19" t="s">
        <v>126</v>
      </c>
      <c r="AI258" s="5" t="e">
        <f t="shared" si="19"/>
        <v>#VALUE!</v>
      </c>
      <c r="AJ258" s="5" t="e">
        <f t="shared" si="20"/>
        <v>#VALUE!</v>
      </c>
      <c r="AK258" s="5" t="e">
        <f t="shared" si="21"/>
        <v>#VALUE!</v>
      </c>
      <c r="AL258" s="5" t="e">
        <f t="shared" si="22"/>
        <v>#VALUE!</v>
      </c>
      <c r="AM258" s="5" t="e">
        <f t="shared" si="23"/>
        <v>#VALUE!</v>
      </c>
    </row>
    <row r="259" spans="1:39" ht="15" customHeight="1" thickBot="1" x14ac:dyDescent="0.35">
      <c r="A259">
        <f t="shared" si="18"/>
        <v>0</v>
      </c>
      <c r="B259" s="16">
        <v>400</v>
      </c>
      <c r="C259" s="10" t="s">
        <v>299</v>
      </c>
      <c r="D259" s="17" t="s">
        <v>126</v>
      </c>
      <c r="E259" s="17" t="s">
        <v>126</v>
      </c>
      <c r="F259" s="17" t="s">
        <v>126</v>
      </c>
      <c r="G259" s="17" t="s">
        <v>126</v>
      </c>
      <c r="H259" s="17" t="s">
        <v>126</v>
      </c>
      <c r="I259" s="17" t="s">
        <v>126</v>
      </c>
      <c r="J259" s="17" t="s">
        <v>126</v>
      </c>
      <c r="K259" s="17" t="s">
        <v>126</v>
      </c>
      <c r="L259" s="17" t="s">
        <v>126</v>
      </c>
      <c r="M259" s="17" t="s">
        <v>126</v>
      </c>
      <c r="N259" s="17" t="s">
        <v>126</v>
      </c>
      <c r="O259" s="17" t="s">
        <v>126</v>
      </c>
      <c r="P259" s="17" t="s">
        <v>126</v>
      </c>
      <c r="Q259" s="16">
        <v>400</v>
      </c>
      <c r="R259" s="10" t="s">
        <v>299</v>
      </c>
      <c r="S259" s="17" t="s">
        <v>126</v>
      </c>
      <c r="T259" s="17" t="s">
        <v>126</v>
      </c>
      <c r="U259" s="17" t="s">
        <v>126</v>
      </c>
      <c r="V259" s="17" t="s">
        <v>126</v>
      </c>
      <c r="W259" s="17" t="s">
        <v>126</v>
      </c>
      <c r="X259" s="17" t="s">
        <v>126</v>
      </c>
      <c r="Y259" s="17" t="s">
        <v>126</v>
      </c>
      <c r="Z259" s="17" t="s">
        <v>126</v>
      </c>
      <c r="AA259" s="17" t="s">
        <v>126</v>
      </c>
      <c r="AB259" s="17" t="s">
        <v>126</v>
      </c>
      <c r="AC259" s="17" t="s">
        <v>126</v>
      </c>
      <c r="AD259" s="17" t="s">
        <v>126</v>
      </c>
      <c r="AE259" s="17" t="s">
        <v>126</v>
      </c>
      <c r="AF259" s="17" t="s">
        <v>126</v>
      </c>
      <c r="AG259" s="17" t="s">
        <v>126</v>
      </c>
      <c r="AH259" s="17" t="s">
        <v>126</v>
      </c>
      <c r="AI259" s="5" t="e">
        <f t="shared" si="19"/>
        <v>#VALUE!</v>
      </c>
      <c r="AJ259" s="5" t="e">
        <f t="shared" si="20"/>
        <v>#VALUE!</v>
      </c>
      <c r="AK259" s="5" t="e">
        <f t="shared" si="21"/>
        <v>#VALUE!</v>
      </c>
      <c r="AL259" s="5" t="e">
        <f t="shared" si="22"/>
        <v>#VALUE!</v>
      </c>
      <c r="AM259" s="5" t="e">
        <f t="shared" si="23"/>
        <v>#VALUE!</v>
      </c>
    </row>
    <row r="260" spans="1:39" ht="15" customHeight="1" thickBot="1" x14ac:dyDescent="0.35">
      <c r="A260">
        <f t="shared" si="18"/>
        <v>0</v>
      </c>
      <c r="B260" s="18">
        <v>401</v>
      </c>
      <c r="C260" s="11" t="s">
        <v>300</v>
      </c>
      <c r="D260" s="19" t="s">
        <v>126</v>
      </c>
      <c r="E260" s="19" t="s">
        <v>126</v>
      </c>
      <c r="F260" s="19" t="s">
        <v>126</v>
      </c>
      <c r="G260" s="19" t="s">
        <v>126</v>
      </c>
      <c r="H260" s="19" t="s">
        <v>126</v>
      </c>
      <c r="I260" s="19" t="s">
        <v>126</v>
      </c>
      <c r="J260" s="19" t="s">
        <v>126</v>
      </c>
      <c r="K260" s="19" t="s">
        <v>126</v>
      </c>
      <c r="L260" s="19" t="s">
        <v>126</v>
      </c>
      <c r="M260" s="19" t="s">
        <v>126</v>
      </c>
      <c r="N260" s="19" t="s">
        <v>126</v>
      </c>
      <c r="O260" s="19" t="s">
        <v>126</v>
      </c>
      <c r="P260" s="19" t="s">
        <v>126</v>
      </c>
      <c r="Q260" s="18">
        <v>401</v>
      </c>
      <c r="R260" s="11" t="s">
        <v>300</v>
      </c>
      <c r="S260" s="19" t="s">
        <v>126</v>
      </c>
      <c r="T260" s="19" t="s">
        <v>126</v>
      </c>
      <c r="U260" s="19" t="s">
        <v>126</v>
      </c>
      <c r="V260" s="19" t="s">
        <v>126</v>
      </c>
      <c r="W260" s="19" t="s">
        <v>126</v>
      </c>
      <c r="X260" s="19" t="s">
        <v>126</v>
      </c>
      <c r="Y260" s="19" t="s">
        <v>126</v>
      </c>
      <c r="Z260" s="19" t="s">
        <v>126</v>
      </c>
      <c r="AA260" s="19" t="s">
        <v>126</v>
      </c>
      <c r="AB260" s="19" t="s">
        <v>126</v>
      </c>
      <c r="AC260" s="19" t="s">
        <v>126</v>
      </c>
      <c r="AD260" s="19" t="s">
        <v>126</v>
      </c>
      <c r="AE260" s="19" t="s">
        <v>126</v>
      </c>
      <c r="AF260" s="19" t="s">
        <v>126</v>
      </c>
      <c r="AG260" s="19" t="s">
        <v>126</v>
      </c>
      <c r="AH260" s="19" t="s">
        <v>126</v>
      </c>
      <c r="AI260" s="5" t="e">
        <f t="shared" si="19"/>
        <v>#VALUE!</v>
      </c>
      <c r="AJ260" s="5" t="e">
        <f t="shared" si="20"/>
        <v>#VALUE!</v>
      </c>
      <c r="AK260" s="5" t="e">
        <f t="shared" si="21"/>
        <v>#VALUE!</v>
      </c>
      <c r="AL260" s="5" t="e">
        <f t="shared" si="22"/>
        <v>#VALUE!</v>
      </c>
      <c r="AM260" s="5" t="e">
        <f t="shared" si="23"/>
        <v>#VALUE!</v>
      </c>
    </row>
    <row r="261" spans="1:39" ht="15" customHeight="1" thickBot="1" x14ac:dyDescent="0.35">
      <c r="A261">
        <f t="shared" si="18"/>
        <v>0</v>
      </c>
      <c r="B261" s="16">
        <v>402</v>
      </c>
      <c r="C261" s="10" t="s">
        <v>301</v>
      </c>
      <c r="D261" s="17" t="s">
        <v>126</v>
      </c>
      <c r="E261" s="17" t="s">
        <v>126</v>
      </c>
      <c r="F261" s="17" t="s">
        <v>126</v>
      </c>
      <c r="G261" s="17" t="s">
        <v>126</v>
      </c>
      <c r="H261" s="17" t="s">
        <v>126</v>
      </c>
      <c r="I261" s="17" t="s">
        <v>126</v>
      </c>
      <c r="J261" s="17" t="s">
        <v>126</v>
      </c>
      <c r="K261" s="17" t="s">
        <v>126</v>
      </c>
      <c r="L261" s="17" t="s">
        <v>126</v>
      </c>
      <c r="M261" s="17" t="s">
        <v>126</v>
      </c>
      <c r="N261" s="17" t="s">
        <v>126</v>
      </c>
      <c r="O261" s="17" t="s">
        <v>126</v>
      </c>
      <c r="P261" s="17" t="s">
        <v>126</v>
      </c>
      <c r="Q261" s="16">
        <v>402</v>
      </c>
      <c r="R261" s="10" t="s">
        <v>301</v>
      </c>
      <c r="S261" s="17" t="s">
        <v>126</v>
      </c>
      <c r="T261" s="17" t="s">
        <v>126</v>
      </c>
      <c r="U261" s="17" t="s">
        <v>126</v>
      </c>
      <c r="V261" s="17" t="s">
        <v>126</v>
      </c>
      <c r="W261" s="17" t="s">
        <v>126</v>
      </c>
      <c r="X261" s="17" t="s">
        <v>126</v>
      </c>
      <c r="Y261" s="17" t="s">
        <v>126</v>
      </c>
      <c r="Z261" s="17" t="s">
        <v>126</v>
      </c>
      <c r="AA261" s="17" t="s">
        <v>126</v>
      </c>
      <c r="AB261" s="17" t="s">
        <v>126</v>
      </c>
      <c r="AC261" s="17" t="s">
        <v>126</v>
      </c>
      <c r="AD261" s="17" t="s">
        <v>126</v>
      </c>
      <c r="AE261" s="17" t="s">
        <v>126</v>
      </c>
      <c r="AF261" s="17" t="s">
        <v>126</v>
      </c>
      <c r="AG261" s="17" t="s">
        <v>126</v>
      </c>
      <c r="AH261" s="17" t="s">
        <v>126</v>
      </c>
      <c r="AI261" s="5" t="e">
        <f t="shared" si="19"/>
        <v>#VALUE!</v>
      </c>
      <c r="AJ261" s="5" t="e">
        <f t="shared" si="20"/>
        <v>#VALUE!</v>
      </c>
      <c r="AK261" s="5" t="e">
        <f t="shared" si="21"/>
        <v>#VALUE!</v>
      </c>
      <c r="AL261" s="5" t="e">
        <f t="shared" si="22"/>
        <v>#VALUE!</v>
      </c>
      <c r="AM261" s="5" t="e">
        <f t="shared" si="23"/>
        <v>#VALUE!</v>
      </c>
    </row>
    <row r="262" spans="1:39" ht="15" customHeight="1" thickBot="1" x14ac:dyDescent="0.35">
      <c r="A262">
        <f t="shared" si="18"/>
        <v>0</v>
      </c>
      <c r="B262" s="18">
        <v>403</v>
      </c>
      <c r="C262" s="11" t="s">
        <v>302</v>
      </c>
      <c r="D262" s="19" t="s">
        <v>126</v>
      </c>
      <c r="E262" s="19" t="s">
        <v>126</v>
      </c>
      <c r="F262" s="19" t="s">
        <v>126</v>
      </c>
      <c r="G262" s="19" t="s">
        <v>126</v>
      </c>
      <c r="H262" s="19" t="s">
        <v>126</v>
      </c>
      <c r="I262" s="19" t="s">
        <v>126</v>
      </c>
      <c r="J262" s="19" t="s">
        <v>126</v>
      </c>
      <c r="K262" s="19" t="s">
        <v>126</v>
      </c>
      <c r="L262" s="19" t="s">
        <v>126</v>
      </c>
      <c r="M262" s="19" t="s">
        <v>126</v>
      </c>
      <c r="N262" s="19" t="s">
        <v>126</v>
      </c>
      <c r="O262" s="19" t="s">
        <v>126</v>
      </c>
      <c r="P262" s="19" t="s">
        <v>126</v>
      </c>
      <c r="Q262" s="18">
        <v>403</v>
      </c>
      <c r="R262" s="11" t="s">
        <v>302</v>
      </c>
      <c r="S262" s="19" t="s">
        <v>126</v>
      </c>
      <c r="T262" s="19" t="s">
        <v>126</v>
      </c>
      <c r="U262" s="19" t="s">
        <v>126</v>
      </c>
      <c r="V262" s="19" t="s">
        <v>126</v>
      </c>
      <c r="W262" s="19" t="s">
        <v>126</v>
      </c>
      <c r="X262" s="19" t="s">
        <v>126</v>
      </c>
      <c r="Y262" s="19" t="s">
        <v>126</v>
      </c>
      <c r="Z262" s="19" t="s">
        <v>126</v>
      </c>
      <c r="AA262" s="19" t="s">
        <v>126</v>
      </c>
      <c r="AB262" s="19" t="s">
        <v>126</v>
      </c>
      <c r="AC262" s="19" t="s">
        <v>126</v>
      </c>
      <c r="AD262" s="19" t="s">
        <v>126</v>
      </c>
      <c r="AE262" s="19" t="s">
        <v>126</v>
      </c>
      <c r="AF262" s="19" t="s">
        <v>126</v>
      </c>
      <c r="AG262" s="19" t="s">
        <v>126</v>
      </c>
      <c r="AH262" s="19" t="s">
        <v>126</v>
      </c>
      <c r="AI262" s="5" t="e">
        <f t="shared" si="19"/>
        <v>#VALUE!</v>
      </c>
      <c r="AJ262" s="5" t="e">
        <f t="shared" si="20"/>
        <v>#VALUE!</v>
      </c>
      <c r="AK262" s="5" t="e">
        <f t="shared" si="21"/>
        <v>#VALUE!</v>
      </c>
      <c r="AL262" s="5" t="e">
        <f t="shared" si="22"/>
        <v>#VALUE!</v>
      </c>
      <c r="AM262" s="5" t="e">
        <f t="shared" si="23"/>
        <v>#VALUE!</v>
      </c>
    </row>
    <row r="263" spans="1:39" ht="15" customHeight="1" thickBot="1" x14ac:dyDescent="0.35">
      <c r="A263">
        <f t="shared" ref="A263:A326" si="24">IFERROR((AI263*AI$3+AJ263*AJ$3+AK263*AK$3+AL263*AL$3+AM263*AM$3)*100/(AI$5*AI$3+AJ$5*AJ$3+AK$5*AK$3+AL$5*AL$3+AM$5*AM$3),0)</f>
        <v>0</v>
      </c>
      <c r="B263" s="16">
        <v>404</v>
      </c>
      <c r="C263" s="10" t="s">
        <v>303</v>
      </c>
      <c r="D263" s="17" t="s">
        <v>126</v>
      </c>
      <c r="E263" s="17" t="s">
        <v>126</v>
      </c>
      <c r="F263" s="17" t="s">
        <v>126</v>
      </c>
      <c r="G263" s="17" t="s">
        <v>126</v>
      </c>
      <c r="H263" s="17" t="s">
        <v>126</v>
      </c>
      <c r="I263" s="17" t="s">
        <v>126</v>
      </c>
      <c r="J263" s="17" t="s">
        <v>126</v>
      </c>
      <c r="K263" s="17" t="s">
        <v>126</v>
      </c>
      <c r="L263" s="17" t="s">
        <v>126</v>
      </c>
      <c r="M263" s="17" t="s">
        <v>126</v>
      </c>
      <c r="N263" s="17" t="s">
        <v>126</v>
      </c>
      <c r="O263" s="17" t="s">
        <v>126</v>
      </c>
      <c r="P263" s="17" t="s">
        <v>126</v>
      </c>
      <c r="Q263" s="16">
        <v>404</v>
      </c>
      <c r="R263" s="10" t="s">
        <v>303</v>
      </c>
      <c r="S263" s="17" t="s">
        <v>126</v>
      </c>
      <c r="T263" s="17" t="s">
        <v>126</v>
      </c>
      <c r="U263" s="17" t="s">
        <v>126</v>
      </c>
      <c r="V263" s="17" t="s">
        <v>126</v>
      </c>
      <c r="W263" s="17" t="s">
        <v>126</v>
      </c>
      <c r="X263" s="17" t="s">
        <v>126</v>
      </c>
      <c r="Y263" s="17" t="s">
        <v>126</v>
      </c>
      <c r="Z263" s="17" t="s">
        <v>126</v>
      </c>
      <c r="AA263" s="17" t="s">
        <v>126</v>
      </c>
      <c r="AB263" s="17" t="s">
        <v>126</v>
      </c>
      <c r="AC263" s="17" t="s">
        <v>126</v>
      </c>
      <c r="AD263" s="17" t="s">
        <v>126</v>
      </c>
      <c r="AE263" s="17" t="s">
        <v>126</v>
      </c>
      <c r="AF263" s="17" t="s">
        <v>126</v>
      </c>
      <c r="AG263" s="17" t="s">
        <v>126</v>
      </c>
      <c r="AH263" s="17" t="s">
        <v>126</v>
      </c>
      <c r="AI263" s="5" t="e">
        <f t="shared" ref="AI263:AI326" si="25">H$1*((-0.000002)*H263^3+0.00032*H263^2+(-0.0021)*H263)+I$1*((-0.000002)*I263^3+0.00032*I263^2+(-0.0021)*I263)+J$1*((-0.000002)*J263^3+0.00032*J263^2+(-0.0021)*J263)+K$1*((-0.000002)*K263^3+0.00032*K263^2+(-0.0021)*K263)+L$1*((-0.000002)*L263^3+0.00032*L263^2+(-0.0021)*L263)</f>
        <v>#VALUE!</v>
      </c>
      <c r="AJ263" s="5" t="e">
        <f t="shared" ref="AJ263:AJ326" si="26">M$1*((-0.000002)*M263^3+0.00032*M263^2+(-0.0021)*M263)+N$1*((-0.000002)*N263^3+0.00032*N263^2+(-0.0021)*N263)+O$1*((-0.000002)*O263^3+0.00032*O263^2+(-0.0021)*O263)</f>
        <v>#VALUE!</v>
      </c>
      <c r="AK263" s="5" t="e">
        <f t="shared" ref="AK263:AK326" si="27">IF(AA263&lt;50,W$1*((-0.000002)*W263^3+0.00032*W263^2+(-0.0021)*W263)+X$1*((-0.000002)*X263^3+0.00032*X263^2+(-0.0021)*X263)+Y$1*((-0.000002)*Y263^3+0.00032*Y263^2+(-0.0021)*Y263)+Z$1*((-0.000002)*Z263^3+0.00032*Z263^2+(-0.0021)*Z263),X$2*((-0.000002)*X263^3+0.00032*X263^2+(-0.0021)*X263)+Y$2*((-0.000002)*Y263^3+0.00032*Y263^2+(-0.0021)*Y263)+Z$2*((-0.000002)*Z263^3+0.00032*Z263^2+(-0.0021)*Z263)+AA$2*((-0.000002)*AA263^3+0.00032*AA263^2+(-0.0021)*AA263))</f>
        <v>#VALUE!</v>
      </c>
      <c r="AL263" s="5" t="e">
        <f t="shared" ref="AL263:AL326" si="28">AB$1*((-0.000002)*AB263^3+0.00032*AB263^2+(-0.0021)*AB263)+AC$1*((-0.000002)*AC263^3+0.00032*AC263^2+(-0.0021)*AC263)</f>
        <v>#VALUE!</v>
      </c>
      <c r="AM263" s="5" t="e">
        <f t="shared" ref="AM263:AM326" si="29">AD$1*((-0.000002)*AD263^3+0.00032*AD263^2+(-0.0021)*AD263)+AE$1*((-0.000002)*AE263^3+0.00032*AE263^2+(-0.0021)*AE263)+AF$1*((-0.000002)*AF263^3+0.00032*AF263^2+(-0.0021)*AF263)+AG$1*((-0.000002)*AG263^3+0.00032*AG263^2+(-0.0021)*AG263)</f>
        <v>#VALUE!</v>
      </c>
    </row>
    <row r="264" spans="1:39" ht="15" customHeight="1" thickBot="1" x14ac:dyDescent="0.35">
      <c r="A264">
        <f t="shared" si="24"/>
        <v>0</v>
      </c>
      <c r="B264" s="18">
        <v>405</v>
      </c>
      <c r="C264" s="11" t="s">
        <v>304</v>
      </c>
      <c r="D264" s="19" t="s">
        <v>126</v>
      </c>
      <c r="E264" s="19" t="s">
        <v>126</v>
      </c>
      <c r="F264" s="19" t="s">
        <v>126</v>
      </c>
      <c r="G264" s="19" t="s">
        <v>126</v>
      </c>
      <c r="H264" s="19" t="s">
        <v>126</v>
      </c>
      <c r="I264" s="19" t="s">
        <v>126</v>
      </c>
      <c r="J264" s="19" t="s">
        <v>126</v>
      </c>
      <c r="K264" s="19" t="s">
        <v>126</v>
      </c>
      <c r="L264" s="19" t="s">
        <v>126</v>
      </c>
      <c r="M264" s="19" t="s">
        <v>126</v>
      </c>
      <c r="N264" s="19" t="s">
        <v>126</v>
      </c>
      <c r="O264" s="19" t="s">
        <v>126</v>
      </c>
      <c r="P264" s="19" t="s">
        <v>126</v>
      </c>
      <c r="Q264" s="18">
        <v>405</v>
      </c>
      <c r="R264" s="11" t="s">
        <v>304</v>
      </c>
      <c r="S264" s="19" t="s">
        <v>126</v>
      </c>
      <c r="T264" s="19" t="s">
        <v>126</v>
      </c>
      <c r="U264" s="19" t="s">
        <v>126</v>
      </c>
      <c r="V264" s="19" t="s">
        <v>126</v>
      </c>
      <c r="W264" s="19" t="s">
        <v>126</v>
      </c>
      <c r="X264" s="19" t="s">
        <v>126</v>
      </c>
      <c r="Y264" s="19" t="s">
        <v>126</v>
      </c>
      <c r="Z264" s="19" t="s">
        <v>126</v>
      </c>
      <c r="AA264" s="19" t="s">
        <v>126</v>
      </c>
      <c r="AB264" s="19" t="s">
        <v>126</v>
      </c>
      <c r="AC264" s="19" t="s">
        <v>126</v>
      </c>
      <c r="AD264" s="19" t="s">
        <v>126</v>
      </c>
      <c r="AE264" s="19" t="s">
        <v>126</v>
      </c>
      <c r="AF264" s="19" t="s">
        <v>126</v>
      </c>
      <c r="AG264" s="19" t="s">
        <v>126</v>
      </c>
      <c r="AH264" s="19" t="s">
        <v>126</v>
      </c>
      <c r="AI264" s="5" t="e">
        <f t="shared" si="25"/>
        <v>#VALUE!</v>
      </c>
      <c r="AJ264" s="5" t="e">
        <f t="shared" si="26"/>
        <v>#VALUE!</v>
      </c>
      <c r="AK264" s="5" t="e">
        <f t="shared" si="27"/>
        <v>#VALUE!</v>
      </c>
      <c r="AL264" s="5" t="e">
        <f t="shared" si="28"/>
        <v>#VALUE!</v>
      </c>
      <c r="AM264" s="5" t="e">
        <f t="shared" si="29"/>
        <v>#VALUE!</v>
      </c>
    </row>
    <row r="265" spans="1:39" ht="15" customHeight="1" thickBot="1" x14ac:dyDescent="0.35">
      <c r="A265">
        <f t="shared" si="24"/>
        <v>0</v>
      </c>
      <c r="B265" s="16">
        <v>406</v>
      </c>
      <c r="C265" s="10" t="s">
        <v>305</v>
      </c>
      <c r="D265" s="17" t="s">
        <v>126</v>
      </c>
      <c r="E265" s="17" t="s">
        <v>126</v>
      </c>
      <c r="F265" s="17" t="s">
        <v>126</v>
      </c>
      <c r="G265" s="17" t="s">
        <v>126</v>
      </c>
      <c r="H265" s="17" t="s">
        <v>126</v>
      </c>
      <c r="I265" s="17" t="s">
        <v>126</v>
      </c>
      <c r="J265" s="17" t="s">
        <v>126</v>
      </c>
      <c r="K265" s="17" t="s">
        <v>126</v>
      </c>
      <c r="L265" s="17" t="s">
        <v>126</v>
      </c>
      <c r="M265" s="17" t="s">
        <v>126</v>
      </c>
      <c r="N265" s="17" t="s">
        <v>126</v>
      </c>
      <c r="O265" s="17" t="s">
        <v>126</v>
      </c>
      <c r="P265" s="17" t="s">
        <v>126</v>
      </c>
      <c r="Q265" s="16">
        <v>406</v>
      </c>
      <c r="R265" s="10" t="s">
        <v>305</v>
      </c>
      <c r="S265" s="17" t="s">
        <v>126</v>
      </c>
      <c r="T265" s="17" t="s">
        <v>126</v>
      </c>
      <c r="U265" s="17" t="s">
        <v>126</v>
      </c>
      <c r="V265" s="17" t="s">
        <v>126</v>
      </c>
      <c r="W265" s="17" t="s">
        <v>126</v>
      </c>
      <c r="X265" s="17" t="s">
        <v>126</v>
      </c>
      <c r="Y265" s="17" t="s">
        <v>126</v>
      </c>
      <c r="Z265" s="17" t="s">
        <v>126</v>
      </c>
      <c r="AA265" s="17" t="s">
        <v>126</v>
      </c>
      <c r="AB265" s="17" t="s">
        <v>126</v>
      </c>
      <c r="AC265" s="17" t="s">
        <v>126</v>
      </c>
      <c r="AD265" s="17" t="s">
        <v>126</v>
      </c>
      <c r="AE265" s="17" t="s">
        <v>126</v>
      </c>
      <c r="AF265" s="17" t="s">
        <v>126</v>
      </c>
      <c r="AG265" s="17" t="s">
        <v>126</v>
      </c>
      <c r="AH265" s="17" t="s">
        <v>126</v>
      </c>
      <c r="AI265" s="5" t="e">
        <f t="shared" si="25"/>
        <v>#VALUE!</v>
      </c>
      <c r="AJ265" s="5" t="e">
        <f t="shared" si="26"/>
        <v>#VALUE!</v>
      </c>
      <c r="AK265" s="5" t="e">
        <f t="shared" si="27"/>
        <v>#VALUE!</v>
      </c>
      <c r="AL265" s="5" t="e">
        <f t="shared" si="28"/>
        <v>#VALUE!</v>
      </c>
      <c r="AM265" s="5" t="e">
        <f t="shared" si="29"/>
        <v>#VALUE!</v>
      </c>
    </row>
    <row r="266" spans="1:39" ht="15" customHeight="1" thickBot="1" x14ac:dyDescent="0.35">
      <c r="A266">
        <f t="shared" si="24"/>
        <v>0</v>
      </c>
      <c r="B266" s="18">
        <v>407</v>
      </c>
      <c r="C266" s="11" t="s">
        <v>306</v>
      </c>
      <c r="D266" s="19" t="s">
        <v>126</v>
      </c>
      <c r="E266" s="19" t="s">
        <v>126</v>
      </c>
      <c r="F266" s="19" t="s">
        <v>126</v>
      </c>
      <c r="G266" s="19" t="s">
        <v>126</v>
      </c>
      <c r="H266" s="19" t="s">
        <v>126</v>
      </c>
      <c r="I266" s="19" t="s">
        <v>126</v>
      </c>
      <c r="J266" s="19" t="s">
        <v>126</v>
      </c>
      <c r="K266" s="19" t="s">
        <v>126</v>
      </c>
      <c r="L266" s="19" t="s">
        <v>126</v>
      </c>
      <c r="M266" s="19" t="s">
        <v>126</v>
      </c>
      <c r="N266" s="19" t="s">
        <v>126</v>
      </c>
      <c r="O266" s="19" t="s">
        <v>126</v>
      </c>
      <c r="P266" s="19" t="s">
        <v>126</v>
      </c>
      <c r="Q266" s="18">
        <v>407</v>
      </c>
      <c r="R266" s="11" t="s">
        <v>306</v>
      </c>
      <c r="S266" s="19" t="s">
        <v>126</v>
      </c>
      <c r="T266" s="19" t="s">
        <v>126</v>
      </c>
      <c r="U266" s="19" t="s">
        <v>126</v>
      </c>
      <c r="V266" s="19" t="s">
        <v>126</v>
      </c>
      <c r="W266" s="19" t="s">
        <v>126</v>
      </c>
      <c r="X266" s="19" t="s">
        <v>126</v>
      </c>
      <c r="Y266" s="19" t="s">
        <v>126</v>
      </c>
      <c r="Z266" s="19" t="s">
        <v>126</v>
      </c>
      <c r="AA266" s="19" t="s">
        <v>126</v>
      </c>
      <c r="AB266" s="19" t="s">
        <v>126</v>
      </c>
      <c r="AC266" s="19" t="s">
        <v>126</v>
      </c>
      <c r="AD266" s="19" t="s">
        <v>126</v>
      </c>
      <c r="AE266" s="19" t="s">
        <v>126</v>
      </c>
      <c r="AF266" s="19" t="s">
        <v>126</v>
      </c>
      <c r="AG266" s="19" t="s">
        <v>126</v>
      </c>
      <c r="AH266" s="19" t="s">
        <v>126</v>
      </c>
      <c r="AI266" s="5" t="e">
        <f t="shared" si="25"/>
        <v>#VALUE!</v>
      </c>
      <c r="AJ266" s="5" t="e">
        <f t="shared" si="26"/>
        <v>#VALUE!</v>
      </c>
      <c r="AK266" s="5" t="e">
        <f t="shared" si="27"/>
        <v>#VALUE!</v>
      </c>
      <c r="AL266" s="5" t="e">
        <f t="shared" si="28"/>
        <v>#VALUE!</v>
      </c>
      <c r="AM266" s="5" t="e">
        <f t="shared" si="29"/>
        <v>#VALUE!</v>
      </c>
    </row>
    <row r="267" spans="1:39" ht="15" customHeight="1" thickBot="1" x14ac:dyDescent="0.35">
      <c r="A267">
        <f t="shared" si="24"/>
        <v>0</v>
      </c>
      <c r="B267" s="16">
        <v>408</v>
      </c>
      <c r="C267" s="10" t="s">
        <v>307</v>
      </c>
      <c r="D267" s="17" t="s">
        <v>126</v>
      </c>
      <c r="E267" s="17" t="s">
        <v>126</v>
      </c>
      <c r="F267" s="17" t="s">
        <v>126</v>
      </c>
      <c r="G267" s="17" t="s">
        <v>126</v>
      </c>
      <c r="H267" s="17" t="s">
        <v>126</v>
      </c>
      <c r="I267" s="17" t="s">
        <v>126</v>
      </c>
      <c r="J267" s="17" t="s">
        <v>126</v>
      </c>
      <c r="K267" s="17" t="s">
        <v>126</v>
      </c>
      <c r="L267" s="17" t="s">
        <v>126</v>
      </c>
      <c r="M267" s="17" t="s">
        <v>126</v>
      </c>
      <c r="N267" s="17" t="s">
        <v>126</v>
      </c>
      <c r="O267" s="17" t="s">
        <v>126</v>
      </c>
      <c r="P267" s="17" t="s">
        <v>126</v>
      </c>
      <c r="Q267" s="16">
        <v>408</v>
      </c>
      <c r="R267" s="10" t="s">
        <v>307</v>
      </c>
      <c r="S267" s="17" t="s">
        <v>126</v>
      </c>
      <c r="T267" s="17" t="s">
        <v>126</v>
      </c>
      <c r="U267" s="17" t="s">
        <v>126</v>
      </c>
      <c r="V267" s="17" t="s">
        <v>126</v>
      </c>
      <c r="W267" s="17" t="s">
        <v>126</v>
      </c>
      <c r="X267" s="17" t="s">
        <v>126</v>
      </c>
      <c r="Y267" s="17" t="s">
        <v>126</v>
      </c>
      <c r="Z267" s="17" t="s">
        <v>126</v>
      </c>
      <c r="AA267" s="17" t="s">
        <v>126</v>
      </c>
      <c r="AB267" s="17" t="s">
        <v>126</v>
      </c>
      <c r="AC267" s="17" t="s">
        <v>126</v>
      </c>
      <c r="AD267" s="17" t="s">
        <v>126</v>
      </c>
      <c r="AE267" s="17" t="s">
        <v>126</v>
      </c>
      <c r="AF267" s="17" t="s">
        <v>126</v>
      </c>
      <c r="AG267" s="17" t="s">
        <v>126</v>
      </c>
      <c r="AH267" s="17" t="s">
        <v>126</v>
      </c>
      <c r="AI267" s="5" t="e">
        <f t="shared" si="25"/>
        <v>#VALUE!</v>
      </c>
      <c r="AJ267" s="5" t="e">
        <f t="shared" si="26"/>
        <v>#VALUE!</v>
      </c>
      <c r="AK267" s="5" t="e">
        <f t="shared" si="27"/>
        <v>#VALUE!</v>
      </c>
      <c r="AL267" s="5" t="e">
        <f t="shared" si="28"/>
        <v>#VALUE!</v>
      </c>
      <c r="AM267" s="5" t="e">
        <f t="shared" si="29"/>
        <v>#VALUE!</v>
      </c>
    </row>
    <row r="268" spans="1:39" ht="15" customHeight="1" thickBot="1" x14ac:dyDescent="0.35">
      <c r="A268">
        <f t="shared" si="24"/>
        <v>0</v>
      </c>
      <c r="B268" s="18">
        <v>409</v>
      </c>
      <c r="C268" s="11" t="s">
        <v>308</v>
      </c>
      <c r="D268" s="19" t="s">
        <v>126</v>
      </c>
      <c r="E268" s="19" t="s">
        <v>126</v>
      </c>
      <c r="F268" s="19" t="s">
        <v>126</v>
      </c>
      <c r="G268" s="19" t="s">
        <v>126</v>
      </c>
      <c r="H268" s="19" t="s">
        <v>126</v>
      </c>
      <c r="I268" s="19" t="s">
        <v>126</v>
      </c>
      <c r="J268" s="19" t="s">
        <v>126</v>
      </c>
      <c r="K268" s="19" t="s">
        <v>126</v>
      </c>
      <c r="L268" s="19" t="s">
        <v>126</v>
      </c>
      <c r="M268" s="19" t="s">
        <v>126</v>
      </c>
      <c r="N268" s="19" t="s">
        <v>126</v>
      </c>
      <c r="O268" s="19" t="s">
        <v>126</v>
      </c>
      <c r="P268" s="19" t="s">
        <v>126</v>
      </c>
      <c r="Q268" s="18">
        <v>409</v>
      </c>
      <c r="R268" s="11" t="s">
        <v>308</v>
      </c>
      <c r="S268" s="19" t="s">
        <v>126</v>
      </c>
      <c r="T268" s="19" t="s">
        <v>126</v>
      </c>
      <c r="U268" s="19" t="s">
        <v>126</v>
      </c>
      <c r="V268" s="19" t="s">
        <v>126</v>
      </c>
      <c r="W268" s="19" t="s">
        <v>126</v>
      </c>
      <c r="X268" s="19" t="s">
        <v>126</v>
      </c>
      <c r="Y268" s="19" t="s">
        <v>126</v>
      </c>
      <c r="Z268" s="19" t="s">
        <v>126</v>
      </c>
      <c r="AA268" s="19" t="s">
        <v>126</v>
      </c>
      <c r="AB268" s="19" t="s">
        <v>126</v>
      </c>
      <c r="AC268" s="19" t="s">
        <v>126</v>
      </c>
      <c r="AD268" s="19" t="s">
        <v>126</v>
      </c>
      <c r="AE268" s="19" t="s">
        <v>126</v>
      </c>
      <c r="AF268" s="19" t="s">
        <v>126</v>
      </c>
      <c r="AG268" s="19" t="s">
        <v>126</v>
      </c>
      <c r="AH268" s="19" t="s">
        <v>126</v>
      </c>
      <c r="AI268" s="5" t="e">
        <f t="shared" si="25"/>
        <v>#VALUE!</v>
      </c>
      <c r="AJ268" s="5" t="e">
        <f t="shared" si="26"/>
        <v>#VALUE!</v>
      </c>
      <c r="AK268" s="5" t="e">
        <f t="shared" si="27"/>
        <v>#VALUE!</v>
      </c>
      <c r="AL268" s="5" t="e">
        <f t="shared" si="28"/>
        <v>#VALUE!</v>
      </c>
      <c r="AM268" s="5" t="e">
        <f t="shared" si="29"/>
        <v>#VALUE!</v>
      </c>
    </row>
    <row r="269" spans="1:39" ht="15" customHeight="1" thickBot="1" x14ac:dyDescent="0.35">
      <c r="A269">
        <f t="shared" si="24"/>
        <v>0</v>
      </c>
      <c r="B269" s="16">
        <v>410</v>
      </c>
      <c r="C269" s="10" t="s">
        <v>309</v>
      </c>
      <c r="D269" s="17" t="s">
        <v>126</v>
      </c>
      <c r="E269" s="17" t="s">
        <v>126</v>
      </c>
      <c r="F269" s="17" t="s">
        <v>126</v>
      </c>
      <c r="G269" s="17" t="s">
        <v>126</v>
      </c>
      <c r="H269" s="17" t="s">
        <v>126</v>
      </c>
      <c r="I269" s="17" t="s">
        <v>126</v>
      </c>
      <c r="J269" s="17" t="s">
        <v>126</v>
      </c>
      <c r="K269" s="17" t="s">
        <v>126</v>
      </c>
      <c r="L269" s="17" t="s">
        <v>126</v>
      </c>
      <c r="M269" s="17" t="s">
        <v>126</v>
      </c>
      <c r="N269" s="17" t="s">
        <v>126</v>
      </c>
      <c r="O269" s="17" t="s">
        <v>126</v>
      </c>
      <c r="P269" s="17" t="s">
        <v>126</v>
      </c>
      <c r="Q269" s="16">
        <v>410</v>
      </c>
      <c r="R269" s="10" t="s">
        <v>309</v>
      </c>
      <c r="S269" s="17" t="s">
        <v>126</v>
      </c>
      <c r="T269" s="17" t="s">
        <v>126</v>
      </c>
      <c r="U269" s="17" t="s">
        <v>126</v>
      </c>
      <c r="V269" s="17" t="s">
        <v>126</v>
      </c>
      <c r="W269" s="17" t="s">
        <v>126</v>
      </c>
      <c r="X269" s="17" t="s">
        <v>126</v>
      </c>
      <c r="Y269" s="17" t="s">
        <v>126</v>
      </c>
      <c r="Z269" s="17" t="s">
        <v>126</v>
      </c>
      <c r="AA269" s="17" t="s">
        <v>126</v>
      </c>
      <c r="AB269" s="17" t="s">
        <v>126</v>
      </c>
      <c r="AC269" s="17" t="s">
        <v>126</v>
      </c>
      <c r="AD269" s="17" t="s">
        <v>126</v>
      </c>
      <c r="AE269" s="17" t="s">
        <v>126</v>
      </c>
      <c r="AF269" s="17" t="s">
        <v>126</v>
      </c>
      <c r="AG269" s="17" t="s">
        <v>126</v>
      </c>
      <c r="AH269" s="17" t="s">
        <v>126</v>
      </c>
      <c r="AI269" s="5" t="e">
        <f t="shared" si="25"/>
        <v>#VALUE!</v>
      </c>
      <c r="AJ269" s="5" t="e">
        <f t="shared" si="26"/>
        <v>#VALUE!</v>
      </c>
      <c r="AK269" s="5" t="e">
        <f t="shared" si="27"/>
        <v>#VALUE!</v>
      </c>
      <c r="AL269" s="5" t="e">
        <f t="shared" si="28"/>
        <v>#VALUE!</v>
      </c>
      <c r="AM269" s="5" t="e">
        <f t="shared" si="29"/>
        <v>#VALUE!</v>
      </c>
    </row>
    <row r="270" spans="1:39" ht="15" customHeight="1" thickBot="1" x14ac:dyDescent="0.35">
      <c r="A270">
        <f t="shared" si="24"/>
        <v>0</v>
      </c>
      <c r="B270" s="18">
        <v>411</v>
      </c>
      <c r="C270" s="11" t="s">
        <v>310</v>
      </c>
      <c r="D270" s="19" t="s">
        <v>126</v>
      </c>
      <c r="E270" s="19" t="s">
        <v>126</v>
      </c>
      <c r="F270" s="19" t="s">
        <v>126</v>
      </c>
      <c r="G270" s="19" t="s">
        <v>126</v>
      </c>
      <c r="H270" s="19" t="s">
        <v>126</v>
      </c>
      <c r="I270" s="19" t="s">
        <v>126</v>
      </c>
      <c r="J270" s="19" t="s">
        <v>126</v>
      </c>
      <c r="K270" s="19" t="s">
        <v>126</v>
      </c>
      <c r="L270" s="19" t="s">
        <v>126</v>
      </c>
      <c r="M270" s="19" t="s">
        <v>126</v>
      </c>
      <c r="N270" s="19" t="s">
        <v>126</v>
      </c>
      <c r="O270" s="19" t="s">
        <v>126</v>
      </c>
      <c r="P270" s="19" t="s">
        <v>126</v>
      </c>
      <c r="Q270" s="18">
        <v>411</v>
      </c>
      <c r="R270" s="11" t="s">
        <v>310</v>
      </c>
      <c r="S270" s="19" t="s">
        <v>126</v>
      </c>
      <c r="T270" s="19" t="s">
        <v>126</v>
      </c>
      <c r="U270" s="19" t="s">
        <v>126</v>
      </c>
      <c r="V270" s="19" t="s">
        <v>126</v>
      </c>
      <c r="W270" s="19" t="s">
        <v>126</v>
      </c>
      <c r="X270" s="19" t="s">
        <v>126</v>
      </c>
      <c r="Y270" s="19" t="s">
        <v>126</v>
      </c>
      <c r="Z270" s="19" t="s">
        <v>126</v>
      </c>
      <c r="AA270" s="19" t="s">
        <v>126</v>
      </c>
      <c r="AB270" s="19" t="s">
        <v>126</v>
      </c>
      <c r="AC270" s="19" t="s">
        <v>126</v>
      </c>
      <c r="AD270" s="19" t="s">
        <v>126</v>
      </c>
      <c r="AE270" s="19" t="s">
        <v>126</v>
      </c>
      <c r="AF270" s="19" t="s">
        <v>126</v>
      </c>
      <c r="AG270" s="19" t="s">
        <v>126</v>
      </c>
      <c r="AH270" s="19" t="s">
        <v>126</v>
      </c>
      <c r="AI270" s="5" t="e">
        <f t="shared" si="25"/>
        <v>#VALUE!</v>
      </c>
      <c r="AJ270" s="5" t="e">
        <f t="shared" si="26"/>
        <v>#VALUE!</v>
      </c>
      <c r="AK270" s="5" t="e">
        <f t="shared" si="27"/>
        <v>#VALUE!</v>
      </c>
      <c r="AL270" s="5" t="e">
        <f t="shared" si="28"/>
        <v>#VALUE!</v>
      </c>
      <c r="AM270" s="5" t="e">
        <f t="shared" si="29"/>
        <v>#VALUE!</v>
      </c>
    </row>
    <row r="271" spans="1:39" ht="15" customHeight="1" thickBot="1" x14ac:dyDescent="0.35">
      <c r="A271">
        <f t="shared" si="24"/>
        <v>0</v>
      </c>
      <c r="B271" s="16">
        <v>412</v>
      </c>
      <c r="C271" s="10" t="s">
        <v>311</v>
      </c>
      <c r="D271" s="17" t="s">
        <v>126</v>
      </c>
      <c r="E271" s="17" t="s">
        <v>126</v>
      </c>
      <c r="F271" s="17" t="s">
        <v>126</v>
      </c>
      <c r="G271" s="17" t="s">
        <v>126</v>
      </c>
      <c r="H271" s="17" t="s">
        <v>126</v>
      </c>
      <c r="I271" s="17" t="s">
        <v>126</v>
      </c>
      <c r="J271" s="17" t="s">
        <v>126</v>
      </c>
      <c r="K271" s="17" t="s">
        <v>126</v>
      </c>
      <c r="L271" s="17" t="s">
        <v>126</v>
      </c>
      <c r="M271" s="17" t="s">
        <v>126</v>
      </c>
      <c r="N271" s="17" t="s">
        <v>126</v>
      </c>
      <c r="O271" s="17" t="s">
        <v>126</v>
      </c>
      <c r="P271" s="17" t="s">
        <v>126</v>
      </c>
      <c r="Q271" s="16">
        <v>412</v>
      </c>
      <c r="R271" s="10" t="s">
        <v>311</v>
      </c>
      <c r="S271" s="17" t="s">
        <v>126</v>
      </c>
      <c r="T271" s="17" t="s">
        <v>126</v>
      </c>
      <c r="U271" s="17" t="s">
        <v>126</v>
      </c>
      <c r="V271" s="17" t="s">
        <v>126</v>
      </c>
      <c r="W271" s="17" t="s">
        <v>126</v>
      </c>
      <c r="X271" s="17" t="s">
        <v>126</v>
      </c>
      <c r="Y271" s="17" t="s">
        <v>126</v>
      </c>
      <c r="Z271" s="17" t="s">
        <v>126</v>
      </c>
      <c r="AA271" s="17" t="s">
        <v>126</v>
      </c>
      <c r="AB271" s="17" t="s">
        <v>126</v>
      </c>
      <c r="AC271" s="17" t="s">
        <v>126</v>
      </c>
      <c r="AD271" s="17" t="s">
        <v>126</v>
      </c>
      <c r="AE271" s="17" t="s">
        <v>126</v>
      </c>
      <c r="AF271" s="17" t="s">
        <v>126</v>
      </c>
      <c r="AG271" s="17" t="s">
        <v>126</v>
      </c>
      <c r="AH271" s="17" t="s">
        <v>126</v>
      </c>
      <c r="AI271" s="5" t="e">
        <f t="shared" si="25"/>
        <v>#VALUE!</v>
      </c>
      <c r="AJ271" s="5" t="e">
        <f t="shared" si="26"/>
        <v>#VALUE!</v>
      </c>
      <c r="AK271" s="5" t="e">
        <f t="shared" si="27"/>
        <v>#VALUE!</v>
      </c>
      <c r="AL271" s="5" t="e">
        <f t="shared" si="28"/>
        <v>#VALUE!</v>
      </c>
      <c r="AM271" s="5" t="e">
        <f t="shared" si="29"/>
        <v>#VALUE!</v>
      </c>
    </row>
    <row r="272" spans="1:39" ht="15" customHeight="1" thickBot="1" x14ac:dyDescent="0.35">
      <c r="A272">
        <f t="shared" si="24"/>
        <v>0</v>
      </c>
      <c r="B272" s="18">
        <v>413</v>
      </c>
      <c r="C272" s="11" t="s">
        <v>312</v>
      </c>
      <c r="D272" s="19" t="s">
        <v>126</v>
      </c>
      <c r="E272" s="19" t="s">
        <v>126</v>
      </c>
      <c r="F272" s="19" t="s">
        <v>126</v>
      </c>
      <c r="G272" s="19" t="s">
        <v>126</v>
      </c>
      <c r="H272" s="19" t="s">
        <v>126</v>
      </c>
      <c r="I272" s="19" t="s">
        <v>126</v>
      </c>
      <c r="J272" s="19" t="s">
        <v>126</v>
      </c>
      <c r="K272" s="19" t="s">
        <v>126</v>
      </c>
      <c r="L272" s="19" t="s">
        <v>126</v>
      </c>
      <c r="M272" s="19" t="s">
        <v>126</v>
      </c>
      <c r="N272" s="19" t="s">
        <v>126</v>
      </c>
      <c r="O272" s="19" t="s">
        <v>126</v>
      </c>
      <c r="P272" s="19" t="s">
        <v>126</v>
      </c>
      <c r="Q272" s="18">
        <v>413</v>
      </c>
      <c r="R272" s="11" t="s">
        <v>312</v>
      </c>
      <c r="S272" s="19" t="s">
        <v>126</v>
      </c>
      <c r="T272" s="19" t="s">
        <v>126</v>
      </c>
      <c r="U272" s="19" t="s">
        <v>126</v>
      </c>
      <c r="V272" s="19" t="s">
        <v>126</v>
      </c>
      <c r="W272" s="19" t="s">
        <v>126</v>
      </c>
      <c r="X272" s="19" t="s">
        <v>126</v>
      </c>
      <c r="Y272" s="19" t="s">
        <v>126</v>
      </c>
      <c r="Z272" s="19" t="s">
        <v>126</v>
      </c>
      <c r="AA272" s="19" t="s">
        <v>126</v>
      </c>
      <c r="AB272" s="19" t="s">
        <v>126</v>
      </c>
      <c r="AC272" s="19" t="s">
        <v>126</v>
      </c>
      <c r="AD272" s="19" t="s">
        <v>126</v>
      </c>
      <c r="AE272" s="19" t="s">
        <v>126</v>
      </c>
      <c r="AF272" s="19" t="s">
        <v>126</v>
      </c>
      <c r="AG272" s="19" t="s">
        <v>126</v>
      </c>
      <c r="AH272" s="19" t="s">
        <v>126</v>
      </c>
      <c r="AI272" s="5" t="e">
        <f t="shared" si="25"/>
        <v>#VALUE!</v>
      </c>
      <c r="AJ272" s="5" t="e">
        <f t="shared" si="26"/>
        <v>#VALUE!</v>
      </c>
      <c r="AK272" s="5" t="e">
        <f t="shared" si="27"/>
        <v>#VALUE!</v>
      </c>
      <c r="AL272" s="5" t="e">
        <f t="shared" si="28"/>
        <v>#VALUE!</v>
      </c>
      <c r="AM272" s="5" t="e">
        <f t="shared" si="29"/>
        <v>#VALUE!</v>
      </c>
    </row>
    <row r="273" spans="1:39" ht="15" customHeight="1" thickBot="1" x14ac:dyDescent="0.35">
      <c r="A273">
        <f t="shared" si="24"/>
        <v>0</v>
      </c>
      <c r="B273" s="16">
        <v>414</v>
      </c>
      <c r="C273" s="10" t="s">
        <v>313</v>
      </c>
      <c r="D273" s="17" t="s">
        <v>126</v>
      </c>
      <c r="E273" s="17" t="s">
        <v>126</v>
      </c>
      <c r="F273" s="17" t="s">
        <v>126</v>
      </c>
      <c r="G273" s="17" t="s">
        <v>126</v>
      </c>
      <c r="H273" s="17" t="s">
        <v>126</v>
      </c>
      <c r="I273" s="17" t="s">
        <v>126</v>
      </c>
      <c r="J273" s="17" t="s">
        <v>126</v>
      </c>
      <c r="K273" s="17" t="s">
        <v>126</v>
      </c>
      <c r="L273" s="17" t="s">
        <v>126</v>
      </c>
      <c r="M273" s="17" t="s">
        <v>126</v>
      </c>
      <c r="N273" s="17" t="s">
        <v>126</v>
      </c>
      <c r="O273" s="17" t="s">
        <v>126</v>
      </c>
      <c r="P273" s="17" t="s">
        <v>126</v>
      </c>
      <c r="Q273" s="16">
        <v>414</v>
      </c>
      <c r="R273" s="10" t="s">
        <v>313</v>
      </c>
      <c r="S273" s="17" t="s">
        <v>126</v>
      </c>
      <c r="T273" s="17" t="s">
        <v>126</v>
      </c>
      <c r="U273" s="17" t="s">
        <v>126</v>
      </c>
      <c r="V273" s="17" t="s">
        <v>126</v>
      </c>
      <c r="W273" s="17" t="s">
        <v>126</v>
      </c>
      <c r="X273" s="17" t="s">
        <v>126</v>
      </c>
      <c r="Y273" s="17" t="s">
        <v>126</v>
      </c>
      <c r="Z273" s="17" t="s">
        <v>126</v>
      </c>
      <c r="AA273" s="17" t="s">
        <v>126</v>
      </c>
      <c r="AB273" s="17" t="s">
        <v>126</v>
      </c>
      <c r="AC273" s="17" t="s">
        <v>126</v>
      </c>
      <c r="AD273" s="17" t="s">
        <v>126</v>
      </c>
      <c r="AE273" s="17" t="s">
        <v>126</v>
      </c>
      <c r="AF273" s="17" t="s">
        <v>126</v>
      </c>
      <c r="AG273" s="17" t="s">
        <v>126</v>
      </c>
      <c r="AH273" s="17" t="s">
        <v>126</v>
      </c>
      <c r="AI273" s="5" t="e">
        <f t="shared" si="25"/>
        <v>#VALUE!</v>
      </c>
      <c r="AJ273" s="5" t="e">
        <f t="shared" si="26"/>
        <v>#VALUE!</v>
      </c>
      <c r="AK273" s="5" t="e">
        <f t="shared" si="27"/>
        <v>#VALUE!</v>
      </c>
      <c r="AL273" s="5" t="e">
        <f t="shared" si="28"/>
        <v>#VALUE!</v>
      </c>
      <c r="AM273" s="5" t="e">
        <f t="shared" si="29"/>
        <v>#VALUE!</v>
      </c>
    </row>
    <row r="274" spans="1:39" ht="15" customHeight="1" thickBot="1" x14ac:dyDescent="0.35">
      <c r="A274">
        <f t="shared" si="24"/>
        <v>0</v>
      </c>
      <c r="B274" s="18">
        <v>415</v>
      </c>
      <c r="C274" s="11" t="s">
        <v>314</v>
      </c>
      <c r="D274" s="19" t="s">
        <v>126</v>
      </c>
      <c r="E274" s="19" t="s">
        <v>126</v>
      </c>
      <c r="F274" s="19" t="s">
        <v>126</v>
      </c>
      <c r="G274" s="19" t="s">
        <v>126</v>
      </c>
      <c r="H274" s="19" t="s">
        <v>126</v>
      </c>
      <c r="I274" s="19" t="s">
        <v>126</v>
      </c>
      <c r="J274" s="19" t="s">
        <v>126</v>
      </c>
      <c r="K274" s="19" t="s">
        <v>126</v>
      </c>
      <c r="L274" s="19" t="s">
        <v>126</v>
      </c>
      <c r="M274" s="19" t="s">
        <v>126</v>
      </c>
      <c r="N274" s="19" t="s">
        <v>126</v>
      </c>
      <c r="O274" s="19" t="s">
        <v>126</v>
      </c>
      <c r="P274" s="19" t="s">
        <v>126</v>
      </c>
      <c r="Q274" s="18">
        <v>415</v>
      </c>
      <c r="R274" s="11" t="s">
        <v>314</v>
      </c>
      <c r="S274" s="19" t="s">
        <v>126</v>
      </c>
      <c r="T274" s="19" t="s">
        <v>126</v>
      </c>
      <c r="U274" s="19" t="s">
        <v>126</v>
      </c>
      <c r="V274" s="19" t="s">
        <v>126</v>
      </c>
      <c r="W274" s="19" t="s">
        <v>126</v>
      </c>
      <c r="X274" s="19" t="s">
        <v>126</v>
      </c>
      <c r="Y274" s="19" t="s">
        <v>126</v>
      </c>
      <c r="Z274" s="19" t="s">
        <v>126</v>
      </c>
      <c r="AA274" s="19" t="s">
        <v>126</v>
      </c>
      <c r="AB274" s="19" t="s">
        <v>126</v>
      </c>
      <c r="AC274" s="19" t="s">
        <v>126</v>
      </c>
      <c r="AD274" s="19" t="s">
        <v>126</v>
      </c>
      <c r="AE274" s="19" t="s">
        <v>126</v>
      </c>
      <c r="AF274" s="19" t="s">
        <v>126</v>
      </c>
      <c r="AG274" s="19" t="s">
        <v>126</v>
      </c>
      <c r="AH274" s="19" t="s">
        <v>126</v>
      </c>
      <c r="AI274" s="5" t="e">
        <f t="shared" si="25"/>
        <v>#VALUE!</v>
      </c>
      <c r="AJ274" s="5" t="e">
        <f t="shared" si="26"/>
        <v>#VALUE!</v>
      </c>
      <c r="AK274" s="5" t="e">
        <f t="shared" si="27"/>
        <v>#VALUE!</v>
      </c>
      <c r="AL274" s="5" t="e">
        <f t="shared" si="28"/>
        <v>#VALUE!</v>
      </c>
      <c r="AM274" s="5" t="e">
        <f t="shared" si="29"/>
        <v>#VALUE!</v>
      </c>
    </row>
    <row r="275" spans="1:39" ht="15" customHeight="1" thickBot="1" x14ac:dyDescent="0.35">
      <c r="A275">
        <f t="shared" si="24"/>
        <v>0</v>
      </c>
      <c r="B275" s="16">
        <v>416</v>
      </c>
      <c r="C275" s="10" t="s">
        <v>315</v>
      </c>
      <c r="D275" s="17" t="s">
        <v>126</v>
      </c>
      <c r="E275" s="17" t="s">
        <v>126</v>
      </c>
      <c r="F275" s="17" t="s">
        <v>126</v>
      </c>
      <c r="G275" s="17" t="s">
        <v>126</v>
      </c>
      <c r="H275" s="17" t="s">
        <v>126</v>
      </c>
      <c r="I275" s="17" t="s">
        <v>126</v>
      </c>
      <c r="J275" s="17" t="s">
        <v>126</v>
      </c>
      <c r="K275" s="17" t="s">
        <v>126</v>
      </c>
      <c r="L275" s="17" t="s">
        <v>126</v>
      </c>
      <c r="M275" s="17" t="s">
        <v>126</v>
      </c>
      <c r="N275" s="17" t="s">
        <v>126</v>
      </c>
      <c r="O275" s="17" t="s">
        <v>126</v>
      </c>
      <c r="P275" s="17" t="s">
        <v>126</v>
      </c>
      <c r="Q275" s="16">
        <v>416</v>
      </c>
      <c r="R275" s="10" t="s">
        <v>315</v>
      </c>
      <c r="S275" s="17" t="s">
        <v>126</v>
      </c>
      <c r="T275" s="17" t="s">
        <v>126</v>
      </c>
      <c r="U275" s="17" t="s">
        <v>126</v>
      </c>
      <c r="V275" s="17" t="s">
        <v>126</v>
      </c>
      <c r="W275" s="17" t="s">
        <v>126</v>
      </c>
      <c r="X275" s="17" t="s">
        <v>126</v>
      </c>
      <c r="Y275" s="17" t="s">
        <v>126</v>
      </c>
      <c r="Z275" s="17" t="s">
        <v>126</v>
      </c>
      <c r="AA275" s="17" t="s">
        <v>126</v>
      </c>
      <c r="AB275" s="17" t="s">
        <v>126</v>
      </c>
      <c r="AC275" s="17" t="s">
        <v>126</v>
      </c>
      <c r="AD275" s="17" t="s">
        <v>126</v>
      </c>
      <c r="AE275" s="17" t="s">
        <v>126</v>
      </c>
      <c r="AF275" s="17" t="s">
        <v>126</v>
      </c>
      <c r="AG275" s="17" t="s">
        <v>126</v>
      </c>
      <c r="AH275" s="17" t="s">
        <v>126</v>
      </c>
      <c r="AI275" s="5" t="e">
        <f t="shared" si="25"/>
        <v>#VALUE!</v>
      </c>
      <c r="AJ275" s="5" t="e">
        <f t="shared" si="26"/>
        <v>#VALUE!</v>
      </c>
      <c r="AK275" s="5" t="e">
        <f t="shared" si="27"/>
        <v>#VALUE!</v>
      </c>
      <c r="AL275" s="5" t="e">
        <f t="shared" si="28"/>
        <v>#VALUE!</v>
      </c>
      <c r="AM275" s="5" t="e">
        <f t="shared" si="29"/>
        <v>#VALUE!</v>
      </c>
    </row>
    <row r="276" spans="1:39" ht="15" customHeight="1" thickBot="1" x14ac:dyDescent="0.35">
      <c r="A276">
        <f t="shared" si="24"/>
        <v>0</v>
      </c>
      <c r="B276" s="18">
        <v>417</v>
      </c>
      <c r="C276" s="11" t="s">
        <v>316</v>
      </c>
      <c r="D276" s="19" t="s">
        <v>126</v>
      </c>
      <c r="E276" s="19" t="s">
        <v>126</v>
      </c>
      <c r="F276" s="19" t="s">
        <v>126</v>
      </c>
      <c r="G276" s="19" t="s">
        <v>126</v>
      </c>
      <c r="H276" s="19" t="s">
        <v>126</v>
      </c>
      <c r="I276" s="19" t="s">
        <v>126</v>
      </c>
      <c r="J276" s="19" t="s">
        <v>126</v>
      </c>
      <c r="K276" s="19" t="s">
        <v>126</v>
      </c>
      <c r="L276" s="19" t="s">
        <v>126</v>
      </c>
      <c r="M276" s="19" t="s">
        <v>126</v>
      </c>
      <c r="N276" s="19" t="s">
        <v>126</v>
      </c>
      <c r="O276" s="19" t="s">
        <v>126</v>
      </c>
      <c r="P276" s="19" t="s">
        <v>126</v>
      </c>
      <c r="Q276" s="18">
        <v>417</v>
      </c>
      <c r="R276" s="11" t="s">
        <v>316</v>
      </c>
      <c r="S276" s="19" t="s">
        <v>126</v>
      </c>
      <c r="T276" s="19" t="s">
        <v>126</v>
      </c>
      <c r="U276" s="19" t="s">
        <v>126</v>
      </c>
      <c r="V276" s="19" t="s">
        <v>126</v>
      </c>
      <c r="W276" s="19" t="s">
        <v>126</v>
      </c>
      <c r="X276" s="19" t="s">
        <v>126</v>
      </c>
      <c r="Y276" s="19" t="s">
        <v>126</v>
      </c>
      <c r="Z276" s="19" t="s">
        <v>126</v>
      </c>
      <c r="AA276" s="19" t="s">
        <v>126</v>
      </c>
      <c r="AB276" s="19" t="s">
        <v>126</v>
      </c>
      <c r="AC276" s="19" t="s">
        <v>126</v>
      </c>
      <c r="AD276" s="19" t="s">
        <v>126</v>
      </c>
      <c r="AE276" s="19" t="s">
        <v>126</v>
      </c>
      <c r="AF276" s="19" t="s">
        <v>126</v>
      </c>
      <c r="AG276" s="19" t="s">
        <v>126</v>
      </c>
      <c r="AH276" s="19" t="s">
        <v>126</v>
      </c>
      <c r="AI276" s="5" t="e">
        <f t="shared" si="25"/>
        <v>#VALUE!</v>
      </c>
      <c r="AJ276" s="5" t="e">
        <f t="shared" si="26"/>
        <v>#VALUE!</v>
      </c>
      <c r="AK276" s="5" t="e">
        <f t="shared" si="27"/>
        <v>#VALUE!</v>
      </c>
      <c r="AL276" s="5" t="e">
        <f t="shared" si="28"/>
        <v>#VALUE!</v>
      </c>
      <c r="AM276" s="5" t="e">
        <f t="shared" si="29"/>
        <v>#VALUE!</v>
      </c>
    </row>
    <row r="277" spans="1:39" ht="15" customHeight="1" thickBot="1" x14ac:dyDescent="0.35">
      <c r="A277">
        <f t="shared" si="24"/>
        <v>0</v>
      </c>
      <c r="B277" s="16">
        <v>418</v>
      </c>
      <c r="C277" s="10" t="s">
        <v>317</v>
      </c>
      <c r="D277" s="17" t="s">
        <v>126</v>
      </c>
      <c r="E277" s="17" t="s">
        <v>126</v>
      </c>
      <c r="F277" s="17" t="s">
        <v>126</v>
      </c>
      <c r="G277" s="17" t="s">
        <v>126</v>
      </c>
      <c r="H277" s="17" t="s">
        <v>126</v>
      </c>
      <c r="I277" s="17" t="s">
        <v>126</v>
      </c>
      <c r="J277" s="17" t="s">
        <v>126</v>
      </c>
      <c r="K277" s="17" t="s">
        <v>126</v>
      </c>
      <c r="L277" s="17" t="s">
        <v>126</v>
      </c>
      <c r="M277" s="17" t="s">
        <v>126</v>
      </c>
      <c r="N277" s="17" t="s">
        <v>126</v>
      </c>
      <c r="O277" s="17" t="s">
        <v>126</v>
      </c>
      <c r="P277" s="17" t="s">
        <v>126</v>
      </c>
      <c r="Q277" s="16">
        <v>418</v>
      </c>
      <c r="R277" s="10" t="s">
        <v>317</v>
      </c>
      <c r="S277" s="17" t="s">
        <v>126</v>
      </c>
      <c r="T277" s="17" t="s">
        <v>126</v>
      </c>
      <c r="U277" s="17" t="s">
        <v>126</v>
      </c>
      <c r="V277" s="17" t="s">
        <v>126</v>
      </c>
      <c r="W277" s="17" t="s">
        <v>126</v>
      </c>
      <c r="X277" s="17" t="s">
        <v>126</v>
      </c>
      <c r="Y277" s="17" t="s">
        <v>126</v>
      </c>
      <c r="Z277" s="17" t="s">
        <v>126</v>
      </c>
      <c r="AA277" s="17" t="s">
        <v>126</v>
      </c>
      <c r="AB277" s="17" t="s">
        <v>126</v>
      </c>
      <c r="AC277" s="17" t="s">
        <v>126</v>
      </c>
      <c r="AD277" s="17" t="s">
        <v>126</v>
      </c>
      <c r="AE277" s="17" t="s">
        <v>126</v>
      </c>
      <c r="AF277" s="17" t="s">
        <v>126</v>
      </c>
      <c r="AG277" s="17" t="s">
        <v>126</v>
      </c>
      <c r="AH277" s="17" t="s">
        <v>126</v>
      </c>
      <c r="AI277" s="5" t="e">
        <f t="shared" si="25"/>
        <v>#VALUE!</v>
      </c>
      <c r="AJ277" s="5" t="e">
        <f t="shared" si="26"/>
        <v>#VALUE!</v>
      </c>
      <c r="AK277" s="5" t="e">
        <f t="shared" si="27"/>
        <v>#VALUE!</v>
      </c>
      <c r="AL277" s="5" t="e">
        <f t="shared" si="28"/>
        <v>#VALUE!</v>
      </c>
      <c r="AM277" s="5" t="e">
        <f t="shared" si="29"/>
        <v>#VALUE!</v>
      </c>
    </row>
    <row r="278" spans="1:39" ht="15" customHeight="1" thickBot="1" x14ac:dyDescent="0.35">
      <c r="A278">
        <f t="shared" si="24"/>
        <v>0</v>
      </c>
      <c r="B278" s="18">
        <v>419</v>
      </c>
      <c r="C278" s="11" t="s">
        <v>318</v>
      </c>
      <c r="D278" s="19" t="s">
        <v>126</v>
      </c>
      <c r="E278" s="19" t="s">
        <v>126</v>
      </c>
      <c r="F278" s="19" t="s">
        <v>126</v>
      </c>
      <c r="G278" s="19" t="s">
        <v>126</v>
      </c>
      <c r="H278" s="19" t="s">
        <v>126</v>
      </c>
      <c r="I278" s="19" t="s">
        <v>126</v>
      </c>
      <c r="J278" s="19" t="s">
        <v>126</v>
      </c>
      <c r="K278" s="19" t="s">
        <v>126</v>
      </c>
      <c r="L278" s="19" t="s">
        <v>126</v>
      </c>
      <c r="M278" s="19" t="s">
        <v>126</v>
      </c>
      <c r="N278" s="19" t="s">
        <v>126</v>
      </c>
      <c r="O278" s="19" t="s">
        <v>126</v>
      </c>
      <c r="P278" s="19" t="s">
        <v>126</v>
      </c>
      <c r="Q278" s="18">
        <v>419</v>
      </c>
      <c r="R278" s="11" t="s">
        <v>318</v>
      </c>
      <c r="S278" s="19" t="s">
        <v>126</v>
      </c>
      <c r="T278" s="19" t="s">
        <v>126</v>
      </c>
      <c r="U278" s="19" t="s">
        <v>126</v>
      </c>
      <c r="V278" s="19" t="s">
        <v>126</v>
      </c>
      <c r="W278" s="19" t="s">
        <v>126</v>
      </c>
      <c r="X278" s="19" t="s">
        <v>126</v>
      </c>
      <c r="Y278" s="19" t="s">
        <v>126</v>
      </c>
      <c r="Z278" s="19" t="s">
        <v>126</v>
      </c>
      <c r="AA278" s="19" t="s">
        <v>126</v>
      </c>
      <c r="AB278" s="19" t="s">
        <v>126</v>
      </c>
      <c r="AC278" s="19" t="s">
        <v>126</v>
      </c>
      <c r="AD278" s="19" t="s">
        <v>126</v>
      </c>
      <c r="AE278" s="19" t="s">
        <v>126</v>
      </c>
      <c r="AF278" s="19" t="s">
        <v>126</v>
      </c>
      <c r="AG278" s="19" t="s">
        <v>126</v>
      </c>
      <c r="AH278" s="19" t="s">
        <v>126</v>
      </c>
      <c r="AI278" s="5" t="e">
        <f t="shared" si="25"/>
        <v>#VALUE!</v>
      </c>
      <c r="AJ278" s="5" t="e">
        <f t="shared" si="26"/>
        <v>#VALUE!</v>
      </c>
      <c r="AK278" s="5" t="e">
        <f t="shared" si="27"/>
        <v>#VALUE!</v>
      </c>
      <c r="AL278" s="5" t="e">
        <f t="shared" si="28"/>
        <v>#VALUE!</v>
      </c>
      <c r="AM278" s="5" t="e">
        <f t="shared" si="29"/>
        <v>#VALUE!</v>
      </c>
    </row>
    <row r="279" spans="1:39" ht="15" customHeight="1" thickBot="1" x14ac:dyDescent="0.35">
      <c r="A279">
        <f t="shared" si="24"/>
        <v>0</v>
      </c>
      <c r="B279" s="16">
        <v>420</v>
      </c>
      <c r="C279" s="10" t="s">
        <v>319</v>
      </c>
      <c r="D279" s="17" t="s">
        <v>126</v>
      </c>
      <c r="E279" s="17" t="s">
        <v>126</v>
      </c>
      <c r="F279" s="17" t="s">
        <v>126</v>
      </c>
      <c r="G279" s="17" t="s">
        <v>126</v>
      </c>
      <c r="H279" s="17" t="s">
        <v>126</v>
      </c>
      <c r="I279" s="17" t="s">
        <v>126</v>
      </c>
      <c r="J279" s="17" t="s">
        <v>126</v>
      </c>
      <c r="K279" s="17" t="s">
        <v>126</v>
      </c>
      <c r="L279" s="17" t="s">
        <v>126</v>
      </c>
      <c r="M279" s="17" t="s">
        <v>126</v>
      </c>
      <c r="N279" s="17" t="s">
        <v>126</v>
      </c>
      <c r="O279" s="17" t="s">
        <v>126</v>
      </c>
      <c r="P279" s="17" t="s">
        <v>126</v>
      </c>
      <c r="Q279" s="16">
        <v>420</v>
      </c>
      <c r="R279" s="10" t="s">
        <v>319</v>
      </c>
      <c r="S279" s="17" t="s">
        <v>126</v>
      </c>
      <c r="T279" s="17" t="s">
        <v>126</v>
      </c>
      <c r="U279" s="17" t="s">
        <v>126</v>
      </c>
      <c r="V279" s="17" t="s">
        <v>126</v>
      </c>
      <c r="W279" s="17" t="s">
        <v>126</v>
      </c>
      <c r="X279" s="17" t="s">
        <v>126</v>
      </c>
      <c r="Y279" s="17" t="s">
        <v>126</v>
      </c>
      <c r="Z279" s="17" t="s">
        <v>126</v>
      </c>
      <c r="AA279" s="17" t="s">
        <v>126</v>
      </c>
      <c r="AB279" s="17" t="s">
        <v>126</v>
      </c>
      <c r="AC279" s="17" t="s">
        <v>126</v>
      </c>
      <c r="AD279" s="17" t="s">
        <v>126</v>
      </c>
      <c r="AE279" s="17" t="s">
        <v>126</v>
      </c>
      <c r="AF279" s="17" t="s">
        <v>126</v>
      </c>
      <c r="AG279" s="17" t="s">
        <v>126</v>
      </c>
      <c r="AH279" s="17" t="s">
        <v>126</v>
      </c>
      <c r="AI279" s="5" t="e">
        <f t="shared" si="25"/>
        <v>#VALUE!</v>
      </c>
      <c r="AJ279" s="5" t="e">
        <f t="shared" si="26"/>
        <v>#VALUE!</v>
      </c>
      <c r="AK279" s="5" t="e">
        <f t="shared" si="27"/>
        <v>#VALUE!</v>
      </c>
      <c r="AL279" s="5" t="e">
        <f t="shared" si="28"/>
        <v>#VALUE!</v>
      </c>
      <c r="AM279" s="5" t="e">
        <f t="shared" si="29"/>
        <v>#VALUE!</v>
      </c>
    </row>
    <row r="280" spans="1:39" ht="15" customHeight="1" thickBot="1" x14ac:dyDescent="0.35">
      <c r="A280">
        <f t="shared" si="24"/>
        <v>0</v>
      </c>
      <c r="B280" s="18">
        <v>421</v>
      </c>
      <c r="C280" s="11" t="s">
        <v>320</v>
      </c>
      <c r="D280" s="19" t="s">
        <v>126</v>
      </c>
      <c r="E280" s="19" t="s">
        <v>126</v>
      </c>
      <c r="F280" s="19" t="s">
        <v>126</v>
      </c>
      <c r="G280" s="19" t="s">
        <v>126</v>
      </c>
      <c r="H280" s="19" t="s">
        <v>126</v>
      </c>
      <c r="I280" s="19" t="s">
        <v>126</v>
      </c>
      <c r="J280" s="19" t="s">
        <v>126</v>
      </c>
      <c r="K280" s="19" t="s">
        <v>126</v>
      </c>
      <c r="L280" s="19" t="s">
        <v>126</v>
      </c>
      <c r="M280" s="19" t="s">
        <v>126</v>
      </c>
      <c r="N280" s="19" t="s">
        <v>126</v>
      </c>
      <c r="O280" s="19" t="s">
        <v>126</v>
      </c>
      <c r="P280" s="19" t="s">
        <v>126</v>
      </c>
      <c r="Q280" s="18">
        <v>421</v>
      </c>
      <c r="R280" s="11" t="s">
        <v>320</v>
      </c>
      <c r="S280" s="19" t="s">
        <v>126</v>
      </c>
      <c r="T280" s="19" t="s">
        <v>126</v>
      </c>
      <c r="U280" s="19" t="s">
        <v>126</v>
      </c>
      <c r="V280" s="19" t="s">
        <v>126</v>
      </c>
      <c r="W280" s="19" t="s">
        <v>126</v>
      </c>
      <c r="X280" s="19" t="s">
        <v>126</v>
      </c>
      <c r="Y280" s="19" t="s">
        <v>126</v>
      </c>
      <c r="Z280" s="19" t="s">
        <v>126</v>
      </c>
      <c r="AA280" s="19" t="s">
        <v>126</v>
      </c>
      <c r="AB280" s="19" t="s">
        <v>126</v>
      </c>
      <c r="AC280" s="19" t="s">
        <v>126</v>
      </c>
      <c r="AD280" s="19" t="s">
        <v>126</v>
      </c>
      <c r="AE280" s="19" t="s">
        <v>126</v>
      </c>
      <c r="AF280" s="19" t="s">
        <v>126</v>
      </c>
      <c r="AG280" s="19" t="s">
        <v>126</v>
      </c>
      <c r="AH280" s="19" t="s">
        <v>126</v>
      </c>
      <c r="AI280" s="5" t="e">
        <f t="shared" si="25"/>
        <v>#VALUE!</v>
      </c>
      <c r="AJ280" s="5" t="e">
        <f t="shared" si="26"/>
        <v>#VALUE!</v>
      </c>
      <c r="AK280" s="5" t="e">
        <f t="shared" si="27"/>
        <v>#VALUE!</v>
      </c>
      <c r="AL280" s="5" t="e">
        <f t="shared" si="28"/>
        <v>#VALUE!</v>
      </c>
      <c r="AM280" s="5" t="e">
        <f t="shared" si="29"/>
        <v>#VALUE!</v>
      </c>
    </row>
    <row r="281" spans="1:39" ht="15" customHeight="1" thickBot="1" x14ac:dyDescent="0.35">
      <c r="A281">
        <f t="shared" si="24"/>
        <v>0</v>
      </c>
      <c r="B281" s="16">
        <v>422</v>
      </c>
      <c r="C281" s="10" t="s">
        <v>321</v>
      </c>
      <c r="D281" s="17" t="s">
        <v>126</v>
      </c>
      <c r="E281" s="17" t="s">
        <v>126</v>
      </c>
      <c r="F281" s="17" t="s">
        <v>126</v>
      </c>
      <c r="G281" s="17" t="s">
        <v>126</v>
      </c>
      <c r="H281" s="17" t="s">
        <v>126</v>
      </c>
      <c r="I281" s="17" t="s">
        <v>126</v>
      </c>
      <c r="J281" s="17" t="s">
        <v>126</v>
      </c>
      <c r="K281" s="17" t="s">
        <v>126</v>
      </c>
      <c r="L281" s="17" t="s">
        <v>126</v>
      </c>
      <c r="M281" s="17" t="s">
        <v>126</v>
      </c>
      <c r="N281" s="17" t="s">
        <v>126</v>
      </c>
      <c r="O281" s="17" t="s">
        <v>126</v>
      </c>
      <c r="P281" s="17" t="s">
        <v>126</v>
      </c>
      <c r="Q281" s="16">
        <v>422</v>
      </c>
      <c r="R281" s="10" t="s">
        <v>321</v>
      </c>
      <c r="S281" s="17" t="s">
        <v>126</v>
      </c>
      <c r="T281" s="17" t="s">
        <v>126</v>
      </c>
      <c r="U281" s="17" t="s">
        <v>126</v>
      </c>
      <c r="V281" s="17" t="s">
        <v>126</v>
      </c>
      <c r="W281" s="17" t="s">
        <v>126</v>
      </c>
      <c r="X281" s="17" t="s">
        <v>126</v>
      </c>
      <c r="Y281" s="17" t="s">
        <v>126</v>
      </c>
      <c r="Z281" s="17" t="s">
        <v>126</v>
      </c>
      <c r="AA281" s="17" t="s">
        <v>126</v>
      </c>
      <c r="AB281" s="17" t="s">
        <v>126</v>
      </c>
      <c r="AC281" s="17" t="s">
        <v>126</v>
      </c>
      <c r="AD281" s="17" t="s">
        <v>126</v>
      </c>
      <c r="AE281" s="17" t="s">
        <v>126</v>
      </c>
      <c r="AF281" s="17" t="s">
        <v>126</v>
      </c>
      <c r="AG281" s="17" t="s">
        <v>126</v>
      </c>
      <c r="AH281" s="17" t="s">
        <v>126</v>
      </c>
      <c r="AI281" s="5" t="e">
        <f t="shared" si="25"/>
        <v>#VALUE!</v>
      </c>
      <c r="AJ281" s="5" t="e">
        <f t="shared" si="26"/>
        <v>#VALUE!</v>
      </c>
      <c r="AK281" s="5" t="e">
        <f t="shared" si="27"/>
        <v>#VALUE!</v>
      </c>
      <c r="AL281" s="5" t="e">
        <f t="shared" si="28"/>
        <v>#VALUE!</v>
      </c>
      <c r="AM281" s="5" t="e">
        <f t="shared" si="29"/>
        <v>#VALUE!</v>
      </c>
    </row>
    <row r="282" spans="1:39" ht="15" customHeight="1" thickBot="1" x14ac:dyDescent="0.35">
      <c r="A282">
        <f t="shared" si="24"/>
        <v>0</v>
      </c>
      <c r="B282" s="18">
        <v>423</v>
      </c>
      <c r="C282" s="11" t="s">
        <v>322</v>
      </c>
      <c r="D282" s="19" t="s">
        <v>126</v>
      </c>
      <c r="E282" s="19" t="s">
        <v>126</v>
      </c>
      <c r="F282" s="19" t="s">
        <v>126</v>
      </c>
      <c r="G282" s="19" t="s">
        <v>126</v>
      </c>
      <c r="H282" s="19" t="s">
        <v>126</v>
      </c>
      <c r="I282" s="19" t="s">
        <v>126</v>
      </c>
      <c r="J282" s="19" t="s">
        <v>126</v>
      </c>
      <c r="K282" s="19" t="s">
        <v>126</v>
      </c>
      <c r="L282" s="19" t="s">
        <v>126</v>
      </c>
      <c r="M282" s="19" t="s">
        <v>126</v>
      </c>
      <c r="N282" s="19" t="s">
        <v>126</v>
      </c>
      <c r="O282" s="19" t="s">
        <v>126</v>
      </c>
      <c r="P282" s="19" t="s">
        <v>126</v>
      </c>
      <c r="Q282" s="18">
        <v>423</v>
      </c>
      <c r="R282" s="11" t="s">
        <v>322</v>
      </c>
      <c r="S282" s="19" t="s">
        <v>126</v>
      </c>
      <c r="T282" s="19" t="s">
        <v>126</v>
      </c>
      <c r="U282" s="19" t="s">
        <v>126</v>
      </c>
      <c r="V282" s="19" t="s">
        <v>126</v>
      </c>
      <c r="W282" s="19" t="s">
        <v>126</v>
      </c>
      <c r="X282" s="19" t="s">
        <v>126</v>
      </c>
      <c r="Y282" s="19" t="s">
        <v>126</v>
      </c>
      <c r="Z282" s="19" t="s">
        <v>126</v>
      </c>
      <c r="AA282" s="19" t="s">
        <v>126</v>
      </c>
      <c r="AB282" s="19" t="s">
        <v>126</v>
      </c>
      <c r="AC282" s="19" t="s">
        <v>126</v>
      </c>
      <c r="AD282" s="19" t="s">
        <v>126</v>
      </c>
      <c r="AE282" s="19" t="s">
        <v>126</v>
      </c>
      <c r="AF282" s="19" t="s">
        <v>126</v>
      </c>
      <c r="AG282" s="19" t="s">
        <v>126</v>
      </c>
      <c r="AH282" s="19" t="s">
        <v>126</v>
      </c>
      <c r="AI282" s="5" t="e">
        <f t="shared" si="25"/>
        <v>#VALUE!</v>
      </c>
      <c r="AJ282" s="5" t="e">
        <f t="shared" si="26"/>
        <v>#VALUE!</v>
      </c>
      <c r="AK282" s="5" t="e">
        <f t="shared" si="27"/>
        <v>#VALUE!</v>
      </c>
      <c r="AL282" s="5" t="e">
        <f t="shared" si="28"/>
        <v>#VALUE!</v>
      </c>
      <c r="AM282" s="5" t="e">
        <f t="shared" si="29"/>
        <v>#VALUE!</v>
      </c>
    </row>
    <row r="283" spans="1:39" ht="15" customHeight="1" thickBot="1" x14ac:dyDescent="0.35">
      <c r="A283">
        <f t="shared" si="24"/>
        <v>0</v>
      </c>
      <c r="B283" s="16">
        <v>424</v>
      </c>
      <c r="C283" s="10" t="s">
        <v>323</v>
      </c>
      <c r="D283" s="17" t="s">
        <v>126</v>
      </c>
      <c r="E283" s="17" t="s">
        <v>126</v>
      </c>
      <c r="F283" s="17" t="s">
        <v>126</v>
      </c>
      <c r="G283" s="17" t="s">
        <v>126</v>
      </c>
      <c r="H283" s="17" t="s">
        <v>126</v>
      </c>
      <c r="I283" s="17" t="s">
        <v>126</v>
      </c>
      <c r="J283" s="17" t="s">
        <v>126</v>
      </c>
      <c r="K283" s="17" t="s">
        <v>126</v>
      </c>
      <c r="L283" s="17" t="s">
        <v>126</v>
      </c>
      <c r="M283" s="17" t="s">
        <v>126</v>
      </c>
      <c r="N283" s="17" t="s">
        <v>126</v>
      </c>
      <c r="O283" s="17" t="s">
        <v>126</v>
      </c>
      <c r="P283" s="17" t="s">
        <v>126</v>
      </c>
      <c r="Q283" s="16">
        <v>424</v>
      </c>
      <c r="R283" s="10" t="s">
        <v>323</v>
      </c>
      <c r="S283" s="17" t="s">
        <v>126</v>
      </c>
      <c r="T283" s="17" t="s">
        <v>126</v>
      </c>
      <c r="U283" s="17" t="s">
        <v>126</v>
      </c>
      <c r="V283" s="17" t="s">
        <v>126</v>
      </c>
      <c r="W283" s="17" t="s">
        <v>126</v>
      </c>
      <c r="X283" s="17" t="s">
        <v>126</v>
      </c>
      <c r="Y283" s="17" t="s">
        <v>126</v>
      </c>
      <c r="Z283" s="17" t="s">
        <v>126</v>
      </c>
      <c r="AA283" s="17" t="s">
        <v>126</v>
      </c>
      <c r="AB283" s="17" t="s">
        <v>126</v>
      </c>
      <c r="AC283" s="17" t="s">
        <v>126</v>
      </c>
      <c r="AD283" s="17" t="s">
        <v>126</v>
      </c>
      <c r="AE283" s="17" t="s">
        <v>126</v>
      </c>
      <c r="AF283" s="17" t="s">
        <v>126</v>
      </c>
      <c r="AG283" s="17" t="s">
        <v>126</v>
      </c>
      <c r="AH283" s="17" t="s">
        <v>126</v>
      </c>
      <c r="AI283" s="5" t="e">
        <f t="shared" si="25"/>
        <v>#VALUE!</v>
      </c>
      <c r="AJ283" s="5" t="e">
        <f t="shared" si="26"/>
        <v>#VALUE!</v>
      </c>
      <c r="AK283" s="5" t="e">
        <f t="shared" si="27"/>
        <v>#VALUE!</v>
      </c>
      <c r="AL283" s="5" t="e">
        <f t="shared" si="28"/>
        <v>#VALUE!</v>
      </c>
      <c r="AM283" s="5" t="e">
        <f t="shared" si="29"/>
        <v>#VALUE!</v>
      </c>
    </row>
    <row r="284" spans="1:39" ht="15" customHeight="1" thickBot="1" x14ac:dyDescent="0.35">
      <c r="A284">
        <f t="shared" si="24"/>
        <v>0</v>
      </c>
      <c r="B284" s="18">
        <v>425</v>
      </c>
      <c r="C284" s="11" t="s">
        <v>324</v>
      </c>
      <c r="D284" s="19" t="s">
        <v>126</v>
      </c>
      <c r="E284" s="19" t="s">
        <v>126</v>
      </c>
      <c r="F284" s="19" t="s">
        <v>126</v>
      </c>
      <c r="G284" s="19" t="s">
        <v>126</v>
      </c>
      <c r="H284" s="19" t="s">
        <v>126</v>
      </c>
      <c r="I284" s="19" t="s">
        <v>126</v>
      </c>
      <c r="J284" s="19" t="s">
        <v>126</v>
      </c>
      <c r="K284" s="19" t="s">
        <v>126</v>
      </c>
      <c r="L284" s="19" t="s">
        <v>126</v>
      </c>
      <c r="M284" s="19" t="s">
        <v>126</v>
      </c>
      <c r="N284" s="19" t="s">
        <v>126</v>
      </c>
      <c r="O284" s="19" t="s">
        <v>126</v>
      </c>
      <c r="P284" s="19" t="s">
        <v>126</v>
      </c>
      <c r="Q284" s="18">
        <v>425</v>
      </c>
      <c r="R284" s="11" t="s">
        <v>324</v>
      </c>
      <c r="S284" s="19" t="s">
        <v>126</v>
      </c>
      <c r="T284" s="19" t="s">
        <v>126</v>
      </c>
      <c r="U284" s="19" t="s">
        <v>126</v>
      </c>
      <c r="V284" s="19" t="s">
        <v>126</v>
      </c>
      <c r="W284" s="19" t="s">
        <v>126</v>
      </c>
      <c r="X284" s="19" t="s">
        <v>126</v>
      </c>
      <c r="Y284" s="19" t="s">
        <v>126</v>
      </c>
      <c r="Z284" s="19" t="s">
        <v>126</v>
      </c>
      <c r="AA284" s="19" t="s">
        <v>126</v>
      </c>
      <c r="AB284" s="19" t="s">
        <v>126</v>
      </c>
      <c r="AC284" s="19" t="s">
        <v>126</v>
      </c>
      <c r="AD284" s="19" t="s">
        <v>126</v>
      </c>
      <c r="AE284" s="19" t="s">
        <v>126</v>
      </c>
      <c r="AF284" s="19" t="s">
        <v>126</v>
      </c>
      <c r="AG284" s="19" t="s">
        <v>126</v>
      </c>
      <c r="AH284" s="19" t="s">
        <v>126</v>
      </c>
      <c r="AI284" s="5" t="e">
        <f t="shared" si="25"/>
        <v>#VALUE!</v>
      </c>
      <c r="AJ284" s="5" t="e">
        <f t="shared" si="26"/>
        <v>#VALUE!</v>
      </c>
      <c r="AK284" s="5" t="e">
        <f t="shared" si="27"/>
        <v>#VALUE!</v>
      </c>
      <c r="AL284" s="5" t="e">
        <f t="shared" si="28"/>
        <v>#VALUE!</v>
      </c>
      <c r="AM284" s="5" t="e">
        <f t="shared" si="29"/>
        <v>#VALUE!</v>
      </c>
    </row>
    <row r="285" spans="1:39" ht="15" customHeight="1" thickBot="1" x14ac:dyDescent="0.35">
      <c r="A285">
        <f t="shared" si="24"/>
        <v>0</v>
      </c>
      <c r="B285" s="16">
        <v>426</v>
      </c>
      <c r="C285" s="10" t="s">
        <v>325</v>
      </c>
      <c r="D285" s="17" t="s">
        <v>126</v>
      </c>
      <c r="E285" s="17" t="s">
        <v>126</v>
      </c>
      <c r="F285" s="17" t="s">
        <v>126</v>
      </c>
      <c r="G285" s="17" t="s">
        <v>126</v>
      </c>
      <c r="H285" s="17" t="s">
        <v>126</v>
      </c>
      <c r="I285" s="17" t="s">
        <v>126</v>
      </c>
      <c r="J285" s="17" t="s">
        <v>126</v>
      </c>
      <c r="K285" s="17" t="s">
        <v>126</v>
      </c>
      <c r="L285" s="17" t="s">
        <v>126</v>
      </c>
      <c r="M285" s="17" t="s">
        <v>126</v>
      </c>
      <c r="N285" s="17" t="s">
        <v>126</v>
      </c>
      <c r="O285" s="17" t="s">
        <v>126</v>
      </c>
      <c r="P285" s="17" t="s">
        <v>126</v>
      </c>
      <c r="Q285" s="16">
        <v>426</v>
      </c>
      <c r="R285" s="10" t="s">
        <v>325</v>
      </c>
      <c r="S285" s="17" t="s">
        <v>126</v>
      </c>
      <c r="T285" s="17" t="s">
        <v>126</v>
      </c>
      <c r="U285" s="17" t="s">
        <v>126</v>
      </c>
      <c r="V285" s="17" t="s">
        <v>126</v>
      </c>
      <c r="W285" s="17" t="s">
        <v>126</v>
      </c>
      <c r="X285" s="17" t="s">
        <v>126</v>
      </c>
      <c r="Y285" s="17" t="s">
        <v>126</v>
      </c>
      <c r="Z285" s="17" t="s">
        <v>126</v>
      </c>
      <c r="AA285" s="17" t="s">
        <v>126</v>
      </c>
      <c r="AB285" s="17" t="s">
        <v>126</v>
      </c>
      <c r="AC285" s="17" t="s">
        <v>126</v>
      </c>
      <c r="AD285" s="17" t="s">
        <v>126</v>
      </c>
      <c r="AE285" s="17" t="s">
        <v>126</v>
      </c>
      <c r="AF285" s="17" t="s">
        <v>126</v>
      </c>
      <c r="AG285" s="17" t="s">
        <v>126</v>
      </c>
      <c r="AH285" s="17" t="s">
        <v>126</v>
      </c>
      <c r="AI285" s="5" t="e">
        <f t="shared" si="25"/>
        <v>#VALUE!</v>
      </c>
      <c r="AJ285" s="5" t="e">
        <f t="shared" si="26"/>
        <v>#VALUE!</v>
      </c>
      <c r="AK285" s="5" t="e">
        <f t="shared" si="27"/>
        <v>#VALUE!</v>
      </c>
      <c r="AL285" s="5" t="e">
        <f t="shared" si="28"/>
        <v>#VALUE!</v>
      </c>
      <c r="AM285" s="5" t="e">
        <f t="shared" si="29"/>
        <v>#VALUE!</v>
      </c>
    </row>
    <row r="286" spans="1:39" ht="15" customHeight="1" thickBot="1" x14ac:dyDescent="0.35">
      <c r="A286">
        <f t="shared" si="24"/>
        <v>0</v>
      </c>
      <c r="B286" s="18">
        <v>427</v>
      </c>
      <c r="C286" s="11" t="s">
        <v>326</v>
      </c>
      <c r="D286" s="19" t="s">
        <v>126</v>
      </c>
      <c r="E286" s="19" t="s">
        <v>126</v>
      </c>
      <c r="F286" s="19" t="s">
        <v>126</v>
      </c>
      <c r="G286" s="19" t="s">
        <v>126</v>
      </c>
      <c r="H286" s="19" t="s">
        <v>126</v>
      </c>
      <c r="I286" s="19" t="s">
        <v>126</v>
      </c>
      <c r="J286" s="19" t="s">
        <v>126</v>
      </c>
      <c r="K286" s="19" t="s">
        <v>126</v>
      </c>
      <c r="L286" s="19" t="s">
        <v>126</v>
      </c>
      <c r="M286" s="19" t="s">
        <v>126</v>
      </c>
      <c r="N286" s="19" t="s">
        <v>126</v>
      </c>
      <c r="O286" s="19" t="s">
        <v>126</v>
      </c>
      <c r="P286" s="19" t="s">
        <v>126</v>
      </c>
      <c r="Q286" s="18">
        <v>427</v>
      </c>
      <c r="R286" s="11" t="s">
        <v>326</v>
      </c>
      <c r="S286" s="19" t="s">
        <v>126</v>
      </c>
      <c r="T286" s="19" t="s">
        <v>126</v>
      </c>
      <c r="U286" s="19" t="s">
        <v>126</v>
      </c>
      <c r="V286" s="19" t="s">
        <v>126</v>
      </c>
      <c r="W286" s="19" t="s">
        <v>126</v>
      </c>
      <c r="X286" s="19" t="s">
        <v>126</v>
      </c>
      <c r="Y286" s="19" t="s">
        <v>126</v>
      </c>
      <c r="Z286" s="19" t="s">
        <v>126</v>
      </c>
      <c r="AA286" s="19" t="s">
        <v>126</v>
      </c>
      <c r="AB286" s="19" t="s">
        <v>126</v>
      </c>
      <c r="AC286" s="19" t="s">
        <v>126</v>
      </c>
      <c r="AD286" s="19" t="s">
        <v>126</v>
      </c>
      <c r="AE286" s="19" t="s">
        <v>126</v>
      </c>
      <c r="AF286" s="19" t="s">
        <v>126</v>
      </c>
      <c r="AG286" s="19" t="s">
        <v>126</v>
      </c>
      <c r="AH286" s="19" t="s">
        <v>126</v>
      </c>
      <c r="AI286" s="5" t="e">
        <f t="shared" si="25"/>
        <v>#VALUE!</v>
      </c>
      <c r="AJ286" s="5" t="e">
        <f t="shared" si="26"/>
        <v>#VALUE!</v>
      </c>
      <c r="AK286" s="5" t="e">
        <f t="shared" si="27"/>
        <v>#VALUE!</v>
      </c>
      <c r="AL286" s="5" t="e">
        <f t="shared" si="28"/>
        <v>#VALUE!</v>
      </c>
      <c r="AM286" s="5" t="e">
        <f t="shared" si="29"/>
        <v>#VALUE!</v>
      </c>
    </row>
    <row r="287" spans="1:39" ht="15" customHeight="1" thickBot="1" x14ac:dyDescent="0.35">
      <c r="A287">
        <f t="shared" si="24"/>
        <v>0</v>
      </c>
      <c r="B287" s="16">
        <v>428</v>
      </c>
      <c r="C287" s="10" t="s">
        <v>327</v>
      </c>
      <c r="D287" s="17" t="s">
        <v>126</v>
      </c>
      <c r="E287" s="17" t="s">
        <v>126</v>
      </c>
      <c r="F287" s="17" t="s">
        <v>126</v>
      </c>
      <c r="G287" s="17" t="s">
        <v>126</v>
      </c>
      <c r="H287" s="17" t="s">
        <v>126</v>
      </c>
      <c r="I287" s="17" t="s">
        <v>126</v>
      </c>
      <c r="J287" s="17" t="s">
        <v>126</v>
      </c>
      <c r="K287" s="17" t="s">
        <v>126</v>
      </c>
      <c r="L287" s="17" t="s">
        <v>126</v>
      </c>
      <c r="M287" s="17" t="s">
        <v>126</v>
      </c>
      <c r="N287" s="17" t="s">
        <v>126</v>
      </c>
      <c r="O287" s="17" t="s">
        <v>126</v>
      </c>
      <c r="P287" s="17" t="s">
        <v>126</v>
      </c>
      <c r="Q287" s="16">
        <v>428</v>
      </c>
      <c r="R287" s="10" t="s">
        <v>327</v>
      </c>
      <c r="S287" s="17" t="s">
        <v>126</v>
      </c>
      <c r="T287" s="17" t="s">
        <v>126</v>
      </c>
      <c r="U287" s="17" t="s">
        <v>126</v>
      </c>
      <c r="V287" s="17" t="s">
        <v>126</v>
      </c>
      <c r="W287" s="17" t="s">
        <v>126</v>
      </c>
      <c r="X287" s="17" t="s">
        <v>126</v>
      </c>
      <c r="Y287" s="17" t="s">
        <v>126</v>
      </c>
      <c r="Z287" s="17" t="s">
        <v>126</v>
      </c>
      <c r="AA287" s="17" t="s">
        <v>126</v>
      </c>
      <c r="AB287" s="17" t="s">
        <v>126</v>
      </c>
      <c r="AC287" s="17" t="s">
        <v>126</v>
      </c>
      <c r="AD287" s="17" t="s">
        <v>126</v>
      </c>
      <c r="AE287" s="17" t="s">
        <v>126</v>
      </c>
      <c r="AF287" s="17" t="s">
        <v>126</v>
      </c>
      <c r="AG287" s="17" t="s">
        <v>126</v>
      </c>
      <c r="AH287" s="17" t="s">
        <v>126</v>
      </c>
      <c r="AI287" s="5" t="e">
        <f t="shared" si="25"/>
        <v>#VALUE!</v>
      </c>
      <c r="AJ287" s="5" t="e">
        <f t="shared" si="26"/>
        <v>#VALUE!</v>
      </c>
      <c r="AK287" s="5" t="e">
        <f t="shared" si="27"/>
        <v>#VALUE!</v>
      </c>
      <c r="AL287" s="5" t="e">
        <f t="shared" si="28"/>
        <v>#VALUE!</v>
      </c>
      <c r="AM287" s="5" t="e">
        <f t="shared" si="29"/>
        <v>#VALUE!</v>
      </c>
    </row>
    <row r="288" spans="1:39" ht="15" customHeight="1" thickBot="1" x14ac:dyDescent="0.35">
      <c r="A288">
        <f t="shared" si="24"/>
        <v>0</v>
      </c>
      <c r="B288" s="18">
        <v>429</v>
      </c>
      <c r="C288" s="11" t="s">
        <v>328</v>
      </c>
      <c r="D288" s="19" t="s">
        <v>126</v>
      </c>
      <c r="E288" s="19" t="s">
        <v>126</v>
      </c>
      <c r="F288" s="19" t="s">
        <v>126</v>
      </c>
      <c r="G288" s="19" t="s">
        <v>126</v>
      </c>
      <c r="H288" s="19" t="s">
        <v>126</v>
      </c>
      <c r="I288" s="19" t="s">
        <v>126</v>
      </c>
      <c r="J288" s="19" t="s">
        <v>126</v>
      </c>
      <c r="K288" s="19" t="s">
        <v>126</v>
      </c>
      <c r="L288" s="19" t="s">
        <v>126</v>
      </c>
      <c r="M288" s="19" t="s">
        <v>126</v>
      </c>
      <c r="N288" s="19" t="s">
        <v>126</v>
      </c>
      <c r="O288" s="19" t="s">
        <v>126</v>
      </c>
      <c r="P288" s="19" t="s">
        <v>126</v>
      </c>
      <c r="Q288" s="18">
        <v>429</v>
      </c>
      <c r="R288" s="11" t="s">
        <v>328</v>
      </c>
      <c r="S288" s="19" t="s">
        <v>126</v>
      </c>
      <c r="T288" s="19" t="s">
        <v>126</v>
      </c>
      <c r="U288" s="19" t="s">
        <v>126</v>
      </c>
      <c r="V288" s="19" t="s">
        <v>126</v>
      </c>
      <c r="W288" s="19" t="s">
        <v>126</v>
      </c>
      <c r="X288" s="19" t="s">
        <v>126</v>
      </c>
      <c r="Y288" s="19" t="s">
        <v>126</v>
      </c>
      <c r="Z288" s="19" t="s">
        <v>126</v>
      </c>
      <c r="AA288" s="19" t="s">
        <v>126</v>
      </c>
      <c r="AB288" s="19" t="s">
        <v>126</v>
      </c>
      <c r="AC288" s="19" t="s">
        <v>126</v>
      </c>
      <c r="AD288" s="19" t="s">
        <v>126</v>
      </c>
      <c r="AE288" s="19" t="s">
        <v>126</v>
      </c>
      <c r="AF288" s="19" t="s">
        <v>126</v>
      </c>
      <c r="AG288" s="19" t="s">
        <v>126</v>
      </c>
      <c r="AH288" s="19" t="s">
        <v>126</v>
      </c>
      <c r="AI288" s="5" t="e">
        <f t="shared" si="25"/>
        <v>#VALUE!</v>
      </c>
      <c r="AJ288" s="5" t="e">
        <f t="shared" si="26"/>
        <v>#VALUE!</v>
      </c>
      <c r="AK288" s="5" t="e">
        <f t="shared" si="27"/>
        <v>#VALUE!</v>
      </c>
      <c r="AL288" s="5" t="e">
        <f t="shared" si="28"/>
        <v>#VALUE!</v>
      </c>
      <c r="AM288" s="5" t="e">
        <f t="shared" si="29"/>
        <v>#VALUE!</v>
      </c>
    </row>
    <row r="289" spans="1:39" ht="15" customHeight="1" thickBot="1" x14ac:dyDescent="0.35">
      <c r="A289">
        <f t="shared" si="24"/>
        <v>0</v>
      </c>
      <c r="B289" s="16">
        <v>430</v>
      </c>
      <c r="C289" s="10" t="s">
        <v>329</v>
      </c>
      <c r="D289" s="17" t="s">
        <v>126</v>
      </c>
      <c r="E289" s="17" t="s">
        <v>126</v>
      </c>
      <c r="F289" s="17" t="s">
        <v>126</v>
      </c>
      <c r="G289" s="17" t="s">
        <v>126</v>
      </c>
      <c r="H289" s="17" t="s">
        <v>126</v>
      </c>
      <c r="I289" s="17" t="s">
        <v>126</v>
      </c>
      <c r="J289" s="17" t="s">
        <v>126</v>
      </c>
      <c r="K289" s="17" t="s">
        <v>126</v>
      </c>
      <c r="L289" s="17" t="s">
        <v>126</v>
      </c>
      <c r="M289" s="17" t="s">
        <v>126</v>
      </c>
      <c r="N289" s="17" t="s">
        <v>126</v>
      </c>
      <c r="O289" s="17" t="s">
        <v>126</v>
      </c>
      <c r="P289" s="17" t="s">
        <v>126</v>
      </c>
      <c r="Q289" s="16">
        <v>430</v>
      </c>
      <c r="R289" s="10" t="s">
        <v>329</v>
      </c>
      <c r="S289" s="17" t="s">
        <v>126</v>
      </c>
      <c r="T289" s="17" t="s">
        <v>126</v>
      </c>
      <c r="U289" s="17" t="s">
        <v>126</v>
      </c>
      <c r="V289" s="17" t="s">
        <v>126</v>
      </c>
      <c r="W289" s="17" t="s">
        <v>126</v>
      </c>
      <c r="X289" s="17" t="s">
        <v>126</v>
      </c>
      <c r="Y289" s="17" t="s">
        <v>126</v>
      </c>
      <c r="Z289" s="17" t="s">
        <v>126</v>
      </c>
      <c r="AA289" s="17" t="s">
        <v>126</v>
      </c>
      <c r="AB289" s="17" t="s">
        <v>126</v>
      </c>
      <c r="AC289" s="17" t="s">
        <v>126</v>
      </c>
      <c r="AD289" s="17" t="s">
        <v>126</v>
      </c>
      <c r="AE289" s="17" t="s">
        <v>126</v>
      </c>
      <c r="AF289" s="17" t="s">
        <v>126</v>
      </c>
      <c r="AG289" s="17" t="s">
        <v>126</v>
      </c>
      <c r="AH289" s="17" t="s">
        <v>126</v>
      </c>
      <c r="AI289" s="5" t="e">
        <f t="shared" si="25"/>
        <v>#VALUE!</v>
      </c>
      <c r="AJ289" s="5" t="e">
        <f t="shared" si="26"/>
        <v>#VALUE!</v>
      </c>
      <c r="AK289" s="5" t="e">
        <f t="shared" si="27"/>
        <v>#VALUE!</v>
      </c>
      <c r="AL289" s="5" t="e">
        <f t="shared" si="28"/>
        <v>#VALUE!</v>
      </c>
      <c r="AM289" s="5" t="e">
        <f t="shared" si="29"/>
        <v>#VALUE!</v>
      </c>
    </row>
    <row r="290" spans="1:39" ht="15" customHeight="1" thickBot="1" x14ac:dyDescent="0.35">
      <c r="A290">
        <f t="shared" si="24"/>
        <v>0</v>
      </c>
      <c r="B290" s="18">
        <v>431</v>
      </c>
      <c r="C290" s="11" t="s">
        <v>330</v>
      </c>
      <c r="D290" s="19" t="s">
        <v>126</v>
      </c>
      <c r="E290" s="19" t="s">
        <v>126</v>
      </c>
      <c r="F290" s="19" t="s">
        <v>126</v>
      </c>
      <c r="G290" s="19" t="s">
        <v>126</v>
      </c>
      <c r="H290" s="19" t="s">
        <v>126</v>
      </c>
      <c r="I290" s="19" t="s">
        <v>126</v>
      </c>
      <c r="J290" s="19" t="s">
        <v>126</v>
      </c>
      <c r="K290" s="19" t="s">
        <v>126</v>
      </c>
      <c r="L290" s="19" t="s">
        <v>126</v>
      </c>
      <c r="M290" s="19" t="s">
        <v>126</v>
      </c>
      <c r="N290" s="19" t="s">
        <v>126</v>
      </c>
      <c r="O290" s="19" t="s">
        <v>126</v>
      </c>
      <c r="P290" s="19" t="s">
        <v>126</v>
      </c>
      <c r="Q290" s="18">
        <v>431</v>
      </c>
      <c r="R290" s="11" t="s">
        <v>330</v>
      </c>
      <c r="S290" s="19" t="s">
        <v>126</v>
      </c>
      <c r="T290" s="19" t="s">
        <v>126</v>
      </c>
      <c r="U290" s="19" t="s">
        <v>126</v>
      </c>
      <c r="V290" s="19" t="s">
        <v>126</v>
      </c>
      <c r="W290" s="19" t="s">
        <v>126</v>
      </c>
      <c r="X290" s="19" t="s">
        <v>126</v>
      </c>
      <c r="Y290" s="19" t="s">
        <v>126</v>
      </c>
      <c r="Z290" s="19" t="s">
        <v>126</v>
      </c>
      <c r="AA290" s="19" t="s">
        <v>126</v>
      </c>
      <c r="AB290" s="19" t="s">
        <v>126</v>
      </c>
      <c r="AC290" s="19" t="s">
        <v>126</v>
      </c>
      <c r="AD290" s="19" t="s">
        <v>126</v>
      </c>
      <c r="AE290" s="19" t="s">
        <v>126</v>
      </c>
      <c r="AF290" s="19" t="s">
        <v>126</v>
      </c>
      <c r="AG290" s="19" t="s">
        <v>126</v>
      </c>
      <c r="AH290" s="19" t="s">
        <v>126</v>
      </c>
      <c r="AI290" s="5" t="e">
        <f t="shared" si="25"/>
        <v>#VALUE!</v>
      </c>
      <c r="AJ290" s="5" t="e">
        <f t="shared" si="26"/>
        <v>#VALUE!</v>
      </c>
      <c r="AK290" s="5" t="e">
        <f t="shared" si="27"/>
        <v>#VALUE!</v>
      </c>
      <c r="AL290" s="5" t="e">
        <f t="shared" si="28"/>
        <v>#VALUE!</v>
      </c>
      <c r="AM290" s="5" t="e">
        <f t="shared" si="29"/>
        <v>#VALUE!</v>
      </c>
    </row>
    <row r="291" spans="1:39" ht="15" customHeight="1" thickBot="1" x14ac:dyDescent="0.35">
      <c r="A291">
        <f t="shared" si="24"/>
        <v>0</v>
      </c>
      <c r="B291" s="16">
        <v>432</v>
      </c>
      <c r="C291" s="10" t="s">
        <v>331</v>
      </c>
      <c r="D291" s="17" t="s">
        <v>126</v>
      </c>
      <c r="E291" s="17" t="s">
        <v>126</v>
      </c>
      <c r="F291" s="17" t="s">
        <v>126</v>
      </c>
      <c r="G291" s="17" t="s">
        <v>126</v>
      </c>
      <c r="H291" s="17" t="s">
        <v>126</v>
      </c>
      <c r="I291" s="17" t="s">
        <v>126</v>
      </c>
      <c r="J291" s="17" t="s">
        <v>126</v>
      </c>
      <c r="K291" s="17" t="s">
        <v>126</v>
      </c>
      <c r="L291" s="17" t="s">
        <v>126</v>
      </c>
      <c r="M291" s="17" t="s">
        <v>126</v>
      </c>
      <c r="N291" s="17" t="s">
        <v>126</v>
      </c>
      <c r="O291" s="17" t="s">
        <v>126</v>
      </c>
      <c r="P291" s="17" t="s">
        <v>126</v>
      </c>
      <c r="Q291" s="16">
        <v>432</v>
      </c>
      <c r="R291" s="10" t="s">
        <v>331</v>
      </c>
      <c r="S291" s="17" t="s">
        <v>126</v>
      </c>
      <c r="T291" s="17" t="s">
        <v>126</v>
      </c>
      <c r="U291" s="17" t="s">
        <v>126</v>
      </c>
      <c r="V291" s="17" t="s">
        <v>126</v>
      </c>
      <c r="W291" s="17" t="s">
        <v>126</v>
      </c>
      <c r="X291" s="17" t="s">
        <v>126</v>
      </c>
      <c r="Y291" s="17" t="s">
        <v>126</v>
      </c>
      <c r="Z291" s="17" t="s">
        <v>126</v>
      </c>
      <c r="AA291" s="17" t="s">
        <v>126</v>
      </c>
      <c r="AB291" s="17" t="s">
        <v>126</v>
      </c>
      <c r="AC291" s="17" t="s">
        <v>126</v>
      </c>
      <c r="AD291" s="17" t="s">
        <v>126</v>
      </c>
      <c r="AE291" s="17" t="s">
        <v>126</v>
      </c>
      <c r="AF291" s="17" t="s">
        <v>126</v>
      </c>
      <c r="AG291" s="17" t="s">
        <v>126</v>
      </c>
      <c r="AH291" s="17" t="s">
        <v>126</v>
      </c>
      <c r="AI291" s="5" t="e">
        <f t="shared" si="25"/>
        <v>#VALUE!</v>
      </c>
      <c r="AJ291" s="5" t="e">
        <f t="shared" si="26"/>
        <v>#VALUE!</v>
      </c>
      <c r="AK291" s="5" t="e">
        <f t="shared" si="27"/>
        <v>#VALUE!</v>
      </c>
      <c r="AL291" s="5" t="e">
        <f t="shared" si="28"/>
        <v>#VALUE!</v>
      </c>
      <c r="AM291" s="5" t="e">
        <f t="shared" si="29"/>
        <v>#VALUE!</v>
      </c>
    </row>
    <row r="292" spans="1:39" ht="15" customHeight="1" thickBot="1" x14ac:dyDescent="0.35">
      <c r="A292">
        <f t="shared" si="24"/>
        <v>0</v>
      </c>
      <c r="B292" s="18">
        <v>433</v>
      </c>
      <c r="C292" s="11" t="s">
        <v>332</v>
      </c>
      <c r="D292" s="19" t="s">
        <v>126</v>
      </c>
      <c r="E292" s="19" t="s">
        <v>126</v>
      </c>
      <c r="F292" s="19" t="s">
        <v>126</v>
      </c>
      <c r="G292" s="19" t="s">
        <v>126</v>
      </c>
      <c r="H292" s="19" t="s">
        <v>126</v>
      </c>
      <c r="I292" s="19" t="s">
        <v>126</v>
      </c>
      <c r="J292" s="19" t="s">
        <v>126</v>
      </c>
      <c r="K292" s="19" t="s">
        <v>126</v>
      </c>
      <c r="L292" s="19" t="s">
        <v>126</v>
      </c>
      <c r="M292" s="19" t="s">
        <v>126</v>
      </c>
      <c r="N292" s="19" t="s">
        <v>126</v>
      </c>
      <c r="O292" s="19" t="s">
        <v>126</v>
      </c>
      <c r="P292" s="19" t="s">
        <v>126</v>
      </c>
      <c r="Q292" s="18">
        <v>433</v>
      </c>
      <c r="R292" s="11" t="s">
        <v>332</v>
      </c>
      <c r="S292" s="19" t="s">
        <v>126</v>
      </c>
      <c r="T292" s="19" t="s">
        <v>126</v>
      </c>
      <c r="U292" s="19" t="s">
        <v>126</v>
      </c>
      <c r="V292" s="19" t="s">
        <v>126</v>
      </c>
      <c r="W292" s="19" t="s">
        <v>126</v>
      </c>
      <c r="X292" s="19" t="s">
        <v>126</v>
      </c>
      <c r="Y292" s="19" t="s">
        <v>126</v>
      </c>
      <c r="Z292" s="19" t="s">
        <v>126</v>
      </c>
      <c r="AA292" s="19" t="s">
        <v>126</v>
      </c>
      <c r="AB292" s="19" t="s">
        <v>126</v>
      </c>
      <c r="AC292" s="19" t="s">
        <v>126</v>
      </c>
      <c r="AD292" s="19" t="s">
        <v>126</v>
      </c>
      <c r="AE292" s="19" t="s">
        <v>126</v>
      </c>
      <c r="AF292" s="19" t="s">
        <v>126</v>
      </c>
      <c r="AG292" s="19" t="s">
        <v>126</v>
      </c>
      <c r="AH292" s="19" t="s">
        <v>126</v>
      </c>
      <c r="AI292" s="5" t="e">
        <f t="shared" si="25"/>
        <v>#VALUE!</v>
      </c>
      <c r="AJ292" s="5" t="e">
        <f t="shared" si="26"/>
        <v>#VALUE!</v>
      </c>
      <c r="AK292" s="5" t="e">
        <f t="shared" si="27"/>
        <v>#VALUE!</v>
      </c>
      <c r="AL292" s="5" t="e">
        <f t="shared" si="28"/>
        <v>#VALUE!</v>
      </c>
      <c r="AM292" s="5" t="e">
        <f t="shared" si="29"/>
        <v>#VALUE!</v>
      </c>
    </row>
    <row r="293" spans="1:39" ht="15" customHeight="1" thickBot="1" x14ac:dyDescent="0.35">
      <c r="A293">
        <f t="shared" si="24"/>
        <v>0</v>
      </c>
      <c r="B293" s="16">
        <v>434</v>
      </c>
      <c r="C293" s="10" t="s">
        <v>333</v>
      </c>
      <c r="D293" s="17" t="s">
        <v>126</v>
      </c>
      <c r="E293" s="17" t="s">
        <v>126</v>
      </c>
      <c r="F293" s="17" t="s">
        <v>126</v>
      </c>
      <c r="G293" s="17" t="s">
        <v>126</v>
      </c>
      <c r="H293" s="17" t="s">
        <v>126</v>
      </c>
      <c r="I293" s="17" t="s">
        <v>126</v>
      </c>
      <c r="J293" s="17" t="s">
        <v>126</v>
      </c>
      <c r="K293" s="17" t="s">
        <v>126</v>
      </c>
      <c r="L293" s="17" t="s">
        <v>126</v>
      </c>
      <c r="M293" s="17" t="s">
        <v>126</v>
      </c>
      <c r="N293" s="17" t="s">
        <v>126</v>
      </c>
      <c r="O293" s="17" t="s">
        <v>126</v>
      </c>
      <c r="P293" s="17" t="s">
        <v>126</v>
      </c>
      <c r="Q293" s="16">
        <v>434</v>
      </c>
      <c r="R293" s="10" t="s">
        <v>333</v>
      </c>
      <c r="S293" s="17" t="s">
        <v>126</v>
      </c>
      <c r="T293" s="17" t="s">
        <v>126</v>
      </c>
      <c r="U293" s="17" t="s">
        <v>126</v>
      </c>
      <c r="V293" s="17" t="s">
        <v>126</v>
      </c>
      <c r="W293" s="17" t="s">
        <v>126</v>
      </c>
      <c r="X293" s="17" t="s">
        <v>126</v>
      </c>
      <c r="Y293" s="17" t="s">
        <v>126</v>
      </c>
      <c r="Z293" s="17" t="s">
        <v>126</v>
      </c>
      <c r="AA293" s="17" t="s">
        <v>126</v>
      </c>
      <c r="AB293" s="17" t="s">
        <v>126</v>
      </c>
      <c r="AC293" s="17" t="s">
        <v>126</v>
      </c>
      <c r="AD293" s="17" t="s">
        <v>126</v>
      </c>
      <c r="AE293" s="17" t="s">
        <v>126</v>
      </c>
      <c r="AF293" s="17" t="s">
        <v>126</v>
      </c>
      <c r="AG293" s="17" t="s">
        <v>126</v>
      </c>
      <c r="AH293" s="17" t="s">
        <v>126</v>
      </c>
      <c r="AI293" s="5" t="e">
        <f t="shared" si="25"/>
        <v>#VALUE!</v>
      </c>
      <c r="AJ293" s="5" t="e">
        <f t="shared" si="26"/>
        <v>#VALUE!</v>
      </c>
      <c r="AK293" s="5" t="e">
        <f t="shared" si="27"/>
        <v>#VALUE!</v>
      </c>
      <c r="AL293" s="5" t="e">
        <f t="shared" si="28"/>
        <v>#VALUE!</v>
      </c>
      <c r="AM293" s="5" t="e">
        <f t="shared" si="29"/>
        <v>#VALUE!</v>
      </c>
    </row>
    <row r="294" spans="1:39" ht="15" customHeight="1" thickBot="1" x14ac:dyDescent="0.35">
      <c r="A294">
        <f t="shared" si="24"/>
        <v>0</v>
      </c>
      <c r="B294" s="18">
        <v>435</v>
      </c>
      <c r="C294" s="11" t="s">
        <v>334</v>
      </c>
      <c r="D294" s="19" t="s">
        <v>126</v>
      </c>
      <c r="E294" s="19" t="s">
        <v>126</v>
      </c>
      <c r="F294" s="19" t="s">
        <v>126</v>
      </c>
      <c r="G294" s="19" t="s">
        <v>126</v>
      </c>
      <c r="H294" s="19" t="s">
        <v>126</v>
      </c>
      <c r="I294" s="19" t="s">
        <v>126</v>
      </c>
      <c r="J294" s="19" t="s">
        <v>126</v>
      </c>
      <c r="K294" s="19" t="s">
        <v>126</v>
      </c>
      <c r="L294" s="19" t="s">
        <v>126</v>
      </c>
      <c r="M294" s="19" t="s">
        <v>126</v>
      </c>
      <c r="N294" s="19" t="s">
        <v>126</v>
      </c>
      <c r="O294" s="19" t="s">
        <v>126</v>
      </c>
      <c r="P294" s="19" t="s">
        <v>126</v>
      </c>
      <c r="Q294" s="18">
        <v>435</v>
      </c>
      <c r="R294" s="11" t="s">
        <v>334</v>
      </c>
      <c r="S294" s="19" t="s">
        <v>126</v>
      </c>
      <c r="T294" s="19" t="s">
        <v>126</v>
      </c>
      <c r="U294" s="19" t="s">
        <v>126</v>
      </c>
      <c r="V294" s="19" t="s">
        <v>126</v>
      </c>
      <c r="W294" s="19" t="s">
        <v>126</v>
      </c>
      <c r="X294" s="19" t="s">
        <v>126</v>
      </c>
      <c r="Y294" s="19" t="s">
        <v>126</v>
      </c>
      <c r="Z294" s="19" t="s">
        <v>126</v>
      </c>
      <c r="AA294" s="19" t="s">
        <v>126</v>
      </c>
      <c r="AB294" s="19" t="s">
        <v>126</v>
      </c>
      <c r="AC294" s="19" t="s">
        <v>126</v>
      </c>
      <c r="AD294" s="19" t="s">
        <v>126</v>
      </c>
      <c r="AE294" s="19" t="s">
        <v>126</v>
      </c>
      <c r="AF294" s="19" t="s">
        <v>126</v>
      </c>
      <c r="AG294" s="19" t="s">
        <v>126</v>
      </c>
      <c r="AH294" s="19" t="s">
        <v>126</v>
      </c>
      <c r="AI294" s="5" t="e">
        <f t="shared" si="25"/>
        <v>#VALUE!</v>
      </c>
      <c r="AJ294" s="5" t="e">
        <f t="shared" si="26"/>
        <v>#VALUE!</v>
      </c>
      <c r="AK294" s="5" t="e">
        <f t="shared" si="27"/>
        <v>#VALUE!</v>
      </c>
      <c r="AL294" s="5" t="e">
        <f t="shared" si="28"/>
        <v>#VALUE!</v>
      </c>
      <c r="AM294" s="5" t="e">
        <f t="shared" si="29"/>
        <v>#VALUE!</v>
      </c>
    </row>
    <row r="295" spans="1:39" ht="15" customHeight="1" thickBot="1" x14ac:dyDescent="0.35">
      <c r="A295">
        <f t="shared" si="24"/>
        <v>0</v>
      </c>
      <c r="B295" s="16">
        <v>436</v>
      </c>
      <c r="C295" s="10" t="s">
        <v>335</v>
      </c>
      <c r="D295" s="17" t="s">
        <v>126</v>
      </c>
      <c r="E295" s="17" t="s">
        <v>126</v>
      </c>
      <c r="F295" s="17" t="s">
        <v>126</v>
      </c>
      <c r="G295" s="17" t="s">
        <v>126</v>
      </c>
      <c r="H295" s="17" t="s">
        <v>126</v>
      </c>
      <c r="I295" s="17" t="s">
        <v>126</v>
      </c>
      <c r="J295" s="17" t="s">
        <v>126</v>
      </c>
      <c r="K295" s="17" t="s">
        <v>126</v>
      </c>
      <c r="L295" s="17" t="s">
        <v>126</v>
      </c>
      <c r="M295" s="17" t="s">
        <v>126</v>
      </c>
      <c r="N295" s="17" t="s">
        <v>126</v>
      </c>
      <c r="O295" s="17" t="s">
        <v>126</v>
      </c>
      <c r="P295" s="17" t="s">
        <v>126</v>
      </c>
      <c r="Q295" s="16">
        <v>436</v>
      </c>
      <c r="R295" s="10" t="s">
        <v>335</v>
      </c>
      <c r="S295" s="17" t="s">
        <v>126</v>
      </c>
      <c r="T295" s="17" t="s">
        <v>126</v>
      </c>
      <c r="U295" s="17" t="s">
        <v>126</v>
      </c>
      <c r="V295" s="17" t="s">
        <v>126</v>
      </c>
      <c r="W295" s="17" t="s">
        <v>126</v>
      </c>
      <c r="X295" s="17" t="s">
        <v>126</v>
      </c>
      <c r="Y295" s="17" t="s">
        <v>126</v>
      </c>
      <c r="Z295" s="17" t="s">
        <v>126</v>
      </c>
      <c r="AA295" s="17" t="s">
        <v>126</v>
      </c>
      <c r="AB295" s="17" t="s">
        <v>126</v>
      </c>
      <c r="AC295" s="17" t="s">
        <v>126</v>
      </c>
      <c r="AD295" s="17" t="s">
        <v>126</v>
      </c>
      <c r="AE295" s="17" t="s">
        <v>126</v>
      </c>
      <c r="AF295" s="17" t="s">
        <v>126</v>
      </c>
      <c r="AG295" s="17" t="s">
        <v>126</v>
      </c>
      <c r="AH295" s="17" t="s">
        <v>126</v>
      </c>
      <c r="AI295" s="5" t="e">
        <f t="shared" si="25"/>
        <v>#VALUE!</v>
      </c>
      <c r="AJ295" s="5" t="e">
        <f t="shared" si="26"/>
        <v>#VALUE!</v>
      </c>
      <c r="AK295" s="5" t="e">
        <f t="shared" si="27"/>
        <v>#VALUE!</v>
      </c>
      <c r="AL295" s="5" t="e">
        <f t="shared" si="28"/>
        <v>#VALUE!</v>
      </c>
      <c r="AM295" s="5" t="e">
        <f t="shared" si="29"/>
        <v>#VALUE!</v>
      </c>
    </row>
    <row r="296" spans="1:39" ht="15" customHeight="1" thickBot="1" x14ac:dyDescent="0.35">
      <c r="A296">
        <f t="shared" si="24"/>
        <v>0</v>
      </c>
      <c r="B296" s="18">
        <v>437</v>
      </c>
      <c r="C296" s="11" t="s">
        <v>336</v>
      </c>
      <c r="D296" s="19" t="s">
        <v>126</v>
      </c>
      <c r="E296" s="19" t="s">
        <v>126</v>
      </c>
      <c r="F296" s="19" t="s">
        <v>126</v>
      </c>
      <c r="G296" s="19" t="s">
        <v>126</v>
      </c>
      <c r="H296" s="19" t="s">
        <v>126</v>
      </c>
      <c r="I296" s="19" t="s">
        <v>126</v>
      </c>
      <c r="J296" s="19" t="s">
        <v>126</v>
      </c>
      <c r="K296" s="19" t="s">
        <v>126</v>
      </c>
      <c r="L296" s="19" t="s">
        <v>126</v>
      </c>
      <c r="M296" s="19" t="s">
        <v>126</v>
      </c>
      <c r="N296" s="19" t="s">
        <v>126</v>
      </c>
      <c r="O296" s="19" t="s">
        <v>126</v>
      </c>
      <c r="P296" s="19" t="s">
        <v>126</v>
      </c>
      <c r="Q296" s="18">
        <v>437</v>
      </c>
      <c r="R296" s="11" t="s">
        <v>336</v>
      </c>
      <c r="S296" s="19" t="s">
        <v>126</v>
      </c>
      <c r="T296" s="19" t="s">
        <v>126</v>
      </c>
      <c r="U296" s="19" t="s">
        <v>126</v>
      </c>
      <c r="V296" s="19" t="s">
        <v>126</v>
      </c>
      <c r="W296" s="19" t="s">
        <v>126</v>
      </c>
      <c r="X296" s="19" t="s">
        <v>126</v>
      </c>
      <c r="Y296" s="19" t="s">
        <v>126</v>
      </c>
      <c r="Z296" s="19" t="s">
        <v>126</v>
      </c>
      <c r="AA296" s="19" t="s">
        <v>126</v>
      </c>
      <c r="AB296" s="19" t="s">
        <v>126</v>
      </c>
      <c r="AC296" s="19" t="s">
        <v>126</v>
      </c>
      <c r="AD296" s="19" t="s">
        <v>126</v>
      </c>
      <c r="AE296" s="19" t="s">
        <v>126</v>
      </c>
      <c r="AF296" s="19" t="s">
        <v>126</v>
      </c>
      <c r="AG296" s="19" t="s">
        <v>126</v>
      </c>
      <c r="AH296" s="19" t="s">
        <v>126</v>
      </c>
      <c r="AI296" s="5" t="e">
        <f t="shared" si="25"/>
        <v>#VALUE!</v>
      </c>
      <c r="AJ296" s="5" t="e">
        <f t="shared" si="26"/>
        <v>#VALUE!</v>
      </c>
      <c r="AK296" s="5" t="e">
        <f t="shared" si="27"/>
        <v>#VALUE!</v>
      </c>
      <c r="AL296" s="5" t="e">
        <f t="shared" si="28"/>
        <v>#VALUE!</v>
      </c>
      <c r="AM296" s="5" t="e">
        <f t="shared" si="29"/>
        <v>#VALUE!</v>
      </c>
    </row>
    <row r="297" spans="1:39" ht="15" customHeight="1" thickBot="1" x14ac:dyDescent="0.35">
      <c r="A297">
        <f t="shared" si="24"/>
        <v>0</v>
      </c>
      <c r="B297" s="16">
        <v>438</v>
      </c>
      <c r="C297" s="10" t="s">
        <v>337</v>
      </c>
      <c r="D297" s="17" t="s">
        <v>126</v>
      </c>
      <c r="E297" s="17" t="s">
        <v>126</v>
      </c>
      <c r="F297" s="17" t="s">
        <v>126</v>
      </c>
      <c r="G297" s="17" t="s">
        <v>126</v>
      </c>
      <c r="H297" s="17" t="s">
        <v>126</v>
      </c>
      <c r="I297" s="17" t="s">
        <v>126</v>
      </c>
      <c r="J297" s="17" t="s">
        <v>126</v>
      </c>
      <c r="K297" s="17" t="s">
        <v>126</v>
      </c>
      <c r="L297" s="17" t="s">
        <v>126</v>
      </c>
      <c r="M297" s="17" t="s">
        <v>126</v>
      </c>
      <c r="N297" s="17" t="s">
        <v>126</v>
      </c>
      <c r="O297" s="17" t="s">
        <v>126</v>
      </c>
      <c r="P297" s="17" t="s">
        <v>126</v>
      </c>
      <c r="Q297" s="16">
        <v>438</v>
      </c>
      <c r="R297" s="10" t="s">
        <v>337</v>
      </c>
      <c r="S297" s="17" t="s">
        <v>126</v>
      </c>
      <c r="T297" s="17" t="s">
        <v>126</v>
      </c>
      <c r="U297" s="17" t="s">
        <v>126</v>
      </c>
      <c r="V297" s="17" t="s">
        <v>126</v>
      </c>
      <c r="W297" s="17" t="s">
        <v>126</v>
      </c>
      <c r="X297" s="17" t="s">
        <v>126</v>
      </c>
      <c r="Y297" s="17" t="s">
        <v>126</v>
      </c>
      <c r="Z297" s="17" t="s">
        <v>126</v>
      </c>
      <c r="AA297" s="17" t="s">
        <v>126</v>
      </c>
      <c r="AB297" s="17" t="s">
        <v>126</v>
      </c>
      <c r="AC297" s="17" t="s">
        <v>126</v>
      </c>
      <c r="AD297" s="17" t="s">
        <v>126</v>
      </c>
      <c r="AE297" s="17" t="s">
        <v>126</v>
      </c>
      <c r="AF297" s="17" t="s">
        <v>126</v>
      </c>
      <c r="AG297" s="17" t="s">
        <v>126</v>
      </c>
      <c r="AH297" s="17" t="s">
        <v>126</v>
      </c>
      <c r="AI297" s="5" t="e">
        <f t="shared" si="25"/>
        <v>#VALUE!</v>
      </c>
      <c r="AJ297" s="5" t="e">
        <f t="shared" si="26"/>
        <v>#VALUE!</v>
      </c>
      <c r="AK297" s="5" t="e">
        <f t="shared" si="27"/>
        <v>#VALUE!</v>
      </c>
      <c r="AL297" s="5" t="e">
        <f t="shared" si="28"/>
        <v>#VALUE!</v>
      </c>
      <c r="AM297" s="5" t="e">
        <f t="shared" si="29"/>
        <v>#VALUE!</v>
      </c>
    </row>
    <row r="298" spans="1:39" ht="15" customHeight="1" thickBot="1" x14ac:dyDescent="0.35">
      <c r="A298">
        <f t="shared" si="24"/>
        <v>0</v>
      </c>
      <c r="B298" s="18">
        <v>439</v>
      </c>
      <c r="C298" s="11" t="s">
        <v>338</v>
      </c>
      <c r="D298" s="19" t="s">
        <v>126</v>
      </c>
      <c r="E298" s="19" t="s">
        <v>126</v>
      </c>
      <c r="F298" s="19" t="s">
        <v>126</v>
      </c>
      <c r="G298" s="19" t="s">
        <v>126</v>
      </c>
      <c r="H298" s="19" t="s">
        <v>126</v>
      </c>
      <c r="I298" s="19" t="s">
        <v>126</v>
      </c>
      <c r="J298" s="19" t="s">
        <v>126</v>
      </c>
      <c r="K298" s="19" t="s">
        <v>126</v>
      </c>
      <c r="L298" s="19" t="s">
        <v>126</v>
      </c>
      <c r="M298" s="19" t="s">
        <v>126</v>
      </c>
      <c r="N298" s="19" t="s">
        <v>126</v>
      </c>
      <c r="O298" s="19" t="s">
        <v>126</v>
      </c>
      <c r="P298" s="19" t="s">
        <v>126</v>
      </c>
      <c r="Q298" s="18">
        <v>439</v>
      </c>
      <c r="R298" s="11" t="s">
        <v>338</v>
      </c>
      <c r="S298" s="19" t="s">
        <v>126</v>
      </c>
      <c r="T298" s="19" t="s">
        <v>126</v>
      </c>
      <c r="U298" s="19" t="s">
        <v>126</v>
      </c>
      <c r="V298" s="19" t="s">
        <v>126</v>
      </c>
      <c r="W298" s="19" t="s">
        <v>126</v>
      </c>
      <c r="X298" s="19" t="s">
        <v>126</v>
      </c>
      <c r="Y298" s="19" t="s">
        <v>126</v>
      </c>
      <c r="Z298" s="19" t="s">
        <v>126</v>
      </c>
      <c r="AA298" s="19" t="s">
        <v>126</v>
      </c>
      <c r="AB298" s="19" t="s">
        <v>126</v>
      </c>
      <c r="AC298" s="19" t="s">
        <v>126</v>
      </c>
      <c r="AD298" s="19" t="s">
        <v>126</v>
      </c>
      <c r="AE298" s="19" t="s">
        <v>126</v>
      </c>
      <c r="AF298" s="19" t="s">
        <v>126</v>
      </c>
      <c r="AG298" s="19" t="s">
        <v>126</v>
      </c>
      <c r="AH298" s="19" t="s">
        <v>126</v>
      </c>
      <c r="AI298" s="5" t="e">
        <f t="shared" si="25"/>
        <v>#VALUE!</v>
      </c>
      <c r="AJ298" s="5" t="e">
        <f t="shared" si="26"/>
        <v>#VALUE!</v>
      </c>
      <c r="AK298" s="5" t="e">
        <f t="shared" si="27"/>
        <v>#VALUE!</v>
      </c>
      <c r="AL298" s="5" t="e">
        <f t="shared" si="28"/>
        <v>#VALUE!</v>
      </c>
      <c r="AM298" s="5" t="e">
        <f t="shared" si="29"/>
        <v>#VALUE!</v>
      </c>
    </row>
    <row r="299" spans="1:39" ht="15" customHeight="1" thickBot="1" x14ac:dyDescent="0.35">
      <c r="A299">
        <f t="shared" si="24"/>
        <v>0</v>
      </c>
      <c r="B299" s="16">
        <v>440</v>
      </c>
      <c r="C299" s="10" t="s">
        <v>339</v>
      </c>
      <c r="D299" s="17" t="s">
        <v>126</v>
      </c>
      <c r="E299" s="17" t="s">
        <v>126</v>
      </c>
      <c r="F299" s="17" t="s">
        <v>126</v>
      </c>
      <c r="G299" s="17" t="s">
        <v>126</v>
      </c>
      <c r="H299" s="17" t="s">
        <v>126</v>
      </c>
      <c r="I299" s="17" t="s">
        <v>126</v>
      </c>
      <c r="J299" s="17" t="s">
        <v>126</v>
      </c>
      <c r="K299" s="17" t="s">
        <v>126</v>
      </c>
      <c r="L299" s="17" t="s">
        <v>126</v>
      </c>
      <c r="M299" s="17" t="s">
        <v>126</v>
      </c>
      <c r="N299" s="17" t="s">
        <v>126</v>
      </c>
      <c r="O299" s="17" t="s">
        <v>126</v>
      </c>
      <c r="P299" s="17" t="s">
        <v>126</v>
      </c>
      <c r="Q299" s="16">
        <v>440</v>
      </c>
      <c r="R299" s="10" t="s">
        <v>339</v>
      </c>
      <c r="S299" s="17" t="s">
        <v>126</v>
      </c>
      <c r="T299" s="17" t="s">
        <v>126</v>
      </c>
      <c r="U299" s="17" t="s">
        <v>126</v>
      </c>
      <c r="V299" s="17" t="s">
        <v>126</v>
      </c>
      <c r="W299" s="17" t="s">
        <v>126</v>
      </c>
      <c r="X299" s="17" t="s">
        <v>126</v>
      </c>
      <c r="Y299" s="17" t="s">
        <v>126</v>
      </c>
      <c r="Z299" s="17" t="s">
        <v>126</v>
      </c>
      <c r="AA299" s="17" t="s">
        <v>126</v>
      </c>
      <c r="AB299" s="17" t="s">
        <v>126</v>
      </c>
      <c r="AC299" s="17" t="s">
        <v>126</v>
      </c>
      <c r="AD299" s="17" t="s">
        <v>126</v>
      </c>
      <c r="AE299" s="17" t="s">
        <v>126</v>
      </c>
      <c r="AF299" s="17" t="s">
        <v>126</v>
      </c>
      <c r="AG299" s="17" t="s">
        <v>126</v>
      </c>
      <c r="AH299" s="17" t="s">
        <v>126</v>
      </c>
      <c r="AI299" s="5" t="e">
        <f t="shared" si="25"/>
        <v>#VALUE!</v>
      </c>
      <c r="AJ299" s="5" t="e">
        <f t="shared" si="26"/>
        <v>#VALUE!</v>
      </c>
      <c r="AK299" s="5" t="e">
        <f t="shared" si="27"/>
        <v>#VALUE!</v>
      </c>
      <c r="AL299" s="5" t="e">
        <f t="shared" si="28"/>
        <v>#VALUE!</v>
      </c>
      <c r="AM299" s="5" t="e">
        <f t="shared" si="29"/>
        <v>#VALUE!</v>
      </c>
    </row>
    <row r="300" spans="1:39" ht="15" customHeight="1" thickBot="1" x14ac:dyDescent="0.35">
      <c r="A300">
        <f t="shared" si="24"/>
        <v>0</v>
      </c>
      <c r="B300" s="18">
        <v>441</v>
      </c>
      <c r="C300" s="11" t="s">
        <v>340</v>
      </c>
      <c r="D300" s="19" t="s">
        <v>126</v>
      </c>
      <c r="E300" s="19" t="s">
        <v>126</v>
      </c>
      <c r="F300" s="19" t="s">
        <v>126</v>
      </c>
      <c r="G300" s="19" t="s">
        <v>126</v>
      </c>
      <c r="H300" s="19" t="s">
        <v>126</v>
      </c>
      <c r="I300" s="19" t="s">
        <v>126</v>
      </c>
      <c r="J300" s="19" t="s">
        <v>126</v>
      </c>
      <c r="K300" s="19" t="s">
        <v>126</v>
      </c>
      <c r="L300" s="19" t="s">
        <v>126</v>
      </c>
      <c r="M300" s="19" t="s">
        <v>126</v>
      </c>
      <c r="N300" s="19" t="s">
        <v>126</v>
      </c>
      <c r="O300" s="19" t="s">
        <v>126</v>
      </c>
      <c r="P300" s="19" t="s">
        <v>126</v>
      </c>
      <c r="Q300" s="18">
        <v>441</v>
      </c>
      <c r="R300" s="11" t="s">
        <v>340</v>
      </c>
      <c r="S300" s="19" t="s">
        <v>126</v>
      </c>
      <c r="T300" s="19" t="s">
        <v>126</v>
      </c>
      <c r="U300" s="19" t="s">
        <v>126</v>
      </c>
      <c r="V300" s="19" t="s">
        <v>126</v>
      </c>
      <c r="W300" s="19" t="s">
        <v>126</v>
      </c>
      <c r="X300" s="19" t="s">
        <v>126</v>
      </c>
      <c r="Y300" s="19" t="s">
        <v>126</v>
      </c>
      <c r="Z300" s="19" t="s">
        <v>126</v>
      </c>
      <c r="AA300" s="19" t="s">
        <v>126</v>
      </c>
      <c r="AB300" s="19" t="s">
        <v>126</v>
      </c>
      <c r="AC300" s="19" t="s">
        <v>126</v>
      </c>
      <c r="AD300" s="19" t="s">
        <v>126</v>
      </c>
      <c r="AE300" s="19" t="s">
        <v>126</v>
      </c>
      <c r="AF300" s="19" t="s">
        <v>126</v>
      </c>
      <c r="AG300" s="19" t="s">
        <v>126</v>
      </c>
      <c r="AH300" s="19" t="s">
        <v>126</v>
      </c>
      <c r="AI300" s="5" t="e">
        <f t="shared" si="25"/>
        <v>#VALUE!</v>
      </c>
      <c r="AJ300" s="5" t="e">
        <f t="shared" si="26"/>
        <v>#VALUE!</v>
      </c>
      <c r="AK300" s="5" t="e">
        <f t="shared" si="27"/>
        <v>#VALUE!</v>
      </c>
      <c r="AL300" s="5" t="e">
        <f t="shared" si="28"/>
        <v>#VALUE!</v>
      </c>
      <c r="AM300" s="5" t="e">
        <f t="shared" si="29"/>
        <v>#VALUE!</v>
      </c>
    </row>
    <row r="301" spans="1:39" ht="15" customHeight="1" thickBot="1" x14ac:dyDescent="0.35">
      <c r="A301">
        <f t="shared" si="24"/>
        <v>0</v>
      </c>
      <c r="B301" s="16">
        <v>442</v>
      </c>
      <c r="C301" s="10" t="s">
        <v>341</v>
      </c>
      <c r="D301" s="17" t="s">
        <v>126</v>
      </c>
      <c r="E301" s="17" t="s">
        <v>126</v>
      </c>
      <c r="F301" s="17" t="s">
        <v>126</v>
      </c>
      <c r="G301" s="17" t="s">
        <v>126</v>
      </c>
      <c r="H301" s="17" t="s">
        <v>126</v>
      </c>
      <c r="I301" s="17" t="s">
        <v>126</v>
      </c>
      <c r="J301" s="17" t="s">
        <v>126</v>
      </c>
      <c r="K301" s="17" t="s">
        <v>126</v>
      </c>
      <c r="L301" s="17" t="s">
        <v>126</v>
      </c>
      <c r="M301" s="17" t="s">
        <v>126</v>
      </c>
      <c r="N301" s="17" t="s">
        <v>126</v>
      </c>
      <c r="O301" s="17" t="s">
        <v>126</v>
      </c>
      <c r="P301" s="17" t="s">
        <v>126</v>
      </c>
      <c r="Q301" s="16">
        <v>442</v>
      </c>
      <c r="R301" s="10" t="s">
        <v>341</v>
      </c>
      <c r="S301" s="17" t="s">
        <v>126</v>
      </c>
      <c r="T301" s="17" t="s">
        <v>126</v>
      </c>
      <c r="U301" s="17" t="s">
        <v>126</v>
      </c>
      <c r="V301" s="17" t="s">
        <v>126</v>
      </c>
      <c r="W301" s="17" t="s">
        <v>126</v>
      </c>
      <c r="X301" s="17" t="s">
        <v>126</v>
      </c>
      <c r="Y301" s="17" t="s">
        <v>126</v>
      </c>
      <c r="Z301" s="17" t="s">
        <v>126</v>
      </c>
      <c r="AA301" s="17" t="s">
        <v>126</v>
      </c>
      <c r="AB301" s="17" t="s">
        <v>126</v>
      </c>
      <c r="AC301" s="17" t="s">
        <v>126</v>
      </c>
      <c r="AD301" s="17" t="s">
        <v>126</v>
      </c>
      <c r="AE301" s="17" t="s">
        <v>126</v>
      </c>
      <c r="AF301" s="17" t="s">
        <v>126</v>
      </c>
      <c r="AG301" s="17" t="s">
        <v>126</v>
      </c>
      <c r="AH301" s="17" t="s">
        <v>126</v>
      </c>
      <c r="AI301" s="5" t="e">
        <f t="shared" si="25"/>
        <v>#VALUE!</v>
      </c>
      <c r="AJ301" s="5" t="e">
        <f t="shared" si="26"/>
        <v>#VALUE!</v>
      </c>
      <c r="AK301" s="5" t="e">
        <f t="shared" si="27"/>
        <v>#VALUE!</v>
      </c>
      <c r="AL301" s="5" t="e">
        <f t="shared" si="28"/>
        <v>#VALUE!</v>
      </c>
      <c r="AM301" s="5" t="e">
        <f t="shared" si="29"/>
        <v>#VALUE!</v>
      </c>
    </row>
    <row r="302" spans="1:39" ht="15" customHeight="1" thickBot="1" x14ac:dyDescent="0.35">
      <c r="A302">
        <f t="shared" si="24"/>
        <v>0</v>
      </c>
      <c r="B302" s="18">
        <v>443</v>
      </c>
      <c r="C302" s="11" t="s">
        <v>342</v>
      </c>
      <c r="D302" s="19" t="s">
        <v>126</v>
      </c>
      <c r="E302" s="19" t="s">
        <v>126</v>
      </c>
      <c r="F302" s="19" t="s">
        <v>126</v>
      </c>
      <c r="G302" s="19" t="s">
        <v>126</v>
      </c>
      <c r="H302" s="19" t="s">
        <v>126</v>
      </c>
      <c r="I302" s="19" t="s">
        <v>126</v>
      </c>
      <c r="J302" s="19" t="s">
        <v>126</v>
      </c>
      <c r="K302" s="19" t="s">
        <v>126</v>
      </c>
      <c r="L302" s="19" t="s">
        <v>126</v>
      </c>
      <c r="M302" s="19" t="s">
        <v>126</v>
      </c>
      <c r="N302" s="19" t="s">
        <v>126</v>
      </c>
      <c r="O302" s="19" t="s">
        <v>126</v>
      </c>
      <c r="P302" s="19" t="s">
        <v>126</v>
      </c>
      <c r="Q302" s="18">
        <v>443</v>
      </c>
      <c r="R302" s="11" t="s">
        <v>342</v>
      </c>
      <c r="S302" s="19" t="s">
        <v>126</v>
      </c>
      <c r="T302" s="19" t="s">
        <v>126</v>
      </c>
      <c r="U302" s="19" t="s">
        <v>126</v>
      </c>
      <c r="V302" s="19" t="s">
        <v>126</v>
      </c>
      <c r="W302" s="19" t="s">
        <v>126</v>
      </c>
      <c r="X302" s="19" t="s">
        <v>126</v>
      </c>
      <c r="Y302" s="19" t="s">
        <v>126</v>
      </c>
      <c r="Z302" s="19" t="s">
        <v>126</v>
      </c>
      <c r="AA302" s="19" t="s">
        <v>126</v>
      </c>
      <c r="AB302" s="19" t="s">
        <v>126</v>
      </c>
      <c r="AC302" s="19" t="s">
        <v>126</v>
      </c>
      <c r="AD302" s="19" t="s">
        <v>126</v>
      </c>
      <c r="AE302" s="19" t="s">
        <v>126</v>
      </c>
      <c r="AF302" s="19" t="s">
        <v>126</v>
      </c>
      <c r="AG302" s="19" t="s">
        <v>126</v>
      </c>
      <c r="AH302" s="19" t="s">
        <v>126</v>
      </c>
      <c r="AI302" s="5" t="e">
        <f t="shared" si="25"/>
        <v>#VALUE!</v>
      </c>
      <c r="AJ302" s="5" t="e">
        <f t="shared" si="26"/>
        <v>#VALUE!</v>
      </c>
      <c r="AK302" s="5" t="e">
        <f t="shared" si="27"/>
        <v>#VALUE!</v>
      </c>
      <c r="AL302" s="5" t="e">
        <f t="shared" si="28"/>
        <v>#VALUE!</v>
      </c>
      <c r="AM302" s="5" t="e">
        <f t="shared" si="29"/>
        <v>#VALUE!</v>
      </c>
    </row>
    <row r="303" spans="1:39" ht="15" customHeight="1" thickBot="1" x14ac:dyDescent="0.35">
      <c r="A303">
        <f t="shared" si="24"/>
        <v>0</v>
      </c>
      <c r="B303" s="16">
        <v>444</v>
      </c>
      <c r="C303" s="10" t="s">
        <v>343</v>
      </c>
      <c r="D303" s="17" t="s">
        <v>126</v>
      </c>
      <c r="E303" s="17" t="s">
        <v>126</v>
      </c>
      <c r="F303" s="17" t="s">
        <v>126</v>
      </c>
      <c r="G303" s="17" t="s">
        <v>126</v>
      </c>
      <c r="H303" s="17" t="s">
        <v>126</v>
      </c>
      <c r="I303" s="17" t="s">
        <v>126</v>
      </c>
      <c r="J303" s="17" t="s">
        <v>126</v>
      </c>
      <c r="K303" s="17" t="s">
        <v>126</v>
      </c>
      <c r="L303" s="17" t="s">
        <v>126</v>
      </c>
      <c r="M303" s="17" t="s">
        <v>126</v>
      </c>
      <c r="N303" s="17" t="s">
        <v>126</v>
      </c>
      <c r="O303" s="17" t="s">
        <v>126</v>
      </c>
      <c r="P303" s="17" t="s">
        <v>126</v>
      </c>
      <c r="Q303" s="16">
        <v>444</v>
      </c>
      <c r="R303" s="10" t="s">
        <v>343</v>
      </c>
      <c r="S303" s="17" t="s">
        <v>126</v>
      </c>
      <c r="T303" s="17" t="s">
        <v>126</v>
      </c>
      <c r="U303" s="17" t="s">
        <v>126</v>
      </c>
      <c r="V303" s="17" t="s">
        <v>126</v>
      </c>
      <c r="W303" s="17" t="s">
        <v>126</v>
      </c>
      <c r="X303" s="17" t="s">
        <v>126</v>
      </c>
      <c r="Y303" s="17" t="s">
        <v>126</v>
      </c>
      <c r="Z303" s="17" t="s">
        <v>126</v>
      </c>
      <c r="AA303" s="17" t="s">
        <v>126</v>
      </c>
      <c r="AB303" s="17" t="s">
        <v>126</v>
      </c>
      <c r="AC303" s="17" t="s">
        <v>126</v>
      </c>
      <c r="AD303" s="17" t="s">
        <v>126</v>
      </c>
      <c r="AE303" s="17" t="s">
        <v>126</v>
      </c>
      <c r="AF303" s="17" t="s">
        <v>126</v>
      </c>
      <c r="AG303" s="17" t="s">
        <v>126</v>
      </c>
      <c r="AH303" s="17" t="s">
        <v>126</v>
      </c>
      <c r="AI303" s="5" t="e">
        <f t="shared" si="25"/>
        <v>#VALUE!</v>
      </c>
      <c r="AJ303" s="5" t="e">
        <f t="shared" si="26"/>
        <v>#VALUE!</v>
      </c>
      <c r="AK303" s="5" t="e">
        <f t="shared" si="27"/>
        <v>#VALUE!</v>
      </c>
      <c r="AL303" s="5" t="e">
        <f t="shared" si="28"/>
        <v>#VALUE!</v>
      </c>
      <c r="AM303" s="5" t="e">
        <f t="shared" si="29"/>
        <v>#VALUE!</v>
      </c>
    </row>
    <row r="304" spans="1:39" ht="15" customHeight="1" thickBot="1" x14ac:dyDescent="0.35">
      <c r="A304">
        <f t="shared" si="24"/>
        <v>0</v>
      </c>
      <c r="B304" s="18">
        <v>445</v>
      </c>
      <c r="C304" s="11" t="s">
        <v>344</v>
      </c>
      <c r="D304" s="19" t="s">
        <v>126</v>
      </c>
      <c r="E304" s="19" t="s">
        <v>126</v>
      </c>
      <c r="F304" s="19" t="s">
        <v>126</v>
      </c>
      <c r="G304" s="19" t="s">
        <v>126</v>
      </c>
      <c r="H304" s="19" t="s">
        <v>126</v>
      </c>
      <c r="I304" s="19" t="s">
        <v>126</v>
      </c>
      <c r="J304" s="19" t="s">
        <v>126</v>
      </c>
      <c r="K304" s="19" t="s">
        <v>126</v>
      </c>
      <c r="L304" s="19" t="s">
        <v>126</v>
      </c>
      <c r="M304" s="19" t="s">
        <v>126</v>
      </c>
      <c r="N304" s="19" t="s">
        <v>126</v>
      </c>
      <c r="O304" s="19" t="s">
        <v>126</v>
      </c>
      <c r="P304" s="19" t="s">
        <v>126</v>
      </c>
      <c r="Q304" s="18">
        <v>445</v>
      </c>
      <c r="R304" s="11" t="s">
        <v>344</v>
      </c>
      <c r="S304" s="19" t="s">
        <v>126</v>
      </c>
      <c r="T304" s="19" t="s">
        <v>126</v>
      </c>
      <c r="U304" s="19" t="s">
        <v>126</v>
      </c>
      <c r="V304" s="19" t="s">
        <v>126</v>
      </c>
      <c r="W304" s="19" t="s">
        <v>126</v>
      </c>
      <c r="X304" s="19" t="s">
        <v>126</v>
      </c>
      <c r="Y304" s="19" t="s">
        <v>126</v>
      </c>
      <c r="Z304" s="19" t="s">
        <v>126</v>
      </c>
      <c r="AA304" s="19" t="s">
        <v>126</v>
      </c>
      <c r="AB304" s="19" t="s">
        <v>126</v>
      </c>
      <c r="AC304" s="19" t="s">
        <v>126</v>
      </c>
      <c r="AD304" s="19" t="s">
        <v>126</v>
      </c>
      <c r="AE304" s="19" t="s">
        <v>126</v>
      </c>
      <c r="AF304" s="19" t="s">
        <v>126</v>
      </c>
      <c r="AG304" s="19" t="s">
        <v>126</v>
      </c>
      <c r="AH304" s="19" t="s">
        <v>126</v>
      </c>
      <c r="AI304" s="5" t="e">
        <f t="shared" si="25"/>
        <v>#VALUE!</v>
      </c>
      <c r="AJ304" s="5" t="e">
        <f t="shared" si="26"/>
        <v>#VALUE!</v>
      </c>
      <c r="AK304" s="5" t="e">
        <f t="shared" si="27"/>
        <v>#VALUE!</v>
      </c>
      <c r="AL304" s="5" t="e">
        <f t="shared" si="28"/>
        <v>#VALUE!</v>
      </c>
      <c r="AM304" s="5" t="e">
        <f t="shared" si="29"/>
        <v>#VALUE!</v>
      </c>
    </row>
    <row r="305" spans="1:39" ht="15" customHeight="1" thickBot="1" x14ac:dyDescent="0.35">
      <c r="A305">
        <f t="shared" si="24"/>
        <v>0</v>
      </c>
      <c r="B305" s="16">
        <v>446</v>
      </c>
      <c r="C305" s="10" t="s">
        <v>345</v>
      </c>
      <c r="D305" s="17" t="s">
        <v>126</v>
      </c>
      <c r="E305" s="17" t="s">
        <v>126</v>
      </c>
      <c r="F305" s="17" t="s">
        <v>126</v>
      </c>
      <c r="G305" s="17" t="s">
        <v>126</v>
      </c>
      <c r="H305" s="17" t="s">
        <v>126</v>
      </c>
      <c r="I305" s="17" t="s">
        <v>126</v>
      </c>
      <c r="J305" s="17" t="s">
        <v>126</v>
      </c>
      <c r="K305" s="17" t="s">
        <v>126</v>
      </c>
      <c r="L305" s="17" t="s">
        <v>126</v>
      </c>
      <c r="M305" s="17" t="s">
        <v>126</v>
      </c>
      <c r="N305" s="17" t="s">
        <v>126</v>
      </c>
      <c r="O305" s="17" t="s">
        <v>126</v>
      </c>
      <c r="P305" s="17" t="s">
        <v>126</v>
      </c>
      <c r="Q305" s="16">
        <v>446</v>
      </c>
      <c r="R305" s="10" t="s">
        <v>345</v>
      </c>
      <c r="S305" s="17" t="s">
        <v>126</v>
      </c>
      <c r="T305" s="17" t="s">
        <v>126</v>
      </c>
      <c r="U305" s="17" t="s">
        <v>126</v>
      </c>
      <c r="V305" s="17" t="s">
        <v>126</v>
      </c>
      <c r="W305" s="17" t="s">
        <v>126</v>
      </c>
      <c r="X305" s="17" t="s">
        <v>126</v>
      </c>
      <c r="Y305" s="17" t="s">
        <v>126</v>
      </c>
      <c r="Z305" s="17" t="s">
        <v>126</v>
      </c>
      <c r="AA305" s="17" t="s">
        <v>126</v>
      </c>
      <c r="AB305" s="17" t="s">
        <v>126</v>
      </c>
      <c r="AC305" s="17" t="s">
        <v>126</v>
      </c>
      <c r="AD305" s="17" t="s">
        <v>126</v>
      </c>
      <c r="AE305" s="17" t="s">
        <v>126</v>
      </c>
      <c r="AF305" s="17" t="s">
        <v>126</v>
      </c>
      <c r="AG305" s="17" t="s">
        <v>126</v>
      </c>
      <c r="AH305" s="17" t="s">
        <v>126</v>
      </c>
      <c r="AI305" s="5" t="e">
        <f t="shared" si="25"/>
        <v>#VALUE!</v>
      </c>
      <c r="AJ305" s="5" t="e">
        <f t="shared" si="26"/>
        <v>#VALUE!</v>
      </c>
      <c r="AK305" s="5" t="e">
        <f t="shared" si="27"/>
        <v>#VALUE!</v>
      </c>
      <c r="AL305" s="5" t="e">
        <f t="shared" si="28"/>
        <v>#VALUE!</v>
      </c>
      <c r="AM305" s="5" t="e">
        <f t="shared" si="29"/>
        <v>#VALUE!</v>
      </c>
    </row>
    <row r="306" spans="1:39" ht="15" customHeight="1" thickBot="1" x14ac:dyDescent="0.35">
      <c r="A306">
        <f t="shared" si="24"/>
        <v>0</v>
      </c>
      <c r="B306" s="18">
        <v>447</v>
      </c>
      <c r="C306" s="11" t="s">
        <v>346</v>
      </c>
      <c r="D306" s="19" t="s">
        <v>126</v>
      </c>
      <c r="E306" s="19" t="s">
        <v>126</v>
      </c>
      <c r="F306" s="19" t="s">
        <v>126</v>
      </c>
      <c r="G306" s="19" t="s">
        <v>126</v>
      </c>
      <c r="H306" s="19" t="s">
        <v>126</v>
      </c>
      <c r="I306" s="19" t="s">
        <v>126</v>
      </c>
      <c r="J306" s="19" t="s">
        <v>126</v>
      </c>
      <c r="K306" s="19" t="s">
        <v>126</v>
      </c>
      <c r="L306" s="19" t="s">
        <v>126</v>
      </c>
      <c r="M306" s="19" t="s">
        <v>126</v>
      </c>
      <c r="N306" s="19" t="s">
        <v>126</v>
      </c>
      <c r="O306" s="19" t="s">
        <v>126</v>
      </c>
      <c r="P306" s="19" t="s">
        <v>126</v>
      </c>
      <c r="Q306" s="18">
        <v>447</v>
      </c>
      <c r="R306" s="11" t="s">
        <v>346</v>
      </c>
      <c r="S306" s="19" t="s">
        <v>126</v>
      </c>
      <c r="T306" s="19" t="s">
        <v>126</v>
      </c>
      <c r="U306" s="19" t="s">
        <v>126</v>
      </c>
      <c r="V306" s="19" t="s">
        <v>126</v>
      </c>
      <c r="W306" s="19" t="s">
        <v>126</v>
      </c>
      <c r="X306" s="19" t="s">
        <v>126</v>
      </c>
      <c r="Y306" s="19" t="s">
        <v>126</v>
      </c>
      <c r="Z306" s="19" t="s">
        <v>126</v>
      </c>
      <c r="AA306" s="19" t="s">
        <v>126</v>
      </c>
      <c r="AB306" s="19" t="s">
        <v>126</v>
      </c>
      <c r="AC306" s="19" t="s">
        <v>126</v>
      </c>
      <c r="AD306" s="19" t="s">
        <v>126</v>
      </c>
      <c r="AE306" s="19" t="s">
        <v>126</v>
      </c>
      <c r="AF306" s="19" t="s">
        <v>126</v>
      </c>
      <c r="AG306" s="19" t="s">
        <v>126</v>
      </c>
      <c r="AH306" s="19" t="s">
        <v>126</v>
      </c>
      <c r="AI306" s="5" t="e">
        <f t="shared" si="25"/>
        <v>#VALUE!</v>
      </c>
      <c r="AJ306" s="5" t="e">
        <f t="shared" si="26"/>
        <v>#VALUE!</v>
      </c>
      <c r="AK306" s="5" t="e">
        <f t="shared" si="27"/>
        <v>#VALUE!</v>
      </c>
      <c r="AL306" s="5" t="e">
        <f t="shared" si="28"/>
        <v>#VALUE!</v>
      </c>
      <c r="AM306" s="5" t="e">
        <f t="shared" si="29"/>
        <v>#VALUE!</v>
      </c>
    </row>
    <row r="307" spans="1:39" ht="15" customHeight="1" thickBot="1" x14ac:dyDescent="0.35">
      <c r="A307">
        <f t="shared" si="24"/>
        <v>0</v>
      </c>
      <c r="B307" s="16">
        <v>448</v>
      </c>
      <c r="C307" s="10" t="s">
        <v>347</v>
      </c>
      <c r="D307" s="17" t="s">
        <v>126</v>
      </c>
      <c r="E307" s="17" t="s">
        <v>126</v>
      </c>
      <c r="F307" s="17" t="s">
        <v>126</v>
      </c>
      <c r="G307" s="17" t="s">
        <v>126</v>
      </c>
      <c r="H307" s="17" t="s">
        <v>126</v>
      </c>
      <c r="I307" s="17" t="s">
        <v>126</v>
      </c>
      <c r="J307" s="17" t="s">
        <v>126</v>
      </c>
      <c r="K307" s="17" t="s">
        <v>126</v>
      </c>
      <c r="L307" s="17" t="s">
        <v>126</v>
      </c>
      <c r="M307" s="17" t="s">
        <v>126</v>
      </c>
      <c r="N307" s="17" t="s">
        <v>126</v>
      </c>
      <c r="O307" s="17" t="s">
        <v>126</v>
      </c>
      <c r="P307" s="17" t="s">
        <v>126</v>
      </c>
      <c r="Q307" s="16">
        <v>448</v>
      </c>
      <c r="R307" s="10" t="s">
        <v>347</v>
      </c>
      <c r="S307" s="17" t="s">
        <v>126</v>
      </c>
      <c r="T307" s="17" t="s">
        <v>126</v>
      </c>
      <c r="U307" s="17" t="s">
        <v>126</v>
      </c>
      <c r="V307" s="17" t="s">
        <v>126</v>
      </c>
      <c r="W307" s="17" t="s">
        <v>126</v>
      </c>
      <c r="X307" s="17" t="s">
        <v>126</v>
      </c>
      <c r="Y307" s="17" t="s">
        <v>126</v>
      </c>
      <c r="Z307" s="17" t="s">
        <v>126</v>
      </c>
      <c r="AA307" s="17" t="s">
        <v>126</v>
      </c>
      <c r="AB307" s="17" t="s">
        <v>126</v>
      </c>
      <c r="AC307" s="17" t="s">
        <v>126</v>
      </c>
      <c r="AD307" s="17" t="s">
        <v>126</v>
      </c>
      <c r="AE307" s="17" t="s">
        <v>126</v>
      </c>
      <c r="AF307" s="17" t="s">
        <v>126</v>
      </c>
      <c r="AG307" s="17" t="s">
        <v>126</v>
      </c>
      <c r="AH307" s="17" t="s">
        <v>126</v>
      </c>
      <c r="AI307" s="5" t="e">
        <f t="shared" si="25"/>
        <v>#VALUE!</v>
      </c>
      <c r="AJ307" s="5" t="e">
        <f t="shared" si="26"/>
        <v>#VALUE!</v>
      </c>
      <c r="AK307" s="5" t="e">
        <f t="shared" si="27"/>
        <v>#VALUE!</v>
      </c>
      <c r="AL307" s="5" t="e">
        <f t="shared" si="28"/>
        <v>#VALUE!</v>
      </c>
      <c r="AM307" s="5" t="e">
        <f t="shared" si="29"/>
        <v>#VALUE!</v>
      </c>
    </row>
    <row r="308" spans="1:39" ht="15" customHeight="1" thickBot="1" x14ac:dyDescent="0.35">
      <c r="A308">
        <f t="shared" si="24"/>
        <v>0</v>
      </c>
      <c r="B308" s="18">
        <v>449</v>
      </c>
      <c r="C308" s="11" t="s">
        <v>348</v>
      </c>
      <c r="D308" s="19" t="s">
        <v>126</v>
      </c>
      <c r="E308" s="19" t="s">
        <v>126</v>
      </c>
      <c r="F308" s="19" t="s">
        <v>126</v>
      </c>
      <c r="G308" s="19" t="s">
        <v>126</v>
      </c>
      <c r="H308" s="19" t="s">
        <v>126</v>
      </c>
      <c r="I308" s="19" t="s">
        <v>126</v>
      </c>
      <c r="J308" s="19" t="s">
        <v>126</v>
      </c>
      <c r="K308" s="19" t="s">
        <v>126</v>
      </c>
      <c r="L308" s="19" t="s">
        <v>126</v>
      </c>
      <c r="M308" s="19" t="s">
        <v>126</v>
      </c>
      <c r="N308" s="19" t="s">
        <v>126</v>
      </c>
      <c r="O308" s="19" t="s">
        <v>126</v>
      </c>
      <c r="P308" s="19" t="s">
        <v>126</v>
      </c>
      <c r="Q308" s="18">
        <v>449</v>
      </c>
      <c r="R308" s="11" t="s">
        <v>348</v>
      </c>
      <c r="S308" s="19" t="s">
        <v>126</v>
      </c>
      <c r="T308" s="19" t="s">
        <v>126</v>
      </c>
      <c r="U308" s="19" t="s">
        <v>126</v>
      </c>
      <c r="V308" s="19" t="s">
        <v>126</v>
      </c>
      <c r="W308" s="19" t="s">
        <v>126</v>
      </c>
      <c r="X308" s="19" t="s">
        <v>126</v>
      </c>
      <c r="Y308" s="19" t="s">
        <v>126</v>
      </c>
      <c r="Z308" s="19" t="s">
        <v>126</v>
      </c>
      <c r="AA308" s="19" t="s">
        <v>126</v>
      </c>
      <c r="AB308" s="19" t="s">
        <v>126</v>
      </c>
      <c r="AC308" s="19" t="s">
        <v>126</v>
      </c>
      <c r="AD308" s="19" t="s">
        <v>126</v>
      </c>
      <c r="AE308" s="19" t="s">
        <v>126</v>
      </c>
      <c r="AF308" s="19" t="s">
        <v>126</v>
      </c>
      <c r="AG308" s="19" t="s">
        <v>126</v>
      </c>
      <c r="AH308" s="19" t="s">
        <v>126</v>
      </c>
      <c r="AI308" s="5" t="e">
        <f t="shared" si="25"/>
        <v>#VALUE!</v>
      </c>
      <c r="AJ308" s="5" t="e">
        <f t="shared" si="26"/>
        <v>#VALUE!</v>
      </c>
      <c r="AK308" s="5" t="e">
        <f t="shared" si="27"/>
        <v>#VALUE!</v>
      </c>
      <c r="AL308" s="5" t="e">
        <f t="shared" si="28"/>
        <v>#VALUE!</v>
      </c>
      <c r="AM308" s="5" t="e">
        <f t="shared" si="29"/>
        <v>#VALUE!</v>
      </c>
    </row>
    <row r="309" spans="1:39" ht="15" customHeight="1" thickBot="1" x14ac:dyDescent="0.35">
      <c r="A309">
        <f t="shared" si="24"/>
        <v>0</v>
      </c>
      <c r="B309" s="16">
        <v>450</v>
      </c>
      <c r="C309" s="10" t="s">
        <v>349</v>
      </c>
      <c r="D309" s="17" t="s">
        <v>126</v>
      </c>
      <c r="E309" s="17" t="s">
        <v>126</v>
      </c>
      <c r="F309" s="17" t="s">
        <v>126</v>
      </c>
      <c r="G309" s="17" t="s">
        <v>126</v>
      </c>
      <c r="H309" s="17" t="s">
        <v>126</v>
      </c>
      <c r="I309" s="17" t="s">
        <v>126</v>
      </c>
      <c r="J309" s="17" t="s">
        <v>126</v>
      </c>
      <c r="K309" s="17" t="s">
        <v>126</v>
      </c>
      <c r="L309" s="17" t="s">
        <v>126</v>
      </c>
      <c r="M309" s="17" t="s">
        <v>126</v>
      </c>
      <c r="N309" s="17" t="s">
        <v>126</v>
      </c>
      <c r="O309" s="17" t="s">
        <v>126</v>
      </c>
      <c r="P309" s="17" t="s">
        <v>126</v>
      </c>
      <c r="Q309" s="16">
        <v>450</v>
      </c>
      <c r="R309" s="10" t="s">
        <v>349</v>
      </c>
      <c r="S309" s="17" t="s">
        <v>126</v>
      </c>
      <c r="T309" s="17" t="s">
        <v>126</v>
      </c>
      <c r="U309" s="17" t="s">
        <v>126</v>
      </c>
      <c r="V309" s="17" t="s">
        <v>126</v>
      </c>
      <c r="W309" s="17" t="s">
        <v>126</v>
      </c>
      <c r="X309" s="17" t="s">
        <v>126</v>
      </c>
      <c r="Y309" s="17" t="s">
        <v>126</v>
      </c>
      <c r="Z309" s="17" t="s">
        <v>126</v>
      </c>
      <c r="AA309" s="17" t="s">
        <v>126</v>
      </c>
      <c r="AB309" s="17" t="s">
        <v>126</v>
      </c>
      <c r="AC309" s="17" t="s">
        <v>126</v>
      </c>
      <c r="AD309" s="17" t="s">
        <v>126</v>
      </c>
      <c r="AE309" s="17" t="s">
        <v>126</v>
      </c>
      <c r="AF309" s="17" t="s">
        <v>126</v>
      </c>
      <c r="AG309" s="17" t="s">
        <v>126</v>
      </c>
      <c r="AH309" s="17" t="s">
        <v>126</v>
      </c>
      <c r="AI309" s="5" t="e">
        <f t="shared" si="25"/>
        <v>#VALUE!</v>
      </c>
      <c r="AJ309" s="5" t="e">
        <f t="shared" si="26"/>
        <v>#VALUE!</v>
      </c>
      <c r="AK309" s="5" t="e">
        <f t="shared" si="27"/>
        <v>#VALUE!</v>
      </c>
      <c r="AL309" s="5" t="e">
        <f t="shared" si="28"/>
        <v>#VALUE!</v>
      </c>
      <c r="AM309" s="5" t="e">
        <f t="shared" si="29"/>
        <v>#VALUE!</v>
      </c>
    </row>
    <row r="310" spans="1:39" ht="15" customHeight="1" thickBot="1" x14ac:dyDescent="0.35">
      <c r="A310">
        <f t="shared" si="24"/>
        <v>0</v>
      </c>
      <c r="B310" s="18">
        <v>451</v>
      </c>
      <c r="C310" s="11" t="s">
        <v>350</v>
      </c>
      <c r="D310" s="19" t="s">
        <v>126</v>
      </c>
      <c r="E310" s="19" t="s">
        <v>126</v>
      </c>
      <c r="F310" s="19" t="s">
        <v>126</v>
      </c>
      <c r="G310" s="19" t="s">
        <v>126</v>
      </c>
      <c r="H310" s="19" t="s">
        <v>126</v>
      </c>
      <c r="I310" s="19" t="s">
        <v>126</v>
      </c>
      <c r="J310" s="19" t="s">
        <v>126</v>
      </c>
      <c r="K310" s="19" t="s">
        <v>126</v>
      </c>
      <c r="L310" s="19" t="s">
        <v>126</v>
      </c>
      <c r="M310" s="19" t="s">
        <v>126</v>
      </c>
      <c r="N310" s="19" t="s">
        <v>126</v>
      </c>
      <c r="O310" s="19" t="s">
        <v>126</v>
      </c>
      <c r="P310" s="19" t="s">
        <v>126</v>
      </c>
      <c r="Q310" s="18">
        <v>451</v>
      </c>
      <c r="R310" s="11" t="s">
        <v>350</v>
      </c>
      <c r="S310" s="19" t="s">
        <v>126</v>
      </c>
      <c r="T310" s="19" t="s">
        <v>126</v>
      </c>
      <c r="U310" s="19" t="s">
        <v>126</v>
      </c>
      <c r="V310" s="19" t="s">
        <v>126</v>
      </c>
      <c r="W310" s="19" t="s">
        <v>126</v>
      </c>
      <c r="X310" s="19" t="s">
        <v>126</v>
      </c>
      <c r="Y310" s="19" t="s">
        <v>126</v>
      </c>
      <c r="Z310" s="19" t="s">
        <v>126</v>
      </c>
      <c r="AA310" s="19" t="s">
        <v>126</v>
      </c>
      <c r="AB310" s="19" t="s">
        <v>126</v>
      </c>
      <c r="AC310" s="19" t="s">
        <v>126</v>
      </c>
      <c r="AD310" s="19" t="s">
        <v>126</v>
      </c>
      <c r="AE310" s="19" t="s">
        <v>126</v>
      </c>
      <c r="AF310" s="19" t="s">
        <v>126</v>
      </c>
      <c r="AG310" s="19" t="s">
        <v>126</v>
      </c>
      <c r="AH310" s="19" t="s">
        <v>126</v>
      </c>
      <c r="AI310" s="5" t="e">
        <f t="shared" si="25"/>
        <v>#VALUE!</v>
      </c>
      <c r="AJ310" s="5" t="e">
        <f t="shared" si="26"/>
        <v>#VALUE!</v>
      </c>
      <c r="AK310" s="5" t="e">
        <f t="shared" si="27"/>
        <v>#VALUE!</v>
      </c>
      <c r="AL310" s="5" t="e">
        <f t="shared" si="28"/>
        <v>#VALUE!</v>
      </c>
      <c r="AM310" s="5" t="e">
        <f t="shared" si="29"/>
        <v>#VALUE!</v>
      </c>
    </row>
    <row r="311" spans="1:39" ht="15" customHeight="1" thickBot="1" x14ac:dyDescent="0.35">
      <c r="A311">
        <f t="shared" si="24"/>
        <v>0</v>
      </c>
      <c r="B311" s="16">
        <v>452</v>
      </c>
      <c r="C311" s="10" t="s">
        <v>351</v>
      </c>
      <c r="D311" s="17" t="s">
        <v>126</v>
      </c>
      <c r="E311" s="17" t="s">
        <v>126</v>
      </c>
      <c r="F311" s="17" t="s">
        <v>126</v>
      </c>
      <c r="G311" s="17" t="s">
        <v>126</v>
      </c>
      <c r="H311" s="17" t="s">
        <v>126</v>
      </c>
      <c r="I311" s="17" t="s">
        <v>126</v>
      </c>
      <c r="J311" s="17" t="s">
        <v>126</v>
      </c>
      <c r="K311" s="17" t="s">
        <v>126</v>
      </c>
      <c r="L311" s="17" t="s">
        <v>126</v>
      </c>
      <c r="M311" s="17" t="s">
        <v>126</v>
      </c>
      <c r="N311" s="17" t="s">
        <v>126</v>
      </c>
      <c r="O311" s="17" t="s">
        <v>126</v>
      </c>
      <c r="P311" s="17" t="s">
        <v>126</v>
      </c>
      <c r="Q311" s="16">
        <v>452</v>
      </c>
      <c r="R311" s="10" t="s">
        <v>351</v>
      </c>
      <c r="S311" s="17" t="s">
        <v>126</v>
      </c>
      <c r="T311" s="17" t="s">
        <v>126</v>
      </c>
      <c r="U311" s="17" t="s">
        <v>126</v>
      </c>
      <c r="V311" s="17" t="s">
        <v>126</v>
      </c>
      <c r="W311" s="17" t="s">
        <v>126</v>
      </c>
      <c r="X311" s="17" t="s">
        <v>126</v>
      </c>
      <c r="Y311" s="17" t="s">
        <v>126</v>
      </c>
      <c r="Z311" s="17" t="s">
        <v>126</v>
      </c>
      <c r="AA311" s="17" t="s">
        <v>126</v>
      </c>
      <c r="AB311" s="17" t="s">
        <v>126</v>
      </c>
      <c r="AC311" s="17" t="s">
        <v>126</v>
      </c>
      <c r="AD311" s="17" t="s">
        <v>126</v>
      </c>
      <c r="AE311" s="17" t="s">
        <v>126</v>
      </c>
      <c r="AF311" s="17" t="s">
        <v>126</v>
      </c>
      <c r="AG311" s="17" t="s">
        <v>126</v>
      </c>
      <c r="AH311" s="17" t="s">
        <v>126</v>
      </c>
      <c r="AI311" s="5" t="e">
        <f t="shared" si="25"/>
        <v>#VALUE!</v>
      </c>
      <c r="AJ311" s="5" t="e">
        <f t="shared" si="26"/>
        <v>#VALUE!</v>
      </c>
      <c r="AK311" s="5" t="e">
        <f t="shared" si="27"/>
        <v>#VALUE!</v>
      </c>
      <c r="AL311" s="5" t="e">
        <f t="shared" si="28"/>
        <v>#VALUE!</v>
      </c>
      <c r="AM311" s="5" t="e">
        <f t="shared" si="29"/>
        <v>#VALUE!</v>
      </c>
    </row>
    <row r="312" spans="1:39" ht="15" customHeight="1" thickBot="1" x14ac:dyDescent="0.35">
      <c r="A312">
        <f t="shared" si="24"/>
        <v>0</v>
      </c>
      <c r="B312" s="18">
        <v>453</v>
      </c>
      <c r="C312" s="11" t="s">
        <v>352</v>
      </c>
      <c r="D312" s="19" t="s">
        <v>126</v>
      </c>
      <c r="E312" s="19" t="s">
        <v>126</v>
      </c>
      <c r="F312" s="19" t="s">
        <v>126</v>
      </c>
      <c r="G312" s="19" t="s">
        <v>126</v>
      </c>
      <c r="H312" s="19" t="s">
        <v>126</v>
      </c>
      <c r="I312" s="19" t="s">
        <v>126</v>
      </c>
      <c r="J312" s="19" t="s">
        <v>126</v>
      </c>
      <c r="K312" s="19" t="s">
        <v>126</v>
      </c>
      <c r="L312" s="19" t="s">
        <v>126</v>
      </c>
      <c r="M312" s="19" t="s">
        <v>126</v>
      </c>
      <c r="N312" s="19" t="s">
        <v>126</v>
      </c>
      <c r="O312" s="19" t="s">
        <v>126</v>
      </c>
      <c r="P312" s="19" t="s">
        <v>126</v>
      </c>
      <c r="Q312" s="18">
        <v>453</v>
      </c>
      <c r="R312" s="11" t="s">
        <v>352</v>
      </c>
      <c r="S312" s="19" t="s">
        <v>126</v>
      </c>
      <c r="T312" s="19" t="s">
        <v>126</v>
      </c>
      <c r="U312" s="19" t="s">
        <v>126</v>
      </c>
      <c r="V312" s="19" t="s">
        <v>126</v>
      </c>
      <c r="W312" s="19" t="s">
        <v>126</v>
      </c>
      <c r="X312" s="19" t="s">
        <v>126</v>
      </c>
      <c r="Y312" s="19" t="s">
        <v>126</v>
      </c>
      <c r="Z312" s="19" t="s">
        <v>126</v>
      </c>
      <c r="AA312" s="19" t="s">
        <v>126</v>
      </c>
      <c r="AB312" s="19" t="s">
        <v>126</v>
      </c>
      <c r="AC312" s="19" t="s">
        <v>126</v>
      </c>
      <c r="AD312" s="19" t="s">
        <v>126</v>
      </c>
      <c r="AE312" s="19" t="s">
        <v>126</v>
      </c>
      <c r="AF312" s="19" t="s">
        <v>126</v>
      </c>
      <c r="AG312" s="19" t="s">
        <v>126</v>
      </c>
      <c r="AH312" s="19" t="s">
        <v>126</v>
      </c>
      <c r="AI312" s="5" t="e">
        <f t="shared" si="25"/>
        <v>#VALUE!</v>
      </c>
      <c r="AJ312" s="5" t="e">
        <f t="shared" si="26"/>
        <v>#VALUE!</v>
      </c>
      <c r="AK312" s="5" t="e">
        <f t="shared" si="27"/>
        <v>#VALUE!</v>
      </c>
      <c r="AL312" s="5" t="e">
        <f t="shared" si="28"/>
        <v>#VALUE!</v>
      </c>
      <c r="AM312" s="5" t="e">
        <f t="shared" si="29"/>
        <v>#VALUE!</v>
      </c>
    </row>
    <row r="313" spans="1:39" ht="15" customHeight="1" thickBot="1" x14ac:dyDescent="0.35">
      <c r="A313">
        <f t="shared" si="24"/>
        <v>0</v>
      </c>
      <c r="B313" s="16">
        <v>454</v>
      </c>
      <c r="C313" s="10" t="s">
        <v>353</v>
      </c>
      <c r="D313" s="17" t="s">
        <v>126</v>
      </c>
      <c r="E313" s="17" t="s">
        <v>126</v>
      </c>
      <c r="F313" s="17" t="s">
        <v>126</v>
      </c>
      <c r="G313" s="17" t="s">
        <v>126</v>
      </c>
      <c r="H313" s="17" t="s">
        <v>126</v>
      </c>
      <c r="I313" s="17" t="s">
        <v>126</v>
      </c>
      <c r="J313" s="17" t="s">
        <v>126</v>
      </c>
      <c r="K313" s="17" t="s">
        <v>126</v>
      </c>
      <c r="L313" s="17" t="s">
        <v>126</v>
      </c>
      <c r="M313" s="17" t="s">
        <v>126</v>
      </c>
      <c r="N313" s="17" t="s">
        <v>126</v>
      </c>
      <c r="O313" s="17" t="s">
        <v>126</v>
      </c>
      <c r="P313" s="17" t="s">
        <v>126</v>
      </c>
      <c r="Q313" s="16">
        <v>454</v>
      </c>
      <c r="R313" s="10" t="s">
        <v>353</v>
      </c>
      <c r="S313" s="17" t="s">
        <v>126</v>
      </c>
      <c r="T313" s="17" t="s">
        <v>126</v>
      </c>
      <c r="U313" s="17" t="s">
        <v>126</v>
      </c>
      <c r="V313" s="17" t="s">
        <v>126</v>
      </c>
      <c r="W313" s="17" t="s">
        <v>126</v>
      </c>
      <c r="X313" s="17" t="s">
        <v>126</v>
      </c>
      <c r="Y313" s="17" t="s">
        <v>126</v>
      </c>
      <c r="Z313" s="17" t="s">
        <v>126</v>
      </c>
      <c r="AA313" s="17" t="s">
        <v>126</v>
      </c>
      <c r="AB313" s="17" t="s">
        <v>126</v>
      </c>
      <c r="AC313" s="17" t="s">
        <v>126</v>
      </c>
      <c r="AD313" s="17" t="s">
        <v>126</v>
      </c>
      <c r="AE313" s="17" t="s">
        <v>126</v>
      </c>
      <c r="AF313" s="17" t="s">
        <v>126</v>
      </c>
      <c r="AG313" s="17" t="s">
        <v>126</v>
      </c>
      <c r="AH313" s="17" t="s">
        <v>126</v>
      </c>
      <c r="AI313" s="5" t="e">
        <f t="shared" si="25"/>
        <v>#VALUE!</v>
      </c>
      <c r="AJ313" s="5" t="e">
        <f t="shared" si="26"/>
        <v>#VALUE!</v>
      </c>
      <c r="AK313" s="5" t="e">
        <f t="shared" si="27"/>
        <v>#VALUE!</v>
      </c>
      <c r="AL313" s="5" t="e">
        <f t="shared" si="28"/>
        <v>#VALUE!</v>
      </c>
      <c r="AM313" s="5" t="e">
        <f t="shared" si="29"/>
        <v>#VALUE!</v>
      </c>
    </row>
    <row r="314" spans="1:39" ht="15" customHeight="1" thickBot="1" x14ac:dyDescent="0.35">
      <c r="A314">
        <f t="shared" si="24"/>
        <v>0</v>
      </c>
      <c r="B314" s="18">
        <v>455</v>
      </c>
      <c r="C314" s="11" t="s">
        <v>354</v>
      </c>
      <c r="D314" s="19" t="s">
        <v>126</v>
      </c>
      <c r="E314" s="19" t="s">
        <v>126</v>
      </c>
      <c r="F314" s="19" t="s">
        <v>126</v>
      </c>
      <c r="G314" s="19" t="s">
        <v>126</v>
      </c>
      <c r="H314" s="19" t="s">
        <v>126</v>
      </c>
      <c r="I314" s="19" t="s">
        <v>126</v>
      </c>
      <c r="J314" s="19" t="s">
        <v>126</v>
      </c>
      <c r="K314" s="19" t="s">
        <v>126</v>
      </c>
      <c r="L314" s="19" t="s">
        <v>126</v>
      </c>
      <c r="M314" s="19" t="s">
        <v>126</v>
      </c>
      <c r="N314" s="19" t="s">
        <v>126</v>
      </c>
      <c r="O314" s="19" t="s">
        <v>126</v>
      </c>
      <c r="P314" s="19" t="s">
        <v>126</v>
      </c>
      <c r="Q314" s="18">
        <v>455</v>
      </c>
      <c r="R314" s="11" t="s">
        <v>354</v>
      </c>
      <c r="S314" s="19" t="s">
        <v>126</v>
      </c>
      <c r="T314" s="19" t="s">
        <v>126</v>
      </c>
      <c r="U314" s="19" t="s">
        <v>126</v>
      </c>
      <c r="V314" s="19" t="s">
        <v>126</v>
      </c>
      <c r="W314" s="19" t="s">
        <v>126</v>
      </c>
      <c r="X314" s="19" t="s">
        <v>126</v>
      </c>
      <c r="Y314" s="19" t="s">
        <v>126</v>
      </c>
      <c r="Z314" s="19" t="s">
        <v>126</v>
      </c>
      <c r="AA314" s="19" t="s">
        <v>126</v>
      </c>
      <c r="AB314" s="19" t="s">
        <v>126</v>
      </c>
      <c r="AC314" s="19" t="s">
        <v>126</v>
      </c>
      <c r="AD314" s="19" t="s">
        <v>126</v>
      </c>
      <c r="AE314" s="19" t="s">
        <v>126</v>
      </c>
      <c r="AF314" s="19" t="s">
        <v>126</v>
      </c>
      <c r="AG314" s="19" t="s">
        <v>126</v>
      </c>
      <c r="AH314" s="19" t="s">
        <v>126</v>
      </c>
      <c r="AI314" s="5" t="e">
        <f t="shared" si="25"/>
        <v>#VALUE!</v>
      </c>
      <c r="AJ314" s="5" t="e">
        <f t="shared" si="26"/>
        <v>#VALUE!</v>
      </c>
      <c r="AK314" s="5" t="e">
        <f t="shared" si="27"/>
        <v>#VALUE!</v>
      </c>
      <c r="AL314" s="5" t="e">
        <f t="shared" si="28"/>
        <v>#VALUE!</v>
      </c>
      <c r="AM314" s="5" t="e">
        <f t="shared" si="29"/>
        <v>#VALUE!</v>
      </c>
    </row>
    <row r="315" spans="1:39" ht="15" customHeight="1" thickBot="1" x14ac:dyDescent="0.35">
      <c r="A315">
        <f t="shared" si="24"/>
        <v>0</v>
      </c>
      <c r="B315" s="16">
        <v>456</v>
      </c>
      <c r="C315" s="10" t="s">
        <v>355</v>
      </c>
      <c r="D315" s="17" t="s">
        <v>126</v>
      </c>
      <c r="E315" s="17" t="s">
        <v>126</v>
      </c>
      <c r="F315" s="17" t="s">
        <v>126</v>
      </c>
      <c r="G315" s="17" t="s">
        <v>126</v>
      </c>
      <c r="H315" s="17" t="s">
        <v>126</v>
      </c>
      <c r="I315" s="17" t="s">
        <v>126</v>
      </c>
      <c r="J315" s="17" t="s">
        <v>126</v>
      </c>
      <c r="K315" s="17" t="s">
        <v>126</v>
      </c>
      <c r="L315" s="17" t="s">
        <v>126</v>
      </c>
      <c r="M315" s="17" t="s">
        <v>126</v>
      </c>
      <c r="N315" s="17" t="s">
        <v>126</v>
      </c>
      <c r="O315" s="17" t="s">
        <v>126</v>
      </c>
      <c r="P315" s="17" t="s">
        <v>126</v>
      </c>
      <c r="Q315" s="16">
        <v>456</v>
      </c>
      <c r="R315" s="10" t="s">
        <v>355</v>
      </c>
      <c r="S315" s="17" t="s">
        <v>126</v>
      </c>
      <c r="T315" s="17" t="s">
        <v>126</v>
      </c>
      <c r="U315" s="17" t="s">
        <v>126</v>
      </c>
      <c r="V315" s="17" t="s">
        <v>126</v>
      </c>
      <c r="W315" s="17" t="s">
        <v>126</v>
      </c>
      <c r="X315" s="17" t="s">
        <v>126</v>
      </c>
      <c r="Y315" s="17" t="s">
        <v>126</v>
      </c>
      <c r="Z315" s="17" t="s">
        <v>126</v>
      </c>
      <c r="AA315" s="17" t="s">
        <v>126</v>
      </c>
      <c r="AB315" s="17" t="s">
        <v>126</v>
      </c>
      <c r="AC315" s="17" t="s">
        <v>126</v>
      </c>
      <c r="AD315" s="17" t="s">
        <v>126</v>
      </c>
      <c r="AE315" s="17" t="s">
        <v>126</v>
      </c>
      <c r="AF315" s="17" t="s">
        <v>126</v>
      </c>
      <c r="AG315" s="17" t="s">
        <v>126</v>
      </c>
      <c r="AH315" s="17" t="s">
        <v>126</v>
      </c>
      <c r="AI315" s="5" t="e">
        <f t="shared" si="25"/>
        <v>#VALUE!</v>
      </c>
      <c r="AJ315" s="5" t="e">
        <f t="shared" si="26"/>
        <v>#VALUE!</v>
      </c>
      <c r="AK315" s="5" t="e">
        <f t="shared" si="27"/>
        <v>#VALUE!</v>
      </c>
      <c r="AL315" s="5" t="e">
        <f t="shared" si="28"/>
        <v>#VALUE!</v>
      </c>
      <c r="AM315" s="5" t="e">
        <f t="shared" si="29"/>
        <v>#VALUE!</v>
      </c>
    </row>
    <row r="316" spans="1:39" ht="15" customHeight="1" thickBot="1" x14ac:dyDescent="0.35">
      <c r="A316">
        <f t="shared" si="24"/>
        <v>0</v>
      </c>
      <c r="B316" s="18">
        <v>457</v>
      </c>
      <c r="C316" s="11" t="s">
        <v>356</v>
      </c>
      <c r="D316" s="19" t="s">
        <v>126</v>
      </c>
      <c r="E316" s="19" t="s">
        <v>126</v>
      </c>
      <c r="F316" s="19" t="s">
        <v>126</v>
      </c>
      <c r="G316" s="19" t="s">
        <v>126</v>
      </c>
      <c r="H316" s="19" t="s">
        <v>126</v>
      </c>
      <c r="I316" s="19" t="s">
        <v>126</v>
      </c>
      <c r="J316" s="19" t="s">
        <v>126</v>
      </c>
      <c r="K316" s="19" t="s">
        <v>126</v>
      </c>
      <c r="L316" s="19" t="s">
        <v>126</v>
      </c>
      <c r="M316" s="19" t="s">
        <v>126</v>
      </c>
      <c r="N316" s="19" t="s">
        <v>126</v>
      </c>
      <c r="O316" s="19" t="s">
        <v>126</v>
      </c>
      <c r="P316" s="19" t="s">
        <v>126</v>
      </c>
      <c r="Q316" s="18">
        <v>457</v>
      </c>
      <c r="R316" s="11" t="s">
        <v>356</v>
      </c>
      <c r="S316" s="19" t="s">
        <v>126</v>
      </c>
      <c r="T316" s="19" t="s">
        <v>126</v>
      </c>
      <c r="U316" s="19" t="s">
        <v>126</v>
      </c>
      <c r="V316" s="19" t="s">
        <v>126</v>
      </c>
      <c r="W316" s="19" t="s">
        <v>126</v>
      </c>
      <c r="X316" s="19" t="s">
        <v>126</v>
      </c>
      <c r="Y316" s="19" t="s">
        <v>126</v>
      </c>
      <c r="Z316" s="19" t="s">
        <v>126</v>
      </c>
      <c r="AA316" s="19" t="s">
        <v>126</v>
      </c>
      <c r="AB316" s="19" t="s">
        <v>126</v>
      </c>
      <c r="AC316" s="19" t="s">
        <v>126</v>
      </c>
      <c r="AD316" s="19" t="s">
        <v>126</v>
      </c>
      <c r="AE316" s="19" t="s">
        <v>126</v>
      </c>
      <c r="AF316" s="19" t="s">
        <v>126</v>
      </c>
      <c r="AG316" s="19" t="s">
        <v>126</v>
      </c>
      <c r="AH316" s="19" t="s">
        <v>126</v>
      </c>
      <c r="AI316" s="5" t="e">
        <f t="shared" si="25"/>
        <v>#VALUE!</v>
      </c>
      <c r="AJ316" s="5" t="e">
        <f t="shared" si="26"/>
        <v>#VALUE!</v>
      </c>
      <c r="AK316" s="5" t="e">
        <f t="shared" si="27"/>
        <v>#VALUE!</v>
      </c>
      <c r="AL316" s="5" t="e">
        <f t="shared" si="28"/>
        <v>#VALUE!</v>
      </c>
      <c r="AM316" s="5" t="e">
        <f t="shared" si="29"/>
        <v>#VALUE!</v>
      </c>
    </row>
    <row r="317" spans="1:39" ht="15" customHeight="1" thickBot="1" x14ac:dyDescent="0.35">
      <c r="A317">
        <f t="shared" si="24"/>
        <v>0</v>
      </c>
      <c r="B317" s="16">
        <v>458</v>
      </c>
      <c r="C317" s="10" t="s">
        <v>357</v>
      </c>
      <c r="D317" s="17" t="s">
        <v>126</v>
      </c>
      <c r="E317" s="17" t="s">
        <v>126</v>
      </c>
      <c r="F317" s="17" t="s">
        <v>126</v>
      </c>
      <c r="G317" s="17" t="s">
        <v>126</v>
      </c>
      <c r="H317" s="17" t="s">
        <v>126</v>
      </c>
      <c r="I317" s="17" t="s">
        <v>126</v>
      </c>
      <c r="J317" s="17" t="s">
        <v>126</v>
      </c>
      <c r="K317" s="17" t="s">
        <v>126</v>
      </c>
      <c r="L317" s="17" t="s">
        <v>126</v>
      </c>
      <c r="M317" s="17" t="s">
        <v>126</v>
      </c>
      <c r="N317" s="17" t="s">
        <v>126</v>
      </c>
      <c r="O317" s="17" t="s">
        <v>126</v>
      </c>
      <c r="P317" s="17" t="s">
        <v>126</v>
      </c>
      <c r="Q317" s="16">
        <v>458</v>
      </c>
      <c r="R317" s="10" t="s">
        <v>357</v>
      </c>
      <c r="S317" s="17" t="s">
        <v>126</v>
      </c>
      <c r="T317" s="17" t="s">
        <v>126</v>
      </c>
      <c r="U317" s="17" t="s">
        <v>126</v>
      </c>
      <c r="V317" s="17" t="s">
        <v>126</v>
      </c>
      <c r="W317" s="17" t="s">
        <v>126</v>
      </c>
      <c r="X317" s="17" t="s">
        <v>126</v>
      </c>
      <c r="Y317" s="17" t="s">
        <v>126</v>
      </c>
      <c r="Z317" s="17" t="s">
        <v>126</v>
      </c>
      <c r="AA317" s="17" t="s">
        <v>126</v>
      </c>
      <c r="AB317" s="17" t="s">
        <v>126</v>
      </c>
      <c r="AC317" s="17" t="s">
        <v>126</v>
      </c>
      <c r="AD317" s="17" t="s">
        <v>126</v>
      </c>
      <c r="AE317" s="17" t="s">
        <v>126</v>
      </c>
      <c r="AF317" s="17" t="s">
        <v>126</v>
      </c>
      <c r="AG317" s="17" t="s">
        <v>126</v>
      </c>
      <c r="AH317" s="17" t="s">
        <v>126</v>
      </c>
      <c r="AI317" s="5" t="e">
        <f t="shared" si="25"/>
        <v>#VALUE!</v>
      </c>
      <c r="AJ317" s="5" t="e">
        <f t="shared" si="26"/>
        <v>#VALUE!</v>
      </c>
      <c r="AK317" s="5" t="e">
        <f t="shared" si="27"/>
        <v>#VALUE!</v>
      </c>
      <c r="AL317" s="5" t="e">
        <f t="shared" si="28"/>
        <v>#VALUE!</v>
      </c>
      <c r="AM317" s="5" t="e">
        <f t="shared" si="29"/>
        <v>#VALUE!</v>
      </c>
    </row>
    <row r="318" spans="1:39" ht="15" customHeight="1" thickBot="1" x14ac:dyDescent="0.35">
      <c r="A318">
        <f t="shared" si="24"/>
        <v>0</v>
      </c>
      <c r="B318" s="18">
        <v>459</v>
      </c>
      <c r="C318" s="11" t="s">
        <v>358</v>
      </c>
      <c r="D318" s="19" t="s">
        <v>126</v>
      </c>
      <c r="E318" s="19" t="s">
        <v>126</v>
      </c>
      <c r="F318" s="19" t="s">
        <v>126</v>
      </c>
      <c r="G318" s="19" t="s">
        <v>126</v>
      </c>
      <c r="H318" s="19" t="s">
        <v>126</v>
      </c>
      <c r="I318" s="19" t="s">
        <v>126</v>
      </c>
      <c r="J318" s="19" t="s">
        <v>126</v>
      </c>
      <c r="K318" s="19" t="s">
        <v>126</v>
      </c>
      <c r="L318" s="19" t="s">
        <v>126</v>
      </c>
      <c r="M318" s="19" t="s">
        <v>126</v>
      </c>
      <c r="N318" s="19" t="s">
        <v>126</v>
      </c>
      <c r="O318" s="19" t="s">
        <v>126</v>
      </c>
      <c r="P318" s="19" t="s">
        <v>126</v>
      </c>
      <c r="Q318" s="18">
        <v>459</v>
      </c>
      <c r="R318" s="11" t="s">
        <v>358</v>
      </c>
      <c r="S318" s="19" t="s">
        <v>126</v>
      </c>
      <c r="T318" s="19" t="s">
        <v>126</v>
      </c>
      <c r="U318" s="19" t="s">
        <v>126</v>
      </c>
      <c r="V318" s="19" t="s">
        <v>126</v>
      </c>
      <c r="W318" s="19" t="s">
        <v>126</v>
      </c>
      <c r="X318" s="19" t="s">
        <v>126</v>
      </c>
      <c r="Y318" s="19" t="s">
        <v>126</v>
      </c>
      <c r="Z318" s="19" t="s">
        <v>126</v>
      </c>
      <c r="AA318" s="19" t="s">
        <v>126</v>
      </c>
      <c r="AB318" s="19" t="s">
        <v>126</v>
      </c>
      <c r="AC318" s="19" t="s">
        <v>126</v>
      </c>
      <c r="AD318" s="19" t="s">
        <v>126</v>
      </c>
      <c r="AE318" s="19" t="s">
        <v>126</v>
      </c>
      <c r="AF318" s="19" t="s">
        <v>126</v>
      </c>
      <c r="AG318" s="19" t="s">
        <v>126</v>
      </c>
      <c r="AH318" s="19" t="s">
        <v>126</v>
      </c>
      <c r="AI318" s="5" t="e">
        <f t="shared" si="25"/>
        <v>#VALUE!</v>
      </c>
      <c r="AJ318" s="5" t="e">
        <f t="shared" si="26"/>
        <v>#VALUE!</v>
      </c>
      <c r="AK318" s="5" t="e">
        <f t="shared" si="27"/>
        <v>#VALUE!</v>
      </c>
      <c r="AL318" s="5" t="e">
        <f t="shared" si="28"/>
        <v>#VALUE!</v>
      </c>
      <c r="AM318" s="5" t="e">
        <f t="shared" si="29"/>
        <v>#VALUE!</v>
      </c>
    </row>
    <row r="319" spans="1:39" ht="15" customHeight="1" thickBot="1" x14ac:dyDescent="0.35">
      <c r="A319">
        <f t="shared" si="24"/>
        <v>0</v>
      </c>
      <c r="B319" s="16">
        <v>460</v>
      </c>
      <c r="C319" s="10" t="s">
        <v>359</v>
      </c>
      <c r="D319" s="17" t="s">
        <v>126</v>
      </c>
      <c r="E319" s="17" t="s">
        <v>126</v>
      </c>
      <c r="F319" s="17" t="s">
        <v>126</v>
      </c>
      <c r="G319" s="17" t="s">
        <v>126</v>
      </c>
      <c r="H319" s="17" t="s">
        <v>126</v>
      </c>
      <c r="I319" s="17" t="s">
        <v>126</v>
      </c>
      <c r="J319" s="17" t="s">
        <v>126</v>
      </c>
      <c r="K319" s="17" t="s">
        <v>126</v>
      </c>
      <c r="L319" s="17" t="s">
        <v>126</v>
      </c>
      <c r="M319" s="17" t="s">
        <v>126</v>
      </c>
      <c r="N319" s="17" t="s">
        <v>126</v>
      </c>
      <c r="O319" s="17" t="s">
        <v>126</v>
      </c>
      <c r="P319" s="17" t="s">
        <v>126</v>
      </c>
      <c r="Q319" s="16">
        <v>460</v>
      </c>
      <c r="R319" s="10" t="s">
        <v>359</v>
      </c>
      <c r="S319" s="17" t="s">
        <v>126</v>
      </c>
      <c r="T319" s="17" t="s">
        <v>126</v>
      </c>
      <c r="U319" s="17" t="s">
        <v>126</v>
      </c>
      <c r="V319" s="17" t="s">
        <v>126</v>
      </c>
      <c r="W319" s="17" t="s">
        <v>126</v>
      </c>
      <c r="X319" s="17" t="s">
        <v>126</v>
      </c>
      <c r="Y319" s="17" t="s">
        <v>126</v>
      </c>
      <c r="Z319" s="17" t="s">
        <v>126</v>
      </c>
      <c r="AA319" s="17" t="s">
        <v>126</v>
      </c>
      <c r="AB319" s="17" t="s">
        <v>126</v>
      </c>
      <c r="AC319" s="17" t="s">
        <v>126</v>
      </c>
      <c r="AD319" s="17" t="s">
        <v>126</v>
      </c>
      <c r="AE319" s="17" t="s">
        <v>126</v>
      </c>
      <c r="AF319" s="17" t="s">
        <v>126</v>
      </c>
      <c r="AG319" s="17" t="s">
        <v>126</v>
      </c>
      <c r="AH319" s="17" t="s">
        <v>126</v>
      </c>
      <c r="AI319" s="5" t="e">
        <f t="shared" si="25"/>
        <v>#VALUE!</v>
      </c>
      <c r="AJ319" s="5" t="e">
        <f t="shared" si="26"/>
        <v>#VALUE!</v>
      </c>
      <c r="AK319" s="5" t="e">
        <f t="shared" si="27"/>
        <v>#VALUE!</v>
      </c>
      <c r="AL319" s="5" t="e">
        <f t="shared" si="28"/>
        <v>#VALUE!</v>
      </c>
      <c r="AM319" s="5" t="e">
        <f t="shared" si="29"/>
        <v>#VALUE!</v>
      </c>
    </row>
    <row r="320" spans="1:39" ht="15" customHeight="1" thickBot="1" x14ac:dyDescent="0.35">
      <c r="A320">
        <f t="shared" si="24"/>
        <v>0</v>
      </c>
      <c r="B320" s="18">
        <v>461</v>
      </c>
      <c r="C320" s="11" t="s">
        <v>360</v>
      </c>
      <c r="D320" s="19" t="s">
        <v>126</v>
      </c>
      <c r="E320" s="19" t="s">
        <v>126</v>
      </c>
      <c r="F320" s="19" t="s">
        <v>126</v>
      </c>
      <c r="G320" s="19" t="s">
        <v>126</v>
      </c>
      <c r="H320" s="19" t="s">
        <v>126</v>
      </c>
      <c r="I320" s="19" t="s">
        <v>126</v>
      </c>
      <c r="J320" s="19" t="s">
        <v>126</v>
      </c>
      <c r="K320" s="19" t="s">
        <v>126</v>
      </c>
      <c r="L320" s="19" t="s">
        <v>126</v>
      </c>
      <c r="M320" s="19" t="s">
        <v>126</v>
      </c>
      <c r="N320" s="19" t="s">
        <v>126</v>
      </c>
      <c r="O320" s="19" t="s">
        <v>126</v>
      </c>
      <c r="P320" s="19" t="s">
        <v>126</v>
      </c>
      <c r="Q320" s="18">
        <v>461</v>
      </c>
      <c r="R320" s="11" t="s">
        <v>360</v>
      </c>
      <c r="S320" s="19" t="s">
        <v>126</v>
      </c>
      <c r="T320" s="19" t="s">
        <v>126</v>
      </c>
      <c r="U320" s="19" t="s">
        <v>126</v>
      </c>
      <c r="V320" s="19" t="s">
        <v>126</v>
      </c>
      <c r="W320" s="19" t="s">
        <v>126</v>
      </c>
      <c r="X320" s="19" t="s">
        <v>126</v>
      </c>
      <c r="Y320" s="19" t="s">
        <v>126</v>
      </c>
      <c r="Z320" s="19" t="s">
        <v>126</v>
      </c>
      <c r="AA320" s="19" t="s">
        <v>126</v>
      </c>
      <c r="AB320" s="19" t="s">
        <v>126</v>
      </c>
      <c r="AC320" s="19" t="s">
        <v>126</v>
      </c>
      <c r="AD320" s="19" t="s">
        <v>126</v>
      </c>
      <c r="AE320" s="19" t="s">
        <v>126</v>
      </c>
      <c r="AF320" s="19" t="s">
        <v>126</v>
      </c>
      <c r="AG320" s="19" t="s">
        <v>126</v>
      </c>
      <c r="AH320" s="19" t="s">
        <v>126</v>
      </c>
      <c r="AI320" s="5" t="e">
        <f t="shared" si="25"/>
        <v>#VALUE!</v>
      </c>
      <c r="AJ320" s="5" t="e">
        <f t="shared" si="26"/>
        <v>#VALUE!</v>
      </c>
      <c r="AK320" s="5" t="e">
        <f t="shared" si="27"/>
        <v>#VALUE!</v>
      </c>
      <c r="AL320" s="5" t="e">
        <f t="shared" si="28"/>
        <v>#VALUE!</v>
      </c>
      <c r="AM320" s="5" t="e">
        <f t="shared" si="29"/>
        <v>#VALUE!</v>
      </c>
    </row>
    <row r="321" spans="1:39" ht="15" customHeight="1" thickBot="1" x14ac:dyDescent="0.35">
      <c r="A321">
        <f t="shared" si="24"/>
        <v>0</v>
      </c>
      <c r="B321" s="16">
        <v>462</v>
      </c>
      <c r="C321" s="10" t="s">
        <v>361</v>
      </c>
      <c r="D321" s="17" t="s">
        <v>126</v>
      </c>
      <c r="E321" s="17" t="s">
        <v>126</v>
      </c>
      <c r="F321" s="17" t="s">
        <v>126</v>
      </c>
      <c r="G321" s="17" t="s">
        <v>126</v>
      </c>
      <c r="H321" s="17" t="s">
        <v>126</v>
      </c>
      <c r="I321" s="17" t="s">
        <v>126</v>
      </c>
      <c r="J321" s="17" t="s">
        <v>126</v>
      </c>
      <c r="K321" s="17" t="s">
        <v>126</v>
      </c>
      <c r="L321" s="17" t="s">
        <v>126</v>
      </c>
      <c r="M321" s="17" t="s">
        <v>126</v>
      </c>
      <c r="N321" s="17" t="s">
        <v>126</v>
      </c>
      <c r="O321" s="17" t="s">
        <v>126</v>
      </c>
      <c r="P321" s="17" t="s">
        <v>126</v>
      </c>
      <c r="Q321" s="16">
        <v>462</v>
      </c>
      <c r="R321" s="10" t="s">
        <v>361</v>
      </c>
      <c r="S321" s="17" t="s">
        <v>126</v>
      </c>
      <c r="T321" s="17" t="s">
        <v>126</v>
      </c>
      <c r="U321" s="17" t="s">
        <v>126</v>
      </c>
      <c r="V321" s="17" t="s">
        <v>126</v>
      </c>
      <c r="W321" s="17" t="s">
        <v>126</v>
      </c>
      <c r="X321" s="17" t="s">
        <v>126</v>
      </c>
      <c r="Y321" s="17" t="s">
        <v>126</v>
      </c>
      <c r="Z321" s="17" t="s">
        <v>126</v>
      </c>
      <c r="AA321" s="17" t="s">
        <v>126</v>
      </c>
      <c r="AB321" s="17" t="s">
        <v>126</v>
      </c>
      <c r="AC321" s="17" t="s">
        <v>126</v>
      </c>
      <c r="AD321" s="17" t="s">
        <v>126</v>
      </c>
      <c r="AE321" s="17" t="s">
        <v>126</v>
      </c>
      <c r="AF321" s="17" t="s">
        <v>126</v>
      </c>
      <c r="AG321" s="17" t="s">
        <v>126</v>
      </c>
      <c r="AH321" s="17" t="s">
        <v>126</v>
      </c>
      <c r="AI321" s="5" t="e">
        <f t="shared" si="25"/>
        <v>#VALUE!</v>
      </c>
      <c r="AJ321" s="5" t="e">
        <f t="shared" si="26"/>
        <v>#VALUE!</v>
      </c>
      <c r="AK321" s="5" t="e">
        <f t="shared" si="27"/>
        <v>#VALUE!</v>
      </c>
      <c r="AL321" s="5" t="e">
        <f t="shared" si="28"/>
        <v>#VALUE!</v>
      </c>
      <c r="AM321" s="5" t="e">
        <f t="shared" si="29"/>
        <v>#VALUE!</v>
      </c>
    </row>
    <row r="322" spans="1:39" ht="15" customHeight="1" thickBot="1" x14ac:dyDescent="0.35">
      <c r="A322">
        <f t="shared" si="24"/>
        <v>0</v>
      </c>
      <c r="B322" s="18">
        <v>463</v>
      </c>
      <c r="C322" s="11" t="s">
        <v>362</v>
      </c>
      <c r="D322" s="19" t="s">
        <v>126</v>
      </c>
      <c r="E322" s="19" t="s">
        <v>126</v>
      </c>
      <c r="F322" s="19" t="s">
        <v>126</v>
      </c>
      <c r="G322" s="19" t="s">
        <v>126</v>
      </c>
      <c r="H322" s="19" t="s">
        <v>126</v>
      </c>
      <c r="I322" s="19" t="s">
        <v>126</v>
      </c>
      <c r="J322" s="19" t="s">
        <v>126</v>
      </c>
      <c r="K322" s="19" t="s">
        <v>126</v>
      </c>
      <c r="L322" s="19" t="s">
        <v>126</v>
      </c>
      <c r="M322" s="19" t="s">
        <v>126</v>
      </c>
      <c r="N322" s="19" t="s">
        <v>126</v>
      </c>
      <c r="O322" s="19" t="s">
        <v>126</v>
      </c>
      <c r="P322" s="19" t="s">
        <v>126</v>
      </c>
      <c r="Q322" s="18">
        <v>463</v>
      </c>
      <c r="R322" s="11" t="s">
        <v>362</v>
      </c>
      <c r="S322" s="19" t="s">
        <v>126</v>
      </c>
      <c r="T322" s="19" t="s">
        <v>126</v>
      </c>
      <c r="U322" s="19" t="s">
        <v>126</v>
      </c>
      <c r="V322" s="19" t="s">
        <v>126</v>
      </c>
      <c r="W322" s="19" t="s">
        <v>126</v>
      </c>
      <c r="X322" s="19" t="s">
        <v>126</v>
      </c>
      <c r="Y322" s="19" t="s">
        <v>126</v>
      </c>
      <c r="Z322" s="19" t="s">
        <v>126</v>
      </c>
      <c r="AA322" s="19" t="s">
        <v>126</v>
      </c>
      <c r="AB322" s="19" t="s">
        <v>126</v>
      </c>
      <c r="AC322" s="19" t="s">
        <v>126</v>
      </c>
      <c r="AD322" s="19" t="s">
        <v>126</v>
      </c>
      <c r="AE322" s="19" t="s">
        <v>126</v>
      </c>
      <c r="AF322" s="19" t="s">
        <v>126</v>
      </c>
      <c r="AG322" s="19" t="s">
        <v>126</v>
      </c>
      <c r="AH322" s="19" t="s">
        <v>126</v>
      </c>
      <c r="AI322" s="5" t="e">
        <f t="shared" si="25"/>
        <v>#VALUE!</v>
      </c>
      <c r="AJ322" s="5" t="e">
        <f t="shared" si="26"/>
        <v>#VALUE!</v>
      </c>
      <c r="AK322" s="5" t="e">
        <f t="shared" si="27"/>
        <v>#VALUE!</v>
      </c>
      <c r="AL322" s="5" t="e">
        <f t="shared" si="28"/>
        <v>#VALUE!</v>
      </c>
      <c r="AM322" s="5" t="e">
        <f t="shared" si="29"/>
        <v>#VALUE!</v>
      </c>
    </row>
    <row r="323" spans="1:39" ht="15" customHeight="1" thickBot="1" x14ac:dyDescent="0.35">
      <c r="A323">
        <f t="shared" si="24"/>
        <v>0</v>
      </c>
      <c r="B323" s="16">
        <v>464</v>
      </c>
      <c r="C323" s="10" t="s">
        <v>363</v>
      </c>
      <c r="D323" s="17" t="s">
        <v>126</v>
      </c>
      <c r="E323" s="17" t="s">
        <v>126</v>
      </c>
      <c r="F323" s="17" t="s">
        <v>126</v>
      </c>
      <c r="G323" s="17" t="s">
        <v>126</v>
      </c>
      <c r="H323" s="17" t="s">
        <v>126</v>
      </c>
      <c r="I323" s="17" t="s">
        <v>126</v>
      </c>
      <c r="J323" s="17" t="s">
        <v>126</v>
      </c>
      <c r="K323" s="17" t="s">
        <v>126</v>
      </c>
      <c r="L323" s="17" t="s">
        <v>126</v>
      </c>
      <c r="M323" s="17" t="s">
        <v>126</v>
      </c>
      <c r="N323" s="17" t="s">
        <v>126</v>
      </c>
      <c r="O323" s="17" t="s">
        <v>126</v>
      </c>
      <c r="P323" s="17" t="s">
        <v>126</v>
      </c>
      <c r="Q323" s="16">
        <v>464</v>
      </c>
      <c r="R323" s="10" t="s">
        <v>363</v>
      </c>
      <c r="S323" s="17" t="s">
        <v>126</v>
      </c>
      <c r="T323" s="17" t="s">
        <v>126</v>
      </c>
      <c r="U323" s="17" t="s">
        <v>126</v>
      </c>
      <c r="V323" s="17" t="s">
        <v>126</v>
      </c>
      <c r="W323" s="17" t="s">
        <v>126</v>
      </c>
      <c r="X323" s="17" t="s">
        <v>126</v>
      </c>
      <c r="Y323" s="17" t="s">
        <v>126</v>
      </c>
      <c r="Z323" s="17" t="s">
        <v>126</v>
      </c>
      <c r="AA323" s="17" t="s">
        <v>126</v>
      </c>
      <c r="AB323" s="17" t="s">
        <v>126</v>
      </c>
      <c r="AC323" s="17" t="s">
        <v>126</v>
      </c>
      <c r="AD323" s="17" t="s">
        <v>126</v>
      </c>
      <c r="AE323" s="17" t="s">
        <v>126</v>
      </c>
      <c r="AF323" s="17" t="s">
        <v>126</v>
      </c>
      <c r="AG323" s="17" t="s">
        <v>126</v>
      </c>
      <c r="AH323" s="17" t="s">
        <v>126</v>
      </c>
      <c r="AI323" s="5" t="e">
        <f t="shared" si="25"/>
        <v>#VALUE!</v>
      </c>
      <c r="AJ323" s="5" t="e">
        <f t="shared" si="26"/>
        <v>#VALUE!</v>
      </c>
      <c r="AK323" s="5" t="e">
        <f t="shared" si="27"/>
        <v>#VALUE!</v>
      </c>
      <c r="AL323" s="5" t="e">
        <f t="shared" si="28"/>
        <v>#VALUE!</v>
      </c>
      <c r="AM323" s="5" t="e">
        <f t="shared" si="29"/>
        <v>#VALUE!</v>
      </c>
    </row>
    <row r="324" spans="1:39" ht="15" customHeight="1" thickBot="1" x14ac:dyDescent="0.35">
      <c r="A324">
        <f t="shared" si="24"/>
        <v>0</v>
      </c>
      <c r="B324" s="18">
        <v>465</v>
      </c>
      <c r="C324" s="11" t="s">
        <v>364</v>
      </c>
      <c r="D324" s="19" t="s">
        <v>126</v>
      </c>
      <c r="E324" s="19" t="s">
        <v>126</v>
      </c>
      <c r="F324" s="19" t="s">
        <v>126</v>
      </c>
      <c r="G324" s="19" t="s">
        <v>126</v>
      </c>
      <c r="H324" s="19" t="s">
        <v>126</v>
      </c>
      <c r="I324" s="19" t="s">
        <v>126</v>
      </c>
      <c r="J324" s="19" t="s">
        <v>126</v>
      </c>
      <c r="K324" s="19" t="s">
        <v>126</v>
      </c>
      <c r="L324" s="19" t="s">
        <v>126</v>
      </c>
      <c r="M324" s="19" t="s">
        <v>126</v>
      </c>
      <c r="N324" s="19" t="s">
        <v>126</v>
      </c>
      <c r="O324" s="19" t="s">
        <v>126</v>
      </c>
      <c r="P324" s="19" t="s">
        <v>126</v>
      </c>
      <c r="Q324" s="18">
        <v>465</v>
      </c>
      <c r="R324" s="11" t="s">
        <v>364</v>
      </c>
      <c r="S324" s="19" t="s">
        <v>126</v>
      </c>
      <c r="T324" s="19" t="s">
        <v>126</v>
      </c>
      <c r="U324" s="19" t="s">
        <v>126</v>
      </c>
      <c r="V324" s="19" t="s">
        <v>126</v>
      </c>
      <c r="W324" s="19" t="s">
        <v>126</v>
      </c>
      <c r="X324" s="19" t="s">
        <v>126</v>
      </c>
      <c r="Y324" s="19" t="s">
        <v>126</v>
      </c>
      <c r="Z324" s="19" t="s">
        <v>126</v>
      </c>
      <c r="AA324" s="19" t="s">
        <v>126</v>
      </c>
      <c r="AB324" s="19" t="s">
        <v>126</v>
      </c>
      <c r="AC324" s="19" t="s">
        <v>126</v>
      </c>
      <c r="AD324" s="19" t="s">
        <v>126</v>
      </c>
      <c r="AE324" s="19" t="s">
        <v>126</v>
      </c>
      <c r="AF324" s="19" t="s">
        <v>126</v>
      </c>
      <c r="AG324" s="19" t="s">
        <v>126</v>
      </c>
      <c r="AH324" s="19" t="s">
        <v>126</v>
      </c>
      <c r="AI324" s="5" t="e">
        <f t="shared" si="25"/>
        <v>#VALUE!</v>
      </c>
      <c r="AJ324" s="5" t="e">
        <f t="shared" si="26"/>
        <v>#VALUE!</v>
      </c>
      <c r="AK324" s="5" t="e">
        <f t="shared" si="27"/>
        <v>#VALUE!</v>
      </c>
      <c r="AL324" s="5" t="e">
        <f t="shared" si="28"/>
        <v>#VALUE!</v>
      </c>
      <c r="AM324" s="5" t="e">
        <f t="shared" si="29"/>
        <v>#VALUE!</v>
      </c>
    </row>
    <row r="325" spans="1:39" ht="15" customHeight="1" thickBot="1" x14ac:dyDescent="0.35">
      <c r="A325">
        <f t="shared" si="24"/>
        <v>0</v>
      </c>
      <c r="B325" s="16">
        <v>466</v>
      </c>
      <c r="C325" s="10" t="s">
        <v>365</v>
      </c>
      <c r="D325" s="17" t="s">
        <v>126</v>
      </c>
      <c r="E325" s="17" t="s">
        <v>126</v>
      </c>
      <c r="F325" s="17" t="s">
        <v>126</v>
      </c>
      <c r="G325" s="17" t="s">
        <v>126</v>
      </c>
      <c r="H325" s="17" t="s">
        <v>126</v>
      </c>
      <c r="I325" s="17" t="s">
        <v>126</v>
      </c>
      <c r="J325" s="17" t="s">
        <v>126</v>
      </c>
      <c r="K325" s="17" t="s">
        <v>126</v>
      </c>
      <c r="L325" s="17" t="s">
        <v>126</v>
      </c>
      <c r="M325" s="17" t="s">
        <v>126</v>
      </c>
      <c r="N325" s="17" t="s">
        <v>126</v>
      </c>
      <c r="O325" s="17" t="s">
        <v>126</v>
      </c>
      <c r="P325" s="17" t="s">
        <v>126</v>
      </c>
      <c r="Q325" s="16">
        <v>466</v>
      </c>
      <c r="R325" s="10" t="s">
        <v>365</v>
      </c>
      <c r="S325" s="17" t="s">
        <v>126</v>
      </c>
      <c r="T325" s="17" t="s">
        <v>126</v>
      </c>
      <c r="U325" s="17" t="s">
        <v>126</v>
      </c>
      <c r="V325" s="17" t="s">
        <v>126</v>
      </c>
      <c r="W325" s="17" t="s">
        <v>126</v>
      </c>
      <c r="X325" s="17" t="s">
        <v>126</v>
      </c>
      <c r="Y325" s="17" t="s">
        <v>126</v>
      </c>
      <c r="Z325" s="17" t="s">
        <v>126</v>
      </c>
      <c r="AA325" s="17" t="s">
        <v>126</v>
      </c>
      <c r="AB325" s="17" t="s">
        <v>126</v>
      </c>
      <c r="AC325" s="17" t="s">
        <v>126</v>
      </c>
      <c r="AD325" s="17" t="s">
        <v>126</v>
      </c>
      <c r="AE325" s="17" t="s">
        <v>126</v>
      </c>
      <c r="AF325" s="17" t="s">
        <v>126</v>
      </c>
      <c r="AG325" s="17" t="s">
        <v>126</v>
      </c>
      <c r="AH325" s="17" t="s">
        <v>126</v>
      </c>
      <c r="AI325" s="5" t="e">
        <f t="shared" si="25"/>
        <v>#VALUE!</v>
      </c>
      <c r="AJ325" s="5" t="e">
        <f t="shared" si="26"/>
        <v>#VALUE!</v>
      </c>
      <c r="AK325" s="5" t="e">
        <f t="shared" si="27"/>
        <v>#VALUE!</v>
      </c>
      <c r="AL325" s="5" t="e">
        <f t="shared" si="28"/>
        <v>#VALUE!</v>
      </c>
      <c r="AM325" s="5" t="e">
        <f t="shared" si="29"/>
        <v>#VALUE!</v>
      </c>
    </row>
    <row r="326" spans="1:39" ht="15" customHeight="1" thickBot="1" x14ac:dyDescent="0.35">
      <c r="A326">
        <f t="shared" si="24"/>
        <v>0</v>
      </c>
      <c r="B326" s="18">
        <v>467</v>
      </c>
      <c r="C326" s="11" t="s">
        <v>366</v>
      </c>
      <c r="D326" s="19" t="s">
        <v>126</v>
      </c>
      <c r="E326" s="19" t="s">
        <v>126</v>
      </c>
      <c r="F326" s="19" t="s">
        <v>126</v>
      </c>
      <c r="G326" s="19" t="s">
        <v>126</v>
      </c>
      <c r="H326" s="19" t="s">
        <v>126</v>
      </c>
      <c r="I326" s="19" t="s">
        <v>126</v>
      </c>
      <c r="J326" s="19" t="s">
        <v>126</v>
      </c>
      <c r="K326" s="19" t="s">
        <v>126</v>
      </c>
      <c r="L326" s="19" t="s">
        <v>126</v>
      </c>
      <c r="M326" s="19" t="s">
        <v>126</v>
      </c>
      <c r="N326" s="19" t="s">
        <v>126</v>
      </c>
      <c r="O326" s="19" t="s">
        <v>126</v>
      </c>
      <c r="P326" s="19" t="s">
        <v>126</v>
      </c>
      <c r="Q326" s="18">
        <v>467</v>
      </c>
      <c r="R326" s="11" t="s">
        <v>366</v>
      </c>
      <c r="S326" s="19" t="s">
        <v>126</v>
      </c>
      <c r="T326" s="19" t="s">
        <v>126</v>
      </c>
      <c r="U326" s="19" t="s">
        <v>126</v>
      </c>
      <c r="V326" s="19" t="s">
        <v>126</v>
      </c>
      <c r="W326" s="19" t="s">
        <v>126</v>
      </c>
      <c r="X326" s="19" t="s">
        <v>126</v>
      </c>
      <c r="Y326" s="19" t="s">
        <v>126</v>
      </c>
      <c r="Z326" s="19" t="s">
        <v>126</v>
      </c>
      <c r="AA326" s="19" t="s">
        <v>126</v>
      </c>
      <c r="AB326" s="19" t="s">
        <v>126</v>
      </c>
      <c r="AC326" s="19" t="s">
        <v>126</v>
      </c>
      <c r="AD326" s="19" t="s">
        <v>126</v>
      </c>
      <c r="AE326" s="19" t="s">
        <v>126</v>
      </c>
      <c r="AF326" s="19" t="s">
        <v>126</v>
      </c>
      <c r="AG326" s="19" t="s">
        <v>126</v>
      </c>
      <c r="AH326" s="19" t="s">
        <v>126</v>
      </c>
      <c r="AI326" s="5" t="e">
        <f t="shared" si="25"/>
        <v>#VALUE!</v>
      </c>
      <c r="AJ326" s="5" t="e">
        <f t="shared" si="26"/>
        <v>#VALUE!</v>
      </c>
      <c r="AK326" s="5" t="e">
        <f t="shared" si="27"/>
        <v>#VALUE!</v>
      </c>
      <c r="AL326" s="5" t="e">
        <f t="shared" si="28"/>
        <v>#VALUE!</v>
      </c>
      <c r="AM326" s="5" t="e">
        <f t="shared" si="29"/>
        <v>#VALUE!</v>
      </c>
    </row>
    <row r="327" spans="1:39" ht="15" customHeight="1" thickBot="1" x14ac:dyDescent="0.35">
      <c r="A327">
        <f t="shared" ref="A327:A359" si="30">IFERROR((AI327*AI$3+AJ327*AJ$3+AK327*AK$3+AL327*AL$3+AM327*AM$3)*100/(AI$5*AI$3+AJ$5*AJ$3+AK$5*AK$3+AL$5*AL$3+AM$5*AM$3),0)</f>
        <v>0</v>
      </c>
      <c r="B327" s="16">
        <v>468</v>
      </c>
      <c r="C327" s="10" t="s">
        <v>367</v>
      </c>
      <c r="D327" s="17" t="s">
        <v>126</v>
      </c>
      <c r="E327" s="17" t="s">
        <v>126</v>
      </c>
      <c r="F327" s="17" t="s">
        <v>126</v>
      </c>
      <c r="G327" s="17" t="s">
        <v>126</v>
      </c>
      <c r="H327" s="17" t="s">
        <v>126</v>
      </c>
      <c r="I327" s="17" t="s">
        <v>126</v>
      </c>
      <c r="J327" s="17" t="s">
        <v>126</v>
      </c>
      <c r="K327" s="17" t="s">
        <v>126</v>
      </c>
      <c r="L327" s="17" t="s">
        <v>126</v>
      </c>
      <c r="M327" s="17" t="s">
        <v>126</v>
      </c>
      <c r="N327" s="17" t="s">
        <v>126</v>
      </c>
      <c r="O327" s="17" t="s">
        <v>126</v>
      </c>
      <c r="P327" s="17" t="s">
        <v>126</v>
      </c>
      <c r="Q327" s="16">
        <v>468</v>
      </c>
      <c r="R327" s="10" t="s">
        <v>367</v>
      </c>
      <c r="S327" s="17" t="s">
        <v>126</v>
      </c>
      <c r="T327" s="17" t="s">
        <v>126</v>
      </c>
      <c r="U327" s="17" t="s">
        <v>126</v>
      </c>
      <c r="V327" s="17" t="s">
        <v>126</v>
      </c>
      <c r="W327" s="17" t="s">
        <v>126</v>
      </c>
      <c r="X327" s="17" t="s">
        <v>126</v>
      </c>
      <c r="Y327" s="17" t="s">
        <v>126</v>
      </c>
      <c r="Z327" s="17" t="s">
        <v>126</v>
      </c>
      <c r="AA327" s="17" t="s">
        <v>126</v>
      </c>
      <c r="AB327" s="17" t="s">
        <v>126</v>
      </c>
      <c r="AC327" s="17" t="s">
        <v>126</v>
      </c>
      <c r="AD327" s="17" t="s">
        <v>126</v>
      </c>
      <c r="AE327" s="17" t="s">
        <v>126</v>
      </c>
      <c r="AF327" s="17" t="s">
        <v>126</v>
      </c>
      <c r="AG327" s="17" t="s">
        <v>126</v>
      </c>
      <c r="AH327" s="17" t="s">
        <v>126</v>
      </c>
      <c r="AI327" s="5" t="e">
        <f t="shared" ref="AI327:AI390" si="31">H$1*((-0.000002)*H327^3+0.00032*H327^2+(-0.0021)*H327)+I$1*((-0.000002)*I327^3+0.00032*I327^2+(-0.0021)*I327)+J$1*((-0.000002)*J327^3+0.00032*J327^2+(-0.0021)*J327)+K$1*((-0.000002)*K327^3+0.00032*K327^2+(-0.0021)*K327)+L$1*((-0.000002)*L327^3+0.00032*L327^2+(-0.0021)*L327)</f>
        <v>#VALUE!</v>
      </c>
      <c r="AJ327" s="5" t="e">
        <f t="shared" ref="AJ327:AJ390" si="32">M$1*((-0.000002)*M327^3+0.00032*M327^2+(-0.0021)*M327)+N$1*((-0.000002)*N327^3+0.00032*N327^2+(-0.0021)*N327)+O$1*((-0.000002)*O327^3+0.00032*O327^2+(-0.0021)*O327)</f>
        <v>#VALUE!</v>
      </c>
      <c r="AK327" s="5" t="e">
        <f t="shared" ref="AK327:AK390" si="33">IF(AA327&lt;50,W$1*((-0.000002)*W327^3+0.00032*W327^2+(-0.0021)*W327)+X$1*((-0.000002)*X327^3+0.00032*X327^2+(-0.0021)*X327)+Y$1*((-0.000002)*Y327^3+0.00032*Y327^2+(-0.0021)*Y327)+Z$1*((-0.000002)*Z327^3+0.00032*Z327^2+(-0.0021)*Z327),X$2*((-0.000002)*X327^3+0.00032*X327^2+(-0.0021)*X327)+Y$2*((-0.000002)*Y327^3+0.00032*Y327^2+(-0.0021)*Y327)+Z$2*((-0.000002)*Z327^3+0.00032*Z327^2+(-0.0021)*Z327)+AA$2*((-0.000002)*AA327^3+0.00032*AA327^2+(-0.0021)*AA327))</f>
        <v>#VALUE!</v>
      </c>
      <c r="AL327" s="5" t="e">
        <f t="shared" ref="AL327:AL390" si="34">AB$1*((-0.000002)*AB327^3+0.00032*AB327^2+(-0.0021)*AB327)+AC$1*((-0.000002)*AC327^3+0.00032*AC327^2+(-0.0021)*AC327)</f>
        <v>#VALUE!</v>
      </c>
      <c r="AM327" s="5" t="e">
        <f t="shared" ref="AM327:AM390" si="35">AD$1*((-0.000002)*AD327^3+0.00032*AD327^2+(-0.0021)*AD327)+AE$1*((-0.000002)*AE327^3+0.00032*AE327^2+(-0.0021)*AE327)+AF$1*((-0.000002)*AF327^3+0.00032*AF327^2+(-0.0021)*AF327)+AG$1*((-0.000002)*AG327^3+0.00032*AG327^2+(-0.0021)*AG327)</f>
        <v>#VALUE!</v>
      </c>
    </row>
    <row r="328" spans="1:39" ht="15" customHeight="1" thickBot="1" x14ac:dyDescent="0.35">
      <c r="A328">
        <f t="shared" si="30"/>
        <v>0</v>
      </c>
      <c r="B328" s="18">
        <v>469</v>
      </c>
      <c r="C328" s="11" t="s">
        <v>368</v>
      </c>
      <c r="D328" s="19" t="s">
        <v>126</v>
      </c>
      <c r="E328" s="19" t="s">
        <v>126</v>
      </c>
      <c r="F328" s="19" t="s">
        <v>126</v>
      </c>
      <c r="G328" s="19" t="s">
        <v>126</v>
      </c>
      <c r="H328" s="19" t="s">
        <v>126</v>
      </c>
      <c r="I328" s="19" t="s">
        <v>126</v>
      </c>
      <c r="J328" s="19" t="s">
        <v>126</v>
      </c>
      <c r="K328" s="19" t="s">
        <v>126</v>
      </c>
      <c r="L328" s="19" t="s">
        <v>126</v>
      </c>
      <c r="M328" s="19" t="s">
        <v>126</v>
      </c>
      <c r="N328" s="19" t="s">
        <v>126</v>
      </c>
      <c r="O328" s="19" t="s">
        <v>126</v>
      </c>
      <c r="P328" s="19" t="s">
        <v>126</v>
      </c>
      <c r="Q328" s="18">
        <v>469</v>
      </c>
      <c r="R328" s="11" t="s">
        <v>368</v>
      </c>
      <c r="S328" s="19" t="s">
        <v>126</v>
      </c>
      <c r="T328" s="19" t="s">
        <v>126</v>
      </c>
      <c r="U328" s="19" t="s">
        <v>126</v>
      </c>
      <c r="V328" s="19" t="s">
        <v>126</v>
      </c>
      <c r="W328" s="19" t="s">
        <v>126</v>
      </c>
      <c r="X328" s="19" t="s">
        <v>126</v>
      </c>
      <c r="Y328" s="19" t="s">
        <v>126</v>
      </c>
      <c r="Z328" s="19" t="s">
        <v>126</v>
      </c>
      <c r="AA328" s="19" t="s">
        <v>126</v>
      </c>
      <c r="AB328" s="19" t="s">
        <v>126</v>
      </c>
      <c r="AC328" s="19" t="s">
        <v>126</v>
      </c>
      <c r="AD328" s="19" t="s">
        <v>126</v>
      </c>
      <c r="AE328" s="19" t="s">
        <v>126</v>
      </c>
      <c r="AF328" s="19" t="s">
        <v>126</v>
      </c>
      <c r="AG328" s="19" t="s">
        <v>126</v>
      </c>
      <c r="AH328" s="19" t="s">
        <v>126</v>
      </c>
      <c r="AI328" s="5" t="e">
        <f t="shared" si="31"/>
        <v>#VALUE!</v>
      </c>
      <c r="AJ328" s="5" t="e">
        <f t="shared" si="32"/>
        <v>#VALUE!</v>
      </c>
      <c r="AK328" s="5" t="e">
        <f t="shared" si="33"/>
        <v>#VALUE!</v>
      </c>
      <c r="AL328" s="5" t="e">
        <f t="shared" si="34"/>
        <v>#VALUE!</v>
      </c>
      <c r="AM328" s="5" t="e">
        <f t="shared" si="35"/>
        <v>#VALUE!</v>
      </c>
    </row>
    <row r="329" spans="1:39" ht="15" customHeight="1" thickBot="1" x14ac:dyDescent="0.35">
      <c r="A329">
        <f t="shared" si="30"/>
        <v>0</v>
      </c>
      <c r="B329" s="16">
        <v>470</v>
      </c>
      <c r="C329" s="10" t="s">
        <v>369</v>
      </c>
      <c r="D329" s="17" t="s">
        <v>126</v>
      </c>
      <c r="E329" s="17" t="s">
        <v>126</v>
      </c>
      <c r="F329" s="17" t="s">
        <v>126</v>
      </c>
      <c r="G329" s="17" t="s">
        <v>126</v>
      </c>
      <c r="H329" s="17" t="s">
        <v>126</v>
      </c>
      <c r="I329" s="17" t="s">
        <v>126</v>
      </c>
      <c r="J329" s="17" t="s">
        <v>126</v>
      </c>
      <c r="K329" s="17" t="s">
        <v>126</v>
      </c>
      <c r="L329" s="17" t="s">
        <v>126</v>
      </c>
      <c r="M329" s="17" t="s">
        <v>126</v>
      </c>
      <c r="N329" s="17" t="s">
        <v>126</v>
      </c>
      <c r="O329" s="17" t="s">
        <v>126</v>
      </c>
      <c r="P329" s="17" t="s">
        <v>126</v>
      </c>
      <c r="Q329" s="16">
        <v>470</v>
      </c>
      <c r="R329" s="10" t="s">
        <v>369</v>
      </c>
      <c r="S329" s="17" t="s">
        <v>126</v>
      </c>
      <c r="T329" s="17" t="s">
        <v>126</v>
      </c>
      <c r="U329" s="17" t="s">
        <v>126</v>
      </c>
      <c r="V329" s="17" t="s">
        <v>126</v>
      </c>
      <c r="W329" s="17" t="s">
        <v>126</v>
      </c>
      <c r="X329" s="17" t="s">
        <v>126</v>
      </c>
      <c r="Y329" s="17" t="s">
        <v>126</v>
      </c>
      <c r="Z329" s="17" t="s">
        <v>126</v>
      </c>
      <c r="AA329" s="17" t="s">
        <v>126</v>
      </c>
      <c r="AB329" s="17" t="s">
        <v>126</v>
      </c>
      <c r="AC329" s="17" t="s">
        <v>126</v>
      </c>
      <c r="AD329" s="17" t="s">
        <v>126</v>
      </c>
      <c r="AE329" s="17" t="s">
        <v>126</v>
      </c>
      <c r="AF329" s="17" t="s">
        <v>126</v>
      </c>
      <c r="AG329" s="17" t="s">
        <v>126</v>
      </c>
      <c r="AH329" s="17" t="s">
        <v>126</v>
      </c>
      <c r="AI329" s="5" t="e">
        <f t="shared" si="31"/>
        <v>#VALUE!</v>
      </c>
      <c r="AJ329" s="5" t="e">
        <f t="shared" si="32"/>
        <v>#VALUE!</v>
      </c>
      <c r="AK329" s="5" t="e">
        <f t="shared" si="33"/>
        <v>#VALUE!</v>
      </c>
      <c r="AL329" s="5" t="e">
        <f t="shared" si="34"/>
        <v>#VALUE!</v>
      </c>
      <c r="AM329" s="5" t="e">
        <f t="shared" si="35"/>
        <v>#VALUE!</v>
      </c>
    </row>
    <row r="330" spans="1:39" ht="15" customHeight="1" thickBot="1" x14ac:dyDescent="0.35">
      <c r="A330">
        <f t="shared" si="30"/>
        <v>0</v>
      </c>
      <c r="B330" s="18">
        <v>471</v>
      </c>
      <c r="C330" s="11" t="s">
        <v>370</v>
      </c>
      <c r="D330" s="19" t="s">
        <v>126</v>
      </c>
      <c r="E330" s="19" t="s">
        <v>126</v>
      </c>
      <c r="F330" s="19" t="s">
        <v>126</v>
      </c>
      <c r="G330" s="19" t="s">
        <v>126</v>
      </c>
      <c r="H330" s="19" t="s">
        <v>126</v>
      </c>
      <c r="I330" s="19" t="s">
        <v>126</v>
      </c>
      <c r="J330" s="19" t="s">
        <v>126</v>
      </c>
      <c r="K330" s="19" t="s">
        <v>126</v>
      </c>
      <c r="L330" s="19" t="s">
        <v>126</v>
      </c>
      <c r="M330" s="19" t="s">
        <v>126</v>
      </c>
      <c r="N330" s="19" t="s">
        <v>126</v>
      </c>
      <c r="O330" s="19" t="s">
        <v>126</v>
      </c>
      <c r="P330" s="19" t="s">
        <v>126</v>
      </c>
      <c r="Q330" s="18">
        <v>471</v>
      </c>
      <c r="R330" s="11" t="s">
        <v>370</v>
      </c>
      <c r="S330" s="19" t="s">
        <v>126</v>
      </c>
      <c r="T330" s="19" t="s">
        <v>126</v>
      </c>
      <c r="U330" s="19" t="s">
        <v>126</v>
      </c>
      <c r="V330" s="19" t="s">
        <v>126</v>
      </c>
      <c r="W330" s="19" t="s">
        <v>126</v>
      </c>
      <c r="X330" s="19" t="s">
        <v>126</v>
      </c>
      <c r="Y330" s="19" t="s">
        <v>126</v>
      </c>
      <c r="Z330" s="19" t="s">
        <v>126</v>
      </c>
      <c r="AA330" s="19" t="s">
        <v>126</v>
      </c>
      <c r="AB330" s="19" t="s">
        <v>126</v>
      </c>
      <c r="AC330" s="19" t="s">
        <v>126</v>
      </c>
      <c r="AD330" s="19" t="s">
        <v>126</v>
      </c>
      <c r="AE330" s="19" t="s">
        <v>126</v>
      </c>
      <c r="AF330" s="19" t="s">
        <v>126</v>
      </c>
      <c r="AG330" s="19" t="s">
        <v>126</v>
      </c>
      <c r="AH330" s="19" t="s">
        <v>126</v>
      </c>
      <c r="AI330" s="5" t="e">
        <f t="shared" si="31"/>
        <v>#VALUE!</v>
      </c>
      <c r="AJ330" s="5" t="e">
        <f t="shared" si="32"/>
        <v>#VALUE!</v>
      </c>
      <c r="AK330" s="5" t="e">
        <f t="shared" si="33"/>
        <v>#VALUE!</v>
      </c>
      <c r="AL330" s="5" t="e">
        <f t="shared" si="34"/>
        <v>#VALUE!</v>
      </c>
      <c r="AM330" s="5" t="e">
        <f t="shared" si="35"/>
        <v>#VALUE!</v>
      </c>
    </row>
    <row r="331" spans="1:39" ht="15" customHeight="1" thickBot="1" x14ac:dyDescent="0.35">
      <c r="A331">
        <f t="shared" si="30"/>
        <v>0</v>
      </c>
      <c r="B331" s="16">
        <v>472</v>
      </c>
      <c r="C331" s="10" t="s">
        <v>371</v>
      </c>
      <c r="D331" s="17" t="s">
        <v>126</v>
      </c>
      <c r="E331" s="17" t="s">
        <v>126</v>
      </c>
      <c r="F331" s="17" t="s">
        <v>126</v>
      </c>
      <c r="G331" s="17" t="s">
        <v>126</v>
      </c>
      <c r="H331" s="17" t="s">
        <v>126</v>
      </c>
      <c r="I331" s="17" t="s">
        <v>126</v>
      </c>
      <c r="J331" s="17" t="s">
        <v>126</v>
      </c>
      <c r="K331" s="17" t="s">
        <v>126</v>
      </c>
      <c r="L331" s="17" t="s">
        <v>126</v>
      </c>
      <c r="M331" s="17" t="s">
        <v>126</v>
      </c>
      <c r="N331" s="17" t="s">
        <v>126</v>
      </c>
      <c r="O331" s="17" t="s">
        <v>126</v>
      </c>
      <c r="P331" s="17" t="s">
        <v>126</v>
      </c>
      <c r="Q331" s="16">
        <v>472</v>
      </c>
      <c r="R331" s="10" t="s">
        <v>371</v>
      </c>
      <c r="S331" s="17" t="s">
        <v>126</v>
      </c>
      <c r="T331" s="17" t="s">
        <v>126</v>
      </c>
      <c r="U331" s="17" t="s">
        <v>126</v>
      </c>
      <c r="V331" s="17" t="s">
        <v>126</v>
      </c>
      <c r="W331" s="17" t="s">
        <v>126</v>
      </c>
      <c r="X331" s="17" t="s">
        <v>126</v>
      </c>
      <c r="Y331" s="17" t="s">
        <v>126</v>
      </c>
      <c r="Z331" s="17" t="s">
        <v>126</v>
      </c>
      <c r="AA331" s="17" t="s">
        <v>126</v>
      </c>
      <c r="AB331" s="17" t="s">
        <v>126</v>
      </c>
      <c r="AC331" s="17" t="s">
        <v>126</v>
      </c>
      <c r="AD331" s="17" t="s">
        <v>126</v>
      </c>
      <c r="AE331" s="17" t="s">
        <v>126</v>
      </c>
      <c r="AF331" s="17" t="s">
        <v>126</v>
      </c>
      <c r="AG331" s="17" t="s">
        <v>126</v>
      </c>
      <c r="AH331" s="17" t="s">
        <v>126</v>
      </c>
      <c r="AI331" s="5" t="e">
        <f t="shared" si="31"/>
        <v>#VALUE!</v>
      </c>
      <c r="AJ331" s="5" t="e">
        <f t="shared" si="32"/>
        <v>#VALUE!</v>
      </c>
      <c r="AK331" s="5" t="e">
        <f t="shared" si="33"/>
        <v>#VALUE!</v>
      </c>
      <c r="AL331" s="5" t="e">
        <f t="shared" si="34"/>
        <v>#VALUE!</v>
      </c>
      <c r="AM331" s="5" t="e">
        <f t="shared" si="35"/>
        <v>#VALUE!</v>
      </c>
    </row>
    <row r="332" spans="1:39" ht="15" customHeight="1" thickBot="1" x14ac:dyDescent="0.35">
      <c r="A332">
        <f t="shared" si="30"/>
        <v>0</v>
      </c>
      <c r="B332" s="18">
        <v>473</v>
      </c>
      <c r="C332" s="11" t="s">
        <v>372</v>
      </c>
      <c r="D332" s="19" t="s">
        <v>126</v>
      </c>
      <c r="E332" s="19" t="s">
        <v>126</v>
      </c>
      <c r="F332" s="19" t="s">
        <v>126</v>
      </c>
      <c r="G332" s="19" t="s">
        <v>126</v>
      </c>
      <c r="H332" s="19" t="s">
        <v>126</v>
      </c>
      <c r="I332" s="19" t="s">
        <v>126</v>
      </c>
      <c r="J332" s="19" t="s">
        <v>126</v>
      </c>
      <c r="K332" s="19" t="s">
        <v>126</v>
      </c>
      <c r="L332" s="19" t="s">
        <v>126</v>
      </c>
      <c r="M332" s="19" t="s">
        <v>126</v>
      </c>
      <c r="N332" s="19" t="s">
        <v>126</v>
      </c>
      <c r="O332" s="19" t="s">
        <v>126</v>
      </c>
      <c r="P332" s="19" t="s">
        <v>126</v>
      </c>
      <c r="Q332" s="18">
        <v>473</v>
      </c>
      <c r="R332" s="11" t="s">
        <v>372</v>
      </c>
      <c r="S332" s="19" t="s">
        <v>126</v>
      </c>
      <c r="T332" s="19" t="s">
        <v>126</v>
      </c>
      <c r="U332" s="19" t="s">
        <v>126</v>
      </c>
      <c r="V332" s="19" t="s">
        <v>126</v>
      </c>
      <c r="W332" s="19" t="s">
        <v>126</v>
      </c>
      <c r="X332" s="19" t="s">
        <v>126</v>
      </c>
      <c r="Y332" s="19" t="s">
        <v>126</v>
      </c>
      <c r="Z332" s="19" t="s">
        <v>126</v>
      </c>
      <c r="AA332" s="19" t="s">
        <v>126</v>
      </c>
      <c r="AB332" s="19" t="s">
        <v>126</v>
      </c>
      <c r="AC332" s="19" t="s">
        <v>126</v>
      </c>
      <c r="AD332" s="19" t="s">
        <v>126</v>
      </c>
      <c r="AE332" s="19" t="s">
        <v>126</v>
      </c>
      <c r="AF332" s="19" t="s">
        <v>126</v>
      </c>
      <c r="AG332" s="19" t="s">
        <v>126</v>
      </c>
      <c r="AH332" s="19" t="s">
        <v>126</v>
      </c>
      <c r="AI332" s="5" t="e">
        <f t="shared" si="31"/>
        <v>#VALUE!</v>
      </c>
      <c r="AJ332" s="5" t="e">
        <f t="shared" si="32"/>
        <v>#VALUE!</v>
      </c>
      <c r="AK332" s="5" t="e">
        <f t="shared" si="33"/>
        <v>#VALUE!</v>
      </c>
      <c r="AL332" s="5" t="e">
        <f t="shared" si="34"/>
        <v>#VALUE!</v>
      </c>
      <c r="AM332" s="5" t="e">
        <f t="shared" si="35"/>
        <v>#VALUE!</v>
      </c>
    </row>
    <row r="333" spans="1:39" ht="15" customHeight="1" thickBot="1" x14ac:dyDescent="0.35">
      <c r="A333">
        <f t="shared" si="30"/>
        <v>0</v>
      </c>
      <c r="B333" s="16">
        <v>474</v>
      </c>
      <c r="C333" s="10" t="s">
        <v>373</v>
      </c>
      <c r="D333" s="17" t="s">
        <v>126</v>
      </c>
      <c r="E333" s="17" t="s">
        <v>126</v>
      </c>
      <c r="F333" s="17" t="s">
        <v>126</v>
      </c>
      <c r="G333" s="17" t="s">
        <v>126</v>
      </c>
      <c r="H333" s="17" t="s">
        <v>126</v>
      </c>
      <c r="I333" s="17" t="s">
        <v>126</v>
      </c>
      <c r="J333" s="17" t="s">
        <v>126</v>
      </c>
      <c r="K333" s="17" t="s">
        <v>126</v>
      </c>
      <c r="L333" s="17" t="s">
        <v>126</v>
      </c>
      <c r="M333" s="17" t="s">
        <v>126</v>
      </c>
      <c r="N333" s="17" t="s">
        <v>126</v>
      </c>
      <c r="O333" s="17" t="s">
        <v>126</v>
      </c>
      <c r="P333" s="17" t="s">
        <v>126</v>
      </c>
      <c r="Q333" s="16">
        <v>474</v>
      </c>
      <c r="R333" s="10" t="s">
        <v>373</v>
      </c>
      <c r="S333" s="17" t="s">
        <v>126</v>
      </c>
      <c r="T333" s="17" t="s">
        <v>126</v>
      </c>
      <c r="U333" s="17" t="s">
        <v>126</v>
      </c>
      <c r="V333" s="17" t="s">
        <v>126</v>
      </c>
      <c r="W333" s="17" t="s">
        <v>126</v>
      </c>
      <c r="X333" s="17" t="s">
        <v>126</v>
      </c>
      <c r="Y333" s="17" t="s">
        <v>126</v>
      </c>
      <c r="Z333" s="17" t="s">
        <v>126</v>
      </c>
      <c r="AA333" s="17" t="s">
        <v>126</v>
      </c>
      <c r="AB333" s="17" t="s">
        <v>126</v>
      </c>
      <c r="AC333" s="17" t="s">
        <v>126</v>
      </c>
      <c r="AD333" s="17" t="s">
        <v>126</v>
      </c>
      <c r="AE333" s="17" t="s">
        <v>126</v>
      </c>
      <c r="AF333" s="17" t="s">
        <v>126</v>
      </c>
      <c r="AG333" s="17" t="s">
        <v>126</v>
      </c>
      <c r="AH333" s="17" t="s">
        <v>126</v>
      </c>
      <c r="AI333" s="5" t="e">
        <f t="shared" si="31"/>
        <v>#VALUE!</v>
      </c>
      <c r="AJ333" s="5" t="e">
        <f t="shared" si="32"/>
        <v>#VALUE!</v>
      </c>
      <c r="AK333" s="5" t="e">
        <f t="shared" si="33"/>
        <v>#VALUE!</v>
      </c>
      <c r="AL333" s="5" t="e">
        <f t="shared" si="34"/>
        <v>#VALUE!</v>
      </c>
      <c r="AM333" s="5" t="e">
        <f t="shared" si="35"/>
        <v>#VALUE!</v>
      </c>
    </row>
    <row r="334" spans="1:39" ht="15" customHeight="1" thickBot="1" x14ac:dyDescent="0.35">
      <c r="A334">
        <f t="shared" si="30"/>
        <v>0</v>
      </c>
      <c r="B334" s="18">
        <v>475</v>
      </c>
      <c r="C334" s="11" t="s">
        <v>374</v>
      </c>
      <c r="D334" s="19" t="s">
        <v>126</v>
      </c>
      <c r="E334" s="19" t="s">
        <v>126</v>
      </c>
      <c r="F334" s="19" t="s">
        <v>126</v>
      </c>
      <c r="G334" s="19" t="s">
        <v>126</v>
      </c>
      <c r="H334" s="19" t="s">
        <v>126</v>
      </c>
      <c r="I334" s="19" t="s">
        <v>126</v>
      </c>
      <c r="J334" s="19" t="s">
        <v>126</v>
      </c>
      <c r="K334" s="19" t="s">
        <v>126</v>
      </c>
      <c r="L334" s="19" t="s">
        <v>126</v>
      </c>
      <c r="M334" s="19" t="s">
        <v>126</v>
      </c>
      <c r="N334" s="19" t="s">
        <v>126</v>
      </c>
      <c r="O334" s="19" t="s">
        <v>126</v>
      </c>
      <c r="P334" s="19" t="s">
        <v>126</v>
      </c>
      <c r="Q334" s="18">
        <v>475</v>
      </c>
      <c r="R334" s="11" t="s">
        <v>374</v>
      </c>
      <c r="S334" s="19" t="s">
        <v>126</v>
      </c>
      <c r="T334" s="19" t="s">
        <v>126</v>
      </c>
      <c r="U334" s="19" t="s">
        <v>126</v>
      </c>
      <c r="V334" s="19" t="s">
        <v>126</v>
      </c>
      <c r="W334" s="19" t="s">
        <v>126</v>
      </c>
      <c r="X334" s="19" t="s">
        <v>126</v>
      </c>
      <c r="Y334" s="19" t="s">
        <v>126</v>
      </c>
      <c r="Z334" s="19" t="s">
        <v>126</v>
      </c>
      <c r="AA334" s="19" t="s">
        <v>126</v>
      </c>
      <c r="AB334" s="19" t="s">
        <v>126</v>
      </c>
      <c r="AC334" s="19" t="s">
        <v>126</v>
      </c>
      <c r="AD334" s="19" t="s">
        <v>126</v>
      </c>
      <c r="AE334" s="19" t="s">
        <v>126</v>
      </c>
      <c r="AF334" s="19" t="s">
        <v>126</v>
      </c>
      <c r="AG334" s="19" t="s">
        <v>126</v>
      </c>
      <c r="AH334" s="19" t="s">
        <v>126</v>
      </c>
      <c r="AI334" s="5" t="e">
        <f t="shared" si="31"/>
        <v>#VALUE!</v>
      </c>
      <c r="AJ334" s="5" t="e">
        <f t="shared" si="32"/>
        <v>#VALUE!</v>
      </c>
      <c r="AK334" s="5" t="e">
        <f t="shared" si="33"/>
        <v>#VALUE!</v>
      </c>
      <c r="AL334" s="5" t="e">
        <f t="shared" si="34"/>
        <v>#VALUE!</v>
      </c>
      <c r="AM334" s="5" t="e">
        <f t="shared" si="35"/>
        <v>#VALUE!</v>
      </c>
    </row>
    <row r="335" spans="1:39" ht="15" customHeight="1" thickBot="1" x14ac:dyDescent="0.35">
      <c r="A335">
        <f t="shared" si="30"/>
        <v>0</v>
      </c>
      <c r="B335" s="16">
        <v>476</v>
      </c>
      <c r="C335" s="10" t="s">
        <v>375</v>
      </c>
      <c r="D335" s="17" t="s">
        <v>126</v>
      </c>
      <c r="E335" s="17" t="s">
        <v>126</v>
      </c>
      <c r="F335" s="17" t="s">
        <v>126</v>
      </c>
      <c r="G335" s="17" t="s">
        <v>126</v>
      </c>
      <c r="H335" s="17" t="s">
        <v>126</v>
      </c>
      <c r="I335" s="17" t="s">
        <v>126</v>
      </c>
      <c r="J335" s="17" t="s">
        <v>126</v>
      </c>
      <c r="K335" s="17" t="s">
        <v>126</v>
      </c>
      <c r="L335" s="17" t="s">
        <v>126</v>
      </c>
      <c r="M335" s="17" t="s">
        <v>126</v>
      </c>
      <c r="N335" s="17" t="s">
        <v>126</v>
      </c>
      <c r="O335" s="17" t="s">
        <v>126</v>
      </c>
      <c r="P335" s="17" t="s">
        <v>126</v>
      </c>
      <c r="Q335" s="16">
        <v>476</v>
      </c>
      <c r="R335" s="10" t="s">
        <v>375</v>
      </c>
      <c r="S335" s="17" t="s">
        <v>126</v>
      </c>
      <c r="T335" s="17" t="s">
        <v>126</v>
      </c>
      <c r="U335" s="17" t="s">
        <v>126</v>
      </c>
      <c r="V335" s="17" t="s">
        <v>126</v>
      </c>
      <c r="W335" s="17" t="s">
        <v>126</v>
      </c>
      <c r="X335" s="17" t="s">
        <v>126</v>
      </c>
      <c r="Y335" s="17" t="s">
        <v>126</v>
      </c>
      <c r="Z335" s="17" t="s">
        <v>126</v>
      </c>
      <c r="AA335" s="17" t="s">
        <v>126</v>
      </c>
      <c r="AB335" s="17" t="s">
        <v>126</v>
      </c>
      <c r="AC335" s="17" t="s">
        <v>126</v>
      </c>
      <c r="AD335" s="17" t="s">
        <v>126</v>
      </c>
      <c r="AE335" s="17" t="s">
        <v>126</v>
      </c>
      <c r="AF335" s="17" t="s">
        <v>126</v>
      </c>
      <c r="AG335" s="17" t="s">
        <v>126</v>
      </c>
      <c r="AH335" s="17" t="s">
        <v>126</v>
      </c>
      <c r="AI335" s="5" t="e">
        <f t="shared" si="31"/>
        <v>#VALUE!</v>
      </c>
      <c r="AJ335" s="5" t="e">
        <f t="shared" si="32"/>
        <v>#VALUE!</v>
      </c>
      <c r="AK335" s="5" t="e">
        <f t="shared" si="33"/>
        <v>#VALUE!</v>
      </c>
      <c r="AL335" s="5" t="e">
        <f t="shared" si="34"/>
        <v>#VALUE!</v>
      </c>
      <c r="AM335" s="5" t="e">
        <f t="shared" si="35"/>
        <v>#VALUE!</v>
      </c>
    </row>
    <row r="336" spans="1:39" ht="15" customHeight="1" thickBot="1" x14ac:dyDescent="0.35">
      <c r="A336">
        <f t="shared" si="30"/>
        <v>0</v>
      </c>
      <c r="B336" s="18">
        <v>477</v>
      </c>
      <c r="C336" s="11" t="s">
        <v>376</v>
      </c>
      <c r="D336" s="19" t="s">
        <v>126</v>
      </c>
      <c r="E336" s="19" t="s">
        <v>126</v>
      </c>
      <c r="F336" s="19" t="s">
        <v>126</v>
      </c>
      <c r="G336" s="19" t="s">
        <v>126</v>
      </c>
      <c r="H336" s="19" t="s">
        <v>126</v>
      </c>
      <c r="I336" s="19" t="s">
        <v>126</v>
      </c>
      <c r="J336" s="19" t="s">
        <v>126</v>
      </c>
      <c r="K336" s="19" t="s">
        <v>126</v>
      </c>
      <c r="L336" s="19" t="s">
        <v>126</v>
      </c>
      <c r="M336" s="19" t="s">
        <v>126</v>
      </c>
      <c r="N336" s="19" t="s">
        <v>126</v>
      </c>
      <c r="O336" s="19" t="s">
        <v>126</v>
      </c>
      <c r="P336" s="19" t="s">
        <v>126</v>
      </c>
      <c r="Q336" s="18">
        <v>477</v>
      </c>
      <c r="R336" s="11" t="s">
        <v>376</v>
      </c>
      <c r="S336" s="19" t="s">
        <v>126</v>
      </c>
      <c r="T336" s="19" t="s">
        <v>126</v>
      </c>
      <c r="U336" s="19" t="s">
        <v>126</v>
      </c>
      <c r="V336" s="19" t="s">
        <v>126</v>
      </c>
      <c r="W336" s="19" t="s">
        <v>126</v>
      </c>
      <c r="X336" s="19" t="s">
        <v>126</v>
      </c>
      <c r="Y336" s="19" t="s">
        <v>126</v>
      </c>
      <c r="Z336" s="19" t="s">
        <v>126</v>
      </c>
      <c r="AA336" s="19" t="s">
        <v>126</v>
      </c>
      <c r="AB336" s="19" t="s">
        <v>126</v>
      </c>
      <c r="AC336" s="19" t="s">
        <v>126</v>
      </c>
      <c r="AD336" s="19" t="s">
        <v>126</v>
      </c>
      <c r="AE336" s="19" t="s">
        <v>126</v>
      </c>
      <c r="AF336" s="19" t="s">
        <v>126</v>
      </c>
      <c r="AG336" s="19" t="s">
        <v>126</v>
      </c>
      <c r="AH336" s="19" t="s">
        <v>126</v>
      </c>
      <c r="AI336" s="5" t="e">
        <f t="shared" si="31"/>
        <v>#VALUE!</v>
      </c>
      <c r="AJ336" s="5" t="e">
        <f t="shared" si="32"/>
        <v>#VALUE!</v>
      </c>
      <c r="AK336" s="5" t="e">
        <f t="shared" si="33"/>
        <v>#VALUE!</v>
      </c>
      <c r="AL336" s="5" t="e">
        <f t="shared" si="34"/>
        <v>#VALUE!</v>
      </c>
      <c r="AM336" s="5" t="e">
        <f t="shared" si="35"/>
        <v>#VALUE!</v>
      </c>
    </row>
    <row r="337" spans="1:39" ht="15" customHeight="1" thickBot="1" x14ac:dyDescent="0.35">
      <c r="A337">
        <f t="shared" si="30"/>
        <v>0</v>
      </c>
      <c r="B337" s="16">
        <v>478</v>
      </c>
      <c r="C337" s="10" t="s">
        <v>377</v>
      </c>
      <c r="D337" s="17" t="s">
        <v>126</v>
      </c>
      <c r="E337" s="17" t="s">
        <v>126</v>
      </c>
      <c r="F337" s="17" t="s">
        <v>126</v>
      </c>
      <c r="G337" s="17" t="s">
        <v>126</v>
      </c>
      <c r="H337" s="17" t="s">
        <v>126</v>
      </c>
      <c r="I337" s="17" t="s">
        <v>126</v>
      </c>
      <c r="J337" s="17" t="s">
        <v>126</v>
      </c>
      <c r="K337" s="17" t="s">
        <v>126</v>
      </c>
      <c r="L337" s="17" t="s">
        <v>126</v>
      </c>
      <c r="M337" s="17" t="s">
        <v>126</v>
      </c>
      <c r="N337" s="17" t="s">
        <v>126</v>
      </c>
      <c r="O337" s="17" t="s">
        <v>126</v>
      </c>
      <c r="P337" s="17" t="s">
        <v>126</v>
      </c>
      <c r="Q337" s="16">
        <v>478</v>
      </c>
      <c r="R337" s="10" t="s">
        <v>377</v>
      </c>
      <c r="S337" s="17" t="s">
        <v>126</v>
      </c>
      <c r="T337" s="17" t="s">
        <v>126</v>
      </c>
      <c r="U337" s="17" t="s">
        <v>126</v>
      </c>
      <c r="V337" s="17" t="s">
        <v>126</v>
      </c>
      <c r="W337" s="17" t="s">
        <v>126</v>
      </c>
      <c r="X337" s="17" t="s">
        <v>126</v>
      </c>
      <c r="Y337" s="17" t="s">
        <v>126</v>
      </c>
      <c r="Z337" s="17" t="s">
        <v>126</v>
      </c>
      <c r="AA337" s="17" t="s">
        <v>126</v>
      </c>
      <c r="AB337" s="17" t="s">
        <v>126</v>
      </c>
      <c r="AC337" s="17" t="s">
        <v>126</v>
      </c>
      <c r="AD337" s="17" t="s">
        <v>126</v>
      </c>
      <c r="AE337" s="17" t="s">
        <v>126</v>
      </c>
      <c r="AF337" s="17" t="s">
        <v>126</v>
      </c>
      <c r="AG337" s="17" t="s">
        <v>126</v>
      </c>
      <c r="AH337" s="17" t="s">
        <v>126</v>
      </c>
      <c r="AI337" s="5" t="e">
        <f t="shared" si="31"/>
        <v>#VALUE!</v>
      </c>
      <c r="AJ337" s="5" t="e">
        <f t="shared" si="32"/>
        <v>#VALUE!</v>
      </c>
      <c r="AK337" s="5" t="e">
        <f t="shared" si="33"/>
        <v>#VALUE!</v>
      </c>
      <c r="AL337" s="5" t="e">
        <f t="shared" si="34"/>
        <v>#VALUE!</v>
      </c>
      <c r="AM337" s="5" t="e">
        <f t="shared" si="35"/>
        <v>#VALUE!</v>
      </c>
    </row>
    <row r="338" spans="1:39" ht="15" customHeight="1" thickBot="1" x14ac:dyDescent="0.35">
      <c r="A338">
        <f t="shared" si="30"/>
        <v>0</v>
      </c>
      <c r="B338" s="18">
        <v>479</v>
      </c>
      <c r="C338" s="11" t="s">
        <v>378</v>
      </c>
      <c r="D338" s="19" t="s">
        <v>126</v>
      </c>
      <c r="E338" s="19" t="s">
        <v>126</v>
      </c>
      <c r="F338" s="19" t="s">
        <v>126</v>
      </c>
      <c r="G338" s="19" t="s">
        <v>126</v>
      </c>
      <c r="H338" s="19" t="s">
        <v>126</v>
      </c>
      <c r="I338" s="19" t="s">
        <v>126</v>
      </c>
      <c r="J338" s="19" t="s">
        <v>126</v>
      </c>
      <c r="K338" s="19" t="s">
        <v>126</v>
      </c>
      <c r="L338" s="19" t="s">
        <v>126</v>
      </c>
      <c r="M338" s="19" t="s">
        <v>126</v>
      </c>
      <c r="N338" s="19" t="s">
        <v>126</v>
      </c>
      <c r="O338" s="19" t="s">
        <v>126</v>
      </c>
      <c r="P338" s="19" t="s">
        <v>126</v>
      </c>
      <c r="Q338" s="18">
        <v>479</v>
      </c>
      <c r="R338" s="11" t="s">
        <v>378</v>
      </c>
      <c r="S338" s="19" t="s">
        <v>126</v>
      </c>
      <c r="T338" s="19" t="s">
        <v>126</v>
      </c>
      <c r="U338" s="19" t="s">
        <v>126</v>
      </c>
      <c r="V338" s="19" t="s">
        <v>126</v>
      </c>
      <c r="W338" s="19" t="s">
        <v>126</v>
      </c>
      <c r="X338" s="19" t="s">
        <v>126</v>
      </c>
      <c r="Y338" s="19" t="s">
        <v>126</v>
      </c>
      <c r="Z338" s="19" t="s">
        <v>126</v>
      </c>
      <c r="AA338" s="19" t="s">
        <v>126</v>
      </c>
      <c r="AB338" s="19" t="s">
        <v>126</v>
      </c>
      <c r="AC338" s="19" t="s">
        <v>126</v>
      </c>
      <c r="AD338" s="19" t="s">
        <v>126</v>
      </c>
      <c r="AE338" s="19" t="s">
        <v>126</v>
      </c>
      <c r="AF338" s="19" t="s">
        <v>126</v>
      </c>
      <c r="AG338" s="19" t="s">
        <v>126</v>
      </c>
      <c r="AH338" s="19" t="s">
        <v>126</v>
      </c>
      <c r="AI338" s="5" t="e">
        <f t="shared" si="31"/>
        <v>#VALUE!</v>
      </c>
      <c r="AJ338" s="5" t="e">
        <f t="shared" si="32"/>
        <v>#VALUE!</v>
      </c>
      <c r="AK338" s="5" t="e">
        <f t="shared" si="33"/>
        <v>#VALUE!</v>
      </c>
      <c r="AL338" s="5" t="e">
        <f t="shared" si="34"/>
        <v>#VALUE!</v>
      </c>
      <c r="AM338" s="5" t="e">
        <f t="shared" si="35"/>
        <v>#VALUE!</v>
      </c>
    </row>
    <row r="339" spans="1:39" ht="15" customHeight="1" thickBot="1" x14ac:dyDescent="0.35">
      <c r="A339">
        <f t="shared" si="30"/>
        <v>0</v>
      </c>
      <c r="B339" s="16">
        <v>480</v>
      </c>
      <c r="C339" s="10" t="s">
        <v>379</v>
      </c>
      <c r="D339" s="17" t="s">
        <v>126</v>
      </c>
      <c r="E339" s="17" t="s">
        <v>126</v>
      </c>
      <c r="F339" s="17" t="s">
        <v>126</v>
      </c>
      <c r="G339" s="17" t="s">
        <v>126</v>
      </c>
      <c r="H339" s="17" t="s">
        <v>126</v>
      </c>
      <c r="I339" s="17" t="s">
        <v>126</v>
      </c>
      <c r="J339" s="17" t="s">
        <v>126</v>
      </c>
      <c r="K339" s="17" t="s">
        <v>126</v>
      </c>
      <c r="L339" s="17" t="s">
        <v>126</v>
      </c>
      <c r="M339" s="17" t="s">
        <v>126</v>
      </c>
      <c r="N339" s="17" t="s">
        <v>126</v>
      </c>
      <c r="O339" s="17" t="s">
        <v>126</v>
      </c>
      <c r="P339" s="17" t="s">
        <v>126</v>
      </c>
      <c r="Q339" s="16">
        <v>480</v>
      </c>
      <c r="R339" s="10" t="s">
        <v>379</v>
      </c>
      <c r="S339" s="17" t="s">
        <v>126</v>
      </c>
      <c r="T339" s="17" t="s">
        <v>126</v>
      </c>
      <c r="U339" s="17" t="s">
        <v>126</v>
      </c>
      <c r="V339" s="17" t="s">
        <v>126</v>
      </c>
      <c r="W339" s="17" t="s">
        <v>126</v>
      </c>
      <c r="X339" s="17" t="s">
        <v>126</v>
      </c>
      <c r="Y339" s="17" t="s">
        <v>126</v>
      </c>
      <c r="Z339" s="17" t="s">
        <v>126</v>
      </c>
      <c r="AA339" s="17" t="s">
        <v>126</v>
      </c>
      <c r="AB339" s="17" t="s">
        <v>126</v>
      </c>
      <c r="AC339" s="17" t="s">
        <v>126</v>
      </c>
      <c r="AD339" s="17" t="s">
        <v>126</v>
      </c>
      <c r="AE339" s="17" t="s">
        <v>126</v>
      </c>
      <c r="AF339" s="17" t="s">
        <v>126</v>
      </c>
      <c r="AG339" s="17" t="s">
        <v>126</v>
      </c>
      <c r="AH339" s="17" t="s">
        <v>126</v>
      </c>
      <c r="AI339" s="5" t="e">
        <f t="shared" si="31"/>
        <v>#VALUE!</v>
      </c>
      <c r="AJ339" s="5" t="e">
        <f t="shared" si="32"/>
        <v>#VALUE!</v>
      </c>
      <c r="AK339" s="5" t="e">
        <f t="shared" si="33"/>
        <v>#VALUE!</v>
      </c>
      <c r="AL339" s="5" t="e">
        <f t="shared" si="34"/>
        <v>#VALUE!</v>
      </c>
      <c r="AM339" s="5" t="e">
        <f t="shared" si="35"/>
        <v>#VALUE!</v>
      </c>
    </row>
    <row r="340" spans="1:39" ht="15" customHeight="1" thickBot="1" x14ac:dyDescent="0.35">
      <c r="A340">
        <f t="shared" si="30"/>
        <v>0</v>
      </c>
      <c r="B340" s="18">
        <v>481</v>
      </c>
      <c r="C340" s="11" t="s">
        <v>380</v>
      </c>
      <c r="D340" s="19" t="s">
        <v>126</v>
      </c>
      <c r="E340" s="19" t="s">
        <v>126</v>
      </c>
      <c r="F340" s="19" t="s">
        <v>126</v>
      </c>
      <c r="G340" s="19" t="s">
        <v>126</v>
      </c>
      <c r="H340" s="19" t="s">
        <v>126</v>
      </c>
      <c r="I340" s="19" t="s">
        <v>126</v>
      </c>
      <c r="J340" s="19" t="s">
        <v>126</v>
      </c>
      <c r="K340" s="19" t="s">
        <v>126</v>
      </c>
      <c r="L340" s="19" t="s">
        <v>126</v>
      </c>
      <c r="M340" s="19" t="s">
        <v>126</v>
      </c>
      <c r="N340" s="19" t="s">
        <v>126</v>
      </c>
      <c r="O340" s="19" t="s">
        <v>126</v>
      </c>
      <c r="P340" s="19" t="s">
        <v>126</v>
      </c>
      <c r="Q340" s="18">
        <v>481</v>
      </c>
      <c r="R340" s="11" t="s">
        <v>380</v>
      </c>
      <c r="S340" s="19" t="s">
        <v>126</v>
      </c>
      <c r="T340" s="19" t="s">
        <v>126</v>
      </c>
      <c r="U340" s="19" t="s">
        <v>126</v>
      </c>
      <c r="V340" s="19" t="s">
        <v>126</v>
      </c>
      <c r="W340" s="19" t="s">
        <v>126</v>
      </c>
      <c r="X340" s="19" t="s">
        <v>126</v>
      </c>
      <c r="Y340" s="19" t="s">
        <v>126</v>
      </c>
      <c r="Z340" s="19" t="s">
        <v>126</v>
      </c>
      <c r="AA340" s="19" t="s">
        <v>126</v>
      </c>
      <c r="AB340" s="19" t="s">
        <v>126</v>
      </c>
      <c r="AC340" s="19" t="s">
        <v>126</v>
      </c>
      <c r="AD340" s="19" t="s">
        <v>126</v>
      </c>
      <c r="AE340" s="19" t="s">
        <v>126</v>
      </c>
      <c r="AF340" s="19" t="s">
        <v>126</v>
      </c>
      <c r="AG340" s="19" t="s">
        <v>126</v>
      </c>
      <c r="AH340" s="19" t="s">
        <v>126</v>
      </c>
      <c r="AI340" s="5" t="e">
        <f t="shared" si="31"/>
        <v>#VALUE!</v>
      </c>
      <c r="AJ340" s="5" t="e">
        <f t="shared" si="32"/>
        <v>#VALUE!</v>
      </c>
      <c r="AK340" s="5" t="e">
        <f t="shared" si="33"/>
        <v>#VALUE!</v>
      </c>
      <c r="AL340" s="5" t="e">
        <f t="shared" si="34"/>
        <v>#VALUE!</v>
      </c>
      <c r="AM340" s="5" t="e">
        <f t="shared" si="35"/>
        <v>#VALUE!</v>
      </c>
    </row>
    <row r="341" spans="1:39" ht="15" customHeight="1" thickBot="1" x14ac:dyDescent="0.35">
      <c r="A341">
        <f t="shared" si="30"/>
        <v>0</v>
      </c>
      <c r="B341" s="16">
        <v>482</v>
      </c>
      <c r="C341" s="10" t="s">
        <v>381</v>
      </c>
      <c r="D341" s="17" t="s">
        <v>126</v>
      </c>
      <c r="E341" s="17" t="s">
        <v>126</v>
      </c>
      <c r="F341" s="17" t="s">
        <v>126</v>
      </c>
      <c r="G341" s="17" t="s">
        <v>126</v>
      </c>
      <c r="H341" s="17" t="s">
        <v>126</v>
      </c>
      <c r="I341" s="17" t="s">
        <v>126</v>
      </c>
      <c r="J341" s="17" t="s">
        <v>126</v>
      </c>
      <c r="K341" s="17" t="s">
        <v>126</v>
      </c>
      <c r="L341" s="17" t="s">
        <v>126</v>
      </c>
      <c r="M341" s="17" t="s">
        <v>126</v>
      </c>
      <c r="N341" s="17" t="s">
        <v>126</v>
      </c>
      <c r="O341" s="17" t="s">
        <v>126</v>
      </c>
      <c r="P341" s="17" t="s">
        <v>126</v>
      </c>
      <c r="Q341" s="16">
        <v>482</v>
      </c>
      <c r="R341" s="10" t="s">
        <v>381</v>
      </c>
      <c r="S341" s="17" t="s">
        <v>126</v>
      </c>
      <c r="T341" s="17" t="s">
        <v>126</v>
      </c>
      <c r="U341" s="17" t="s">
        <v>126</v>
      </c>
      <c r="V341" s="17" t="s">
        <v>126</v>
      </c>
      <c r="W341" s="17" t="s">
        <v>126</v>
      </c>
      <c r="X341" s="17" t="s">
        <v>126</v>
      </c>
      <c r="Y341" s="17" t="s">
        <v>126</v>
      </c>
      <c r="Z341" s="17" t="s">
        <v>126</v>
      </c>
      <c r="AA341" s="17" t="s">
        <v>126</v>
      </c>
      <c r="AB341" s="17" t="s">
        <v>126</v>
      </c>
      <c r="AC341" s="17" t="s">
        <v>126</v>
      </c>
      <c r="AD341" s="17" t="s">
        <v>126</v>
      </c>
      <c r="AE341" s="17" t="s">
        <v>126</v>
      </c>
      <c r="AF341" s="17" t="s">
        <v>126</v>
      </c>
      <c r="AG341" s="17" t="s">
        <v>126</v>
      </c>
      <c r="AH341" s="17" t="s">
        <v>126</v>
      </c>
      <c r="AI341" s="5" t="e">
        <f t="shared" si="31"/>
        <v>#VALUE!</v>
      </c>
      <c r="AJ341" s="5" t="e">
        <f t="shared" si="32"/>
        <v>#VALUE!</v>
      </c>
      <c r="AK341" s="5" t="e">
        <f t="shared" si="33"/>
        <v>#VALUE!</v>
      </c>
      <c r="AL341" s="5" t="e">
        <f t="shared" si="34"/>
        <v>#VALUE!</v>
      </c>
      <c r="AM341" s="5" t="e">
        <f t="shared" si="35"/>
        <v>#VALUE!</v>
      </c>
    </row>
    <row r="342" spans="1:39" ht="15" customHeight="1" thickBot="1" x14ac:dyDescent="0.35">
      <c r="A342">
        <f t="shared" si="30"/>
        <v>0</v>
      </c>
      <c r="B342" s="18">
        <v>483</v>
      </c>
      <c r="C342" s="11" t="s">
        <v>382</v>
      </c>
      <c r="D342" s="19" t="s">
        <v>126</v>
      </c>
      <c r="E342" s="19" t="s">
        <v>126</v>
      </c>
      <c r="F342" s="19" t="s">
        <v>126</v>
      </c>
      <c r="G342" s="19" t="s">
        <v>126</v>
      </c>
      <c r="H342" s="19" t="s">
        <v>126</v>
      </c>
      <c r="I342" s="19" t="s">
        <v>126</v>
      </c>
      <c r="J342" s="19" t="s">
        <v>126</v>
      </c>
      <c r="K342" s="19" t="s">
        <v>126</v>
      </c>
      <c r="L342" s="19" t="s">
        <v>126</v>
      </c>
      <c r="M342" s="19" t="s">
        <v>126</v>
      </c>
      <c r="N342" s="19" t="s">
        <v>126</v>
      </c>
      <c r="O342" s="19" t="s">
        <v>126</v>
      </c>
      <c r="P342" s="19" t="s">
        <v>126</v>
      </c>
      <c r="Q342" s="18">
        <v>483</v>
      </c>
      <c r="R342" s="11" t="s">
        <v>382</v>
      </c>
      <c r="S342" s="19" t="s">
        <v>126</v>
      </c>
      <c r="T342" s="19" t="s">
        <v>126</v>
      </c>
      <c r="U342" s="19" t="s">
        <v>126</v>
      </c>
      <c r="V342" s="19" t="s">
        <v>126</v>
      </c>
      <c r="W342" s="19" t="s">
        <v>126</v>
      </c>
      <c r="X342" s="19" t="s">
        <v>126</v>
      </c>
      <c r="Y342" s="19" t="s">
        <v>126</v>
      </c>
      <c r="Z342" s="19" t="s">
        <v>126</v>
      </c>
      <c r="AA342" s="19" t="s">
        <v>126</v>
      </c>
      <c r="AB342" s="19" t="s">
        <v>126</v>
      </c>
      <c r="AC342" s="19" t="s">
        <v>126</v>
      </c>
      <c r="AD342" s="19" t="s">
        <v>126</v>
      </c>
      <c r="AE342" s="19" t="s">
        <v>126</v>
      </c>
      <c r="AF342" s="19" t="s">
        <v>126</v>
      </c>
      <c r="AG342" s="19" t="s">
        <v>126</v>
      </c>
      <c r="AH342" s="19" t="s">
        <v>126</v>
      </c>
      <c r="AI342" s="5" t="e">
        <f t="shared" si="31"/>
        <v>#VALUE!</v>
      </c>
      <c r="AJ342" s="5" t="e">
        <f t="shared" si="32"/>
        <v>#VALUE!</v>
      </c>
      <c r="AK342" s="5" t="e">
        <f t="shared" si="33"/>
        <v>#VALUE!</v>
      </c>
      <c r="AL342" s="5" t="e">
        <f t="shared" si="34"/>
        <v>#VALUE!</v>
      </c>
      <c r="AM342" s="5" t="e">
        <f t="shared" si="35"/>
        <v>#VALUE!</v>
      </c>
    </row>
    <row r="343" spans="1:39" ht="15" customHeight="1" thickBot="1" x14ac:dyDescent="0.35">
      <c r="A343">
        <f t="shared" si="30"/>
        <v>0</v>
      </c>
      <c r="B343" s="16">
        <v>484</v>
      </c>
      <c r="C343" s="10" t="s">
        <v>383</v>
      </c>
      <c r="D343" s="17" t="s">
        <v>126</v>
      </c>
      <c r="E343" s="17" t="s">
        <v>126</v>
      </c>
      <c r="F343" s="17" t="s">
        <v>126</v>
      </c>
      <c r="G343" s="17" t="s">
        <v>126</v>
      </c>
      <c r="H343" s="17" t="s">
        <v>126</v>
      </c>
      <c r="I343" s="17" t="s">
        <v>126</v>
      </c>
      <c r="J343" s="17" t="s">
        <v>126</v>
      </c>
      <c r="K343" s="17" t="s">
        <v>126</v>
      </c>
      <c r="L343" s="17" t="s">
        <v>126</v>
      </c>
      <c r="M343" s="17" t="s">
        <v>126</v>
      </c>
      <c r="N343" s="17" t="s">
        <v>126</v>
      </c>
      <c r="O343" s="17" t="s">
        <v>126</v>
      </c>
      <c r="P343" s="17" t="s">
        <v>126</v>
      </c>
      <c r="Q343" s="16">
        <v>484</v>
      </c>
      <c r="R343" s="10" t="s">
        <v>383</v>
      </c>
      <c r="S343" s="17" t="s">
        <v>126</v>
      </c>
      <c r="T343" s="17" t="s">
        <v>126</v>
      </c>
      <c r="U343" s="17" t="s">
        <v>126</v>
      </c>
      <c r="V343" s="17" t="s">
        <v>126</v>
      </c>
      <c r="W343" s="17" t="s">
        <v>126</v>
      </c>
      <c r="X343" s="17" t="s">
        <v>126</v>
      </c>
      <c r="Y343" s="17" t="s">
        <v>126</v>
      </c>
      <c r="Z343" s="17" t="s">
        <v>126</v>
      </c>
      <c r="AA343" s="17" t="s">
        <v>126</v>
      </c>
      <c r="AB343" s="17" t="s">
        <v>126</v>
      </c>
      <c r="AC343" s="17" t="s">
        <v>126</v>
      </c>
      <c r="AD343" s="17" t="s">
        <v>126</v>
      </c>
      <c r="AE343" s="17" t="s">
        <v>126</v>
      </c>
      <c r="AF343" s="17" t="s">
        <v>126</v>
      </c>
      <c r="AG343" s="17" t="s">
        <v>126</v>
      </c>
      <c r="AH343" s="17" t="s">
        <v>126</v>
      </c>
      <c r="AI343" s="5" t="e">
        <f t="shared" si="31"/>
        <v>#VALUE!</v>
      </c>
      <c r="AJ343" s="5" t="e">
        <f t="shared" si="32"/>
        <v>#VALUE!</v>
      </c>
      <c r="AK343" s="5" t="e">
        <f t="shared" si="33"/>
        <v>#VALUE!</v>
      </c>
      <c r="AL343" s="5" t="e">
        <f t="shared" si="34"/>
        <v>#VALUE!</v>
      </c>
      <c r="AM343" s="5" t="e">
        <f t="shared" si="35"/>
        <v>#VALUE!</v>
      </c>
    </row>
    <row r="344" spans="1:39" ht="15" customHeight="1" thickBot="1" x14ac:dyDescent="0.35">
      <c r="A344">
        <f t="shared" si="30"/>
        <v>0</v>
      </c>
      <c r="B344" s="18">
        <v>485</v>
      </c>
      <c r="C344" s="11" t="s">
        <v>384</v>
      </c>
      <c r="D344" s="19" t="s">
        <v>126</v>
      </c>
      <c r="E344" s="19" t="s">
        <v>126</v>
      </c>
      <c r="F344" s="19" t="s">
        <v>126</v>
      </c>
      <c r="G344" s="19" t="s">
        <v>126</v>
      </c>
      <c r="H344" s="19" t="s">
        <v>126</v>
      </c>
      <c r="I344" s="19" t="s">
        <v>126</v>
      </c>
      <c r="J344" s="19" t="s">
        <v>126</v>
      </c>
      <c r="K344" s="19" t="s">
        <v>126</v>
      </c>
      <c r="L344" s="19" t="s">
        <v>126</v>
      </c>
      <c r="M344" s="19" t="s">
        <v>126</v>
      </c>
      <c r="N344" s="19" t="s">
        <v>126</v>
      </c>
      <c r="O344" s="19" t="s">
        <v>126</v>
      </c>
      <c r="P344" s="19" t="s">
        <v>126</v>
      </c>
      <c r="Q344" s="18">
        <v>485</v>
      </c>
      <c r="R344" s="11" t="s">
        <v>384</v>
      </c>
      <c r="S344" s="19" t="s">
        <v>126</v>
      </c>
      <c r="T344" s="19" t="s">
        <v>126</v>
      </c>
      <c r="U344" s="19" t="s">
        <v>126</v>
      </c>
      <c r="V344" s="19" t="s">
        <v>126</v>
      </c>
      <c r="W344" s="19" t="s">
        <v>126</v>
      </c>
      <c r="X344" s="19" t="s">
        <v>126</v>
      </c>
      <c r="Y344" s="19" t="s">
        <v>126</v>
      </c>
      <c r="Z344" s="19" t="s">
        <v>126</v>
      </c>
      <c r="AA344" s="19" t="s">
        <v>126</v>
      </c>
      <c r="AB344" s="19" t="s">
        <v>126</v>
      </c>
      <c r="AC344" s="19" t="s">
        <v>126</v>
      </c>
      <c r="AD344" s="19" t="s">
        <v>126</v>
      </c>
      <c r="AE344" s="19" t="s">
        <v>126</v>
      </c>
      <c r="AF344" s="19" t="s">
        <v>126</v>
      </c>
      <c r="AG344" s="19" t="s">
        <v>126</v>
      </c>
      <c r="AH344" s="19" t="s">
        <v>126</v>
      </c>
      <c r="AI344" s="5" t="e">
        <f t="shared" si="31"/>
        <v>#VALUE!</v>
      </c>
      <c r="AJ344" s="5" t="e">
        <f t="shared" si="32"/>
        <v>#VALUE!</v>
      </c>
      <c r="AK344" s="5" t="e">
        <f t="shared" si="33"/>
        <v>#VALUE!</v>
      </c>
      <c r="AL344" s="5" t="e">
        <f t="shared" si="34"/>
        <v>#VALUE!</v>
      </c>
      <c r="AM344" s="5" t="e">
        <f t="shared" si="35"/>
        <v>#VALUE!</v>
      </c>
    </row>
    <row r="345" spans="1:39" ht="15" customHeight="1" thickBot="1" x14ac:dyDescent="0.35">
      <c r="A345">
        <f t="shared" si="30"/>
        <v>0</v>
      </c>
      <c r="B345" s="16">
        <v>486</v>
      </c>
      <c r="C345" s="10" t="s">
        <v>385</v>
      </c>
      <c r="D345" s="17" t="s">
        <v>126</v>
      </c>
      <c r="E345" s="17" t="s">
        <v>126</v>
      </c>
      <c r="F345" s="17" t="s">
        <v>126</v>
      </c>
      <c r="G345" s="17" t="s">
        <v>126</v>
      </c>
      <c r="H345" s="17" t="s">
        <v>126</v>
      </c>
      <c r="I345" s="17" t="s">
        <v>126</v>
      </c>
      <c r="J345" s="17" t="s">
        <v>126</v>
      </c>
      <c r="K345" s="17" t="s">
        <v>126</v>
      </c>
      <c r="L345" s="17" t="s">
        <v>126</v>
      </c>
      <c r="M345" s="17" t="s">
        <v>126</v>
      </c>
      <c r="N345" s="17" t="s">
        <v>126</v>
      </c>
      <c r="O345" s="17" t="s">
        <v>126</v>
      </c>
      <c r="P345" s="17" t="s">
        <v>126</v>
      </c>
      <c r="Q345" s="16">
        <v>486</v>
      </c>
      <c r="R345" s="10" t="s">
        <v>385</v>
      </c>
      <c r="S345" s="17" t="s">
        <v>126</v>
      </c>
      <c r="T345" s="17" t="s">
        <v>126</v>
      </c>
      <c r="U345" s="17" t="s">
        <v>126</v>
      </c>
      <c r="V345" s="17" t="s">
        <v>126</v>
      </c>
      <c r="W345" s="17" t="s">
        <v>126</v>
      </c>
      <c r="X345" s="17" t="s">
        <v>126</v>
      </c>
      <c r="Y345" s="17" t="s">
        <v>126</v>
      </c>
      <c r="Z345" s="17" t="s">
        <v>126</v>
      </c>
      <c r="AA345" s="17" t="s">
        <v>126</v>
      </c>
      <c r="AB345" s="17" t="s">
        <v>126</v>
      </c>
      <c r="AC345" s="17" t="s">
        <v>126</v>
      </c>
      <c r="AD345" s="17" t="s">
        <v>126</v>
      </c>
      <c r="AE345" s="17" t="s">
        <v>126</v>
      </c>
      <c r="AF345" s="17" t="s">
        <v>126</v>
      </c>
      <c r="AG345" s="17" t="s">
        <v>126</v>
      </c>
      <c r="AH345" s="17" t="s">
        <v>126</v>
      </c>
      <c r="AI345" s="5" t="e">
        <f t="shared" si="31"/>
        <v>#VALUE!</v>
      </c>
      <c r="AJ345" s="5" t="e">
        <f t="shared" si="32"/>
        <v>#VALUE!</v>
      </c>
      <c r="AK345" s="5" t="e">
        <f t="shared" si="33"/>
        <v>#VALUE!</v>
      </c>
      <c r="AL345" s="5" t="e">
        <f t="shared" si="34"/>
        <v>#VALUE!</v>
      </c>
      <c r="AM345" s="5" t="e">
        <f t="shared" si="35"/>
        <v>#VALUE!</v>
      </c>
    </row>
    <row r="346" spans="1:39" ht="15" customHeight="1" thickBot="1" x14ac:dyDescent="0.35">
      <c r="A346">
        <f t="shared" si="30"/>
        <v>0</v>
      </c>
      <c r="B346" s="18">
        <v>487</v>
      </c>
      <c r="C346" s="11" t="s">
        <v>386</v>
      </c>
      <c r="D346" s="19" t="s">
        <v>126</v>
      </c>
      <c r="E346" s="19" t="s">
        <v>126</v>
      </c>
      <c r="F346" s="19" t="s">
        <v>126</v>
      </c>
      <c r="G346" s="19" t="s">
        <v>126</v>
      </c>
      <c r="H346" s="19" t="s">
        <v>126</v>
      </c>
      <c r="I346" s="19" t="s">
        <v>126</v>
      </c>
      <c r="J346" s="19" t="s">
        <v>126</v>
      </c>
      <c r="K346" s="19" t="s">
        <v>126</v>
      </c>
      <c r="L346" s="19" t="s">
        <v>126</v>
      </c>
      <c r="M346" s="19" t="s">
        <v>126</v>
      </c>
      <c r="N346" s="19" t="s">
        <v>126</v>
      </c>
      <c r="O346" s="19" t="s">
        <v>126</v>
      </c>
      <c r="P346" s="19" t="s">
        <v>126</v>
      </c>
      <c r="Q346" s="18">
        <v>487</v>
      </c>
      <c r="R346" s="11" t="s">
        <v>386</v>
      </c>
      <c r="S346" s="19" t="s">
        <v>126</v>
      </c>
      <c r="T346" s="19" t="s">
        <v>126</v>
      </c>
      <c r="U346" s="19" t="s">
        <v>126</v>
      </c>
      <c r="V346" s="19" t="s">
        <v>126</v>
      </c>
      <c r="W346" s="19" t="s">
        <v>126</v>
      </c>
      <c r="X346" s="19" t="s">
        <v>126</v>
      </c>
      <c r="Y346" s="19" t="s">
        <v>126</v>
      </c>
      <c r="Z346" s="19" t="s">
        <v>126</v>
      </c>
      <c r="AA346" s="19" t="s">
        <v>126</v>
      </c>
      <c r="AB346" s="19" t="s">
        <v>126</v>
      </c>
      <c r="AC346" s="19" t="s">
        <v>126</v>
      </c>
      <c r="AD346" s="19" t="s">
        <v>126</v>
      </c>
      <c r="AE346" s="19" t="s">
        <v>126</v>
      </c>
      <c r="AF346" s="19" t="s">
        <v>126</v>
      </c>
      <c r="AG346" s="19" t="s">
        <v>126</v>
      </c>
      <c r="AH346" s="19" t="s">
        <v>126</v>
      </c>
      <c r="AI346" s="5" t="e">
        <f t="shared" si="31"/>
        <v>#VALUE!</v>
      </c>
      <c r="AJ346" s="5" t="e">
        <f t="shared" si="32"/>
        <v>#VALUE!</v>
      </c>
      <c r="AK346" s="5" t="e">
        <f t="shared" si="33"/>
        <v>#VALUE!</v>
      </c>
      <c r="AL346" s="5" t="e">
        <f t="shared" si="34"/>
        <v>#VALUE!</v>
      </c>
      <c r="AM346" s="5" t="e">
        <f t="shared" si="35"/>
        <v>#VALUE!</v>
      </c>
    </row>
    <row r="347" spans="1:39" ht="15" customHeight="1" thickBot="1" x14ac:dyDescent="0.35">
      <c r="A347">
        <f t="shared" si="30"/>
        <v>0</v>
      </c>
      <c r="B347" s="16">
        <v>488</v>
      </c>
      <c r="C347" s="10" t="s">
        <v>387</v>
      </c>
      <c r="D347" s="17" t="s">
        <v>126</v>
      </c>
      <c r="E347" s="17" t="s">
        <v>126</v>
      </c>
      <c r="F347" s="17" t="s">
        <v>126</v>
      </c>
      <c r="G347" s="17" t="s">
        <v>126</v>
      </c>
      <c r="H347" s="17" t="s">
        <v>126</v>
      </c>
      <c r="I347" s="17" t="s">
        <v>126</v>
      </c>
      <c r="J347" s="17" t="s">
        <v>126</v>
      </c>
      <c r="K347" s="17" t="s">
        <v>126</v>
      </c>
      <c r="L347" s="17" t="s">
        <v>126</v>
      </c>
      <c r="M347" s="17" t="s">
        <v>126</v>
      </c>
      <c r="N347" s="17" t="s">
        <v>126</v>
      </c>
      <c r="O347" s="17" t="s">
        <v>126</v>
      </c>
      <c r="P347" s="17" t="s">
        <v>126</v>
      </c>
      <c r="Q347" s="16">
        <v>488</v>
      </c>
      <c r="R347" s="10" t="s">
        <v>387</v>
      </c>
      <c r="S347" s="17" t="s">
        <v>126</v>
      </c>
      <c r="T347" s="17" t="s">
        <v>126</v>
      </c>
      <c r="U347" s="17" t="s">
        <v>126</v>
      </c>
      <c r="V347" s="17" t="s">
        <v>126</v>
      </c>
      <c r="W347" s="17" t="s">
        <v>126</v>
      </c>
      <c r="X347" s="17" t="s">
        <v>126</v>
      </c>
      <c r="Y347" s="17" t="s">
        <v>126</v>
      </c>
      <c r="Z347" s="17" t="s">
        <v>126</v>
      </c>
      <c r="AA347" s="17" t="s">
        <v>126</v>
      </c>
      <c r="AB347" s="17" t="s">
        <v>126</v>
      </c>
      <c r="AC347" s="17" t="s">
        <v>126</v>
      </c>
      <c r="AD347" s="17" t="s">
        <v>126</v>
      </c>
      <c r="AE347" s="17" t="s">
        <v>126</v>
      </c>
      <c r="AF347" s="17" t="s">
        <v>126</v>
      </c>
      <c r="AG347" s="17" t="s">
        <v>126</v>
      </c>
      <c r="AH347" s="17" t="s">
        <v>126</v>
      </c>
      <c r="AI347" s="5" t="e">
        <f t="shared" si="31"/>
        <v>#VALUE!</v>
      </c>
      <c r="AJ347" s="5" t="e">
        <f t="shared" si="32"/>
        <v>#VALUE!</v>
      </c>
      <c r="AK347" s="5" t="e">
        <f t="shared" si="33"/>
        <v>#VALUE!</v>
      </c>
      <c r="AL347" s="5" t="e">
        <f t="shared" si="34"/>
        <v>#VALUE!</v>
      </c>
      <c r="AM347" s="5" t="e">
        <f t="shared" si="35"/>
        <v>#VALUE!</v>
      </c>
    </row>
    <row r="348" spans="1:39" ht="15" customHeight="1" thickBot="1" x14ac:dyDescent="0.35">
      <c r="A348">
        <f t="shared" si="30"/>
        <v>0</v>
      </c>
      <c r="B348" s="18">
        <v>489</v>
      </c>
      <c r="C348" s="11" t="s">
        <v>388</v>
      </c>
      <c r="D348" s="19" t="s">
        <v>126</v>
      </c>
      <c r="E348" s="19" t="s">
        <v>126</v>
      </c>
      <c r="F348" s="19" t="s">
        <v>126</v>
      </c>
      <c r="G348" s="19" t="s">
        <v>126</v>
      </c>
      <c r="H348" s="19" t="s">
        <v>126</v>
      </c>
      <c r="I348" s="19" t="s">
        <v>126</v>
      </c>
      <c r="J348" s="19" t="s">
        <v>126</v>
      </c>
      <c r="K348" s="19" t="s">
        <v>126</v>
      </c>
      <c r="L348" s="19" t="s">
        <v>126</v>
      </c>
      <c r="M348" s="19" t="s">
        <v>126</v>
      </c>
      <c r="N348" s="19" t="s">
        <v>126</v>
      </c>
      <c r="O348" s="19" t="s">
        <v>126</v>
      </c>
      <c r="P348" s="19" t="s">
        <v>126</v>
      </c>
      <c r="Q348" s="18">
        <v>489</v>
      </c>
      <c r="R348" s="11" t="s">
        <v>388</v>
      </c>
      <c r="S348" s="19" t="s">
        <v>126</v>
      </c>
      <c r="T348" s="19" t="s">
        <v>126</v>
      </c>
      <c r="U348" s="19" t="s">
        <v>126</v>
      </c>
      <c r="V348" s="19" t="s">
        <v>126</v>
      </c>
      <c r="W348" s="19" t="s">
        <v>126</v>
      </c>
      <c r="X348" s="19" t="s">
        <v>126</v>
      </c>
      <c r="Y348" s="19" t="s">
        <v>126</v>
      </c>
      <c r="Z348" s="19" t="s">
        <v>126</v>
      </c>
      <c r="AA348" s="19" t="s">
        <v>126</v>
      </c>
      <c r="AB348" s="19" t="s">
        <v>126</v>
      </c>
      <c r="AC348" s="19" t="s">
        <v>126</v>
      </c>
      <c r="AD348" s="19" t="s">
        <v>126</v>
      </c>
      <c r="AE348" s="19" t="s">
        <v>126</v>
      </c>
      <c r="AF348" s="19" t="s">
        <v>126</v>
      </c>
      <c r="AG348" s="19" t="s">
        <v>126</v>
      </c>
      <c r="AH348" s="19" t="s">
        <v>126</v>
      </c>
      <c r="AI348" s="5" t="e">
        <f t="shared" si="31"/>
        <v>#VALUE!</v>
      </c>
      <c r="AJ348" s="5" t="e">
        <f t="shared" si="32"/>
        <v>#VALUE!</v>
      </c>
      <c r="AK348" s="5" t="e">
        <f t="shared" si="33"/>
        <v>#VALUE!</v>
      </c>
      <c r="AL348" s="5" t="e">
        <f t="shared" si="34"/>
        <v>#VALUE!</v>
      </c>
      <c r="AM348" s="5" t="e">
        <f t="shared" si="35"/>
        <v>#VALUE!</v>
      </c>
    </row>
    <row r="349" spans="1:39" ht="15" customHeight="1" thickBot="1" x14ac:dyDescent="0.35">
      <c r="A349">
        <f t="shared" si="30"/>
        <v>0</v>
      </c>
      <c r="B349" s="16">
        <v>490</v>
      </c>
      <c r="C349" s="10" t="s">
        <v>389</v>
      </c>
      <c r="D349" s="17" t="s">
        <v>126</v>
      </c>
      <c r="E349" s="17" t="s">
        <v>126</v>
      </c>
      <c r="F349" s="17" t="s">
        <v>126</v>
      </c>
      <c r="G349" s="17" t="s">
        <v>126</v>
      </c>
      <c r="H349" s="17" t="s">
        <v>126</v>
      </c>
      <c r="I349" s="17" t="s">
        <v>126</v>
      </c>
      <c r="J349" s="17" t="s">
        <v>126</v>
      </c>
      <c r="K349" s="17" t="s">
        <v>126</v>
      </c>
      <c r="L349" s="17" t="s">
        <v>126</v>
      </c>
      <c r="M349" s="17" t="s">
        <v>126</v>
      </c>
      <c r="N349" s="17" t="s">
        <v>126</v>
      </c>
      <c r="O349" s="17" t="s">
        <v>126</v>
      </c>
      <c r="P349" s="17" t="s">
        <v>126</v>
      </c>
      <c r="Q349" s="16">
        <v>490</v>
      </c>
      <c r="R349" s="10" t="s">
        <v>389</v>
      </c>
      <c r="S349" s="17" t="s">
        <v>126</v>
      </c>
      <c r="T349" s="17" t="s">
        <v>126</v>
      </c>
      <c r="U349" s="17" t="s">
        <v>126</v>
      </c>
      <c r="V349" s="17" t="s">
        <v>126</v>
      </c>
      <c r="W349" s="17" t="s">
        <v>126</v>
      </c>
      <c r="X349" s="17" t="s">
        <v>126</v>
      </c>
      <c r="Y349" s="17" t="s">
        <v>126</v>
      </c>
      <c r="Z349" s="17" t="s">
        <v>126</v>
      </c>
      <c r="AA349" s="17" t="s">
        <v>126</v>
      </c>
      <c r="AB349" s="17" t="s">
        <v>126</v>
      </c>
      <c r="AC349" s="17" t="s">
        <v>126</v>
      </c>
      <c r="AD349" s="17" t="s">
        <v>126</v>
      </c>
      <c r="AE349" s="17" t="s">
        <v>126</v>
      </c>
      <c r="AF349" s="17" t="s">
        <v>126</v>
      </c>
      <c r="AG349" s="17" t="s">
        <v>126</v>
      </c>
      <c r="AH349" s="17" t="s">
        <v>126</v>
      </c>
      <c r="AI349" s="5" t="e">
        <f t="shared" si="31"/>
        <v>#VALUE!</v>
      </c>
      <c r="AJ349" s="5" t="e">
        <f t="shared" si="32"/>
        <v>#VALUE!</v>
      </c>
      <c r="AK349" s="5" t="e">
        <f t="shared" si="33"/>
        <v>#VALUE!</v>
      </c>
      <c r="AL349" s="5" t="e">
        <f t="shared" si="34"/>
        <v>#VALUE!</v>
      </c>
      <c r="AM349" s="5" t="e">
        <f t="shared" si="35"/>
        <v>#VALUE!</v>
      </c>
    </row>
    <row r="350" spans="1:39" ht="15" customHeight="1" thickBot="1" x14ac:dyDescent="0.35">
      <c r="A350">
        <f t="shared" si="30"/>
        <v>0</v>
      </c>
      <c r="B350" s="18">
        <v>491</v>
      </c>
      <c r="C350" s="11" t="s">
        <v>390</v>
      </c>
      <c r="D350" s="19" t="s">
        <v>126</v>
      </c>
      <c r="E350" s="19" t="s">
        <v>126</v>
      </c>
      <c r="F350" s="19" t="s">
        <v>126</v>
      </c>
      <c r="G350" s="19" t="s">
        <v>126</v>
      </c>
      <c r="H350" s="19" t="s">
        <v>126</v>
      </c>
      <c r="I350" s="19" t="s">
        <v>126</v>
      </c>
      <c r="J350" s="19" t="s">
        <v>126</v>
      </c>
      <c r="K350" s="19" t="s">
        <v>126</v>
      </c>
      <c r="L350" s="19" t="s">
        <v>126</v>
      </c>
      <c r="M350" s="19" t="s">
        <v>126</v>
      </c>
      <c r="N350" s="19" t="s">
        <v>126</v>
      </c>
      <c r="O350" s="19" t="s">
        <v>126</v>
      </c>
      <c r="P350" s="19" t="s">
        <v>126</v>
      </c>
      <c r="Q350" s="18">
        <v>491</v>
      </c>
      <c r="R350" s="11" t="s">
        <v>390</v>
      </c>
      <c r="S350" s="19" t="s">
        <v>126</v>
      </c>
      <c r="T350" s="19" t="s">
        <v>126</v>
      </c>
      <c r="U350" s="19" t="s">
        <v>126</v>
      </c>
      <c r="V350" s="19" t="s">
        <v>126</v>
      </c>
      <c r="W350" s="19" t="s">
        <v>126</v>
      </c>
      <c r="X350" s="19" t="s">
        <v>126</v>
      </c>
      <c r="Y350" s="19" t="s">
        <v>126</v>
      </c>
      <c r="Z350" s="19" t="s">
        <v>126</v>
      </c>
      <c r="AA350" s="19" t="s">
        <v>126</v>
      </c>
      <c r="AB350" s="19" t="s">
        <v>126</v>
      </c>
      <c r="AC350" s="19" t="s">
        <v>126</v>
      </c>
      <c r="AD350" s="19" t="s">
        <v>126</v>
      </c>
      <c r="AE350" s="19" t="s">
        <v>126</v>
      </c>
      <c r="AF350" s="19" t="s">
        <v>126</v>
      </c>
      <c r="AG350" s="19" t="s">
        <v>126</v>
      </c>
      <c r="AH350" s="19" t="s">
        <v>126</v>
      </c>
      <c r="AI350" s="5" t="e">
        <f t="shared" si="31"/>
        <v>#VALUE!</v>
      </c>
      <c r="AJ350" s="5" t="e">
        <f t="shared" si="32"/>
        <v>#VALUE!</v>
      </c>
      <c r="AK350" s="5" t="e">
        <f t="shared" si="33"/>
        <v>#VALUE!</v>
      </c>
      <c r="AL350" s="5" t="e">
        <f t="shared" si="34"/>
        <v>#VALUE!</v>
      </c>
      <c r="AM350" s="5" t="e">
        <f t="shared" si="35"/>
        <v>#VALUE!</v>
      </c>
    </row>
    <row r="351" spans="1:39" ht="15" customHeight="1" thickBot="1" x14ac:dyDescent="0.35">
      <c r="A351">
        <f t="shared" si="30"/>
        <v>0</v>
      </c>
      <c r="B351" s="16">
        <v>492</v>
      </c>
      <c r="C351" s="10" t="s">
        <v>391</v>
      </c>
      <c r="D351" s="17" t="s">
        <v>126</v>
      </c>
      <c r="E351" s="17" t="s">
        <v>126</v>
      </c>
      <c r="F351" s="17" t="s">
        <v>126</v>
      </c>
      <c r="G351" s="17" t="s">
        <v>126</v>
      </c>
      <c r="H351" s="17" t="s">
        <v>126</v>
      </c>
      <c r="I351" s="17" t="s">
        <v>126</v>
      </c>
      <c r="J351" s="17" t="s">
        <v>126</v>
      </c>
      <c r="K351" s="17" t="s">
        <v>126</v>
      </c>
      <c r="L351" s="17" t="s">
        <v>126</v>
      </c>
      <c r="M351" s="17" t="s">
        <v>126</v>
      </c>
      <c r="N351" s="17" t="s">
        <v>126</v>
      </c>
      <c r="O351" s="17" t="s">
        <v>126</v>
      </c>
      <c r="P351" s="17" t="s">
        <v>126</v>
      </c>
      <c r="Q351" s="16">
        <v>492</v>
      </c>
      <c r="R351" s="10" t="s">
        <v>391</v>
      </c>
      <c r="S351" s="17" t="s">
        <v>126</v>
      </c>
      <c r="T351" s="17" t="s">
        <v>126</v>
      </c>
      <c r="U351" s="17" t="s">
        <v>126</v>
      </c>
      <c r="V351" s="17" t="s">
        <v>126</v>
      </c>
      <c r="W351" s="17" t="s">
        <v>126</v>
      </c>
      <c r="X351" s="17" t="s">
        <v>126</v>
      </c>
      <c r="Y351" s="17" t="s">
        <v>126</v>
      </c>
      <c r="Z351" s="17" t="s">
        <v>126</v>
      </c>
      <c r="AA351" s="17" t="s">
        <v>126</v>
      </c>
      <c r="AB351" s="17" t="s">
        <v>126</v>
      </c>
      <c r="AC351" s="17" t="s">
        <v>126</v>
      </c>
      <c r="AD351" s="17" t="s">
        <v>126</v>
      </c>
      <c r="AE351" s="17" t="s">
        <v>126</v>
      </c>
      <c r="AF351" s="17" t="s">
        <v>126</v>
      </c>
      <c r="AG351" s="17" t="s">
        <v>126</v>
      </c>
      <c r="AH351" s="17" t="s">
        <v>126</v>
      </c>
      <c r="AI351" s="5" t="e">
        <f t="shared" si="31"/>
        <v>#VALUE!</v>
      </c>
      <c r="AJ351" s="5" t="e">
        <f t="shared" si="32"/>
        <v>#VALUE!</v>
      </c>
      <c r="AK351" s="5" t="e">
        <f t="shared" si="33"/>
        <v>#VALUE!</v>
      </c>
      <c r="AL351" s="5" t="e">
        <f t="shared" si="34"/>
        <v>#VALUE!</v>
      </c>
      <c r="AM351" s="5" t="e">
        <f t="shared" si="35"/>
        <v>#VALUE!</v>
      </c>
    </row>
    <row r="352" spans="1:39" ht="15" customHeight="1" thickBot="1" x14ac:dyDescent="0.35">
      <c r="A352">
        <f t="shared" si="30"/>
        <v>0</v>
      </c>
      <c r="B352" s="18">
        <v>493</v>
      </c>
      <c r="C352" s="11" t="s">
        <v>392</v>
      </c>
      <c r="D352" s="19" t="s">
        <v>126</v>
      </c>
      <c r="E352" s="19" t="s">
        <v>126</v>
      </c>
      <c r="F352" s="19" t="s">
        <v>126</v>
      </c>
      <c r="G352" s="19" t="s">
        <v>126</v>
      </c>
      <c r="H352" s="19" t="s">
        <v>126</v>
      </c>
      <c r="I352" s="19" t="s">
        <v>126</v>
      </c>
      <c r="J352" s="19" t="s">
        <v>126</v>
      </c>
      <c r="K352" s="19" t="s">
        <v>126</v>
      </c>
      <c r="L352" s="19" t="s">
        <v>126</v>
      </c>
      <c r="M352" s="19" t="s">
        <v>126</v>
      </c>
      <c r="N352" s="19" t="s">
        <v>126</v>
      </c>
      <c r="O352" s="19" t="s">
        <v>126</v>
      </c>
      <c r="P352" s="19" t="s">
        <v>126</v>
      </c>
      <c r="Q352" s="18">
        <v>493</v>
      </c>
      <c r="R352" s="11" t="s">
        <v>392</v>
      </c>
      <c r="S352" s="19" t="s">
        <v>126</v>
      </c>
      <c r="T352" s="19" t="s">
        <v>126</v>
      </c>
      <c r="U352" s="19" t="s">
        <v>126</v>
      </c>
      <c r="V352" s="19" t="s">
        <v>126</v>
      </c>
      <c r="W352" s="19" t="s">
        <v>126</v>
      </c>
      <c r="X352" s="19" t="s">
        <v>126</v>
      </c>
      <c r="Y352" s="19" t="s">
        <v>126</v>
      </c>
      <c r="Z352" s="19" t="s">
        <v>126</v>
      </c>
      <c r="AA352" s="19" t="s">
        <v>126</v>
      </c>
      <c r="AB352" s="19" t="s">
        <v>126</v>
      </c>
      <c r="AC352" s="19" t="s">
        <v>126</v>
      </c>
      <c r="AD352" s="19" t="s">
        <v>126</v>
      </c>
      <c r="AE352" s="19" t="s">
        <v>126</v>
      </c>
      <c r="AF352" s="19" t="s">
        <v>126</v>
      </c>
      <c r="AG352" s="19" t="s">
        <v>126</v>
      </c>
      <c r="AH352" s="19" t="s">
        <v>126</v>
      </c>
      <c r="AI352" s="5" t="e">
        <f t="shared" si="31"/>
        <v>#VALUE!</v>
      </c>
      <c r="AJ352" s="5" t="e">
        <f t="shared" si="32"/>
        <v>#VALUE!</v>
      </c>
      <c r="AK352" s="5" t="e">
        <f t="shared" si="33"/>
        <v>#VALUE!</v>
      </c>
      <c r="AL352" s="5" t="e">
        <f t="shared" si="34"/>
        <v>#VALUE!</v>
      </c>
      <c r="AM352" s="5" t="e">
        <f t="shared" si="35"/>
        <v>#VALUE!</v>
      </c>
    </row>
    <row r="353" spans="1:39" ht="15" customHeight="1" thickBot="1" x14ac:dyDescent="0.35">
      <c r="A353">
        <f t="shared" si="30"/>
        <v>0</v>
      </c>
      <c r="B353" s="16">
        <v>494</v>
      </c>
      <c r="C353" s="10" t="s">
        <v>393</v>
      </c>
      <c r="D353" s="17" t="s">
        <v>126</v>
      </c>
      <c r="E353" s="17" t="s">
        <v>126</v>
      </c>
      <c r="F353" s="17" t="s">
        <v>126</v>
      </c>
      <c r="G353" s="17" t="s">
        <v>126</v>
      </c>
      <c r="H353" s="17" t="s">
        <v>126</v>
      </c>
      <c r="I353" s="17" t="s">
        <v>126</v>
      </c>
      <c r="J353" s="17" t="s">
        <v>126</v>
      </c>
      <c r="K353" s="17" t="s">
        <v>126</v>
      </c>
      <c r="L353" s="17" t="s">
        <v>126</v>
      </c>
      <c r="M353" s="17" t="s">
        <v>126</v>
      </c>
      <c r="N353" s="17" t="s">
        <v>126</v>
      </c>
      <c r="O353" s="17" t="s">
        <v>126</v>
      </c>
      <c r="P353" s="17" t="s">
        <v>126</v>
      </c>
      <c r="Q353" s="16">
        <v>494</v>
      </c>
      <c r="R353" s="10" t="s">
        <v>393</v>
      </c>
      <c r="S353" s="17" t="s">
        <v>126</v>
      </c>
      <c r="T353" s="17" t="s">
        <v>126</v>
      </c>
      <c r="U353" s="17" t="s">
        <v>126</v>
      </c>
      <c r="V353" s="17" t="s">
        <v>126</v>
      </c>
      <c r="W353" s="17" t="s">
        <v>126</v>
      </c>
      <c r="X353" s="17" t="s">
        <v>126</v>
      </c>
      <c r="Y353" s="17" t="s">
        <v>126</v>
      </c>
      <c r="Z353" s="17" t="s">
        <v>126</v>
      </c>
      <c r="AA353" s="17" t="s">
        <v>126</v>
      </c>
      <c r="AB353" s="17" t="s">
        <v>126</v>
      </c>
      <c r="AC353" s="17" t="s">
        <v>126</v>
      </c>
      <c r="AD353" s="17" t="s">
        <v>126</v>
      </c>
      <c r="AE353" s="17" t="s">
        <v>126</v>
      </c>
      <c r="AF353" s="17" t="s">
        <v>126</v>
      </c>
      <c r="AG353" s="17" t="s">
        <v>126</v>
      </c>
      <c r="AH353" s="17" t="s">
        <v>126</v>
      </c>
      <c r="AI353" s="5" t="e">
        <f t="shared" si="31"/>
        <v>#VALUE!</v>
      </c>
      <c r="AJ353" s="5" t="e">
        <f t="shared" si="32"/>
        <v>#VALUE!</v>
      </c>
      <c r="AK353" s="5" t="e">
        <f t="shared" si="33"/>
        <v>#VALUE!</v>
      </c>
      <c r="AL353" s="5" t="e">
        <f t="shared" si="34"/>
        <v>#VALUE!</v>
      </c>
      <c r="AM353" s="5" t="e">
        <f t="shared" si="35"/>
        <v>#VALUE!</v>
      </c>
    </row>
    <row r="354" spans="1:39" ht="15" customHeight="1" thickBot="1" x14ac:dyDescent="0.35">
      <c r="A354">
        <f t="shared" si="30"/>
        <v>0</v>
      </c>
      <c r="B354" s="18">
        <v>495</v>
      </c>
      <c r="C354" s="11" t="s">
        <v>394</v>
      </c>
      <c r="D354" s="19" t="s">
        <v>126</v>
      </c>
      <c r="E354" s="19" t="s">
        <v>126</v>
      </c>
      <c r="F354" s="19" t="s">
        <v>126</v>
      </c>
      <c r="G354" s="19" t="s">
        <v>126</v>
      </c>
      <c r="H354" s="19" t="s">
        <v>126</v>
      </c>
      <c r="I354" s="19" t="s">
        <v>126</v>
      </c>
      <c r="J354" s="19" t="s">
        <v>126</v>
      </c>
      <c r="K354" s="19" t="s">
        <v>126</v>
      </c>
      <c r="L354" s="19" t="s">
        <v>126</v>
      </c>
      <c r="M354" s="19" t="s">
        <v>126</v>
      </c>
      <c r="N354" s="19" t="s">
        <v>126</v>
      </c>
      <c r="O354" s="19" t="s">
        <v>126</v>
      </c>
      <c r="P354" s="19" t="s">
        <v>126</v>
      </c>
      <c r="Q354" s="18">
        <v>495</v>
      </c>
      <c r="R354" s="11" t="s">
        <v>394</v>
      </c>
      <c r="S354" s="19" t="s">
        <v>126</v>
      </c>
      <c r="T354" s="19" t="s">
        <v>126</v>
      </c>
      <c r="U354" s="19" t="s">
        <v>126</v>
      </c>
      <c r="V354" s="19" t="s">
        <v>126</v>
      </c>
      <c r="W354" s="19" t="s">
        <v>126</v>
      </c>
      <c r="X354" s="19" t="s">
        <v>126</v>
      </c>
      <c r="Y354" s="19" t="s">
        <v>126</v>
      </c>
      <c r="Z354" s="19" t="s">
        <v>126</v>
      </c>
      <c r="AA354" s="19" t="s">
        <v>126</v>
      </c>
      <c r="AB354" s="19" t="s">
        <v>126</v>
      </c>
      <c r="AC354" s="19" t="s">
        <v>126</v>
      </c>
      <c r="AD354" s="19" t="s">
        <v>126</v>
      </c>
      <c r="AE354" s="19" t="s">
        <v>126</v>
      </c>
      <c r="AF354" s="19" t="s">
        <v>126</v>
      </c>
      <c r="AG354" s="19" t="s">
        <v>126</v>
      </c>
      <c r="AH354" s="19" t="s">
        <v>126</v>
      </c>
      <c r="AI354" s="5" t="e">
        <f t="shared" si="31"/>
        <v>#VALUE!</v>
      </c>
      <c r="AJ354" s="5" t="e">
        <f t="shared" si="32"/>
        <v>#VALUE!</v>
      </c>
      <c r="AK354" s="5" t="e">
        <f t="shared" si="33"/>
        <v>#VALUE!</v>
      </c>
      <c r="AL354" s="5" t="e">
        <f t="shared" si="34"/>
        <v>#VALUE!</v>
      </c>
      <c r="AM354" s="5" t="e">
        <f t="shared" si="35"/>
        <v>#VALUE!</v>
      </c>
    </row>
    <row r="355" spans="1:39" ht="15" customHeight="1" thickBot="1" x14ac:dyDescent="0.35">
      <c r="A355">
        <f t="shared" si="30"/>
        <v>0</v>
      </c>
      <c r="B355" s="16">
        <v>496</v>
      </c>
      <c r="C355" s="10" t="s">
        <v>395</v>
      </c>
      <c r="D355" s="17" t="s">
        <v>126</v>
      </c>
      <c r="E355" s="17" t="s">
        <v>126</v>
      </c>
      <c r="F355" s="17" t="s">
        <v>126</v>
      </c>
      <c r="G355" s="17" t="s">
        <v>126</v>
      </c>
      <c r="H355" s="17" t="s">
        <v>126</v>
      </c>
      <c r="I355" s="17" t="s">
        <v>126</v>
      </c>
      <c r="J355" s="17" t="s">
        <v>126</v>
      </c>
      <c r="K355" s="17" t="s">
        <v>126</v>
      </c>
      <c r="L355" s="17" t="s">
        <v>126</v>
      </c>
      <c r="M355" s="17" t="s">
        <v>126</v>
      </c>
      <c r="N355" s="17" t="s">
        <v>126</v>
      </c>
      <c r="O355" s="17" t="s">
        <v>126</v>
      </c>
      <c r="P355" s="17" t="s">
        <v>126</v>
      </c>
      <c r="Q355" s="16">
        <v>496</v>
      </c>
      <c r="R355" s="10" t="s">
        <v>395</v>
      </c>
      <c r="S355" s="17" t="s">
        <v>126</v>
      </c>
      <c r="T355" s="17" t="s">
        <v>126</v>
      </c>
      <c r="U355" s="17" t="s">
        <v>126</v>
      </c>
      <c r="V355" s="17" t="s">
        <v>126</v>
      </c>
      <c r="W355" s="17" t="s">
        <v>126</v>
      </c>
      <c r="X355" s="17" t="s">
        <v>126</v>
      </c>
      <c r="Y355" s="17" t="s">
        <v>126</v>
      </c>
      <c r="Z355" s="17" t="s">
        <v>126</v>
      </c>
      <c r="AA355" s="17" t="s">
        <v>126</v>
      </c>
      <c r="AB355" s="17" t="s">
        <v>126</v>
      </c>
      <c r="AC355" s="17" t="s">
        <v>126</v>
      </c>
      <c r="AD355" s="17" t="s">
        <v>126</v>
      </c>
      <c r="AE355" s="17" t="s">
        <v>126</v>
      </c>
      <c r="AF355" s="17" t="s">
        <v>126</v>
      </c>
      <c r="AG355" s="17" t="s">
        <v>126</v>
      </c>
      <c r="AH355" s="17" t="s">
        <v>126</v>
      </c>
      <c r="AI355" s="5" t="e">
        <f t="shared" si="31"/>
        <v>#VALUE!</v>
      </c>
      <c r="AJ355" s="5" t="e">
        <f t="shared" si="32"/>
        <v>#VALUE!</v>
      </c>
      <c r="AK355" s="5" t="e">
        <f t="shared" si="33"/>
        <v>#VALUE!</v>
      </c>
      <c r="AL355" s="5" t="e">
        <f t="shared" si="34"/>
        <v>#VALUE!</v>
      </c>
      <c r="AM355" s="5" t="e">
        <f t="shared" si="35"/>
        <v>#VALUE!</v>
      </c>
    </row>
    <row r="356" spans="1:39" ht="15" customHeight="1" thickBot="1" x14ac:dyDescent="0.35">
      <c r="A356">
        <f t="shared" si="30"/>
        <v>0</v>
      </c>
      <c r="B356" s="18">
        <v>497</v>
      </c>
      <c r="C356" s="11" t="s">
        <v>396</v>
      </c>
      <c r="D356" s="19" t="s">
        <v>126</v>
      </c>
      <c r="E356" s="19" t="s">
        <v>126</v>
      </c>
      <c r="F356" s="19" t="s">
        <v>126</v>
      </c>
      <c r="G356" s="19" t="s">
        <v>126</v>
      </c>
      <c r="H356" s="19" t="s">
        <v>126</v>
      </c>
      <c r="I356" s="19" t="s">
        <v>126</v>
      </c>
      <c r="J356" s="19" t="s">
        <v>126</v>
      </c>
      <c r="K356" s="19" t="s">
        <v>126</v>
      </c>
      <c r="L356" s="19" t="s">
        <v>126</v>
      </c>
      <c r="M356" s="19" t="s">
        <v>126</v>
      </c>
      <c r="N356" s="19" t="s">
        <v>126</v>
      </c>
      <c r="O356" s="19" t="s">
        <v>126</v>
      </c>
      <c r="P356" s="19" t="s">
        <v>126</v>
      </c>
      <c r="Q356" s="18">
        <v>497</v>
      </c>
      <c r="R356" s="11" t="s">
        <v>396</v>
      </c>
      <c r="S356" s="19" t="s">
        <v>126</v>
      </c>
      <c r="T356" s="19" t="s">
        <v>126</v>
      </c>
      <c r="U356" s="19" t="s">
        <v>126</v>
      </c>
      <c r="V356" s="19" t="s">
        <v>126</v>
      </c>
      <c r="W356" s="19" t="s">
        <v>126</v>
      </c>
      <c r="X356" s="19" t="s">
        <v>126</v>
      </c>
      <c r="Y356" s="19" t="s">
        <v>126</v>
      </c>
      <c r="Z356" s="19" t="s">
        <v>126</v>
      </c>
      <c r="AA356" s="19" t="s">
        <v>126</v>
      </c>
      <c r="AB356" s="19" t="s">
        <v>126</v>
      </c>
      <c r="AC356" s="19" t="s">
        <v>126</v>
      </c>
      <c r="AD356" s="19" t="s">
        <v>126</v>
      </c>
      <c r="AE356" s="19" t="s">
        <v>126</v>
      </c>
      <c r="AF356" s="19" t="s">
        <v>126</v>
      </c>
      <c r="AG356" s="19" t="s">
        <v>126</v>
      </c>
      <c r="AH356" s="19" t="s">
        <v>126</v>
      </c>
      <c r="AI356" s="5" t="e">
        <f t="shared" si="31"/>
        <v>#VALUE!</v>
      </c>
      <c r="AJ356" s="5" t="e">
        <f t="shared" si="32"/>
        <v>#VALUE!</v>
      </c>
      <c r="AK356" s="5" t="e">
        <f t="shared" si="33"/>
        <v>#VALUE!</v>
      </c>
      <c r="AL356" s="5" t="e">
        <f t="shared" si="34"/>
        <v>#VALUE!</v>
      </c>
      <c r="AM356" s="5" t="e">
        <f t="shared" si="35"/>
        <v>#VALUE!</v>
      </c>
    </row>
    <row r="357" spans="1:39" ht="15" customHeight="1" thickBot="1" x14ac:dyDescent="0.35">
      <c r="A357">
        <f t="shared" si="30"/>
        <v>0</v>
      </c>
      <c r="B357" s="16">
        <v>498</v>
      </c>
      <c r="C357" s="10" t="s">
        <v>397</v>
      </c>
      <c r="D357" s="17" t="s">
        <v>126</v>
      </c>
      <c r="E357" s="17" t="s">
        <v>126</v>
      </c>
      <c r="F357" s="17" t="s">
        <v>126</v>
      </c>
      <c r="G357" s="17" t="s">
        <v>126</v>
      </c>
      <c r="H357" s="17" t="s">
        <v>126</v>
      </c>
      <c r="I357" s="17" t="s">
        <v>126</v>
      </c>
      <c r="J357" s="17" t="s">
        <v>126</v>
      </c>
      <c r="K357" s="17" t="s">
        <v>126</v>
      </c>
      <c r="L357" s="17" t="s">
        <v>126</v>
      </c>
      <c r="M357" s="17" t="s">
        <v>126</v>
      </c>
      <c r="N357" s="17" t="s">
        <v>126</v>
      </c>
      <c r="O357" s="17" t="s">
        <v>126</v>
      </c>
      <c r="P357" s="17" t="s">
        <v>126</v>
      </c>
      <c r="Q357" s="16">
        <v>498</v>
      </c>
      <c r="R357" s="10" t="s">
        <v>397</v>
      </c>
      <c r="S357" s="17" t="s">
        <v>126</v>
      </c>
      <c r="T357" s="17" t="s">
        <v>126</v>
      </c>
      <c r="U357" s="17" t="s">
        <v>126</v>
      </c>
      <c r="V357" s="17" t="s">
        <v>126</v>
      </c>
      <c r="W357" s="17" t="s">
        <v>126</v>
      </c>
      <c r="X357" s="17" t="s">
        <v>126</v>
      </c>
      <c r="Y357" s="17" t="s">
        <v>126</v>
      </c>
      <c r="Z357" s="17" t="s">
        <v>126</v>
      </c>
      <c r="AA357" s="17" t="s">
        <v>126</v>
      </c>
      <c r="AB357" s="17" t="s">
        <v>126</v>
      </c>
      <c r="AC357" s="17" t="s">
        <v>126</v>
      </c>
      <c r="AD357" s="17" t="s">
        <v>126</v>
      </c>
      <c r="AE357" s="17" t="s">
        <v>126</v>
      </c>
      <c r="AF357" s="17" t="s">
        <v>126</v>
      </c>
      <c r="AG357" s="17" t="s">
        <v>126</v>
      </c>
      <c r="AH357" s="17" t="s">
        <v>126</v>
      </c>
      <c r="AI357" s="5" t="e">
        <f t="shared" si="31"/>
        <v>#VALUE!</v>
      </c>
      <c r="AJ357" s="5" t="e">
        <f t="shared" si="32"/>
        <v>#VALUE!</v>
      </c>
      <c r="AK357" s="5" t="e">
        <f t="shared" si="33"/>
        <v>#VALUE!</v>
      </c>
      <c r="AL357" s="5" t="e">
        <f t="shared" si="34"/>
        <v>#VALUE!</v>
      </c>
      <c r="AM357" s="5" t="e">
        <f t="shared" si="35"/>
        <v>#VALUE!</v>
      </c>
    </row>
    <row r="358" spans="1:39" ht="15" customHeight="1" thickBot="1" x14ac:dyDescent="0.35">
      <c r="A358">
        <f t="shared" si="30"/>
        <v>0</v>
      </c>
      <c r="B358" s="18">
        <v>499</v>
      </c>
      <c r="C358" s="11" t="s">
        <v>398</v>
      </c>
      <c r="D358" s="19" t="s">
        <v>126</v>
      </c>
      <c r="E358" s="19" t="s">
        <v>126</v>
      </c>
      <c r="F358" s="19" t="s">
        <v>126</v>
      </c>
      <c r="G358" s="19" t="s">
        <v>126</v>
      </c>
      <c r="H358" s="19" t="s">
        <v>126</v>
      </c>
      <c r="I358" s="19" t="s">
        <v>126</v>
      </c>
      <c r="J358" s="19" t="s">
        <v>126</v>
      </c>
      <c r="K358" s="19" t="s">
        <v>126</v>
      </c>
      <c r="L358" s="19" t="s">
        <v>126</v>
      </c>
      <c r="M358" s="19" t="s">
        <v>126</v>
      </c>
      <c r="N358" s="19" t="s">
        <v>126</v>
      </c>
      <c r="O358" s="19" t="s">
        <v>126</v>
      </c>
      <c r="P358" s="19" t="s">
        <v>126</v>
      </c>
      <c r="Q358" s="18">
        <v>499</v>
      </c>
      <c r="R358" s="11" t="s">
        <v>398</v>
      </c>
      <c r="S358" s="19" t="s">
        <v>126</v>
      </c>
      <c r="T358" s="19" t="s">
        <v>126</v>
      </c>
      <c r="U358" s="19" t="s">
        <v>126</v>
      </c>
      <c r="V358" s="19" t="s">
        <v>126</v>
      </c>
      <c r="W358" s="19" t="s">
        <v>126</v>
      </c>
      <c r="X358" s="19" t="s">
        <v>126</v>
      </c>
      <c r="Y358" s="19" t="s">
        <v>126</v>
      </c>
      <c r="Z358" s="19" t="s">
        <v>126</v>
      </c>
      <c r="AA358" s="19" t="s">
        <v>126</v>
      </c>
      <c r="AB358" s="19" t="s">
        <v>126</v>
      </c>
      <c r="AC358" s="19" t="s">
        <v>126</v>
      </c>
      <c r="AD358" s="19" t="s">
        <v>126</v>
      </c>
      <c r="AE358" s="19" t="s">
        <v>126</v>
      </c>
      <c r="AF358" s="19" t="s">
        <v>126</v>
      </c>
      <c r="AG358" s="19" t="s">
        <v>126</v>
      </c>
      <c r="AH358" s="19" t="s">
        <v>126</v>
      </c>
      <c r="AI358" s="5" t="e">
        <f t="shared" si="31"/>
        <v>#VALUE!</v>
      </c>
      <c r="AJ358" s="5" t="e">
        <f t="shared" si="32"/>
        <v>#VALUE!</v>
      </c>
      <c r="AK358" s="5" t="e">
        <f t="shared" si="33"/>
        <v>#VALUE!</v>
      </c>
      <c r="AL358" s="5" t="e">
        <f t="shared" si="34"/>
        <v>#VALUE!</v>
      </c>
      <c r="AM358" s="5" t="e">
        <f t="shared" si="35"/>
        <v>#VALUE!</v>
      </c>
    </row>
    <row r="359" spans="1:39" ht="15" customHeight="1" thickBot="1" x14ac:dyDescent="0.35">
      <c r="A359">
        <f t="shared" si="30"/>
        <v>0</v>
      </c>
      <c r="B359" s="16">
        <v>500</v>
      </c>
      <c r="C359" s="10" t="s">
        <v>399</v>
      </c>
      <c r="D359" s="17" t="s">
        <v>126</v>
      </c>
      <c r="E359" s="17" t="s">
        <v>126</v>
      </c>
      <c r="F359" s="17" t="s">
        <v>126</v>
      </c>
      <c r="G359" s="17" t="s">
        <v>126</v>
      </c>
      <c r="H359" s="17" t="s">
        <v>126</v>
      </c>
      <c r="I359" s="17" t="s">
        <v>126</v>
      </c>
      <c r="J359" s="17" t="s">
        <v>126</v>
      </c>
      <c r="K359" s="17" t="s">
        <v>126</v>
      </c>
      <c r="L359" s="17" t="s">
        <v>126</v>
      </c>
      <c r="M359" s="17" t="s">
        <v>126</v>
      </c>
      <c r="N359" s="17" t="s">
        <v>126</v>
      </c>
      <c r="O359" s="17" t="s">
        <v>126</v>
      </c>
      <c r="P359" s="17" t="s">
        <v>126</v>
      </c>
      <c r="Q359" s="16">
        <v>500</v>
      </c>
      <c r="R359" s="10" t="s">
        <v>399</v>
      </c>
      <c r="S359" s="17" t="s">
        <v>126</v>
      </c>
      <c r="T359" s="17" t="s">
        <v>126</v>
      </c>
      <c r="U359" s="17" t="s">
        <v>126</v>
      </c>
      <c r="V359" s="17" t="s">
        <v>126</v>
      </c>
      <c r="W359" s="17" t="s">
        <v>126</v>
      </c>
      <c r="X359" s="17" t="s">
        <v>126</v>
      </c>
      <c r="Y359" s="17" t="s">
        <v>126</v>
      </c>
      <c r="Z359" s="17" t="s">
        <v>126</v>
      </c>
      <c r="AA359" s="17" t="s">
        <v>126</v>
      </c>
      <c r="AB359" s="17" t="s">
        <v>126</v>
      </c>
      <c r="AC359" s="17" t="s">
        <v>126</v>
      </c>
      <c r="AD359" s="17" t="s">
        <v>126</v>
      </c>
      <c r="AE359" s="17" t="s">
        <v>126</v>
      </c>
      <c r="AF359" s="17" t="s">
        <v>126</v>
      </c>
      <c r="AG359" s="17" t="s">
        <v>126</v>
      </c>
      <c r="AH359" s="17" t="s">
        <v>126</v>
      </c>
      <c r="AI359" s="5" t="e">
        <f t="shared" si="31"/>
        <v>#VALUE!</v>
      </c>
      <c r="AJ359" s="5" t="e">
        <f t="shared" si="32"/>
        <v>#VALUE!</v>
      </c>
      <c r="AK359" s="5" t="e">
        <f t="shared" si="33"/>
        <v>#VALUE!</v>
      </c>
      <c r="AL359" s="5" t="e">
        <f t="shared" si="34"/>
        <v>#VALUE!</v>
      </c>
      <c r="AM359" s="5" t="e">
        <f t="shared" si="35"/>
        <v>#VALUE!</v>
      </c>
    </row>
    <row r="360" spans="1:39" ht="15" customHeight="1" thickBot="1" x14ac:dyDescent="0.35">
      <c r="A360">
        <f t="shared" ref="A360:A391" si="36">(AI360*AI$3+AJ360*AJ$3+AK360*AK$3+AL360*AL$3+AM360*AM$3)*100/(AI$5*AI$3+AJ$5*AJ$3+AK$5*AK$3+AL$5*AL$3+AM$5*AM$3)</f>
        <v>0</v>
      </c>
      <c r="B360" s="18"/>
      <c r="C360" s="11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8"/>
      <c r="R360" s="11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5">
        <f t="shared" si="31"/>
        <v>0</v>
      </c>
      <c r="AJ360" s="5">
        <f t="shared" si="32"/>
        <v>0</v>
      </c>
      <c r="AK360" s="5">
        <f t="shared" si="33"/>
        <v>0</v>
      </c>
      <c r="AL360" s="5">
        <f t="shared" si="34"/>
        <v>0</v>
      </c>
      <c r="AM360" s="5">
        <f t="shared" si="35"/>
        <v>0</v>
      </c>
    </row>
    <row r="361" spans="1:39" ht="15" customHeight="1" thickBot="1" x14ac:dyDescent="0.35">
      <c r="A361">
        <f t="shared" si="36"/>
        <v>0</v>
      </c>
      <c r="B361" s="16"/>
      <c r="C361" s="10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6"/>
      <c r="R361" s="10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5">
        <f t="shared" si="31"/>
        <v>0</v>
      </c>
      <c r="AJ361" s="5">
        <f t="shared" si="32"/>
        <v>0</v>
      </c>
      <c r="AK361" s="5">
        <f t="shared" si="33"/>
        <v>0</v>
      </c>
      <c r="AL361" s="5">
        <f t="shared" si="34"/>
        <v>0</v>
      </c>
      <c r="AM361" s="5">
        <f t="shared" si="35"/>
        <v>0</v>
      </c>
    </row>
    <row r="362" spans="1:39" ht="15" customHeight="1" thickBot="1" x14ac:dyDescent="0.35">
      <c r="A362">
        <f t="shared" si="36"/>
        <v>0</v>
      </c>
      <c r="B362" s="18"/>
      <c r="C362" s="11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8"/>
      <c r="R362" s="11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5">
        <f t="shared" si="31"/>
        <v>0</v>
      </c>
      <c r="AJ362" s="5">
        <f t="shared" si="32"/>
        <v>0</v>
      </c>
      <c r="AK362" s="5">
        <f t="shared" si="33"/>
        <v>0</v>
      </c>
      <c r="AL362" s="5">
        <f t="shared" si="34"/>
        <v>0</v>
      </c>
      <c r="AM362" s="5">
        <f t="shared" si="35"/>
        <v>0</v>
      </c>
    </row>
    <row r="363" spans="1:39" ht="15" customHeight="1" thickBot="1" x14ac:dyDescent="0.35">
      <c r="A363">
        <f t="shared" si="36"/>
        <v>0</v>
      </c>
      <c r="B363" s="16"/>
      <c r="C363" s="10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6"/>
      <c r="R363" s="10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5">
        <f t="shared" si="31"/>
        <v>0</v>
      </c>
      <c r="AJ363" s="5">
        <f t="shared" si="32"/>
        <v>0</v>
      </c>
      <c r="AK363" s="5">
        <f t="shared" si="33"/>
        <v>0</v>
      </c>
      <c r="AL363" s="5">
        <f t="shared" si="34"/>
        <v>0</v>
      </c>
      <c r="AM363" s="5">
        <f t="shared" si="35"/>
        <v>0</v>
      </c>
    </row>
    <row r="364" spans="1:39" ht="15" customHeight="1" thickBot="1" x14ac:dyDescent="0.35">
      <c r="A364">
        <f t="shared" si="36"/>
        <v>0</v>
      </c>
      <c r="B364" s="18"/>
      <c r="C364" s="11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8"/>
      <c r="R364" s="11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5">
        <f t="shared" si="31"/>
        <v>0</v>
      </c>
      <c r="AJ364" s="5">
        <f t="shared" si="32"/>
        <v>0</v>
      </c>
      <c r="AK364" s="5">
        <f t="shared" si="33"/>
        <v>0</v>
      </c>
      <c r="AL364" s="5">
        <f t="shared" si="34"/>
        <v>0</v>
      </c>
      <c r="AM364" s="5">
        <f t="shared" si="35"/>
        <v>0</v>
      </c>
    </row>
    <row r="365" spans="1:39" ht="15" customHeight="1" thickBot="1" x14ac:dyDescent="0.35">
      <c r="A365">
        <f t="shared" si="36"/>
        <v>0</v>
      </c>
      <c r="B365" s="16"/>
      <c r="C365" s="10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6"/>
      <c r="R365" s="10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5">
        <f t="shared" si="31"/>
        <v>0</v>
      </c>
      <c r="AJ365" s="5">
        <f t="shared" si="32"/>
        <v>0</v>
      </c>
      <c r="AK365" s="5">
        <f t="shared" si="33"/>
        <v>0</v>
      </c>
      <c r="AL365" s="5">
        <f t="shared" si="34"/>
        <v>0</v>
      </c>
      <c r="AM365" s="5">
        <f t="shared" si="35"/>
        <v>0</v>
      </c>
    </row>
    <row r="366" spans="1:39" ht="15" customHeight="1" thickBot="1" x14ac:dyDescent="0.35">
      <c r="A366">
        <f t="shared" si="36"/>
        <v>0</v>
      </c>
      <c r="B366" s="18"/>
      <c r="C366" s="11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8"/>
      <c r="R366" s="11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5">
        <f t="shared" si="31"/>
        <v>0</v>
      </c>
      <c r="AJ366" s="5">
        <f t="shared" si="32"/>
        <v>0</v>
      </c>
      <c r="AK366" s="5">
        <f t="shared" si="33"/>
        <v>0</v>
      </c>
      <c r="AL366" s="5">
        <f t="shared" si="34"/>
        <v>0</v>
      </c>
      <c r="AM366" s="5">
        <f t="shared" si="35"/>
        <v>0</v>
      </c>
    </row>
    <row r="367" spans="1:39" ht="15" customHeight="1" thickBot="1" x14ac:dyDescent="0.35">
      <c r="A367">
        <f t="shared" si="36"/>
        <v>0</v>
      </c>
      <c r="B367" s="16"/>
      <c r="C367" s="10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6"/>
      <c r="R367" s="10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5">
        <f t="shared" si="31"/>
        <v>0</v>
      </c>
      <c r="AJ367" s="5">
        <f t="shared" si="32"/>
        <v>0</v>
      </c>
      <c r="AK367" s="5">
        <f t="shared" si="33"/>
        <v>0</v>
      </c>
      <c r="AL367" s="5">
        <f t="shared" si="34"/>
        <v>0</v>
      </c>
      <c r="AM367" s="5">
        <f t="shared" si="35"/>
        <v>0</v>
      </c>
    </row>
    <row r="368" spans="1:39" ht="15" customHeight="1" thickBot="1" x14ac:dyDescent="0.35">
      <c r="A368">
        <f t="shared" si="36"/>
        <v>0</v>
      </c>
      <c r="B368" s="18"/>
      <c r="C368" s="11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8"/>
      <c r="R368" s="11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5">
        <f t="shared" si="31"/>
        <v>0</v>
      </c>
      <c r="AJ368" s="5">
        <f t="shared" si="32"/>
        <v>0</v>
      </c>
      <c r="AK368" s="5">
        <f t="shared" si="33"/>
        <v>0</v>
      </c>
      <c r="AL368" s="5">
        <f t="shared" si="34"/>
        <v>0</v>
      </c>
      <c r="AM368" s="5">
        <f t="shared" si="35"/>
        <v>0</v>
      </c>
    </row>
    <row r="369" spans="1:39" ht="15" customHeight="1" thickBot="1" x14ac:dyDescent="0.35">
      <c r="A369">
        <f t="shared" si="36"/>
        <v>0</v>
      </c>
      <c r="B369" s="16"/>
      <c r="C369" s="10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6"/>
      <c r="R369" s="10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5">
        <f t="shared" si="31"/>
        <v>0</v>
      </c>
      <c r="AJ369" s="5">
        <f t="shared" si="32"/>
        <v>0</v>
      </c>
      <c r="AK369" s="5">
        <f t="shared" si="33"/>
        <v>0</v>
      </c>
      <c r="AL369" s="5">
        <f t="shared" si="34"/>
        <v>0</v>
      </c>
      <c r="AM369" s="5">
        <f t="shared" si="35"/>
        <v>0</v>
      </c>
    </row>
    <row r="370" spans="1:39" ht="15" customHeight="1" thickBot="1" x14ac:dyDescent="0.35">
      <c r="A370">
        <f t="shared" si="36"/>
        <v>0</v>
      </c>
      <c r="B370" s="18"/>
      <c r="C370" s="11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8"/>
      <c r="R370" s="11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5">
        <f t="shared" si="31"/>
        <v>0</v>
      </c>
      <c r="AJ370" s="5">
        <f t="shared" si="32"/>
        <v>0</v>
      </c>
      <c r="AK370" s="5">
        <f t="shared" si="33"/>
        <v>0</v>
      </c>
      <c r="AL370" s="5">
        <f t="shared" si="34"/>
        <v>0</v>
      </c>
      <c r="AM370" s="5">
        <f t="shared" si="35"/>
        <v>0</v>
      </c>
    </row>
    <row r="371" spans="1:39" ht="15" customHeight="1" thickBot="1" x14ac:dyDescent="0.35">
      <c r="A371">
        <f t="shared" si="36"/>
        <v>0</v>
      </c>
      <c r="B371" s="16"/>
      <c r="C371" s="10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6"/>
      <c r="R371" s="10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5">
        <f t="shared" si="31"/>
        <v>0</v>
      </c>
      <c r="AJ371" s="5">
        <f t="shared" si="32"/>
        <v>0</v>
      </c>
      <c r="AK371" s="5">
        <f t="shared" si="33"/>
        <v>0</v>
      </c>
      <c r="AL371" s="5">
        <f t="shared" si="34"/>
        <v>0</v>
      </c>
      <c r="AM371" s="5">
        <f t="shared" si="35"/>
        <v>0</v>
      </c>
    </row>
    <row r="372" spans="1:39" ht="15" customHeight="1" thickBot="1" x14ac:dyDescent="0.35">
      <c r="A372">
        <f t="shared" si="36"/>
        <v>0</v>
      </c>
      <c r="B372" s="18"/>
      <c r="C372" s="11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8"/>
      <c r="R372" s="11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5">
        <f t="shared" si="31"/>
        <v>0</v>
      </c>
      <c r="AJ372" s="5">
        <f t="shared" si="32"/>
        <v>0</v>
      </c>
      <c r="AK372" s="5">
        <f t="shared" si="33"/>
        <v>0</v>
      </c>
      <c r="AL372" s="5">
        <f t="shared" si="34"/>
        <v>0</v>
      </c>
      <c r="AM372" s="5">
        <f t="shared" si="35"/>
        <v>0</v>
      </c>
    </row>
    <row r="373" spans="1:39" ht="15" customHeight="1" thickBot="1" x14ac:dyDescent="0.35">
      <c r="A373">
        <f t="shared" si="36"/>
        <v>0</v>
      </c>
      <c r="B373" s="16"/>
      <c r="C373" s="10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6"/>
      <c r="R373" s="10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5">
        <f t="shared" si="31"/>
        <v>0</v>
      </c>
      <c r="AJ373" s="5">
        <f t="shared" si="32"/>
        <v>0</v>
      </c>
      <c r="AK373" s="5">
        <f t="shared" si="33"/>
        <v>0</v>
      </c>
      <c r="AL373" s="5">
        <f t="shared" si="34"/>
        <v>0</v>
      </c>
      <c r="AM373" s="5">
        <f t="shared" si="35"/>
        <v>0</v>
      </c>
    </row>
    <row r="374" spans="1:39" ht="15" customHeight="1" thickBot="1" x14ac:dyDescent="0.35">
      <c r="A374">
        <f t="shared" si="36"/>
        <v>0</v>
      </c>
      <c r="B374" s="18"/>
      <c r="C374" s="11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8"/>
      <c r="R374" s="11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5">
        <f t="shared" si="31"/>
        <v>0</v>
      </c>
      <c r="AJ374" s="5">
        <f t="shared" si="32"/>
        <v>0</v>
      </c>
      <c r="AK374" s="5">
        <f t="shared" si="33"/>
        <v>0</v>
      </c>
      <c r="AL374" s="5">
        <f t="shared" si="34"/>
        <v>0</v>
      </c>
      <c r="AM374" s="5">
        <f t="shared" si="35"/>
        <v>0</v>
      </c>
    </row>
    <row r="375" spans="1:39" ht="15" customHeight="1" thickBot="1" x14ac:dyDescent="0.35">
      <c r="A375">
        <f t="shared" si="36"/>
        <v>0</v>
      </c>
      <c r="B375" s="16"/>
      <c r="C375" s="10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6"/>
      <c r="R375" s="10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5">
        <f t="shared" si="31"/>
        <v>0</v>
      </c>
      <c r="AJ375" s="5">
        <f t="shared" si="32"/>
        <v>0</v>
      </c>
      <c r="AK375" s="5">
        <f t="shared" si="33"/>
        <v>0</v>
      </c>
      <c r="AL375" s="5">
        <f t="shared" si="34"/>
        <v>0</v>
      </c>
      <c r="AM375" s="5">
        <f t="shared" si="35"/>
        <v>0</v>
      </c>
    </row>
    <row r="376" spans="1:39" ht="15" customHeight="1" thickBot="1" x14ac:dyDescent="0.35">
      <c r="A376">
        <f t="shared" si="36"/>
        <v>0</v>
      </c>
      <c r="B376" s="18"/>
      <c r="C376" s="11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8"/>
      <c r="R376" s="11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5">
        <f t="shared" si="31"/>
        <v>0</v>
      </c>
      <c r="AJ376" s="5">
        <f t="shared" si="32"/>
        <v>0</v>
      </c>
      <c r="AK376" s="5">
        <f t="shared" si="33"/>
        <v>0</v>
      </c>
      <c r="AL376" s="5">
        <f t="shared" si="34"/>
        <v>0</v>
      </c>
      <c r="AM376" s="5">
        <f t="shared" si="35"/>
        <v>0</v>
      </c>
    </row>
    <row r="377" spans="1:39" ht="15" customHeight="1" thickBot="1" x14ac:dyDescent="0.35">
      <c r="A377">
        <f t="shared" si="36"/>
        <v>0</v>
      </c>
      <c r="B377" s="16"/>
      <c r="C377" s="10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6"/>
      <c r="R377" s="10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5">
        <f t="shared" si="31"/>
        <v>0</v>
      </c>
      <c r="AJ377" s="5">
        <f t="shared" si="32"/>
        <v>0</v>
      </c>
      <c r="AK377" s="5">
        <f t="shared" si="33"/>
        <v>0</v>
      </c>
      <c r="AL377" s="5">
        <f t="shared" si="34"/>
        <v>0</v>
      </c>
      <c r="AM377" s="5">
        <f t="shared" si="35"/>
        <v>0</v>
      </c>
    </row>
    <row r="378" spans="1:39" ht="15" customHeight="1" thickBot="1" x14ac:dyDescent="0.35">
      <c r="A378">
        <f t="shared" si="36"/>
        <v>0</v>
      </c>
      <c r="B378" s="18"/>
      <c r="C378" s="11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8"/>
      <c r="R378" s="11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5">
        <f t="shared" si="31"/>
        <v>0</v>
      </c>
      <c r="AJ378" s="5">
        <f t="shared" si="32"/>
        <v>0</v>
      </c>
      <c r="AK378" s="5">
        <f t="shared" si="33"/>
        <v>0</v>
      </c>
      <c r="AL378" s="5">
        <f t="shared" si="34"/>
        <v>0</v>
      </c>
      <c r="AM378" s="5">
        <f t="shared" si="35"/>
        <v>0</v>
      </c>
    </row>
    <row r="379" spans="1:39" ht="15" customHeight="1" thickBot="1" x14ac:dyDescent="0.35">
      <c r="A379">
        <f t="shared" si="36"/>
        <v>0</v>
      </c>
      <c r="B379" s="16"/>
      <c r="C379" s="10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6"/>
      <c r="R379" s="10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5">
        <f t="shared" si="31"/>
        <v>0</v>
      </c>
      <c r="AJ379" s="5">
        <f t="shared" si="32"/>
        <v>0</v>
      </c>
      <c r="AK379" s="5">
        <f t="shared" si="33"/>
        <v>0</v>
      </c>
      <c r="AL379" s="5">
        <f t="shared" si="34"/>
        <v>0</v>
      </c>
      <c r="AM379" s="5">
        <f t="shared" si="35"/>
        <v>0</v>
      </c>
    </row>
    <row r="380" spans="1:39" ht="15" customHeight="1" thickBot="1" x14ac:dyDescent="0.35">
      <c r="A380">
        <f t="shared" si="36"/>
        <v>0</v>
      </c>
      <c r="B380" s="18"/>
      <c r="C380" s="11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8"/>
      <c r="R380" s="11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5">
        <f t="shared" si="31"/>
        <v>0</v>
      </c>
      <c r="AJ380" s="5">
        <f t="shared" si="32"/>
        <v>0</v>
      </c>
      <c r="AK380" s="5">
        <f t="shared" si="33"/>
        <v>0</v>
      </c>
      <c r="AL380" s="5">
        <f t="shared" si="34"/>
        <v>0</v>
      </c>
      <c r="AM380" s="5">
        <f t="shared" si="35"/>
        <v>0</v>
      </c>
    </row>
    <row r="381" spans="1:39" ht="15" customHeight="1" thickBot="1" x14ac:dyDescent="0.35">
      <c r="A381">
        <f t="shared" si="36"/>
        <v>0</v>
      </c>
      <c r="B381" s="16"/>
      <c r="C381" s="10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6"/>
      <c r="R381" s="10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5">
        <f t="shared" si="31"/>
        <v>0</v>
      </c>
      <c r="AJ381" s="5">
        <f t="shared" si="32"/>
        <v>0</v>
      </c>
      <c r="AK381" s="5">
        <f t="shared" si="33"/>
        <v>0</v>
      </c>
      <c r="AL381" s="5">
        <f t="shared" si="34"/>
        <v>0</v>
      </c>
      <c r="AM381" s="5">
        <f t="shared" si="35"/>
        <v>0</v>
      </c>
    </row>
    <row r="382" spans="1:39" ht="15" customHeight="1" thickBot="1" x14ac:dyDescent="0.35">
      <c r="A382">
        <f t="shared" si="36"/>
        <v>0</v>
      </c>
      <c r="B382" s="18"/>
      <c r="C382" s="11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8"/>
      <c r="R382" s="11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5">
        <f t="shared" si="31"/>
        <v>0</v>
      </c>
      <c r="AJ382" s="5">
        <f t="shared" si="32"/>
        <v>0</v>
      </c>
      <c r="AK382" s="5">
        <f t="shared" si="33"/>
        <v>0</v>
      </c>
      <c r="AL382" s="5">
        <f t="shared" si="34"/>
        <v>0</v>
      </c>
      <c r="AM382" s="5">
        <f t="shared" si="35"/>
        <v>0</v>
      </c>
    </row>
    <row r="383" spans="1:39" ht="15" customHeight="1" thickBot="1" x14ac:dyDescent="0.35">
      <c r="A383">
        <f t="shared" si="36"/>
        <v>0</v>
      </c>
      <c r="B383" s="16"/>
      <c r="C383" s="10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6"/>
      <c r="R383" s="10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5">
        <f t="shared" si="31"/>
        <v>0</v>
      </c>
      <c r="AJ383" s="5">
        <f t="shared" si="32"/>
        <v>0</v>
      </c>
      <c r="AK383" s="5">
        <f t="shared" si="33"/>
        <v>0</v>
      </c>
      <c r="AL383" s="5">
        <f t="shared" si="34"/>
        <v>0</v>
      </c>
      <c r="AM383" s="5">
        <f t="shared" si="35"/>
        <v>0</v>
      </c>
    </row>
    <row r="384" spans="1:39" ht="15" customHeight="1" thickBot="1" x14ac:dyDescent="0.35">
      <c r="A384">
        <f t="shared" si="36"/>
        <v>0</v>
      </c>
      <c r="B384" s="18"/>
      <c r="C384" s="11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8"/>
      <c r="R384" s="11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5">
        <f t="shared" si="31"/>
        <v>0</v>
      </c>
      <c r="AJ384" s="5">
        <f t="shared" si="32"/>
        <v>0</v>
      </c>
      <c r="AK384" s="5">
        <f t="shared" si="33"/>
        <v>0</v>
      </c>
      <c r="AL384" s="5">
        <f t="shared" si="34"/>
        <v>0</v>
      </c>
      <c r="AM384" s="5">
        <f t="shared" si="35"/>
        <v>0</v>
      </c>
    </row>
    <row r="385" spans="1:39" ht="15" customHeight="1" thickBot="1" x14ac:dyDescent="0.35">
      <c r="A385">
        <f t="shared" si="36"/>
        <v>0</v>
      </c>
      <c r="B385" s="16"/>
      <c r="C385" s="10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6"/>
      <c r="R385" s="10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5">
        <f t="shared" si="31"/>
        <v>0</v>
      </c>
      <c r="AJ385" s="5">
        <f t="shared" si="32"/>
        <v>0</v>
      </c>
      <c r="AK385" s="5">
        <f t="shared" si="33"/>
        <v>0</v>
      </c>
      <c r="AL385" s="5">
        <f t="shared" si="34"/>
        <v>0</v>
      </c>
      <c r="AM385" s="5">
        <f t="shared" si="35"/>
        <v>0</v>
      </c>
    </row>
    <row r="386" spans="1:39" ht="15" customHeight="1" thickBot="1" x14ac:dyDescent="0.35">
      <c r="A386">
        <f t="shared" si="36"/>
        <v>0</v>
      </c>
      <c r="B386" s="18"/>
      <c r="C386" s="11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8"/>
      <c r="R386" s="11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5">
        <f t="shared" si="31"/>
        <v>0</v>
      </c>
      <c r="AJ386" s="5">
        <f t="shared" si="32"/>
        <v>0</v>
      </c>
      <c r="AK386" s="5">
        <f t="shared" si="33"/>
        <v>0</v>
      </c>
      <c r="AL386" s="5">
        <f t="shared" si="34"/>
        <v>0</v>
      </c>
      <c r="AM386" s="5">
        <f t="shared" si="35"/>
        <v>0</v>
      </c>
    </row>
    <row r="387" spans="1:39" ht="15" customHeight="1" thickBot="1" x14ac:dyDescent="0.35">
      <c r="A387">
        <f t="shared" si="36"/>
        <v>0</v>
      </c>
      <c r="B387" s="16"/>
      <c r="C387" s="10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6"/>
      <c r="R387" s="10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5">
        <f t="shared" si="31"/>
        <v>0</v>
      </c>
      <c r="AJ387" s="5">
        <f t="shared" si="32"/>
        <v>0</v>
      </c>
      <c r="AK387" s="5">
        <f t="shared" si="33"/>
        <v>0</v>
      </c>
      <c r="AL387" s="5">
        <f t="shared" si="34"/>
        <v>0</v>
      </c>
      <c r="AM387" s="5">
        <f t="shared" si="35"/>
        <v>0</v>
      </c>
    </row>
    <row r="388" spans="1:39" ht="15" customHeight="1" thickBot="1" x14ac:dyDescent="0.35">
      <c r="A388">
        <f t="shared" si="36"/>
        <v>0</v>
      </c>
      <c r="B388" s="18"/>
      <c r="C388" s="11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8"/>
      <c r="R388" s="11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5">
        <f t="shared" si="31"/>
        <v>0</v>
      </c>
      <c r="AJ388" s="5">
        <f t="shared" si="32"/>
        <v>0</v>
      </c>
      <c r="AK388" s="5">
        <f t="shared" si="33"/>
        <v>0</v>
      </c>
      <c r="AL388" s="5">
        <f t="shared" si="34"/>
        <v>0</v>
      </c>
      <c r="AM388" s="5">
        <f t="shared" si="35"/>
        <v>0</v>
      </c>
    </row>
    <row r="389" spans="1:39" ht="15" customHeight="1" thickBot="1" x14ac:dyDescent="0.35">
      <c r="A389">
        <f t="shared" si="36"/>
        <v>0</v>
      </c>
      <c r="B389" s="16"/>
      <c r="C389" s="10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6"/>
      <c r="R389" s="10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5">
        <f t="shared" si="31"/>
        <v>0</v>
      </c>
      <c r="AJ389" s="5">
        <f t="shared" si="32"/>
        <v>0</v>
      </c>
      <c r="AK389" s="5">
        <f t="shared" si="33"/>
        <v>0</v>
      </c>
      <c r="AL389" s="5">
        <f t="shared" si="34"/>
        <v>0</v>
      </c>
      <c r="AM389" s="5">
        <f t="shared" si="35"/>
        <v>0</v>
      </c>
    </row>
    <row r="390" spans="1:39" ht="15" customHeight="1" thickBot="1" x14ac:dyDescent="0.35">
      <c r="A390">
        <f t="shared" si="36"/>
        <v>0</v>
      </c>
      <c r="B390" s="18"/>
      <c r="C390" s="11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8"/>
      <c r="R390" s="11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5">
        <f t="shared" si="31"/>
        <v>0</v>
      </c>
      <c r="AJ390" s="5">
        <f t="shared" si="32"/>
        <v>0</v>
      </c>
      <c r="AK390" s="5">
        <f t="shared" si="33"/>
        <v>0</v>
      </c>
      <c r="AL390" s="5">
        <f t="shared" si="34"/>
        <v>0</v>
      </c>
      <c r="AM390" s="5">
        <f t="shared" si="35"/>
        <v>0</v>
      </c>
    </row>
    <row r="391" spans="1:39" ht="15" customHeight="1" thickBot="1" x14ac:dyDescent="0.35">
      <c r="A391">
        <f t="shared" si="36"/>
        <v>0</v>
      </c>
      <c r="B391" s="16"/>
      <c r="C391" s="10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6"/>
      <c r="R391" s="10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5">
        <f t="shared" ref="AI391:AI454" si="37">H$1*((-0.000002)*H391^3+0.00032*H391^2+(-0.0021)*H391)+I$1*((-0.000002)*I391^3+0.00032*I391^2+(-0.0021)*I391)+J$1*((-0.000002)*J391^3+0.00032*J391^2+(-0.0021)*J391)+K$1*((-0.000002)*K391^3+0.00032*K391^2+(-0.0021)*K391)+L$1*((-0.000002)*L391^3+0.00032*L391^2+(-0.0021)*L391)</f>
        <v>0</v>
      </c>
      <c r="AJ391" s="5">
        <f t="shared" ref="AJ391:AJ454" si="38">M$1*((-0.000002)*M391^3+0.00032*M391^2+(-0.0021)*M391)+N$1*((-0.000002)*N391^3+0.00032*N391^2+(-0.0021)*N391)+O$1*((-0.000002)*O391^3+0.00032*O391^2+(-0.0021)*O391)</f>
        <v>0</v>
      </c>
      <c r="AK391" s="5">
        <f t="shared" ref="AK391:AK454" si="39">IF(AA391&lt;50,W$1*((-0.000002)*W391^3+0.00032*W391^2+(-0.0021)*W391)+X$1*((-0.000002)*X391^3+0.00032*X391^2+(-0.0021)*X391)+Y$1*((-0.000002)*Y391^3+0.00032*Y391^2+(-0.0021)*Y391)+Z$1*((-0.000002)*Z391^3+0.00032*Z391^2+(-0.0021)*Z391),X$2*((-0.000002)*X391^3+0.00032*X391^2+(-0.0021)*X391)+Y$2*((-0.000002)*Y391^3+0.00032*Y391^2+(-0.0021)*Y391)+Z$2*((-0.000002)*Z391^3+0.00032*Z391^2+(-0.0021)*Z391)+AA$2*((-0.000002)*AA391^3+0.00032*AA391^2+(-0.0021)*AA391))</f>
        <v>0</v>
      </c>
      <c r="AL391" s="5">
        <f t="shared" ref="AL391:AL454" si="40">AB$1*((-0.000002)*AB391^3+0.00032*AB391^2+(-0.0021)*AB391)+AC$1*((-0.000002)*AC391^3+0.00032*AC391^2+(-0.0021)*AC391)</f>
        <v>0</v>
      </c>
      <c r="AM391" s="5">
        <f t="shared" ref="AM391:AM454" si="41">AD$1*((-0.000002)*AD391^3+0.00032*AD391^2+(-0.0021)*AD391)+AE$1*((-0.000002)*AE391^3+0.00032*AE391^2+(-0.0021)*AE391)+AF$1*((-0.000002)*AF391^3+0.00032*AF391^2+(-0.0021)*AF391)+AG$1*((-0.000002)*AG391^3+0.00032*AG391^2+(-0.0021)*AG391)</f>
        <v>0</v>
      </c>
    </row>
    <row r="392" spans="1:39" ht="15" customHeight="1" thickBot="1" x14ac:dyDescent="0.35">
      <c r="A392">
        <f t="shared" ref="A392:A423" si="42">(AI392*AI$3+AJ392*AJ$3+AK392*AK$3+AL392*AL$3+AM392*AM$3)*100/(AI$5*AI$3+AJ$5*AJ$3+AK$5*AK$3+AL$5*AL$3+AM$5*AM$3)</f>
        <v>0</v>
      </c>
      <c r="B392" s="18"/>
      <c r="C392" s="11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8"/>
      <c r="R392" s="11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5">
        <f t="shared" si="37"/>
        <v>0</v>
      </c>
      <c r="AJ392" s="5">
        <f t="shared" si="38"/>
        <v>0</v>
      </c>
      <c r="AK392" s="5">
        <f t="shared" si="39"/>
        <v>0</v>
      </c>
      <c r="AL392" s="5">
        <f t="shared" si="40"/>
        <v>0</v>
      </c>
      <c r="AM392" s="5">
        <f t="shared" si="41"/>
        <v>0</v>
      </c>
    </row>
    <row r="393" spans="1:39" ht="15" customHeight="1" thickBot="1" x14ac:dyDescent="0.35">
      <c r="A393">
        <f t="shared" si="42"/>
        <v>0</v>
      </c>
      <c r="B393" s="16"/>
      <c r="C393" s="10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6"/>
      <c r="R393" s="10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5">
        <f t="shared" si="37"/>
        <v>0</v>
      </c>
      <c r="AJ393" s="5">
        <f t="shared" si="38"/>
        <v>0</v>
      </c>
      <c r="AK393" s="5">
        <f t="shared" si="39"/>
        <v>0</v>
      </c>
      <c r="AL393" s="5">
        <f t="shared" si="40"/>
        <v>0</v>
      </c>
      <c r="AM393" s="5">
        <f t="shared" si="41"/>
        <v>0</v>
      </c>
    </row>
    <row r="394" spans="1:39" ht="15" customHeight="1" thickBot="1" x14ac:dyDescent="0.35">
      <c r="A394">
        <f t="shared" si="42"/>
        <v>0</v>
      </c>
      <c r="B394" s="18"/>
      <c r="C394" s="11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8"/>
      <c r="R394" s="11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5">
        <f t="shared" si="37"/>
        <v>0</v>
      </c>
      <c r="AJ394" s="5">
        <f t="shared" si="38"/>
        <v>0</v>
      </c>
      <c r="AK394" s="5">
        <f t="shared" si="39"/>
        <v>0</v>
      </c>
      <c r="AL394" s="5">
        <f t="shared" si="40"/>
        <v>0</v>
      </c>
      <c r="AM394" s="5">
        <f t="shared" si="41"/>
        <v>0</v>
      </c>
    </row>
    <row r="395" spans="1:39" ht="15" customHeight="1" thickBot="1" x14ac:dyDescent="0.35">
      <c r="A395">
        <f t="shared" si="42"/>
        <v>0</v>
      </c>
      <c r="B395" s="16"/>
      <c r="C395" s="10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6"/>
      <c r="R395" s="10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5">
        <f t="shared" si="37"/>
        <v>0</v>
      </c>
      <c r="AJ395" s="5">
        <f t="shared" si="38"/>
        <v>0</v>
      </c>
      <c r="AK395" s="5">
        <f t="shared" si="39"/>
        <v>0</v>
      </c>
      <c r="AL395" s="5">
        <f t="shared" si="40"/>
        <v>0</v>
      </c>
      <c r="AM395" s="5">
        <f t="shared" si="41"/>
        <v>0</v>
      </c>
    </row>
    <row r="396" spans="1:39" ht="15" customHeight="1" thickBot="1" x14ac:dyDescent="0.35">
      <c r="A396">
        <f t="shared" si="42"/>
        <v>0</v>
      </c>
      <c r="B396" s="18"/>
      <c r="C396" s="11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8"/>
      <c r="R396" s="11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5">
        <f t="shared" si="37"/>
        <v>0</v>
      </c>
      <c r="AJ396" s="5">
        <f t="shared" si="38"/>
        <v>0</v>
      </c>
      <c r="AK396" s="5">
        <f t="shared" si="39"/>
        <v>0</v>
      </c>
      <c r="AL396" s="5">
        <f t="shared" si="40"/>
        <v>0</v>
      </c>
      <c r="AM396" s="5">
        <f t="shared" si="41"/>
        <v>0</v>
      </c>
    </row>
    <row r="397" spans="1:39" ht="15" customHeight="1" thickBot="1" x14ac:dyDescent="0.35">
      <c r="A397">
        <f t="shared" si="42"/>
        <v>0</v>
      </c>
      <c r="B397" s="16"/>
      <c r="C397" s="10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6"/>
      <c r="R397" s="10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5">
        <f t="shared" si="37"/>
        <v>0</v>
      </c>
      <c r="AJ397" s="5">
        <f t="shared" si="38"/>
        <v>0</v>
      </c>
      <c r="AK397" s="5">
        <f t="shared" si="39"/>
        <v>0</v>
      </c>
      <c r="AL397" s="5">
        <f t="shared" si="40"/>
        <v>0</v>
      </c>
      <c r="AM397" s="5">
        <f t="shared" si="41"/>
        <v>0</v>
      </c>
    </row>
    <row r="398" spans="1:39" ht="15" customHeight="1" thickBot="1" x14ac:dyDescent="0.35">
      <c r="A398">
        <f t="shared" si="42"/>
        <v>0</v>
      </c>
      <c r="B398" s="18"/>
      <c r="C398" s="11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8"/>
      <c r="R398" s="11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5">
        <f t="shared" si="37"/>
        <v>0</v>
      </c>
      <c r="AJ398" s="5">
        <f t="shared" si="38"/>
        <v>0</v>
      </c>
      <c r="AK398" s="5">
        <f t="shared" si="39"/>
        <v>0</v>
      </c>
      <c r="AL398" s="5">
        <f t="shared" si="40"/>
        <v>0</v>
      </c>
      <c r="AM398" s="5">
        <f t="shared" si="41"/>
        <v>0</v>
      </c>
    </row>
    <row r="399" spans="1:39" ht="15" customHeight="1" thickBot="1" x14ac:dyDescent="0.35">
      <c r="A399">
        <f t="shared" si="42"/>
        <v>0</v>
      </c>
      <c r="B399" s="16"/>
      <c r="C399" s="10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6"/>
      <c r="R399" s="10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5">
        <f t="shared" si="37"/>
        <v>0</v>
      </c>
      <c r="AJ399" s="5">
        <f t="shared" si="38"/>
        <v>0</v>
      </c>
      <c r="AK399" s="5">
        <f t="shared" si="39"/>
        <v>0</v>
      </c>
      <c r="AL399" s="5">
        <f t="shared" si="40"/>
        <v>0</v>
      </c>
      <c r="AM399" s="5">
        <f t="shared" si="41"/>
        <v>0</v>
      </c>
    </row>
    <row r="400" spans="1:39" ht="15" customHeight="1" thickBot="1" x14ac:dyDescent="0.35">
      <c r="A400">
        <f t="shared" si="42"/>
        <v>0</v>
      </c>
      <c r="B400" s="18"/>
      <c r="C400" s="11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8"/>
      <c r="R400" s="11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5">
        <f t="shared" si="37"/>
        <v>0</v>
      </c>
      <c r="AJ400" s="5">
        <f t="shared" si="38"/>
        <v>0</v>
      </c>
      <c r="AK400" s="5">
        <f t="shared" si="39"/>
        <v>0</v>
      </c>
      <c r="AL400" s="5">
        <f t="shared" si="40"/>
        <v>0</v>
      </c>
      <c r="AM400" s="5">
        <f t="shared" si="41"/>
        <v>0</v>
      </c>
    </row>
    <row r="401" spans="1:39" ht="15" customHeight="1" thickBot="1" x14ac:dyDescent="0.35">
      <c r="A401">
        <f t="shared" si="42"/>
        <v>0</v>
      </c>
      <c r="B401" s="16"/>
      <c r="C401" s="10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6"/>
      <c r="R401" s="10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5">
        <f t="shared" si="37"/>
        <v>0</v>
      </c>
      <c r="AJ401" s="5">
        <f t="shared" si="38"/>
        <v>0</v>
      </c>
      <c r="AK401" s="5">
        <f t="shared" si="39"/>
        <v>0</v>
      </c>
      <c r="AL401" s="5">
        <f t="shared" si="40"/>
        <v>0</v>
      </c>
      <c r="AM401" s="5">
        <f t="shared" si="41"/>
        <v>0</v>
      </c>
    </row>
    <row r="402" spans="1:39" ht="15" customHeight="1" thickBot="1" x14ac:dyDescent="0.35">
      <c r="A402">
        <f t="shared" si="42"/>
        <v>0</v>
      </c>
      <c r="B402" s="18"/>
      <c r="C402" s="11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8"/>
      <c r="R402" s="11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5">
        <f t="shared" si="37"/>
        <v>0</v>
      </c>
      <c r="AJ402" s="5">
        <f t="shared" si="38"/>
        <v>0</v>
      </c>
      <c r="AK402" s="5">
        <f t="shared" si="39"/>
        <v>0</v>
      </c>
      <c r="AL402" s="5">
        <f t="shared" si="40"/>
        <v>0</v>
      </c>
      <c r="AM402" s="5">
        <f t="shared" si="41"/>
        <v>0</v>
      </c>
    </row>
    <row r="403" spans="1:39" ht="15" customHeight="1" thickBot="1" x14ac:dyDescent="0.35">
      <c r="A403">
        <f t="shared" si="42"/>
        <v>0</v>
      </c>
      <c r="B403" s="16"/>
      <c r="C403" s="10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6"/>
      <c r="R403" s="10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5">
        <f t="shared" si="37"/>
        <v>0</v>
      </c>
      <c r="AJ403" s="5">
        <f t="shared" si="38"/>
        <v>0</v>
      </c>
      <c r="AK403" s="5">
        <f t="shared" si="39"/>
        <v>0</v>
      </c>
      <c r="AL403" s="5">
        <f t="shared" si="40"/>
        <v>0</v>
      </c>
      <c r="AM403" s="5">
        <f t="shared" si="41"/>
        <v>0</v>
      </c>
    </row>
    <row r="404" spans="1:39" ht="15" customHeight="1" thickBot="1" x14ac:dyDescent="0.35">
      <c r="A404">
        <f t="shared" si="42"/>
        <v>0</v>
      </c>
      <c r="B404" s="18"/>
      <c r="C404" s="11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8"/>
      <c r="R404" s="11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5">
        <f t="shared" si="37"/>
        <v>0</v>
      </c>
      <c r="AJ404" s="5">
        <f t="shared" si="38"/>
        <v>0</v>
      </c>
      <c r="AK404" s="5">
        <f t="shared" si="39"/>
        <v>0</v>
      </c>
      <c r="AL404" s="5">
        <f t="shared" si="40"/>
        <v>0</v>
      </c>
      <c r="AM404" s="5">
        <f t="shared" si="41"/>
        <v>0</v>
      </c>
    </row>
    <row r="405" spans="1:39" ht="15" customHeight="1" thickBot="1" x14ac:dyDescent="0.35">
      <c r="A405">
        <f t="shared" si="42"/>
        <v>0</v>
      </c>
      <c r="B405" s="16"/>
      <c r="C405" s="10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6"/>
      <c r="R405" s="10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5">
        <f t="shared" si="37"/>
        <v>0</v>
      </c>
      <c r="AJ405" s="5">
        <f t="shared" si="38"/>
        <v>0</v>
      </c>
      <c r="AK405" s="5">
        <f t="shared" si="39"/>
        <v>0</v>
      </c>
      <c r="AL405" s="5">
        <f t="shared" si="40"/>
        <v>0</v>
      </c>
      <c r="AM405" s="5">
        <f t="shared" si="41"/>
        <v>0</v>
      </c>
    </row>
    <row r="406" spans="1:39" ht="15" customHeight="1" thickBot="1" x14ac:dyDescent="0.35">
      <c r="A406">
        <f t="shared" si="42"/>
        <v>0</v>
      </c>
      <c r="B406" s="18"/>
      <c r="C406" s="11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8"/>
      <c r="R406" s="11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5">
        <f t="shared" si="37"/>
        <v>0</v>
      </c>
      <c r="AJ406" s="5">
        <f t="shared" si="38"/>
        <v>0</v>
      </c>
      <c r="AK406" s="5">
        <f t="shared" si="39"/>
        <v>0</v>
      </c>
      <c r="AL406" s="5">
        <f t="shared" si="40"/>
        <v>0</v>
      </c>
      <c r="AM406" s="5">
        <f t="shared" si="41"/>
        <v>0</v>
      </c>
    </row>
    <row r="407" spans="1:39" ht="15" customHeight="1" thickBot="1" x14ac:dyDescent="0.35">
      <c r="A407">
        <f t="shared" si="42"/>
        <v>0</v>
      </c>
      <c r="B407" s="16"/>
      <c r="C407" s="10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6"/>
      <c r="R407" s="10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5">
        <f t="shared" si="37"/>
        <v>0</v>
      </c>
      <c r="AJ407" s="5">
        <f t="shared" si="38"/>
        <v>0</v>
      </c>
      <c r="AK407" s="5">
        <f t="shared" si="39"/>
        <v>0</v>
      </c>
      <c r="AL407" s="5">
        <f t="shared" si="40"/>
        <v>0</v>
      </c>
      <c r="AM407" s="5">
        <f t="shared" si="41"/>
        <v>0</v>
      </c>
    </row>
    <row r="408" spans="1:39" ht="15" customHeight="1" thickBot="1" x14ac:dyDescent="0.35">
      <c r="A408">
        <f t="shared" si="42"/>
        <v>0</v>
      </c>
      <c r="B408" s="18"/>
      <c r="C408" s="11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8"/>
      <c r="R408" s="11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5">
        <f t="shared" si="37"/>
        <v>0</v>
      </c>
      <c r="AJ408" s="5">
        <f t="shared" si="38"/>
        <v>0</v>
      </c>
      <c r="AK408" s="5">
        <f t="shared" si="39"/>
        <v>0</v>
      </c>
      <c r="AL408" s="5">
        <f t="shared" si="40"/>
        <v>0</v>
      </c>
      <c r="AM408" s="5">
        <f t="shared" si="41"/>
        <v>0</v>
      </c>
    </row>
    <row r="409" spans="1:39" ht="15" customHeight="1" thickBot="1" x14ac:dyDescent="0.35">
      <c r="A409">
        <f t="shared" si="42"/>
        <v>0</v>
      </c>
      <c r="B409" s="16"/>
      <c r="C409" s="10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6"/>
      <c r="R409" s="10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5">
        <f t="shared" si="37"/>
        <v>0</v>
      </c>
      <c r="AJ409" s="5">
        <f t="shared" si="38"/>
        <v>0</v>
      </c>
      <c r="AK409" s="5">
        <f t="shared" si="39"/>
        <v>0</v>
      </c>
      <c r="AL409" s="5">
        <f t="shared" si="40"/>
        <v>0</v>
      </c>
      <c r="AM409" s="5">
        <f t="shared" si="41"/>
        <v>0</v>
      </c>
    </row>
    <row r="410" spans="1:39" ht="15" customHeight="1" thickBot="1" x14ac:dyDescent="0.35">
      <c r="A410">
        <f t="shared" si="42"/>
        <v>0</v>
      </c>
      <c r="B410" s="18"/>
      <c r="C410" s="11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8"/>
      <c r="R410" s="11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5">
        <f t="shared" si="37"/>
        <v>0</v>
      </c>
      <c r="AJ410" s="5">
        <f t="shared" si="38"/>
        <v>0</v>
      </c>
      <c r="AK410" s="5">
        <f t="shared" si="39"/>
        <v>0</v>
      </c>
      <c r="AL410" s="5">
        <f t="shared" si="40"/>
        <v>0</v>
      </c>
      <c r="AM410" s="5">
        <f t="shared" si="41"/>
        <v>0</v>
      </c>
    </row>
    <row r="411" spans="1:39" ht="15" customHeight="1" thickBot="1" x14ac:dyDescent="0.35">
      <c r="A411">
        <f t="shared" si="42"/>
        <v>0</v>
      </c>
      <c r="B411" s="16"/>
      <c r="C411" s="10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6"/>
      <c r="R411" s="10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5">
        <f t="shared" si="37"/>
        <v>0</v>
      </c>
      <c r="AJ411" s="5">
        <f t="shared" si="38"/>
        <v>0</v>
      </c>
      <c r="AK411" s="5">
        <f t="shared" si="39"/>
        <v>0</v>
      </c>
      <c r="AL411" s="5">
        <f t="shared" si="40"/>
        <v>0</v>
      </c>
      <c r="AM411" s="5">
        <f t="shared" si="41"/>
        <v>0</v>
      </c>
    </row>
    <row r="412" spans="1:39" ht="15" customHeight="1" thickBot="1" x14ac:dyDescent="0.35">
      <c r="A412">
        <f t="shared" si="42"/>
        <v>0</v>
      </c>
      <c r="B412" s="18"/>
      <c r="C412" s="11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8"/>
      <c r="R412" s="11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5">
        <f t="shared" si="37"/>
        <v>0</v>
      </c>
      <c r="AJ412" s="5">
        <f t="shared" si="38"/>
        <v>0</v>
      </c>
      <c r="AK412" s="5">
        <f t="shared" si="39"/>
        <v>0</v>
      </c>
      <c r="AL412" s="5">
        <f t="shared" si="40"/>
        <v>0</v>
      </c>
      <c r="AM412" s="5">
        <f t="shared" si="41"/>
        <v>0</v>
      </c>
    </row>
    <row r="413" spans="1:39" ht="15" customHeight="1" thickBot="1" x14ac:dyDescent="0.35">
      <c r="A413">
        <f t="shared" si="42"/>
        <v>0</v>
      </c>
      <c r="B413" s="16"/>
      <c r="C413" s="10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6"/>
      <c r="R413" s="10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5">
        <f t="shared" si="37"/>
        <v>0</v>
      </c>
      <c r="AJ413" s="5">
        <f t="shared" si="38"/>
        <v>0</v>
      </c>
      <c r="AK413" s="5">
        <f t="shared" si="39"/>
        <v>0</v>
      </c>
      <c r="AL413" s="5">
        <f t="shared" si="40"/>
        <v>0</v>
      </c>
      <c r="AM413" s="5">
        <f t="shared" si="41"/>
        <v>0</v>
      </c>
    </row>
    <row r="414" spans="1:39" ht="15" customHeight="1" thickBot="1" x14ac:dyDescent="0.35">
      <c r="A414">
        <f t="shared" si="42"/>
        <v>0</v>
      </c>
      <c r="B414" s="18"/>
      <c r="C414" s="11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8"/>
      <c r="R414" s="11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5">
        <f t="shared" si="37"/>
        <v>0</v>
      </c>
      <c r="AJ414" s="5">
        <f t="shared" si="38"/>
        <v>0</v>
      </c>
      <c r="AK414" s="5">
        <f t="shared" si="39"/>
        <v>0</v>
      </c>
      <c r="AL414" s="5">
        <f t="shared" si="40"/>
        <v>0</v>
      </c>
      <c r="AM414" s="5">
        <f t="shared" si="41"/>
        <v>0</v>
      </c>
    </row>
    <row r="415" spans="1:39" ht="15" customHeight="1" thickBot="1" x14ac:dyDescent="0.35">
      <c r="A415">
        <f t="shared" si="42"/>
        <v>0</v>
      </c>
      <c r="B415" s="16"/>
      <c r="C415" s="10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6"/>
      <c r="R415" s="10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5">
        <f t="shared" si="37"/>
        <v>0</v>
      </c>
      <c r="AJ415" s="5">
        <f t="shared" si="38"/>
        <v>0</v>
      </c>
      <c r="AK415" s="5">
        <f t="shared" si="39"/>
        <v>0</v>
      </c>
      <c r="AL415" s="5">
        <f t="shared" si="40"/>
        <v>0</v>
      </c>
      <c r="AM415" s="5">
        <f t="shared" si="41"/>
        <v>0</v>
      </c>
    </row>
    <row r="416" spans="1:39" ht="15" customHeight="1" thickBot="1" x14ac:dyDescent="0.35">
      <c r="A416">
        <f t="shared" si="42"/>
        <v>0</v>
      </c>
      <c r="B416" s="18"/>
      <c r="C416" s="11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8"/>
      <c r="R416" s="11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5">
        <f t="shared" si="37"/>
        <v>0</v>
      </c>
      <c r="AJ416" s="5">
        <f t="shared" si="38"/>
        <v>0</v>
      </c>
      <c r="AK416" s="5">
        <f t="shared" si="39"/>
        <v>0</v>
      </c>
      <c r="AL416" s="5">
        <f t="shared" si="40"/>
        <v>0</v>
      </c>
      <c r="AM416" s="5">
        <f t="shared" si="41"/>
        <v>0</v>
      </c>
    </row>
    <row r="417" spans="1:39" ht="15" customHeight="1" thickBot="1" x14ac:dyDescent="0.35">
      <c r="A417">
        <f t="shared" si="42"/>
        <v>0</v>
      </c>
      <c r="B417" s="16"/>
      <c r="C417" s="10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6"/>
      <c r="R417" s="10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5">
        <f t="shared" si="37"/>
        <v>0</v>
      </c>
      <c r="AJ417" s="5">
        <f t="shared" si="38"/>
        <v>0</v>
      </c>
      <c r="AK417" s="5">
        <f t="shared" si="39"/>
        <v>0</v>
      </c>
      <c r="AL417" s="5">
        <f t="shared" si="40"/>
        <v>0</v>
      </c>
      <c r="AM417" s="5">
        <f t="shared" si="41"/>
        <v>0</v>
      </c>
    </row>
    <row r="418" spans="1:39" ht="15" customHeight="1" thickBot="1" x14ac:dyDescent="0.35">
      <c r="A418">
        <f t="shared" si="42"/>
        <v>0</v>
      </c>
      <c r="B418" s="18"/>
      <c r="C418" s="11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8"/>
      <c r="R418" s="11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5">
        <f t="shared" si="37"/>
        <v>0</v>
      </c>
      <c r="AJ418" s="5">
        <f t="shared" si="38"/>
        <v>0</v>
      </c>
      <c r="AK418" s="5">
        <f t="shared" si="39"/>
        <v>0</v>
      </c>
      <c r="AL418" s="5">
        <f t="shared" si="40"/>
        <v>0</v>
      </c>
      <c r="AM418" s="5">
        <f t="shared" si="41"/>
        <v>0</v>
      </c>
    </row>
    <row r="419" spans="1:39" ht="15" customHeight="1" thickBot="1" x14ac:dyDescent="0.35">
      <c r="A419">
        <f t="shared" si="42"/>
        <v>0</v>
      </c>
      <c r="B419" s="16"/>
      <c r="C419" s="10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6"/>
      <c r="R419" s="10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5">
        <f t="shared" si="37"/>
        <v>0</v>
      </c>
      <c r="AJ419" s="5">
        <f t="shared" si="38"/>
        <v>0</v>
      </c>
      <c r="AK419" s="5">
        <f t="shared" si="39"/>
        <v>0</v>
      </c>
      <c r="AL419" s="5">
        <f t="shared" si="40"/>
        <v>0</v>
      </c>
      <c r="AM419" s="5">
        <f t="shared" si="41"/>
        <v>0</v>
      </c>
    </row>
    <row r="420" spans="1:39" ht="15" customHeight="1" thickBot="1" x14ac:dyDescent="0.35">
      <c r="A420">
        <f t="shared" si="42"/>
        <v>0</v>
      </c>
      <c r="B420" s="18"/>
      <c r="C420" s="11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8"/>
      <c r="R420" s="11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5">
        <f t="shared" si="37"/>
        <v>0</v>
      </c>
      <c r="AJ420" s="5">
        <f t="shared" si="38"/>
        <v>0</v>
      </c>
      <c r="AK420" s="5">
        <f t="shared" si="39"/>
        <v>0</v>
      </c>
      <c r="AL420" s="5">
        <f t="shared" si="40"/>
        <v>0</v>
      </c>
      <c r="AM420" s="5">
        <f t="shared" si="41"/>
        <v>0</v>
      </c>
    </row>
    <row r="421" spans="1:39" ht="15" customHeight="1" thickBot="1" x14ac:dyDescent="0.35">
      <c r="A421">
        <f t="shared" si="42"/>
        <v>0</v>
      </c>
      <c r="B421" s="16"/>
      <c r="C421" s="10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6"/>
      <c r="R421" s="10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5">
        <f t="shared" si="37"/>
        <v>0</v>
      </c>
      <c r="AJ421" s="5">
        <f t="shared" si="38"/>
        <v>0</v>
      </c>
      <c r="AK421" s="5">
        <f t="shared" si="39"/>
        <v>0</v>
      </c>
      <c r="AL421" s="5">
        <f t="shared" si="40"/>
        <v>0</v>
      </c>
      <c r="AM421" s="5">
        <f t="shared" si="41"/>
        <v>0</v>
      </c>
    </row>
    <row r="422" spans="1:39" ht="15" customHeight="1" thickBot="1" x14ac:dyDescent="0.35">
      <c r="A422">
        <f t="shared" si="42"/>
        <v>0</v>
      </c>
      <c r="B422" s="18"/>
      <c r="C422" s="11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8"/>
      <c r="R422" s="11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5">
        <f t="shared" si="37"/>
        <v>0</v>
      </c>
      <c r="AJ422" s="5">
        <f t="shared" si="38"/>
        <v>0</v>
      </c>
      <c r="AK422" s="5">
        <f t="shared" si="39"/>
        <v>0</v>
      </c>
      <c r="AL422" s="5">
        <f t="shared" si="40"/>
        <v>0</v>
      </c>
      <c r="AM422" s="5">
        <f t="shared" si="41"/>
        <v>0</v>
      </c>
    </row>
    <row r="423" spans="1:39" ht="15" customHeight="1" thickBot="1" x14ac:dyDescent="0.35">
      <c r="A423">
        <f t="shared" si="42"/>
        <v>0</v>
      </c>
      <c r="B423" s="16"/>
      <c r="C423" s="10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6"/>
      <c r="R423" s="10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5">
        <f t="shared" si="37"/>
        <v>0</v>
      </c>
      <c r="AJ423" s="5">
        <f t="shared" si="38"/>
        <v>0</v>
      </c>
      <c r="AK423" s="5">
        <f t="shared" si="39"/>
        <v>0</v>
      </c>
      <c r="AL423" s="5">
        <f t="shared" si="40"/>
        <v>0</v>
      </c>
      <c r="AM423" s="5">
        <f t="shared" si="41"/>
        <v>0</v>
      </c>
    </row>
    <row r="424" spans="1:39" ht="15" customHeight="1" thickBot="1" x14ac:dyDescent="0.35">
      <c r="A424">
        <f t="shared" ref="A424:A455" si="43">(AI424*AI$3+AJ424*AJ$3+AK424*AK$3+AL424*AL$3+AM424*AM$3)*100/(AI$5*AI$3+AJ$5*AJ$3+AK$5*AK$3+AL$5*AL$3+AM$5*AM$3)</f>
        <v>0</v>
      </c>
      <c r="B424" s="18"/>
      <c r="C424" s="11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8"/>
      <c r="R424" s="11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5">
        <f t="shared" si="37"/>
        <v>0</v>
      </c>
      <c r="AJ424" s="5">
        <f t="shared" si="38"/>
        <v>0</v>
      </c>
      <c r="AK424" s="5">
        <f t="shared" si="39"/>
        <v>0</v>
      </c>
      <c r="AL424" s="5">
        <f t="shared" si="40"/>
        <v>0</v>
      </c>
      <c r="AM424" s="5">
        <f t="shared" si="41"/>
        <v>0</v>
      </c>
    </row>
    <row r="425" spans="1:39" ht="15" customHeight="1" thickBot="1" x14ac:dyDescent="0.35">
      <c r="A425">
        <f t="shared" si="43"/>
        <v>0</v>
      </c>
      <c r="B425" s="16"/>
      <c r="C425" s="10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6"/>
      <c r="R425" s="10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5">
        <f t="shared" si="37"/>
        <v>0</v>
      </c>
      <c r="AJ425" s="5">
        <f t="shared" si="38"/>
        <v>0</v>
      </c>
      <c r="AK425" s="5">
        <f t="shared" si="39"/>
        <v>0</v>
      </c>
      <c r="AL425" s="5">
        <f t="shared" si="40"/>
        <v>0</v>
      </c>
      <c r="AM425" s="5">
        <f t="shared" si="41"/>
        <v>0</v>
      </c>
    </row>
    <row r="426" spans="1:39" ht="15" customHeight="1" thickBot="1" x14ac:dyDescent="0.35">
      <c r="A426">
        <f t="shared" si="43"/>
        <v>0</v>
      </c>
      <c r="B426" s="18"/>
      <c r="C426" s="11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8"/>
      <c r="R426" s="11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5">
        <f t="shared" si="37"/>
        <v>0</v>
      </c>
      <c r="AJ426" s="5">
        <f t="shared" si="38"/>
        <v>0</v>
      </c>
      <c r="AK426" s="5">
        <f t="shared" si="39"/>
        <v>0</v>
      </c>
      <c r="AL426" s="5">
        <f t="shared" si="40"/>
        <v>0</v>
      </c>
      <c r="AM426" s="5">
        <f t="shared" si="41"/>
        <v>0</v>
      </c>
    </row>
    <row r="427" spans="1:39" ht="15" customHeight="1" thickBot="1" x14ac:dyDescent="0.35">
      <c r="A427">
        <f t="shared" si="43"/>
        <v>0</v>
      </c>
      <c r="B427" s="16"/>
      <c r="C427" s="10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6"/>
      <c r="R427" s="10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5">
        <f t="shared" si="37"/>
        <v>0</v>
      </c>
      <c r="AJ427" s="5">
        <f t="shared" si="38"/>
        <v>0</v>
      </c>
      <c r="AK427" s="5">
        <f t="shared" si="39"/>
        <v>0</v>
      </c>
      <c r="AL427" s="5">
        <f t="shared" si="40"/>
        <v>0</v>
      </c>
      <c r="AM427" s="5">
        <f t="shared" si="41"/>
        <v>0</v>
      </c>
    </row>
    <row r="428" spans="1:39" ht="15" customHeight="1" thickBot="1" x14ac:dyDescent="0.35">
      <c r="A428">
        <f t="shared" si="43"/>
        <v>0</v>
      </c>
      <c r="B428" s="18"/>
      <c r="C428" s="11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8"/>
      <c r="R428" s="11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5">
        <f t="shared" si="37"/>
        <v>0</v>
      </c>
      <c r="AJ428" s="5">
        <f t="shared" si="38"/>
        <v>0</v>
      </c>
      <c r="AK428" s="5">
        <f t="shared" si="39"/>
        <v>0</v>
      </c>
      <c r="AL428" s="5">
        <f t="shared" si="40"/>
        <v>0</v>
      </c>
      <c r="AM428" s="5">
        <f t="shared" si="41"/>
        <v>0</v>
      </c>
    </row>
    <row r="429" spans="1:39" ht="15" customHeight="1" thickBot="1" x14ac:dyDescent="0.35">
      <c r="A429">
        <f t="shared" si="43"/>
        <v>0</v>
      </c>
      <c r="B429" s="16"/>
      <c r="C429" s="10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6"/>
      <c r="R429" s="10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5">
        <f t="shared" si="37"/>
        <v>0</v>
      </c>
      <c r="AJ429" s="5">
        <f t="shared" si="38"/>
        <v>0</v>
      </c>
      <c r="AK429" s="5">
        <f t="shared" si="39"/>
        <v>0</v>
      </c>
      <c r="AL429" s="5">
        <f t="shared" si="40"/>
        <v>0</v>
      </c>
      <c r="AM429" s="5">
        <f t="shared" si="41"/>
        <v>0</v>
      </c>
    </row>
    <row r="430" spans="1:39" ht="15" customHeight="1" thickBot="1" x14ac:dyDescent="0.35">
      <c r="A430">
        <f t="shared" si="43"/>
        <v>0</v>
      </c>
      <c r="B430" s="18"/>
      <c r="C430" s="11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8"/>
      <c r="R430" s="11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5">
        <f t="shared" si="37"/>
        <v>0</v>
      </c>
      <c r="AJ430" s="5">
        <f t="shared" si="38"/>
        <v>0</v>
      </c>
      <c r="AK430" s="5">
        <f t="shared" si="39"/>
        <v>0</v>
      </c>
      <c r="AL430" s="5">
        <f t="shared" si="40"/>
        <v>0</v>
      </c>
      <c r="AM430" s="5">
        <f t="shared" si="41"/>
        <v>0</v>
      </c>
    </row>
    <row r="431" spans="1:39" ht="15" customHeight="1" thickBot="1" x14ac:dyDescent="0.35">
      <c r="A431">
        <f t="shared" si="43"/>
        <v>0</v>
      </c>
      <c r="B431" s="16"/>
      <c r="C431" s="10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6"/>
      <c r="R431" s="10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5">
        <f t="shared" si="37"/>
        <v>0</v>
      </c>
      <c r="AJ431" s="5">
        <f t="shared" si="38"/>
        <v>0</v>
      </c>
      <c r="AK431" s="5">
        <f t="shared" si="39"/>
        <v>0</v>
      </c>
      <c r="AL431" s="5">
        <f t="shared" si="40"/>
        <v>0</v>
      </c>
      <c r="AM431" s="5">
        <f t="shared" si="41"/>
        <v>0</v>
      </c>
    </row>
    <row r="432" spans="1:39" ht="15" customHeight="1" thickBot="1" x14ac:dyDescent="0.35">
      <c r="A432">
        <f t="shared" si="43"/>
        <v>0</v>
      </c>
      <c r="B432" s="18"/>
      <c r="C432" s="11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8"/>
      <c r="R432" s="11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5">
        <f t="shared" si="37"/>
        <v>0</v>
      </c>
      <c r="AJ432" s="5">
        <f t="shared" si="38"/>
        <v>0</v>
      </c>
      <c r="AK432" s="5">
        <f t="shared" si="39"/>
        <v>0</v>
      </c>
      <c r="AL432" s="5">
        <f t="shared" si="40"/>
        <v>0</v>
      </c>
      <c r="AM432" s="5">
        <f t="shared" si="41"/>
        <v>0</v>
      </c>
    </row>
    <row r="433" spans="1:39" ht="15" customHeight="1" thickBot="1" x14ac:dyDescent="0.35">
      <c r="A433">
        <f t="shared" si="43"/>
        <v>0</v>
      </c>
      <c r="B433" s="16"/>
      <c r="C433" s="10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6"/>
      <c r="R433" s="10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5">
        <f t="shared" si="37"/>
        <v>0</v>
      </c>
      <c r="AJ433" s="5">
        <f t="shared" si="38"/>
        <v>0</v>
      </c>
      <c r="AK433" s="5">
        <f t="shared" si="39"/>
        <v>0</v>
      </c>
      <c r="AL433" s="5">
        <f t="shared" si="40"/>
        <v>0</v>
      </c>
      <c r="AM433" s="5">
        <f t="shared" si="41"/>
        <v>0</v>
      </c>
    </row>
    <row r="434" spans="1:39" ht="15" customHeight="1" thickBot="1" x14ac:dyDescent="0.35">
      <c r="A434">
        <f t="shared" si="43"/>
        <v>0</v>
      </c>
      <c r="B434" s="18"/>
      <c r="C434" s="11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8"/>
      <c r="R434" s="11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5">
        <f t="shared" si="37"/>
        <v>0</v>
      </c>
      <c r="AJ434" s="5">
        <f t="shared" si="38"/>
        <v>0</v>
      </c>
      <c r="AK434" s="5">
        <f t="shared" si="39"/>
        <v>0</v>
      </c>
      <c r="AL434" s="5">
        <f t="shared" si="40"/>
        <v>0</v>
      </c>
      <c r="AM434" s="5">
        <f t="shared" si="41"/>
        <v>0</v>
      </c>
    </row>
    <row r="435" spans="1:39" ht="15" customHeight="1" thickBot="1" x14ac:dyDescent="0.35">
      <c r="A435">
        <f t="shared" si="43"/>
        <v>0</v>
      </c>
      <c r="B435" s="16"/>
      <c r="C435" s="10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6"/>
      <c r="R435" s="10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5">
        <f t="shared" si="37"/>
        <v>0</v>
      </c>
      <c r="AJ435" s="5">
        <f t="shared" si="38"/>
        <v>0</v>
      </c>
      <c r="AK435" s="5">
        <f t="shared" si="39"/>
        <v>0</v>
      </c>
      <c r="AL435" s="5">
        <f t="shared" si="40"/>
        <v>0</v>
      </c>
      <c r="AM435" s="5">
        <f t="shared" si="41"/>
        <v>0</v>
      </c>
    </row>
    <row r="436" spans="1:39" ht="15" customHeight="1" thickBot="1" x14ac:dyDescent="0.35">
      <c r="A436">
        <f t="shared" si="43"/>
        <v>0</v>
      </c>
      <c r="B436" s="18"/>
      <c r="C436" s="11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8"/>
      <c r="R436" s="11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5">
        <f t="shared" si="37"/>
        <v>0</v>
      </c>
      <c r="AJ436" s="5">
        <f t="shared" si="38"/>
        <v>0</v>
      </c>
      <c r="AK436" s="5">
        <f t="shared" si="39"/>
        <v>0</v>
      </c>
      <c r="AL436" s="5">
        <f t="shared" si="40"/>
        <v>0</v>
      </c>
      <c r="AM436" s="5">
        <f t="shared" si="41"/>
        <v>0</v>
      </c>
    </row>
    <row r="437" spans="1:39" ht="15" customHeight="1" thickBot="1" x14ac:dyDescent="0.35">
      <c r="A437">
        <f t="shared" si="43"/>
        <v>0</v>
      </c>
      <c r="B437" s="16"/>
      <c r="C437" s="10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6"/>
      <c r="R437" s="10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5">
        <f t="shared" si="37"/>
        <v>0</v>
      </c>
      <c r="AJ437" s="5">
        <f t="shared" si="38"/>
        <v>0</v>
      </c>
      <c r="AK437" s="5">
        <f t="shared" si="39"/>
        <v>0</v>
      </c>
      <c r="AL437" s="5">
        <f t="shared" si="40"/>
        <v>0</v>
      </c>
      <c r="AM437" s="5">
        <f t="shared" si="41"/>
        <v>0</v>
      </c>
    </row>
    <row r="438" spans="1:39" ht="15" customHeight="1" thickBot="1" x14ac:dyDescent="0.35">
      <c r="A438">
        <f t="shared" si="43"/>
        <v>0</v>
      </c>
      <c r="B438" s="18"/>
      <c r="C438" s="11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8"/>
      <c r="R438" s="11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5">
        <f t="shared" si="37"/>
        <v>0</v>
      </c>
      <c r="AJ438" s="5">
        <f t="shared" si="38"/>
        <v>0</v>
      </c>
      <c r="AK438" s="5">
        <f t="shared" si="39"/>
        <v>0</v>
      </c>
      <c r="AL438" s="5">
        <f t="shared" si="40"/>
        <v>0</v>
      </c>
      <c r="AM438" s="5">
        <f t="shared" si="41"/>
        <v>0</v>
      </c>
    </row>
    <row r="439" spans="1:39" ht="15" customHeight="1" thickBot="1" x14ac:dyDescent="0.35">
      <c r="A439">
        <f t="shared" si="43"/>
        <v>0</v>
      </c>
      <c r="B439" s="16"/>
      <c r="C439" s="10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6"/>
      <c r="R439" s="10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5">
        <f t="shared" si="37"/>
        <v>0</v>
      </c>
      <c r="AJ439" s="5">
        <f t="shared" si="38"/>
        <v>0</v>
      </c>
      <c r="AK439" s="5">
        <f t="shared" si="39"/>
        <v>0</v>
      </c>
      <c r="AL439" s="5">
        <f t="shared" si="40"/>
        <v>0</v>
      </c>
      <c r="AM439" s="5">
        <f t="shared" si="41"/>
        <v>0</v>
      </c>
    </row>
    <row r="440" spans="1:39" ht="15" customHeight="1" thickBot="1" x14ac:dyDescent="0.35">
      <c r="A440">
        <f t="shared" si="43"/>
        <v>0</v>
      </c>
      <c r="B440" s="18"/>
      <c r="C440" s="11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8"/>
      <c r="R440" s="11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5">
        <f t="shared" si="37"/>
        <v>0</v>
      </c>
      <c r="AJ440" s="5">
        <f t="shared" si="38"/>
        <v>0</v>
      </c>
      <c r="AK440" s="5">
        <f t="shared" si="39"/>
        <v>0</v>
      </c>
      <c r="AL440" s="5">
        <f t="shared" si="40"/>
        <v>0</v>
      </c>
      <c r="AM440" s="5">
        <f t="shared" si="41"/>
        <v>0</v>
      </c>
    </row>
    <row r="441" spans="1:39" ht="15" customHeight="1" thickBot="1" x14ac:dyDescent="0.35">
      <c r="A441">
        <f t="shared" si="43"/>
        <v>0</v>
      </c>
      <c r="B441" s="16"/>
      <c r="C441" s="10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6"/>
      <c r="R441" s="10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5">
        <f t="shared" si="37"/>
        <v>0</v>
      </c>
      <c r="AJ441" s="5">
        <f t="shared" si="38"/>
        <v>0</v>
      </c>
      <c r="AK441" s="5">
        <f t="shared" si="39"/>
        <v>0</v>
      </c>
      <c r="AL441" s="5">
        <f t="shared" si="40"/>
        <v>0</v>
      </c>
      <c r="AM441" s="5">
        <f t="shared" si="41"/>
        <v>0</v>
      </c>
    </row>
    <row r="442" spans="1:39" ht="15" customHeight="1" thickBot="1" x14ac:dyDescent="0.35">
      <c r="A442">
        <f t="shared" si="43"/>
        <v>0</v>
      </c>
      <c r="B442" s="18"/>
      <c r="C442" s="11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8"/>
      <c r="R442" s="11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5">
        <f t="shared" si="37"/>
        <v>0</v>
      </c>
      <c r="AJ442" s="5">
        <f t="shared" si="38"/>
        <v>0</v>
      </c>
      <c r="AK442" s="5">
        <f t="shared" si="39"/>
        <v>0</v>
      </c>
      <c r="AL442" s="5">
        <f t="shared" si="40"/>
        <v>0</v>
      </c>
      <c r="AM442" s="5">
        <f t="shared" si="41"/>
        <v>0</v>
      </c>
    </row>
    <row r="443" spans="1:39" ht="15" customHeight="1" thickBot="1" x14ac:dyDescent="0.35">
      <c r="A443">
        <f t="shared" si="43"/>
        <v>0</v>
      </c>
      <c r="B443" s="16"/>
      <c r="C443" s="10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6"/>
      <c r="R443" s="10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5">
        <f t="shared" si="37"/>
        <v>0</v>
      </c>
      <c r="AJ443" s="5">
        <f t="shared" si="38"/>
        <v>0</v>
      </c>
      <c r="AK443" s="5">
        <f t="shared" si="39"/>
        <v>0</v>
      </c>
      <c r="AL443" s="5">
        <f t="shared" si="40"/>
        <v>0</v>
      </c>
      <c r="AM443" s="5">
        <f t="shared" si="41"/>
        <v>0</v>
      </c>
    </row>
    <row r="444" spans="1:39" ht="15" customHeight="1" thickBot="1" x14ac:dyDescent="0.35">
      <c r="A444">
        <f t="shared" si="43"/>
        <v>0</v>
      </c>
      <c r="B444" s="18"/>
      <c r="C444" s="11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8"/>
      <c r="R444" s="11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5">
        <f t="shared" si="37"/>
        <v>0</v>
      </c>
      <c r="AJ444" s="5">
        <f t="shared" si="38"/>
        <v>0</v>
      </c>
      <c r="AK444" s="5">
        <f t="shared" si="39"/>
        <v>0</v>
      </c>
      <c r="AL444" s="5">
        <f t="shared" si="40"/>
        <v>0</v>
      </c>
      <c r="AM444" s="5">
        <f t="shared" si="41"/>
        <v>0</v>
      </c>
    </row>
    <row r="445" spans="1:39" ht="15" customHeight="1" thickBot="1" x14ac:dyDescent="0.35">
      <c r="A445">
        <f t="shared" si="43"/>
        <v>0</v>
      </c>
      <c r="B445" s="16"/>
      <c r="C445" s="10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6"/>
      <c r="R445" s="10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5">
        <f t="shared" si="37"/>
        <v>0</v>
      </c>
      <c r="AJ445" s="5">
        <f t="shared" si="38"/>
        <v>0</v>
      </c>
      <c r="AK445" s="5">
        <f t="shared" si="39"/>
        <v>0</v>
      </c>
      <c r="AL445" s="5">
        <f t="shared" si="40"/>
        <v>0</v>
      </c>
      <c r="AM445" s="5">
        <f t="shared" si="41"/>
        <v>0</v>
      </c>
    </row>
    <row r="446" spans="1:39" ht="15" customHeight="1" thickBot="1" x14ac:dyDescent="0.35">
      <c r="A446">
        <f t="shared" si="43"/>
        <v>0</v>
      </c>
      <c r="B446" s="18"/>
      <c r="C446" s="11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8"/>
      <c r="R446" s="11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5">
        <f t="shared" si="37"/>
        <v>0</v>
      </c>
      <c r="AJ446" s="5">
        <f t="shared" si="38"/>
        <v>0</v>
      </c>
      <c r="AK446" s="5">
        <f t="shared" si="39"/>
        <v>0</v>
      </c>
      <c r="AL446" s="5">
        <f t="shared" si="40"/>
        <v>0</v>
      </c>
      <c r="AM446" s="5">
        <f t="shared" si="41"/>
        <v>0</v>
      </c>
    </row>
    <row r="447" spans="1:39" ht="15" customHeight="1" thickBot="1" x14ac:dyDescent="0.35">
      <c r="A447">
        <f t="shared" si="43"/>
        <v>0</v>
      </c>
      <c r="B447" s="16"/>
      <c r="C447" s="10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6"/>
      <c r="R447" s="10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5">
        <f t="shared" si="37"/>
        <v>0</v>
      </c>
      <c r="AJ447" s="5">
        <f t="shared" si="38"/>
        <v>0</v>
      </c>
      <c r="AK447" s="5">
        <f t="shared" si="39"/>
        <v>0</v>
      </c>
      <c r="AL447" s="5">
        <f t="shared" si="40"/>
        <v>0</v>
      </c>
      <c r="AM447" s="5">
        <f t="shared" si="41"/>
        <v>0</v>
      </c>
    </row>
    <row r="448" spans="1:39" ht="15" customHeight="1" thickBot="1" x14ac:dyDescent="0.35">
      <c r="A448">
        <f t="shared" si="43"/>
        <v>0</v>
      </c>
      <c r="B448" s="18"/>
      <c r="C448" s="11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8"/>
      <c r="R448" s="11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5">
        <f t="shared" si="37"/>
        <v>0</v>
      </c>
      <c r="AJ448" s="5">
        <f t="shared" si="38"/>
        <v>0</v>
      </c>
      <c r="AK448" s="5">
        <f t="shared" si="39"/>
        <v>0</v>
      </c>
      <c r="AL448" s="5">
        <f t="shared" si="40"/>
        <v>0</v>
      </c>
      <c r="AM448" s="5">
        <f t="shared" si="41"/>
        <v>0</v>
      </c>
    </row>
    <row r="449" spans="1:39" ht="15" customHeight="1" thickBot="1" x14ac:dyDescent="0.35">
      <c r="A449">
        <f t="shared" si="43"/>
        <v>0</v>
      </c>
      <c r="B449" s="16"/>
      <c r="C449" s="10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6"/>
      <c r="R449" s="10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5">
        <f t="shared" si="37"/>
        <v>0</v>
      </c>
      <c r="AJ449" s="5">
        <f t="shared" si="38"/>
        <v>0</v>
      </c>
      <c r="AK449" s="5">
        <f t="shared" si="39"/>
        <v>0</v>
      </c>
      <c r="AL449" s="5">
        <f t="shared" si="40"/>
        <v>0</v>
      </c>
      <c r="AM449" s="5">
        <f t="shared" si="41"/>
        <v>0</v>
      </c>
    </row>
    <row r="450" spans="1:39" ht="15" customHeight="1" thickBot="1" x14ac:dyDescent="0.35">
      <c r="A450">
        <f t="shared" si="43"/>
        <v>0</v>
      </c>
      <c r="B450" s="18"/>
      <c r="C450" s="11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8"/>
      <c r="R450" s="11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5">
        <f t="shared" si="37"/>
        <v>0</v>
      </c>
      <c r="AJ450" s="5">
        <f t="shared" si="38"/>
        <v>0</v>
      </c>
      <c r="AK450" s="5">
        <f t="shared" si="39"/>
        <v>0</v>
      </c>
      <c r="AL450" s="5">
        <f t="shared" si="40"/>
        <v>0</v>
      </c>
      <c r="AM450" s="5">
        <f t="shared" si="41"/>
        <v>0</v>
      </c>
    </row>
    <row r="451" spans="1:39" ht="15" customHeight="1" thickBot="1" x14ac:dyDescent="0.35">
      <c r="A451">
        <f t="shared" si="43"/>
        <v>0</v>
      </c>
      <c r="B451" s="16"/>
      <c r="C451" s="10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6"/>
      <c r="R451" s="10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5">
        <f t="shared" si="37"/>
        <v>0</v>
      </c>
      <c r="AJ451" s="5">
        <f t="shared" si="38"/>
        <v>0</v>
      </c>
      <c r="AK451" s="5">
        <f t="shared" si="39"/>
        <v>0</v>
      </c>
      <c r="AL451" s="5">
        <f t="shared" si="40"/>
        <v>0</v>
      </c>
      <c r="AM451" s="5">
        <f t="shared" si="41"/>
        <v>0</v>
      </c>
    </row>
    <row r="452" spans="1:39" ht="15" customHeight="1" thickBot="1" x14ac:dyDescent="0.35">
      <c r="A452">
        <f t="shared" si="43"/>
        <v>0</v>
      </c>
      <c r="B452" s="18"/>
      <c r="C452" s="11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8"/>
      <c r="R452" s="11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5">
        <f t="shared" si="37"/>
        <v>0</v>
      </c>
      <c r="AJ452" s="5">
        <f t="shared" si="38"/>
        <v>0</v>
      </c>
      <c r="AK452" s="5">
        <f t="shared" si="39"/>
        <v>0</v>
      </c>
      <c r="AL452" s="5">
        <f t="shared" si="40"/>
        <v>0</v>
      </c>
      <c r="AM452" s="5">
        <f t="shared" si="41"/>
        <v>0</v>
      </c>
    </row>
    <row r="453" spans="1:39" ht="15" customHeight="1" thickBot="1" x14ac:dyDescent="0.35">
      <c r="A453">
        <f t="shared" si="43"/>
        <v>0</v>
      </c>
      <c r="B453" s="16"/>
      <c r="C453" s="10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6"/>
      <c r="R453" s="10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5">
        <f t="shared" si="37"/>
        <v>0</v>
      </c>
      <c r="AJ453" s="5">
        <f t="shared" si="38"/>
        <v>0</v>
      </c>
      <c r="AK453" s="5">
        <f t="shared" si="39"/>
        <v>0</v>
      </c>
      <c r="AL453" s="5">
        <f t="shared" si="40"/>
        <v>0</v>
      </c>
      <c r="AM453" s="5">
        <f t="shared" si="41"/>
        <v>0</v>
      </c>
    </row>
    <row r="454" spans="1:39" ht="15" customHeight="1" thickBot="1" x14ac:dyDescent="0.35">
      <c r="A454">
        <f t="shared" si="43"/>
        <v>0</v>
      </c>
      <c r="B454" s="18"/>
      <c r="C454" s="11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8"/>
      <c r="R454" s="11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5">
        <f t="shared" si="37"/>
        <v>0</v>
      </c>
      <c r="AJ454" s="5">
        <f t="shared" si="38"/>
        <v>0</v>
      </c>
      <c r="AK454" s="5">
        <f t="shared" si="39"/>
        <v>0</v>
      </c>
      <c r="AL454" s="5">
        <f t="shared" si="40"/>
        <v>0</v>
      </c>
      <c r="AM454" s="5">
        <f t="shared" si="41"/>
        <v>0</v>
      </c>
    </row>
    <row r="455" spans="1:39" ht="15" customHeight="1" thickBot="1" x14ac:dyDescent="0.35">
      <c r="A455">
        <f t="shared" si="43"/>
        <v>0</v>
      </c>
      <c r="B455" s="16"/>
      <c r="C455" s="10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6"/>
      <c r="R455" s="10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5">
        <f t="shared" ref="AI455:AI506" si="44">H$1*((-0.000002)*H455^3+0.00032*H455^2+(-0.0021)*H455)+I$1*((-0.000002)*I455^3+0.00032*I455^2+(-0.0021)*I455)+J$1*((-0.000002)*J455^3+0.00032*J455^2+(-0.0021)*J455)+K$1*((-0.000002)*K455^3+0.00032*K455^2+(-0.0021)*K455)+L$1*((-0.000002)*L455^3+0.00032*L455^2+(-0.0021)*L455)</f>
        <v>0</v>
      </c>
      <c r="AJ455" s="5">
        <f t="shared" ref="AJ455:AJ506" si="45">M$1*((-0.000002)*M455^3+0.00032*M455^2+(-0.0021)*M455)+N$1*((-0.000002)*N455^3+0.00032*N455^2+(-0.0021)*N455)+O$1*((-0.000002)*O455^3+0.00032*O455^2+(-0.0021)*O455)</f>
        <v>0</v>
      </c>
      <c r="AK455" s="5">
        <f t="shared" ref="AK455:AK506" si="46">IF(AA455&lt;50,W$1*((-0.000002)*W455^3+0.00032*W455^2+(-0.0021)*W455)+X$1*((-0.000002)*X455^3+0.00032*X455^2+(-0.0021)*X455)+Y$1*((-0.000002)*Y455^3+0.00032*Y455^2+(-0.0021)*Y455)+Z$1*((-0.000002)*Z455^3+0.00032*Z455^2+(-0.0021)*Z455),X$2*((-0.000002)*X455^3+0.00032*X455^2+(-0.0021)*X455)+Y$2*((-0.000002)*Y455^3+0.00032*Y455^2+(-0.0021)*Y455)+Z$2*((-0.000002)*Z455^3+0.00032*Z455^2+(-0.0021)*Z455)+AA$2*((-0.000002)*AA455^3+0.00032*AA455^2+(-0.0021)*AA455))</f>
        <v>0</v>
      </c>
      <c r="AL455" s="5">
        <f t="shared" ref="AL455:AL506" si="47">AB$1*((-0.000002)*AB455^3+0.00032*AB455^2+(-0.0021)*AB455)+AC$1*((-0.000002)*AC455^3+0.00032*AC455^2+(-0.0021)*AC455)</f>
        <v>0</v>
      </c>
      <c r="AM455" s="5">
        <f t="shared" ref="AM455:AM506" si="48">AD$1*((-0.000002)*AD455^3+0.00032*AD455^2+(-0.0021)*AD455)+AE$1*((-0.000002)*AE455^3+0.00032*AE455^2+(-0.0021)*AE455)+AF$1*((-0.000002)*AF455^3+0.00032*AF455^2+(-0.0021)*AF455)+AG$1*((-0.000002)*AG455^3+0.00032*AG455^2+(-0.0021)*AG455)</f>
        <v>0</v>
      </c>
    </row>
    <row r="456" spans="1:39" ht="15" customHeight="1" thickBot="1" x14ac:dyDescent="0.35">
      <c r="A456">
        <f t="shared" ref="A456:A487" si="49">(AI456*AI$3+AJ456*AJ$3+AK456*AK$3+AL456*AL$3+AM456*AM$3)*100/(AI$5*AI$3+AJ$5*AJ$3+AK$5*AK$3+AL$5*AL$3+AM$5*AM$3)</f>
        <v>0</v>
      </c>
      <c r="B456" s="18"/>
      <c r="C456" s="11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8"/>
      <c r="R456" s="11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5">
        <f t="shared" si="44"/>
        <v>0</v>
      </c>
      <c r="AJ456" s="5">
        <f t="shared" si="45"/>
        <v>0</v>
      </c>
      <c r="AK456" s="5">
        <f t="shared" si="46"/>
        <v>0</v>
      </c>
      <c r="AL456" s="5">
        <f t="shared" si="47"/>
        <v>0</v>
      </c>
      <c r="AM456" s="5">
        <f t="shared" si="48"/>
        <v>0</v>
      </c>
    </row>
    <row r="457" spans="1:39" ht="15" customHeight="1" thickBot="1" x14ac:dyDescent="0.35">
      <c r="A457">
        <f t="shared" si="49"/>
        <v>0</v>
      </c>
      <c r="B457" s="16"/>
      <c r="C457" s="10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6"/>
      <c r="R457" s="10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5">
        <f t="shared" si="44"/>
        <v>0</v>
      </c>
      <c r="AJ457" s="5">
        <f t="shared" si="45"/>
        <v>0</v>
      </c>
      <c r="AK457" s="5">
        <f t="shared" si="46"/>
        <v>0</v>
      </c>
      <c r="AL457" s="5">
        <f t="shared" si="47"/>
        <v>0</v>
      </c>
      <c r="AM457" s="5">
        <f t="shared" si="48"/>
        <v>0</v>
      </c>
    </row>
    <row r="458" spans="1:39" ht="15" customHeight="1" thickBot="1" x14ac:dyDescent="0.35">
      <c r="A458">
        <f t="shared" si="49"/>
        <v>0</v>
      </c>
      <c r="B458" s="18"/>
      <c r="C458" s="11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8"/>
      <c r="R458" s="11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5">
        <f t="shared" si="44"/>
        <v>0</v>
      </c>
      <c r="AJ458" s="5">
        <f t="shared" si="45"/>
        <v>0</v>
      </c>
      <c r="AK458" s="5">
        <f t="shared" si="46"/>
        <v>0</v>
      </c>
      <c r="AL458" s="5">
        <f t="shared" si="47"/>
        <v>0</v>
      </c>
      <c r="AM458" s="5">
        <f t="shared" si="48"/>
        <v>0</v>
      </c>
    </row>
    <row r="459" spans="1:39" ht="15" customHeight="1" thickBot="1" x14ac:dyDescent="0.35">
      <c r="A459">
        <f t="shared" si="49"/>
        <v>0</v>
      </c>
      <c r="B459" s="16"/>
      <c r="C459" s="10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6"/>
      <c r="R459" s="10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5">
        <f t="shared" si="44"/>
        <v>0</v>
      </c>
      <c r="AJ459" s="5">
        <f t="shared" si="45"/>
        <v>0</v>
      </c>
      <c r="AK459" s="5">
        <f t="shared" si="46"/>
        <v>0</v>
      </c>
      <c r="AL459" s="5">
        <f t="shared" si="47"/>
        <v>0</v>
      </c>
      <c r="AM459" s="5">
        <f t="shared" si="48"/>
        <v>0</v>
      </c>
    </row>
    <row r="460" spans="1:39" ht="15" customHeight="1" thickBot="1" x14ac:dyDescent="0.35">
      <c r="A460">
        <f t="shared" si="49"/>
        <v>0</v>
      </c>
      <c r="B460" s="18"/>
      <c r="C460" s="11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8"/>
      <c r="R460" s="11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5">
        <f t="shared" si="44"/>
        <v>0</v>
      </c>
      <c r="AJ460" s="5">
        <f t="shared" si="45"/>
        <v>0</v>
      </c>
      <c r="AK460" s="5">
        <f t="shared" si="46"/>
        <v>0</v>
      </c>
      <c r="AL460" s="5">
        <f t="shared" si="47"/>
        <v>0</v>
      </c>
      <c r="AM460" s="5">
        <f t="shared" si="48"/>
        <v>0</v>
      </c>
    </row>
    <row r="461" spans="1:39" ht="15" customHeight="1" thickBot="1" x14ac:dyDescent="0.35">
      <c r="A461">
        <f t="shared" si="49"/>
        <v>0</v>
      </c>
      <c r="B461" s="16"/>
      <c r="C461" s="10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6"/>
      <c r="R461" s="10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5">
        <f t="shared" si="44"/>
        <v>0</v>
      </c>
      <c r="AJ461" s="5">
        <f t="shared" si="45"/>
        <v>0</v>
      </c>
      <c r="AK461" s="5">
        <f t="shared" si="46"/>
        <v>0</v>
      </c>
      <c r="AL461" s="5">
        <f t="shared" si="47"/>
        <v>0</v>
      </c>
      <c r="AM461" s="5">
        <f t="shared" si="48"/>
        <v>0</v>
      </c>
    </row>
    <row r="462" spans="1:39" ht="15" customHeight="1" thickBot="1" x14ac:dyDescent="0.35">
      <c r="A462">
        <f t="shared" si="49"/>
        <v>0</v>
      </c>
      <c r="B462" s="18"/>
      <c r="C462" s="11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8"/>
      <c r="R462" s="11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5">
        <f t="shared" si="44"/>
        <v>0</v>
      </c>
      <c r="AJ462" s="5">
        <f t="shared" si="45"/>
        <v>0</v>
      </c>
      <c r="AK462" s="5">
        <f t="shared" si="46"/>
        <v>0</v>
      </c>
      <c r="AL462" s="5">
        <f t="shared" si="47"/>
        <v>0</v>
      </c>
      <c r="AM462" s="5">
        <f t="shared" si="48"/>
        <v>0</v>
      </c>
    </row>
    <row r="463" spans="1:39" ht="15" customHeight="1" thickBot="1" x14ac:dyDescent="0.35">
      <c r="A463">
        <f t="shared" si="49"/>
        <v>0</v>
      </c>
      <c r="B463" s="16"/>
      <c r="C463" s="10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6"/>
      <c r="R463" s="10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5">
        <f t="shared" si="44"/>
        <v>0</v>
      </c>
      <c r="AJ463" s="5">
        <f t="shared" si="45"/>
        <v>0</v>
      </c>
      <c r="AK463" s="5">
        <f t="shared" si="46"/>
        <v>0</v>
      </c>
      <c r="AL463" s="5">
        <f t="shared" si="47"/>
        <v>0</v>
      </c>
      <c r="AM463" s="5">
        <f t="shared" si="48"/>
        <v>0</v>
      </c>
    </row>
    <row r="464" spans="1:39" ht="15" customHeight="1" thickBot="1" x14ac:dyDescent="0.35">
      <c r="A464">
        <f t="shared" si="49"/>
        <v>0</v>
      </c>
      <c r="B464" s="18"/>
      <c r="C464" s="11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8"/>
      <c r="R464" s="11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5">
        <f t="shared" si="44"/>
        <v>0</v>
      </c>
      <c r="AJ464" s="5">
        <f t="shared" si="45"/>
        <v>0</v>
      </c>
      <c r="AK464" s="5">
        <f t="shared" si="46"/>
        <v>0</v>
      </c>
      <c r="AL464" s="5">
        <f t="shared" si="47"/>
        <v>0</v>
      </c>
      <c r="AM464" s="5">
        <f t="shared" si="48"/>
        <v>0</v>
      </c>
    </row>
    <row r="465" spans="1:39" ht="15" customHeight="1" thickBot="1" x14ac:dyDescent="0.35">
      <c r="A465">
        <f t="shared" si="49"/>
        <v>0</v>
      </c>
      <c r="B465" s="16"/>
      <c r="C465" s="10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6"/>
      <c r="R465" s="10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5">
        <f t="shared" si="44"/>
        <v>0</v>
      </c>
      <c r="AJ465" s="5">
        <f t="shared" si="45"/>
        <v>0</v>
      </c>
      <c r="AK465" s="5">
        <f t="shared" si="46"/>
        <v>0</v>
      </c>
      <c r="AL465" s="5">
        <f t="shared" si="47"/>
        <v>0</v>
      </c>
      <c r="AM465" s="5">
        <f t="shared" si="48"/>
        <v>0</v>
      </c>
    </row>
    <row r="466" spans="1:39" ht="15" customHeight="1" thickBot="1" x14ac:dyDescent="0.35">
      <c r="A466">
        <f t="shared" si="49"/>
        <v>0</v>
      </c>
      <c r="B466" s="18"/>
      <c r="C466" s="11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8"/>
      <c r="R466" s="11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5">
        <f t="shared" si="44"/>
        <v>0</v>
      </c>
      <c r="AJ466" s="5">
        <f t="shared" si="45"/>
        <v>0</v>
      </c>
      <c r="AK466" s="5">
        <f t="shared" si="46"/>
        <v>0</v>
      </c>
      <c r="AL466" s="5">
        <f t="shared" si="47"/>
        <v>0</v>
      </c>
      <c r="AM466" s="5">
        <f t="shared" si="48"/>
        <v>0</v>
      </c>
    </row>
    <row r="467" spans="1:39" ht="15" customHeight="1" thickBot="1" x14ac:dyDescent="0.35">
      <c r="A467">
        <f t="shared" si="49"/>
        <v>0</v>
      </c>
      <c r="B467" s="16"/>
      <c r="C467" s="10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6"/>
      <c r="R467" s="10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5">
        <f t="shared" si="44"/>
        <v>0</v>
      </c>
      <c r="AJ467" s="5">
        <f t="shared" si="45"/>
        <v>0</v>
      </c>
      <c r="AK467" s="5">
        <f t="shared" si="46"/>
        <v>0</v>
      </c>
      <c r="AL467" s="5">
        <f t="shared" si="47"/>
        <v>0</v>
      </c>
      <c r="AM467" s="5">
        <f t="shared" si="48"/>
        <v>0</v>
      </c>
    </row>
    <row r="468" spans="1:39" ht="15" customHeight="1" thickBot="1" x14ac:dyDescent="0.35">
      <c r="A468">
        <f t="shared" si="49"/>
        <v>0</v>
      </c>
      <c r="B468" s="18"/>
      <c r="C468" s="11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8"/>
      <c r="R468" s="11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5">
        <f t="shared" si="44"/>
        <v>0</v>
      </c>
      <c r="AJ468" s="5">
        <f t="shared" si="45"/>
        <v>0</v>
      </c>
      <c r="AK468" s="5">
        <f t="shared" si="46"/>
        <v>0</v>
      </c>
      <c r="AL468" s="5">
        <f t="shared" si="47"/>
        <v>0</v>
      </c>
      <c r="AM468" s="5">
        <f t="shared" si="48"/>
        <v>0</v>
      </c>
    </row>
    <row r="469" spans="1:39" ht="15" customHeight="1" thickBot="1" x14ac:dyDescent="0.35">
      <c r="A469">
        <f t="shared" si="49"/>
        <v>0</v>
      </c>
      <c r="B469" s="16"/>
      <c r="C469" s="10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6"/>
      <c r="R469" s="10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5">
        <f t="shared" si="44"/>
        <v>0</v>
      </c>
      <c r="AJ469" s="5">
        <f t="shared" si="45"/>
        <v>0</v>
      </c>
      <c r="AK469" s="5">
        <f t="shared" si="46"/>
        <v>0</v>
      </c>
      <c r="AL469" s="5">
        <f t="shared" si="47"/>
        <v>0</v>
      </c>
      <c r="AM469" s="5">
        <f t="shared" si="48"/>
        <v>0</v>
      </c>
    </row>
    <row r="470" spans="1:39" ht="15" customHeight="1" thickBot="1" x14ac:dyDescent="0.35">
      <c r="A470">
        <f t="shared" si="49"/>
        <v>0</v>
      </c>
      <c r="B470" s="18"/>
      <c r="C470" s="11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8"/>
      <c r="R470" s="11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5">
        <f t="shared" si="44"/>
        <v>0</v>
      </c>
      <c r="AJ470" s="5">
        <f t="shared" si="45"/>
        <v>0</v>
      </c>
      <c r="AK470" s="5">
        <f t="shared" si="46"/>
        <v>0</v>
      </c>
      <c r="AL470" s="5">
        <f t="shared" si="47"/>
        <v>0</v>
      </c>
      <c r="AM470" s="5">
        <f t="shared" si="48"/>
        <v>0</v>
      </c>
    </row>
    <row r="471" spans="1:39" ht="15" customHeight="1" thickBot="1" x14ac:dyDescent="0.35">
      <c r="A471">
        <f t="shared" si="49"/>
        <v>0</v>
      </c>
      <c r="B471" s="16"/>
      <c r="C471" s="10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6"/>
      <c r="R471" s="10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5">
        <f t="shared" si="44"/>
        <v>0</v>
      </c>
      <c r="AJ471" s="5">
        <f t="shared" si="45"/>
        <v>0</v>
      </c>
      <c r="AK471" s="5">
        <f t="shared" si="46"/>
        <v>0</v>
      </c>
      <c r="AL471" s="5">
        <f t="shared" si="47"/>
        <v>0</v>
      </c>
      <c r="AM471" s="5">
        <f t="shared" si="48"/>
        <v>0</v>
      </c>
    </row>
    <row r="472" spans="1:39" ht="15" customHeight="1" thickBot="1" x14ac:dyDescent="0.35">
      <c r="A472">
        <f t="shared" si="49"/>
        <v>0</v>
      </c>
      <c r="B472" s="18"/>
      <c r="C472" s="11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8"/>
      <c r="R472" s="11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5">
        <f t="shared" si="44"/>
        <v>0</v>
      </c>
      <c r="AJ472" s="5">
        <f t="shared" si="45"/>
        <v>0</v>
      </c>
      <c r="AK472" s="5">
        <f t="shared" si="46"/>
        <v>0</v>
      </c>
      <c r="AL472" s="5">
        <f t="shared" si="47"/>
        <v>0</v>
      </c>
      <c r="AM472" s="5">
        <f t="shared" si="48"/>
        <v>0</v>
      </c>
    </row>
    <row r="473" spans="1:39" ht="15" customHeight="1" thickBot="1" x14ac:dyDescent="0.35">
      <c r="A473">
        <f t="shared" si="49"/>
        <v>0</v>
      </c>
      <c r="B473" s="16"/>
      <c r="C473" s="10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6"/>
      <c r="R473" s="10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5">
        <f t="shared" si="44"/>
        <v>0</v>
      </c>
      <c r="AJ473" s="5">
        <f t="shared" si="45"/>
        <v>0</v>
      </c>
      <c r="AK473" s="5">
        <f t="shared" si="46"/>
        <v>0</v>
      </c>
      <c r="AL473" s="5">
        <f t="shared" si="47"/>
        <v>0</v>
      </c>
      <c r="AM473" s="5">
        <f t="shared" si="48"/>
        <v>0</v>
      </c>
    </row>
    <row r="474" spans="1:39" ht="15" customHeight="1" thickBot="1" x14ac:dyDescent="0.35">
      <c r="A474">
        <f t="shared" si="49"/>
        <v>0</v>
      </c>
      <c r="B474" s="18"/>
      <c r="C474" s="11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8"/>
      <c r="R474" s="11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5">
        <f t="shared" si="44"/>
        <v>0</v>
      </c>
      <c r="AJ474" s="5">
        <f t="shared" si="45"/>
        <v>0</v>
      </c>
      <c r="AK474" s="5">
        <f t="shared" si="46"/>
        <v>0</v>
      </c>
      <c r="AL474" s="5">
        <f t="shared" si="47"/>
        <v>0</v>
      </c>
      <c r="AM474" s="5">
        <f t="shared" si="48"/>
        <v>0</v>
      </c>
    </row>
    <row r="475" spans="1:39" ht="15" customHeight="1" thickBot="1" x14ac:dyDescent="0.35">
      <c r="A475">
        <f t="shared" si="49"/>
        <v>0</v>
      </c>
      <c r="B475" s="16"/>
      <c r="C475" s="10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6"/>
      <c r="R475" s="10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5">
        <f t="shared" si="44"/>
        <v>0</v>
      </c>
      <c r="AJ475" s="5">
        <f t="shared" si="45"/>
        <v>0</v>
      </c>
      <c r="AK475" s="5">
        <f t="shared" si="46"/>
        <v>0</v>
      </c>
      <c r="AL475" s="5">
        <f t="shared" si="47"/>
        <v>0</v>
      </c>
      <c r="AM475" s="5">
        <f t="shared" si="48"/>
        <v>0</v>
      </c>
    </row>
    <row r="476" spans="1:39" ht="15" customHeight="1" thickBot="1" x14ac:dyDescent="0.35">
      <c r="A476">
        <f t="shared" si="49"/>
        <v>0</v>
      </c>
      <c r="B476" s="18"/>
      <c r="C476" s="11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8"/>
      <c r="R476" s="11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5">
        <f t="shared" si="44"/>
        <v>0</v>
      </c>
      <c r="AJ476" s="5">
        <f t="shared" si="45"/>
        <v>0</v>
      </c>
      <c r="AK476" s="5">
        <f t="shared" si="46"/>
        <v>0</v>
      </c>
      <c r="AL476" s="5">
        <f t="shared" si="47"/>
        <v>0</v>
      </c>
      <c r="AM476" s="5">
        <f t="shared" si="48"/>
        <v>0</v>
      </c>
    </row>
    <row r="477" spans="1:39" ht="15" customHeight="1" thickBot="1" x14ac:dyDescent="0.35">
      <c r="A477">
        <f t="shared" si="49"/>
        <v>0</v>
      </c>
      <c r="B477" s="16"/>
      <c r="C477" s="10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6"/>
      <c r="R477" s="10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5">
        <f t="shared" si="44"/>
        <v>0</v>
      </c>
      <c r="AJ477" s="5">
        <f t="shared" si="45"/>
        <v>0</v>
      </c>
      <c r="AK477" s="5">
        <f t="shared" si="46"/>
        <v>0</v>
      </c>
      <c r="AL477" s="5">
        <f t="shared" si="47"/>
        <v>0</v>
      </c>
      <c r="AM477" s="5">
        <f t="shared" si="48"/>
        <v>0</v>
      </c>
    </row>
    <row r="478" spans="1:39" ht="15" customHeight="1" thickBot="1" x14ac:dyDescent="0.35">
      <c r="A478">
        <f t="shared" si="49"/>
        <v>0</v>
      </c>
      <c r="B478" s="18"/>
      <c r="C478" s="11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8"/>
      <c r="R478" s="11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5">
        <f t="shared" si="44"/>
        <v>0</v>
      </c>
      <c r="AJ478" s="5">
        <f t="shared" si="45"/>
        <v>0</v>
      </c>
      <c r="AK478" s="5">
        <f t="shared" si="46"/>
        <v>0</v>
      </c>
      <c r="AL478" s="5">
        <f t="shared" si="47"/>
        <v>0</v>
      </c>
      <c r="AM478" s="5">
        <f t="shared" si="48"/>
        <v>0</v>
      </c>
    </row>
    <row r="479" spans="1:39" ht="15" customHeight="1" thickBot="1" x14ac:dyDescent="0.35">
      <c r="A479">
        <f t="shared" si="49"/>
        <v>0</v>
      </c>
      <c r="B479" s="16"/>
      <c r="C479" s="10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6"/>
      <c r="R479" s="10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5">
        <f t="shared" si="44"/>
        <v>0</v>
      </c>
      <c r="AJ479" s="5">
        <f t="shared" si="45"/>
        <v>0</v>
      </c>
      <c r="AK479" s="5">
        <f t="shared" si="46"/>
        <v>0</v>
      </c>
      <c r="AL479" s="5">
        <f t="shared" si="47"/>
        <v>0</v>
      </c>
      <c r="AM479" s="5">
        <f t="shared" si="48"/>
        <v>0</v>
      </c>
    </row>
    <row r="480" spans="1:39" ht="15" customHeight="1" thickBot="1" x14ac:dyDescent="0.35">
      <c r="A480">
        <f t="shared" si="49"/>
        <v>0</v>
      </c>
      <c r="B480" s="18"/>
      <c r="C480" s="11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8"/>
      <c r="R480" s="11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5">
        <f t="shared" si="44"/>
        <v>0</v>
      </c>
      <c r="AJ480" s="5">
        <f t="shared" si="45"/>
        <v>0</v>
      </c>
      <c r="AK480" s="5">
        <f t="shared" si="46"/>
        <v>0</v>
      </c>
      <c r="AL480" s="5">
        <f t="shared" si="47"/>
        <v>0</v>
      </c>
      <c r="AM480" s="5">
        <f t="shared" si="48"/>
        <v>0</v>
      </c>
    </row>
    <row r="481" spans="1:39" ht="15" customHeight="1" thickBot="1" x14ac:dyDescent="0.35">
      <c r="A481">
        <f t="shared" si="49"/>
        <v>0</v>
      </c>
      <c r="B481" s="16"/>
      <c r="C481" s="10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6"/>
      <c r="R481" s="10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5">
        <f t="shared" si="44"/>
        <v>0</v>
      </c>
      <c r="AJ481" s="5">
        <f t="shared" si="45"/>
        <v>0</v>
      </c>
      <c r="AK481" s="5">
        <f t="shared" si="46"/>
        <v>0</v>
      </c>
      <c r="AL481" s="5">
        <f t="shared" si="47"/>
        <v>0</v>
      </c>
      <c r="AM481" s="5">
        <f t="shared" si="48"/>
        <v>0</v>
      </c>
    </row>
    <row r="482" spans="1:39" ht="15" customHeight="1" thickBot="1" x14ac:dyDescent="0.35">
      <c r="A482">
        <f t="shared" si="49"/>
        <v>0</v>
      </c>
      <c r="B482" s="18"/>
      <c r="C482" s="11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8"/>
      <c r="R482" s="11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5">
        <f t="shared" si="44"/>
        <v>0</v>
      </c>
      <c r="AJ482" s="5">
        <f t="shared" si="45"/>
        <v>0</v>
      </c>
      <c r="AK482" s="5">
        <f t="shared" si="46"/>
        <v>0</v>
      </c>
      <c r="AL482" s="5">
        <f t="shared" si="47"/>
        <v>0</v>
      </c>
      <c r="AM482" s="5">
        <f t="shared" si="48"/>
        <v>0</v>
      </c>
    </row>
    <row r="483" spans="1:39" ht="15" customHeight="1" thickBot="1" x14ac:dyDescent="0.35">
      <c r="A483">
        <f t="shared" si="49"/>
        <v>0</v>
      </c>
      <c r="B483" s="16"/>
      <c r="C483" s="10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6"/>
      <c r="R483" s="10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5">
        <f t="shared" si="44"/>
        <v>0</v>
      </c>
      <c r="AJ483" s="5">
        <f t="shared" si="45"/>
        <v>0</v>
      </c>
      <c r="AK483" s="5">
        <f t="shared" si="46"/>
        <v>0</v>
      </c>
      <c r="AL483" s="5">
        <f t="shared" si="47"/>
        <v>0</v>
      </c>
      <c r="AM483" s="5">
        <f t="shared" si="48"/>
        <v>0</v>
      </c>
    </row>
    <row r="484" spans="1:39" ht="15" customHeight="1" thickBot="1" x14ac:dyDescent="0.35">
      <c r="A484">
        <f t="shared" si="49"/>
        <v>0</v>
      </c>
      <c r="B484" s="18"/>
      <c r="C484" s="11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8"/>
      <c r="R484" s="11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5">
        <f t="shared" si="44"/>
        <v>0</v>
      </c>
      <c r="AJ484" s="5">
        <f t="shared" si="45"/>
        <v>0</v>
      </c>
      <c r="AK484" s="5">
        <f t="shared" si="46"/>
        <v>0</v>
      </c>
      <c r="AL484" s="5">
        <f t="shared" si="47"/>
        <v>0</v>
      </c>
      <c r="AM484" s="5">
        <f t="shared" si="48"/>
        <v>0</v>
      </c>
    </row>
    <row r="485" spans="1:39" ht="15" customHeight="1" thickBot="1" x14ac:dyDescent="0.35">
      <c r="A485">
        <f t="shared" si="49"/>
        <v>0</v>
      </c>
      <c r="B485" s="16"/>
      <c r="C485" s="10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6"/>
      <c r="R485" s="10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5">
        <f t="shared" si="44"/>
        <v>0</v>
      </c>
      <c r="AJ485" s="5">
        <f t="shared" si="45"/>
        <v>0</v>
      </c>
      <c r="AK485" s="5">
        <f t="shared" si="46"/>
        <v>0</v>
      </c>
      <c r="AL485" s="5">
        <f t="shared" si="47"/>
        <v>0</v>
      </c>
      <c r="AM485" s="5">
        <f t="shared" si="48"/>
        <v>0</v>
      </c>
    </row>
    <row r="486" spans="1:39" ht="15" customHeight="1" thickBot="1" x14ac:dyDescent="0.35">
      <c r="A486">
        <f t="shared" si="49"/>
        <v>0</v>
      </c>
      <c r="B486" s="18"/>
      <c r="C486" s="11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8"/>
      <c r="R486" s="11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5">
        <f t="shared" si="44"/>
        <v>0</v>
      </c>
      <c r="AJ486" s="5">
        <f t="shared" si="45"/>
        <v>0</v>
      </c>
      <c r="AK486" s="5">
        <f t="shared" si="46"/>
        <v>0</v>
      </c>
      <c r="AL486" s="5">
        <f t="shared" si="47"/>
        <v>0</v>
      </c>
      <c r="AM486" s="5">
        <f t="shared" si="48"/>
        <v>0</v>
      </c>
    </row>
    <row r="487" spans="1:39" ht="15" customHeight="1" thickBot="1" x14ac:dyDescent="0.35">
      <c r="A487">
        <f t="shared" si="49"/>
        <v>0</v>
      </c>
      <c r="B487" s="16"/>
      <c r="C487" s="10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6"/>
      <c r="R487" s="10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5">
        <f t="shared" si="44"/>
        <v>0</v>
      </c>
      <c r="AJ487" s="5">
        <f t="shared" si="45"/>
        <v>0</v>
      </c>
      <c r="AK487" s="5">
        <f t="shared" si="46"/>
        <v>0</v>
      </c>
      <c r="AL487" s="5">
        <f t="shared" si="47"/>
        <v>0</v>
      </c>
      <c r="AM487" s="5">
        <f t="shared" si="48"/>
        <v>0</v>
      </c>
    </row>
    <row r="488" spans="1:39" ht="15" customHeight="1" thickBot="1" x14ac:dyDescent="0.35">
      <c r="A488">
        <f t="shared" ref="A488:A506" si="50">(AI488*AI$3+AJ488*AJ$3+AK488*AK$3+AL488*AL$3+AM488*AM$3)*100/(AI$5*AI$3+AJ$5*AJ$3+AK$5*AK$3+AL$5*AL$3+AM$5*AM$3)</f>
        <v>0</v>
      </c>
      <c r="B488" s="18"/>
      <c r="C488" s="11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8"/>
      <c r="R488" s="11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5">
        <f t="shared" si="44"/>
        <v>0</v>
      </c>
      <c r="AJ488" s="5">
        <f t="shared" si="45"/>
        <v>0</v>
      </c>
      <c r="AK488" s="5">
        <f t="shared" si="46"/>
        <v>0</v>
      </c>
      <c r="AL488" s="5">
        <f t="shared" si="47"/>
        <v>0</v>
      </c>
      <c r="AM488" s="5">
        <f t="shared" si="48"/>
        <v>0</v>
      </c>
    </row>
    <row r="489" spans="1:39" ht="15" customHeight="1" thickBot="1" x14ac:dyDescent="0.35">
      <c r="A489">
        <f t="shared" si="50"/>
        <v>0</v>
      </c>
      <c r="B489" s="16"/>
      <c r="C489" s="10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6"/>
      <c r="R489" s="10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5">
        <f t="shared" si="44"/>
        <v>0</v>
      </c>
      <c r="AJ489" s="5">
        <f t="shared" si="45"/>
        <v>0</v>
      </c>
      <c r="AK489" s="5">
        <f t="shared" si="46"/>
        <v>0</v>
      </c>
      <c r="AL489" s="5">
        <f t="shared" si="47"/>
        <v>0</v>
      </c>
      <c r="AM489" s="5">
        <f t="shared" si="48"/>
        <v>0</v>
      </c>
    </row>
    <row r="490" spans="1:39" ht="15" customHeight="1" thickBot="1" x14ac:dyDescent="0.35">
      <c r="A490">
        <f t="shared" si="50"/>
        <v>0</v>
      </c>
      <c r="B490" s="18"/>
      <c r="C490" s="11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8"/>
      <c r="R490" s="11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5">
        <f t="shared" si="44"/>
        <v>0</v>
      </c>
      <c r="AJ490" s="5">
        <f t="shared" si="45"/>
        <v>0</v>
      </c>
      <c r="AK490" s="5">
        <f t="shared" si="46"/>
        <v>0</v>
      </c>
      <c r="AL490" s="5">
        <f t="shared" si="47"/>
        <v>0</v>
      </c>
      <c r="AM490" s="5">
        <f t="shared" si="48"/>
        <v>0</v>
      </c>
    </row>
    <row r="491" spans="1:39" ht="15" customHeight="1" thickBot="1" x14ac:dyDescent="0.35">
      <c r="A491">
        <f t="shared" si="50"/>
        <v>0</v>
      </c>
      <c r="B491" s="16"/>
      <c r="C491" s="10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6"/>
      <c r="R491" s="10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5">
        <f t="shared" si="44"/>
        <v>0</v>
      </c>
      <c r="AJ491" s="5">
        <f t="shared" si="45"/>
        <v>0</v>
      </c>
      <c r="AK491" s="5">
        <f t="shared" si="46"/>
        <v>0</v>
      </c>
      <c r="AL491" s="5">
        <f t="shared" si="47"/>
        <v>0</v>
      </c>
      <c r="AM491" s="5">
        <f t="shared" si="48"/>
        <v>0</v>
      </c>
    </row>
    <row r="492" spans="1:39" ht="15" customHeight="1" thickBot="1" x14ac:dyDescent="0.35">
      <c r="A492">
        <f t="shared" si="50"/>
        <v>0</v>
      </c>
      <c r="B492" s="18"/>
      <c r="C492" s="11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8"/>
      <c r="R492" s="11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5">
        <f t="shared" si="44"/>
        <v>0</v>
      </c>
      <c r="AJ492" s="5">
        <f t="shared" si="45"/>
        <v>0</v>
      </c>
      <c r="AK492" s="5">
        <f t="shared" si="46"/>
        <v>0</v>
      </c>
      <c r="AL492" s="5">
        <f t="shared" si="47"/>
        <v>0</v>
      </c>
      <c r="AM492" s="5">
        <f t="shared" si="48"/>
        <v>0</v>
      </c>
    </row>
    <row r="493" spans="1:39" ht="15" customHeight="1" thickBot="1" x14ac:dyDescent="0.35">
      <c r="A493">
        <f t="shared" si="50"/>
        <v>0</v>
      </c>
      <c r="B493" s="16"/>
      <c r="C493" s="10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6"/>
      <c r="R493" s="10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5">
        <f t="shared" si="44"/>
        <v>0</v>
      </c>
      <c r="AJ493" s="5">
        <f t="shared" si="45"/>
        <v>0</v>
      </c>
      <c r="AK493" s="5">
        <f t="shared" si="46"/>
        <v>0</v>
      </c>
      <c r="AL493" s="5">
        <f t="shared" si="47"/>
        <v>0</v>
      </c>
      <c r="AM493" s="5">
        <f t="shared" si="48"/>
        <v>0</v>
      </c>
    </row>
    <row r="494" spans="1:39" ht="15" customHeight="1" thickBot="1" x14ac:dyDescent="0.35">
      <c r="A494">
        <f t="shared" si="50"/>
        <v>0</v>
      </c>
      <c r="B494" s="18"/>
      <c r="C494" s="11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8"/>
      <c r="R494" s="11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5">
        <f t="shared" si="44"/>
        <v>0</v>
      </c>
      <c r="AJ494" s="5">
        <f t="shared" si="45"/>
        <v>0</v>
      </c>
      <c r="AK494" s="5">
        <f t="shared" si="46"/>
        <v>0</v>
      </c>
      <c r="AL494" s="5">
        <f t="shared" si="47"/>
        <v>0</v>
      </c>
      <c r="AM494" s="5">
        <f t="shared" si="48"/>
        <v>0</v>
      </c>
    </row>
    <row r="495" spans="1:39" ht="15" customHeight="1" thickBot="1" x14ac:dyDescent="0.35">
      <c r="A495">
        <f t="shared" si="50"/>
        <v>0</v>
      </c>
      <c r="B495" s="16"/>
      <c r="C495" s="10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6"/>
      <c r="R495" s="10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5">
        <f t="shared" si="44"/>
        <v>0</v>
      </c>
      <c r="AJ495" s="5">
        <f t="shared" si="45"/>
        <v>0</v>
      </c>
      <c r="AK495" s="5">
        <f t="shared" si="46"/>
        <v>0</v>
      </c>
      <c r="AL495" s="5">
        <f t="shared" si="47"/>
        <v>0</v>
      </c>
      <c r="AM495" s="5">
        <f t="shared" si="48"/>
        <v>0</v>
      </c>
    </row>
    <row r="496" spans="1:39" ht="15" customHeight="1" thickBot="1" x14ac:dyDescent="0.35">
      <c r="A496">
        <f t="shared" si="50"/>
        <v>0</v>
      </c>
      <c r="B496" s="18"/>
      <c r="C496" s="11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8"/>
      <c r="R496" s="11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5">
        <f t="shared" si="44"/>
        <v>0</v>
      </c>
      <c r="AJ496" s="5">
        <f t="shared" si="45"/>
        <v>0</v>
      </c>
      <c r="AK496" s="5">
        <f t="shared" si="46"/>
        <v>0</v>
      </c>
      <c r="AL496" s="5">
        <f t="shared" si="47"/>
        <v>0</v>
      </c>
      <c r="AM496" s="5">
        <f t="shared" si="48"/>
        <v>0</v>
      </c>
    </row>
    <row r="497" spans="1:39" ht="15" customHeight="1" thickBot="1" x14ac:dyDescent="0.35">
      <c r="A497">
        <f t="shared" si="50"/>
        <v>0</v>
      </c>
      <c r="B497" s="16"/>
      <c r="C497" s="10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6"/>
      <c r="R497" s="10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5">
        <f t="shared" si="44"/>
        <v>0</v>
      </c>
      <c r="AJ497" s="5">
        <f t="shared" si="45"/>
        <v>0</v>
      </c>
      <c r="AK497" s="5">
        <f t="shared" si="46"/>
        <v>0</v>
      </c>
      <c r="AL497" s="5">
        <f t="shared" si="47"/>
        <v>0</v>
      </c>
      <c r="AM497" s="5">
        <f t="shared" si="48"/>
        <v>0</v>
      </c>
    </row>
    <row r="498" spans="1:39" ht="15" customHeight="1" thickBot="1" x14ac:dyDescent="0.35">
      <c r="A498">
        <f t="shared" si="50"/>
        <v>0</v>
      </c>
      <c r="B498" s="18"/>
      <c r="C498" s="11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8"/>
      <c r="R498" s="11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5">
        <f t="shared" si="44"/>
        <v>0</v>
      </c>
      <c r="AJ498" s="5">
        <f t="shared" si="45"/>
        <v>0</v>
      </c>
      <c r="AK498" s="5">
        <f t="shared" si="46"/>
        <v>0</v>
      </c>
      <c r="AL498" s="5">
        <f t="shared" si="47"/>
        <v>0</v>
      </c>
      <c r="AM498" s="5">
        <f t="shared" si="48"/>
        <v>0</v>
      </c>
    </row>
    <row r="499" spans="1:39" ht="15" customHeight="1" thickBot="1" x14ac:dyDescent="0.35">
      <c r="A499">
        <f t="shared" si="50"/>
        <v>0</v>
      </c>
      <c r="B499" s="16"/>
      <c r="C499" s="10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6"/>
      <c r="R499" s="10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5">
        <f t="shared" si="44"/>
        <v>0</v>
      </c>
      <c r="AJ499" s="5">
        <f t="shared" si="45"/>
        <v>0</v>
      </c>
      <c r="AK499" s="5">
        <f t="shared" si="46"/>
        <v>0</v>
      </c>
      <c r="AL499" s="5">
        <f t="shared" si="47"/>
        <v>0</v>
      </c>
      <c r="AM499" s="5">
        <f t="shared" si="48"/>
        <v>0</v>
      </c>
    </row>
    <row r="500" spans="1:39" ht="15" customHeight="1" thickBot="1" x14ac:dyDescent="0.35">
      <c r="A500">
        <f t="shared" si="50"/>
        <v>0</v>
      </c>
      <c r="B500" s="18"/>
      <c r="C500" s="11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8"/>
      <c r="R500" s="11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5">
        <f t="shared" si="44"/>
        <v>0</v>
      </c>
      <c r="AJ500" s="5">
        <f t="shared" si="45"/>
        <v>0</v>
      </c>
      <c r="AK500" s="5">
        <f t="shared" si="46"/>
        <v>0</v>
      </c>
      <c r="AL500" s="5">
        <f t="shared" si="47"/>
        <v>0</v>
      </c>
      <c r="AM500" s="5">
        <f t="shared" si="48"/>
        <v>0</v>
      </c>
    </row>
    <row r="501" spans="1:39" ht="15" customHeight="1" thickBot="1" x14ac:dyDescent="0.35">
      <c r="A501">
        <f t="shared" si="50"/>
        <v>0</v>
      </c>
      <c r="B501" s="16"/>
      <c r="C501" s="10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6"/>
      <c r="R501" s="10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5">
        <f t="shared" si="44"/>
        <v>0</v>
      </c>
      <c r="AJ501" s="5">
        <f t="shared" si="45"/>
        <v>0</v>
      </c>
      <c r="AK501" s="5">
        <f t="shared" si="46"/>
        <v>0</v>
      </c>
      <c r="AL501" s="5">
        <f t="shared" si="47"/>
        <v>0</v>
      </c>
      <c r="AM501" s="5">
        <f t="shared" si="48"/>
        <v>0</v>
      </c>
    </row>
    <row r="502" spans="1:39" ht="15" customHeight="1" thickBot="1" x14ac:dyDescent="0.35">
      <c r="A502">
        <f t="shared" si="50"/>
        <v>0</v>
      </c>
      <c r="B502" s="18"/>
      <c r="C502" s="11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8"/>
      <c r="R502" s="11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5">
        <f t="shared" si="44"/>
        <v>0</v>
      </c>
      <c r="AJ502" s="5">
        <f t="shared" si="45"/>
        <v>0</v>
      </c>
      <c r="AK502" s="5">
        <f t="shared" si="46"/>
        <v>0</v>
      </c>
      <c r="AL502" s="5">
        <f t="shared" si="47"/>
        <v>0</v>
      </c>
      <c r="AM502" s="5">
        <f t="shared" si="48"/>
        <v>0</v>
      </c>
    </row>
    <row r="503" spans="1:39" ht="15" customHeight="1" thickBot="1" x14ac:dyDescent="0.35">
      <c r="A503">
        <f t="shared" si="50"/>
        <v>0</v>
      </c>
      <c r="B503" s="16"/>
      <c r="C503" s="10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6"/>
      <c r="R503" s="10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5">
        <f t="shared" si="44"/>
        <v>0</v>
      </c>
      <c r="AJ503" s="5">
        <f t="shared" si="45"/>
        <v>0</v>
      </c>
      <c r="AK503" s="5">
        <f t="shared" si="46"/>
        <v>0</v>
      </c>
      <c r="AL503" s="5">
        <f t="shared" si="47"/>
        <v>0</v>
      </c>
      <c r="AM503" s="5">
        <f t="shared" si="48"/>
        <v>0</v>
      </c>
    </row>
    <row r="504" spans="1:39" ht="15" customHeight="1" thickBot="1" x14ac:dyDescent="0.35">
      <c r="A504">
        <f t="shared" si="50"/>
        <v>0</v>
      </c>
      <c r="B504" s="18"/>
      <c r="C504" s="11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8"/>
      <c r="R504" s="11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5">
        <f t="shared" si="44"/>
        <v>0</v>
      </c>
      <c r="AJ504" s="5">
        <f t="shared" si="45"/>
        <v>0</v>
      </c>
      <c r="AK504" s="5">
        <f t="shared" si="46"/>
        <v>0</v>
      </c>
      <c r="AL504" s="5">
        <f t="shared" si="47"/>
        <v>0</v>
      </c>
      <c r="AM504" s="5">
        <f t="shared" si="48"/>
        <v>0</v>
      </c>
    </row>
    <row r="505" spans="1:39" ht="15" customHeight="1" thickBot="1" x14ac:dyDescent="0.35">
      <c r="A505">
        <f t="shared" si="50"/>
        <v>0</v>
      </c>
      <c r="B505" s="16"/>
      <c r="C505" s="10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6"/>
      <c r="R505" s="10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5">
        <f t="shared" si="44"/>
        <v>0</v>
      </c>
      <c r="AJ505" s="5">
        <f t="shared" si="45"/>
        <v>0</v>
      </c>
      <c r="AK505" s="5">
        <f t="shared" si="46"/>
        <v>0</v>
      </c>
      <c r="AL505" s="5">
        <f t="shared" si="47"/>
        <v>0</v>
      </c>
      <c r="AM505" s="5">
        <f t="shared" si="48"/>
        <v>0</v>
      </c>
    </row>
    <row r="506" spans="1:39" ht="15" customHeight="1" thickBot="1" x14ac:dyDescent="0.35">
      <c r="A506">
        <f t="shared" si="50"/>
        <v>0</v>
      </c>
      <c r="B506" s="18"/>
      <c r="C506" s="11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8"/>
      <c r="R506" s="11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5">
        <f t="shared" si="44"/>
        <v>0</v>
      </c>
      <c r="AJ506" s="5">
        <f t="shared" si="45"/>
        <v>0</v>
      </c>
      <c r="AK506" s="5">
        <f t="shared" si="46"/>
        <v>0</v>
      </c>
      <c r="AL506" s="5">
        <f t="shared" si="47"/>
        <v>0</v>
      </c>
      <c r="AM506" s="5">
        <f t="shared" si="48"/>
        <v>0</v>
      </c>
    </row>
  </sheetData>
  <autoFilter ref="A6:AM6" xr:uid="{00000000-0009-0000-0000-000000000000}">
    <sortState xmlns:xlrd2="http://schemas.microsoft.com/office/spreadsheetml/2017/richdata2" ref="A7:AM207">
      <sortCondition descending="1" ref="A6"/>
    </sortState>
  </autoFilter>
  <mergeCells count="6">
    <mergeCell ref="H3:L3"/>
    <mergeCell ref="AD3:AG3"/>
    <mergeCell ref="M3:O3"/>
    <mergeCell ref="AI1:AM1"/>
    <mergeCell ref="W3:AA3"/>
    <mergeCell ref="AB3:AC3"/>
  </mergeCells>
  <hyperlinks>
    <hyperlink ref="B6" r:id="rId1" display="https://www.whatifsports.com/hbd/Pages/GM/AmateurDraftPlayerPool.aspx" xr:uid="{00000000-0004-0000-0000-000000000000}"/>
    <hyperlink ref="C6" r:id="rId2" display="https://www.whatifsports.com/hbd/Pages/GM/AmateurDraftPlayerPool.aspx" xr:uid="{00000000-0004-0000-0000-000001000000}"/>
    <hyperlink ref="D6" r:id="rId3" display="https://www.whatifsports.com/hbd/Pages/GM/AmateurDraftPlayerPool.aspx" xr:uid="{00000000-0004-0000-0000-000002000000}"/>
    <hyperlink ref="E6" r:id="rId4" display="https://www.whatifsports.com/hbd/Pages/GM/AmateurDraftPlayerPool.aspx" xr:uid="{00000000-0004-0000-0000-000003000000}"/>
    <hyperlink ref="F6" r:id="rId5" display="https://www.whatifsports.com/hbd/Pages/GM/AmateurDraftPlayerPool.aspx" xr:uid="{00000000-0004-0000-0000-000004000000}"/>
    <hyperlink ref="G6" r:id="rId6" display="https://www.whatifsports.com/hbd/Pages/GM/AmateurDraftPlayerPool.aspx" xr:uid="{00000000-0004-0000-0000-000005000000}"/>
    <hyperlink ref="Q6" r:id="rId7" display="https://www.whatifsports.com/hbd/Pages/GM/AmateurDraftPlayerPool.aspx" xr:uid="{00000000-0004-0000-0000-000006000000}"/>
    <hyperlink ref="R6" r:id="rId8" display="https://www.whatifsports.com/hbd/Pages/GM/AmateurDraftPlayerPool.aspx" xr:uid="{00000000-0004-0000-0000-000007000000}"/>
    <hyperlink ref="S6" r:id="rId9" display="https://www.whatifsports.com/hbd/Pages/GM/AmateurDraftPlayerPool.aspx" xr:uid="{00000000-0004-0000-0000-000008000000}"/>
    <hyperlink ref="T6" r:id="rId10" display="https://www.whatifsports.com/hbd/Pages/GM/AmateurDraftPlayerPool.aspx" xr:uid="{00000000-0004-0000-0000-000009000000}"/>
    <hyperlink ref="U6" r:id="rId11" display="https://www.whatifsports.com/hbd/Pages/GM/AmateurDraftPlayerPool.aspx" xr:uid="{00000000-0004-0000-0000-00000A000000}"/>
    <hyperlink ref="V6" r:id="rId12" display="https://www.whatifsports.com/hbd/Pages/GM/AmateurDraftPlayerPool.aspx" xr:uid="{00000000-0004-0000-0000-00000B000000}"/>
    <hyperlink ref="C7" r:id="rId13" tooltip="Open Prospect Profile" display="https://www.whatifsports.com/hbd/Pages/Popups/ProspectProfile.aspx?pid=13631431" xr:uid="{00000000-0004-0000-0000-00000C000000}"/>
    <hyperlink ref="R7" r:id="rId14" tooltip="Open Prospect Profile" display="https://www.whatifsports.com/hbd/Pages/Popups/ProspectProfile.aspx?pid=13631431" xr:uid="{00000000-0004-0000-0000-00000D000000}"/>
    <hyperlink ref="C8" r:id="rId15" tooltip="Open Prospect Profile" display="https://www.whatifsports.com/hbd/Pages/Popups/ProspectProfile.aspx?pid=13631433" xr:uid="{00000000-0004-0000-0000-00000E000000}"/>
    <hyperlink ref="R8" r:id="rId16" tooltip="Open Prospect Profile" display="https://www.whatifsports.com/hbd/Pages/Popups/ProspectProfile.aspx?pid=13631433" xr:uid="{00000000-0004-0000-0000-00000F000000}"/>
    <hyperlink ref="C9" r:id="rId17" tooltip="Open Prospect Profile" display="https://www.whatifsports.com/hbd/Pages/Popups/ProspectProfile.aspx?pid=13631497" xr:uid="{00000000-0004-0000-0000-000010000000}"/>
    <hyperlink ref="R9" r:id="rId18" tooltip="Open Prospect Profile" display="https://www.whatifsports.com/hbd/Pages/Popups/ProspectProfile.aspx?pid=13631497" xr:uid="{00000000-0004-0000-0000-000011000000}"/>
    <hyperlink ref="C10" r:id="rId19" tooltip="Open Prospect Profile" display="https://www.whatifsports.com/hbd/Pages/Popups/ProspectProfile.aspx?pid=13631500" xr:uid="{00000000-0004-0000-0000-000012000000}"/>
    <hyperlink ref="R10" r:id="rId20" tooltip="Open Prospect Profile" display="https://www.whatifsports.com/hbd/Pages/Popups/ProspectProfile.aspx?pid=13631500" xr:uid="{00000000-0004-0000-0000-000013000000}"/>
    <hyperlink ref="C11" r:id="rId21" tooltip="Open Prospect Profile" display="https://www.whatifsports.com/hbd/Pages/Popups/ProspectProfile.aspx?pid=13631732" xr:uid="{00000000-0004-0000-0000-000014000000}"/>
    <hyperlink ref="R11" r:id="rId22" tooltip="Open Prospect Profile" display="https://www.whatifsports.com/hbd/Pages/Popups/ProspectProfile.aspx?pid=13631732" xr:uid="{00000000-0004-0000-0000-000015000000}"/>
    <hyperlink ref="C12" r:id="rId23" tooltip="Open Prospect Profile" display="https://www.whatifsports.com/hbd/Pages/Popups/ProspectProfile.aspx?pid=13631506" xr:uid="{00000000-0004-0000-0000-000016000000}"/>
    <hyperlink ref="R12" r:id="rId24" tooltip="Open Prospect Profile" display="https://www.whatifsports.com/hbd/Pages/Popups/ProspectProfile.aspx?pid=13631506" xr:uid="{00000000-0004-0000-0000-000017000000}"/>
    <hyperlink ref="C13" r:id="rId25" tooltip="Open Prospect Profile" display="https://www.whatifsports.com/hbd/Pages/Popups/ProspectProfile.aspx?pid=13631714" xr:uid="{00000000-0004-0000-0000-000018000000}"/>
    <hyperlink ref="R13" r:id="rId26" tooltip="Open Prospect Profile" display="https://www.whatifsports.com/hbd/Pages/Popups/ProspectProfile.aspx?pid=13631714" xr:uid="{00000000-0004-0000-0000-000019000000}"/>
    <hyperlink ref="C14" r:id="rId27" tooltip="Open Prospect Profile" display="https://www.whatifsports.com/hbd/Pages/Popups/ProspectProfile.aspx?pid=13631607" xr:uid="{00000000-0004-0000-0000-00001A000000}"/>
    <hyperlink ref="R14" r:id="rId28" tooltip="Open Prospect Profile" display="https://www.whatifsports.com/hbd/Pages/Popups/ProspectProfile.aspx?pid=13631607" xr:uid="{00000000-0004-0000-0000-00001B000000}"/>
    <hyperlink ref="C15" r:id="rId29" tooltip="Open Prospect Profile" display="https://www.whatifsports.com/hbd/Pages/Popups/ProspectProfile.aspx?pid=13631505" xr:uid="{00000000-0004-0000-0000-00001C000000}"/>
    <hyperlink ref="R15" r:id="rId30" tooltip="Open Prospect Profile" display="https://www.whatifsports.com/hbd/Pages/Popups/ProspectProfile.aspx?pid=13631505" xr:uid="{00000000-0004-0000-0000-00001D000000}"/>
    <hyperlink ref="C16" r:id="rId31" tooltip="Open Prospect Profile" display="https://www.whatifsports.com/hbd/Pages/Popups/ProspectProfile.aspx?pid=13631837" xr:uid="{00000000-0004-0000-0000-00001E000000}"/>
    <hyperlink ref="R16" r:id="rId32" tooltip="Open Prospect Profile" display="https://www.whatifsports.com/hbd/Pages/Popups/ProspectProfile.aspx?pid=13631837" xr:uid="{00000000-0004-0000-0000-00001F000000}"/>
    <hyperlink ref="C17" r:id="rId33" tooltip="Open Prospect Profile" display="https://www.whatifsports.com/hbd/Pages/Popups/ProspectProfile.aspx?pid=13631674" xr:uid="{00000000-0004-0000-0000-000020000000}"/>
    <hyperlink ref="R17" r:id="rId34" tooltip="Open Prospect Profile" display="https://www.whatifsports.com/hbd/Pages/Popups/ProspectProfile.aspx?pid=13631674" xr:uid="{00000000-0004-0000-0000-000021000000}"/>
    <hyperlink ref="C18" r:id="rId35" tooltip="Open Prospect Profile" display="https://www.whatifsports.com/hbd/Pages/Popups/ProspectProfile.aspx?pid=13631677" xr:uid="{00000000-0004-0000-0000-000022000000}"/>
    <hyperlink ref="R18" r:id="rId36" tooltip="Open Prospect Profile" display="https://www.whatifsports.com/hbd/Pages/Popups/ProspectProfile.aspx?pid=13631677" xr:uid="{00000000-0004-0000-0000-000023000000}"/>
    <hyperlink ref="C19" r:id="rId37" tooltip="Open Prospect Profile" display="https://www.whatifsports.com/hbd/Pages/Popups/ProspectProfile.aspx?pid=13631767" xr:uid="{00000000-0004-0000-0000-000024000000}"/>
    <hyperlink ref="R19" r:id="rId38" tooltip="Open Prospect Profile" display="https://www.whatifsports.com/hbd/Pages/Popups/ProspectProfile.aspx?pid=13631767" xr:uid="{00000000-0004-0000-0000-000025000000}"/>
    <hyperlink ref="C20" r:id="rId39" tooltip="Open Prospect Profile" display="https://www.whatifsports.com/hbd/Pages/Popups/ProspectProfile.aspx?pid=13631772" xr:uid="{00000000-0004-0000-0000-000026000000}"/>
    <hyperlink ref="R20" r:id="rId40" tooltip="Open Prospect Profile" display="https://www.whatifsports.com/hbd/Pages/Popups/ProspectProfile.aspx?pid=13631772" xr:uid="{00000000-0004-0000-0000-000027000000}"/>
    <hyperlink ref="C21" r:id="rId41" tooltip="Open Prospect Profile" display="https://www.whatifsports.com/hbd/Pages/Popups/ProspectProfile.aspx?pid=13631605" xr:uid="{00000000-0004-0000-0000-000028000000}"/>
    <hyperlink ref="R21" r:id="rId42" tooltip="Open Prospect Profile" display="https://www.whatifsports.com/hbd/Pages/Popups/ProspectProfile.aspx?pid=13631605" xr:uid="{00000000-0004-0000-0000-000029000000}"/>
    <hyperlink ref="C22" r:id="rId43" tooltip="Open Prospect Profile" display="https://www.whatifsports.com/hbd/Pages/Popups/ProspectProfile.aspx?pid=13631591" xr:uid="{00000000-0004-0000-0000-00002A000000}"/>
    <hyperlink ref="R22" r:id="rId44" tooltip="Open Prospect Profile" display="https://www.whatifsports.com/hbd/Pages/Popups/ProspectProfile.aspx?pid=13631591" xr:uid="{00000000-0004-0000-0000-00002B000000}"/>
    <hyperlink ref="C23" r:id="rId45" tooltip="Open Prospect Profile" display="https://www.whatifsports.com/hbd/Pages/Popups/ProspectProfile.aspx?pid=13631673" xr:uid="{00000000-0004-0000-0000-00002C000000}"/>
    <hyperlink ref="R23" r:id="rId46" tooltip="Open Prospect Profile" display="https://www.whatifsports.com/hbd/Pages/Popups/ProspectProfile.aspx?pid=13631673" xr:uid="{00000000-0004-0000-0000-00002D000000}"/>
    <hyperlink ref="C24" r:id="rId47" tooltip="Open Prospect Profile" display="https://www.whatifsports.com/hbd/Pages/Popups/ProspectProfile.aspx?pid=13631672" xr:uid="{00000000-0004-0000-0000-00002E000000}"/>
    <hyperlink ref="R24" r:id="rId48" tooltip="Open Prospect Profile" display="https://www.whatifsports.com/hbd/Pages/Popups/ProspectProfile.aspx?pid=13631672" xr:uid="{00000000-0004-0000-0000-00002F000000}"/>
    <hyperlink ref="C25" r:id="rId49" tooltip="Open Prospect Profile" display="https://www.whatifsports.com/hbd/Pages/Popups/ProspectProfile.aspx?pid=13631678" xr:uid="{00000000-0004-0000-0000-000030000000}"/>
    <hyperlink ref="R25" r:id="rId50" tooltip="Open Prospect Profile" display="https://www.whatifsports.com/hbd/Pages/Popups/ProspectProfile.aspx?pid=13631678" xr:uid="{00000000-0004-0000-0000-000031000000}"/>
    <hyperlink ref="C26" r:id="rId51" tooltip="Open Prospect Profile" display="https://www.whatifsports.com/hbd/Pages/Popups/ProspectProfile.aspx?pid=13631667" xr:uid="{00000000-0004-0000-0000-000032000000}"/>
    <hyperlink ref="R26" r:id="rId52" tooltip="Open Prospect Profile" display="https://www.whatifsports.com/hbd/Pages/Popups/ProspectProfile.aspx?pid=13631667" xr:uid="{00000000-0004-0000-0000-000033000000}"/>
    <hyperlink ref="C27" r:id="rId53" tooltip="Open Prospect Profile" display="https://www.whatifsports.com/hbd/Pages/Popups/ProspectProfile.aspx?pid=13631429" xr:uid="{00000000-0004-0000-0000-000034000000}"/>
    <hyperlink ref="R27" r:id="rId54" tooltip="Open Prospect Profile" display="https://www.whatifsports.com/hbd/Pages/Popups/ProspectProfile.aspx?pid=13631429" xr:uid="{00000000-0004-0000-0000-000035000000}"/>
    <hyperlink ref="C28" r:id="rId55" tooltip="Open Prospect Profile" display="https://www.whatifsports.com/hbd/Pages/Popups/ProspectProfile.aspx?pid=13631507" xr:uid="{00000000-0004-0000-0000-000036000000}"/>
    <hyperlink ref="R28" r:id="rId56" tooltip="Open Prospect Profile" display="https://www.whatifsports.com/hbd/Pages/Popups/ProspectProfile.aspx?pid=13631507" xr:uid="{00000000-0004-0000-0000-000037000000}"/>
    <hyperlink ref="C29" r:id="rId57" tooltip="Open Prospect Profile" display="https://www.whatifsports.com/hbd/Pages/Popups/ProspectProfile.aspx?pid=13631775" xr:uid="{00000000-0004-0000-0000-000038000000}"/>
    <hyperlink ref="R29" r:id="rId58" tooltip="Open Prospect Profile" display="https://www.whatifsports.com/hbd/Pages/Popups/ProspectProfile.aspx?pid=13631775" xr:uid="{00000000-0004-0000-0000-000039000000}"/>
    <hyperlink ref="C30" r:id="rId59" tooltip="Open Prospect Profile" display="https://www.whatifsports.com/hbd/Pages/Popups/ProspectProfile.aspx?pid=13631585" xr:uid="{00000000-0004-0000-0000-00003A000000}"/>
    <hyperlink ref="R30" r:id="rId60" tooltip="Open Prospect Profile" display="https://www.whatifsports.com/hbd/Pages/Popups/ProspectProfile.aspx?pid=13631585" xr:uid="{00000000-0004-0000-0000-00003B000000}"/>
    <hyperlink ref="C31" r:id="rId61" tooltip="Open Prospect Profile" display="https://www.whatifsports.com/hbd/Pages/Popups/ProspectProfile.aspx?pid=13631833" xr:uid="{00000000-0004-0000-0000-00003C000000}"/>
    <hyperlink ref="R31" r:id="rId62" tooltip="Open Prospect Profile" display="https://www.whatifsports.com/hbd/Pages/Popups/ProspectProfile.aspx?pid=13631833" xr:uid="{00000000-0004-0000-0000-00003D000000}"/>
    <hyperlink ref="C32" r:id="rId63" tooltip="Open Prospect Profile" display="https://www.whatifsports.com/hbd/Pages/Popups/ProspectProfile.aspx?pid=13631454" xr:uid="{00000000-0004-0000-0000-00003E000000}"/>
    <hyperlink ref="R32" r:id="rId64" tooltip="Open Prospect Profile" display="https://www.whatifsports.com/hbd/Pages/Popups/ProspectProfile.aspx?pid=13631454" xr:uid="{00000000-0004-0000-0000-00003F000000}"/>
    <hyperlink ref="C33" r:id="rId65" tooltip="Open Prospect Profile" display="https://www.whatifsports.com/hbd/Pages/Popups/ProspectProfile.aspx?pid=13631551" xr:uid="{00000000-0004-0000-0000-000040000000}"/>
    <hyperlink ref="R33" r:id="rId66" tooltip="Open Prospect Profile" display="https://www.whatifsports.com/hbd/Pages/Popups/ProspectProfile.aspx?pid=13631551" xr:uid="{00000000-0004-0000-0000-000041000000}"/>
    <hyperlink ref="C34" r:id="rId67" tooltip="Open Prospect Profile" display="https://www.whatifsports.com/hbd/Pages/Popups/ProspectProfile.aspx?pid=13631725" xr:uid="{00000000-0004-0000-0000-000042000000}"/>
    <hyperlink ref="R34" r:id="rId68" tooltip="Open Prospect Profile" display="https://www.whatifsports.com/hbd/Pages/Popups/ProspectProfile.aspx?pid=13631725" xr:uid="{00000000-0004-0000-0000-000043000000}"/>
    <hyperlink ref="C35" r:id="rId69" tooltip="Open Prospect Profile" display="https://www.whatifsports.com/hbd/Pages/Popups/ProspectProfile.aspx?pid=13631768" xr:uid="{00000000-0004-0000-0000-000044000000}"/>
    <hyperlink ref="R35" r:id="rId70" tooltip="Open Prospect Profile" display="https://www.whatifsports.com/hbd/Pages/Popups/ProspectProfile.aspx?pid=13631768" xr:uid="{00000000-0004-0000-0000-000045000000}"/>
    <hyperlink ref="C36" r:id="rId71" tooltip="Open Prospect Profile" display="https://www.whatifsports.com/hbd/Pages/Popups/ProspectProfile.aspx?pid=13631617" xr:uid="{00000000-0004-0000-0000-000046000000}"/>
    <hyperlink ref="R36" r:id="rId72" tooltip="Open Prospect Profile" display="https://www.whatifsports.com/hbd/Pages/Popups/ProspectProfile.aspx?pid=13631617" xr:uid="{00000000-0004-0000-0000-000047000000}"/>
    <hyperlink ref="C37" r:id="rId73" tooltip="Open Prospect Profile" display="https://www.whatifsports.com/hbd/Pages/Popups/ProspectProfile.aspx?pid=13631763" xr:uid="{00000000-0004-0000-0000-000048000000}"/>
    <hyperlink ref="R37" r:id="rId74" tooltip="Open Prospect Profile" display="https://www.whatifsports.com/hbd/Pages/Popups/ProspectProfile.aspx?pid=13631763" xr:uid="{00000000-0004-0000-0000-000049000000}"/>
    <hyperlink ref="C38" r:id="rId75" tooltip="Open Prospect Profile" display="https://www.whatifsports.com/hbd/Pages/Popups/ProspectProfile.aspx?pid=13631823" xr:uid="{00000000-0004-0000-0000-00004A000000}"/>
    <hyperlink ref="R38" r:id="rId76" tooltip="Open Prospect Profile" display="https://www.whatifsports.com/hbd/Pages/Popups/ProspectProfile.aspx?pid=13631823" xr:uid="{00000000-0004-0000-0000-00004B000000}"/>
    <hyperlink ref="C39" r:id="rId77" tooltip="Open Prospect Profile" display="https://www.whatifsports.com/hbd/Pages/Popups/ProspectProfile.aspx?pid=13631730" xr:uid="{00000000-0004-0000-0000-00004C000000}"/>
    <hyperlink ref="R39" r:id="rId78" tooltip="Open Prospect Profile" display="https://www.whatifsports.com/hbd/Pages/Popups/ProspectProfile.aspx?pid=13631730" xr:uid="{00000000-0004-0000-0000-00004D000000}"/>
    <hyperlink ref="C40" r:id="rId79" tooltip="Open Prospect Profile" display="https://www.whatifsports.com/hbd/Pages/Popups/ProspectProfile.aspx?pid=13631583" xr:uid="{00000000-0004-0000-0000-00004E000000}"/>
    <hyperlink ref="R40" r:id="rId80" tooltip="Open Prospect Profile" display="https://www.whatifsports.com/hbd/Pages/Popups/ProspectProfile.aspx?pid=13631583" xr:uid="{00000000-0004-0000-0000-00004F000000}"/>
    <hyperlink ref="C41" r:id="rId81" tooltip="Open Prospect Profile" display="https://www.whatifsports.com/hbd/Pages/Popups/ProspectProfile.aspx?pid=13631552" xr:uid="{00000000-0004-0000-0000-000050000000}"/>
    <hyperlink ref="R41" r:id="rId82" tooltip="Open Prospect Profile" display="https://www.whatifsports.com/hbd/Pages/Popups/ProspectProfile.aspx?pid=13631552" xr:uid="{00000000-0004-0000-0000-000051000000}"/>
    <hyperlink ref="C42" r:id="rId83" tooltip="Open Prospect Profile" display="https://www.whatifsports.com/hbd/Pages/Popups/ProspectProfile.aspx?pid=13631818" xr:uid="{00000000-0004-0000-0000-000052000000}"/>
    <hyperlink ref="R42" r:id="rId84" tooltip="Open Prospect Profile" display="https://www.whatifsports.com/hbd/Pages/Popups/ProspectProfile.aspx?pid=13631818" xr:uid="{00000000-0004-0000-0000-000053000000}"/>
    <hyperlink ref="C43" r:id="rId85" tooltip="Open Prospect Profile" display="https://www.whatifsports.com/hbd/Pages/Popups/ProspectProfile.aspx?pid=13631555" xr:uid="{00000000-0004-0000-0000-000054000000}"/>
    <hyperlink ref="R43" r:id="rId86" tooltip="Open Prospect Profile" display="https://www.whatifsports.com/hbd/Pages/Popups/ProspectProfile.aspx?pid=13631555" xr:uid="{00000000-0004-0000-0000-000055000000}"/>
    <hyperlink ref="C44" r:id="rId87" tooltip="Open Prospect Profile" display="https://www.whatifsports.com/hbd/Pages/Popups/ProspectProfile.aspx?pid=13631409" xr:uid="{00000000-0004-0000-0000-000056000000}"/>
    <hyperlink ref="R44" r:id="rId88" tooltip="Open Prospect Profile" display="https://www.whatifsports.com/hbd/Pages/Popups/ProspectProfile.aspx?pid=13631409" xr:uid="{00000000-0004-0000-0000-000057000000}"/>
    <hyperlink ref="C45" r:id="rId89" tooltip="Open Prospect Profile" display="https://www.whatifsports.com/hbd/Pages/Popups/ProspectProfile.aspx?pid=13631601" xr:uid="{00000000-0004-0000-0000-000058000000}"/>
    <hyperlink ref="R45" r:id="rId90" tooltip="Open Prospect Profile" display="https://www.whatifsports.com/hbd/Pages/Popups/ProspectProfile.aspx?pid=13631601" xr:uid="{00000000-0004-0000-0000-000059000000}"/>
    <hyperlink ref="C46" r:id="rId91" tooltip="Open Prospect Profile" display="https://www.whatifsports.com/hbd/Pages/Popups/ProspectProfile.aspx?pid=13631838" xr:uid="{00000000-0004-0000-0000-00005A000000}"/>
    <hyperlink ref="R46" r:id="rId92" tooltip="Open Prospect Profile" display="https://www.whatifsports.com/hbd/Pages/Popups/ProspectProfile.aspx?pid=13631838" xr:uid="{00000000-0004-0000-0000-00005B000000}"/>
    <hyperlink ref="C47" r:id="rId93" tooltip="Open Prospect Profile" display="https://www.whatifsports.com/hbd/Pages/Popups/ProspectProfile.aspx?pid=13631839" xr:uid="{00000000-0004-0000-0000-00005C000000}"/>
    <hyperlink ref="R47" r:id="rId94" tooltip="Open Prospect Profile" display="https://www.whatifsports.com/hbd/Pages/Popups/ProspectProfile.aspx?pid=13631839" xr:uid="{00000000-0004-0000-0000-00005D000000}"/>
    <hyperlink ref="C48" r:id="rId95" tooltip="Open Prospect Profile" display="https://www.whatifsports.com/hbd/Pages/Popups/ProspectProfile.aspx?pid=13631701" xr:uid="{00000000-0004-0000-0000-00005E000000}"/>
    <hyperlink ref="R48" r:id="rId96" tooltip="Open Prospect Profile" display="https://www.whatifsports.com/hbd/Pages/Popups/ProspectProfile.aspx?pid=13631701" xr:uid="{00000000-0004-0000-0000-00005F000000}"/>
    <hyperlink ref="C49" r:id="rId97" tooltip="Open Prospect Profile" display="https://www.whatifsports.com/hbd/Pages/Popups/ProspectProfile.aspx?pid=13631484" xr:uid="{00000000-0004-0000-0000-000060000000}"/>
    <hyperlink ref="R49" r:id="rId98" tooltip="Open Prospect Profile" display="https://www.whatifsports.com/hbd/Pages/Popups/ProspectProfile.aspx?pid=13631484" xr:uid="{00000000-0004-0000-0000-000061000000}"/>
    <hyperlink ref="C50" r:id="rId99" tooltip="Open Prospect Profile" display="https://www.whatifsports.com/hbd/Pages/Popups/ProspectProfile.aspx?pid=13631579" xr:uid="{00000000-0004-0000-0000-000062000000}"/>
    <hyperlink ref="R50" r:id="rId100" tooltip="Open Prospect Profile" display="https://www.whatifsports.com/hbd/Pages/Popups/ProspectProfile.aspx?pid=13631579" xr:uid="{00000000-0004-0000-0000-000063000000}"/>
    <hyperlink ref="C51" r:id="rId101" tooltip="Open Prospect Profile" display="https://www.whatifsports.com/hbd/Pages/Popups/ProspectProfile.aspx?pid=13631541" xr:uid="{00000000-0004-0000-0000-000064000000}"/>
    <hyperlink ref="R51" r:id="rId102" tooltip="Open Prospect Profile" display="https://www.whatifsports.com/hbd/Pages/Popups/ProspectProfile.aspx?pid=13631541" xr:uid="{00000000-0004-0000-0000-000065000000}"/>
    <hyperlink ref="C52" r:id="rId103" tooltip="Open Prospect Profile" display="https://www.whatifsports.com/hbd/Pages/Popups/ProspectProfile.aspx?pid=13631610" xr:uid="{00000000-0004-0000-0000-000066000000}"/>
    <hyperlink ref="R52" r:id="rId104" tooltip="Open Prospect Profile" display="https://www.whatifsports.com/hbd/Pages/Popups/ProspectProfile.aspx?pid=13631610" xr:uid="{00000000-0004-0000-0000-000067000000}"/>
    <hyperlink ref="C53" r:id="rId105" tooltip="Open Prospect Profile" display="https://www.whatifsports.com/hbd/Pages/Popups/ProspectProfile.aspx?pid=13631414" xr:uid="{00000000-0004-0000-0000-000068000000}"/>
    <hyperlink ref="R53" r:id="rId106" tooltip="Open Prospect Profile" display="https://www.whatifsports.com/hbd/Pages/Popups/ProspectProfile.aspx?pid=13631414" xr:uid="{00000000-0004-0000-0000-000069000000}"/>
    <hyperlink ref="C54" r:id="rId107" tooltip="Open Prospect Profile" display="https://www.whatifsports.com/hbd/Pages/Popups/ProspectProfile.aspx?pid=13631567" xr:uid="{00000000-0004-0000-0000-00006A000000}"/>
    <hyperlink ref="R54" r:id="rId108" tooltip="Open Prospect Profile" display="https://www.whatifsports.com/hbd/Pages/Popups/ProspectProfile.aspx?pid=13631567" xr:uid="{00000000-0004-0000-0000-00006B000000}"/>
    <hyperlink ref="C55" r:id="rId109" tooltip="Open Prospect Profile" display="https://www.whatifsports.com/hbd/Pages/Popups/ProspectProfile.aspx?pid=13631731" xr:uid="{00000000-0004-0000-0000-00006C000000}"/>
    <hyperlink ref="R55" r:id="rId110" tooltip="Open Prospect Profile" display="https://www.whatifsports.com/hbd/Pages/Popups/ProspectProfile.aspx?pid=13631731" xr:uid="{00000000-0004-0000-0000-00006D000000}"/>
    <hyperlink ref="C56" r:id="rId111" tooltip="Open Prospect Profile" display="https://www.whatifsports.com/hbd/Pages/Popups/ProspectProfile.aspx?pid=13631718" xr:uid="{00000000-0004-0000-0000-00006E000000}"/>
    <hyperlink ref="R56" r:id="rId112" tooltip="Open Prospect Profile" display="https://www.whatifsports.com/hbd/Pages/Popups/ProspectProfile.aspx?pid=13631718" xr:uid="{00000000-0004-0000-0000-00006F000000}"/>
    <hyperlink ref="C57" r:id="rId113" tooltip="Open Prospect Profile" display="https://www.whatifsports.com/hbd/Pages/Popups/ProspectProfile.aspx?pid=13631699" xr:uid="{00000000-0004-0000-0000-000070000000}"/>
    <hyperlink ref="R57" r:id="rId114" tooltip="Open Prospect Profile" display="https://www.whatifsports.com/hbd/Pages/Popups/ProspectProfile.aspx?pid=13631699" xr:uid="{00000000-0004-0000-0000-000071000000}"/>
    <hyperlink ref="C58" r:id="rId115" tooltip="Open Prospect Profile" display="https://www.whatifsports.com/hbd/Pages/Popups/ProspectProfile.aspx?pid=13631584" xr:uid="{00000000-0004-0000-0000-000072000000}"/>
    <hyperlink ref="R58" r:id="rId116" tooltip="Open Prospect Profile" display="https://www.whatifsports.com/hbd/Pages/Popups/ProspectProfile.aspx?pid=13631584" xr:uid="{00000000-0004-0000-0000-000073000000}"/>
    <hyperlink ref="C59" r:id="rId117" tooltip="Open Prospect Profile" display="https://www.whatifsports.com/hbd/Pages/Popups/ProspectProfile.aspx?pid=13631478" xr:uid="{00000000-0004-0000-0000-000074000000}"/>
    <hyperlink ref="R59" r:id="rId118" tooltip="Open Prospect Profile" display="https://www.whatifsports.com/hbd/Pages/Popups/ProspectProfile.aspx?pid=13631478" xr:uid="{00000000-0004-0000-0000-000075000000}"/>
    <hyperlink ref="C60" r:id="rId119" tooltip="Open Prospect Profile" display="https://www.whatifsports.com/hbd/Pages/Popups/ProspectProfile.aspx?pid=13631437" xr:uid="{00000000-0004-0000-0000-000076000000}"/>
    <hyperlink ref="R60" r:id="rId120" tooltip="Open Prospect Profile" display="https://www.whatifsports.com/hbd/Pages/Popups/ProspectProfile.aspx?pid=13631437" xr:uid="{00000000-0004-0000-0000-000077000000}"/>
    <hyperlink ref="C61" r:id="rId121" tooltip="Open Prospect Profile" display="https://www.whatifsports.com/hbd/Pages/Popups/ProspectProfile.aspx?pid=13631648" xr:uid="{00000000-0004-0000-0000-000078000000}"/>
    <hyperlink ref="R61" r:id="rId122" tooltip="Open Prospect Profile" display="https://www.whatifsports.com/hbd/Pages/Popups/ProspectProfile.aspx?pid=13631648" xr:uid="{00000000-0004-0000-0000-000079000000}"/>
    <hyperlink ref="C62" r:id="rId123" tooltip="Open Prospect Profile" display="https://www.whatifsports.com/hbd/Pages/Popups/ProspectProfile.aspx?pid=13631526" xr:uid="{00000000-0004-0000-0000-00007A000000}"/>
    <hyperlink ref="R62" r:id="rId124" tooltip="Open Prospect Profile" display="https://www.whatifsports.com/hbd/Pages/Popups/ProspectProfile.aspx?pid=13631526" xr:uid="{00000000-0004-0000-0000-00007B000000}"/>
    <hyperlink ref="C63" r:id="rId125" tooltip="Open Prospect Profile" display="https://www.whatifsports.com/hbd/Pages/Popups/ProspectProfile.aspx?pid=13631468" xr:uid="{00000000-0004-0000-0000-00007C000000}"/>
    <hyperlink ref="R63" r:id="rId126" tooltip="Open Prospect Profile" display="https://www.whatifsports.com/hbd/Pages/Popups/ProspectProfile.aspx?pid=13631468" xr:uid="{00000000-0004-0000-0000-00007D000000}"/>
    <hyperlink ref="C64" r:id="rId127" tooltip="Open Prospect Profile" display="https://www.whatifsports.com/hbd/Pages/Popups/ProspectProfile.aspx?pid=13631762" xr:uid="{00000000-0004-0000-0000-00007E000000}"/>
    <hyperlink ref="R64" r:id="rId128" tooltip="Open Prospect Profile" display="https://www.whatifsports.com/hbd/Pages/Popups/ProspectProfile.aspx?pid=13631762" xr:uid="{00000000-0004-0000-0000-00007F000000}"/>
    <hyperlink ref="C65" r:id="rId129" tooltip="Open Prospect Profile" display="https://www.whatifsports.com/hbd/Pages/Popups/ProspectProfile.aspx?pid=13631791" xr:uid="{00000000-0004-0000-0000-000080000000}"/>
    <hyperlink ref="R65" r:id="rId130" tooltip="Open Prospect Profile" display="https://www.whatifsports.com/hbd/Pages/Popups/ProspectProfile.aspx?pid=13631791" xr:uid="{00000000-0004-0000-0000-000081000000}"/>
    <hyperlink ref="C66" r:id="rId131" tooltip="Open Prospect Profile" display="https://www.whatifsports.com/hbd/Pages/Popups/ProspectProfile.aspx?pid=13631835" xr:uid="{00000000-0004-0000-0000-000082000000}"/>
    <hyperlink ref="R66" r:id="rId132" tooltip="Open Prospect Profile" display="https://www.whatifsports.com/hbd/Pages/Popups/ProspectProfile.aspx?pid=13631835" xr:uid="{00000000-0004-0000-0000-000083000000}"/>
    <hyperlink ref="C67" r:id="rId133" tooltip="Open Prospect Profile" display="https://www.whatifsports.com/hbd/Pages/Popups/ProspectProfile.aspx?pid=13631650" xr:uid="{00000000-0004-0000-0000-000084000000}"/>
    <hyperlink ref="R67" r:id="rId134" tooltip="Open Prospect Profile" display="https://www.whatifsports.com/hbd/Pages/Popups/ProspectProfile.aspx?pid=13631650" xr:uid="{00000000-0004-0000-0000-000085000000}"/>
    <hyperlink ref="C68" r:id="rId135" tooltip="Open Prospect Profile" display="https://www.whatifsports.com/hbd/Pages/Popups/ProspectProfile.aspx?pid=13631482" xr:uid="{00000000-0004-0000-0000-000086000000}"/>
    <hyperlink ref="R68" r:id="rId136" tooltip="Open Prospect Profile" display="https://www.whatifsports.com/hbd/Pages/Popups/ProspectProfile.aspx?pid=13631482" xr:uid="{00000000-0004-0000-0000-000087000000}"/>
    <hyperlink ref="C69" r:id="rId137" tooltip="Open Prospect Profile" display="https://www.whatifsports.com/hbd/Pages/Popups/ProspectProfile.aspx?pid=13631814" xr:uid="{00000000-0004-0000-0000-000088000000}"/>
    <hyperlink ref="R69" r:id="rId138" tooltip="Open Prospect Profile" display="https://www.whatifsports.com/hbd/Pages/Popups/ProspectProfile.aspx?pid=13631814" xr:uid="{00000000-0004-0000-0000-000089000000}"/>
    <hyperlink ref="C70" r:id="rId139" tooltip="Open Prospect Profile" display="https://www.whatifsports.com/hbd/Pages/Popups/ProspectProfile.aspx?pid=13631459" xr:uid="{00000000-0004-0000-0000-00008A000000}"/>
    <hyperlink ref="R70" r:id="rId140" tooltip="Open Prospect Profile" display="https://www.whatifsports.com/hbd/Pages/Popups/ProspectProfile.aspx?pid=13631459" xr:uid="{00000000-0004-0000-0000-00008B000000}"/>
    <hyperlink ref="C71" r:id="rId141" tooltip="Open Prospect Profile" display="https://www.whatifsports.com/hbd/Pages/Popups/ProspectProfile.aspx?pid=13631792" xr:uid="{00000000-0004-0000-0000-00008C000000}"/>
    <hyperlink ref="R71" r:id="rId142" tooltip="Open Prospect Profile" display="https://www.whatifsports.com/hbd/Pages/Popups/ProspectProfile.aspx?pid=13631792" xr:uid="{00000000-0004-0000-0000-00008D000000}"/>
    <hyperlink ref="C72" r:id="rId143" tooltip="Open Prospect Profile" display="https://www.whatifsports.com/hbd/Pages/Popups/ProspectProfile.aspx?pid=13631635" xr:uid="{00000000-0004-0000-0000-00008E000000}"/>
    <hyperlink ref="R72" r:id="rId144" tooltip="Open Prospect Profile" display="https://www.whatifsports.com/hbd/Pages/Popups/ProspectProfile.aspx?pid=13631635" xr:uid="{00000000-0004-0000-0000-00008F000000}"/>
    <hyperlink ref="C73" r:id="rId145" tooltip="Open Prospect Profile" display="https://www.whatifsports.com/hbd/Pages/Popups/ProspectProfile.aspx?pid=13631457" xr:uid="{00000000-0004-0000-0000-000090000000}"/>
    <hyperlink ref="R73" r:id="rId146" tooltip="Open Prospect Profile" display="https://www.whatifsports.com/hbd/Pages/Popups/ProspectProfile.aspx?pid=13631457" xr:uid="{00000000-0004-0000-0000-000091000000}"/>
    <hyperlink ref="C74" r:id="rId147" tooltip="Open Prospect Profile" display="https://www.whatifsports.com/hbd/Pages/Popups/ProspectProfile.aspx?pid=13631576" xr:uid="{00000000-0004-0000-0000-000092000000}"/>
    <hyperlink ref="R74" r:id="rId148" tooltip="Open Prospect Profile" display="https://www.whatifsports.com/hbd/Pages/Popups/ProspectProfile.aspx?pid=13631576" xr:uid="{00000000-0004-0000-0000-000093000000}"/>
    <hyperlink ref="C75" r:id="rId149" tooltip="Open Prospect Profile" display="https://www.whatifsports.com/hbd/Pages/Popups/ProspectProfile.aspx?pid=13631391" xr:uid="{00000000-0004-0000-0000-000094000000}"/>
    <hyperlink ref="R75" r:id="rId150" tooltip="Open Prospect Profile" display="https://www.whatifsports.com/hbd/Pages/Popups/ProspectProfile.aspx?pid=13631391" xr:uid="{00000000-0004-0000-0000-000095000000}"/>
    <hyperlink ref="C76" r:id="rId151" tooltip="Open Prospect Profile" display="https://www.whatifsports.com/hbd/Pages/Popups/ProspectProfile.aspx?pid=13631532" xr:uid="{00000000-0004-0000-0000-000096000000}"/>
    <hyperlink ref="R76" r:id="rId152" tooltip="Open Prospect Profile" display="https://www.whatifsports.com/hbd/Pages/Popups/ProspectProfile.aspx?pid=13631532" xr:uid="{00000000-0004-0000-0000-000097000000}"/>
    <hyperlink ref="C77" r:id="rId153" tooltip="Open Prospect Profile" display="https://www.whatifsports.com/hbd/Pages/Popups/ProspectProfile.aspx?pid=13631406" xr:uid="{00000000-0004-0000-0000-000098000000}"/>
    <hyperlink ref="R77" r:id="rId154" tooltip="Open Prospect Profile" display="https://www.whatifsports.com/hbd/Pages/Popups/ProspectProfile.aspx?pid=13631406" xr:uid="{00000000-0004-0000-0000-000099000000}"/>
    <hyperlink ref="C78" r:id="rId155" tooltip="Open Prospect Profile" display="https://www.whatifsports.com/hbd/Pages/Popups/ProspectProfile.aspx?pid=13631514" xr:uid="{00000000-0004-0000-0000-00009A000000}"/>
    <hyperlink ref="R78" r:id="rId156" tooltip="Open Prospect Profile" display="https://www.whatifsports.com/hbd/Pages/Popups/ProspectProfile.aspx?pid=13631514" xr:uid="{00000000-0004-0000-0000-00009B000000}"/>
    <hyperlink ref="C79" r:id="rId157" tooltip="Open Prospect Profile" display="https://www.whatifsports.com/hbd/Pages/Popups/ProspectProfile.aspx?pid=13631716" xr:uid="{00000000-0004-0000-0000-00009C000000}"/>
    <hyperlink ref="R79" r:id="rId158" tooltip="Open Prospect Profile" display="https://www.whatifsports.com/hbd/Pages/Popups/ProspectProfile.aspx?pid=13631716" xr:uid="{00000000-0004-0000-0000-00009D000000}"/>
    <hyperlink ref="C80" r:id="rId159" tooltip="Open Prospect Profile" display="https://www.whatifsports.com/hbd/Pages/Popups/ProspectProfile.aspx?pid=13631789" xr:uid="{00000000-0004-0000-0000-00009E000000}"/>
    <hyperlink ref="R80" r:id="rId160" tooltip="Open Prospect Profile" display="https://www.whatifsports.com/hbd/Pages/Popups/ProspectProfile.aspx?pid=13631789" xr:uid="{00000000-0004-0000-0000-00009F000000}"/>
    <hyperlink ref="C81" r:id="rId161" tooltip="Open Prospect Profile" display="https://www.whatifsports.com/hbd/Pages/Popups/ProspectProfile.aspx?pid=13632078" xr:uid="{00000000-0004-0000-0000-0000A0000000}"/>
    <hyperlink ref="R81" r:id="rId162" tooltip="Open Prospect Profile" display="https://www.whatifsports.com/hbd/Pages/Popups/ProspectProfile.aspx?pid=13632078" xr:uid="{00000000-0004-0000-0000-0000A1000000}"/>
    <hyperlink ref="C82" r:id="rId163" tooltip="Open Prospect Profile" display="https://www.whatifsports.com/hbd/Pages/Popups/ProspectProfile.aspx?pid=13631698" xr:uid="{00000000-0004-0000-0000-0000A2000000}"/>
    <hyperlink ref="R82" r:id="rId164" tooltip="Open Prospect Profile" display="https://www.whatifsports.com/hbd/Pages/Popups/ProspectProfile.aspx?pid=13631698" xr:uid="{00000000-0004-0000-0000-0000A3000000}"/>
    <hyperlink ref="C83" r:id="rId165" tooltip="Open Prospect Profile" display="https://www.whatifsports.com/hbd/Pages/Popups/ProspectProfile.aspx?pid=13631703" xr:uid="{00000000-0004-0000-0000-0000A4000000}"/>
    <hyperlink ref="R83" r:id="rId166" tooltip="Open Prospect Profile" display="https://www.whatifsports.com/hbd/Pages/Popups/ProspectProfile.aspx?pid=13631703" xr:uid="{00000000-0004-0000-0000-0000A5000000}"/>
    <hyperlink ref="C84" r:id="rId167" tooltip="Open Prospect Profile" display="https://www.whatifsports.com/hbd/Pages/Popups/ProspectProfile.aspx?pid=13631565" xr:uid="{00000000-0004-0000-0000-0000A6000000}"/>
    <hyperlink ref="R84" r:id="rId168" tooltip="Open Prospect Profile" display="https://www.whatifsports.com/hbd/Pages/Popups/ProspectProfile.aspx?pid=13631565" xr:uid="{00000000-0004-0000-0000-0000A7000000}"/>
    <hyperlink ref="C85" r:id="rId169" tooltip="Open Prospect Profile" display="https://www.whatifsports.com/hbd/Pages/Popups/ProspectProfile.aspx?pid=13631471" xr:uid="{00000000-0004-0000-0000-0000A8000000}"/>
    <hyperlink ref="R85" r:id="rId170" tooltip="Open Prospect Profile" display="https://www.whatifsports.com/hbd/Pages/Popups/ProspectProfile.aspx?pid=13631471" xr:uid="{00000000-0004-0000-0000-0000A9000000}"/>
    <hyperlink ref="C86" r:id="rId171" tooltip="Open Prospect Profile" display="https://www.whatifsports.com/hbd/Pages/Popups/ProspectProfile.aspx?pid=13631560" xr:uid="{00000000-0004-0000-0000-0000AA000000}"/>
    <hyperlink ref="R86" r:id="rId172" tooltip="Open Prospect Profile" display="https://www.whatifsports.com/hbd/Pages/Popups/ProspectProfile.aspx?pid=13631560" xr:uid="{00000000-0004-0000-0000-0000AB000000}"/>
    <hyperlink ref="C87" r:id="rId173" tooltip="Open Prospect Profile" display="https://www.whatifsports.com/hbd/Pages/Popups/ProspectProfile.aspx?pid=13631636" xr:uid="{00000000-0004-0000-0000-0000AC000000}"/>
    <hyperlink ref="R87" r:id="rId174" tooltip="Open Prospect Profile" display="https://www.whatifsports.com/hbd/Pages/Popups/ProspectProfile.aspx?pid=13631636" xr:uid="{00000000-0004-0000-0000-0000AD000000}"/>
    <hyperlink ref="C88" r:id="rId175" tooltip="Open Prospect Profile" display="https://www.whatifsports.com/hbd/Pages/Popups/ProspectProfile.aspx?pid=13631713" xr:uid="{00000000-0004-0000-0000-0000AE000000}"/>
    <hyperlink ref="R88" r:id="rId176" tooltip="Open Prospect Profile" display="https://www.whatifsports.com/hbd/Pages/Popups/ProspectProfile.aspx?pid=13631713" xr:uid="{00000000-0004-0000-0000-0000AF000000}"/>
    <hyperlink ref="C89" r:id="rId177" tooltip="Open Prospect Profile" display="https://www.whatifsports.com/hbd/Pages/Popups/ProspectProfile.aspx?pid=13631803" xr:uid="{00000000-0004-0000-0000-0000B0000000}"/>
    <hyperlink ref="R89" r:id="rId178" tooltip="Open Prospect Profile" display="https://www.whatifsports.com/hbd/Pages/Popups/ProspectProfile.aspx?pid=13631803" xr:uid="{00000000-0004-0000-0000-0000B1000000}"/>
    <hyperlink ref="C90" r:id="rId179" tooltip="Open Prospect Profile" display="https://www.whatifsports.com/hbd/Pages/Popups/ProspectProfile.aspx?pid=13631453" xr:uid="{00000000-0004-0000-0000-0000B2000000}"/>
    <hyperlink ref="R90" r:id="rId180" tooltip="Open Prospect Profile" display="https://www.whatifsports.com/hbd/Pages/Popups/ProspectProfile.aspx?pid=13631453" xr:uid="{00000000-0004-0000-0000-0000B3000000}"/>
    <hyperlink ref="C91" r:id="rId181" tooltip="Open Prospect Profile" display="https://www.whatifsports.com/hbd/Pages/Popups/ProspectProfile.aspx?pid=13631531" xr:uid="{00000000-0004-0000-0000-0000B4000000}"/>
    <hyperlink ref="R91" r:id="rId182" tooltip="Open Prospect Profile" display="https://www.whatifsports.com/hbd/Pages/Popups/ProspectProfile.aspx?pid=13631531" xr:uid="{00000000-0004-0000-0000-0000B5000000}"/>
    <hyperlink ref="C92" r:id="rId183" tooltip="Open Prospect Profile" display="https://www.whatifsports.com/hbd/Pages/Popups/ProspectProfile.aspx?pid=13631642" xr:uid="{00000000-0004-0000-0000-0000B6000000}"/>
    <hyperlink ref="R92" r:id="rId184" tooltip="Open Prospect Profile" display="https://www.whatifsports.com/hbd/Pages/Popups/ProspectProfile.aspx?pid=13631642" xr:uid="{00000000-0004-0000-0000-0000B7000000}"/>
    <hyperlink ref="C93" r:id="rId185" tooltip="Open Prospect Profile" display="https://www.whatifsports.com/hbd/Pages/Popups/ProspectProfile.aspx?pid=13631752" xr:uid="{00000000-0004-0000-0000-0000B8000000}"/>
    <hyperlink ref="R93" r:id="rId186" tooltip="Open Prospect Profile" display="https://www.whatifsports.com/hbd/Pages/Popups/ProspectProfile.aspx?pid=13631752" xr:uid="{00000000-0004-0000-0000-0000B9000000}"/>
    <hyperlink ref="C94" r:id="rId187" tooltip="Open Prospect Profile" display="https://www.whatifsports.com/hbd/Pages/Popups/ProspectProfile.aspx?pid=13631435" xr:uid="{00000000-0004-0000-0000-0000BA000000}"/>
    <hyperlink ref="R94" r:id="rId188" tooltip="Open Prospect Profile" display="https://www.whatifsports.com/hbd/Pages/Popups/ProspectProfile.aspx?pid=13631435" xr:uid="{00000000-0004-0000-0000-0000BB000000}"/>
    <hyperlink ref="C95" r:id="rId189" tooltip="Open Prospect Profile" display="https://www.whatifsports.com/hbd/Pages/Popups/ProspectProfile.aspx?pid=13632013" xr:uid="{00000000-0004-0000-0000-0000BC000000}"/>
    <hyperlink ref="R95" r:id="rId190" tooltip="Open Prospect Profile" display="https://www.whatifsports.com/hbd/Pages/Popups/ProspectProfile.aspx?pid=13632013" xr:uid="{00000000-0004-0000-0000-0000BD000000}"/>
    <hyperlink ref="C96" r:id="rId191" tooltip="Open Prospect Profile" display="https://www.whatifsports.com/hbd/Pages/Popups/ProspectProfile.aspx?pid=13631448" xr:uid="{00000000-0004-0000-0000-0000BE000000}"/>
    <hyperlink ref="R96" r:id="rId192" tooltip="Open Prospect Profile" display="https://www.whatifsports.com/hbd/Pages/Popups/ProspectProfile.aspx?pid=13631448" xr:uid="{00000000-0004-0000-0000-0000BF000000}"/>
    <hyperlink ref="C97" r:id="rId193" tooltip="Open Prospect Profile" display="https://www.whatifsports.com/hbd/Pages/Popups/ProspectProfile.aspx?pid=13631796" xr:uid="{00000000-0004-0000-0000-0000C0000000}"/>
    <hyperlink ref="R97" r:id="rId194" tooltip="Open Prospect Profile" display="https://www.whatifsports.com/hbd/Pages/Popups/ProspectProfile.aspx?pid=13631796" xr:uid="{00000000-0004-0000-0000-0000C1000000}"/>
    <hyperlink ref="C98" r:id="rId195" tooltip="Open Prospect Profile" display="https://www.whatifsports.com/hbd/Pages/Popups/ProspectProfile.aspx?pid=13631742" xr:uid="{00000000-0004-0000-0000-0000C2000000}"/>
    <hyperlink ref="R98" r:id="rId196" tooltip="Open Prospect Profile" display="https://www.whatifsports.com/hbd/Pages/Popups/ProspectProfile.aspx?pid=13631742" xr:uid="{00000000-0004-0000-0000-0000C3000000}"/>
    <hyperlink ref="C99" r:id="rId197" tooltip="Open Prospect Profile" display="https://www.whatifsports.com/hbd/Pages/Popups/ProspectProfile.aspx?pid=13631442" xr:uid="{00000000-0004-0000-0000-0000C4000000}"/>
    <hyperlink ref="R99" r:id="rId198" tooltip="Open Prospect Profile" display="https://www.whatifsports.com/hbd/Pages/Popups/ProspectProfile.aspx?pid=13631442" xr:uid="{00000000-0004-0000-0000-0000C5000000}"/>
    <hyperlink ref="C100" r:id="rId199" tooltip="Open Prospect Profile" display="https://www.whatifsports.com/hbd/Pages/Popups/ProspectProfile.aspx?pid=13631518" xr:uid="{00000000-0004-0000-0000-0000C6000000}"/>
    <hyperlink ref="R100" r:id="rId200" tooltip="Open Prospect Profile" display="https://www.whatifsports.com/hbd/Pages/Popups/ProspectProfile.aspx?pid=13631518" xr:uid="{00000000-0004-0000-0000-0000C7000000}"/>
    <hyperlink ref="C101" r:id="rId201" tooltip="Open Prospect Profile" display="https://www.whatifsports.com/hbd/Pages/Popups/ProspectProfile.aspx?pid=13631939" xr:uid="{00000000-0004-0000-0000-0000C8000000}"/>
    <hyperlink ref="R101" r:id="rId202" tooltip="Open Prospect Profile" display="https://www.whatifsports.com/hbd/Pages/Popups/ProspectProfile.aspx?pid=13631939" xr:uid="{00000000-0004-0000-0000-0000C9000000}"/>
    <hyperlink ref="C102" r:id="rId203" tooltip="Open Prospect Profile" display="https://www.whatifsports.com/hbd/Pages/Popups/ProspectProfile.aspx?pid=13631849" xr:uid="{00000000-0004-0000-0000-0000CA000000}"/>
    <hyperlink ref="R102" r:id="rId204" tooltip="Open Prospect Profile" display="https://www.whatifsports.com/hbd/Pages/Popups/ProspectProfile.aspx?pid=13631849" xr:uid="{00000000-0004-0000-0000-0000CB000000}"/>
    <hyperlink ref="C103" r:id="rId205" tooltip="Open Prospect Profile" display="https://www.whatifsports.com/hbd/Pages/Popups/ProspectProfile.aspx?pid=13631389" xr:uid="{00000000-0004-0000-0000-0000CC000000}"/>
    <hyperlink ref="R103" r:id="rId206" tooltip="Open Prospect Profile" display="https://www.whatifsports.com/hbd/Pages/Popups/ProspectProfile.aspx?pid=13631389" xr:uid="{00000000-0004-0000-0000-0000CD000000}"/>
    <hyperlink ref="C104" r:id="rId207" tooltip="Open Prospect Profile" display="https://www.whatifsports.com/hbd/Pages/Popups/ProspectProfile.aspx?pid=13631836" xr:uid="{00000000-0004-0000-0000-0000CE000000}"/>
    <hyperlink ref="R104" r:id="rId208" tooltip="Open Prospect Profile" display="https://www.whatifsports.com/hbd/Pages/Popups/ProspectProfile.aspx?pid=13631836" xr:uid="{00000000-0004-0000-0000-0000CF000000}"/>
    <hyperlink ref="C105" r:id="rId209" tooltip="Open Prospect Profile" display="https://www.whatifsports.com/hbd/Pages/Popups/ProspectProfile.aspx?pid=13631630" xr:uid="{00000000-0004-0000-0000-0000D0000000}"/>
    <hyperlink ref="R105" r:id="rId210" tooltip="Open Prospect Profile" display="https://www.whatifsports.com/hbd/Pages/Popups/ProspectProfile.aspx?pid=13631630" xr:uid="{00000000-0004-0000-0000-0000D1000000}"/>
    <hyperlink ref="C106" r:id="rId211" tooltip="Open Prospect Profile" display="https://www.whatifsports.com/hbd/Pages/Popups/ProspectProfile.aspx?pid=13632221" xr:uid="{00000000-0004-0000-0000-0000D2000000}"/>
    <hyperlink ref="R106" r:id="rId212" tooltip="Open Prospect Profile" display="https://www.whatifsports.com/hbd/Pages/Popups/ProspectProfile.aspx?pid=13632221" xr:uid="{00000000-0004-0000-0000-0000D3000000}"/>
    <hyperlink ref="C107" r:id="rId213" tooltip="Open Prospect Profile" display="https://www.whatifsports.com/hbd/Pages/Popups/ProspectProfile.aspx?pid=13631680" xr:uid="{00000000-0004-0000-0000-0000D4000000}"/>
    <hyperlink ref="R107" r:id="rId214" tooltip="Open Prospect Profile" display="https://www.whatifsports.com/hbd/Pages/Popups/ProspectProfile.aspx?pid=13631680" xr:uid="{00000000-0004-0000-0000-0000D5000000}"/>
    <hyperlink ref="C108" r:id="rId215" tooltip="Open Prospect Profile" display="https://www.whatifsports.com/hbd/Pages/Popups/ProspectProfile.aspx?pid=13631916" xr:uid="{00000000-0004-0000-0000-0000D6000000}"/>
    <hyperlink ref="R108" r:id="rId216" tooltip="Open Prospect Profile" display="https://www.whatifsports.com/hbd/Pages/Popups/ProspectProfile.aspx?pid=13631916" xr:uid="{00000000-0004-0000-0000-0000D7000000}"/>
    <hyperlink ref="C109" r:id="rId217" tooltip="Open Prospect Profile" display="https://www.whatifsports.com/hbd/Pages/Popups/ProspectProfile.aspx?pid=13632030" xr:uid="{00000000-0004-0000-0000-0000D8000000}"/>
    <hyperlink ref="R109" r:id="rId218" tooltip="Open Prospect Profile" display="https://www.whatifsports.com/hbd/Pages/Popups/ProspectProfile.aspx?pid=13632030" xr:uid="{00000000-0004-0000-0000-0000D9000000}"/>
    <hyperlink ref="C110" r:id="rId219" tooltip="Open Prospect Profile" display="https://www.whatifsports.com/hbd/Pages/Popups/ProspectProfile.aspx?pid=13632217" xr:uid="{00000000-0004-0000-0000-0000DA000000}"/>
    <hyperlink ref="R110" r:id="rId220" tooltip="Open Prospect Profile" display="https://www.whatifsports.com/hbd/Pages/Popups/ProspectProfile.aspx?pid=13632217" xr:uid="{00000000-0004-0000-0000-0000DB000000}"/>
    <hyperlink ref="C111" r:id="rId221" tooltip="Open Prospect Profile" display="https://www.whatifsports.com/hbd/Pages/Popups/ProspectProfile.aspx?pid=13631780" xr:uid="{00000000-0004-0000-0000-0000DC000000}"/>
    <hyperlink ref="R111" r:id="rId222" tooltip="Open Prospect Profile" display="https://www.whatifsports.com/hbd/Pages/Popups/ProspectProfile.aspx?pid=13631780" xr:uid="{00000000-0004-0000-0000-0000DD000000}"/>
    <hyperlink ref="C112" r:id="rId223" tooltip="Open Prospect Profile" display="https://www.whatifsports.com/hbd/Pages/Popups/ProspectProfile.aspx?pid=13632238" xr:uid="{00000000-0004-0000-0000-0000DE000000}"/>
    <hyperlink ref="R112" r:id="rId224" tooltip="Open Prospect Profile" display="https://www.whatifsports.com/hbd/Pages/Popups/ProspectProfile.aspx?pid=13632238" xr:uid="{00000000-0004-0000-0000-0000DF000000}"/>
    <hyperlink ref="C113" r:id="rId225" tooltip="Open Prospect Profile" display="https://www.whatifsports.com/hbd/Pages/Popups/ProspectProfile.aspx?pid=13631977" xr:uid="{00000000-0004-0000-0000-0000E0000000}"/>
    <hyperlink ref="R113" r:id="rId226" tooltip="Open Prospect Profile" display="https://www.whatifsports.com/hbd/Pages/Popups/ProspectProfile.aspx?pid=13631977" xr:uid="{00000000-0004-0000-0000-0000E1000000}"/>
    <hyperlink ref="C114" r:id="rId227" tooltip="Open Prospect Profile" display="https://www.whatifsports.com/hbd/Pages/Popups/ProspectProfile.aspx?pid=13632207" xr:uid="{00000000-0004-0000-0000-0000E2000000}"/>
    <hyperlink ref="R114" r:id="rId228" tooltip="Open Prospect Profile" display="https://www.whatifsports.com/hbd/Pages/Popups/ProspectProfile.aspx?pid=13632207" xr:uid="{00000000-0004-0000-0000-0000E3000000}"/>
    <hyperlink ref="C115" r:id="rId229" tooltip="Open Prospect Profile" display="https://www.whatifsports.com/hbd/Pages/Popups/ProspectProfile.aspx?pid=13632212" xr:uid="{00000000-0004-0000-0000-0000E4000000}"/>
    <hyperlink ref="R115" r:id="rId230" tooltip="Open Prospect Profile" display="https://www.whatifsports.com/hbd/Pages/Popups/ProspectProfile.aspx?pid=13632212" xr:uid="{00000000-0004-0000-0000-0000E5000000}"/>
    <hyperlink ref="C116" r:id="rId231" tooltip="Open Prospect Profile" display="https://www.whatifsports.com/hbd/Pages/Popups/ProspectProfile.aspx?pid=13631900" xr:uid="{00000000-0004-0000-0000-0000E6000000}"/>
    <hyperlink ref="R116" r:id="rId232" tooltip="Open Prospect Profile" display="https://www.whatifsports.com/hbd/Pages/Popups/ProspectProfile.aspx?pid=13631900" xr:uid="{00000000-0004-0000-0000-0000E7000000}"/>
    <hyperlink ref="C117" r:id="rId233" tooltip="Open Prospect Profile" display="https://www.whatifsports.com/hbd/Pages/Popups/ProspectProfile.aspx?pid=13631516" xr:uid="{00000000-0004-0000-0000-0000E8000000}"/>
    <hyperlink ref="R117" r:id="rId234" tooltip="Open Prospect Profile" display="https://www.whatifsports.com/hbd/Pages/Popups/ProspectProfile.aspx?pid=13631516" xr:uid="{00000000-0004-0000-0000-0000E9000000}"/>
    <hyperlink ref="C118" r:id="rId235" tooltip="Open Prospect Profile" display="https://www.whatifsports.com/hbd/Pages/Popups/ProspectProfile.aspx?pid=13632087" xr:uid="{00000000-0004-0000-0000-0000EA000000}"/>
    <hyperlink ref="R118" r:id="rId236" tooltip="Open Prospect Profile" display="https://www.whatifsports.com/hbd/Pages/Popups/ProspectProfile.aspx?pid=13632087" xr:uid="{00000000-0004-0000-0000-0000EB000000}"/>
    <hyperlink ref="C119" r:id="rId237" tooltip="Open Prospect Profile" display="https://www.whatifsports.com/hbd/Pages/Popups/ProspectProfile.aspx?pid=13632171" xr:uid="{00000000-0004-0000-0000-0000EC000000}"/>
    <hyperlink ref="R119" r:id="rId238" tooltip="Open Prospect Profile" display="https://www.whatifsports.com/hbd/Pages/Popups/ProspectProfile.aspx?pid=13632171" xr:uid="{00000000-0004-0000-0000-0000ED000000}"/>
    <hyperlink ref="C120" r:id="rId239" tooltip="Open Prospect Profile" display="https://www.whatifsports.com/hbd/Pages/Popups/ProspectProfile.aspx?pid=13631808" xr:uid="{00000000-0004-0000-0000-0000EE000000}"/>
    <hyperlink ref="R120" r:id="rId240" tooltip="Open Prospect Profile" display="https://www.whatifsports.com/hbd/Pages/Popups/ProspectProfile.aspx?pid=13631808" xr:uid="{00000000-0004-0000-0000-0000EF000000}"/>
    <hyperlink ref="C121" r:id="rId241" tooltip="Open Prospect Profile" display="https://www.whatifsports.com/hbd/Pages/Popups/ProspectProfile.aspx?pid=13632130" xr:uid="{00000000-0004-0000-0000-0000F0000000}"/>
    <hyperlink ref="R121" r:id="rId242" tooltip="Open Prospect Profile" display="https://www.whatifsports.com/hbd/Pages/Popups/ProspectProfile.aspx?pid=13632130" xr:uid="{00000000-0004-0000-0000-0000F1000000}"/>
    <hyperlink ref="C122" r:id="rId243" tooltip="Open Prospect Profile" display="https://www.whatifsports.com/hbd/Pages/Popups/ProspectProfile.aspx?pid=13632115" xr:uid="{00000000-0004-0000-0000-0000F2000000}"/>
    <hyperlink ref="R122" r:id="rId244" tooltip="Open Prospect Profile" display="https://www.whatifsports.com/hbd/Pages/Popups/ProspectProfile.aspx?pid=13632115" xr:uid="{00000000-0004-0000-0000-0000F3000000}"/>
    <hyperlink ref="C123" r:id="rId245" tooltip="Open Prospect Profile" display="https://www.whatifsports.com/hbd/Pages/Popups/ProspectProfile.aspx?pid=13632123" xr:uid="{00000000-0004-0000-0000-0000F4000000}"/>
    <hyperlink ref="R123" r:id="rId246" tooltip="Open Prospect Profile" display="https://www.whatifsports.com/hbd/Pages/Popups/ProspectProfile.aspx?pid=13632123" xr:uid="{00000000-0004-0000-0000-0000F5000000}"/>
    <hyperlink ref="C124" r:id="rId247" tooltip="Open Prospect Profile" display="https://www.whatifsports.com/hbd/Pages/Popups/ProspectProfile.aspx?pid=13632211" xr:uid="{00000000-0004-0000-0000-0000F6000000}"/>
    <hyperlink ref="R124" r:id="rId248" tooltip="Open Prospect Profile" display="https://www.whatifsports.com/hbd/Pages/Popups/ProspectProfile.aspx?pid=13632211" xr:uid="{00000000-0004-0000-0000-0000F7000000}"/>
    <hyperlink ref="C125" r:id="rId249" tooltip="Open Prospect Profile" display="https://www.whatifsports.com/hbd/Pages/Popups/ProspectProfile.aspx?pid=13631802" xr:uid="{00000000-0004-0000-0000-0000F8000000}"/>
    <hyperlink ref="R125" r:id="rId250" tooltip="Open Prospect Profile" display="https://www.whatifsports.com/hbd/Pages/Popups/ProspectProfile.aspx?pid=13631802" xr:uid="{00000000-0004-0000-0000-0000F9000000}"/>
    <hyperlink ref="C126" r:id="rId251" tooltip="Open Prospect Profile" display="https://www.whatifsports.com/hbd/Pages/Popups/ProspectProfile.aspx?pid=13632224" xr:uid="{00000000-0004-0000-0000-0000FA000000}"/>
    <hyperlink ref="R126" r:id="rId252" tooltip="Open Prospect Profile" display="https://www.whatifsports.com/hbd/Pages/Popups/ProspectProfile.aspx?pid=13632224" xr:uid="{00000000-0004-0000-0000-0000FB000000}"/>
    <hyperlink ref="C127" r:id="rId253" tooltip="Open Prospect Profile" display="https://www.whatifsports.com/hbd/Pages/Popups/ProspectProfile.aspx?pid=13632154" xr:uid="{00000000-0004-0000-0000-0000FC000000}"/>
    <hyperlink ref="R127" r:id="rId254" tooltip="Open Prospect Profile" display="https://www.whatifsports.com/hbd/Pages/Popups/ProspectProfile.aspx?pid=13632154" xr:uid="{00000000-0004-0000-0000-0000FD000000}"/>
    <hyperlink ref="C128" r:id="rId255" tooltip="Open Prospect Profile" display="https://www.whatifsports.com/hbd/Pages/Popups/ProspectProfile.aspx?pid=13632169" xr:uid="{00000000-0004-0000-0000-0000FE000000}"/>
    <hyperlink ref="R128" r:id="rId256" tooltip="Open Prospect Profile" display="https://www.whatifsports.com/hbd/Pages/Popups/ProspectProfile.aspx?pid=13632169" xr:uid="{00000000-0004-0000-0000-0000FF000000}"/>
    <hyperlink ref="C129" r:id="rId257" tooltip="Open Prospect Profile" display="https://www.whatifsports.com/hbd/Pages/Popups/ProspectProfile.aspx?pid=13632164" xr:uid="{00000000-0004-0000-0000-000000010000}"/>
    <hyperlink ref="R129" r:id="rId258" tooltip="Open Prospect Profile" display="https://www.whatifsports.com/hbd/Pages/Popups/ProspectProfile.aspx?pid=13632164" xr:uid="{00000000-0004-0000-0000-000001010000}"/>
    <hyperlink ref="C130" r:id="rId259" tooltip="Open Prospect Profile" display="https://www.whatifsports.com/hbd/Pages/Popups/ProspectProfile.aspx?pid=13632194" xr:uid="{00000000-0004-0000-0000-000002010000}"/>
    <hyperlink ref="R130" r:id="rId260" tooltip="Open Prospect Profile" display="https://www.whatifsports.com/hbd/Pages/Popups/ProspectProfile.aspx?pid=13632194" xr:uid="{00000000-0004-0000-0000-000003010000}"/>
    <hyperlink ref="C131" r:id="rId261" tooltip="Open Prospect Profile" display="https://www.whatifsports.com/hbd/Pages/Popups/ProspectProfile.aspx?pid=13631882" xr:uid="{00000000-0004-0000-0000-000004010000}"/>
    <hyperlink ref="R131" r:id="rId262" tooltip="Open Prospect Profile" display="https://www.whatifsports.com/hbd/Pages/Popups/ProspectProfile.aspx?pid=13631882" xr:uid="{00000000-0004-0000-0000-000005010000}"/>
    <hyperlink ref="C132" r:id="rId263" tooltip="Open Prospect Profile" display="https://www.whatifsports.com/hbd/Pages/Popups/ProspectProfile.aspx?pid=13632104" xr:uid="{00000000-0004-0000-0000-000006010000}"/>
    <hyperlink ref="R132" r:id="rId264" tooltip="Open Prospect Profile" display="https://www.whatifsports.com/hbd/Pages/Popups/ProspectProfile.aspx?pid=13632104" xr:uid="{00000000-0004-0000-0000-000007010000}"/>
    <hyperlink ref="C133" r:id="rId265" tooltip="Open Prospect Profile" display="https://www.whatifsports.com/hbd/Pages/Popups/ProspectProfile.aspx?pid=13632001" xr:uid="{00000000-0004-0000-0000-000008010000}"/>
    <hyperlink ref="R133" r:id="rId266" tooltip="Open Prospect Profile" display="https://www.whatifsports.com/hbd/Pages/Popups/ProspectProfile.aspx?pid=13632001" xr:uid="{00000000-0004-0000-0000-000009010000}"/>
    <hyperlink ref="C134" r:id="rId267" tooltip="Open Prospect Profile" display="https://www.whatifsports.com/hbd/Pages/Popups/ProspectProfile.aspx?pid=13631885" xr:uid="{00000000-0004-0000-0000-00000A010000}"/>
    <hyperlink ref="R134" r:id="rId268" tooltip="Open Prospect Profile" display="https://www.whatifsports.com/hbd/Pages/Popups/ProspectProfile.aspx?pid=13631885" xr:uid="{00000000-0004-0000-0000-00000B010000}"/>
    <hyperlink ref="C135" r:id="rId269" tooltip="Open Prospect Profile" display="https://www.whatifsports.com/hbd/Pages/Popups/ProspectProfile.aspx?pid=13632048" xr:uid="{00000000-0004-0000-0000-00000C010000}"/>
    <hyperlink ref="R135" r:id="rId270" tooltip="Open Prospect Profile" display="https://www.whatifsports.com/hbd/Pages/Popups/ProspectProfile.aspx?pid=13632048" xr:uid="{00000000-0004-0000-0000-00000D010000}"/>
    <hyperlink ref="C136" r:id="rId271" tooltip="Open Prospect Profile" display="https://www.whatifsports.com/hbd/Pages/Popups/ProspectProfile.aspx?pid=13631874" xr:uid="{00000000-0004-0000-0000-00000E010000}"/>
    <hyperlink ref="R136" r:id="rId272" tooltip="Open Prospect Profile" display="https://www.whatifsports.com/hbd/Pages/Popups/ProspectProfile.aspx?pid=13631874" xr:uid="{00000000-0004-0000-0000-00000F010000}"/>
    <hyperlink ref="C137" r:id="rId273" tooltip="Open Prospect Profile" display="https://www.whatifsports.com/hbd/Pages/Popups/ProspectProfile.aspx?pid=13632035" xr:uid="{00000000-0004-0000-0000-000010010000}"/>
    <hyperlink ref="R137" r:id="rId274" tooltip="Open Prospect Profile" display="https://www.whatifsports.com/hbd/Pages/Popups/ProspectProfile.aspx?pid=13632035" xr:uid="{00000000-0004-0000-0000-000011010000}"/>
    <hyperlink ref="C138" r:id="rId275" tooltip="Open Prospect Profile" display="https://www.whatifsports.com/hbd/Pages/Popups/ProspectProfile.aspx?pid=13631989" xr:uid="{00000000-0004-0000-0000-000012010000}"/>
    <hyperlink ref="R138" r:id="rId276" tooltip="Open Prospect Profile" display="https://www.whatifsports.com/hbd/Pages/Popups/ProspectProfile.aspx?pid=13631989" xr:uid="{00000000-0004-0000-0000-000013010000}"/>
    <hyperlink ref="C139" r:id="rId277" tooltip="Open Prospect Profile" display="https://www.whatifsports.com/hbd/Pages/Popups/ProspectProfile.aspx?pid=13632237" xr:uid="{00000000-0004-0000-0000-000014010000}"/>
    <hyperlink ref="R139" r:id="rId278" tooltip="Open Prospect Profile" display="https://www.whatifsports.com/hbd/Pages/Popups/ProspectProfile.aspx?pid=13632237" xr:uid="{00000000-0004-0000-0000-000015010000}"/>
    <hyperlink ref="C140" r:id="rId279" tooltip="Open Prospect Profile" display="https://www.whatifsports.com/hbd/Pages/Popups/ProspectProfile.aspx?pid=13632204" xr:uid="{00000000-0004-0000-0000-000016010000}"/>
    <hyperlink ref="R140" r:id="rId280" tooltip="Open Prospect Profile" display="https://www.whatifsports.com/hbd/Pages/Popups/ProspectProfile.aspx?pid=13632204" xr:uid="{00000000-0004-0000-0000-000017010000}"/>
    <hyperlink ref="C141" r:id="rId281" tooltip="Open Prospect Profile" display="https://www.whatifsports.com/hbd/Pages/Popups/ProspectProfile.aspx?pid=13631877" xr:uid="{00000000-0004-0000-0000-000018010000}"/>
    <hyperlink ref="R141" r:id="rId282" tooltip="Open Prospect Profile" display="https://www.whatifsports.com/hbd/Pages/Popups/ProspectProfile.aspx?pid=13631877" xr:uid="{00000000-0004-0000-0000-000019010000}"/>
    <hyperlink ref="C142" r:id="rId283" tooltip="Open Prospect Profile" display="https://www.whatifsports.com/hbd/Pages/Popups/ProspectProfile.aspx?pid=13632084" xr:uid="{00000000-0004-0000-0000-00001A010000}"/>
    <hyperlink ref="R142" r:id="rId284" tooltip="Open Prospect Profile" display="https://www.whatifsports.com/hbd/Pages/Popups/ProspectProfile.aspx?pid=13632084" xr:uid="{00000000-0004-0000-0000-00001B010000}"/>
    <hyperlink ref="C143" r:id="rId285" tooltip="Open Prospect Profile" display="https://www.whatifsports.com/hbd/Pages/Popups/ProspectProfile.aspx?pid=13631994" xr:uid="{00000000-0004-0000-0000-00001C010000}"/>
    <hyperlink ref="R143" r:id="rId286" tooltip="Open Prospect Profile" display="https://www.whatifsports.com/hbd/Pages/Popups/ProspectProfile.aspx?pid=13631994" xr:uid="{00000000-0004-0000-0000-00001D010000}"/>
    <hyperlink ref="C144" r:id="rId287" tooltip="Open Prospect Profile" display="https://www.whatifsports.com/hbd/Pages/Popups/ProspectProfile.aspx?pid=13632075" xr:uid="{00000000-0004-0000-0000-00001E010000}"/>
    <hyperlink ref="R144" r:id="rId288" tooltip="Open Prospect Profile" display="https://www.whatifsports.com/hbd/Pages/Popups/ProspectProfile.aspx?pid=13632075" xr:uid="{00000000-0004-0000-0000-00001F010000}"/>
    <hyperlink ref="C145" r:id="rId289" tooltip="Open Prospect Profile" display="https://www.whatifsports.com/hbd/Pages/Popups/ProspectProfile.aspx?pid=13632113" xr:uid="{00000000-0004-0000-0000-000020010000}"/>
    <hyperlink ref="R145" r:id="rId290" tooltip="Open Prospect Profile" display="https://www.whatifsports.com/hbd/Pages/Popups/ProspectProfile.aspx?pid=13632113" xr:uid="{00000000-0004-0000-0000-000021010000}"/>
    <hyperlink ref="C146" r:id="rId291" tooltip="Open Prospect Profile" display="https://www.whatifsports.com/hbd/Pages/Popups/ProspectProfile.aspx?pid=13631913" xr:uid="{00000000-0004-0000-0000-000022010000}"/>
    <hyperlink ref="R146" r:id="rId292" tooltip="Open Prospect Profile" display="https://www.whatifsports.com/hbd/Pages/Popups/ProspectProfile.aspx?pid=13631913" xr:uid="{00000000-0004-0000-0000-000023010000}"/>
    <hyperlink ref="C147" r:id="rId293" tooltip="Open Prospect Profile" display="https://www.whatifsports.com/hbd/Pages/Popups/ProspectProfile.aspx?pid=13632229" xr:uid="{00000000-0004-0000-0000-000024010000}"/>
    <hyperlink ref="R147" r:id="rId294" tooltip="Open Prospect Profile" display="https://www.whatifsports.com/hbd/Pages/Popups/ProspectProfile.aspx?pid=13632229" xr:uid="{00000000-0004-0000-0000-000025010000}"/>
    <hyperlink ref="C148" r:id="rId295" tooltip="Open Prospect Profile" display="https://www.whatifsports.com/hbd/Pages/Popups/ProspectProfile.aspx?pid=13631871" xr:uid="{00000000-0004-0000-0000-000026010000}"/>
    <hyperlink ref="R148" r:id="rId296" tooltip="Open Prospect Profile" display="https://www.whatifsports.com/hbd/Pages/Popups/ProspectProfile.aspx?pid=13631871" xr:uid="{00000000-0004-0000-0000-000027010000}"/>
    <hyperlink ref="C149" r:id="rId297" tooltip="Open Prospect Profile" display="https://www.whatifsports.com/hbd/Pages/Popups/ProspectProfile.aspx?pid=13632216" xr:uid="{00000000-0004-0000-0000-000028010000}"/>
    <hyperlink ref="R149" r:id="rId298" tooltip="Open Prospect Profile" display="https://www.whatifsports.com/hbd/Pages/Popups/ProspectProfile.aspx?pid=13632216" xr:uid="{00000000-0004-0000-0000-000029010000}"/>
    <hyperlink ref="C150" r:id="rId299" tooltip="Open Prospect Profile" display="https://www.whatifsports.com/hbd/Pages/Popups/ProspectProfile.aspx?pid=13631963" xr:uid="{00000000-0004-0000-0000-00002A010000}"/>
    <hyperlink ref="R150" r:id="rId300" tooltip="Open Prospect Profile" display="https://www.whatifsports.com/hbd/Pages/Popups/ProspectProfile.aspx?pid=13631963" xr:uid="{00000000-0004-0000-0000-00002B010000}"/>
    <hyperlink ref="C151" r:id="rId301" tooltip="Open Prospect Profile" display="https://www.whatifsports.com/hbd/Pages/Popups/ProspectProfile.aspx?pid=13632168" xr:uid="{00000000-0004-0000-0000-00002C010000}"/>
    <hyperlink ref="R151" r:id="rId302" tooltip="Open Prospect Profile" display="https://www.whatifsports.com/hbd/Pages/Popups/ProspectProfile.aspx?pid=13632168" xr:uid="{00000000-0004-0000-0000-00002D010000}"/>
    <hyperlink ref="C152" r:id="rId303" tooltip="Open Prospect Profile" display="https://www.whatifsports.com/hbd/Pages/Popups/ProspectProfile.aspx?pid=13632143" xr:uid="{00000000-0004-0000-0000-00002E010000}"/>
    <hyperlink ref="R152" r:id="rId304" tooltip="Open Prospect Profile" display="https://www.whatifsports.com/hbd/Pages/Popups/ProspectProfile.aspx?pid=13632143" xr:uid="{00000000-0004-0000-0000-00002F010000}"/>
    <hyperlink ref="C153" r:id="rId305" tooltip="Open Prospect Profile" display="https://www.whatifsports.com/hbd/Pages/Popups/ProspectProfile.aspx?pid=13631972" xr:uid="{00000000-0004-0000-0000-000030010000}"/>
    <hyperlink ref="R153" r:id="rId306" tooltip="Open Prospect Profile" display="https://www.whatifsports.com/hbd/Pages/Popups/ProspectProfile.aspx?pid=13631972" xr:uid="{00000000-0004-0000-0000-000031010000}"/>
    <hyperlink ref="C154" r:id="rId307" tooltip="Open Prospect Profile" display="https://www.whatifsports.com/hbd/Pages/Popups/ProspectProfile.aspx?pid=13631910" xr:uid="{00000000-0004-0000-0000-000032010000}"/>
    <hyperlink ref="R154" r:id="rId308" tooltip="Open Prospect Profile" display="https://www.whatifsports.com/hbd/Pages/Popups/ProspectProfile.aspx?pid=13631910" xr:uid="{00000000-0004-0000-0000-000033010000}"/>
    <hyperlink ref="C155" r:id="rId309" tooltip="Open Prospect Profile" display="https://www.whatifsports.com/hbd/Pages/Popups/ProspectProfile.aspx?pid=13632099" xr:uid="{00000000-0004-0000-0000-000034010000}"/>
    <hyperlink ref="R155" r:id="rId310" tooltip="Open Prospect Profile" display="https://www.whatifsports.com/hbd/Pages/Popups/ProspectProfile.aspx?pid=13632099" xr:uid="{00000000-0004-0000-0000-000035010000}"/>
    <hyperlink ref="C156" r:id="rId311" tooltip="Open Prospect Profile" display="https://www.whatifsports.com/hbd/Pages/Popups/ProspectProfile.aspx?pid=13632107" xr:uid="{00000000-0004-0000-0000-000036010000}"/>
    <hyperlink ref="R156" r:id="rId312" tooltip="Open Prospect Profile" display="https://www.whatifsports.com/hbd/Pages/Popups/ProspectProfile.aspx?pid=13632107" xr:uid="{00000000-0004-0000-0000-000037010000}"/>
    <hyperlink ref="C157" r:id="rId313" tooltip="Open Prospect Profile" display="https://www.whatifsports.com/hbd/Pages/Popups/ProspectProfile.aspx?pid=13631852" xr:uid="{00000000-0004-0000-0000-000038010000}"/>
    <hyperlink ref="R157" r:id="rId314" tooltip="Open Prospect Profile" display="https://www.whatifsports.com/hbd/Pages/Popups/ProspectProfile.aspx?pid=13631852" xr:uid="{00000000-0004-0000-0000-000039010000}"/>
    <hyperlink ref="C158" r:id="rId315" tooltip="Open Prospect Profile" display="https://www.whatifsports.com/hbd/Pages/Popups/ProspectProfile.aspx?pid=13632085" xr:uid="{00000000-0004-0000-0000-00003A010000}"/>
    <hyperlink ref="R158" r:id="rId316" tooltip="Open Prospect Profile" display="https://www.whatifsports.com/hbd/Pages/Popups/ProspectProfile.aspx?pid=13632085" xr:uid="{00000000-0004-0000-0000-00003B010000}"/>
    <hyperlink ref="C159" r:id="rId317" tooltip="Open Prospect Profile" display="https://www.whatifsports.com/hbd/Pages/Popups/ProspectProfile.aspx?pid=13632233" xr:uid="{00000000-0004-0000-0000-00003C010000}"/>
    <hyperlink ref="R159" r:id="rId318" tooltip="Open Prospect Profile" display="https://www.whatifsports.com/hbd/Pages/Popups/ProspectProfile.aspx?pid=13632233" xr:uid="{00000000-0004-0000-0000-00003D010000}"/>
    <hyperlink ref="C160" r:id="rId319" tooltip="Open Prospect Profile" display="https://www.whatifsports.com/hbd/Pages/Popups/ProspectProfile.aspx?pid=13631844" xr:uid="{00000000-0004-0000-0000-00003E010000}"/>
    <hyperlink ref="R160" r:id="rId320" tooltip="Open Prospect Profile" display="https://www.whatifsports.com/hbd/Pages/Popups/ProspectProfile.aspx?pid=13631844" xr:uid="{00000000-0004-0000-0000-00003F010000}"/>
    <hyperlink ref="C161" r:id="rId321" tooltip="Open Prospect Profile" display="https://www.whatifsports.com/hbd/Pages/Popups/ProspectProfile.aspx?pid=13632052" xr:uid="{00000000-0004-0000-0000-000040010000}"/>
    <hyperlink ref="R161" r:id="rId322" tooltip="Open Prospect Profile" display="https://www.whatifsports.com/hbd/Pages/Popups/ProspectProfile.aspx?pid=13632052" xr:uid="{00000000-0004-0000-0000-000041010000}"/>
    <hyperlink ref="C162" r:id="rId323" tooltip="Open Prospect Profile" display="https://www.whatifsports.com/hbd/Pages/Popups/ProspectProfile.aspx?pid=13632066" xr:uid="{00000000-0004-0000-0000-000042010000}"/>
    <hyperlink ref="R162" r:id="rId324" tooltip="Open Prospect Profile" display="https://www.whatifsports.com/hbd/Pages/Popups/ProspectProfile.aspx?pid=13632066" xr:uid="{00000000-0004-0000-0000-000043010000}"/>
    <hyperlink ref="C163" r:id="rId325" tooltip="Open Prospect Profile" display="https://www.whatifsports.com/hbd/Pages/Popups/ProspectProfile.aspx?pid=13631876" xr:uid="{00000000-0004-0000-0000-000044010000}"/>
    <hyperlink ref="R163" r:id="rId326" tooltip="Open Prospect Profile" display="https://www.whatifsports.com/hbd/Pages/Popups/ProspectProfile.aspx?pid=13631876" xr:uid="{00000000-0004-0000-0000-000045010000}"/>
    <hyperlink ref="C164" r:id="rId327" tooltip="Open Prospect Profile" display="https://www.whatifsports.com/hbd/Pages/Popups/ProspectProfile.aspx?pid=13632178" xr:uid="{00000000-0004-0000-0000-000046010000}"/>
    <hyperlink ref="R164" r:id="rId328" tooltip="Open Prospect Profile" display="https://www.whatifsports.com/hbd/Pages/Popups/ProspectProfile.aspx?pid=13632178" xr:uid="{00000000-0004-0000-0000-000047010000}"/>
    <hyperlink ref="C165" r:id="rId329" tooltip="Open Prospect Profile" display="https://www.whatifsports.com/hbd/Pages/Popups/ProspectProfile.aspx?pid=13631945" xr:uid="{00000000-0004-0000-0000-000048010000}"/>
    <hyperlink ref="R165" r:id="rId330" tooltip="Open Prospect Profile" display="https://www.whatifsports.com/hbd/Pages/Popups/ProspectProfile.aspx?pid=13631945" xr:uid="{00000000-0004-0000-0000-000049010000}"/>
    <hyperlink ref="C166" r:id="rId331" tooltip="Open Prospect Profile" display="https://www.whatifsports.com/hbd/Pages/Popups/ProspectProfile.aspx?pid=13632131" xr:uid="{00000000-0004-0000-0000-00004A010000}"/>
    <hyperlink ref="R166" r:id="rId332" tooltip="Open Prospect Profile" display="https://www.whatifsports.com/hbd/Pages/Popups/ProspectProfile.aspx?pid=13632131" xr:uid="{00000000-0004-0000-0000-00004B010000}"/>
    <hyperlink ref="C167" r:id="rId333" tooltip="Open Prospect Profile" display="https://www.whatifsports.com/hbd/Pages/Popups/ProspectProfile.aspx?pid=13632201" xr:uid="{00000000-0004-0000-0000-00004C010000}"/>
    <hyperlink ref="R167" r:id="rId334" tooltip="Open Prospect Profile" display="https://www.whatifsports.com/hbd/Pages/Popups/ProspectProfile.aspx?pid=13632201" xr:uid="{00000000-0004-0000-0000-00004D010000}"/>
    <hyperlink ref="C168" r:id="rId335" tooltip="Open Prospect Profile" display="https://www.whatifsports.com/hbd/Pages/Popups/ProspectProfile.aspx?pid=13632071" xr:uid="{00000000-0004-0000-0000-00004E010000}"/>
    <hyperlink ref="R168" r:id="rId336" tooltip="Open Prospect Profile" display="https://www.whatifsports.com/hbd/Pages/Popups/ProspectProfile.aspx?pid=13632071" xr:uid="{00000000-0004-0000-0000-00004F010000}"/>
    <hyperlink ref="C169" r:id="rId337" tooltip="Open Prospect Profile" display="https://www.whatifsports.com/hbd/Pages/Popups/ProspectProfile.aspx?pid=13632197" xr:uid="{00000000-0004-0000-0000-000050010000}"/>
    <hyperlink ref="R169" r:id="rId338" tooltip="Open Prospect Profile" display="https://www.whatifsports.com/hbd/Pages/Popups/ProspectProfile.aspx?pid=13632197" xr:uid="{00000000-0004-0000-0000-000051010000}"/>
    <hyperlink ref="C170" r:id="rId339" tooltip="Open Prospect Profile" display="https://www.whatifsports.com/hbd/Pages/Popups/ProspectProfile.aspx?pid=13632232" xr:uid="{00000000-0004-0000-0000-000052010000}"/>
    <hyperlink ref="R170" r:id="rId340" tooltip="Open Prospect Profile" display="https://www.whatifsports.com/hbd/Pages/Popups/ProspectProfile.aspx?pid=13632232" xr:uid="{00000000-0004-0000-0000-000053010000}"/>
    <hyperlink ref="C171" r:id="rId341" tooltip="Open Prospect Profile" display="https://www.whatifsports.com/hbd/Pages/Popups/ProspectProfile.aspx?pid=13632223" xr:uid="{00000000-0004-0000-0000-000054010000}"/>
    <hyperlink ref="R171" r:id="rId342" tooltip="Open Prospect Profile" display="https://www.whatifsports.com/hbd/Pages/Popups/ProspectProfile.aspx?pid=13632223" xr:uid="{00000000-0004-0000-0000-000055010000}"/>
    <hyperlink ref="C172" r:id="rId343" tooltip="Open Prospect Profile" display="https://www.whatifsports.com/hbd/Pages/Popups/ProspectProfile.aspx?pid=13631875" xr:uid="{00000000-0004-0000-0000-000056010000}"/>
    <hyperlink ref="R172" r:id="rId344" tooltip="Open Prospect Profile" display="https://www.whatifsports.com/hbd/Pages/Popups/ProspectProfile.aspx?pid=13631875" xr:uid="{00000000-0004-0000-0000-000057010000}"/>
    <hyperlink ref="C173" r:id="rId345" tooltip="Open Prospect Profile" display="https://www.whatifsports.com/hbd/Pages/Popups/ProspectProfile.aspx?pid=13631863" xr:uid="{00000000-0004-0000-0000-000058010000}"/>
    <hyperlink ref="R173" r:id="rId346" tooltip="Open Prospect Profile" display="https://www.whatifsports.com/hbd/Pages/Popups/ProspectProfile.aspx?pid=13631863" xr:uid="{00000000-0004-0000-0000-000059010000}"/>
    <hyperlink ref="C174" r:id="rId347" tooltip="Open Prospect Profile" display="https://www.whatifsports.com/hbd/Pages/Popups/ProspectProfile.aspx?pid=13631896" xr:uid="{00000000-0004-0000-0000-00005A010000}"/>
    <hyperlink ref="R174" r:id="rId348" tooltip="Open Prospect Profile" display="https://www.whatifsports.com/hbd/Pages/Popups/ProspectProfile.aspx?pid=13631896" xr:uid="{00000000-0004-0000-0000-00005B010000}"/>
    <hyperlink ref="C175" r:id="rId349" tooltip="Open Prospect Profile" display="https://www.whatifsports.com/hbd/Pages/Popups/ProspectProfile.aspx?pid=13632160" xr:uid="{00000000-0004-0000-0000-00005C010000}"/>
    <hyperlink ref="R175" r:id="rId350" tooltip="Open Prospect Profile" display="https://www.whatifsports.com/hbd/Pages/Popups/ProspectProfile.aspx?pid=13632160" xr:uid="{00000000-0004-0000-0000-00005D010000}"/>
    <hyperlink ref="C176" r:id="rId351" tooltip="Open Prospect Profile" display="https://www.whatifsports.com/hbd/Pages/Popups/ProspectProfile.aspx?pid=13631860" xr:uid="{00000000-0004-0000-0000-00005E010000}"/>
    <hyperlink ref="R176" r:id="rId352" tooltip="Open Prospect Profile" display="https://www.whatifsports.com/hbd/Pages/Popups/ProspectProfile.aspx?pid=13631860" xr:uid="{00000000-0004-0000-0000-00005F010000}"/>
    <hyperlink ref="C177" r:id="rId353" tooltip="Open Prospect Profile" display="https://www.whatifsports.com/hbd/Pages/Popups/ProspectProfile.aspx?pid=13632208" xr:uid="{00000000-0004-0000-0000-000060010000}"/>
    <hyperlink ref="R177" r:id="rId354" tooltip="Open Prospect Profile" display="https://www.whatifsports.com/hbd/Pages/Popups/ProspectProfile.aspx?pid=13632208" xr:uid="{00000000-0004-0000-0000-000061010000}"/>
    <hyperlink ref="C178" r:id="rId355" tooltip="Open Prospect Profile" display="https://www.whatifsports.com/hbd/Pages/Popups/ProspectProfile.aspx?pid=13632149" xr:uid="{00000000-0004-0000-0000-000062010000}"/>
    <hyperlink ref="R178" r:id="rId356" tooltip="Open Prospect Profile" display="https://www.whatifsports.com/hbd/Pages/Popups/ProspectProfile.aspx?pid=13632149" xr:uid="{00000000-0004-0000-0000-000063010000}"/>
    <hyperlink ref="C179" r:id="rId357" tooltip="Open Prospect Profile" display="https://www.whatifsports.com/hbd/Pages/Popups/ProspectProfile.aspx?pid=13632172" xr:uid="{00000000-0004-0000-0000-000064010000}"/>
    <hyperlink ref="R179" r:id="rId358" tooltip="Open Prospect Profile" display="https://www.whatifsports.com/hbd/Pages/Popups/ProspectProfile.aspx?pid=13632172" xr:uid="{00000000-0004-0000-0000-000065010000}"/>
    <hyperlink ref="C180" r:id="rId359" tooltip="Open Prospect Profile" display="https://www.whatifsports.com/hbd/Pages/Popups/ProspectProfile.aspx?pid=13631991" xr:uid="{00000000-0004-0000-0000-000066010000}"/>
    <hyperlink ref="R180" r:id="rId360" tooltip="Open Prospect Profile" display="https://www.whatifsports.com/hbd/Pages/Popups/ProspectProfile.aspx?pid=13631991" xr:uid="{00000000-0004-0000-0000-000067010000}"/>
    <hyperlink ref="C181" r:id="rId361" tooltip="Open Prospect Profile" display="https://www.whatifsports.com/hbd/Pages/Popups/ProspectProfile.aspx?pid=13631904" xr:uid="{00000000-0004-0000-0000-000068010000}"/>
    <hyperlink ref="R181" r:id="rId362" tooltip="Open Prospect Profile" display="https://www.whatifsports.com/hbd/Pages/Popups/ProspectProfile.aspx?pid=13631904" xr:uid="{00000000-0004-0000-0000-000069010000}"/>
    <hyperlink ref="C182" r:id="rId363" tooltip="Open Prospect Profile" display="https://www.whatifsports.com/hbd/Pages/Popups/ProspectProfile.aspx?pid=13632116" xr:uid="{00000000-0004-0000-0000-00006A010000}"/>
    <hyperlink ref="R182" r:id="rId364" tooltip="Open Prospect Profile" display="https://www.whatifsports.com/hbd/Pages/Popups/ProspectProfile.aspx?pid=13632116" xr:uid="{00000000-0004-0000-0000-00006B010000}"/>
    <hyperlink ref="C183" r:id="rId365" tooltip="Open Prospect Profile" display="https://www.whatifsports.com/hbd/Pages/Popups/ProspectProfile.aspx?pid=13632213" xr:uid="{00000000-0004-0000-0000-00006C010000}"/>
    <hyperlink ref="R183" r:id="rId366" tooltip="Open Prospect Profile" display="https://www.whatifsports.com/hbd/Pages/Popups/ProspectProfile.aspx?pid=13632213" xr:uid="{00000000-0004-0000-0000-00006D010000}"/>
    <hyperlink ref="C184" r:id="rId367" tooltip="Open Prospect Profile" display="https://www.whatifsports.com/hbd/Pages/Popups/ProspectProfile.aspx?pid=13632183" xr:uid="{00000000-0004-0000-0000-00006E010000}"/>
    <hyperlink ref="R184" r:id="rId368" tooltip="Open Prospect Profile" display="https://www.whatifsports.com/hbd/Pages/Popups/ProspectProfile.aspx?pid=13632183" xr:uid="{00000000-0004-0000-0000-00006F010000}"/>
    <hyperlink ref="C185" r:id="rId369" tooltip="Open Prospect Profile" display="https://www.whatifsports.com/hbd/Pages/Popups/ProspectProfile.aspx?pid=13632234" xr:uid="{00000000-0004-0000-0000-000070010000}"/>
    <hyperlink ref="R185" r:id="rId370" tooltip="Open Prospect Profile" display="https://www.whatifsports.com/hbd/Pages/Popups/ProspectProfile.aspx?pid=13632234" xr:uid="{00000000-0004-0000-0000-000071010000}"/>
    <hyperlink ref="C186" r:id="rId371" tooltip="Open Prospect Profile" display="https://www.whatifsports.com/hbd/Pages/Popups/ProspectProfile.aspx?pid=13632029" xr:uid="{00000000-0004-0000-0000-000072010000}"/>
    <hyperlink ref="R186" r:id="rId372" tooltip="Open Prospect Profile" display="https://www.whatifsports.com/hbd/Pages/Popups/ProspectProfile.aspx?pid=13632029" xr:uid="{00000000-0004-0000-0000-000073010000}"/>
    <hyperlink ref="C187" r:id="rId373" tooltip="Open Prospect Profile" display="https://www.whatifsports.com/hbd/Pages/Popups/ProspectProfile.aspx?pid=13631914" xr:uid="{00000000-0004-0000-0000-000074010000}"/>
    <hyperlink ref="R187" r:id="rId374" tooltip="Open Prospect Profile" display="https://www.whatifsports.com/hbd/Pages/Popups/ProspectProfile.aspx?pid=13631914" xr:uid="{00000000-0004-0000-0000-000075010000}"/>
    <hyperlink ref="C188" r:id="rId375" tooltip="Open Prospect Profile" display="https://www.whatifsports.com/hbd/Pages/Popups/ProspectProfile.aspx?pid=13631853" xr:uid="{00000000-0004-0000-0000-000076010000}"/>
    <hyperlink ref="R188" r:id="rId376" tooltip="Open Prospect Profile" display="https://www.whatifsports.com/hbd/Pages/Popups/ProspectProfile.aspx?pid=13631853" xr:uid="{00000000-0004-0000-0000-000077010000}"/>
    <hyperlink ref="C189" r:id="rId377" tooltip="Open Prospect Profile" display="https://www.whatifsports.com/hbd/Pages/Popups/ProspectProfile.aspx?pid=13632186" xr:uid="{00000000-0004-0000-0000-000078010000}"/>
    <hyperlink ref="R189" r:id="rId378" tooltip="Open Prospect Profile" display="https://www.whatifsports.com/hbd/Pages/Popups/ProspectProfile.aspx?pid=13632186" xr:uid="{00000000-0004-0000-0000-000079010000}"/>
    <hyperlink ref="C190" r:id="rId379" tooltip="Open Prospect Profile" display="https://www.whatifsports.com/hbd/Pages/Popups/ProspectProfile.aspx?pid=13632023" xr:uid="{00000000-0004-0000-0000-00007A010000}"/>
    <hyperlink ref="R190" r:id="rId380" tooltip="Open Prospect Profile" display="https://www.whatifsports.com/hbd/Pages/Popups/ProspectProfile.aspx?pid=13632023" xr:uid="{00000000-0004-0000-0000-00007B010000}"/>
    <hyperlink ref="C191" r:id="rId381" tooltip="Open Prospect Profile" display="https://www.whatifsports.com/hbd/Pages/Popups/ProspectProfile.aspx?pid=13632058" xr:uid="{00000000-0004-0000-0000-00007C010000}"/>
    <hyperlink ref="R191" r:id="rId382" tooltip="Open Prospect Profile" display="https://www.whatifsports.com/hbd/Pages/Popups/ProspectProfile.aspx?pid=13632058" xr:uid="{00000000-0004-0000-0000-00007D010000}"/>
    <hyperlink ref="C192" r:id="rId383" tooltip="Open Prospect Profile" display="https://www.whatifsports.com/hbd/Pages/Popups/ProspectProfile.aspx?pid=13632199" xr:uid="{00000000-0004-0000-0000-00007E010000}"/>
    <hyperlink ref="R192" r:id="rId384" tooltip="Open Prospect Profile" display="https://www.whatifsports.com/hbd/Pages/Popups/ProspectProfile.aspx?pid=13632199" xr:uid="{00000000-0004-0000-0000-00007F010000}"/>
    <hyperlink ref="C193" r:id="rId385" tooltip="Open Prospect Profile" display="https://www.whatifsports.com/hbd/Pages/Popups/ProspectProfile.aspx?pid=13632022" xr:uid="{00000000-0004-0000-0000-000080010000}"/>
    <hyperlink ref="R193" r:id="rId386" tooltip="Open Prospect Profile" display="https://www.whatifsports.com/hbd/Pages/Popups/ProspectProfile.aspx?pid=13632022" xr:uid="{00000000-0004-0000-0000-000081010000}"/>
    <hyperlink ref="C194" r:id="rId387" tooltip="Open Prospect Profile" display="https://www.whatifsports.com/hbd/Pages/Popups/ProspectProfile.aspx?pid=13631926" xr:uid="{00000000-0004-0000-0000-000082010000}"/>
    <hyperlink ref="R194" r:id="rId388" tooltip="Open Prospect Profile" display="https://www.whatifsports.com/hbd/Pages/Popups/ProspectProfile.aspx?pid=13631926" xr:uid="{00000000-0004-0000-0000-000083010000}"/>
    <hyperlink ref="C195" r:id="rId389" tooltip="Open Prospect Profile" display="https://www.whatifsports.com/hbd/Pages/Popups/ProspectProfile.aspx?pid=13632206" xr:uid="{00000000-0004-0000-0000-000084010000}"/>
    <hyperlink ref="R195" r:id="rId390" tooltip="Open Prospect Profile" display="https://www.whatifsports.com/hbd/Pages/Popups/ProspectProfile.aspx?pid=13632206" xr:uid="{00000000-0004-0000-0000-000085010000}"/>
    <hyperlink ref="C196" r:id="rId391" tooltip="Open Prospect Profile" display="https://www.whatifsports.com/hbd/Pages/Popups/ProspectProfile.aspx?pid=13632205" xr:uid="{00000000-0004-0000-0000-000086010000}"/>
    <hyperlink ref="R196" r:id="rId392" tooltip="Open Prospect Profile" display="https://www.whatifsports.com/hbd/Pages/Popups/ProspectProfile.aspx?pid=13632205" xr:uid="{00000000-0004-0000-0000-000087010000}"/>
    <hyperlink ref="C197" r:id="rId393" tooltip="Open Prospect Profile" display="https://www.whatifsports.com/hbd/Pages/Popups/ProspectProfile.aspx?pid=13631968" xr:uid="{00000000-0004-0000-0000-000088010000}"/>
    <hyperlink ref="R197" r:id="rId394" tooltip="Open Prospect Profile" display="https://www.whatifsports.com/hbd/Pages/Popups/ProspectProfile.aspx?pid=13631968" xr:uid="{00000000-0004-0000-0000-000089010000}"/>
    <hyperlink ref="C198" r:id="rId395" tooltip="Open Prospect Profile" display="https://www.whatifsports.com/hbd/Pages/Popups/ProspectProfile.aspx?pid=13631952" xr:uid="{00000000-0004-0000-0000-00008A010000}"/>
    <hyperlink ref="R198" r:id="rId396" tooltip="Open Prospect Profile" display="https://www.whatifsports.com/hbd/Pages/Popups/ProspectProfile.aspx?pid=13631952" xr:uid="{00000000-0004-0000-0000-00008B010000}"/>
    <hyperlink ref="C199" r:id="rId397" tooltip="Open Prospect Profile" display="https://www.whatifsports.com/hbd/Pages/Popups/ProspectProfile.aspx?pid=13632063" xr:uid="{00000000-0004-0000-0000-00008C010000}"/>
    <hyperlink ref="R199" r:id="rId398" tooltip="Open Prospect Profile" display="https://www.whatifsports.com/hbd/Pages/Popups/ProspectProfile.aspx?pid=13632063" xr:uid="{00000000-0004-0000-0000-00008D010000}"/>
    <hyperlink ref="C200" r:id="rId399" tooltip="Open Prospect Profile" display="https://www.whatifsports.com/hbd/Pages/Popups/ProspectProfile.aspx?pid=13632236" xr:uid="{00000000-0004-0000-0000-00008E010000}"/>
    <hyperlink ref="R200" r:id="rId400" tooltip="Open Prospect Profile" display="https://www.whatifsports.com/hbd/Pages/Popups/ProspectProfile.aspx?pid=13632236" xr:uid="{00000000-0004-0000-0000-00008F010000}"/>
    <hyperlink ref="C201" r:id="rId401" tooltip="Open Prospect Profile" display="https://www.whatifsports.com/hbd/Pages/Popups/ProspectProfile.aspx?pid=13632019" xr:uid="{00000000-0004-0000-0000-000090010000}"/>
    <hyperlink ref="R201" r:id="rId402" tooltip="Open Prospect Profile" display="https://www.whatifsports.com/hbd/Pages/Popups/ProspectProfile.aspx?pid=13632019" xr:uid="{00000000-0004-0000-0000-000091010000}"/>
    <hyperlink ref="C202" r:id="rId403" tooltip="Open Prospect Profile" display="https://www.whatifsports.com/hbd/Pages/Popups/ProspectProfile.aspx?pid=13631996" xr:uid="{00000000-0004-0000-0000-000092010000}"/>
    <hyperlink ref="R202" r:id="rId404" tooltip="Open Prospect Profile" display="https://www.whatifsports.com/hbd/Pages/Popups/ProspectProfile.aspx?pid=13631996" xr:uid="{00000000-0004-0000-0000-000093010000}"/>
    <hyperlink ref="C203" r:id="rId405" tooltip="Open Prospect Profile" display="https://www.whatifsports.com/hbd/Pages/Popups/ProspectProfile.aspx?pid=13632036" xr:uid="{00000000-0004-0000-0000-000094010000}"/>
    <hyperlink ref="R203" r:id="rId406" tooltip="Open Prospect Profile" display="https://www.whatifsports.com/hbd/Pages/Popups/ProspectProfile.aspx?pid=13632036" xr:uid="{00000000-0004-0000-0000-000095010000}"/>
    <hyperlink ref="C204" r:id="rId407" tooltip="Open Prospect Profile" display="https://www.whatifsports.com/hbd/Pages/Popups/ProspectProfile.aspx?pid=13631946" xr:uid="{00000000-0004-0000-0000-000096010000}"/>
    <hyperlink ref="R204" r:id="rId408" tooltip="Open Prospect Profile" display="https://www.whatifsports.com/hbd/Pages/Popups/ProspectProfile.aspx?pid=13631946" xr:uid="{00000000-0004-0000-0000-000097010000}"/>
    <hyperlink ref="C205" r:id="rId409" tooltip="Open Prospect Profile" display="https://www.whatifsports.com/hbd/Pages/Popups/ProspectProfile.aspx?pid=13632156" xr:uid="{00000000-0004-0000-0000-000098010000}"/>
    <hyperlink ref="R205" r:id="rId410" tooltip="Open Prospect Profile" display="https://www.whatifsports.com/hbd/Pages/Popups/ProspectProfile.aspx?pid=13632156" xr:uid="{00000000-0004-0000-0000-000099010000}"/>
    <hyperlink ref="C206" r:id="rId411" tooltip="Open Prospect Profile" display="https://www.whatifsports.com/hbd/Pages/Popups/ProspectProfile.aspx?pid=13632055" xr:uid="{00000000-0004-0000-0000-00009A010000}"/>
    <hyperlink ref="R206" r:id="rId412" tooltip="Open Prospect Profile" display="https://www.whatifsports.com/hbd/Pages/Popups/ProspectProfile.aspx?pid=13632055" xr:uid="{00000000-0004-0000-0000-00009B010000}"/>
    <hyperlink ref="C207" r:id="rId413" tooltip="Open Prospect Profile" display="https://www.whatifsports.com/hbd/Pages/Popups/ProspectProfile.aspx?pid=13631908" xr:uid="{00000000-0004-0000-0000-00009C010000}"/>
    <hyperlink ref="R207" r:id="rId414" tooltip="Open Prospect Profile" display="https://www.whatifsports.com/hbd/Pages/Popups/ProspectProfile.aspx?pid=13631908" xr:uid="{00000000-0004-0000-0000-00009D01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05"/>
  <sheetViews>
    <sheetView tabSelected="1" workbookViewId="0">
      <selection activeCell="Z6" sqref="Z6"/>
    </sheetView>
  </sheetViews>
  <sheetFormatPr defaultColWidth="15.6640625" defaultRowHeight="13.5" customHeight="1" x14ac:dyDescent="0.3"/>
  <cols>
    <col min="1" max="1" width="15.6640625" bestFit="1" customWidth="1"/>
    <col min="2" max="2" width="4.88671875" bestFit="1" customWidth="1"/>
    <col min="3" max="3" width="21.5546875" customWidth="1"/>
    <col min="5" max="5" width="4.6640625" bestFit="1" customWidth="1"/>
    <col min="6" max="6" width="6.33203125" bestFit="1" customWidth="1"/>
    <col min="7" max="7" width="4.44140625" bestFit="1" customWidth="1"/>
    <col min="8" max="20" width="3.77734375" customWidth="1"/>
    <col min="21" max="22" width="10" bestFit="1" customWidth="1"/>
    <col min="23" max="23" width="21.5546875" customWidth="1"/>
    <col min="24" max="24" width="11" bestFit="1" customWidth="1"/>
    <col min="25" max="25" width="5.6640625" bestFit="1" customWidth="1"/>
  </cols>
  <sheetData>
    <row r="1" spans="1:27" ht="13.5" customHeight="1" thickBot="1" x14ac:dyDescent="0.35">
      <c r="A1" s="1"/>
      <c r="B1" s="1"/>
      <c r="C1" s="1"/>
      <c r="D1" s="1"/>
      <c r="E1" s="1"/>
      <c r="F1" s="1"/>
      <c r="G1" s="1"/>
      <c r="H1" s="1">
        <v>0.2</v>
      </c>
      <c r="I1" s="1">
        <v>1</v>
      </c>
      <c r="J1" s="1">
        <v>4</v>
      </c>
      <c r="K1" s="1">
        <v>2</v>
      </c>
      <c r="L1" s="1">
        <v>1</v>
      </c>
      <c r="M1" s="1">
        <v>1.5</v>
      </c>
      <c r="N1" s="1">
        <v>0.2</v>
      </c>
      <c r="O1" s="1">
        <v>0.2</v>
      </c>
      <c r="P1" s="1">
        <v>2</v>
      </c>
      <c r="Q1" s="1">
        <v>2</v>
      </c>
      <c r="R1" s="1">
        <v>1</v>
      </c>
      <c r="S1" s="1">
        <v>0.5</v>
      </c>
      <c r="T1" s="1">
        <v>0.3</v>
      </c>
      <c r="U1" s="1">
        <v>0.3</v>
      </c>
      <c r="V1" s="1"/>
      <c r="W1" s="1"/>
      <c r="X1" s="1"/>
      <c r="Y1" s="1"/>
      <c r="Z1" s="1"/>
      <c r="AA1" s="1"/>
    </row>
    <row r="2" spans="1:27" ht="13.5" customHeight="1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>
        <v>4</v>
      </c>
      <c r="W2" s="1">
        <v>2</v>
      </c>
      <c r="X2" s="1">
        <v>1</v>
      </c>
      <c r="Y2" s="1">
        <v>1</v>
      </c>
      <c r="Z2" s="1"/>
      <c r="AA2" s="1"/>
    </row>
    <row r="3" spans="1:27" s="9" customFormat="1" ht="13.5" customHeight="1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1" customFormat="1" ht="13.5" customHeight="1" thickBot="1" x14ac:dyDescent="0.35">
      <c r="A4" s="5"/>
      <c r="J4" s="1">
        <v>100</v>
      </c>
      <c r="K4" s="1">
        <v>100</v>
      </c>
      <c r="L4" s="1">
        <v>100</v>
      </c>
      <c r="M4" s="1">
        <v>100</v>
      </c>
      <c r="N4" s="1">
        <v>100</v>
      </c>
      <c r="O4" s="1">
        <v>100</v>
      </c>
      <c r="P4" s="1">
        <v>100</v>
      </c>
      <c r="Q4" s="1">
        <v>100</v>
      </c>
      <c r="R4" s="1">
        <v>100</v>
      </c>
      <c r="S4" s="1">
        <v>100</v>
      </c>
      <c r="T4" s="1">
        <v>100</v>
      </c>
      <c r="U4" s="1">
        <v>100</v>
      </c>
      <c r="V4" s="1">
        <f>K$1*(0.000001*K4^3)+L$1*((-0.000002)*L4^3+0.00032*L4^2+(-0.0021)*L4)+M$1*((-0.000002)*M4^3+0.00032*M4^2+(-0.0021)*M4)+N$1*((-0.000002)*N4^3+0.00032*N4^2+(-0.0021)*N4)+O$1*((-0.000002)*O4^3+0.00032*O4^2+(-0.0021)*O4)</f>
        <v>4.8710000000000013</v>
      </c>
      <c r="W4" s="1">
        <f>P$1*((-0.000002)*P4^3+0.00032*P4^2+(-0.0021)*P4)+Q$1*((-0.000002)*Q4^3+0.00032*Q4^2+(-0.0021)*Q4)+R$1*((-0.000002)*R4^3+0.00032*R4^2+(-0.0021)*R4)+S$1*((-0.000002)*S4^3+0.00032*S4^2+(-0.0021)*S4)+T$1*((-0.000002)*T4^3+0.00032*T4^2+(-0.0021)*T4)</f>
        <v>5.7420000000000009</v>
      </c>
      <c r="X4" s="1">
        <f>I$1*((-0.000002)*I4^3+0.00032*I4^2+(-0.0021)*I4)+J$1*((-0.000002)*J4^3+0.00032*J4^2+(-0.0021)*J4)+H$1*((-0.000002)*H4^3+0.00032*H4^2+(-0.0021)*H4)</f>
        <v>3.9600000000000009</v>
      </c>
      <c r="Z4" s="1">
        <f>U4*J$2+V4*O$2+W4*H$2</f>
        <v>0</v>
      </c>
    </row>
    <row r="5" spans="1:27" ht="13.5" customHeight="1" x14ac:dyDescent="0.3">
      <c r="A5" s="20" t="s">
        <v>1</v>
      </c>
      <c r="B5" s="12" t="s">
        <v>17</v>
      </c>
      <c r="C5" s="13" t="s">
        <v>3</v>
      </c>
      <c r="D5" s="14" t="s">
        <v>400</v>
      </c>
      <c r="E5" s="14" t="s">
        <v>5</v>
      </c>
      <c r="F5" s="14" t="s">
        <v>6</v>
      </c>
      <c r="G5" s="14" t="s">
        <v>7</v>
      </c>
      <c r="H5" s="15" t="s">
        <v>24</v>
      </c>
      <c r="I5" s="15" t="s">
        <v>23</v>
      </c>
      <c r="J5" s="15" t="s">
        <v>401</v>
      </c>
      <c r="K5" s="15" t="s">
        <v>402</v>
      </c>
      <c r="L5" s="15" t="s">
        <v>403</v>
      </c>
      <c r="M5" s="15" t="s">
        <v>404</v>
      </c>
      <c r="N5" s="15" t="s">
        <v>405</v>
      </c>
      <c r="O5" s="15" t="s">
        <v>406</v>
      </c>
      <c r="P5" s="15" t="s">
        <v>407</v>
      </c>
      <c r="Q5" s="15" t="s">
        <v>408</v>
      </c>
      <c r="R5" s="15" t="s">
        <v>409</v>
      </c>
      <c r="S5" s="15" t="s">
        <v>410</v>
      </c>
      <c r="T5" s="15" t="s">
        <v>411</v>
      </c>
      <c r="U5" s="15" t="s">
        <v>16</v>
      </c>
      <c r="V5" s="15" t="s">
        <v>412</v>
      </c>
      <c r="W5" t="s">
        <v>413</v>
      </c>
      <c r="X5" t="s">
        <v>32</v>
      </c>
      <c r="Y5" t="s">
        <v>32</v>
      </c>
      <c r="Z5" t="s">
        <v>414</v>
      </c>
    </row>
    <row r="6" spans="1:27" ht="13.5" customHeight="1" thickBot="1" x14ac:dyDescent="0.35">
      <c r="A6">
        <f t="shared" ref="A6:A69" si="0">IFERROR((V6*V$2+W6*W$2+X6*X$2)*100/(V$4*V$2+W$4*W$2+X$4*X$2),0)</f>
        <v>70.476503664681644</v>
      </c>
      <c r="B6" s="16">
        <v>4</v>
      </c>
      <c r="C6" s="10" t="s">
        <v>415</v>
      </c>
      <c r="D6" s="17" t="s">
        <v>416</v>
      </c>
      <c r="E6" s="17" t="s">
        <v>46</v>
      </c>
      <c r="F6" s="17" t="s">
        <v>36</v>
      </c>
      <c r="G6" s="17">
        <v>18</v>
      </c>
      <c r="H6" s="17">
        <v>59</v>
      </c>
      <c r="I6" s="17">
        <v>20</v>
      </c>
      <c r="J6" s="17">
        <v>98</v>
      </c>
      <c r="K6" s="17">
        <v>69</v>
      </c>
      <c r="L6" s="17">
        <v>71</v>
      </c>
      <c r="M6" s="17">
        <v>100</v>
      </c>
      <c r="N6" s="17">
        <v>44</v>
      </c>
      <c r="O6" s="17">
        <v>34</v>
      </c>
      <c r="P6" s="17">
        <v>65</v>
      </c>
      <c r="Q6" s="17">
        <v>85</v>
      </c>
      <c r="R6" s="17">
        <v>46</v>
      </c>
      <c r="S6" s="17">
        <v>98</v>
      </c>
      <c r="T6" s="17">
        <v>68</v>
      </c>
      <c r="U6" s="17">
        <v>77</v>
      </c>
      <c r="V6" s="17">
        <f t="shared" ref="V6:V69" si="1">K$1*(0.000001*K6^3)+L$1*((-0.000002)*L6^3+0.00032*L6^2+(-0.0021)*L6)+M$1*((-0.000002)*M6^3+0.00032*M6^2+(-0.0021)*M6)+N$1*((-0.000002)*N6^3+0.00032*N6^2+(-0.0021)*N6)+O$1*((-0.000002)*O6^3+0.00032*O6^2+(-0.0021)*O6)</f>
        <v>3.0055488000000006</v>
      </c>
      <c r="W6" s="5">
        <f t="shared" ref="W6:W69" si="2">P$1*((-0.000002)*P6^3+0.00032*P6^2+(-0.0021)*P6)+Q$1*((-0.000002)*Q6^3+0.00032*Q6^2+(-0.0021)*Q6)+R$1*((-0.000002)*R6^3+0.00032*R6^2+(-0.0021)*R6)+S$1*((-0.000002)*S6^3+0.00032*S6^2+(-0.0021)*S6)+T$1*((-0.000002)*T6^3+0.00032*T6^2+(-0.0021)*T6)</f>
        <v>4.2338008000000018</v>
      </c>
      <c r="X6">
        <f t="shared" ref="X6:X69" si="3">(I$1*((-0.000002)*I6^3+0.00032*I6^2+(-0.0021)*I6)+J$1*((-0.000002)*J6^3+0.00032*J6^2+(-0.0021)*J6)+H$1*((-0.000002)*H6^3+0.00032*H6^2+(-0.0021)*H6))*(MAX(0.05,MIN(1,(2*J6+I6)/120)*MIN(1,I6/10)*MIN(1,J6/10)))</f>
        <v>4.1262364000000025</v>
      </c>
      <c r="Y6" s="5">
        <f t="shared" ref="Y6:Y69" si="4">(I$1*((-0.000002)*I6^3+0.00032*I6^2+(-0.0021)*I6)+J$1*((-0.000002)*J6^3+0.00032*J6^2+(-0.0021)*J6)+H$1*((-0.000002)*H6^3+0.00032*H6^2+(-0.0021)*H6))*(MAX(0.05,MIN(1,(2*J6+I6)/120)*MIN(1,I6/10)*MIN(1,J6/10)))</f>
        <v>4.1262364000000025</v>
      </c>
      <c r="Z6" t="str">
        <f t="shared" ref="Z6:Z69" si="5">IF(AND(J6&gt;50,I6+J6&gt;75),"SP",IF(2*I6+J6&gt;120,"RP","CRAP"))</f>
        <v>SP</v>
      </c>
      <c r="AA6" t="str">
        <f t="shared" ref="AA6:AA69" si="6">IF(AND(J6&gt;50,I6+J6&gt;75),"SP",IF(2*I6+J6&gt;120,"RP","CRAP"))</f>
        <v>SP</v>
      </c>
    </row>
    <row r="7" spans="1:27" ht="13.5" customHeight="1" thickBot="1" x14ac:dyDescent="0.35">
      <c r="A7">
        <f t="shared" si="0"/>
        <v>69.566417773705908</v>
      </c>
      <c r="B7" s="16">
        <v>6</v>
      </c>
      <c r="C7" s="10" t="s">
        <v>417</v>
      </c>
      <c r="D7" s="17" t="s">
        <v>416</v>
      </c>
      <c r="E7" s="17" t="s">
        <v>36</v>
      </c>
      <c r="F7" s="17" t="s">
        <v>36</v>
      </c>
      <c r="G7" s="17">
        <v>18</v>
      </c>
      <c r="H7" s="17">
        <v>56</v>
      </c>
      <c r="I7" s="17">
        <v>44</v>
      </c>
      <c r="J7" s="17">
        <v>67</v>
      </c>
      <c r="K7" s="17">
        <v>98</v>
      </c>
      <c r="L7" s="17">
        <v>30</v>
      </c>
      <c r="M7" s="17">
        <v>54</v>
      </c>
      <c r="N7" s="17">
        <v>98</v>
      </c>
      <c r="O7" s="17">
        <v>82</v>
      </c>
      <c r="P7" s="17">
        <v>82</v>
      </c>
      <c r="Q7" s="17">
        <v>73</v>
      </c>
      <c r="R7" s="17">
        <v>54</v>
      </c>
      <c r="S7" s="17">
        <v>65</v>
      </c>
      <c r="T7" s="17">
        <v>21</v>
      </c>
      <c r="U7" s="17">
        <v>71</v>
      </c>
      <c r="V7" s="17">
        <f t="shared" si="1"/>
        <v>3.1829400000000003</v>
      </c>
      <c r="W7" s="5">
        <f t="shared" si="2"/>
        <v>4.1628464000000012</v>
      </c>
      <c r="X7">
        <f t="shared" si="3"/>
        <v>3.240705600000001</v>
      </c>
      <c r="Y7" s="5">
        <f t="shared" si="4"/>
        <v>3.240705600000001</v>
      </c>
      <c r="Z7" t="str">
        <f t="shared" si="5"/>
        <v>SP</v>
      </c>
      <c r="AA7" t="str">
        <f t="shared" si="6"/>
        <v>SP</v>
      </c>
    </row>
    <row r="8" spans="1:27" ht="13.5" customHeight="1" thickBot="1" x14ac:dyDescent="0.35">
      <c r="A8">
        <f t="shared" si="0"/>
        <v>68.441104844251029</v>
      </c>
      <c r="B8" s="16">
        <v>8</v>
      </c>
      <c r="C8" s="10" t="s">
        <v>418</v>
      </c>
      <c r="D8" s="17" t="s">
        <v>416</v>
      </c>
      <c r="E8" s="17" t="s">
        <v>47</v>
      </c>
      <c r="F8" s="17" t="s">
        <v>47</v>
      </c>
      <c r="G8" s="17">
        <v>18</v>
      </c>
      <c r="H8" s="17">
        <v>65</v>
      </c>
      <c r="I8" s="17">
        <v>61</v>
      </c>
      <c r="J8" s="17">
        <v>23</v>
      </c>
      <c r="K8" s="17">
        <v>86</v>
      </c>
      <c r="L8" s="17">
        <v>76</v>
      </c>
      <c r="M8" s="17">
        <v>81</v>
      </c>
      <c r="N8" s="17">
        <v>23</v>
      </c>
      <c r="O8" s="17">
        <v>79</v>
      </c>
      <c r="P8" s="17">
        <v>96</v>
      </c>
      <c r="Q8" s="17">
        <v>100</v>
      </c>
      <c r="R8" s="17">
        <v>45</v>
      </c>
      <c r="S8" s="17">
        <v>0</v>
      </c>
      <c r="T8" s="17">
        <v>0</v>
      </c>
      <c r="U8" s="17">
        <v>69</v>
      </c>
      <c r="V8" s="17">
        <f t="shared" si="1"/>
        <v>3.5710446000000009</v>
      </c>
      <c r="W8" s="5">
        <f t="shared" si="2"/>
        <v>4.3073460000000008</v>
      </c>
      <c r="X8">
        <f t="shared" si="3"/>
        <v>1.0062387000000004</v>
      </c>
      <c r="Y8" s="5">
        <f t="shared" si="4"/>
        <v>1.0062387000000004</v>
      </c>
      <c r="Z8" t="str">
        <f t="shared" si="5"/>
        <v>RP</v>
      </c>
      <c r="AA8" t="str">
        <f t="shared" si="6"/>
        <v>RP</v>
      </c>
    </row>
    <row r="9" spans="1:27" ht="13.5" customHeight="1" thickBot="1" x14ac:dyDescent="0.35">
      <c r="A9">
        <f t="shared" si="0"/>
        <v>74.874109024278496</v>
      </c>
      <c r="B9" s="18">
        <v>9</v>
      </c>
      <c r="C9" s="11" t="s">
        <v>419</v>
      </c>
      <c r="D9" s="19" t="s">
        <v>416</v>
      </c>
      <c r="E9" s="19" t="s">
        <v>47</v>
      </c>
      <c r="F9" s="19" t="s">
        <v>47</v>
      </c>
      <c r="G9" s="19">
        <v>18</v>
      </c>
      <c r="H9" s="19">
        <v>89</v>
      </c>
      <c r="I9" s="19">
        <v>21</v>
      </c>
      <c r="J9" s="19">
        <v>51</v>
      </c>
      <c r="K9" s="19">
        <v>100</v>
      </c>
      <c r="L9" s="19">
        <v>65</v>
      </c>
      <c r="M9" s="19">
        <v>51</v>
      </c>
      <c r="N9" s="19">
        <v>78</v>
      </c>
      <c r="O9" s="19">
        <v>88</v>
      </c>
      <c r="P9" s="19">
        <v>93</v>
      </c>
      <c r="Q9" s="19">
        <v>72</v>
      </c>
      <c r="R9" s="19">
        <v>74</v>
      </c>
      <c r="S9" s="19">
        <v>57</v>
      </c>
      <c r="T9" s="19">
        <v>41</v>
      </c>
      <c r="U9" s="19">
        <v>70</v>
      </c>
      <c r="V9" s="19">
        <f t="shared" si="1"/>
        <v>3.7089894000000005</v>
      </c>
      <c r="W9" s="5">
        <f t="shared" si="2"/>
        <v>4.6051624000000011</v>
      </c>
      <c r="X9">
        <f t="shared" si="3"/>
        <v>2.1057464000000001</v>
      </c>
      <c r="Y9" s="5">
        <f t="shared" si="4"/>
        <v>2.1057464000000001</v>
      </c>
      <c r="Z9" t="str">
        <f t="shared" si="5"/>
        <v>CRAP</v>
      </c>
      <c r="AA9" t="str">
        <f t="shared" si="6"/>
        <v>CRAP</v>
      </c>
    </row>
    <row r="10" spans="1:27" ht="13.5" customHeight="1" thickBot="1" x14ac:dyDescent="0.35">
      <c r="A10">
        <f t="shared" si="0"/>
        <v>67.057084440372563</v>
      </c>
      <c r="B10" s="18">
        <v>10</v>
      </c>
      <c r="C10" s="11" t="s">
        <v>420</v>
      </c>
      <c r="D10" s="19" t="s">
        <v>416</v>
      </c>
      <c r="E10" s="19" t="s">
        <v>36</v>
      </c>
      <c r="F10" s="19" t="s">
        <v>36</v>
      </c>
      <c r="G10" s="19">
        <v>18</v>
      </c>
      <c r="H10" s="19">
        <v>69</v>
      </c>
      <c r="I10" s="19">
        <v>39</v>
      </c>
      <c r="J10" s="19">
        <v>26</v>
      </c>
      <c r="K10" s="19">
        <v>83</v>
      </c>
      <c r="L10" s="19">
        <v>83</v>
      </c>
      <c r="M10" s="19">
        <v>100</v>
      </c>
      <c r="N10" s="19">
        <v>100</v>
      </c>
      <c r="O10" s="19">
        <v>62</v>
      </c>
      <c r="P10" s="19">
        <v>71</v>
      </c>
      <c r="Q10" s="19">
        <v>82</v>
      </c>
      <c r="R10" s="19">
        <v>49</v>
      </c>
      <c r="S10" s="19">
        <v>0</v>
      </c>
      <c r="T10" s="19">
        <v>0</v>
      </c>
      <c r="U10" s="19">
        <v>71</v>
      </c>
      <c r="V10" s="19">
        <f t="shared" si="1"/>
        <v>3.8378248000000004</v>
      </c>
      <c r="W10" s="5">
        <f t="shared" si="2"/>
        <v>3.6800060000000006</v>
      </c>
      <c r="X10">
        <f t="shared" si="3"/>
        <v>0.71038725333333341</v>
      </c>
      <c r="Y10" s="5">
        <f t="shared" si="4"/>
        <v>0.71038725333333341</v>
      </c>
      <c r="Z10" t="str">
        <f t="shared" si="5"/>
        <v>CRAP</v>
      </c>
      <c r="AA10" t="str">
        <f t="shared" si="6"/>
        <v>CRAP</v>
      </c>
    </row>
    <row r="11" spans="1:27" ht="13.5" customHeight="1" thickBot="1" x14ac:dyDescent="0.35">
      <c r="A11">
        <f t="shared" si="0"/>
        <v>64.462091158955559</v>
      </c>
      <c r="B11" s="18">
        <v>13</v>
      </c>
      <c r="C11" s="11" t="s">
        <v>421</v>
      </c>
      <c r="D11" s="19" t="s">
        <v>416</v>
      </c>
      <c r="E11" s="19" t="s">
        <v>47</v>
      </c>
      <c r="F11" s="19" t="s">
        <v>47</v>
      </c>
      <c r="G11" s="19">
        <v>18</v>
      </c>
      <c r="H11" s="19">
        <v>67</v>
      </c>
      <c r="I11" s="19">
        <v>81</v>
      </c>
      <c r="J11" s="19">
        <v>21</v>
      </c>
      <c r="K11" s="19">
        <v>85</v>
      </c>
      <c r="L11" s="19">
        <v>77</v>
      </c>
      <c r="M11" s="19">
        <v>65</v>
      </c>
      <c r="N11" s="19">
        <v>93</v>
      </c>
      <c r="O11" s="19">
        <v>79</v>
      </c>
      <c r="P11" s="19">
        <v>97</v>
      </c>
      <c r="Q11" s="19">
        <v>85</v>
      </c>
      <c r="R11" s="19">
        <v>0</v>
      </c>
      <c r="S11" s="19">
        <v>0</v>
      </c>
      <c r="T11" s="19">
        <v>0</v>
      </c>
      <c r="U11" s="19">
        <v>69</v>
      </c>
      <c r="V11" s="19">
        <f t="shared" si="1"/>
        <v>3.4119006000000005</v>
      </c>
      <c r="W11" s="5">
        <f t="shared" si="2"/>
        <v>3.7741680000000013</v>
      </c>
      <c r="X11">
        <f t="shared" si="3"/>
        <v>1.3193808000000002</v>
      </c>
      <c r="Y11" s="5">
        <f t="shared" si="4"/>
        <v>1.3193808000000002</v>
      </c>
      <c r="Z11" t="str">
        <f t="shared" si="5"/>
        <v>RP</v>
      </c>
      <c r="AA11" t="str">
        <f t="shared" si="6"/>
        <v>RP</v>
      </c>
    </row>
    <row r="12" spans="1:27" ht="13.5" customHeight="1" thickBot="1" x14ac:dyDescent="0.35">
      <c r="A12">
        <f t="shared" si="0"/>
        <v>63.340404260192379</v>
      </c>
      <c r="B12" s="16">
        <v>15</v>
      </c>
      <c r="C12" s="10" t="s">
        <v>422</v>
      </c>
      <c r="D12" s="17" t="s">
        <v>416</v>
      </c>
      <c r="E12" s="17" t="s">
        <v>47</v>
      </c>
      <c r="F12" s="17" t="s">
        <v>47</v>
      </c>
      <c r="G12" s="17">
        <v>18</v>
      </c>
      <c r="H12" s="17">
        <v>44</v>
      </c>
      <c r="I12" s="17">
        <v>59</v>
      </c>
      <c r="J12" s="17">
        <v>31</v>
      </c>
      <c r="K12" s="17">
        <v>86</v>
      </c>
      <c r="L12" s="17">
        <v>68</v>
      </c>
      <c r="M12" s="17">
        <v>81</v>
      </c>
      <c r="N12" s="17">
        <v>17</v>
      </c>
      <c r="O12" s="17">
        <v>63</v>
      </c>
      <c r="P12" s="17">
        <v>91</v>
      </c>
      <c r="Q12" s="17">
        <v>58</v>
      </c>
      <c r="R12" s="17">
        <v>54</v>
      </c>
      <c r="S12" s="17">
        <v>0</v>
      </c>
      <c r="T12" s="17">
        <v>0</v>
      </c>
      <c r="U12" s="17">
        <v>66</v>
      </c>
      <c r="V12" s="17">
        <f t="shared" si="1"/>
        <v>3.4168629999999998</v>
      </c>
      <c r="W12" s="5">
        <f t="shared" si="2"/>
        <v>3.5370600000000012</v>
      </c>
      <c r="X12">
        <f t="shared" si="3"/>
        <v>1.3819644000000002</v>
      </c>
      <c r="Y12" s="5">
        <f t="shared" si="4"/>
        <v>1.3819644000000002</v>
      </c>
      <c r="Z12" t="str">
        <f t="shared" si="5"/>
        <v>RP</v>
      </c>
      <c r="AA12" t="str">
        <f t="shared" si="6"/>
        <v>RP</v>
      </c>
    </row>
    <row r="13" spans="1:27" ht="13.5" customHeight="1" thickBot="1" x14ac:dyDescent="0.35">
      <c r="A13">
        <f t="shared" si="0"/>
        <v>63.420023906321568</v>
      </c>
      <c r="B13" s="18">
        <v>16</v>
      </c>
      <c r="C13" s="11" t="s">
        <v>423</v>
      </c>
      <c r="D13" s="19" t="s">
        <v>416</v>
      </c>
      <c r="E13" s="19" t="s">
        <v>47</v>
      </c>
      <c r="F13" s="19" t="s">
        <v>47</v>
      </c>
      <c r="G13" s="19">
        <v>18</v>
      </c>
      <c r="H13" s="19">
        <v>100</v>
      </c>
      <c r="I13" s="19">
        <v>37</v>
      </c>
      <c r="J13" s="19">
        <v>28</v>
      </c>
      <c r="K13" s="19">
        <v>82</v>
      </c>
      <c r="L13" s="19">
        <v>77</v>
      </c>
      <c r="M13" s="19">
        <v>88</v>
      </c>
      <c r="N13" s="19">
        <v>98</v>
      </c>
      <c r="O13" s="19">
        <v>72</v>
      </c>
      <c r="P13" s="19">
        <v>69</v>
      </c>
      <c r="Q13" s="19">
        <v>57</v>
      </c>
      <c r="R13" s="19">
        <v>74</v>
      </c>
      <c r="S13" s="19">
        <v>0</v>
      </c>
      <c r="T13" s="19">
        <v>0</v>
      </c>
      <c r="U13" s="19">
        <v>68</v>
      </c>
      <c r="V13" s="19">
        <f t="shared" si="1"/>
        <v>3.6700100000000013</v>
      </c>
      <c r="W13" s="5">
        <f t="shared" si="2"/>
        <v>3.3288640000000007</v>
      </c>
      <c r="X13">
        <f t="shared" si="3"/>
        <v>0.81357795000000033</v>
      </c>
      <c r="Y13" s="5">
        <f t="shared" si="4"/>
        <v>0.81357795000000033</v>
      </c>
      <c r="Z13" t="str">
        <f t="shared" si="5"/>
        <v>CRAP</v>
      </c>
      <c r="AA13" t="str">
        <f t="shared" si="6"/>
        <v>CRAP</v>
      </c>
    </row>
    <row r="14" spans="1:27" ht="13.5" customHeight="1" thickBot="1" x14ac:dyDescent="0.35">
      <c r="A14">
        <f t="shared" si="0"/>
        <v>58.245667659184605</v>
      </c>
      <c r="B14" s="16">
        <v>20</v>
      </c>
      <c r="C14" s="10" t="s">
        <v>424</v>
      </c>
      <c r="D14" s="17" t="s">
        <v>416</v>
      </c>
      <c r="E14" s="17" t="s">
        <v>36</v>
      </c>
      <c r="F14" s="17" t="s">
        <v>36</v>
      </c>
      <c r="G14" s="17">
        <v>18</v>
      </c>
      <c r="H14" s="17">
        <v>57</v>
      </c>
      <c r="I14" s="17">
        <v>18</v>
      </c>
      <c r="J14" s="17">
        <v>67</v>
      </c>
      <c r="K14" s="17">
        <v>42</v>
      </c>
      <c r="L14" s="17">
        <v>78</v>
      </c>
      <c r="M14" s="17">
        <v>85</v>
      </c>
      <c r="N14" s="17">
        <v>83</v>
      </c>
      <c r="O14" s="17">
        <v>67</v>
      </c>
      <c r="P14" s="17">
        <v>78</v>
      </c>
      <c r="Q14" s="17">
        <v>62</v>
      </c>
      <c r="R14" s="17">
        <v>33</v>
      </c>
      <c r="S14" s="17">
        <v>56</v>
      </c>
      <c r="T14" s="17">
        <v>0</v>
      </c>
      <c r="U14" s="17">
        <v>68</v>
      </c>
      <c r="V14" s="17">
        <f t="shared" si="1"/>
        <v>2.6561990000000013</v>
      </c>
      <c r="W14" s="5">
        <f t="shared" si="2"/>
        <v>3.3890500000000006</v>
      </c>
      <c r="X14">
        <f t="shared" si="3"/>
        <v>2.9411508000000004</v>
      </c>
      <c r="Y14" s="5">
        <f t="shared" si="4"/>
        <v>2.9411508000000004</v>
      </c>
      <c r="Z14" t="str">
        <f t="shared" si="5"/>
        <v>SP</v>
      </c>
      <c r="AA14" t="str">
        <f t="shared" si="6"/>
        <v>SP</v>
      </c>
    </row>
    <row r="15" spans="1:27" ht="13.5" customHeight="1" thickBot="1" x14ac:dyDescent="0.35">
      <c r="A15">
        <f t="shared" si="0"/>
        <v>57.828152771415482</v>
      </c>
      <c r="B15" s="16">
        <v>21</v>
      </c>
      <c r="C15" s="10" t="s">
        <v>425</v>
      </c>
      <c r="D15" s="17" t="s">
        <v>416</v>
      </c>
      <c r="E15" s="17" t="s">
        <v>36</v>
      </c>
      <c r="F15" s="17" t="s">
        <v>36</v>
      </c>
      <c r="G15" s="17">
        <v>18</v>
      </c>
      <c r="H15" s="17">
        <v>61</v>
      </c>
      <c r="I15" s="17">
        <v>19</v>
      </c>
      <c r="J15" s="17">
        <v>85</v>
      </c>
      <c r="K15" s="17">
        <v>84</v>
      </c>
      <c r="L15" s="17">
        <v>40</v>
      </c>
      <c r="M15" s="17">
        <v>45</v>
      </c>
      <c r="N15" s="17">
        <v>50</v>
      </c>
      <c r="O15" s="17">
        <v>71</v>
      </c>
      <c r="P15" s="17">
        <v>75</v>
      </c>
      <c r="Q15" s="17">
        <v>74</v>
      </c>
      <c r="R15" s="17">
        <v>30</v>
      </c>
      <c r="S15" s="17">
        <v>48</v>
      </c>
      <c r="T15" s="17">
        <v>39</v>
      </c>
      <c r="U15" s="17">
        <v>60</v>
      </c>
      <c r="V15" s="17">
        <f t="shared" si="1"/>
        <v>2.2809226000000002</v>
      </c>
      <c r="W15" s="5">
        <f t="shared" si="2"/>
        <v>3.634946600000001</v>
      </c>
      <c r="X15">
        <f t="shared" si="3"/>
        <v>3.8046336000000016</v>
      </c>
      <c r="Y15" s="5">
        <f t="shared" si="4"/>
        <v>3.8046336000000016</v>
      </c>
      <c r="Z15" t="str">
        <f t="shared" si="5"/>
        <v>SP</v>
      </c>
      <c r="AA15" t="str">
        <f t="shared" si="6"/>
        <v>SP</v>
      </c>
    </row>
    <row r="16" spans="1:27" ht="13.5" customHeight="1" thickBot="1" x14ac:dyDescent="0.35">
      <c r="A16">
        <f t="shared" si="0"/>
        <v>53.009115895556562</v>
      </c>
      <c r="B16" s="16">
        <v>29</v>
      </c>
      <c r="C16" s="10" t="s">
        <v>426</v>
      </c>
      <c r="D16" s="17" t="s">
        <v>416</v>
      </c>
      <c r="E16" s="17" t="s">
        <v>46</v>
      </c>
      <c r="F16" s="17" t="s">
        <v>36</v>
      </c>
      <c r="G16" s="17">
        <v>18</v>
      </c>
      <c r="H16" s="17">
        <v>74</v>
      </c>
      <c r="I16" s="17">
        <v>90</v>
      </c>
      <c r="J16" s="17">
        <v>20</v>
      </c>
      <c r="K16" s="17">
        <v>70</v>
      </c>
      <c r="L16" s="17">
        <v>57</v>
      </c>
      <c r="M16" s="17">
        <v>96</v>
      </c>
      <c r="N16" s="17">
        <v>71</v>
      </c>
      <c r="O16" s="17">
        <v>67</v>
      </c>
      <c r="P16" s="17">
        <v>96</v>
      </c>
      <c r="Q16" s="17">
        <v>41</v>
      </c>
      <c r="R16" s="17">
        <v>0</v>
      </c>
      <c r="S16" s="17">
        <v>0</v>
      </c>
      <c r="T16" s="17">
        <v>0</v>
      </c>
      <c r="U16" s="17">
        <v>65</v>
      </c>
      <c r="V16" s="17">
        <f t="shared" si="1"/>
        <v>2.9911564000000008</v>
      </c>
      <c r="W16" s="5">
        <f t="shared" si="2"/>
        <v>2.5840520000000007</v>
      </c>
      <c r="X16">
        <f t="shared" si="3"/>
        <v>1.3822944000000001</v>
      </c>
      <c r="Y16" s="5">
        <f t="shared" si="4"/>
        <v>1.3822944000000001</v>
      </c>
      <c r="Z16" t="str">
        <f t="shared" si="5"/>
        <v>RP</v>
      </c>
      <c r="AA16" t="str">
        <f t="shared" si="6"/>
        <v>RP</v>
      </c>
    </row>
    <row r="17" spans="1:27" ht="13.5" customHeight="1" thickBot="1" x14ac:dyDescent="0.35">
      <c r="A17">
        <f t="shared" si="0"/>
        <v>68.317333495571816</v>
      </c>
      <c r="B17" s="18">
        <v>30</v>
      </c>
      <c r="C17" s="11" t="s">
        <v>427</v>
      </c>
      <c r="D17" s="19" t="s">
        <v>416</v>
      </c>
      <c r="E17" s="19" t="s">
        <v>36</v>
      </c>
      <c r="F17" s="19" t="s">
        <v>36</v>
      </c>
      <c r="G17" s="19">
        <v>22</v>
      </c>
      <c r="H17" s="19">
        <v>72</v>
      </c>
      <c r="I17" s="19">
        <v>21</v>
      </c>
      <c r="J17" s="19">
        <v>44</v>
      </c>
      <c r="K17" s="19">
        <v>100</v>
      </c>
      <c r="L17" s="19">
        <v>81</v>
      </c>
      <c r="M17" s="19">
        <v>74</v>
      </c>
      <c r="N17" s="19">
        <v>76</v>
      </c>
      <c r="O17" s="19">
        <v>53</v>
      </c>
      <c r="P17" s="19">
        <v>55</v>
      </c>
      <c r="Q17" s="19">
        <v>56</v>
      </c>
      <c r="R17" s="19">
        <v>29</v>
      </c>
      <c r="S17" s="19">
        <v>60</v>
      </c>
      <c r="T17" s="19">
        <v>0</v>
      </c>
      <c r="U17" s="19">
        <v>66</v>
      </c>
      <c r="V17" s="19">
        <f t="shared" si="1"/>
        <v>4.3063647999999999</v>
      </c>
      <c r="W17" s="5">
        <f t="shared" si="2"/>
        <v>2.5653180000000004</v>
      </c>
      <c r="X17">
        <f t="shared" si="3"/>
        <v>1.5057830433333337</v>
      </c>
      <c r="Y17" s="5">
        <f t="shared" si="4"/>
        <v>1.5057830433333337</v>
      </c>
      <c r="Z17" t="str">
        <f t="shared" si="5"/>
        <v>CRAP</v>
      </c>
      <c r="AA17" t="str">
        <f t="shared" si="6"/>
        <v>CRAP</v>
      </c>
    </row>
    <row r="18" spans="1:27" ht="13.5" customHeight="1" thickBot="1" x14ac:dyDescent="0.35">
      <c r="A18">
        <f t="shared" si="0"/>
        <v>51.825509619789273</v>
      </c>
      <c r="B18" s="16">
        <v>31</v>
      </c>
      <c r="C18" s="10" t="s">
        <v>428</v>
      </c>
      <c r="D18" s="17" t="s">
        <v>416</v>
      </c>
      <c r="E18" s="17" t="s">
        <v>36</v>
      </c>
      <c r="F18" s="17" t="s">
        <v>36</v>
      </c>
      <c r="G18" s="17">
        <v>18</v>
      </c>
      <c r="H18" s="17">
        <v>100</v>
      </c>
      <c r="I18" s="17">
        <v>24</v>
      </c>
      <c r="J18" s="17">
        <v>71</v>
      </c>
      <c r="K18" s="17">
        <v>84</v>
      </c>
      <c r="L18" s="17">
        <v>25</v>
      </c>
      <c r="M18" s="17">
        <v>30</v>
      </c>
      <c r="N18" s="17">
        <v>49</v>
      </c>
      <c r="O18" s="17">
        <v>66</v>
      </c>
      <c r="P18" s="17">
        <v>79</v>
      </c>
      <c r="Q18" s="17">
        <v>76</v>
      </c>
      <c r="R18" s="17">
        <v>40</v>
      </c>
      <c r="S18" s="17">
        <v>51</v>
      </c>
      <c r="T18" s="17">
        <v>0</v>
      </c>
      <c r="U18" s="17">
        <v>58</v>
      </c>
      <c r="V18" s="17">
        <f t="shared" si="1"/>
        <v>1.7802480000000003</v>
      </c>
      <c r="W18" s="5">
        <f t="shared" si="2"/>
        <v>3.8417790000000007</v>
      </c>
      <c r="X18">
        <f t="shared" si="3"/>
        <v>3.2970640000000007</v>
      </c>
      <c r="Y18" s="5">
        <f t="shared" si="4"/>
        <v>3.2970640000000007</v>
      </c>
      <c r="Z18" t="str">
        <f t="shared" si="5"/>
        <v>SP</v>
      </c>
      <c r="AA18" t="str">
        <f t="shared" si="6"/>
        <v>SP</v>
      </c>
    </row>
    <row r="19" spans="1:27" ht="13.5" customHeight="1" thickBot="1" x14ac:dyDescent="0.35">
      <c r="A19">
        <f t="shared" si="0"/>
        <v>73.371570087036176</v>
      </c>
      <c r="B19" s="16">
        <v>32</v>
      </c>
      <c r="C19" s="10" t="s">
        <v>429</v>
      </c>
      <c r="D19" s="17" t="s">
        <v>416</v>
      </c>
      <c r="E19" s="17" t="s">
        <v>36</v>
      </c>
      <c r="F19" s="17" t="s">
        <v>36</v>
      </c>
      <c r="G19" s="17">
        <v>18</v>
      </c>
      <c r="H19" s="17">
        <v>94</v>
      </c>
      <c r="I19" s="17">
        <v>25</v>
      </c>
      <c r="J19" s="17">
        <v>76</v>
      </c>
      <c r="K19" s="17">
        <v>86</v>
      </c>
      <c r="L19" s="17">
        <v>57</v>
      </c>
      <c r="M19" s="17">
        <v>68</v>
      </c>
      <c r="N19" s="17">
        <v>46</v>
      </c>
      <c r="O19" s="17">
        <v>71</v>
      </c>
      <c r="P19" s="17">
        <v>87</v>
      </c>
      <c r="Q19" s="17">
        <v>95</v>
      </c>
      <c r="R19" s="17">
        <v>51</v>
      </c>
      <c r="S19" s="17">
        <v>84</v>
      </c>
      <c r="T19" s="17">
        <v>46</v>
      </c>
      <c r="U19" s="17">
        <v>74</v>
      </c>
      <c r="V19" s="17">
        <f t="shared" si="1"/>
        <v>3.1105392000000003</v>
      </c>
      <c r="W19" s="5">
        <f t="shared" si="2"/>
        <v>4.815976400000002</v>
      </c>
      <c r="X19">
        <f t="shared" si="3"/>
        <v>3.5531124000000012</v>
      </c>
      <c r="Y19" s="5">
        <f t="shared" si="4"/>
        <v>3.5531124000000012</v>
      </c>
      <c r="Z19" t="str">
        <f t="shared" si="5"/>
        <v>SP</v>
      </c>
      <c r="AA19" t="str">
        <f t="shared" si="6"/>
        <v>SP</v>
      </c>
    </row>
    <row r="20" spans="1:27" ht="13.5" customHeight="1" thickBot="1" x14ac:dyDescent="0.35">
      <c r="A20">
        <f t="shared" si="0"/>
        <v>51.188506642235453</v>
      </c>
      <c r="B20" s="18">
        <v>33</v>
      </c>
      <c r="C20" s="11" t="s">
        <v>430</v>
      </c>
      <c r="D20" s="19" t="s">
        <v>416</v>
      </c>
      <c r="E20" s="19" t="s">
        <v>36</v>
      </c>
      <c r="F20" s="19" t="s">
        <v>36</v>
      </c>
      <c r="G20" s="19">
        <v>18</v>
      </c>
      <c r="H20" s="19">
        <v>84</v>
      </c>
      <c r="I20" s="19">
        <v>30</v>
      </c>
      <c r="J20" s="19">
        <v>91</v>
      </c>
      <c r="K20" s="19">
        <v>62</v>
      </c>
      <c r="L20" s="19">
        <v>51</v>
      </c>
      <c r="M20" s="19">
        <v>65</v>
      </c>
      <c r="N20" s="19">
        <v>51</v>
      </c>
      <c r="O20" s="19">
        <v>53</v>
      </c>
      <c r="P20" s="19">
        <v>60</v>
      </c>
      <c r="Q20" s="19">
        <v>63</v>
      </c>
      <c r="R20" s="19">
        <v>27</v>
      </c>
      <c r="S20" s="19">
        <v>12</v>
      </c>
      <c r="T20" s="19">
        <v>0</v>
      </c>
      <c r="U20" s="19">
        <v>64</v>
      </c>
      <c r="V20" s="19">
        <f t="shared" si="1"/>
        <v>2.1258978000000002</v>
      </c>
      <c r="W20" s="5">
        <f t="shared" si="2"/>
        <v>2.6092980000000008</v>
      </c>
      <c r="X20">
        <f t="shared" si="3"/>
        <v>4.1569344000000017</v>
      </c>
      <c r="Y20" s="5">
        <f t="shared" si="4"/>
        <v>4.1569344000000017</v>
      </c>
      <c r="Z20" t="str">
        <f t="shared" si="5"/>
        <v>SP</v>
      </c>
      <c r="AA20" t="str">
        <f t="shared" si="6"/>
        <v>SP</v>
      </c>
    </row>
    <row r="21" spans="1:27" ht="13.5" customHeight="1" thickBot="1" x14ac:dyDescent="0.35">
      <c r="A21">
        <f t="shared" si="0"/>
        <v>61.481243701328431</v>
      </c>
      <c r="B21" s="16">
        <v>39</v>
      </c>
      <c r="C21" s="10" t="s">
        <v>431</v>
      </c>
      <c r="D21" s="17" t="s">
        <v>416</v>
      </c>
      <c r="E21" s="17" t="s">
        <v>46</v>
      </c>
      <c r="F21" s="17" t="s">
        <v>47</v>
      </c>
      <c r="G21" s="17">
        <v>18</v>
      </c>
      <c r="H21" s="17">
        <v>100</v>
      </c>
      <c r="I21" s="17">
        <v>90</v>
      </c>
      <c r="J21" s="17">
        <v>32</v>
      </c>
      <c r="K21" s="17">
        <v>84</v>
      </c>
      <c r="L21" s="17">
        <v>68</v>
      </c>
      <c r="M21" s="17">
        <v>61</v>
      </c>
      <c r="N21" s="17">
        <v>91</v>
      </c>
      <c r="O21" s="17">
        <v>51</v>
      </c>
      <c r="P21" s="17">
        <v>87</v>
      </c>
      <c r="Q21" s="17">
        <v>82</v>
      </c>
      <c r="R21" s="17">
        <v>0</v>
      </c>
      <c r="S21" s="17">
        <v>0</v>
      </c>
      <c r="T21" s="17">
        <v>0</v>
      </c>
      <c r="U21" s="17">
        <v>71</v>
      </c>
      <c r="V21" s="17">
        <f t="shared" si="1"/>
        <v>3.0887302000000001</v>
      </c>
      <c r="W21" s="5">
        <f t="shared" si="2"/>
        <v>3.5982360000000013</v>
      </c>
      <c r="X21">
        <f t="shared" si="3"/>
        <v>1.9227760000000003</v>
      </c>
      <c r="Y21" s="5">
        <f t="shared" si="4"/>
        <v>1.9227760000000003</v>
      </c>
      <c r="Z21" t="str">
        <f t="shared" si="5"/>
        <v>RP</v>
      </c>
      <c r="AA21" t="str">
        <f t="shared" si="6"/>
        <v>RP</v>
      </c>
    </row>
    <row r="22" spans="1:27" ht="13.5" customHeight="1" thickBot="1" x14ac:dyDescent="0.35">
      <c r="A22">
        <f t="shared" si="0"/>
        <v>49.043613147045356</v>
      </c>
      <c r="B22" s="16">
        <v>40</v>
      </c>
      <c r="C22" s="10" t="s">
        <v>432</v>
      </c>
      <c r="D22" s="17" t="s">
        <v>416</v>
      </c>
      <c r="E22" s="17" t="s">
        <v>46</v>
      </c>
      <c r="F22" s="17" t="s">
        <v>36</v>
      </c>
      <c r="G22" s="17">
        <v>18</v>
      </c>
      <c r="H22" s="17">
        <v>74</v>
      </c>
      <c r="I22" s="17">
        <v>32</v>
      </c>
      <c r="J22" s="17">
        <v>100</v>
      </c>
      <c r="K22" s="17">
        <v>50</v>
      </c>
      <c r="L22" s="17">
        <v>40</v>
      </c>
      <c r="M22" s="17">
        <v>53</v>
      </c>
      <c r="N22" s="17">
        <v>44</v>
      </c>
      <c r="O22" s="17">
        <v>52</v>
      </c>
      <c r="P22" s="17">
        <v>78</v>
      </c>
      <c r="Q22" s="17">
        <v>67</v>
      </c>
      <c r="R22" s="17">
        <v>39</v>
      </c>
      <c r="S22" s="17">
        <v>39</v>
      </c>
      <c r="T22" s="17">
        <v>20</v>
      </c>
      <c r="U22" s="17">
        <v>58</v>
      </c>
      <c r="V22" s="17">
        <f t="shared" si="1"/>
        <v>1.4510622000000004</v>
      </c>
      <c r="W22" s="5">
        <f t="shared" si="2"/>
        <v>3.506733000000001</v>
      </c>
      <c r="X22">
        <f t="shared" si="3"/>
        <v>4.3122384000000018</v>
      </c>
      <c r="Y22" s="5">
        <f t="shared" si="4"/>
        <v>4.3122384000000018</v>
      </c>
      <c r="Z22" t="str">
        <f t="shared" si="5"/>
        <v>SP</v>
      </c>
      <c r="AA22" t="str">
        <f t="shared" si="6"/>
        <v>SP</v>
      </c>
    </row>
    <row r="23" spans="1:27" ht="13.5" customHeight="1" thickBot="1" x14ac:dyDescent="0.35">
      <c r="A23">
        <f t="shared" si="0"/>
        <v>48.97570774163993</v>
      </c>
      <c r="B23" s="16">
        <v>41</v>
      </c>
      <c r="C23" s="10" t="s">
        <v>433</v>
      </c>
      <c r="D23" s="17" t="s">
        <v>416</v>
      </c>
      <c r="E23" s="17" t="s">
        <v>36</v>
      </c>
      <c r="F23" s="17" t="s">
        <v>36</v>
      </c>
      <c r="G23" s="17">
        <v>18</v>
      </c>
      <c r="H23" s="17">
        <v>80</v>
      </c>
      <c r="I23" s="17">
        <v>39</v>
      </c>
      <c r="J23" s="17">
        <v>66</v>
      </c>
      <c r="K23" s="17">
        <v>89</v>
      </c>
      <c r="L23" s="17">
        <v>11</v>
      </c>
      <c r="M23" s="17">
        <v>28</v>
      </c>
      <c r="N23" s="17">
        <v>93</v>
      </c>
      <c r="O23" s="17">
        <v>86</v>
      </c>
      <c r="P23" s="17">
        <v>67</v>
      </c>
      <c r="Q23" s="17">
        <v>63</v>
      </c>
      <c r="R23" s="17">
        <v>20</v>
      </c>
      <c r="S23" s="17">
        <v>44</v>
      </c>
      <c r="T23" s="17">
        <v>15</v>
      </c>
      <c r="U23" s="17">
        <v>58</v>
      </c>
      <c r="V23" s="17">
        <f t="shared" si="1"/>
        <v>2.0206948000000002</v>
      </c>
      <c r="W23" s="5">
        <f t="shared" si="2"/>
        <v>2.9223810000000006</v>
      </c>
      <c r="X23">
        <f t="shared" si="3"/>
        <v>3.1786940000000001</v>
      </c>
      <c r="Y23" s="5">
        <f t="shared" si="4"/>
        <v>3.1786940000000001</v>
      </c>
      <c r="Z23" t="str">
        <f t="shared" si="5"/>
        <v>SP</v>
      </c>
      <c r="AA23" t="str">
        <f t="shared" si="6"/>
        <v>SP</v>
      </c>
    </row>
    <row r="24" spans="1:27" ht="13.5" customHeight="1" thickBot="1" x14ac:dyDescent="0.35">
      <c r="A24">
        <f t="shared" si="0"/>
        <v>48.298891433806681</v>
      </c>
      <c r="B24" s="16">
        <v>42</v>
      </c>
      <c r="C24" s="10" t="s">
        <v>434</v>
      </c>
      <c r="D24" s="17" t="s">
        <v>416</v>
      </c>
      <c r="E24" s="17" t="s">
        <v>46</v>
      </c>
      <c r="F24" s="17" t="s">
        <v>36</v>
      </c>
      <c r="G24" s="17">
        <v>18</v>
      </c>
      <c r="H24" s="17">
        <v>85</v>
      </c>
      <c r="I24" s="17">
        <v>45</v>
      </c>
      <c r="J24" s="17">
        <v>71</v>
      </c>
      <c r="K24" s="17">
        <v>87</v>
      </c>
      <c r="L24" s="17">
        <v>31</v>
      </c>
      <c r="M24" s="17">
        <v>24</v>
      </c>
      <c r="N24" s="17">
        <v>75</v>
      </c>
      <c r="O24" s="17">
        <v>94</v>
      </c>
      <c r="P24" s="17">
        <v>66</v>
      </c>
      <c r="Q24" s="17">
        <v>45</v>
      </c>
      <c r="R24" s="17">
        <v>40</v>
      </c>
      <c r="S24" s="17">
        <v>49</v>
      </c>
      <c r="T24" s="17">
        <v>19</v>
      </c>
      <c r="U24" s="17">
        <v>60</v>
      </c>
      <c r="V24" s="17">
        <f t="shared" si="1"/>
        <v>2.0127923999999999</v>
      </c>
      <c r="W24" s="5">
        <f t="shared" si="2"/>
        <v>2.6367875999999999</v>
      </c>
      <c r="X24">
        <f t="shared" si="3"/>
        <v>3.5450920000000004</v>
      </c>
      <c r="Y24" s="5">
        <f t="shared" si="4"/>
        <v>3.5450920000000004</v>
      </c>
      <c r="Z24" t="str">
        <f t="shared" si="5"/>
        <v>SP</v>
      </c>
      <c r="AA24" t="str">
        <f t="shared" si="6"/>
        <v>SP</v>
      </c>
    </row>
    <row r="25" spans="1:27" ht="13.5" customHeight="1" thickBot="1" x14ac:dyDescent="0.35">
      <c r="A25">
        <f t="shared" si="0"/>
        <v>47.623922354557941</v>
      </c>
      <c r="B25" s="16">
        <v>44</v>
      </c>
      <c r="C25" s="10" t="s">
        <v>435</v>
      </c>
      <c r="D25" s="17" t="s">
        <v>416</v>
      </c>
      <c r="E25" s="17" t="s">
        <v>46</v>
      </c>
      <c r="F25" s="17" t="s">
        <v>36</v>
      </c>
      <c r="G25" s="17">
        <v>18</v>
      </c>
      <c r="H25" s="17">
        <v>26</v>
      </c>
      <c r="I25" s="17">
        <v>26</v>
      </c>
      <c r="J25" s="17">
        <v>94</v>
      </c>
      <c r="K25" s="17">
        <v>31</v>
      </c>
      <c r="L25" s="17">
        <v>57</v>
      </c>
      <c r="M25" s="17">
        <v>80</v>
      </c>
      <c r="N25" s="17">
        <v>30</v>
      </c>
      <c r="O25" s="17">
        <v>0</v>
      </c>
      <c r="P25" s="17">
        <v>60</v>
      </c>
      <c r="Q25" s="17">
        <v>54</v>
      </c>
      <c r="R25" s="17">
        <v>29</v>
      </c>
      <c r="S25" s="17">
        <v>31</v>
      </c>
      <c r="T25" s="17">
        <v>0</v>
      </c>
      <c r="U25" s="17">
        <v>53</v>
      </c>
      <c r="V25" s="17">
        <f t="shared" si="1"/>
        <v>1.9273760000000004</v>
      </c>
      <c r="W25" s="5">
        <f t="shared" si="2"/>
        <v>2.4484450000000009</v>
      </c>
      <c r="X25">
        <f t="shared" si="3"/>
        <v>4.0276896000000004</v>
      </c>
      <c r="Y25" s="5">
        <f t="shared" si="4"/>
        <v>4.0276896000000004</v>
      </c>
      <c r="Z25" t="str">
        <f t="shared" si="5"/>
        <v>SP</v>
      </c>
      <c r="AA25" t="str">
        <f t="shared" si="6"/>
        <v>SP</v>
      </c>
    </row>
    <row r="26" spans="1:27" ht="13.5" customHeight="1" thickBot="1" x14ac:dyDescent="0.35">
      <c r="A26">
        <f t="shared" si="0"/>
        <v>48.033574209803021</v>
      </c>
      <c r="B26" s="18">
        <v>45</v>
      </c>
      <c r="C26" s="11" t="s">
        <v>436</v>
      </c>
      <c r="D26" s="19" t="s">
        <v>416</v>
      </c>
      <c r="E26" s="19" t="s">
        <v>47</v>
      </c>
      <c r="F26" s="19" t="s">
        <v>47</v>
      </c>
      <c r="G26" s="19">
        <v>18</v>
      </c>
      <c r="H26" s="19">
        <v>100</v>
      </c>
      <c r="I26" s="19">
        <v>25</v>
      </c>
      <c r="J26" s="19">
        <v>79</v>
      </c>
      <c r="K26" s="19">
        <v>68</v>
      </c>
      <c r="L26" s="19">
        <v>30</v>
      </c>
      <c r="M26" s="19">
        <v>33</v>
      </c>
      <c r="N26" s="19">
        <v>37</v>
      </c>
      <c r="O26" s="19">
        <v>87</v>
      </c>
      <c r="P26" s="19">
        <v>75</v>
      </c>
      <c r="Q26" s="19">
        <v>71</v>
      </c>
      <c r="R26" s="19">
        <v>47</v>
      </c>
      <c r="S26" s="19">
        <v>57</v>
      </c>
      <c r="T26" s="19">
        <v>37</v>
      </c>
      <c r="U26" s="19">
        <v>58</v>
      </c>
      <c r="V26" s="19">
        <f t="shared" si="1"/>
        <v>1.3471126000000002</v>
      </c>
      <c r="W26" s="5">
        <f t="shared" si="2"/>
        <v>3.8469492000000005</v>
      </c>
      <c r="X26">
        <f t="shared" si="3"/>
        <v>3.694818000000001</v>
      </c>
      <c r="Y26" s="5">
        <f t="shared" si="4"/>
        <v>3.694818000000001</v>
      </c>
      <c r="Z26" t="str">
        <f t="shared" si="5"/>
        <v>SP</v>
      </c>
      <c r="AA26" t="str">
        <f t="shared" si="6"/>
        <v>SP</v>
      </c>
    </row>
    <row r="27" spans="1:27" ht="13.5" customHeight="1" thickBot="1" x14ac:dyDescent="0.35">
      <c r="A27">
        <f t="shared" si="0"/>
        <v>57.806949152542359</v>
      </c>
      <c r="B27" s="18">
        <v>47</v>
      </c>
      <c r="C27" s="11" t="s">
        <v>437</v>
      </c>
      <c r="D27" s="19" t="s">
        <v>416</v>
      </c>
      <c r="E27" s="19" t="s">
        <v>36</v>
      </c>
      <c r="F27" s="19" t="s">
        <v>36</v>
      </c>
      <c r="G27" s="19">
        <v>18</v>
      </c>
      <c r="H27" s="19">
        <v>96</v>
      </c>
      <c r="I27" s="19">
        <v>28</v>
      </c>
      <c r="J27" s="19">
        <v>83</v>
      </c>
      <c r="K27" s="19">
        <v>98</v>
      </c>
      <c r="L27" s="19">
        <v>27</v>
      </c>
      <c r="M27" s="19">
        <v>31</v>
      </c>
      <c r="N27" s="19">
        <v>22</v>
      </c>
      <c r="O27" s="19">
        <v>70</v>
      </c>
      <c r="P27" s="19">
        <v>69</v>
      </c>
      <c r="Q27" s="19">
        <v>54</v>
      </c>
      <c r="R27" s="19">
        <v>51</v>
      </c>
      <c r="S27" s="19">
        <v>50</v>
      </c>
      <c r="T27" s="19">
        <v>42</v>
      </c>
      <c r="U27" s="19">
        <v>60</v>
      </c>
      <c r="V27" s="19">
        <f t="shared" si="1"/>
        <v>2.4583317999999998</v>
      </c>
      <c r="W27" s="5">
        <f t="shared" si="2"/>
        <v>3.2336372000000009</v>
      </c>
      <c r="X27">
        <f t="shared" si="3"/>
        <v>3.8902096000000013</v>
      </c>
      <c r="Y27" s="5">
        <f t="shared" si="4"/>
        <v>3.8902096000000013</v>
      </c>
      <c r="Z27" t="str">
        <f t="shared" si="5"/>
        <v>SP</v>
      </c>
      <c r="AA27" t="str">
        <f t="shared" si="6"/>
        <v>SP</v>
      </c>
    </row>
    <row r="28" spans="1:27" ht="13.5" customHeight="1" thickBot="1" x14ac:dyDescent="0.35">
      <c r="A28">
        <f t="shared" si="0"/>
        <v>59.379241868987627</v>
      </c>
      <c r="B28" s="16">
        <v>48</v>
      </c>
      <c r="C28" s="10" t="s">
        <v>438</v>
      </c>
      <c r="D28" s="17" t="s">
        <v>416</v>
      </c>
      <c r="E28" s="17" t="s">
        <v>36</v>
      </c>
      <c r="F28" s="17" t="s">
        <v>36</v>
      </c>
      <c r="G28" s="17">
        <v>19</v>
      </c>
      <c r="H28" s="17">
        <v>69</v>
      </c>
      <c r="I28" s="17">
        <v>26</v>
      </c>
      <c r="J28" s="17">
        <v>69</v>
      </c>
      <c r="K28" s="17">
        <v>84</v>
      </c>
      <c r="L28" s="17">
        <v>63</v>
      </c>
      <c r="M28" s="17">
        <v>62</v>
      </c>
      <c r="N28" s="17">
        <v>58</v>
      </c>
      <c r="O28" s="17">
        <v>28</v>
      </c>
      <c r="P28" s="17">
        <v>99</v>
      </c>
      <c r="Q28" s="17">
        <v>37</v>
      </c>
      <c r="R28" s="17">
        <v>44</v>
      </c>
      <c r="S28" s="17">
        <v>25</v>
      </c>
      <c r="T28" s="17">
        <v>38</v>
      </c>
      <c r="U28" s="17">
        <v>67</v>
      </c>
      <c r="V28" s="17">
        <f t="shared" si="1"/>
        <v>2.9004564000000004</v>
      </c>
      <c r="W28" s="5">
        <f t="shared" si="2"/>
        <v>2.9904298000000016</v>
      </c>
      <c r="X28">
        <f t="shared" si="3"/>
        <v>3.1572964000000012</v>
      </c>
      <c r="Y28" s="5">
        <f t="shared" si="4"/>
        <v>3.1572964000000012</v>
      </c>
      <c r="Z28" t="str">
        <f t="shared" si="5"/>
        <v>SP</v>
      </c>
      <c r="AA28" t="str">
        <f t="shared" si="6"/>
        <v>SP</v>
      </c>
    </row>
    <row r="29" spans="1:27" ht="13.5" customHeight="1" thickBot="1" x14ac:dyDescent="0.35">
      <c r="A29">
        <f t="shared" si="0"/>
        <v>50.95901511681172</v>
      </c>
      <c r="B29" s="18">
        <v>49</v>
      </c>
      <c r="C29" s="11" t="s">
        <v>439</v>
      </c>
      <c r="D29" s="19" t="s">
        <v>416</v>
      </c>
      <c r="E29" s="19" t="s">
        <v>36</v>
      </c>
      <c r="F29" s="19" t="s">
        <v>36</v>
      </c>
      <c r="G29" s="19">
        <v>18</v>
      </c>
      <c r="H29" s="19">
        <v>95</v>
      </c>
      <c r="I29" s="19">
        <v>95</v>
      </c>
      <c r="J29" s="19">
        <v>36</v>
      </c>
      <c r="K29" s="19">
        <v>50</v>
      </c>
      <c r="L29" s="19">
        <v>66</v>
      </c>
      <c r="M29" s="19">
        <v>69</v>
      </c>
      <c r="N29" s="19">
        <v>31</v>
      </c>
      <c r="O29" s="19">
        <v>51</v>
      </c>
      <c r="P29" s="19">
        <v>69</v>
      </c>
      <c r="Q29" s="19">
        <v>80</v>
      </c>
      <c r="R29" s="19">
        <v>46</v>
      </c>
      <c r="S29" s="19">
        <v>0</v>
      </c>
      <c r="T29" s="19">
        <v>0</v>
      </c>
      <c r="U29" s="19">
        <v>64</v>
      </c>
      <c r="V29" s="19">
        <f t="shared" si="1"/>
        <v>2.1412822000000005</v>
      </c>
      <c r="W29" s="5">
        <f t="shared" si="2"/>
        <v>3.5410520000000005</v>
      </c>
      <c r="X29">
        <f t="shared" si="3"/>
        <v>2.1517320000000004</v>
      </c>
      <c r="Y29" s="5">
        <f t="shared" si="4"/>
        <v>2.1517320000000004</v>
      </c>
      <c r="Z29" t="str">
        <f t="shared" si="5"/>
        <v>RP</v>
      </c>
      <c r="AA29" t="str">
        <f t="shared" si="6"/>
        <v>RP</v>
      </c>
    </row>
    <row r="30" spans="1:27" ht="13.5" customHeight="1" thickBot="1" x14ac:dyDescent="0.35">
      <c r="A30">
        <f t="shared" si="0"/>
        <v>45.067564131928528</v>
      </c>
      <c r="B30" s="16">
        <v>50</v>
      </c>
      <c r="C30" s="10" t="s">
        <v>440</v>
      </c>
      <c r="D30" s="17" t="s">
        <v>416</v>
      </c>
      <c r="E30" s="17" t="s">
        <v>46</v>
      </c>
      <c r="F30" s="17" t="s">
        <v>47</v>
      </c>
      <c r="G30" s="17">
        <v>18</v>
      </c>
      <c r="H30" s="17">
        <v>76</v>
      </c>
      <c r="I30" s="17">
        <v>22</v>
      </c>
      <c r="J30" s="17">
        <v>72</v>
      </c>
      <c r="K30" s="17">
        <v>65</v>
      </c>
      <c r="L30" s="17">
        <v>46</v>
      </c>
      <c r="M30" s="17">
        <v>43</v>
      </c>
      <c r="N30" s="17">
        <v>79</v>
      </c>
      <c r="O30" s="17">
        <v>14</v>
      </c>
      <c r="P30" s="17">
        <v>65</v>
      </c>
      <c r="Q30" s="17">
        <v>68</v>
      </c>
      <c r="R30" s="17">
        <v>6</v>
      </c>
      <c r="S30" s="17">
        <v>51</v>
      </c>
      <c r="T30" s="17">
        <v>0</v>
      </c>
      <c r="U30" s="17">
        <v>55</v>
      </c>
      <c r="V30" s="17">
        <f t="shared" si="1"/>
        <v>1.6232418000000004</v>
      </c>
      <c r="W30" s="5">
        <f t="shared" si="2"/>
        <v>2.9769790000000009</v>
      </c>
      <c r="X30">
        <f t="shared" si="3"/>
        <v>3.2942736000000008</v>
      </c>
      <c r="Y30" s="5">
        <f t="shared" si="4"/>
        <v>3.2942736000000008</v>
      </c>
      <c r="Z30" t="str">
        <f t="shared" si="5"/>
        <v>SP</v>
      </c>
      <c r="AA30" t="str">
        <f t="shared" si="6"/>
        <v>SP</v>
      </c>
    </row>
    <row r="31" spans="1:27" ht="13.5" customHeight="1" thickBot="1" x14ac:dyDescent="0.35">
      <c r="A31">
        <f t="shared" si="0"/>
        <v>44.605689418231798</v>
      </c>
      <c r="B31" s="18">
        <v>51</v>
      </c>
      <c r="C31" s="11" t="s">
        <v>441</v>
      </c>
      <c r="D31" s="19" t="s">
        <v>416</v>
      </c>
      <c r="E31" s="19" t="s">
        <v>47</v>
      </c>
      <c r="F31" s="19" t="s">
        <v>47</v>
      </c>
      <c r="G31" s="19">
        <v>18</v>
      </c>
      <c r="H31" s="19">
        <v>45</v>
      </c>
      <c r="I31" s="19">
        <v>15</v>
      </c>
      <c r="J31" s="19">
        <v>88</v>
      </c>
      <c r="K31" s="19">
        <v>30</v>
      </c>
      <c r="L31" s="19">
        <v>60</v>
      </c>
      <c r="M31" s="19">
        <v>46</v>
      </c>
      <c r="N31" s="19">
        <v>44</v>
      </c>
      <c r="O31" s="19">
        <v>64</v>
      </c>
      <c r="P31" s="19">
        <v>73</v>
      </c>
      <c r="Q31" s="19">
        <v>63</v>
      </c>
      <c r="R31" s="19">
        <v>32</v>
      </c>
      <c r="S31" s="19">
        <v>0</v>
      </c>
      <c r="T31" s="19">
        <v>0</v>
      </c>
      <c r="U31" s="19">
        <v>52</v>
      </c>
      <c r="V31" s="19">
        <f t="shared" si="1"/>
        <v>1.4285288000000005</v>
      </c>
      <c r="W31" s="5">
        <f t="shared" si="2"/>
        <v>3.0182080000000009</v>
      </c>
      <c r="X31">
        <f t="shared" si="3"/>
        <v>3.8293440000000016</v>
      </c>
      <c r="Y31" s="5">
        <f t="shared" si="4"/>
        <v>3.8293440000000016</v>
      </c>
      <c r="Z31" t="str">
        <f t="shared" si="5"/>
        <v>SP</v>
      </c>
      <c r="AA31" t="str">
        <f t="shared" si="6"/>
        <v>SP</v>
      </c>
    </row>
    <row r="32" spans="1:27" ht="13.5" customHeight="1" thickBot="1" x14ac:dyDescent="0.35">
      <c r="A32">
        <f t="shared" si="0"/>
        <v>47.269002519468614</v>
      </c>
      <c r="B32" s="18">
        <v>54</v>
      </c>
      <c r="C32" s="11" t="s">
        <v>442</v>
      </c>
      <c r="D32" s="19" t="s">
        <v>416</v>
      </c>
      <c r="E32" s="19" t="s">
        <v>47</v>
      </c>
      <c r="F32" s="19" t="s">
        <v>47</v>
      </c>
      <c r="G32" s="19">
        <v>18</v>
      </c>
      <c r="H32" s="19">
        <v>79</v>
      </c>
      <c r="I32" s="19">
        <v>66</v>
      </c>
      <c r="J32" s="19">
        <v>33</v>
      </c>
      <c r="K32" s="19">
        <v>42</v>
      </c>
      <c r="L32" s="19">
        <v>62</v>
      </c>
      <c r="M32" s="19">
        <v>61</v>
      </c>
      <c r="N32" s="19">
        <v>32</v>
      </c>
      <c r="O32" s="19">
        <v>79</v>
      </c>
      <c r="P32" s="19">
        <v>85</v>
      </c>
      <c r="Q32" s="19">
        <v>81</v>
      </c>
      <c r="R32" s="19">
        <v>22</v>
      </c>
      <c r="S32" s="19">
        <v>0</v>
      </c>
      <c r="T32" s="19">
        <v>0</v>
      </c>
      <c r="U32" s="19">
        <v>60</v>
      </c>
      <c r="V32" s="19">
        <f t="shared" si="1"/>
        <v>1.8924042000000001</v>
      </c>
      <c r="W32" s="5">
        <f t="shared" si="2"/>
        <v>3.6309600000000013</v>
      </c>
      <c r="X32">
        <f t="shared" si="3"/>
        <v>1.6785804000000004</v>
      </c>
      <c r="Y32" s="5">
        <f t="shared" si="4"/>
        <v>1.6785804000000004</v>
      </c>
      <c r="Z32" t="str">
        <f t="shared" si="5"/>
        <v>RP</v>
      </c>
      <c r="AA32" t="str">
        <f t="shared" si="6"/>
        <v>RP</v>
      </c>
    </row>
    <row r="33" spans="1:27" ht="13.5" customHeight="1" thickBot="1" x14ac:dyDescent="0.35">
      <c r="A33">
        <f t="shared" si="0"/>
        <v>46.853853641777356</v>
      </c>
      <c r="B33" s="16">
        <v>55</v>
      </c>
      <c r="C33" s="10" t="s">
        <v>443</v>
      </c>
      <c r="D33" s="17" t="s">
        <v>416</v>
      </c>
      <c r="E33" s="17" t="s">
        <v>47</v>
      </c>
      <c r="F33" s="17" t="s">
        <v>47</v>
      </c>
      <c r="G33" s="17">
        <v>18</v>
      </c>
      <c r="H33" s="17">
        <v>96</v>
      </c>
      <c r="I33" s="17">
        <v>20</v>
      </c>
      <c r="J33" s="17">
        <v>86</v>
      </c>
      <c r="K33" s="17">
        <v>52</v>
      </c>
      <c r="L33" s="17">
        <v>33</v>
      </c>
      <c r="M33" s="17">
        <v>41</v>
      </c>
      <c r="N33" s="17">
        <v>30</v>
      </c>
      <c r="O33" s="17">
        <v>66</v>
      </c>
      <c r="P33" s="17">
        <v>96</v>
      </c>
      <c r="Q33" s="17">
        <v>80</v>
      </c>
      <c r="R33" s="17">
        <v>36</v>
      </c>
      <c r="S33" s="17">
        <v>23</v>
      </c>
      <c r="T33" s="17">
        <v>0</v>
      </c>
      <c r="U33" s="17">
        <v>55</v>
      </c>
      <c r="V33" s="17">
        <f t="shared" si="1"/>
        <v>1.1297546000000001</v>
      </c>
      <c r="W33" s="5">
        <f t="shared" si="2"/>
        <v>3.9622270000000004</v>
      </c>
      <c r="X33">
        <f t="shared" si="3"/>
        <v>3.9216416000000018</v>
      </c>
      <c r="Y33" s="5">
        <f t="shared" si="4"/>
        <v>3.9216416000000018</v>
      </c>
      <c r="Z33" t="str">
        <f t="shared" si="5"/>
        <v>SP</v>
      </c>
      <c r="AA33" t="str">
        <f t="shared" si="6"/>
        <v>SP</v>
      </c>
    </row>
    <row r="34" spans="1:27" ht="13.5" customHeight="1" thickBot="1" x14ac:dyDescent="0.35">
      <c r="A34">
        <f t="shared" si="0"/>
        <v>41.65158039395326</v>
      </c>
      <c r="B34" s="18">
        <v>58</v>
      </c>
      <c r="C34" s="11" t="s">
        <v>444</v>
      </c>
      <c r="D34" s="19" t="s">
        <v>416</v>
      </c>
      <c r="E34" s="19" t="s">
        <v>36</v>
      </c>
      <c r="F34" s="19" t="s">
        <v>36</v>
      </c>
      <c r="G34" s="19">
        <v>18</v>
      </c>
      <c r="H34" s="19">
        <v>88</v>
      </c>
      <c r="I34" s="19">
        <v>42</v>
      </c>
      <c r="J34" s="19">
        <v>75</v>
      </c>
      <c r="K34" s="19">
        <v>72</v>
      </c>
      <c r="L34" s="19">
        <v>13</v>
      </c>
      <c r="M34" s="19">
        <v>28</v>
      </c>
      <c r="N34" s="19">
        <v>82</v>
      </c>
      <c r="O34" s="19">
        <v>29</v>
      </c>
      <c r="P34" s="19">
        <v>67</v>
      </c>
      <c r="Q34" s="19">
        <v>70</v>
      </c>
      <c r="R34" s="19">
        <v>18</v>
      </c>
      <c r="S34" s="19">
        <v>34</v>
      </c>
      <c r="T34" s="19">
        <v>0</v>
      </c>
      <c r="U34" s="19">
        <v>53</v>
      </c>
      <c r="V34" s="19">
        <f t="shared" si="1"/>
        <v>1.1983832000000001</v>
      </c>
      <c r="W34" s="5">
        <f t="shared" si="2"/>
        <v>3.0226800000000003</v>
      </c>
      <c r="X34">
        <f t="shared" si="3"/>
        <v>3.7091712000000006</v>
      </c>
      <c r="Y34" s="5">
        <f t="shared" si="4"/>
        <v>3.7091712000000006</v>
      </c>
      <c r="Z34" t="str">
        <f t="shared" si="5"/>
        <v>SP</v>
      </c>
      <c r="AA34" t="str">
        <f t="shared" si="6"/>
        <v>SP</v>
      </c>
    </row>
    <row r="35" spans="1:27" ht="13.5" customHeight="1" thickBot="1" x14ac:dyDescent="0.35">
      <c r="A35">
        <f t="shared" si="0"/>
        <v>45.890513055428308</v>
      </c>
      <c r="B35" s="16">
        <v>62</v>
      </c>
      <c r="C35" s="10" t="s">
        <v>445</v>
      </c>
      <c r="D35" s="17" t="s">
        <v>416</v>
      </c>
      <c r="E35" s="17" t="s">
        <v>46</v>
      </c>
      <c r="F35" s="17" t="s">
        <v>36</v>
      </c>
      <c r="G35" s="17">
        <v>18</v>
      </c>
      <c r="H35" s="17">
        <v>99</v>
      </c>
      <c r="I35" s="17">
        <v>32</v>
      </c>
      <c r="J35" s="17">
        <v>63</v>
      </c>
      <c r="K35" s="17">
        <v>79</v>
      </c>
      <c r="L35" s="17">
        <v>52</v>
      </c>
      <c r="M35" s="17">
        <v>39</v>
      </c>
      <c r="N35" s="17">
        <v>18</v>
      </c>
      <c r="O35" s="17">
        <v>87</v>
      </c>
      <c r="P35" s="17">
        <v>59</v>
      </c>
      <c r="Q35" s="17">
        <v>43</v>
      </c>
      <c r="R35" s="17">
        <v>42</v>
      </c>
      <c r="S35" s="17">
        <v>47</v>
      </c>
      <c r="T35" s="17">
        <v>0</v>
      </c>
      <c r="U35" s="17">
        <v>59</v>
      </c>
      <c r="V35" s="17">
        <f t="shared" si="1"/>
        <v>2.0855330000000003</v>
      </c>
      <c r="W35" s="5">
        <f t="shared" si="2"/>
        <v>2.3716270000000006</v>
      </c>
      <c r="X35">
        <f t="shared" si="3"/>
        <v>2.9432524000000009</v>
      </c>
      <c r="Y35" s="5">
        <f t="shared" si="4"/>
        <v>2.9432524000000009</v>
      </c>
      <c r="Z35" t="str">
        <f t="shared" si="5"/>
        <v>SP</v>
      </c>
      <c r="AA35" t="str">
        <f t="shared" si="6"/>
        <v>SP</v>
      </c>
    </row>
    <row r="36" spans="1:27" ht="13.5" customHeight="1" thickBot="1" x14ac:dyDescent="0.35">
      <c r="A36">
        <f t="shared" si="0"/>
        <v>53.166557489693076</v>
      </c>
      <c r="B36" s="16">
        <v>63</v>
      </c>
      <c r="C36" s="10" t="s">
        <v>446</v>
      </c>
      <c r="D36" s="17" t="s">
        <v>416</v>
      </c>
      <c r="E36" s="17" t="s">
        <v>47</v>
      </c>
      <c r="F36" s="17" t="s">
        <v>47</v>
      </c>
      <c r="G36" s="17">
        <v>20</v>
      </c>
      <c r="H36" s="17">
        <v>67</v>
      </c>
      <c r="I36" s="17">
        <v>35</v>
      </c>
      <c r="J36" s="17">
        <v>84</v>
      </c>
      <c r="K36" s="17">
        <v>92</v>
      </c>
      <c r="L36" s="17">
        <v>10</v>
      </c>
      <c r="M36" s="17">
        <v>46</v>
      </c>
      <c r="N36" s="17">
        <v>56</v>
      </c>
      <c r="O36" s="17">
        <v>10</v>
      </c>
      <c r="P36" s="17">
        <v>53</v>
      </c>
      <c r="Q36" s="17">
        <v>83</v>
      </c>
      <c r="R36" s="17">
        <v>8</v>
      </c>
      <c r="S36" s="17">
        <v>22</v>
      </c>
      <c r="T36" s="17">
        <v>0</v>
      </c>
      <c r="U36" s="17">
        <v>56</v>
      </c>
      <c r="V36" s="17">
        <f t="shared" si="1"/>
        <v>2.2538855999999998</v>
      </c>
      <c r="W36" s="5">
        <f t="shared" si="2"/>
        <v>2.7992120000000011</v>
      </c>
      <c r="X36">
        <f t="shared" si="3"/>
        <v>3.9560488000000014</v>
      </c>
      <c r="Y36" s="5">
        <f t="shared" si="4"/>
        <v>3.9560488000000014</v>
      </c>
      <c r="Z36" t="str">
        <f t="shared" si="5"/>
        <v>SP</v>
      </c>
      <c r="AA36" t="str">
        <f t="shared" si="6"/>
        <v>SP</v>
      </c>
    </row>
    <row r="37" spans="1:27" ht="13.5" customHeight="1" thickBot="1" x14ac:dyDescent="0.35">
      <c r="A37">
        <f t="shared" si="0"/>
        <v>45.065474690792492</v>
      </c>
      <c r="B37" s="16">
        <v>64</v>
      </c>
      <c r="C37" s="10" t="s">
        <v>447</v>
      </c>
      <c r="D37" s="17" t="s">
        <v>416</v>
      </c>
      <c r="E37" s="17" t="s">
        <v>47</v>
      </c>
      <c r="F37" s="17" t="s">
        <v>47</v>
      </c>
      <c r="G37" s="17">
        <v>18</v>
      </c>
      <c r="H37" s="17">
        <v>69</v>
      </c>
      <c r="I37" s="17">
        <v>55</v>
      </c>
      <c r="J37" s="17">
        <v>15</v>
      </c>
      <c r="K37" s="17">
        <v>47</v>
      </c>
      <c r="L37" s="17">
        <v>83</v>
      </c>
      <c r="M37" s="17">
        <v>52</v>
      </c>
      <c r="N37" s="17">
        <v>79</v>
      </c>
      <c r="O37" s="17">
        <v>82</v>
      </c>
      <c r="P37" s="17">
        <v>61</v>
      </c>
      <c r="Q37" s="17">
        <v>68</v>
      </c>
      <c r="R37" s="17">
        <v>64</v>
      </c>
      <c r="S37" s="17">
        <v>0</v>
      </c>
      <c r="T37" s="17">
        <v>0</v>
      </c>
      <c r="U37" s="17">
        <v>51</v>
      </c>
      <c r="V37" s="17">
        <f t="shared" si="1"/>
        <v>2.150925200000001</v>
      </c>
      <c r="W37" s="5">
        <f t="shared" si="2"/>
        <v>3.2853800000000009</v>
      </c>
      <c r="X37">
        <f t="shared" si="3"/>
        <v>0.56600820000000018</v>
      </c>
      <c r="Y37" s="5">
        <f t="shared" si="4"/>
        <v>0.56600820000000018</v>
      </c>
      <c r="Z37" t="str">
        <f t="shared" si="5"/>
        <v>RP</v>
      </c>
      <c r="AA37" t="str">
        <f t="shared" si="6"/>
        <v>RP</v>
      </c>
    </row>
    <row r="38" spans="1:27" ht="13.5" customHeight="1" thickBot="1" x14ac:dyDescent="0.35">
      <c r="A38">
        <f t="shared" si="0"/>
        <v>57.937653458543281</v>
      </c>
      <c r="B38" s="18">
        <v>65</v>
      </c>
      <c r="C38" s="11" t="s">
        <v>448</v>
      </c>
      <c r="D38" s="19" t="s">
        <v>416</v>
      </c>
      <c r="E38" s="19" t="s">
        <v>47</v>
      </c>
      <c r="F38" s="19" t="s">
        <v>47</v>
      </c>
      <c r="G38" s="19">
        <v>18</v>
      </c>
      <c r="H38" s="19">
        <v>100</v>
      </c>
      <c r="I38" s="19">
        <v>28</v>
      </c>
      <c r="J38" s="19">
        <v>81</v>
      </c>
      <c r="K38" s="19">
        <v>43</v>
      </c>
      <c r="L38" s="19">
        <v>64</v>
      </c>
      <c r="M38" s="19">
        <v>64</v>
      </c>
      <c r="N38" s="19">
        <v>49</v>
      </c>
      <c r="O38" s="19">
        <v>90</v>
      </c>
      <c r="P38" s="19">
        <v>93</v>
      </c>
      <c r="Q38" s="19">
        <v>75</v>
      </c>
      <c r="R38" s="19">
        <v>55</v>
      </c>
      <c r="S38" s="19">
        <v>21</v>
      </c>
      <c r="T38" s="19">
        <v>0</v>
      </c>
      <c r="U38" s="19">
        <v>69</v>
      </c>
      <c r="V38" s="19">
        <f t="shared" si="1"/>
        <v>2.0641184000000004</v>
      </c>
      <c r="W38" s="5">
        <f t="shared" si="2"/>
        <v>4.0838310000000009</v>
      </c>
      <c r="X38">
        <f t="shared" si="3"/>
        <v>3.8123280000000004</v>
      </c>
      <c r="Y38" s="5">
        <f t="shared" si="4"/>
        <v>3.8123280000000004</v>
      </c>
      <c r="Z38" t="str">
        <f t="shared" si="5"/>
        <v>SP</v>
      </c>
      <c r="AA38" t="str">
        <f t="shared" si="6"/>
        <v>SP</v>
      </c>
    </row>
    <row r="39" spans="1:27" ht="13.5" customHeight="1" thickBot="1" x14ac:dyDescent="0.35">
      <c r="A39">
        <f t="shared" si="0"/>
        <v>51.766946862116342</v>
      </c>
      <c r="B39" s="16">
        <v>72</v>
      </c>
      <c r="C39" s="10" t="s">
        <v>449</v>
      </c>
      <c r="D39" s="17" t="s">
        <v>416</v>
      </c>
      <c r="E39" s="17" t="s">
        <v>46</v>
      </c>
      <c r="F39" s="17" t="s">
        <v>47</v>
      </c>
      <c r="G39" s="17">
        <v>21</v>
      </c>
      <c r="H39" s="17">
        <v>73</v>
      </c>
      <c r="I39" s="17">
        <v>19</v>
      </c>
      <c r="J39" s="17">
        <v>92</v>
      </c>
      <c r="K39" s="17">
        <v>100</v>
      </c>
      <c r="L39" s="17">
        <v>46</v>
      </c>
      <c r="M39" s="17">
        <v>25</v>
      </c>
      <c r="N39" s="17">
        <v>22</v>
      </c>
      <c r="O39" s="17">
        <v>43</v>
      </c>
      <c r="P39" s="17">
        <v>46</v>
      </c>
      <c r="Q39" s="17">
        <v>52</v>
      </c>
      <c r="R39" s="17">
        <v>8</v>
      </c>
      <c r="S39" s="17">
        <v>0</v>
      </c>
      <c r="T39" s="17">
        <v>0</v>
      </c>
      <c r="U39" s="17">
        <v>53</v>
      </c>
      <c r="V39" s="17">
        <f t="shared" si="1"/>
        <v>2.6461730000000001</v>
      </c>
      <c r="W39" s="5">
        <f t="shared" si="2"/>
        <v>1.7240800000000005</v>
      </c>
      <c r="X39">
        <f t="shared" si="3"/>
        <v>4.0483072000000009</v>
      </c>
      <c r="Y39" s="5">
        <f t="shared" si="4"/>
        <v>4.0483072000000009</v>
      </c>
      <c r="Z39" t="str">
        <f t="shared" si="5"/>
        <v>SP</v>
      </c>
      <c r="AA39" t="str">
        <f t="shared" si="6"/>
        <v>SP</v>
      </c>
    </row>
    <row r="40" spans="1:27" ht="13.5" customHeight="1" thickBot="1" x14ac:dyDescent="0.35">
      <c r="A40">
        <f t="shared" si="0"/>
        <v>38.680191250572591</v>
      </c>
      <c r="B40" s="18">
        <v>78</v>
      </c>
      <c r="C40" s="11" t="s">
        <v>450</v>
      </c>
      <c r="D40" s="19" t="s">
        <v>416</v>
      </c>
      <c r="E40" s="19" t="s">
        <v>47</v>
      </c>
      <c r="F40" s="19" t="s">
        <v>47</v>
      </c>
      <c r="G40" s="19">
        <v>18</v>
      </c>
      <c r="H40" s="19">
        <v>62</v>
      </c>
      <c r="I40" s="19">
        <v>36</v>
      </c>
      <c r="J40" s="19">
        <v>66</v>
      </c>
      <c r="K40" s="19">
        <v>76</v>
      </c>
      <c r="L40" s="19">
        <v>40</v>
      </c>
      <c r="M40" s="19">
        <v>15</v>
      </c>
      <c r="N40" s="19">
        <v>14</v>
      </c>
      <c r="O40" s="19">
        <v>53</v>
      </c>
      <c r="P40" s="19">
        <v>59</v>
      </c>
      <c r="Q40" s="19">
        <v>54</v>
      </c>
      <c r="R40" s="19">
        <v>34</v>
      </c>
      <c r="S40" s="19">
        <v>41</v>
      </c>
      <c r="T40" s="19">
        <v>0</v>
      </c>
      <c r="U40" s="19">
        <v>50</v>
      </c>
      <c r="V40" s="19">
        <f t="shared" si="1"/>
        <v>1.3321085999999998</v>
      </c>
      <c r="W40" s="5">
        <f t="shared" si="2"/>
        <v>2.5450089999999999</v>
      </c>
      <c r="X40">
        <f t="shared" si="3"/>
        <v>3.0917648000000004</v>
      </c>
      <c r="Y40" s="5">
        <f t="shared" si="4"/>
        <v>3.0917648000000004</v>
      </c>
      <c r="Z40" t="str">
        <f t="shared" si="5"/>
        <v>SP</v>
      </c>
      <c r="AA40" t="str">
        <f t="shared" si="6"/>
        <v>SP</v>
      </c>
    </row>
    <row r="41" spans="1:27" ht="13.5" customHeight="1" thickBot="1" x14ac:dyDescent="0.35">
      <c r="A41">
        <f t="shared" si="0"/>
        <v>42.88641204764086</v>
      </c>
      <c r="B41" s="16">
        <v>79</v>
      </c>
      <c r="C41" s="10" t="s">
        <v>451</v>
      </c>
      <c r="D41" s="17" t="s">
        <v>416</v>
      </c>
      <c r="E41" s="17" t="s">
        <v>36</v>
      </c>
      <c r="F41" s="17" t="s">
        <v>36</v>
      </c>
      <c r="G41" s="17">
        <v>18</v>
      </c>
      <c r="H41" s="17">
        <v>63</v>
      </c>
      <c r="I41" s="17">
        <v>22</v>
      </c>
      <c r="J41" s="17">
        <v>88</v>
      </c>
      <c r="K41" s="17">
        <v>36</v>
      </c>
      <c r="L41" s="17">
        <v>23</v>
      </c>
      <c r="M41" s="17">
        <v>65</v>
      </c>
      <c r="N41" s="17">
        <v>19</v>
      </c>
      <c r="O41" s="17">
        <v>97</v>
      </c>
      <c r="P41" s="17">
        <v>77</v>
      </c>
      <c r="Q41" s="17">
        <v>38</v>
      </c>
      <c r="R41" s="17">
        <v>43</v>
      </c>
      <c r="S41" s="17">
        <v>46</v>
      </c>
      <c r="T41" s="17">
        <v>0</v>
      </c>
      <c r="U41" s="17">
        <v>53</v>
      </c>
      <c r="V41" s="17">
        <f t="shared" si="1"/>
        <v>1.3980802000000003</v>
      </c>
      <c r="W41" s="5">
        <f t="shared" si="2"/>
        <v>2.7253900000000009</v>
      </c>
      <c r="X41">
        <f t="shared" si="3"/>
        <v>3.9362652000000016</v>
      </c>
      <c r="Y41" s="5">
        <f t="shared" si="4"/>
        <v>3.9362652000000016</v>
      </c>
      <c r="Z41" t="str">
        <f t="shared" si="5"/>
        <v>SP</v>
      </c>
      <c r="AA41" t="str">
        <f t="shared" si="6"/>
        <v>SP</v>
      </c>
    </row>
    <row r="42" spans="1:27" ht="13.5" customHeight="1" thickBot="1" x14ac:dyDescent="0.35">
      <c r="A42">
        <f t="shared" si="0"/>
        <v>46.916746449839671</v>
      </c>
      <c r="B42" s="16">
        <v>84</v>
      </c>
      <c r="C42" s="10" t="s">
        <v>452</v>
      </c>
      <c r="D42" s="17" t="s">
        <v>416</v>
      </c>
      <c r="E42" s="17" t="s">
        <v>36</v>
      </c>
      <c r="F42" s="17" t="s">
        <v>36</v>
      </c>
      <c r="G42" s="17">
        <v>18</v>
      </c>
      <c r="H42" s="17">
        <v>72</v>
      </c>
      <c r="I42" s="17">
        <v>17</v>
      </c>
      <c r="J42" s="17">
        <v>98</v>
      </c>
      <c r="K42" s="17">
        <v>34</v>
      </c>
      <c r="L42" s="17">
        <v>63</v>
      </c>
      <c r="M42" s="17">
        <v>68</v>
      </c>
      <c r="N42" s="17">
        <v>33</v>
      </c>
      <c r="O42" s="17">
        <v>54</v>
      </c>
      <c r="P42" s="17">
        <v>58</v>
      </c>
      <c r="Q42" s="17">
        <v>51</v>
      </c>
      <c r="R42" s="17">
        <v>29</v>
      </c>
      <c r="S42" s="17">
        <v>28</v>
      </c>
      <c r="T42" s="17">
        <v>0</v>
      </c>
      <c r="U42" s="17">
        <v>57</v>
      </c>
      <c r="V42" s="17">
        <f t="shared" si="1"/>
        <v>1.9207376000000007</v>
      </c>
      <c r="W42" s="5">
        <f t="shared" si="2"/>
        <v>2.2822780000000007</v>
      </c>
      <c r="X42">
        <f t="shared" si="3"/>
        <v>4.1395748000000028</v>
      </c>
      <c r="Y42" s="5">
        <f t="shared" si="4"/>
        <v>4.1395748000000028</v>
      </c>
      <c r="Z42" t="str">
        <f t="shared" si="5"/>
        <v>SP</v>
      </c>
      <c r="AA42" t="str">
        <f t="shared" si="6"/>
        <v>SP</v>
      </c>
    </row>
    <row r="43" spans="1:27" ht="13.5" customHeight="1" thickBot="1" x14ac:dyDescent="0.35">
      <c r="A43">
        <f t="shared" si="0"/>
        <v>37.485204993128718</v>
      </c>
      <c r="B43" s="18">
        <v>86</v>
      </c>
      <c r="C43" s="11" t="s">
        <v>453</v>
      </c>
      <c r="D43" s="19" t="s">
        <v>416</v>
      </c>
      <c r="E43" s="19" t="s">
        <v>36</v>
      </c>
      <c r="F43" s="19" t="s">
        <v>36</v>
      </c>
      <c r="G43" s="19">
        <v>18</v>
      </c>
      <c r="H43" s="19">
        <v>83</v>
      </c>
      <c r="I43" s="19">
        <v>74</v>
      </c>
      <c r="J43" s="19">
        <v>28</v>
      </c>
      <c r="K43" s="19">
        <v>80</v>
      </c>
      <c r="L43" s="19">
        <v>34</v>
      </c>
      <c r="M43" s="19">
        <v>25</v>
      </c>
      <c r="N43" s="19">
        <v>72</v>
      </c>
      <c r="O43" s="19">
        <v>70</v>
      </c>
      <c r="P43" s="19">
        <v>53</v>
      </c>
      <c r="Q43" s="19">
        <v>59</v>
      </c>
      <c r="R43" s="19">
        <v>32</v>
      </c>
      <c r="S43" s="19">
        <v>0</v>
      </c>
      <c r="T43" s="19">
        <v>0</v>
      </c>
      <c r="U43" s="19">
        <v>49</v>
      </c>
      <c r="V43" s="19">
        <f t="shared" si="1"/>
        <v>1.7175238000000002</v>
      </c>
      <c r="W43" s="5">
        <f t="shared" si="2"/>
        <v>2.3331200000000005</v>
      </c>
      <c r="X43">
        <f t="shared" si="3"/>
        <v>1.5564972000000004</v>
      </c>
      <c r="Y43" s="5">
        <f t="shared" si="4"/>
        <v>1.5564972000000004</v>
      </c>
      <c r="Z43" t="str">
        <f t="shared" si="5"/>
        <v>RP</v>
      </c>
      <c r="AA43" t="str">
        <f t="shared" si="6"/>
        <v>RP</v>
      </c>
    </row>
    <row r="44" spans="1:27" ht="13.5" customHeight="1" thickBot="1" x14ac:dyDescent="0.35">
      <c r="A44">
        <f t="shared" si="0"/>
        <v>37.113239807604209</v>
      </c>
      <c r="B44" s="16">
        <v>87</v>
      </c>
      <c r="C44" s="10" t="s">
        <v>454</v>
      </c>
      <c r="D44" s="17" t="s">
        <v>416</v>
      </c>
      <c r="E44" s="17" t="s">
        <v>36</v>
      </c>
      <c r="F44" s="17" t="s">
        <v>36</v>
      </c>
      <c r="G44" s="17">
        <v>18</v>
      </c>
      <c r="H44" s="17">
        <v>36</v>
      </c>
      <c r="I44" s="17">
        <v>27</v>
      </c>
      <c r="J44" s="17">
        <v>84</v>
      </c>
      <c r="K44" s="17">
        <v>3</v>
      </c>
      <c r="L44" s="17">
        <v>29</v>
      </c>
      <c r="M44" s="17">
        <v>45</v>
      </c>
      <c r="N44" s="17">
        <v>62</v>
      </c>
      <c r="O44" s="17">
        <v>54</v>
      </c>
      <c r="P44" s="17">
        <v>61</v>
      </c>
      <c r="Q44" s="17">
        <v>67</v>
      </c>
      <c r="R44" s="17">
        <v>24</v>
      </c>
      <c r="S44" s="17">
        <v>0</v>
      </c>
      <c r="T44" s="17">
        <v>0</v>
      </c>
      <c r="U44" s="17">
        <v>41</v>
      </c>
      <c r="V44" s="17">
        <f t="shared" si="1"/>
        <v>0.94197420000000009</v>
      </c>
      <c r="W44" s="5">
        <f t="shared" si="2"/>
        <v>2.7120960000000003</v>
      </c>
      <c r="X44">
        <f t="shared" si="3"/>
        <v>3.7708236000000017</v>
      </c>
      <c r="Y44" s="5">
        <f t="shared" si="4"/>
        <v>3.7708236000000017</v>
      </c>
      <c r="Z44" t="str">
        <f t="shared" si="5"/>
        <v>SP</v>
      </c>
      <c r="AA44" t="str">
        <f t="shared" si="6"/>
        <v>SP</v>
      </c>
    </row>
    <row r="45" spans="1:27" ht="13.5" customHeight="1" thickBot="1" x14ac:dyDescent="0.35">
      <c r="A45">
        <f t="shared" si="0"/>
        <v>41.434465185524509</v>
      </c>
      <c r="B45" s="18">
        <v>88</v>
      </c>
      <c r="C45" s="11" t="s">
        <v>455</v>
      </c>
      <c r="D45" s="19" t="s">
        <v>416</v>
      </c>
      <c r="E45" s="19" t="s">
        <v>47</v>
      </c>
      <c r="F45" s="19" t="s">
        <v>47</v>
      </c>
      <c r="G45" s="19">
        <v>18</v>
      </c>
      <c r="H45" s="19">
        <v>73</v>
      </c>
      <c r="I45" s="19">
        <v>31</v>
      </c>
      <c r="J45" s="19">
        <v>85</v>
      </c>
      <c r="K45" s="19">
        <v>27</v>
      </c>
      <c r="L45" s="19">
        <v>40</v>
      </c>
      <c r="M45" s="19">
        <v>40</v>
      </c>
      <c r="N45" s="19">
        <v>35</v>
      </c>
      <c r="O45" s="19">
        <v>40</v>
      </c>
      <c r="P45" s="19">
        <v>77</v>
      </c>
      <c r="Q45" s="19">
        <v>67</v>
      </c>
      <c r="R45" s="19">
        <v>17</v>
      </c>
      <c r="S45" s="19">
        <v>72</v>
      </c>
      <c r="T45" s="19">
        <v>11</v>
      </c>
      <c r="U45" s="19">
        <v>49</v>
      </c>
      <c r="V45" s="19">
        <f t="shared" si="1"/>
        <v>0.89591600000000016</v>
      </c>
      <c r="W45" s="5">
        <f t="shared" si="2"/>
        <v>3.4649694000000006</v>
      </c>
      <c r="X45">
        <f t="shared" si="3"/>
        <v>3.9586272000000018</v>
      </c>
      <c r="Y45" s="5">
        <f t="shared" si="4"/>
        <v>3.9586272000000018</v>
      </c>
      <c r="Z45" t="str">
        <f t="shared" si="5"/>
        <v>SP</v>
      </c>
      <c r="AA45" t="str">
        <f t="shared" si="6"/>
        <v>SP</v>
      </c>
    </row>
    <row r="46" spans="1:27" ht="13.5" customHeight="1" thickBot="1" x14ac:dyDescent="0.35">
      <c r="A46">
        <f t="shared" si="0"/>
        <v>35.146493815849745</v>
      </c>
      <c r="B46" s="16">
        <v>91</v>
      </c>
      <c r="C46" s="10" t="s">
        <v>456</v>
      </c>
      <c r="D46" s="17" t="s">
        <v>416</v>
      </c>
      <c r="E46" s="17" t="s">
        <v>36</v>
      </c>
      <c r="F46" s="17" t="s">
        <v>36</v>
      </c>
      <c r="G46" s="17">
        <v>18</v>
      </c>
      <c r="H46" s="17">
        <v>59</v>
      </c>
      <c r="I46" s="17">
        <v>9</v>
      </c>
      <c r="J46" s="17">
        <v>91</v>
      </c>
      <c r="K46" s="17">
        <v>24</v>
      </c>
      <c r="L46" s="17">
        <v>48</v>
      </c>
      <c r="M46" s="17">
        <v>48</v>
      </c>
      <c r="N46" s="17">
        <v>29</v>
      </c>
      <c r="O46" s="17">
        <v>30</v>
      </c>
      <c r="P46" s="17">
        <v>56</v>
      </c>
      <c r="Q46" s="17">
        <v>44</v>
      </c>
      <c r="R46" s="17">
        <v>29</v>
      </c>
      <c r="S46" s="17">
        <v>42</v>
      </c>
      <c r="T46" s="17">
        <v>0</v>
      </c>
      <c r="U46" s="17">
        <v>42</v>
      </c>
      <c r="V46" s="17">
        <f t="shared" si="1"/>
        <v>1.1319764000000001</v>
      </c>
      <c r="W46" s="5">
        <f t="shared" si="2"/>
        <v>2.1063740000000006</v>
      </c>
      <c r="X46">
        <f t="shared" si="3"/>
        <v>3.5353137600000011</v>
      </c>
      <c r="Y46" s="5">
        <f t="shared" si="4"/>
        <v>3.5353137600000011</v>
      </c>
      <c r="Z46" t="str">
        <f t="shared" si="5"/>
        <v>SP</v>
      </c>
      <c r="AA46" t="str">
        <f t="shared" si="6"/>
        <v>SP</v>
      </c>
    </row>
    <row r="47" spans="1:27" ht="13.5" customHeight="1" thickBot="1" x14ac:dyDescent="0.35">
      <c r="A47">
        <f t="shared" si="0"/>
        <v>44.458723087494263</v>
      </c>
      <c r="B47" s="18">
        <v>96</v>
      </c>
      <c r="C47" s="11" t="s">
        <v>457</v>
      </c>
      <c r="D47" s="19" t="s">
        <v>416</v>
      </c>
      <c r="E47" s="19" t="s">
        <v>46</v>
      </c>
      <c r="F47" s="19" t="s">
        <v>47</v>
      </c>
      <c r="G47" s="19">
        <v>19</v>
      </c>
      <c r="H47" s="19">
        <v>99</v>
      </c>
      <c r="I47" s="19">
        <v>15</v>
      </c>
      <c r="J47" s="19">
        <v>70</v>
      </c>
      <c r="K47" s="19">
        <v>69</v>
      </c>
      <c r="L47" s="19">
        <v>35</v>
      </c>
      <c r="M47" s="19">
        <v>49</v>
      </c>
      <c r="N47" s="19">
        <v>40</v>
      </c>
      <c r="O47" s="19">
        <v>56</v>
      </c>
      <c r="P47" s="19">
        <v>94</v>
      </c>
      <c r="Q47" s="19">
        <v>38</v>
      </c>
      <c r="R47" s="19">
        <v>19</v>
      </c>
      <c r="S47" s="19">
        <v>51</v>
      </c>
      <c r="T47" s="19">
        <v>0</v>
      </c>
      <c r="U47" s="19">
        <v>56</v>
      </c>
      <c r="V47" s="19">
        <f t="shared" si="1"/>
        <v>1.7018886000000002</v>
      </c>
      <c r="W47" s="5">
        <f t="shared" si="2"/>
        <v>2.7748370000000007</v>
      </c>
      <c r="X47">
        <f t="shared" si="3"/>
        <v>3.1713144000000004</v>
      </c>
      <c r="Y47" s="5">
        <f t="shared" si="4"/>
        <v>3.1713144000000004</v>
      </c>
      <c r="Z47" t="str">
        <f t="shared" si="5"/>
        <v>SP</v>
      </c>
      <c r="AA47" t="str">
        <f t="shared" si="6"/>
        <v>SP</v>
      </c>
    </row>
    <row r="48" spans="1:27" ht="13.5" customHeight="1" thickBot="1" x14ac:dyDescent="0.35">
      <c r="A48">
        <f t="shared" si="0"/>
        <v>44.052291571232246</v>
      </c>
      <c r="B48" s="16">
        <v>98</v>
      </c>
      <c r="C48" s="10" t="s">
        <v>458</v>
      </c>
      <c r="D48" s="17" t="s">
        <v>416</v>
      </c>
      <c r="E48" s="17" t="s">
        <v>46</v>
      </c>
      <c r="F48" s="17" t="s">
        <v>36</v>
      </c>
      <c r="G48" s="17">
        <v>22</v>
      </c>
      <c r="H48" s="17">
        <v>92</v>
      </c>
      <c r="I48" s="17">
        <v>59</v>
      </c>
      <c r="J48" s="17">
        <v>46</v>
      </c>
      <c r="K48" s="17">
        <v>74</v>
      </c>
      <c r="L48" s="17">
        <v>35</v>
      </c>
      <c r="M48" s="17">
        <v>37</v>
      </c>
      <c r="N48" s="17">
        <v>66</v>
      </c>
      <c r="O48" s="17">
        <v>62</v>
      </c>
      <c r="P48" s="17">
        <v>89</v>
      </c>
      <c r="Q48" s="17">
        <v>63</v>
      </c>
      <c r="R48" s="17">
        <v>0</v>
      </c>
      <c r="S48" s="17">
        <v>0</v>
      </c>
      <c r="T48" s="17">
        <v>0</v>
      </c>
      <c r="U48" s="17">
        <v>61</v>
      </c>
      <c r="V48" s="17">
        <f t="shared" si="1"/>
        <v>1.6925193999999999</v>
      </c>
      <c r="W48" s="5">
        <f t="shared" si="2"/>
        <v>3.151136000000001</v>
      </c>
      <c r="X48">
        <f t="shared" si="3"/>
        <v>2.3142348000000004</v>
      </c>
      <c r="Y48" s="5">
        <f t="shared" si="4"/>
        <v>2.3142348000000004</v>
      </c>
      <c r="Z48" t="str">
        <f t="shared" si="5"/>
        <v>RP</v>
      </c>
      <c r="AA48" t="str">
        <f t="shared" si="6"/>
        <v>RP</v>
      </c>
    </row>
    <row r="49" spans="1:27" ht="13.5" customHeight="1" thickBot="1" x14ac:dyDescent="0.35">
      <c r="A49">
        <f t="shared" si="0"/>
        <v>33.853282180485571</v>
      </c>
      <c r="B49" s="16">
        <v>99</v>
      </c>
      <c r="C49" s="10" t="s">
        <v>459</v>
      </c>
      <c r="D49" s="17" t="s">
        <v>416</v>
      </c>
      <c r="E49" s="17" t="s">
        <v>47</v>
      </c>
      <c r="F49" s="17" t="s">
        <v>47</v>
      </c>
      <c r="G49" s="17">
        <v>18</v>
      </c>
      <c r="H49" s="17">
        <v>100</v>
      </c>
      <c r="I49" s="17">
        <v>23</v>
      </c>
      <c r="J49" s="17">
        <v>68</v>
      </c>
      <c r="K49" s="17">
        <v>46</v>
      </c>
      <c r="L49" s="17">
        <v>24</v>
      </c>
      <c r="M49" s="17">
        <v>13</v>
      </c>
      <c r="N49" s="17">
        <v>59</v>
      </c>
      <c r="O49" s="17">
        <v>23</v>
      </c>
      <c r="P49" s="17">
        <v>69</v>
      </c>
      <c r="Q49" s="17">
        <v>68</v>
      </c>
      <c r="R49" s="17">
        <v>36</v>
      </c>
      <c r="S49" s="17">
        <v>61</v>
      </c>
      <c r="T49" s="17">
        <v>0</v>
      </c>
      <c r="U49" s="17">
        <v>41</v>
      </c>
      <c r="V49" s="17">
        <f t="shared" si="1"/>
        <v>0.46970460000000003</v>
      </c>
      <c r="W49" s="5">
        <f t="shared" si="2"/>
        <v>3.4093730000000013</v>
      </c>
      <c r="X49">
        <f t="shared" si="3"/>
        <v>3.126710000000001</v>
      </c>
      <c r="Y49" s="5">
        <f t="shared" si="4"/>
        <v>3.126710000000001</v>
      </c>
      <c r="Z49" t="str">
        <f t="shared" si="5"/>
        <v>SP</v>
      </c>
      <c r="AA49" t="str">
        <f t="shared" si="6"/>
        <v>SP</v>
      </c>
    </row>
    <row r="50" spans="1:27" ht="13.5" customHeight="1" thickBot="1" x14ac:dyDescent="0.35">
      <c r="A50">
        <f t="shared" si="0"/>
        <v>32.338546724690787</v>
      </c>
      <c r="B50" s="16">
        <v>101</v>
      </c>
      <c r="C50" s="10" t="s">
        <v>460</v>
      </c>
      <c r="D50" s="17" t="s">
        <v>416</v>
      </c>
      <c r="E50" s="17" t="s">
        <v>36</v>
      </c>
      <c r="F50" s="17" t="s">
        <v>36</v>
      </c>
      <c r="G50" s="17">
        <v>18</v>
      </c>
      <c r="H50" s="17">
        <v>45</v>
      </c>
      <c r="I50" s="17">
        <v>100</v>
      </c>
      <c r="J50" s="17">
        <v>17</v>
      </c>
      <c r="K50" s="17">
        <v>43</v>
      </c>
      <c r="L50" s="17">
        <v>34</v>
      </c>
      <c r="M50" s="17">
        <v>47</v>
      </c>
      <c r="N50" s="17">
        <v>95</v>
      </c>
      <c r="O50" s="17">
        <v>89</v>
      </c>
      <c r="P50" s="17">
        <v>71</v>
      </c>
      <c r="Q50" s="17">
        <v>47</v>
      </c>
      <c r="R50" s="17">
        <v>0</v>
      </c>
      <c r="S50" s="17">
        <v>0</v>
      </c>
      <c r="T50" s="17">
        <v>0</v>
      </c>
      <c r="U50" s="17">
        <v>45</v>
      </c>
      <c r="V50" s="17">
        <f t="shared" si="1"/>
        <v>1.3620534000000002</v>
      </c>
      <c r="W50" s="5">
        <f t="shared" si="2"/>
        <v>2.2974640000000006</v>
      </c>
      <c r="X50">
        <f t="shared" si="3"/>
        <v>1.2520660000000001</v>
      </c>
      <c r="Y50" s="5">
        <f t="shared" si="4"/>
        <v>1.2520660000000001</v>
      </c>
      <c r="Z50" t="str">
        <f t="shared" si="5"/>
        <v>RP</v>
      </c>
      <c r="AA50" t="str">
        <f t="shared" si="6"/>
        <v>RP</v>
      </c>
    </row>
    <row r="51" spans="1:27" ht="13.5" customHeight="1" thickBot="1" x14ac:dyDescent="0.35">
      <c r="A51">
        <f t="shared" si="0"/>
        <v>30.971635898610469</v>
      </c>
      <c r="B51" s="16">
        <v>106</v>
      </c>
      <c r="C51" s="10" t="s">
        <v>461</v>
      </c>
      <c r="D51" s="17" t="s">
        <v>416</v>
      </c>
      <c r="E51" s="17" t="s">
        <v>36</v>
      </c>
      <c r="F51" s="17" t="s">
        <v>36</v>
      </c>
      <c r="G51" s="17">
        <v>18</v>
      </c>
      <c r="H51" s="17">
        <v>81</v>
      </c>
      <c r="I51" s="17">
        <v>38</v>
      </c>
      <c r="J51" s="17">
        <v>33</v>
      </c>
      <c r="K51" s="17">
        <v>7</v>
      </c>
      <c r="L51" s="17">
        <v>34</v>
      </c>
      <c r="M51" s="17">
        <v>37</v>
      </c>
      <c r="N51" s="17">
        <v>48</v>
      </c>
      <c r="O51" s="17">
        <v>64</v>
      </c>
      <c r="P51" s="17">
        <v>73</v>
      </c>
      <c r="Q51" s="17">
        <v>69</v>
      </c>
      <c r="R51" s="17">
        <v>34</v>
      </c>
      <c r="S51" s="17">
        <v>0</v>
      </c>
      <c r="T51" s="17">
        <v>0</v>
      </c>
      <c r="U51" s="17">
        <v>39</v>
      </c>
      <c r="V51" s="17">
        <f t="shared" si="1"/>
        <v>0.82267460000000014</v>
      </c>
      <c r="W51" s="5">
        <f t="shared" si="2"/>
        <v>3.2110080000000005</v>
      </c>
      <c r="X51">
        <f t="shared" si="3"/>
        <v>1.1050585866666667</v>
      </c>
      <c r="Y51" s="5">
        <f t="shared" si="4"/>
        <v>1.1050585866666667</v>
      </c>
      <c r="Z51" t="str">
        <f t="shared" si="5"/>
        <v>CRAP</v>
      </c>
      <c r="AA51" t="str">
        <f t="shared" si="6"/>
        <v>CRAP</v>
      </c>
    </row>
    <row r="52" spans="1:27" ht="13.5" customHeight="1" thickBot="1" x14ac:dyDescent="0.35">
      <c r="A52">
        <f t="shared" si="0"/>
        <v>39.610193540998623</v>
      </c>
      <c r="B52" s="18">
        <v>107</v>
      </c>
      <c r="C52" s="11" t="s">
        <v>462</v>
      </c>
      <c r="D52" s="19" t="s">
        <v>416</v>
      </c>
      <c r="E52" s="19" t="s">
        <v>36</v>
      </c>
      <c r="F52" s="19" t="s">
        <v>36</v>
      </c>
      <c r="G52" s="19">
        <v>20</v>
      </c>
      <c r="H52" s="19">
        <v>45</v>
      </c>
      <c r="I52" s="19">
        <v>96</v>
      </c>
      <c r="J52" s="19">
        <v>18</v>
      </c>
      <c r="K52" s="19">
        <v>14</v>
      </c>
      <c r="L52" s="19">
        <v>87</v>
      </c>
      <c r="M52" s="19">
        <v>58</v>
      </c>
      <c r="N52" s="19">
        <v>48</v>
      </c>
      <c r="O52" s="19">
        <v>49</v>
      </c>
      <c r="P52" s="19">
        <v>53</v>
      </c>
      <c r="Q52" s="19">
        <v>68</v>
      </c>
      <c r="R52" s="19">
        <v>0</v>
      </c>
      <c r="S52" s="19">
        <v>0</v>
      </c>
      <c r="T52" s="19">
        <v>0</v>
      </c>
      <c r="U52" s="19">
        <v>49</v>
      </c>
      <c r="V52" s="19">
        <f t="shared" si="1"/>
        <v>1.9436296000000008</v>
      </c>
      <c r="W52" s="5">
        <f t="shared" si="2"/>
        <v>2.3956840000000006</v>
      </c>
      <c r="X52">
        <f t="shared" si="3"/>
        <v>1.2691620000000003</v>
      </c>
      <c r="Y52" s="5">
        <f t="shared" si="4"/>
        <v>1.2691620000000003</v>
      </c>
      <c r="Z52" t="str">
        <f t="shared" si="5"/>
        <v>RP</v>
      </c>
      <c r="AA52" t="str">
        <f t="shared" si="6"/>
        <v>RP</v>
      </c>
    </row>
    <row r="53" spans="1:27" ht="13.5" customHeight="1" thickBot="1" x14ac:dyDescent="0.35">
      <c r="A53">
        <f t="shared" si="0"/>
        <v>30.229977668346315</v>
      </c>
      <c r="B53" s="16">
        <v>110</v>
      </c>
      <c r="C53" s="10" t="s">
        <v>463</v>
      </c>
      <c r="D53" s="17" t="s">
        <v>416</v>
      </c>
      <c r="E53" s="17" t="s">
        <v>36</v>
      </c>
      <c r="F53" s="17" t="s">
        <v>36</v>
      </c>
      <c r="G53" s="17">
        <v>18</v>
      </c>
      <c r="H53" s="17">
        <v>77</v>
      </c>
      <c r="I53" s="17">
        <v>59</v>
      </c>
      <c r="J53" s="17">
        <v>28</v>
      </c>
      <c r="K53" s="17">
        <v>33</v>
      </c>
      <c r="L53" s="17">
        <v>34</v>
      </c>
      <c r="M53" s="17">
        <v>44</v>
      </c>
      <c r="N53" s="17">
        <v>97</v>
      </c>
      <c r="O53" s="17">
        <v>33</v>
      </c>
      <c r="P53" s="17">
        <v>60</v>
      </c>
      <c r="Q53" s="17">
        <v>64</v>
      </c>
      <c r="R53" s="17">
        <v>12</v>
      </c>
      <c r="S53" s="17">
        <v>0</v>
      </c>
      <c r="T53" s="17">
        <v>0</v>
      </c>
      <c r="U53" s="17">
        <v>45</v>
      </c>
      <c r="V53" s="17">
        <f t="shared" si="1"/>
        <v>1.0647420000000003</v>
      </c>
      <c r="W53" s="5">
        <f t="shared" si="2"/>
        <v>2.5094880000000011</v>
      </c>
      <c r="X53">
        <f t="shared" si="3"/>
        <v>1.2807826000000004</v>
      </c>
      <c r="Y53" s="5">
        <f t="shared" si="4"/>
        <v>1.2807826000000004</v>
      </c>
      <c r="Z53" t="str">
        <f t="shared" si="5"/>
        <v>RP</v>
      </c>
      <c r="AA53" t="str">
        <f t="shared" si="6"/>
        <v>RP</v>
      </c>
    </row>
    <row r="54" spans="1:27" ht="13.5" customHeight="1" thickBot="1" x14ac:dyDescent="0.35">
      <c r="A54">
        <f t="shared" si="0"/>
        <v>29.580379065506186</v>
      </c>
      <c r="B54" s="18">
        <v>112</v>
      </c>
      <c r="C54" s="11" t="s">
        <v>464</v>
      </c>
      <c r="D54" s="19" t="s">
        <v>416</v>
      </c>
      <c r="E54" s="19" t="s">
        <v>36</v>
      </c>
      <c r="F54" s="19" t="s">
        <v>36</v>
      </c>
      <c r="G54" s="19">
        <v>18</v>
      </c>
      <c r="H54" s="19">
        <v>67</v>
      </c>
      <c r="I54" s="19">
        <v>100</v>
      </c>
      <c r="J54" s="19">
        <v>32</v>
      </c>
      <c r="K54" s="19">
        <v>64</v>
      </c>
      <c r="L54" s="19">
        <v>6</v>
      </c>
      <c r="M54" s="19">
        <v>22</v>
      </c>
      <c r="N54" s="19">
        <v>80</v>
      </c>
      <c r="O54" s="19">
        <v>80</v>
      </c>
      <c r="P54" s="19">
        <v>67</v>
      </c>
      <c r="Q54" s="19">
        <v>48</v>
      </c>
      <c r="R54" s="19">
        <v>0</v>
      </c>
      <c r="S54" s="19">
        <v>0</v>
      </c>
      <c r="T54" s="19">
        <v>0</v>
      </c>
      <c r="U54" s="19">
        <v>43</v>
      </c>
      <c r="V54" s="19">
        <f t="shared" si="1"/>
        <v>0.99625200000000014</v>
      </c>
      <c r="W54" s="5">
        <f t="shared" si="2"/>
        <v>2.2191000000000005</v>
      </c>
      <c r="X54">
        <f t="shared" si="3"/>
        <v>1.9086268000000004</v>
      </c>
      <c r="Y54" s="5">
        <f t="shared" si="4"/>
        <v>1.9086268000000004</v>
      </c>
      <c r="Z54" t="str">
        <f t="shared" si="5"/>
        <v>RP</v>
      </c>
      <c r="AA54" t="str">
        <f t="shared" si="6"/>
        <v>RP</v>
      </c>
    </row>
    <row r="55" spans="1:27" ht="13.5" customHeight="1" thickBot="1" x14ac:dyDescent="0.35">
      <c r="A55">
        <f t="shared" si="0"/>
        <v>37.710887540082446</v>
      </c>
      <c r="B55" s="18">
        <v>117</v>
      </c>
      <c r="C55" s="11" t="s">
        <v>465</v>
      </c>
      <c r="D55" s="19" t="s">
        <v>416</v>
      </c>
      <c r="E55" s="19" t="s">
        <v>36</v>
      </c>
      <c r="F55" s="19" t="s">
        <v>36</v>
      </c>
      <c r="G55" s="19">
        <v>20</v>
      </c>
      <c r="H55" s="19">
        <v>85</v>
      </c>
      <c r="I55" s="19">
        <v>15</v>
      </c>
      <c r="J55" s="19">
        <v>80</v>
      </c>
      <c r="K55" s="19">
        <v>65</v>
      </c>
      <c r="L55" s="19">
        <v>20</v>
      </c>
      <c r="M55" s="19">
        <v>45</v>
      </c>
      <c r="N55" s="19">
        <v>31</v>
      </c>
      <c r="O55" s="19">
        <v>59</v>
      </c>
      <c r="P55" s="19">
        <v>90</v>
      </c>
      <c r="Q55" s="19">
        <v>18</v>
      </c>
      <c r="R55" s="19">
        <v>2</v>
      </c>
      <c r="S55" s="19">
        <v>34</v>
      </c>
      <c r="T55" s="19">
        <v>11</v>
      </c>
      <c r="U55" s="19">
        <v>49</v>
      </c>
      <c r="V55" s="19">
        <f t="shared" si="1"/>
        <v>1.3285450000000001</v>
      </c>
      <c r="W55" s="5">
        <f t="shared" si="2"/>
        <v>2.1093394000000001</v>
      </c>
      <c r="X55">
        <f t="shared" si="3"/>
        <v>3.6388000000000003</v>
      </c>
      <c r="Y55" s="5">
        <f t="shared" si="4"/>
        <v>3.6388000000000003</v>
      </c>
      <c r="Z55" t="str">
        <f t="shared" si="5"/>
        <v>SP</v>
      </c>
      <c r="AA55" t="str">
        <f t="shared" si="6"/>
        <v>SP</v>
      </c>
    </row>
    <row r="56" spans="1:27" ht="13.5" customHeight="1" thickBot="1" x14ac:dyDescent="0.35">
      <c r="A56">
        <f t="shared" si="0"/>
        <v>28.242484825927622</v>
      </c>
      <c r="B56" s="18">
        <v>118</v>
      </c>
      <c r="C56" s="11" t="s">
        <v>466</v>
      </c>
      <c r="D56" s="19" t="s">
        <v>416</v>
      </c>
      <c r="E56" s="19" t="s">
        <v>46</v>
      </c>
      <c r="F56" s="19" t="s">
        <v>36</v>
      </c>
      <c r="G56" s="19">
        <v>18</v>
      </c>
      <c r="H56" s="19">
        <v>95</v>
      </c>
      <c r="I56" s="19">
        <v>0</v>
      </c>
      <c r="J56" s="19">
        <v>66</v>
      </c>
      <c r="K56" s="19">
        <v>61</v>
      </c>
      <c r="L56" s="19">
        <v>12</v>
      </c>
      <c r="M56" s="19">
        <v>42</v>
      </c>
      <c r="N56" s="19">
        <v>95</v>
      </c>
      <c r="O56" s="19">
        <v>35</v>
      </c>
      <c r="P56" s="19">
        <v>61</v>
      </c>
      <c r="Q56" s="19">
        <v>50</v>
      </c>
      <c r="R56" s="19">
        <v>43</v>
      </c>
      <c r="S56" s="19">
        <v>0</v>
      </c>
      <c r="T56" s="19">
        <v>0</v>
      </c>
      <c r="U56" s="19">
        <v>35</v>
      </c>
      <c r="V56" s="19">
        <f t="shared" si="1"/>
        <v>1.2048420000000004</v>
      </c>
      <c r="W56" s="5">
        <f t="shared" si="2"/>
        <v>2.4496820000000001</v>
      </c>
      <c r="X56">
        <f t="shared" si="3"/>
        <v>0.14580310000000002</v>
      </c>
      <c r="Y56" s="5">
        <f t="shared" si="4"/>
        <v>0.14580310000000002</v>
      </c>
      <c r="Z56" t="str">
        <f t="shared" si="5"/>
        <v>CRAP</v>
      </c>
      <c r="AA56" t="str">
        <f t="shared" si="6"/>
        <v>CRAP</v>
      </c>
    </row>
    <row r="57" spans="1:27" ht="13.5" customHeight="1" thickBot="1" x14ac:dyDescent="0.35">
      <c r="A57">
        <f t="shared" si="0"/>
        <v>28.237662925637498</v>
      </c>
      <c r="B57" s="18">
        <v>122</v>
      </c>
      <c r="C57" s="11" t="s">
        <v>467</v>
      </c>
      <c r="D57" s="19" t="s">
        <v>416</v>
      </c>
      <c r="E57" s="19" t="s">
        <v>36</v>
      </c>
      <c r="F57" s="19" t="s">
        <v>36</v>
      </c>
      <c r="G57" s="19">
        <v>18</v>
      </c>
      <c r="H57" s="19">
        <v>73</v>
      </c>
      <c r="I57" s="19">
        <v>70</v>
      </c>
      <c r="J57" s="19">
        <v>17</v>
      </c>
      <c r="K57" s="19">
        <v>9</v>
      </c>
      <c r="L57" s="19">
        <v>31</v>
      </c>
      <c r="M57" s="19">
        <v>41</v>
      </c>
      <c r="N57" s="19">
        <v>99</v>
      </c>
      <c r="O57" s="19">
        <v>38</v>
      </c>
      <c r="P57" s="19">
        <v>56</v>
      </c>
      <c r="Q57" s="19">
        <v>69</v>
      </c>
      <c r="R57" s="19">
        <v>27</v>
      </c>
      <c r="S57" s="19">
        <v>0</v>
      </c>
      <c r="T57" s="19">
        <v>0</v>
      </c>
      <c r="U57" s="19">
        <v>37</v>
      </c>
      <c r="V57" s="19">
        <f t="shared" si="1"/>
        <v>0.90733460000000021</v>
      </c>
      <c r="W57" s="5">
        <f t="shared" si="2"/>
        <v>2.6497940000000009</v>
      </c>
      <c r="X57">
        <f t="shared" si="3"/>
        <v>0.93392450666666671</v>
      </c>
      <c r="Y57" s="5">
        <f t="shared" si="4"/>
        <v>0.93392450666666671</v>
      </c>
      <c r="Z57" t="str">
        <f t="shared" si="5"/>
        <v>RP</v>
      </c>
      <c r="AA57" t="str">
        <f t="shared" si="6"/>
        <v>RP</v>
      </c>
    </row>
    <row r="58" spans="1:27" ht="13.5" customHeight="1" thickBot="1" x14ac:dyDescent="0.35">
      <c r="A58">
        <f t="shared" si="0"/>
        <v>33.501176133760872</v>
      </c>
      <c r="B58" s="16">
        <v>127</v>
      </c>
      <c r="C58" s="10" t="s">
        <v>468</v>
      </c>
      <c r="D58" s="17" t="s">
        <v>416</v>
      </c>
      <c r="E58" s="17" t="s">
        <v>36</v>
      </c>
      <c r="F58" s="17" t="s">
        <v>36</v>
      </c>
      <c r="G58" s="17">
        <v>19</v>
      </c>
      <c r="H58" s="17">
        <v>89</v>
      </c>
      <c r="I58" s="17">
        <v>23</v>
      </c>
      <c r="J58" s="17">
        <v>64</v>
      </c>
      <c r="K58" s="17">
        <v>44</v>
      </c>
      <c r="L58" s="17">
        <v>19</v>
      </c>
      <c r="M58" s="17">
        <v>53</v>
      </c>
      <c r="N58" s="17">
        <v>81</v>
      </c>
      <c r="O58" s="17">
        <v>55</v>
      </c>
      <c r="P58" s="17">
        <v>77</v>
      </c>
      <c r="Q58" s="17">
        <v>19</v>
      </c>
      <c r="R58" s="17">
        <v>21</v>
      </c>
      <c r="S58" s="17">
        <v>27</v>
      </c>
      <c r="T58" s="17">
        <v>0</v>
      </c>
      <c r="U58" s="17">
        <v>49</v>
      </c>
      <c r="V58" s="17">
        <f t="shared" si="1"/>
        <v>1.2442666000000002</v>
      </c>
      <c r="W58" s="5">
        <f t="shared" si="2"/>
        <v>1.9159370000000004</v>
      </c>
      <c r="X58">
        <f t="shared" si="3"/>
        <v>2.8923504000000011</v>
      </c>
      <c r="Y58" s="5">
        <f t="shared" si="4"/>
        <v>2.8923504000000011</v>
      </c>
      <c r="Z58" t="str">
        <f t="shared" si="5"/>
        <v>SP</v>
      </c>
      <c r="AA58" t="str">
        <f t="shared" si="6"/>
        <v>SP</v>
      </c>
    </row>
    <row r="59" spans="1:27" ht="13.5" customHeight="1" thickBot="1" x14ac:dyDescent="0.35">
      <c r="A59">
        <f t="shared" si="0"/>
        <v>25.458733279890058</v>
      </c>
      <c r="B59" s="16">
        <v>128</v>
      </c>
      <c r="C59" s="10" t="s">
        <v>469</v>
      </c>
      <c r="D59" s="17" t="s">
        <v>416</v>
      </c>
      <c r="E59" s="17" t="s">
        <v>36</v>
      </c>
      <c r="F59" s="17" t="s">
        <v>36</v>
      </c>
      <c r="G59" s="17">
        <v>18</v>
      </c>
      <c r="H59" s="17">
        <v>99</v>
      </c>
      <c r="I59" s="17">
        <v>68</v>
      </c>
      <c r="J59" s="17">
        <v>20</v>
      </c>
      <c r="K59" s="17">
        <v>56</v>
      </c>
      <c r="L59" s="17">
        <v>11</v>
      </c>
      <c r="M59" s="17">
        <v>24</v>
      </c>
      <c r="N59" s="17">
        <v>30</v>
      </c>
      <c r="O59" s="17">
        <v>70</v>
      </c>
      <c r="P59" s="17">
        <v>64</v>
      </c>
      <c r="Q59" s="17">
        <v>55</v>
      </c>
      <c r="R59" s="17">
        <v>29</v>
      </c>
      <c r="S59" s="17">
        <v>0</v>
      </c>
      <c r="T59" s="17">
        <v>0</v>
      </c>
      <c r="U59" s="17">
        <v>38</v>
      </c>
      <c r="V59" s="17">
        <f t="shared" si="1"/>
        <v>0.70479800000000004</v>
      </c>
      <c r="W59" s="5">
        <f t="shared" si="2"/>
        <v>2.5030060000000005</v>
      </c>
      <c r="X59">
        <f t="shared" si="3"/>
        <v>1.0670223600000004</v>
      </c>
      <c r="Y59" s="5">
        <f t="shared" si="4"/>
        <v>1.0670223600000004</v>
      </c>
      <c r="Z59" t="str">
        <f t="shared" si="5"/>
        <v>RP</v>
      </c>
      <c r="AA59" t="str">
        <f t="shared" si="6"/>
        <v>RP</v>
      </c>
    </row>
    <row r="60" spans="1:27" ht="13.5" customHeight="1" thickBot="1" x14ac:dyDescent="0.35">
      <c r="A60">
        <f t="shared" si="0"/>
        <v>31.64537731905634</v>
      </c>
      <c r="B60" s="16">
        <v>130</v>
      </c>
      <c r="C60" s="10" t="s">
        <v>470</v>
      </c>
      <c r="D60" s="17" t="s">
        <v>416</v>
      </c>
      <c r="E60" s="17" t="s">
        <v>36</v>
      </c>
      <c r="F60" s="17" t="s">
        <v>36</v>
      </c>
      <c r="G60" s="17">
        <v>20</v>
      </c>
      <c r="H60" s="17">
        <v>58</v>
      </c>
      <c r="I60" s="17">
        <v>49</v>
      </c>
      <c r="J60" s="17">
        <v>10</v>
      </c>
      <c r="K60" s="17">
        <v>48</v>
      </c>
      <c r="L60" s="17">
        <v>49</v>
      </c>
      <c r="M60" s="17">
        <v>31</v>
      </c>
      <c r="N60" s="17">
        <v>91</v>
      </c>
      <c r="O60" s="17">
        <v>81</v>
      </c>
      <c r="P60" s="17">
        <v>56</v>
      </c>
      <c r="Q60" s="17">
        <v>80</v>
      </c>
      <c r="R60" s="17">
        <v>7</v>
      </c>
      <c r="S60" s="17">
        <v>0</v>
      </c>
      <c r="T60" s="17">
        <v>0</v>
      </c>
      <c r="U60" s="17">
        <v>40</v>
      </c>
      <c r="V60" s="17">
        <f t="shared" si="1"/>
        <v>1.2892062000000002</v>
      </c>
      <c r="W60" s="5">
        <f t="shared" si="2"/>
        <v>2.7816700000000005</v>
      </c>
      <c r="X60">
        <f t="shared" si="3"/>
        <v>0.33293259000000008</v>
      </c>
      <c r="Y60" s="5">
        <f t="shared" si="4"/>
        <v>0.33293259000000008</v>
      </c>
      <c r="Z60" t="str">
        <f t="shared" si="5"/>
        <v>CRAP</v>
      </c>
      <c r="AA60" t="str">
        <f t="shared" si="6"/>
        <v>CRAP</v>
      </c>
    </row>
    <row r="61" spans="1:27" ht="13.5" customHeight="1" thickBot="1" x14ac:dyDescent="0.35">
      <c r="A61">
        <f t="shared" si="0"/>
        <v>23.529278515803934</v>
      </c>
      <c r="B61" s="18">
        <v>133</v>
      </c>
      <c r="C61" s="11" t="s">
        <v>471</v>
      </c>
      <c r="D61" s="19" t="s">
        <v>416</v>
      </c>
      <c r="E61" s="19" t="s">
        <v>36</v>
      </c>
      <c r="F61" s="19" t="s">
        <v>36</v>
      </c>
      <c r="G61" s="19">
        <v>18</v>
      </c>
      <c r="H61" s="19">
        <v>74</v>
      </c>
      <c r="I61" s="19">
        <v>64</v>
      </c>
      <c r="J61" s="19">
        <v>32</v>
      </c>
      <c r="K61" s="19">
        <v>33</v>
      </c>
      <c r="L61" s="19">
        <v>7</v>
      </c>
      <c r="M61" s="19">
        <v>26</v>
      </c>
      <c r="N61" s="19">
        <v>75</v>
      </c>
      <c r="O61" s="19">
        <v>60</v>
      </c>
      <c r="P61" s="19">
        <v>56</v>
      </c>
      <c r="Q61" s="19">
        <v>59</v>
      </c>
      <c r="R61" s="19">
        <v>9</v>
      </c>
      <c r="S61" s="19">
        <v>0</v>
      </c>
      <c r="T61" s="19">
        <v>0</v>
      </c>
      <c r="U61" s="19">
        <v>36</v>
      </c>
      <c r="V61" s="19">
        <f t="shared" si="1"/>
        <v>0.54057000000000011</v>
      </c>
      <c r="W61" s="5">
        <f t="shared" si="2"/>
        <v>2.2334620000000003</v>
      </c>
      <c r="X61">
        <f t="shared" si="3"/>
        <v>1.5891024000000005</v>
      </c>
      <c r="Y61" s="5">
        <f t="shared" si="4"/>
        <v>1.5891024000000005</v>
      </c>
      <c r="Z61" t="str">
        <f t="shared" si="5"/>
        <v>RP</v>
      </c>
      <c r="AA61" t="str">
        <f t="shared" si="6"/>
        <v>RP</v>
      </c>
    </row>
    <row r="62" spans="1:27" ht="13.5" customHeight="1" thickBot="1" x14ac:dyDescent="0.35">
      <c r="A62">
        <f t="shared" si="0"/>
        <v>29.890548595205374</v>
      </c>
      <c r="B62" s="18">
        <v>135</v>
      </c>
      <c r="C62" s="11" t="s">
        <v>472</v>
      </c>
      <c r="D62" s="19" t="s">
        <v>416</v>
      </c>
      <c r="E62" s="19" t="s">
        <v>47</v>
      </c>
      <c r="F62" s="19" t="s">
        <v>47</v>
      </c>
      <c r="G62" s="19">
        <v>22</v>
      </c>
      <c r="H62" s="19">
        <v>61</v>
      </c>
      <c r="I62" s="19">
        <v>59</v>
      </c>
      <c r="J62" s="19">
        <v>16</v>
      </c>
      <c r="K62" s="19">
        <v>24</v>
      </c>
      <c r="L62" s="19">
        <v>76</v>
      </c>
      <c r="M62" s="19">
        <v>24</v>
      </c>
      <c r="N62" s="19">
        <v>10</v>
      </c>
      <c r="O62" s="19">
        <v>16</v>
      </c>
      <c r="P62" s="19">
        <v>53</v>
      </c>
      <c r="Q62" s="19">
        <v>62</v>
      </c>
      <c r="R62" s="19">
        <v>64</v>
      </c>
      <c r="S62" s="19">
        <v>0</v>
      </c>
      <c r="T62" s="19">
        <v>0</v>
      </c>
      <c r="U62" s="19">
        <v>36</v>
      </c>
      <c r="V62" s="19">
        <f t="shared" si="1"/>
        <v>1.0076496000000004</v>
      </c>
      <c r="W62" s="5">
        <f t="shared" si="2"/>
        <v>2.8781320000000008</v>
      </c>
      <c r="X62">
        <f t="shared" si="3"/>
        <v>0.65330841333333334</v>
      </c>
      <c r="Y62" s="5">
        <f t="shared" si="4"/>
        <v>0.65330841333333334</v>
      </c>
      <c r="Z62" t="str">
        <f t="shared" si="5"/>
        <v>RP</v>
      </c>
      <c r="AA62" t="str">
        <f t="shared" si="6"/>
        <v>RP</v>
      </c>
    </row>
    <row r="63" spans="1:27" ht="13.5" customHeight="1" thickBot="1" x14ac:dyDescent="0.35">
      <c r="A63">
        <f t="shared" si="0"/>
        <v>42.262358909757211</v>
      </c>
      <c r="B63" s="18">
        <v>136</v>
      </c>
      <c r="C63" s="11" t="s">
        <v>473</v>
      </c>
      <c r="D63" s="19" t="s">
        <v>416</v>
      </c>
      <c r="E63" s="19" t="s">
        <v>46</v>
      </c>
      <c r="F63" s="19" t="s">
        <v>36</v>
      </c>
      <c r="G63" s="19">
        <v>19</v>
      </c>
      <c r="H63" s="19">
        <v>56</v>
      </c>
      <c r="I63" s="19">
        <v>62</v>
      </c>
      <c r="J63" s="19">
        <v>16</v>
      </c>
      <c r="K63" s="19">
        <v>51</v>
      </c>
      <c r="L63" s="19">
        <v>52</v>
      </c>
      <c r="M63" s="19">
        <v>66</v>
      </c>
      <c r="N63" s="19">
        <v>68</v>
      </c>
      <c r="O63" s="19">
        <v>69</v>
      </c>
      <c r="P63" s="19">
        <v>59</v>
      </c>
      <c r="Q63" s="19">
        <v>63</v>
      </c>
      <c r="R63" s="19">
        <v>54</v>
      </c>
      <c r="S63" s="19">
        <v>0</v>
      </c>
      <c r="T63" s="19">
        <v>0</v>
      </c>
      <c r="U63" s="19">
        <v>50</v>
      </c>
      <c r="V63" s="19">
        <f t="shared" si="1"/>
        <v>2.0465816000000001</v>
      </c>
      <c r="W63" s="5">
        <f t="shared" si="2"/>
        <v>2.9386880000000009</v>
      </c>
      <c r="X63">
        <f t="shared" si="3"/>
        <v>0.69769432000000009</v>
      </c>
      <c r="Y63" s="5">
        <f t="shared" si="4"/>
        <v>0.69769432000000009</v>
      </c>
      <c r="Z63" t="str">
        <f t="shared" si="5"/>
        <v>RP</v>
      </c>
      <c r="AA63" t="str">
        <f t="shared" si="6"/>
        <v>RP</v>
      </c>
    </row>
    <row r="64" spans="1:27" ht="13.5" customHeight="1" thickBot="1" x14ac:dyDescent="0.35">
      <c r="A64">
        <f t="shared" si="0"/>
        <v>22.63476830432127</v>
      </c>
      <c r="B64" s="16">
        <v>137</v>
      </c>
      <c r="C64" s="10" t="s">
        <v>474</v>
      </c>
      <c r="D64" s="17" t="s">
        <v>416</v>
      </c>
      <c r="E64" s="17" t="s">
        <v>36</v>
      </c>
      <c r="F64" s="17" t="s">
        <v>36</v>
      </c>
      <c r="G64" s="17">
        <v>18</v>
      </c>
      <c r="H64" s="17">
        <v>69</v>
      </c>
      <c r="I64" s="17">
        <v>56</v>
      </c>
      <c r="J64" s="17">
        <v>13</v>
      </c>
      <c r="K64" s="17">
        <v>43</v>
      </c>
      <c r="L64" s="17">
        <v>22</v>
      </c>
      <c r="M64" s="17">
        <v>18</v>
      </c>
      <c r="N64" s="17">
        <v>92</v>
      </c>
      <c r="O64" s="17">
        <v>42</v>
      </c>
      <c r="P64" s="17">
        <v>65</v>
      </c>
      <c r="Q64" s="17">
        <v>60</v>
      </c>
      <c r="R64" s="17">
        <v>0</v>
      </c>
      <c r="S64" s="17">
        <v>0</v>
      </c>
      <c r="T64" s="17">
        <v>0</v>
      </c>
      <c r="U64" s="17">
        <v>33</v>
      </c>
      <c r="V64" s="17">
        <f t="shared" si="1"/>
        <v>0.5849236000000001</v>
      </c>
      <c r="W64" s="5">
        <f t="shared" si="2"/>
        <v>2.5205000000000006</v>
      </c>
      <c r="X64">
        <f t="shared" si="3"/>
        <v>0.52517747333333342</v>
      </c>
      <c r="Y64" s="5">
        <f t="shared" si="4"/>
        <v>0.52517747333333342</v>
      </c>
      <c r="Z64" t="str">
        <f t="shared" si="5"/>
        <v>RP</v>
      </c>
      <c r="AA64" t="str">
        <f t="shared" si="6"/>
        <v>RP</v>
      </c>
    </row>
    <row r="65" spans="1:27" ht="13.5" customHeight="1" thickBot="1" x14ac:dyDescent="0.35">
      <c r="A65">
        <f t="shared" si="0"/>
        <v>29.136177278973882</v>
      </c>
      <c r="B65" s="16">
        <v>138</v>
      </c>
      <c r="C65" s="10" t="s">
        <v>475</v>
      </c>
      <c r="D65" s="17" t="s">
        <v>416</v>
      </c>
      <c r="E65" s="17" t="s">
        <v>47</v>
      </c>
      <c r="F65" s="17" t="s">
        <v>47</v>
      </c>
      <c r="G65" s="17">
        <v>19</v>
      </c>
      <c r="H65" s="17">
        <v>100</v>
      </c>
      <c r="I65" s="17">
        <v>94</v>
      </c>
      <c r="J65" s="17">
        <v>36</v>
      </c>
      <c r="K65" s="17">
        <v>70</v>
      </c>
      <c r="L65" s="17">
        <v>29</v>
      </c>
      <c r="M65" s="17">
        <v>5</v>
      </c>
      <c r="N65" s="17">
        <v>9</v>
      </c>
      <c r="O65" s="17">
        <v>31</v>
      </c>
      <c r="P65" s="17">
        <v>25</v>
      </c>
      <c r="Q65" s="17">
        <v>73</v>
      </c>
      <c r="R65" s="17">
        <v>52</v>
      </c>
      <c r="S65" s="17">
        <v>0</v>
      </c>
      <c r="T65" s="17">
        <v>0</v>
      </c>
      <c r="U65" s="17">
        <v>46</v>
      </c>
      <c r="V65" s="17">
        <f t="shared" si="1"/>
        <v>0.87899700000000003</v>
      </c>
      <c r="W65" s="5">
        <f t="shared" si="2"/>
        <v>2.2552560000000006</v>
      </c>
      <c r="X65">
        <f t="shared" si="3"/>
        <v>2.1501840000000003</v>
      </c>
      <c r="Y65" s="5">
        <f t="shared" si="4"/>
        <v>2.1501840000000003</v>
      </c>
      <c r="Z65" t="str">
        <f t="shared" si="5"/>
        <v>RP</v>
      </c>
      <c r="AA65" t="str">
        <f t="shared" si="6"/>
        <v>RP</v>
      </c>
    </row>
    <row r="66" spans="1:27" ht="13.5" customHeight="1" thickBot="1" x14ac:dyDescent="0.35">
      <c r="A66">
        <f t="shared" si="0"/>
        <v>31.314071232249198</v>
      </c>
      <c r="B66" s="16">
        <v>139</v>
      </c>
      <c r="C66" s="10" t="s">
        <v>476</v>
      </c>
      <c r="D66" s="17" t="s">
        <v>416</v>
      </c>
      <c r="E66" s="17" t="s">
        <v>36</v>
      </c>
      <c r="F66" s="17" t="s">
        <v>36</v>
      </c>
      <c r="G66" s="17">
        <v>21</v>
      </c>
      <c r="H66" s="17">
        <v>69</v>
      </c>
      <c r="I66" s="17">
        <v>37</v>
      </c>
      <c r="J66" s="17">
        <v>71</v>
      </c>
      <c r="K66" s="17">
        <v>14</v>
      </c>
      <c r="L66" s="17">
        <v>55</v>
      </c>
      <c r="M66" s="17">
        <v>17</v>
      </c>
      <c r="N66" s="17">
        <v>60</v>
      </c>
      <c r="O66" s="17">
        <v>15</v>
      </c>
      <c r="P66" s="17">
        <v>49</v>
      </c>
      <c r="Q66" s="17">
        <v>54</v>
      </c>
      <c r="R66" s="17">
        <v>50</v>
      </c>
      <c r="S66" s="17">
        <v>6</v>
      </c>
      <c r="T66" s="17">
        <v>17</v>
      </c>
      <c r="U66" s="17">
        <v>42</v>
      </c>
      <c r="V66" s="17">
        <f t="shared" si="1"/>
        <v>0.72121900000000028</v>
      </c>
      <c r="W66" s="5">
        <f t="shared" si="2"/>
        <v>2.3281582000000003</v>
      </c>
      <c r="X66">
        <f t="shared" si="3"/>
        <v>3.3961864000000008</v>
      </c>
      <c r="Y66" s="5">
        <f t="shared" si="4"/>
        <v>3.3961864000000008</v>
      </c>
      <c r="Z66" t="str">
        <f t="shared" si="5"/>
        <v>SP</v>
      </c>
      <c r="AA66" t="str">
        <f t="shared" si="6"/>
        <v>SP</v>
      </c>
    </row>
    <row r="67" spans="1:27" ht="13.5" customHeight="1" thickBot="1" x14ac:dyDescent="0.35">
      <c r="A67">
        <f t="shared" si="0"/>
        <v>21.446478928080619</v>
      </c>
      <c r="B67" s="18">
        <v>140</v>
      </c>
      <c r="C67" s="11" t="s">
        <v>477</v>
      </c>
      <c r="D67" s="19" t="s">
        <v>416</v>
      </c>
      <c r="E67" s="19" t="s">
        <v>47</v>
      </c>
      <c r="F67" s="19" t="s">
        <v>47</v>
      </c>
      <c r="G67" s="19">
        <v>18</v>
      </c>
      <c r="H67" s="19">
        <v>68</v>
      </c>
      <c r="I67" s="19">
        <v>0</v>
      </c>
      <c r="J67" s="19">
        <v>97</v>
      </c>
      <c r="K67" s="19">
        <v>5</v>
      </c>
      <c r="L67" s="19">
        <v>38</v>
      </c>
      <c r="M67" s="19">
        <v>32</v>
      </c>
      <c r="N67" s="19">
        <v>42</v>
      </c>
      <c r="O67" s="19">
        <v>10</v>
      </c>
      <c r="P67" s="19">
        <v>68</v>
      </c>
      <c r="Q67" s="19">
        <v>45</v>
      </c>
      <c r="R67" s="19">
        <v>34</v>
      </c>
      <c r="S67" s="19">
        <v>0</v>
      </c>
      <c r="T67" s="19">
        <v>0</v>
      </c>
      <c r="U67" s="19">
        <v>27</v>
      </c>
      <c r="V67" s="19">
        <f t="shared" si="1"/>
        <v>0.63262280000000026</v>
      </c>
      <c r="W67" s="5">
        <f t="shared" si="2"/>
        <v>2.378444</v>
      </c>
      <c r="X67">
        <f t="shared" si="3"/>
        <v>0.20344696000000007</v>
      </c>
      <c r="Y67" s="5">
        <f t="shared" si="4"/>
        <v>0.20344696000000007</v>
      </c>
      <c r="Z67" t="str">
        <f t="shared" si="5"/>
        <v>SP</v>
      </c>
      <c r="AA67" t="str">
        <f t="shared" si="6"/>
        <v>SP</v>
      </c>
    </row>
    <row r="68" spans="1:27" ht="13.5" customHeight="1" thickBot="1" x14ac:dyDescent="0.35">
      <c r="A68">
        <f t="shared" si="0"/>
        <v>21.198195144296836</v>
      </c>
      <c r="B68" s="16">
        <v>142</v>
      </c>
      <c r="C68" s="10" t="s">
        <v>478</v>
      </c>
      <c r="D68" s="17" t="s">
        <v>416</v>
      </c>
      <c r="E68" s="17" t="s">
        <v>47</v>
      </c>
      <c r="F68" s="17" t="s">
        <v>47</v>
      </c>
      <c r="G68" s="17">
        <v>18</v>
      </c>
      <c r="H68" s="17">
        <v>97</v>
      </c>
      <c r="I68" s="17">
        <v>97</v>
      </c>
      <c r="J68" s="17">
        <v>24</v>
      </c>
      <c r="K68" s="17">
        <v>40</v>
      </c>
      <c r="L68" s="17">
        <v>25</v>
      </c>
      <c r="M68" s="17">
        <v>7</v>
      </c>
      <c r="N68" s="17">
        <v>29</v>
      </c>
      <c r="O68" s="17">
        <v>87</v>
      </c>
      <c r="P68" s="17">
        <v>59</v>
      </c>
      <c r="Q68" s="17">
        <v>44</v>
      </c>
      <c r="R68" s="17">
        <v>24</v>
      </c>
      <c r="S68" s="17">
        <v>0</v>
      </c>
      <c r="T68" s="17">
        <v>0</v>
      </c>
      <c r="U68" s="17">
        <v>37</v>
      </c>
      <c r="V68" s="17">
        <f t="shared" si="1"/>
        <v>0.46105420000000008</v>
      </c>
      <c r="W68" s="5">
        <f t="shared" si="2"/>
        <v>1.9783000000000002</v>
      </c>
      <c r="X68">
        <f t="shared" si="3"/>
        <v>1.6032888000000003</v>
      </c>
      <c r="Y68" s="5">
        <f t="shared" si="4"/>
        <v>1.6032888000000003</v>
      </c>
      <c r="Z68" t="str">
        <f t="shared" si="5"/>
        <v>RP</v>
      </c>
      <c r="AA68" t="str">
        <f t="shared" si="6"/>
        <v>RP</v>
      </c>
    </row>
    <row r="69" spans="1:27" ht="13.5" customHeight="1" thickBot="1" x14ac:dyDescent="0.35">
      <c r="A69">
        <f t="shared" si="0"/>
        <v>0</v>
      </c>
      <c r="B69" s="18">
        <v>143</v>
      </c>
      <c r="C69" s="11" t="s">
        <v>334</v>
      </c>
      <c r="D69" s="19" t="s">
        <v>416</v>
      </c>
      <c r="E69" s="19" t="s">
        <v>36</v>
      </c>
      <c r="F69" s="19" t="s">
        <v>36</v>
      </c>
      <c r="G69" s="19">
        <v>18</v>
      </c>
      <c r="H69" s="19" t="s">
        <v>126</v>
      </c>
      <c r="I69" s="19">
        <v>18</v>
      </c>
      <c r="J69" s="19">
        <v>67</v>
      </c>
      <c r="K69" s="19">
        <v>88</v>
      </c>
      <c r="L69" s="19">
        <v>25</v>
      </c>
      <c r="M69" s="19">
        <v>27</v>
      </c>
      <c r="N69" s="19">
        <v>50</v>
      </c>
      <c r="O69" s="19">
        <v>42</v>
      </c>
      <c r="P69" s="19">
        <v>66</v>
      </c>
      <c r="Q69" s="19">
        <v>75</v>
      </c>
      <c r="R69" s="19">
        <v>38</v>
      </c>
      <c r="S69" s="19">
        <v>45</v>
      </c>
      <c r="T69" s="19">
        <v>0</v>
      </c>
      <c r="U69" s="19">
        <v>52</v>
      </c>
      <c r="V69" s="19">
        <f t="shared" si="1"/>
        <v>1.8396357999999999</v>
      </c>
      <c r="W69" s="5">
        <f t="shared" si="2"/>
        <v>3.4163170000000003</v>
      </c>
      <c r="X69" t="e">
        <f t="shared" si="3"/>
        <v>#VALUE!</v>
      </c>
      <c r="Y69" s="5" t="e">
        <f t="shared" si="4"/>
        <v>#VALUE!</v>
      </c>
      <c r="Z69" t="str">
        <f t="shared" si="5"/>
        <v>SP</v>
      </c>
      <c r="AA69" t="str">
        <f t="shared" si="6"/>
        <v>SP</v>
      </c>
    </row>
    <row r="70" spans="1:27" ht="13.5" customHeight="1" thickBot="1" x14ac:dyDescent="0.35">
      <c r="A70">
        <f t="shared" ref="A70:A133" si="7">IFERROR((V70*V$2+W70*W$2+X70*X$2)*100/(V$4*V$2+W$4*W$2+X$4*X$2),0)</f>
        <v>0</v>
      </c>
      <c r="B70" s="16">
        <v>144</v>
      </c>
      <c r="C70" s="10" t="s">
        <v>479</v>
      </c>
      <c r="D70" s="17" t="s">
        <v>416</v>
      </c>
      <c r="E70" s="17" t="s">
        <v>36</v>
      </c>
      <c r="F70" s="17" t="s">
        <v>36</v>
      </c>
      <c r="G70" s="17">
        <v>18</v>
      </c>
      <c r="H70" s="17" t="s">
        <v>126</v>
      </c>
      <c r="I70" s="17" t="s">
        <v>126</v>
      </c>
      <c r="J70" s="17" t="s">
        <v>126</v>
      </c>
      <c r="K70" s="17" t="s">
        <v>126</v>
      </c>
      <c r="L70" s="17" t="s">
        <v>126</v>
      </c>
      <c r="M70" s="17" t="s">
        <v>126</v>
      </c>
      <c r="N70" s="17" t="s">
        <v>126</v>
      </c>
      <c r="O70" s="17" t="s">
        <v>126</v>
      </c>
      <c r="P70" s="17" t="s">
        <v>126</v>
      </c>
      <c r="Q70" s="17" t="s">
        <v>126</v>
      </c>
      <c r="R70" s="17" t="s">
        <v>126</v>
      </c>
      <c r="S70" s="17" t="s">
        <v>126</v>
      </c>
      <c r="T70" s="17" t="s">
        <v>126</v>
      </c>
      <c r="U70" s="17" t="s">
        <v>126</v>
      </c>
      <c r="V70" s="17" t="e">
        <f t="shared" ref="V70:V133" si="8">K$1*(0.000001*K70^3)+L$1*((-0.000002)*L70^3+0.00032*L70^2+(-0.0021)*L70)+M$1*((-0.000002)*M70^3+0.00032*M70^2+(-0.0021)*M70)+N$1*((-0.000002)*N70^3+0.00032*N70^2+(-0.0021)*N70)+O$1*((-0.000002)*O70^3+0.00032*O70^2+(-0.0021)*O70)</f>
        <v>#VALUE!</v>
      </c>
      <c r="W70" s="5" t="e">
        <f t="shared" ref="W70:W133" si="9">P$1*((-0.000002)*P70^3+0.00032*P70^2+(-0.0021)*P70)+Q$1*((-0.000002)*Q70^3+0.00032*Q70^2+(-0.0021)*Q70)+R$1*((-0.000002)*R70^3+0.00032*R70^2+(-0.0021)*R70)+S$1*((-0.000002)*S70^3+0.00032*S70^2+(-0.0021)*S70)+T$1*((-0.000002)*T70^3+0.00032*T70^2+(-0.0021)*T70)</f>
        <v>#VALUE!</v>
      </c>
      <c r="X70" t="e">
        <f t="shared" ref="X70:X133" si="10">(I$1*((-0.000002)*I70^3+0.00032*I70^2+(-0.0021)*I70)+J$1*((-0.000002)*J70^3+0.00032*J70^2+(-0.0021)*J70)+H$1*((-0.000002)*H70^3+0.00032*H70^2+(-0.0021)*H70))*(MAX(0.05,MIN(1,(2*J70+I70)/120)*MIN(1,I70/10)*MIN(1,J70/10)))</f>
        <v>#VALUE!</v>
      </c>
      <c r="Y70" s="5" t="e">
        <f t="shared" ref="Y70:Y133" si="11">(I$1*((-0.000002)*I70^3+0.00032*I70^2+(-0.0021)*I70)+J$1*((-0.000002)*J70^3+0.00032*J70^2+(-0.0021)*J70)+H$1*((-0.000002)*H70^3+0.00032*H70^2+(-0.0021)*H70))*(MAX(0.05,MIN(1,(2*J70+I70)/120)*MIN(1,I70/10)*MIN(1,J70/10)))</f>
        <v>#VALUE!</v>
      </c>
      <c r="Z70" t="e">
        <f t="shared" ref="Z70:Z133" si="12">IF(AND(J70&gt;50,I70+J70&gt;75),"SP",IF(2*I70+J70&gt;120,"RP","CRAP"))</f>
        <v>#VALUE!</v>
      </c>
      <c r="AA70" t="e">
        <f t="shared" ref="AA70:AA133" si="13">IF(AND(J70&gt;50,I70+J70&gt;75),"SP",IF(2*I70+J70&gt;120,"RP","CRAP"))</f>
        <v>#VALUE!</v>
      </c>
    </row>
    <row r="71" spans="1:27" ht="13.5" customHeight="1" thickBot="1" x14ac:dyDescent="0.35">
      <c r="A71">
        <f t="shared" si="7"/>
        <v>0</v>
      </c>
      <c r="B71" s="16">
        <v>145</v>
      </c>
      <c r="C71" s="10" t="s">
        <v>480</v>
      </c>
      <c r="D71" s="17" t="s">
        <v>416</v>
      </c>
      <c r="E71" s="17" t="s">
        <v>36</v>
      </c>
      <c r="F71" s="17" t="s">
        <v>36</v>
      </c>
      <c r="G71" s="17">
        <v>18</v>
      </c>
      <c r="H71" s="17" t="s">
        <v>126</v>
      </c>
      <c r="I71" s="17" t="s">
        <v>126</v>
      </c>
      <c r="J71" s="17" t="s">
        <v>126</v>
      </c>
      <c r="K71" s="17" t="s">
        <v>126</v>
      </c>
      <c r="L71" s="17" t="s">
        <v>126</v>
      </c>
      <c r="M71" s="17" t="s">
        <v>126</v>
      </c>
      <c r="N71" s="17" t="s">
        <v>126</v>
      </c>
      <c r="O71" s="17" t="s">
        <v>126</v>
      </c>
      <c r="P71" s="17" t="s">
        <v>126</v>
      </c>
      <c r="Q71" s="17" t="s">
        <v>126</v>
      </c>
      <c r="R71" s="17" t="s">
        <v>126</v>
      </c>
      <c r="S71" s="17" t="s">
        <v>126</v>
      </c>
      <c r="T71" s="17" t="s">
        <v>126</v>
      </c>
      <c r="U71" s="17" t="s">
        <v>126</v>
      </c>
      <c r="V71" s="17" t="e">
        <f t="shared" si="8"/>
        <v>#VALUE!</v>
      </c>
      <c r="W71" s="5" t="e">
        <f t="shared" si="9"/>
        <v>#VALUE!</v>
      </c>
      <c r="X71" t="e">
        <f t="shared" si="10"/>
        <v>#VALUE!</v>
      </c>
      <c r="Y71" s="5" t="e">
        <f t="shared" si="11"/>
        <v>#VALUE!</v>
      </c>
      <c r="Z71" t="e">
        <f t="shared" si="12"/>
        <v>#VALUE!</v>
      </c>
      <c r="AA71" t="e">
        <f t="shared" si="13"/>
        <v>#VALUE!</v>
      </c>
    </row>
    <row r="72" spans="1:27" ht="13.5" customHeight="1" thickBot="1" x14ac:dyDescent="0.35">
      <c r="A72">
        <f t="shared" si="7"/>
        <v>0</v>
      </c>
      <c r="B72" s="16">
        <v>146</v>
      </c>
      <c r="C72" s="10" t="s">
        <v>481</v>
      </c>
      <c r="D72" s="17" t="s">
        <v>416</v>
      </c>
      <c r="E72" s="17" t="s">
        <v>36</v>
      </c>
      <c r="F72" s="17" t="s">
        <v>36</v>
      </c>
      <c r="G72" s="17">
        <v>18</v>
      </c>
      <c r="H72" s="17" t="s">
        <v>126</v>
      </c>
      <c r="I72" s="17" t="s">
        <v>126</v>
      </c>
      <c r="J72" s="17" t="s">
        <v>126</v>
      </c>
      <c r="K72" s="17" t="s">
        <v>126</v>
      </c>
      <c r="L72" s="17" t="s">
        <v>126</v>
      </c>
      <c r="M72" s="17" t="s">
        <v>126</v>
      </c>
      <c r="N72" s="17" t="s">
        <v>126</v>
      </c>
      <c r="O72" s="17" t="s">
        <v>126</v>
      </c>
      <c r="P72" s="17" t="s">
        <v>126</v>
      </c>
      <c r="Q72" s="17" t="s">
        <v>126</v>
      </c>
      <c r="R72" s="17" t="s">
        <v>126</v>
      </c>
      <c r="S72" s="17" t="s">
        <v>126</v>
      </c>
      <c r="T72" s="17" t="s">
        <v>126</v>
      </c>
      <c r="U72" s="17" t="s">
        <v>126</v>
      </c>
      <c r="V72" s="17" t="e">
        <f t="shared" si="8"/>
        <v>#VALUE!</v>
      </c>
      <c r="W72" s="5" t="e">
        <f t="shared" si="9"/>
        <v>#VALUE!</v>
      </c>
      <c r="X72" t="e">
        <f t="shared" si="10"/>
        <v>#VALUE!</v>
      </c>
      <c r="Y72" s="5" t="e">
        <f t="shared" si="11"/>
        <v>#VALUE!</v>
      </c>
      <c r="Z72" t="e">
        <f t="shared" si="12"/>
        <v>#VALUE!</v>
      </c>
      <c r="AA72" t="e">
        <f t="shared" si="13"/>
        <v>#VALUE!</v>
      </c>
    </row>
    <row r="73" spans="1:27" ht="13.5" customHeight="1" thickBot="1" x14ac:dyDescent="0.35">
      <c r="A73">
        <f t="shared" si="7"/>
        <v>0</v>
      </c>
      <c r="B73" s="18">
        <v>147</v>
      </c>
      <c r="C73" s="11" t="s">
        <v>482</v>
      </c>
      <c r="D73" s="19" t="s">
        <v>416</v>
      </c>
      <c r="E73" s="19" t="s">
        <v>47</v>
      </c>
      <c r="F73" s="19" t="s">
        <v>47</v>
      </c>
      <c r="G73" s="19">
        <v>19</v>
      </c>
      <c r="H73" s="19" t="s">
        <v>126</v>
      </c>
      <c r="I73" s="19" t="s">
        <v>126</v>
      </c>
      <c r="J73" s="19" t="s">
        <v>126</v>
      </c>
      <c r="K73" s="19" t="s">
        <v>126</v>
      </c>
      <c r="L73" s="19" t="s">
        <v>126</v>
      </c>
      <c r="M73" s="19" t="s">
        <v>126</v>
      </c>
      <c r="N73" s="19" t="s">
        <v>126</v>
      </c>
      <c r="O73" s="19" t="s">
        <v>126</v>
      </c>
      <c r="P73" s="19" t="s">
        <v>126</v>
      </c>
      <c r="Q73" s="19" t="s">
        <v>126</v>
      </c>
      <c r="R73" s="19" t="s">
        <v>126</v>
      </c>
      <c r="S73" s="19" t="s">
        <v>126</v>
      </c>
      <c r="T73" s="19" t="s">
        <v>126</v>
      </c>
      <c r="U73" s="19" t="s">
        <v>126</v>
      </c>
      <c r="V73" s="19" t="e">
        <f t="shared" si="8"/>
        <v>#VALUE!</v>
      </c>
      <c r="W73" s="5" t="e">
        <f t="shared" si="9"/>
        <v>#VALUE!</v>
      </c>
      <c r="X73" t="e">
        <f t="shared" si="10"/>
        <v>#VALUE!</v>
      </c>
      <c r="Y73" s="5" t="e">
        <f t="shared" si="11"/>
        <v>#VALUE!</v>
      </c>
      <c r="Z73" t="e">
        <f t="shared" si="12"/>
        <v>#VALUE!</v>
      </c>
      <c r="AA73" t="e">
        <f t="shared" si="13"/>
        <v>#VALUE!</v>
      </c>
    </row>
    <row r="74" spans="1:27" ht="13.5" customHeight="1" thickBot="1" x14ac:dyDescent="0.35">
      <c r="A74">
        <f t="shared" si="7"/>
        <v>0</v>
      </c>
      <c r="B74" s="18">
        <v>148</v>
      </c>
      <c r="C74" s="11" t="s">
        <v>483</v>
      </c>
      <c r="D74" s="19" t="s">
        <v>416</v>
      </c>
      <c r="E74" s="19" t="s">
        <v>47</v>
      </c>
      <c r="F74" s="19" t="s">
        <v>47</v>
      </c>
      <c r="G74" s="19">
        <v>22</v>
      </c>
      <c r="H74" s="19" t="s">
        <v>126</v>
      </c>
      <c r="I74" s="19" t="s">
        <v>126</v>
      </c>
      <c r="J74" s="19" t="s">
        <v>126</v>
      </c>
      <c r="K74" s="19" t="s">
        <v>126</v>
      </c>
      <c r="L74" s="19" t="s">
        <v>126</v>
      </c>
      <c r="M74" s="19" t="s">
        <v>126</v>
      </c>
      <c r="N74" s="19" t="s">
        <v>126</v>
      </c>
      <c r="O74" s="19" t="s">
        <v>126</v>
      </c>
      <c r="P74" s="19" t="s">
        <v>126</v>
      </c>
      <c r="Q74" s="19" t="s">
        <v>126</v>
      </c>
      <c r="R74" s="19" t="s">
        <v>126</v>
      </c>
      <c r="S74" s="19" t="s">
        <v>126</v>
      </c>
      <c r="T74" s="19" t="s">
        <v>126</v>
      </c>
      <c r="U74" s="19" t="s">
        <v>126</v>
      </c>
      <c r="V74" s="19" t="e">
        <f t="shared" si="8"/>
        <v>#VALUE!</v>
      </c>
      <c r="W74" s="5" t="e">
        <f t="shared" si="9"/>
        <v>#VALUE!</v>
      </c>
      <c r="X74" t="e">
        <f t="shared" si="10"/>
        <v>#VALUE!</v>
      </c>
      <c r="Y74" s="5" t="e">
        <f t="shared" si="11"/>
        <v>#VALUE!</v>
      </c>
      <c r="Z74" t="e">
        <f t="shared" si="12"/>
        <v>#VALUE!</v>
      </c>
      <c r="AA74" t="e">
        <f t="shared" si="13"/>
        <v>#VALUE!</v>
      </c>
    </row>
    <row r="75" spans="1:27" ht="13.5" customHeight="1" thickBot="1" x14ac:dyDescent="0.35">
      <c r="A75">
        <f t="shared" si="7"/>
        <v>0</v>
      </c>
      <c r="B75" s="16">
        <v>149</v>
      </c>
      <c r="C75" s="10" t="s">
        <v>484</v>
      </c>
      <c r="D75" s="17" t="s">
        <v>416</v>
      </c>
      <c r="E75" s="17" t="s">
        <v>36</v>
      </c>
      <c r="F75" s="17" t="s">
        <v>36</v>
      </c>
      <c r="G75" s="17">
        <v>20</v>
      </c>
      <c r="H75" s="17" t="s">
        <v>126</v>
      </c>
      <c r="I75" s="17" t="s">
        <v>126</v>
      </c>
      <c r="J75" s="17" t="s">
        <v>126</v>
      </c>
      <c r="K75" s="17" t="s">
        <v>126</v>
      </c>
      <c r="L75" s="17" t="s">
        <v>126</v>
      </c>
      <c r="M75" s="17" t="s">
        <v>126</v>
      </c>
      <c r="N75" s="17" t="s">
        <v>126</v>
      </c>
      <c r="O75" s="17" t="s">
        <v>126</v>
      </c>
      <c r="P75" s="17" t="s">
        <v>126</v>
      </c>
      <c r="Q75" s="17" t="s">
        <v>126</v>
      </c>
      <c r="R75" s="17" t="s">
        <v>126</v>
      </c>
      <c r="S75" s="17" t="s">
        <v>126</v>
      </c>
      <c r="T75" s="17" t="s">
        <v>126</v>
      </c>
      <c r="U75" s="17" t="s">
        <v>126</v>
      </c>
      <c r="V75" s="17" t="e">
        <f t="shared" si="8"/>
        <v>#VALUE!</v>
      </c>
      <c r="W75" s="5" t="e">
        <f t="shared" si="9"/>
        <v>#VALUE!</v>
      </c>
      <c r="X75" t="e">
        <f t="shared" si="10"/>
        <v>#VALUE!</v>
      </c>
      <c r="Y75" s="5" t="e">
        <f t="shared" si="11"/>
        <v>#VALUE!</v>
      </c>
      <c r="Z75" t="e">
        <f t="shared" si="12"/>
        <v>#VALUE!</v>
      </c>
      <c r="AA75" t="e">
        <f t="shared" si="13"/>
        <v>#VALUE!</v>
      </c>
    </row>
    <row r="76" spans="1:27" ht="13.5" customHeight="1" thickBot="1" x14ac:dyDescent="0.35">
      <c r="A76">
        <f t="shared" si="7"/>
        <v>0</v>
      </c>
      <c r="B76" s="18">
        <v>150</v>
      </c>
      <c r="C76" s="11" t="s">
        <v>485</v>
      </c>
      <c r="D76" s="19" t="s">
        <v>416</v>
      </c>
      <c r="E76" s="19" t="s">
        <v>36</v>
      </c>
      <c r="F76" s="19" t="s">
        <v>36</v>
      </c>
      <c r="G76" s="19">
        <v>20</v>
      </c>
      <c r="H76" s="19" t="s">
        <v>126</v>
      </c>
      <c r="I76" s="19" t="s">
        <v>126</v>
      </c>
      <c r="J76" s="19" t="s">
        <v>126</v>
      </c>
      <c r="K76" s="19" t="s">
        <v>126</v>
      </c>
      <c r="L76" s="19" t="s">
        <v>126</v>
      </c>
      <c r="M76" s="19" t="s">
        <v>126</v>
      </c>
      <c r="N76" s="19" t="s">
        <v>126</v>
      </c>
      <c r="O76" s="19" t="s">
        <v>126</v>
      </c>
      <c r="P76" s="19" t="s">
        <v>126</v>
      </c>
      <c r="Q76" s="19" t="s">
        <v>126</v>
      </c>
      <c r="R76" s="19" t="s">
        <v>126</v>
      </c>
      <c r="S76" s="19" t="s">
        <v>126</v>
      </c>
      <c r="T76" s="19" t="s">
        <v>126</v>
      </c>
      <c r="U76" s="19" t="s">
        <v>126</v>
      </c>
      <c r="V76" s="19" t="e">
        <f t="shared" si="8"/>
        <v>#VALUE!</v>
      </c>
      <c r="W76" s="5" t="e">
        <f t="shared" si="9"/>
        <v>#VALUE!</v>
      </c>
      <c r="X76" t="e">
        <f t="shared" si="10"/>
        <v>#VALUE!</v>
      </c>
      <c r="Y76" s="5" t="e">
        <f t="shared" si="11"/>
        <v>#VALUE!</v>
      </c>
      <c r="Z76" t="e">
        <f t="shared" si="12"/>
        <v>#VALUE!</v>
      </c>
      <c r="AA76" t="e">
        <f t="shared" si="13"/>
        <v>#VALUE!</v>
      </c>
    </row>
    <row r="77" spans="1:27" ht="13.5" customHeight="1" thickBot="1" x14ac:dyDescent="0.35">
      <c r="A77">
        <f t="shared" si="7"/>
        <v>0</v>
      </c>
      <c r="B77" s="16">
        <v>151</v>
      </c>
      <c r="C77" s="10" t="s">
        <v>486</v>
      </c>
      <c r="D77" s="17" t="s">
        <v>416</v>
      </c>
      <c r="E77" s="17" t="s">
        <v>47</v>
      </c>
      <c r="F77" s="17" t="s">
        <v>47</v>
      </c>
      <c r="G77" s="17">
        <v>21</v>
      </c>
      <c r="H77" s="17" t="s">
        <v>126</v>
      </c>
      <c r="I77" s="17" t="s">
        <v>126</v>
      </c>
      <c r="J77" s="17" t="s">
        <v>126</v>
      </c>
      <c r="K77" s="17" t="s">
        <v>126</v>
      </c>
      <c r="L77" s="17" t="s">
        <v>126</v>
      </c>
      <c r="M77" s="17" t="s">
        <v>126</v>
      </c>
      <c r="N77" s="17" t="s">
        <v>126</v>
      </c>
      <c r="O77" s="17" t="s">
        <v>126</v>
      </c>
      <c r="P77" s="17" t="s">
        <v>126</v>
      </c>
      <c r="Q77" s="17" t="s">
        <v>126</v>
      </c>
      <c r="R77" s="17" t="s">
        <v>126</v>
      </c>
      <c r="S77" s="17" t="s">
        <v>126</v>
      </c>
      <c r="T77" s="17" t="s">
        <v>126</v>
      </c>
      <c r="U77" s="17" t="s">
        <v>126</v>
      </c>
      <c r="V77" s="17" t="e">
        <f t="shared" si="8"/>
        <v>#VALUE!</v>
      </c>
      <c r="W77" s="5" t="e">
        <f t="shared" si="9"/>
        <v>#VALUE!</v>
      </c>
      <c r="X77" t="e">
        <f t="shared" si="10"/>
        <v>#VALUE!</v>
      </c>
      <c r="Y77" s="5" t="e">
        <f t="shared" si="11"/>
        <v>#VALUE!</v>
      </c>
      <c r="Z77" t="e">
        <f t="shared" si="12"/>
        <v>#VALUE!</v>
      </c>
      <c r="AA77" t="e">
        <f t="shared" si="13"/>
        <v>#VALUE!</v>
      </c>
    </row>
    <row r="78" spans="1:27" ht="13.5" customHeight="1" thickBot="1" x14ac:dyDescent="0.35">
      <c r="A78">
        <f t="shared" si="7"/>
        <v>0</v>
      </c>
      <c r="B78" s="18">
        <v>152</v>
      </c>
      <c r="C78" s="11" t="s">
        <v>487</v>
      </c>
      <c r="D78" s="19" t="s">
        <v>416</v>
      </c>
      <c r="E78" s="19" t="s">
        <v>36</v>
      </c>
      <c r="F78" s="19" t="s">
        <v>36</v>
      </c>
      <c r="G78" s="19">
        <v>18</v>
      </c>
      <c r="H78" s="19" t="s">
        <v>126</v>
      </c>
      <c r="I78" s="19" t="s">
        <v>126</v>
      </c>
      <c r="J78" s="19" t="s">
        <v>126</v>
      </c>
      <c r="K78" s="19" t="s">
        <v>126</v>
      </c>
      <c r="L78" s="19" t="s">
        <v>126</v>
      </c>
      <c r="M78" s="19" t="s">
        <v>126</v>
      </c>
      <c r="N78" s="19" t="s">
        <v>126</v>
      </c>
      <c r="O78" s="19" t="s">
        <v>126</v>
      </c>
      <c r="P78" s="19" t="s">
        <v>126</v>
      </c>
      <c r="Q78" s="19" t="s">
        <v>126</v>
      </c>
      <c r="R78" s="19" t="s">
        <v>126</v>
      </c>
      <c r="S78" s="19" t="s">
        <v>126</v>
      </c>
      <c r="T78" s="19" t="s">
        <v>126</v>
      </c>
      <c r="U78" s="19" t="s">
        <v>126</v>
      </c>
      <c r="V78" s="19" t="e">
        <f t="shared" si="8"/>
        <v>#VALUE!</v>
      </c>
      <c r="W78" s="5" t="e">
        <f t="shared" si="9"/>
        <v>#VALUE!</v>
      </c>
      <c r="X78" t="e">
        <f t="shared" si="10"/>
        <v>#VALUE!</v>
      </c>
      <c r="Y78" s="5" t="e">
        <f t="shared" si="11"/>
        <v>#VALUE!</v>
      </c>
      <c r="Z78" t="e">
        <f t="shared" si="12"/>
        <v>#VALUE!</v>
      </c>
      <c r="AA78" t="e">
        <f t="shared" si="13"/>
        <v>#VALUE!</v>
      </c>
    </row>
    <row r="79" spans="1:27" ht="13.5" customHeight="1" thickBot="1" x14ac:dyDescent="0.35">
      <c r="A79">
        <f t="shared" si="7"/>
        <v>0</v>
      </c>
      <c r="B79" s="16">
        <v>153</v>
      </c>
      <c r="C79" s="10" t="s">
        <v>488</v>
      </c>
      <c r="D79" s="17" t="s">
        <v>416</v>
      </c>
      <c r="E79" s="17" t="s">
        <v>36</v>
      </c>
      <c r="F79" s="17" t="s">
        <v>36</v>
      </c>
      <c r="G79" s="17">
        <v>19</v>
      </c>
      <c r="H79" s="17" t="s">
        <v>126</v>
      </c>
      <c r="I79" s="17" t="s">
        <v>126</v>
      </c>
      <c r="J79" s="17" t="s">
        <v>126</v>
      </c>
      <c r="K79" s="17" t="s">
        <v>126</v>
      </c>
      <c r="L79" s="17" t="s">
        <v>126</v>
      </c>
      <c r="M79" s="17" t="s">
        <v>126</v>
      </c>
      <c r="N79" s="17" t="s">
        <v>126</v>
      </c>
      <c r="O79" s="17" t="s">
        <v>126</v>
      </c>
      <c r="P79" s="17" t="s">
        <v>126</v>
      </c>
      <c r="Q79" s="17" t="s">
        <v>126</v>
      </c>
      <c r="R79" s="17" t="s">
        <v>126</v>
      </c>
      <c r="S79" s="17" t="s">
        <v>126</v>
      </c>
      <c r="T79" s="17" t="s">
        <v>126</v>
      </c>
      <c r="U79" s="17" t="s">
        <v>126</v>
      </c>
      <c r="V79" s="17" t="e">
        <f t="shared" si="8"/>
        <v>#VALUE!</v>
      </c>
      <c r="W79" s="5" t="e">
        <f t="shared" si="9"/>
        <v>#VALUE!</v>
      </c>
      <c r="X79" t="e">
        <f t="shared" si="10"/>
        <v>#VALUE!</v>
      </c>
      <c r="Y79" s="5" t="e">
        <f t="shared" si="11"/>
        <v>#VALUE!</v>
      </c>
      <c r="Z79" t="e">
        <f t="shared" si="12"/>
        <v>#VALUE!</v>
      </c>
      <c r="AA79" t="e">
        <f t="shared" si="13"/>
        <v>#VALUE!</v>
      </c>
    </row>
    <row r="80" spans="1:27" ht="13.5" customHeight="1" thickBot="1" x14ac:dyDescent="0.35">
      <c r="A80">
        <f t="shared" si="7"/>
        <v>0</v>
      </c>
      <c r="B80" s="16">
        <v>154</v>
      </c>
      <c r="C80" s="10" t="s">
        <v>489</v>
      </c>
      <c r="D80" s="17" t="s">
        <v>416</v>
      </c>
      <c r="E80" s="17" t="s">
        <v>47</v>
      </c>
      <c r="F80" s="17" t="s">
        <v>47</v>
      </c>
      <c r="G80" s="17">
        <v>19</v>
      </c>
      <c r="H80" s="17" t="s">
        <v>126</v>
      </c>
      <c r="I80" s="17" t="s">
        <v>126</v>
      </c>
      <c r="J80" s="17" t="s">
        <v>126</v>
      </c>
      <c r="K80" s="17" t="s">
        <v>126</v>
      </c>
      <c r="L80" s="17" t="s">
        <v>126</v>
      </c>
      <c r="M80" s="17" t="s">
        <v>126</v>
      </c>
      <c r="N80" s="17" t="s">
        <v>126</v>
      </c>
      <c r="O80" s="17" t="s">
        <v>126</v>
      </c>
      <c r="P80" s="17" t="s">
        <v>126</v>
      </c>
      <c r="Q80" s="17" t="s">
        <v>126</v>
      </c>
      <c r="R80" s="17" t="s">
        <v>126</v>
      </c>
      <c r="S80" s="17" t="s">
        <v>126</v>
      </c>
      <c r="T80" s="17" t="s">
        <v>126</v>
      </c>
      <c r="U80" s="17" t="s">
        <v>126</v>
      </c>
      <c r="V80" s="17" t="e">
        <f t="shared" si="8"/>
        <v>#VALUE!</v>
      </c>
      <c r="W80" s="5" t="e">
        <f t="shared" si="9"/>
        <v>#VALUE!</v>
      </c>
      <c r="X80" t="e">
        <f t="shared" si="10"/>
        <v>#VALUE!</v>
      </c>
      <c r="Y80" s="5" t="e">
        <f t="shared" si="11"/>
        <v>#VALUE!</v>
      </c>
      <c r="Z80" t="e">
        <f t="shared" si="12"/>
        <v>#VALUE!</v>
      </c>
      <c r="AA80" t="e">
        <f t="shared" si="13"/>
        <v>#VALUE!</v>
      </c>
    </row>
    <row r="81" spans="1:27" ht="13.5" customHeight="1" thickBot="1" x14ac:dyDescent="0.35">
      <c r="A81">
        <f t="shared" si="7"/>
        <v>0</v>
      </c>
      <c r="B81" s="16">
        <v>155</v>
      </c>
      <c r="C81" s="10" t="s">
        <v>490</v>
      </c>
      <c r="D81" s="17" t="s">
        <v>416</v>
      </c>
      <c r="E81" s="17" t="s">
        <v>47</v>
      </c>
      <c r="F81" s="17" t="s">
        <v>47</v>
      </c>
      <c r="G81" s="17">
        <v>18</v>
      </c>
      <c r="H81" s="17" t="s">
        <v>126</v>
      </c>
      <c r="I81" s="17" t="s">
        <v>126</v>
      </c>
      <c r="J81" s="17" t="s">
        <v>126</v>
      </c>
      <c r="K81" s="17" t="s">
        <v>126</v>
      </c>
      <c r="L81" s="17" t="s">
        <v>126</v>
      </c>
      <c r="M81" s="17" t="s">
        <v>126</v>
      </c>
      <c r="N81" s="17" t="s">
        <v>126</v>
      </c>
      <c r="O81" s="17" t="s">
        <v>126</v>
      </c>
      <c r="P81" s="17" t="s">
        <v>126</v>
      </c>
      <c r="Q81" s="17" t="s">
        <v>126</v>
      </c>
      <c r="R81" s="17" t="s">
        <v>126</v>
      </c>
      <c r="S81" s="17" t="s">
        <v>126</v>
      </c>
      <c r="T81" s="17" t="s">
        <v>126</v>
      </c>
      <c r="U81" s="17" t="s">
        <v>126</v>
      </c>
      <c r="V81" s="17" t="e">
        <f t="shared" si="8"/>
        <v>#VALUE!</v>
      </c>
      <c r="W81" s="5" t="e">
        <f t="shared" si="9"/>
        <v>#VALUE!</v>
      </c>
      <c r="X81" t="e">
        <f t="shared" si="10"/>
        <v>#VALUE!</v>
      </c>
      <c r="Y81" s="5" t="e">
        <f t="shared" si="11"/>
        <v>#VALUE!</v>
      </c>
      <c r="Z81" t="e">
        <f t="shared" si="12"/>
        <v>#VALUE!</v>
      </c>
      <c r="AA81" t="e">
        <f t="shared" si="13"/>
        <v>#VALUE!</v>
      </c>
    </row>
    <row r="82" spans="1:27" ht="13.5" customHeight="1" thickBot="1" x14ac:dyDescent="0.35">
      <c r="A82">
        <f t="shared" si="7"/>
        <v>0</v>
      </c>
      <c r="B82" s="16">
        <v>156</v>
      </c>
      <c r="C82" s="10" t="s">
        <v>491</v>
      </c>
      <c r="D82" s="17" t="s">
        <v>416</v>
      </c>
      <c r="E82" s="17" t="s">
        <v>36</v>
      </c>
      <c r="F82" s="17" t="s">
        <v>36</v>
      </c>
      <c r="G82" s="17">
        <v>18</v>
      </c>
      <c r="H82" s="17" t="s">
        <v>126</v>
      </c>
      <c r="I82" s="17" t="s">
        <v>126</v>
      </c>
      <c r="J82" s="17" t="s">
        <v>126</v>
      </c>
      <c r="K82" s="17" t="s">
        <v>126</v>
      </c>
      <c r="L82" s="17" t="s">
        <v>126</v>
      </c>
      <c r="M82" s="17" t="s">
        <v>126</v>
      </c>
      <c r="N82" s="17" t="s">
        <v>126</v>
      </c>
      <c r="O82" s="17" t="s">
        <v>126</v>
      </c>
      <c r="P82" s="17" t="s">
        <v>126</v>
      </c>
      <c r="Q82" s="17" t="s">
        <v>126</v>
      </c>
      <c r="R82" s="17" t="s">
        <v>126</v>
      </c>
      <c r="S82" s="17" t="s">
        <v>126</v>
      </c>
      <c r="T82" s="17" t="s">
        <v>126</v>
      </c>
      <c r="U82" s="17" t="s">
        <v>126</v>
      </c>
      <c r="V82" s="17" t="e">
        <f t="shared" si="8"/>
        <v>#VALUE!</v>
      </c>
      <c r="W82" s="5" t="e">
        <f t="shared" si="9"/>
        <v>#VALUE!</v>
      </c>
      <c r="X82" t="e">
        <f t="shared" si="10"/>
        <v>#VALUE!</v>
      </c>
      <c r="Y82" s="5" t="e">
        <f t="shared" si="11"/>
        <v>#VALUE!</v>
      </c>
      <c r="Z82" t="e">
        <f t="shared" si="12"/>
        <v>#VALUE!</v>
      </c>
      <c r="AA82" t="e">
        <f t="shared" si="13"/>
        <v>#VALUE!</v>
      </c>
    </row>
    <row r="83" spans="1:27" ht="13.5" customHeight="1" thickBot="1" x14ac:dyDescent="0.35">
      <c r="A83">
        <f t="shared" si="7"/>
        <v>0</v>
      </c>
      <c r="B83" s="18">
        <v>157</v>
      </c>
      <c r="C83" s="11" t="s">
        <v>492</v>
      </c>
      <c r="D83" s="19" t="s">
        <v>416</v>
      </c>
      <c r="E83" s="19" t="s">
        <v>47</v>
      </c>
      <c r="F83" s="19" t="s">
        <v>47</v>
      </c>
      <c r="G83" s="19">
        <v>18</v>
      </c>
      <c r="H83" s="19" t="s">
        <v>126</v>
      </c>
      <c r="I83" s="19" t="s">
        <v>126</v>
      </c>
      <c r="J83" s="19" t="s">
        <v>126</v>
      </c>
      <c r="K83" s="19" t="s">
        <v>126</v>
      </c>
      <c r="L83" s="19" t="s">
        <v>126</v>
      </c>
      <c r="M83" s="19" t="s">
        <v>126</v>
      </c>
      <c r="N83" s="19" t="s">
        <v>126</v>
      </c>
      <c r="O83" s="19" t="s">
        <v>126</v>
      </c>
      <c r="P83" s="19" t="s">
        <v>126</v>
      </c>
      <c r="Q83" s="19" t="s">
        <v>126</v>
      </c>
      <c r="R83" s="19" t="s">
        <v>126</v>
      </c>
      <c r="S83" s="19" t="s">
        <v>126</v>
      </c>
      <c r="T83" s="19" t="s">
        <v>126</v>
      </c>
      <c r="U83" s="19" t="s">
        <v>126</v>
      </c>
      <c r="V83" s="19" t="e">
        <f t="shared" si="8"/>
        <v>#VALUE!</v>
      </c>
      <c r="W83" s="5" t="e">
        <f t="shared" si="9"/>
        <v>#VALUE!</v>
      </c>
      <c r="X83" t="e">
        <f t="shared" si="10"/>
        <v>#VALUE!</v>
      </c>
      <c r="Y83" s="5" t="e">
        <f t="shared" si="11"/>
        <v>#VALUE!</v>
      </c>
      <c r="Z83" t="e">
        <f t="shared" si="12"/>
        <v>#VALUE!</v>
      </c>
      <c r="AA83" t="e">
        <f t="shared" si="13"/>
        <v>#VALUE!</v>
      </c>
    </row>
    <row r="84" spans="1:27" ht="13.5" customHeight="1" thickBot="1" x14ac:dyDescent="0.35">
      <c r="A84">
        <f t="shared" si="7"/>
        <v>0</v>
      </c>
      <c r="B84" s="16">
        <v>158</v>
      </c>
      <c r="C84" s="10" t="s">
        <v>493</v>
      </c>
      <c r="D84" s="17" t="s">
        <v>416</v>
      </c>
      <c r="E84" s="17" t="s">
        <v>36</v>
      </c>
      <c r="F84" s="17" t="s">
        <v>36</v>
      </c>
      <c r="G84" s="17">
        <v>18</v>
      </c>
      <c r="H84" s="17" t="s">
        <v>126</v>
      </c>
      <c r="I84" s="17" t="s">
        <v>126</v>
      </c>
      <c r="J84" s="17" t="s">
        <v>126</v>
      </c>
      <c r="K84" s="17" t="s">
        <v>126</v>
      </c>
      <c r="L84" s="17" t="s">
        <v>126</v>
      </c>
      <c r="M84" s="17" t="s">
        <v>126</v>
      </c>
      <c r="N84" s="17" t="s">
        <v>126</v>
      </c>
      <c r="O84" s="17" t="s">
        <v>126</v>
      </c>
      <c r="P84" s="17" t="s">
        <v>126</v>
      </c>
      <c r="Q84" s="17" t="s">
        <v>126</v>
      </c>
      <c r="R84" s="17" t="s">
        <v>126</v>
      </c>
      <c r="S84" s="17" t="s">
        <v>126</v>
      </c>
      <c r="T84" s="17" t="s">
        <v>126</v>
      </c>
      <c r="U84" s="17" t="s">
        <v>126</v>
      </c>
      <c r="V84" s="17" t="e">
        <f t="shared" si="8"/>
        <v>#VALUE!</v>
      </c>
      <c r="W84" s="5" t="e">
        <f t="shared" si="9"/>
        <v>#VALUE!</v>
      </c>
      <c r="X84" t="e">
        <f t="shared" si="10"/>
        <v>#VALUE!</v>
      </c>
      <c r="Y84" s="5" t="e">
        <f t="shared" si="11"/>
        <v>#VALUE!</v>
      </c>
      <c r="Z84" t="e">
        <f t="shared" si="12"/>
        <v>#VALUE!</v>
      </c>
      <c r="AA84" t="e">
        <f t="shared" si="13"/>
        <v>#VALUE!</v>
      </c>
    </row>
    <row r="85" spans="1:27" ht="13.5" customHeight="1" thickBot="1" x14ac:dyDescent="0.35">
      <c r="A85">
        <f t="shared" si="7"/>
        <v>0</v>
      </c>
      <c r="B85" s="18">
        <v>159</v>
      </c>
      <c r="C85" s="11" t="s">
        <v>494</v>
      </c>
      <c r="D85" s="19" t="s">
        <v>416</v>
      </c>
      <c r="E85" s="19" t="s">
        <v>36</v>
      </c>
      <c r="F85" s="19" t="s">
        <v>36</v>
      </c>
      <c r="G85" s="19">
        <v>19</v>
      </c>
      <c r="H85" s="19" t="s">
        <v>126</v>
      </c>
      <c r="I85" s="19" t="s">
        <v>126</v>
      </c>
      <c r="J85" s="19" t="s">
        <v>126</v>
      </c>
      <c r="K85" s="19" t="s">
        <v>126</v>
      </c>
      <c r="L85" s="19" t="s">
        <v>126</v>
      </c>
      <c r="M85" s="19" t="s">
        <v>126</v>
      </c>
      <c r="N85" s="19" t="s">
        <v>126</v>
      </c>
      <c r="O85" s="19" t="s">
        <v>126</v>
      </c>
      <c r="P85" s="19" t="s">
        <v>126</v>
      </c>
      <c r="Q85" s="19" t="s">
        <v>126</v>
      </c>
      <c r="R85" s="19" t="s">
        <v>126</v>
      </c>
      <c r="S85" s="19" t="s">
        <v>126</v>
      </c>
      <c r="T85" s="19" t="s">
        <v>126</v>
      </c>
      <c r="U85" s="19" t="s">
        <v>126</v>
      </c>
      <c r="V85" s="19" t="e">
        <f t="shared" si="8"/>
        <v>#VALUE!</v>
      </c>
      <c r="W85" s="5" t="e">
        <f t="shared" si="9"/>
        <v>#VALUE!</v>
      </c>
      <c r="X85" t="e">
        <f t="shared" si="10"/>
        <v>#VALUE!</v>
      </c>
      <c r="Y85" s="5" t="e">
        <f t="shared" si="11"/>
        <v>#VALUE!</v>
      </c>
      <c r="Z85" t="e">
        <f t="shared" si="12"/>
        <v>#VALUE!</v>
      </c>
      <c r="AA85" t="e">
        <f t="shared" si="13"/>
        <v>#VALUE!</v>
      </c>
    </row>
    <row r="86" spans="1:27" ht="13.5" customHeight="1" thickBot="1" x14ac:dyDescent="0.35">
      <c r="A86">
        <f t="shared" si="7"/>
        <v>0</v>
      </c>
      <c r="B86" s="16">
        <v>160</v>
      </c>
      <c r="C86" s="10" t="s">
        <v>495</v>
      </c>
      <c r="D86" s="17" t="s">
        <v>416</v>
      </c>
      <c r="E86" s="17" t="s">
        <v>36</v>
      </c>
      <c r="F86" s="17" t="s">
        <v>36</v>
      </c>
      <c r="G86" s="17">
        <v>21</v>
      </c>
      <c r="H86" s="17" t="s">
        <v>126</v>
      </c>
      <c r="I86" s="17" t="s">
        <v>126</v>
      </c>
      <c r="J86" s="17" t="s">
        <v>126</v>
      </c>
      <c r="K86" s="17" t="s">
        <v>126</v>
      </c>
      <c r="L86" s="17" t="s">
        <v>126</v>
      </c>
      <c r="M86" s="17" t="s">
        <v>126</v>
      </c>
      <c r="N86" s="17" t="s">
        <v>126</v>
      </c>
      <c r="O86" s="17" t="s">
        <v>126</v>
      </c>
      <c r="P86" s="17" t="s">
        <v>126</v>
      </c>
      <c r="Q86" s="17" t="s">
        <v>126</v>
      </c>
      <c r="R86" s="17" t="s">
        <v>126</v>
      </c>
      <c r="S86" s="17" t="s">
        <v>126</v>
      </c>
      <c r="T86" s="17" t="s">
        <v>126</v>
      </c>
      <c r="U86" s="17" t="s">
        <v>126</v>
      </c>
      <c r="V86" s="17" t="e">
        <f t="shared" si="8"/>
        <v>#VALUE!</v>
      </c>
      <c r="W86" s="5" t="e">
        <f t="shared" si="9"/>
        <v>#VALUE!</v>
      </c>
      <c r="X86" t="e">
        <f t="shared" si="10"/>
        <v>#VALUE!</v>
      </c>
      <c r="Y86" s="5" t="e">
        <f t="shared" si="11"/>
        <v>#VALUE!</v>
      </c>
      <c r="Z86" t="e">
        <f t="shared" si="12"/>
        <v>#VALUE!</v>
      </c>
      <c r="AA86" t="e">
        <f t="shared" si="13"/>
        <v>#VALUE!</v>
      </c>
    </row>
    <row r="87" spans="1:27" ht="13.5" customHeight="1" thickBot="1" x14ac:dyDescent="0.35">
      <c r="A87">
        <f t="shared" si="7"/>
        <v>0</v>
      </c>
      <c r="B87" s="18">
        <v>161</v>
      </c>
      <c r="C87" s="11" t="s">
        <v>496</v>
      </c>
      <c r="D87" s="19" t="s">
        <v>416</v>
      </c>
      <c r="E87" s="19" t="s">
        <v>47</v>
      </c>
      <c r="F87" s="19" t="s">
        <v>47</v>
      </c>
      <c r="G87" s="19">
        <v>18</v>
      </c>
      <c r="H87" s="19" t="s">
        <v>126</v>
      </c>
      <c r="I87" s="19" t="s">
        <v>126</v>
      </c>
      <c r="J87" s="19" t="s">
        <v>126</v>
      </c>
      <c r="K87" s="19" t="s">
        <v>126</v>
      </c>
      <c r="L87" s="19" t="s">
        <v>126</v>
      </c>
      <c r="M87" s="19" t="s">
        <v>126</v>
      </c>
      <c r="N87" s="19" t="s">
        <v>126</v>
      </c>
      <c r="O87" s="19" t="s">
        <v>126</v>
      </c>
      <c r="P87" s="19" t="s">
        <v>126</v>
      </c>
      <c r="Q87" s="19" t="s">
        <v>126</v>
      </c>
      <c r="R87" s="19" t="s">
        <v>126</v>
      </c>
      <c r="S87" s="19" t="s">
        <v>126</v>
      </c>
      <c r="T87" s="19" t="s">
        <v>126</v>
      </c>
      <c r="U87" s="19" t="s">
        <v>126</v>
      </c>
      <c r="V87" s="19" t="e">
        <f t="shared" si="8"/>
        <v>#VALUE!</v>
      </c>
      <c r="W87" s="5" t="e">
        <f t="shared" si="9"/>
        <v>#VALUE!</v>
      </c>
      <c r="X87" t="e">
        <f t="shared" si="10"/>
        <v>#VALUE!</v>
      </c>
      <c r="Y87" s="5" t="e">
        <f t="shared" si="11"/>
        <v>#VALUE!</v>
      </c>
      <c r="Z87" t="e">
        <f t="shared" si="12"/>
        <v>#VALUE!</v>
      </c>
      <c r="AA87" t="e">
        <f t="shared" si="13"/>
        <v>#VALUE!</v>
      </c>
    </row>
    <row r="88" spans="1:27" ht="13.5" customHeight="1" thickBot="1" x14ac:dyDescent="0.35">
      <c r="A88">
        <f t="shared" si="7"/>
        <v>0</v>
      </c>
      <c r="B88" s="18">
        <v>162</v>
      </c>
      <c r="C88" s="11" t="s">
        <v>497</v>
      </c>
      <c r="D88" s="19" t="s">
        <v>416</v>
      </c>
      <c r="E88" s="19" t="s">
        <v>36</v>
      </c>
      <c r="F88" s="19" t="s">
        <v>36</v>
      </c>
      <c r="G88" s="19">
        <v>18</v>
      </c>
      <c r="H88" s="19" t="s">
        <v>126</v>
      </c>
      <c r="I88" s="19" t="s">
        <v>126</v>
      </c>
      <c r="J88" s="19" t="s">
        <v>126</v>
      </c>
      <c r="K88" s="19" t="s">
        <v>126</v>
      </c>
      <c r="L88" s="19" t="s">
        <v>126</v>
      </c>
      <c r="M88" s="19" t="s">
        <v>126</v>
      </c>
      <c r="N88" s="19" t="s">
        <v>126</v>
      </c>
      <c r="O88" s="19" t="s">
        <v>126</v>
      </c>
      <c r="P88" s="19" t="s">
        <v>126</v>
      </c>
      <c r="Q88" s="19" t="s">
        <v>126</v>
      </c>
      <c r="R88" s="19" t="s">
        <v>126</v>
      </c>
      <c r="S88" s="19" t="s">
        <v>126</v>
      </c>
      <c r="T88" s="19" t="s">
        <v>126</v>
      </c>
      <c r="U88" s="19" t="s">
        <v>126</v>
      </c>
      <c r="V88" s="19" t="e">
        <f t="shared" si="8"/>
        <v>#VALUE!</v>
      </c>
      <c r="W88" s="5" t="e">
        <f t="shared" si="9"/>
        <v>#VALUE!</v>
      </c>
      <c r="X88" t="e">
        <f t="shared" si="10"/>
        <v>#VALUE!</v>
      </c>
      <c r="Y88" s="5" t="e">
        <f t="shared" si="11"/>
        <v>#VALUE!</v>
      </c>
      <c r="Z88" t="e">
        <f t="shared" si="12"/>
        <v>#VALUE!</v>
      </c>
      <c r="AA88" t="e">
        <f t="shared" si="13"/>
        <v>#VALUE!</v>
      </c>
    </row>
    <row r="89" spans="1:27" ht="13.5" customHeight="1" thickBot="1" x14ac:dyDescent="0.35">
      <c r="A89">
        <f t="shared" si="7"/>
        <v>0</v>
      </c>
      <c r="B89" s="18">
        <v>163</v>
      </c>
      <c r="C89" s="11" t="s">
        <v>498</v>
      </c>
      <c r="D89" s="19" t="s">
        <v>416</v>
      </c>
      <c r="E89" s="19" t="s">
        <v>36</v>
      </c>
      <c r="F89" s="19" t="s">
        <v>36</v>
      </c>
      <c r="G89" s="19">
        <v>19</v>
      </c>
      <c r="H89" s="19" t="s">
        <v>126</v>
      </c>
      <c r="I89" s="19" t="s">
        <v>126</v>
      </c>
      <c r="J89" s="19" t="s">
        <v>126</v>
      </c>
      <c r="K89" s="19" t="s">
        <v>126</v>
      </c>
      <c r="L89" s="19" t="s">
        <v>126</v>
      </c>
      <c r="M89" s="19" t="s">
        <v>126</v>
      </c>
      <c r="N89" s="19" t="s">
        <v>126</v>
      </c>
      <c r="O89" s="19" t="s">
        <v>126</v>
      </c>
      <c r="P89" s="19" t="s">
        <v>126</v>
      </c>
      <c r="Q89" s="19" t="s">
        <v>126</v>
      </c>
      <c r="R89" s="19" t="s">
        <v>126</v>
      </c>
      <c r="S89" s="19" t="s">
        <v>126</v>
      </c>
      <c r="T89" s="19" t="s">
        <v>126</v>
      </c>
      <c r="U89" s="19" t="s">
        <v>126</v>
      </c>
      <c r="V89" s="19" t="e">
        <f t="shared" si="8"/>
        <v>#VALUE!</v>
      </c>
      <c r="W89" s="5" t="e">
        <f t="shared" si="9"/>
        <v>#VALUE!</v>
      </c>
      <c r="X89" t="e">
        <f t="shared" si="10"/>
        <v>#VALUE!</v>
      </c>
      <c r="Y89" s="5" t="e">
        <f t="shared" si="11"/>
        <v>#VALUE!</v>
      </c>
      <c r="Z89" t="e">
        <f t="shared" si="12"/>
        <v>#VALUE!</v>
      </c>
      <c r="AA89" t="e">
        <f t="shared" si="13"/>
        <v>#VALUE!</v>
      </c>
    </row>
    <row r="90" spans="1:27" ht="13.5" customHeight="1" thickBot="1" x14ac:dyDescent="0.35">
      <c r="A90">
        <f t="shared" si="7"/>
        <v>0</v>
      </c>
      <c r="B90" s="16">
        <v>164</v>
      </c>
      <c r="C90" s="10" t="s">
        <v>499</v>
      </c>
      <c r="D90" s="17" t="s">
        <v>416</v>
      </c>
      <c r="E90" s="17" t="s">
        <v>46</v>
      </c>
      <c r="F90" s="17" t="s">
        <v>36</v>
      </c>
      <c r="G90" s="17">
        <v>22</v>
      </c>
      <c r="H90" s="17" t="s">
        <v>126</v>
      </c>
      <c r="I90" s="17" t="s">
        <v>126</v>
      </c>
      <c r="J90" s="17" t="s">
        <v>126</v>
      </c>
      <c r="K90" s="17" t="s">
        <v>126</v>
      </c>
      <c r="L90" s="17" t="s">
        <v>126</v>
      </c>
      <c r="M90" s="17" t="s">
        <v>126</v>
      </c>
      <c r="N90" s="17" t="s">
        <v>126</v>
      </c>
      <c r="O90" s="17" t="s">
        <v>126</v>
      </c>
      <c r="P90" s="17" t="s">
        <v>126</v>
      </c>
      <c r="Q90" s="17" t="s">
        <v>126</v>
      </c>
      <c r="R90" s="17" t="s">
        <v>126</v>
      </c>
      <c r="S90" s="17" t="s">
        <v>126</v>
      </c>
      <c r="T90" s="17" t="s">
        <v>126</v>
      </c>
      <c r="U90" s="17" t="s">
        <v>126</v>
      </c>
      <c r="V90" s="17" t="e">
        <f t="shared" si="8"/>
        <v>#VALUE!</v>
      </c>
      <c r="W90" s="5" t="e">
        <f t="shared" si="9"/>
        <v>#VALUE!</v>
      </c>
      <c r="X90" t="e">
        <f t="shared" si="10"/>
        <v>#VALUE!</v>
      </c>
      <c r="Y90" s="5" t="e">
        <f t="shared" si="11"/>
        <v>#VALUE!</v>
      </c>
      <c r="Z90" t="e">
        <f t="shared" si="12"/>
        <v>#VALUE!</v>
      </c>
      <c r="AA90" t="e">
        <f t="shared" si="13"/>
        <v>#VALUE!</v>
      </c>
    </row>
    <row r="91" spans="1:27" ht="13.5" customHeight="1" thickBot="1" x14ac:dyDescent="0.35">
      <c r="A91">
        <f t="shared" si="7"/>
        <v>0</v>
      </c>
      <c r="B91" s="18">
        <v>165</v>
      </c>
      <c r="C91" s="11" t="s">
        <v>500</v>
      </c>
      <c r="D91" s="19" t="s">
        <v>416</v>
      </c>
      <c r="E91" s="19" t="s">
        <v>47</v>
      </c>
      <c r="F91" s="19" t="s">
        <v>47</v>
      </c>
      <c r="G91" s="19">
        <v>18</v>
      </c>
      <c r="H91" s="19" t="s">
        <v>126</v>
      </c>
      <c r="I91" s="19" t="s">
        <v>126</v>
      </c>
      <c r="J91" s="19" t="s">
        <v>126</v>
      </c>
      <c r="K91" s="19" t="s">
        <v>126</v>
      </c>
      <c r="L91" s="19" t="s">
        <v>126</v>
      </c>
      <c r="M91" s="19" t="s">
        <v>126</v>
      </c>
      <c r="N91" s="19" t="s">
        <v>126</v>
      </c>
      <c r="O91" s="19" t="s">
        <v>126</v>
      </c>
      <c r="P91" s="19" t="s">
        <v>126</v>
      </c>
      <c r="Q91" s="19" t="s">
        <v>126</v>
      </c>
      <c r="R91" s="19" t="s">
        <v>126</v>
      </c>
      <c r="S91" s="19" t="s">
        <v>126</v>
      </c>
      <c r="T91" s="19" t="s">
        <v>126</v>
      </c>
      <c r="U91" s="19" t="s">
        <v>126</v>
      </c>
      <c r="V91" s="19" t="e">
        <f t="shared" si="8"/>
        <v>#VALUE!</v>
      </c>
      <c r="W91" s="5" t="e">
        <f t="shared" si="9"/>
        <v>#VALUE!</v>
      </c>
      <c r="X91" t="e">
        <f t="shared" si="10"/>
        <v>#VALUE!</v>
      </c>
      <c r="Y91" s="5" t="e">
        <f t="shared" si="11"/>
        <v>#VALUE!</v>
      </c>
      <c r="Z91" t="e">
        <f t="shared" si="12"/>
        <v>#VALUE!</v>
      </c>
      <c r="AA91" t="e">
        <f t="shared" si="13"/>
        <v>#VALUE!</v>
      </c>
    </row>
    <row r="92" spans="1:27" ht="13.5" customHeight="1" thickBot="1" x14ac:dyDescent="0.35">
      <c r="A92">
        <f t="shared" si="7"/>
        <v>0</v>
      </c>
      <c r="B92" s="18">
        <v>166</v>
      </c>
      <c r="C92" s="11" t="s">
        <v>501</v>
      </c>
      <c r="D92" s="19" t="s">
        <v>416</v>
      </c>
      <c r="E92" s="19" t="s">
        <v>36</v>
      </c>
      <c r="F92" s="19" t="s">
        <v>36</v>
      </c>
      <c r="G92" s="19">
        <v>19</v>
      </c>
      <c r="H92" s="19" t="s">
        <v>126</v>
      </c>
      <c r="I92" s="19" t="s">
        <v>126</v>
      </c>
      <c r="J92" s="19" t="s">
        <v>126</v>
      </c>
      <c r="K92" s="19" t="s">
        <v>126</v>
      </c>
      <c r="L92" s="19" t="s">
        <v>126</v>
      </c>
      <c r="M92" s="19" t="s">
        <v>126</v>
      </c>
      <c r="N92" s="19" t="s">
        <v>126</v>
      </c>
      <c r="O92" s="19" t="s">
        <v>126</v>
      </c>
      <c r="P92" s="19" t="s">
        <v>126</v>
      </c>
      <c r="Q92" s="19" t="s">
        <v>126</v>
      </c>
      <c r="R92" s="19" t="s">
        <v>126</v>
      </c>
      <c r="S92" s="19" t="s">
        <v>126</v>
      </c>
      <c r="T92" s="19" t="s">
        <v>126</v>
      </c>
      <c r="U92" s="19" t="s">
        <v>126</v>
      </c>
      <c r="V92" s="19" t="e">
        <f t="shared" si="8"/>
        <v>#VALUE!</v>
      </c>
      <c r="W92" s="5" t="e">
        <f t="shared" si="9"/>
        <v>#VALUE!</v>
      </c>
      <c r="X92" t="e">
        <f t="shared" si="10"/>
        <v>#VALUE!</v>
      </c>
      <c r="Y92" s="5" t="e">
        <f t="shared" si="11"/>
        <v>#VALUE!</v>
      </c>
      <c r="Z92" t="e">
        <f t="shared" si="12"/>
        <v>#VALUE!</v>
      </c>
      <c r="AA92" t="e">
        <f t="shared" si="13"/>
        <v>#VALUE!</v>
      </c>
    </row>
    <row r="93" spans="1:27" ht="13.5" customHeight="1" thickBot="1" x14ac:dyDescent="0.35">
      <c r="A93">
        <f t="shared" si="7"/>
        <v>0</v>
      </c>
      <c r="B93" s="16">
        <v>167</v>
      </c>
      <c r="C93" s="10" t="s">
        <v>502</v>
      </c>
      <c r="D93" s="17" t="s">
        <v>416</v>
      </c>
      <c r="E93" s="17" t="s">
        <v>36</v>
      </c>
      <c r="F93" s="17" t="s">
        <v>36</v>
      </c>
      <c r="G93" s="17">
        <v>18</v>
      </c>
      <c r="H93" s="17" t="s">
        <v>126</v>
      </c>
      <c r="I93" s="17" t="s">
        <v>126</v>
      </c>
      <c r="J93" s="17" t="s">
        <v>126</v>
      </c>
      <c r="K93" s="17" t="s">
        <v>126</v>
      </c>
      <c r="L93" s="17" t="s">
        <v>126</v>
      </c>
      <c r="M93" s="17" t="s">
        <v>126</v>
      </c>
      <c r="N93" s="17" t="s">
        <v>126</v>
      </c>
      <c r="O93" s="17" t="s">
        <v>126</v>
      </c>
      <c r="P93" s="17" t="s">
        <v>126</v>
      </c>
      <c r="Q93" s="17" t="s">
        <v>126</v>
      </c>
      <c r="R93" s="17" t="s">
        <v>126</v>
      </c>
      <c r="S93" s="17" t="s">
        <v>126</v>
      </c>
      <c r="T93" s="17" t="s">
        <v>126</v>
      </c>
      <c r="U93" s="17" t="s">
        <v>126</v>
      </c>
      <c r="V93" s="17" t="e">
        <f t="shared" si="8"/>
        <v>#VALUE!</v>
      </c>
      <c r="W93" s="5" t="e">
        <f t="shared" si="9"/>
        <v>#VALUE!</v>
      </c>
      <c r="X93" t="e">
        <f t="shared" si="10"/>
        <v>#VALUE!</v>
      </c>
      <c r="Y93" s="5" t="e">
        <f t="shared" si="11"/>
        <v>#VALUE!</v>
      </c>
      <c r="Z93" t="e">
        <f t="shared" si="12"/>
        <v>#VALUE!</v>
      </c>
      <c r="AA93" t="e">
        <f t="shared" si="13"/>
        <v>#VALUE!</v>
      </c>
    </row>
    <row r="94" spans="1:27" ht="13.5" customHeight="1" thickBot="1" x14ac:dyDescent="0.35">
      <c r="A94">
        <f t="shared" si="7"/>
        <v>0</v>
      </c>
      <c r="B94" s="18">
        <v>168</v>
      </c>
      <c r="C94" s="11" t="s">
        <v>503</v>
      </c>
      <c r="D94" s="19" t="s">
        <v>416</v>
      </c>
      <c r="E94" s="19" t="s">
        <v>36</v>
      </c>
      <c r="F94" s="19" t="s">
        <v>36</v>
      </c>
      <c r="G94" s="19">
        <v>19</v>
      </c>
      <c r="H94" s="19" t="s">
        <v>126</v>
      </c>
      <c r="I94" s="19" t="s">
        <v>126</v>
      </c>
      <c r="J94" s="19" t="s">
        <v>126</v>
      </c>
      <c r="K94" s="19" t="s">
        <v>126</v>
      </c>
      <c r="L94" s="19" t="s">
        <v>126</v>
      </c>
      <c r="M94" s="19" t="s">
        <v>126</v>
      </c>
      <c r="N94" s="19" t="s">
        <v>126</v>
      </c>
      <c r="O94" s="19" t="s">
        <v>126</v>
      </c>
      <c r="P94" s="19" t="s">
        <v>126</v>
      </c>
      <c r="Q94" s="19" t="s">
        <v>126</v>
      </c>
      <c r="R94" s="19" t="s">
        <v>126</v>
      </c>
      <c r="S94" s="19" t="s">
        <v>126</v>
      </c>
      <c r="T94" s="19" t="s">
        <v>126</v>
      </c>
      <c r="U94" s="19" t="s">
        <v>126</v>
      </c>
      <c r="V94" s="19" t="e">
        <f t="shared" si="8"/>
        <v>#VALUE!</v>
      </c>
      <c r="W94" s="5" t="e">
        <f t="shared" si="9"/>
        <v>#VALUE!</v>
      </c>
      <c r="X94" t="e">
        <f t="shared" si="10"/>
        <v>#VALUE!</v>
      </c>
      <c r="Y94" s="5" t="e">
        <f t="shared" si="11"/>
        <v>#VALUE!</v>
      </c>
      <c r="Z94" t="e">
        <f t="shared" si="12"/>
        <v>#VALUE!</v>
      </c>
      <c r="AA94" t="e">
        <f t="shared" si="13"/>
        <v>#VALUE!</v>
      </c>
    </row>
    <row r="95" spans="1:27" ht="13.5" customHeight="1" thickBot="1" x14ac:dyDescent="0.35">
      <c r="A95">
        <f t="shared" si="7"/>
        <v>0</v>
      </c>
      <c r="B95" s="18">
        <v>169</v>
      </c>
      <c r="C95" s="11" t="s">
        <v>504</v>
      </c>
      <c r="D95" s="19" t="s">
        <v>416</v>
      </c>
      <c r="E95" s="19" t="s">
        <v>36</v>
      </c>
      <c r="F95" s="19" t="s">
        <v>36</v>
      </c>
      <c r="G95" s="19">
        <v>21</v>
      </c>
      <c r="H95" s="19" t="s">
        <v>126</v>
      </c>
      <c r="I95" s="19" t="s">
        <v>126</v>
      </c>
      <c r="J95" s="19" t="s">
        <v>126</v>
      </c>
      <c r="K95" s="19" t="s">
        <v>126</v>
      </c>
      <c r="L95" s="19" t="s">
        <v>126</v>
      </c>
      <c r="M95" s="19" t="s">
        <v>126</v>
      </c>
      <c r="N95" s="19" t="s">
        <v>126</v>
      </c>
      <c r="O95" s="19" t="s">
        <v>126</v>
      </c>
      <c r="P95" s="19" t="s">
        <v>126</v>
      </c>
      <c r="Q95" s="19" t="s">
        <v>126</v>
      </c>
      <c r="R95" s="19" t="s">
        <v>126</v>
      </c>
      <c r="S95" s="19" t="s">
        <v>126</v>
      </c>
      <c r="T95" s="19" t="s">
        <v>126</v>
      </c>
      <c r="U95" s="19" t="s">
        <v>126</v>
      </c>
      <c r="V95" s="19" t="e">
        <f t="shared" si="8"/>
        <v>#VALUE!</v>
      </c>
      <c r="W95" s="5" t="e">
        <f t="shared" si="9"/>
        <v>#VALUE!</v>
      </c>
      <c r="X95" t="e">
        <f t="shared" si="10"/>
        <v>#VALUE!</v>
      </c>
      <c r="Y95" s="5" t="e">
        <f t="shared" si="11"/>
        <v>#VALUE!</v>
      </c>
      <c r="Z95" t="e">
        <f t="shared" si="12"/>
        <v>#VALUE!</v>
      </c>
      <c r="AA95" t="e">
        <f t="shared" si="13"/>
        <v>#VALUE!</v>
      </c>
    </row>
    <row r="96" spans="1:27" ht="13.5" customHeight="1" thickBot="1" x14ac:dyDescent="0.35">
      <c r="A96">
        <f t="shared" si="7"/>
        <v>0</v>
      </c>
      <c r="B96" s="16">
        <v>170</v>
      </c>
      <c r="C96" s="10" t="s">
        <v>505</v>
      </c>
      <c r="D96" s="17" t="s">
        <v>416</v>
      </c>
      <c r="E96" s="17" t="s">
        <v>47</v>
      </c>
      <c r="F96" s="17" t="s">
        <v>47</v>
      </c>
      <c r="G96" s="17">
        <v>22</v>
      </c>
      <c r="H96" s="17" t="s">
        <v>126</v>
      </c>
      <c r="I96" s="17" t="s">
        <v>126</v>
      </c>
      <c r="J96" s="17" t="s">
        <v>126</v>
      </c>
      <c r="K96" s="17" t="s">
        <v>126</v>
      </c>
      <c r="L96" s="17" t="s">
        <v>126</v>
      </c>
      <c r="M96" s="17" t="s">
        <v>126</v>
      </c>
      <c r="N96" s="17" t="s">
        <v>126</v>
      </c>
      <c r="O96" s="17" t="s">
        <v>126</v>
      </c>
      <c r="P96" s="17" t="s">
        <v>126</v>
      </c>
      <c r="Q96" s="17" t="s">
        <v>126</v>
      </c>
      <c r="R96" s="17" t="s">
        <v>126</v>
      </c>
      <c r="S96" s="17" t="s">
        <v>126</v>
      </c>
      <c r="T96" s="17" t="s">
        <v>126</v>
      </c>
      <c r="U96" s="17" t="s">
        <v>126</v>
      </c>
      <c r="V96" s="17" t="e">
        <f t="shared" si="8"/>
        <v>#VALUE!</v>
      </c>
      <c r="W96" s="5" t="e">
        <f t="shared" si="9"/>
        <v>#VALUE!</v>
      </c>
      <c r="X96" t="e">
        <f t="shared" si="10"/>
        <v>#VALUE!</v>
      </c>
      <c r="Y96" s="5" t="e">
        <f t="shared" si="11"/>
        <v>#VALUE!</v>
      </c>
      <c r="Z96" t="e">
        <f t="shared" si="12"/>
        <v>#VALUE!</v>
      </c>
      <c r="AA96" t="e">
        <f t="shared" si="13"/>
        <v>#VALUE!</v>
      </c>
    </row>
    <row r="97" spans="1:27" ht="13.5" customHeight="1" thickBot="1" x14ac:dyDescent="0.35">
      <c r="A97">
        <f t="shared" si="7"/>
        <v>0</v>
      </c>
      <c r="B97" s="16">
        <v>171</v>
      </c>
      <c r="C97" s="10" t="s">
        <v>506</v>
      </c>
      <c r="D97" s="17" t="s">
        <v>416</v>
      </c>
      <c r="E97" s="17" t="s">
        <v>47</v>
      </c>
      <c r="F97" s="17" t="s">
        <v>47</v>
      </c>
      <c r="G97" s="17">
        <v>20</v>
      </c>
      <c r="H97" s="17" t="s">
        <v>126</v>
      </c>
      <c r="I97" s="17" t="s">
        <v>126</v>
      </c>
      <c r="J97" s="17" t="s">
        <v>126</v>
      </c>
      <c r="K97" s="17" t="s">
        <v>126</v>
      </c>
      <c r="L97" s="17" t="s">
        <v>126</v>
      </c>
      <c r="M97" s="17" t="s">
        <v>126</v>
      </c>
      <c r="N97" s="17" t="s">
        <v>126</v>
      </c>
      <c r="O97" s="17" t="s">
        <v>126</v>
      </c>
      <c r="P97" s="17" t="s">
        <v>126</v>
      </c>
      <c r="Q97" s="17" t="s">
        <v>126</v>
      </c>
      <c r="R97" s="17" t="s">
        <v>126</v>
      </c>
      <c r="S97" s="17" t="s">
        <v>126</v>
      </c>
      <c r="T97" s="17" t="s">
        <v>126</v>
      </c>
      <c r="U97" s="17" t="s">
        <v>126</v>
      </c>
      <c r="V97" s="17" t="e">
        <f t="shared" si="8"/>
        <v>#VALUE!</v>
      </c>
      <c r="W97" s="5" t="e">
        <f t="shared" si="9"/>
        <v>#VALUE!</v>
      </c>
      <c r="X97" t="e">
        <f t="shared" si="10"/>
        <v>#VALUE!</v>
      </c>
      <c r="Y97" s="5" t="e">
        <f t="shared" si="11"/>
        <v>#VALUE!</v>
      </c>
      <c r="Z97" t="e">
        <f t="shared" si="12"/>
        <v>#VALUE!</v>
      </c>
      <c r="AA97" t="e">
        <f t="shared" si="13"/>
        <v>#VALUE!</v>
      </c>
    </row>
    <row r="98" spans="1:27" ht="13.5" customHeight="1" thickBot="1" x14ac:dyDescent="0.35">
      <c r="A98">
        <f t="shared" si="7"/>
        <v>0</v>
      </c>
      <c r="B98" s="16">
        <v>172</v>
      </c>
      <c r="C98" s="10" t="s">
        <v>507</v>
      </c>
      <c r="D98" s="17" t="s">
        <v>416</v>
      </c>
      <c r="E98" s="17" t="s">
        <v>46</v>
      </c>
      <c r="F98" s="17" t="s">
        <v>47</v>
      </c>
      <c r="G98" s="17">
        <v>20</v>
      </c>
      <c r="H98" s="17" t="s">
        <v>126</v>
      </c>
      <c r="I98" s="17" t="s">
        <v>126</v>
      </c>
      <c r="J98" s="17" t="s">
        <v>126</v>
      </c>
      <c r="K98" s="17" t="s">
        <v>126</v>
      </c>
      <c r="L98" s="17" t="s">
        <v>126</v>
      </c>
      <c r="M98" s="17" t="s">
        <v>126</v>
      </c>
      <c r="N98" s="17" t="s">
        <v>126</v>
      </c>
      <c r="O98" s="17" t="s">
        <v>126</v>
      </c>
      <c r="P98" s="17" t="s">
        <v>126</v>
      </c>
      <c r="Q98" s="17" t="s">
        <v>126</v>
      </c>
      <c r="R98" s="17" t="s">
        <v>126</v>
      </c>
      <c r="S98" s="17" t="s">
        <v>126</v>
      </c>
      <c r="T98" s="17" t="s">
        <v>126</v>
      </c>
      <c r="U98" s="17" t="s">
        <v>126</v>
      </c>
      <c r="V98" s="17" t="e">
        <f t="shared" si="8"/>
        <v>#VALUE!</v>
      </c>
      <c r="W98" s="5" t="e">
        <f t="shared" si="9"/>
        <v>#VALUE!</v>
      </c>
      <c r="X98" t="e">
        <f t="shared" si="10"/>
        <v>#VALUE!</v>
      </c>
      <c r="Y98" s="5" t="e">
        <f t="shared" si="11"/>
        <v>#VALUE!</v>
      </c>
      <c r="Z98" t="e">
        <f t="shared" si="12"/>
        <v>#VALUE!</v>
      </c>
      <c r="AA98" t="e">
        <f t="shared" si="13"/>
        <v>#VALUE!</v>
      </c>
    </row>
    <row r="99" spans="1:27" ht="13.5" customHeight="1" thickBot="1" x14ac:dyDescent="0.35">
      <c r="A99">
        <f t="shared" si="7"/>
        <v>0</v>
      </c>
      <c r="B99" s="16">
        <v>173</v>
      </c>
      <c r="C99" s="10" t="s">
        <v>508</v>
      </c>
      <c r="D99" s="17" t="s">
        <v>416</v>
      </c>
      <c r="E99" s="17" t="s">
        <v>46</v>
      </c>
      <c r="F99" s="17" t="s">
        <v>47</v>
      </c>
      <c r="G99" s="17">
        <v>18</v>
      </c>
      <c r="H99" s="17" t="s">
        <v>126</v>
      </c>
      <c r="I99" s="17" t="s">
        <v>126</v>
      </c>
      <c r="J99" s="17" t="s">
        <v>126</v>
      </c>
      <c r="K99" s="17" t="s">
        <v>126</v>
      </c>
      <c r="L99" s="17" t="s">
        <v>126</v>
      </c>
      <c r="M99" s="17" t="s">
        <v>126</v>
      </c>
      <c r="N99" s="17" t="s">
        <v>126</v>
      </c>
      <c r="O99" s="17" t="s">
        <v>126</v>
      </c>
      <c r="P99" s="17" t="s">
        <v>126</v>
      </c>
      <c r="Q99" s="17" t="s">
        <v>126</v>
      </c>
      <c r="R99" s="17" t="s">
        <v>126</v>
      </c>
      <c r="S99" s="17" t="s">
        <v>126</v>
      </c>
      <c r="T99" s="17" t="s">
        <v>126</v>
      </c>
      <c r="U99" s="17" t="s">
        <v>126</v>
      </c>
      <c r="V99" s="17" t="e">
        <f t="shared" si="8"/>
        <v>#VALUE!</v>
      </c>
      <c r="W99" s="5" t="e">
        <f t="shared" si="9"/>
        <v>#VALUE!</v>
      </c>
      <c r="X99" t="e">
        <f t="shared" si="10"/>
        <v>#VALUE!</v>
      </c>
      <c r="Y99" s="5" t="e">
        <f t="shared" si="11"/>
        <v>#VALUE!</v>
      </c>
      <c r="Z99" t="e">
        <f t="shared" si="12"/>
        <v>#VALUE!</v>
      </c>
      <c r="AA99" t="e">
        <f t="shared" si="13"/>
        <v>#VALUE!</v>
      </c>
    </row>
    <row r="100" spans="1:27" ht="13.5" customHeight="1" thickBot="1" x14ac:dyDescent="0.35">
      <c r="A100">
        <f t="shared" si="7"/>
        <v>0</v>
      </c>
      <c r="B100" s="16">
        <v>174</v>
      </c>
      <c r="C100" s="10" t="s">
        <v>509</v>
      </c>
      <c r="D100" s="17" t="s">
        <v>416</v>
      </c>
      <c r="E100" s="17" t="s">
        <v>36</v>
      </c>
      <c r="F100" s="17" t="s">
        <v>36</v>
      </c>
      <c r="G100" s="17">
        <v>22</v>
      </c>
      <c r="H100" s="17" t="s">
        <v>126</v>
      </c>
      <c r="I100" s="17" t="s">
        <v>126</v>
      </c>
      <c r="J100" s="17" t="s">
        <v>126</v>
      </c>
      <c r="K100" s="17" t="s">
        <v>126</v>
      </c>
      <c r="L100" s="17" t="s">
        <v>126</v>
      </c>
      <c r="M100" s="17" t="s">
        <v>126</v>
      </c>
      <c r="N100" s="17" t="s">
        <v>126</v>
      </c>
      <c r="O100" s="17" t="s">
        <v>126</v>
      </c>
      <c r="P100" s="17" t="s">
        <v>126</v>
      </c>
      <c r="Q100" s="17" t="s">
        <v>126</v>
      </c>
      <c r="R100" s="17" t="s">
        <v>126</v>
      </c>
      <c r="S100" s="17" t="s">
        <v>126</v>
      </c>
      <c r="T100" s="17" t="s">
        <v>126</v>
      </c>
      <c r="U100" s="17" t="s">
        <v>126</v>
      </c>
      <c r="V100" s="17" t="e">
        <f t="shared" si="8"/>
        <v>#VALUE!</v>
      </c>
      <c r="W100" s="5" t="e">
        <f t="shared" si="9"/>
        <v>#VALUE!</v>
      </c>
      <c r="X100" t="e">
        <f t="shared" si="10"/>
        <v>#VALUE!</v>
      </c>
      <c r="Y100" s="5" t="e">
        <f t="shared" si="11"/>
        <v>#VALUE!</v>
      </c>
      <c r="Z100" t="e">
        <f t="shared" si="12"/>
        <v>#VALUE!</v>
      </c>
      <c r="AA100" t="e">
        <f t="shared" si="13"/>
        <v>#VALUE!</v>
      </c>
    </row>
    <row r="101" spans="1:27" ht="13.5" customHeight="1" thickBot="1" x14ac:dyDescent="0.35">
      <c r="A101">
        <f t="shared" si="7"/>
        <v>0</v>
      </c>
      <c r="B101" s="16">
        <v>175</v>
      </c>
      <c r="C101" s="10" t="s">
        <v>510</v>
      </c>
      <c r="D101" s="17" t="s">
        <v>416</v>
      </c>
      <c r="E101" s="17" t="s">
        <v>47</v>
      </c>
      <c r="F101" s="17" t="s">
        <v>47</v>
      </c>
      <c r="G101" s="17">
        <v>19</v>
      </c>
      <c r="H101" s="17" t="s">
        <v>126</v>
      </c>
      <c r="I101" s="17" t="s">
        <v>126</v>
      </c>
      <c r="J101" s="17" t="s">
        <v>126</v>
      </c>
      <c r="K101" s="17" t="s">
        <v>126</v>
      </c>
      <c r="L101" s="17" t="s">
        <v>126</v>
      </c>
      <c r="M101" s="17" t="s">
        <v>126</v>
      </c>
      <c r="N101" s="17" t="s">
        <v>126</v>
      </c>
      <c r="O101" s="17" t="s">
        <v>126</v>
      </c>
      <c r="P101" s="17" t="s">
        <v>126</v>
      </c>
      <c r="Q101" s="17" t="s">
        <v>126</v>
      </c>
      <c r="R101" s="17" t="s">
        <v>126</v>
      </c>
      <c r="S101" s="17" t="s">
        <v>126</v>
      </c>
      <c r="T101" s="17" t="s">
        <v>126</v>
      </c>
      <c r="U101" s="17" t="s">
        <v>126</v>
      </c>
      <c r="V101" s="17" t="e">
        <f t="shared" si="8"/>
        <v>#VALUE!</v>
      </c>
      <c r="W101" s="5" t="e">
        <f t="shared" si="9"/>
        <v>#VALUE!</v>
      </c>
      <c r="X101" t="e">
        <f t="shared" si="10"/>
        <v>#VALUE!</v>
      </c>
      <c r="Y101" s="5" t="e">
        <f t="shared" si="11"/>
        <v>#VALUE!</v>
      </c>
      <c r="Z101" t="e">
        <f t="shared" si="12"/>
        <v>#VALUE!</v>
      </c>
      <c r="AA101" t="e">
        <f t="shared" si="13"/>
        <v>#VALUE!</v>
      </c>
    </row>
    <row r="102" spans="1:27" ht="13.5" customHeight="1" thickBot="1" x14ac:dyDescent="0.35">
      <c r="A102">
        <f t="shared" si="7"/>
        <v>0</v>
      </c>
      <c r="B102" s="18">
        <v>176</v>
      </c>
      <c r="C102" s="11" t="s">
        <v>511</v>
      </c>
      <c r="D102" s="19" t="s">
        <v>416</v>
      </c>
      <c r="E102" s="19" t="s">
        <v>36</v>
      </c>
      <c r="F102" s="19" t="s">
        <v>36</v>
      </c>
      <c r="G102" s="19">
        <v>19</v>
      </c>
      <c r="H102" s="19" t="s">
        <v>126</v>
      </c>
      <c r="I102" s="19" t="s">
        <v>126</v>
      </c>
      <c r="J102" s="19" t="s">
        <v>126</v>
      </c>
      <c r="K102" s="19" t="s">
        <v>126</v>
      </c>
      <c r="L102" s="19" t="s">
        <v>126</v>
      </c>
      <c r="M102" s="19" t="s">
        <v>126</v>
      </c>
      <c r="N102" s="19" t="s">
        <v>126</v>
      </c>
      <c r="O102" s="19" t="s">
        <v>126</v>
      </c>
      <c r="P102" s="19" t="s">
        <v>126</v>
      </c>
      <c r="Q102" s="19" t="s">
        <v>126</v>
      </c>
      <c r="R102" s="19" t="s">
        <v>126</v>
      </c>
      <c r="S102" s="19" t="s">
        <v>126</v>
      </c>
      <c r="T102" s="19" t="s">
        <v>126</v>
      </c>
      <c r="U102" s="19" t="s">
        <v>126</v>
      </c>
      <c r="V102" s="19" t="e">
        <f t="shared" si="8"/>
        <v>#VALUE!</v>
      </c>
      <c r="W102" s="5" t="e">
        <f t="shared" si="9"/>
        <v>#VALUE!</v>
      </c>
      <c r="X102" t="e">
        <f t="shared" si="10"/>
        <v>#VALUE!</v>
      </c>
      <c r="Y102" s="5" t="e">
        <f t="shared" si="11"/>
        <v>#VALUE!</v>
      </c>
      <c r="Z102" t="e">
        <f t="shared" si="12"/>
        <v>#VALUE!</v>
      </c>
      <c r="AA102" t="e">
        <f t="shared" si="13"/>
        <v>#VALUE!</v>
      </c>
    </row>
    <row r="103" spans="1:27" ht="13.5" customHeight="1" thickBot="1" x14ac:dyDescent="0.35">
      <c r="A103">
        <f t="shared" si="7"/>
        <v>0</v>
      </c>
      <c r="B103" s="16">
        <v>177</v>
      </c>
      <c r="C103" s="10" t="s">
        <v>512</v>
      </c>
      <c r="D103" s="17" t="s">
        <v>416</v>
      </c>
      <c r="E103" s="17" t="s">
        <v>36</v>
      </c>
      <c r="F103" s="17" t="s">
        <v>36</v>
      </c>
      <c r="G103" s="17">
        <v>21</v>
      </c>
      <c r="H103" s="17" t="s">
        <v>126</v>
      </c>
      <c r="I103" s="17" t="s">
        <v>126</v>
      </c>
      <c r="J103" s="17" t="s">
        <v>126</v>
      </c>
      <c r="K103" s="17" t="s">
        <v>126</v>
      </c>
      <c r="L103" s="17" t="s">
        <v>126</v>
      </c>
      <c r="M103" s="17" t="s">
        <v>126</v>
      </c>
      <c r="N103" s="17" t="s">
        <v>126</v>
      </c>
      <c r="O103" s="17" t="s">
        <v>126</v>
      </c>
      <c r="P103" s="17" t="s">
        <v>126</v>
      </c>
      <c r="Q103" s="17" t="s">
        <v>126</v>
      </c>
      <c r="R103" s="17" t="s">
        <v>126</v>
      </c>
      <c r="S103" s="17" t="s">
        <v>126</v>
      </c>
      <c r="T103" s="17" t="s">
        <v>126</v>
      </c>
      <c r="U103" s="17" t="s">
        <v>126</v>
      </c>
      <c r="V103" s="17" t="e">
        <f t="shared" si="8"/>
        <v>#VALUE!</v>
      </c>
      <c r="W103" s="5" t="e">
        <f t="shared" si="9"/>
        <v>#VALUE!</v>
      </c>
      <c r="X103" t="e">
        <f t="shared" si="10"/>
        <v>#VALUE!</v>
      </c>
      <c r="Y103" s="5" t="e">
        <f t="shared" si="11"/>
        <v>#VALUE!</v>
      </c>
      <c r="Z103" t="e">
        <f t="shared" si="12"/>
        <v>#VALUE!</v>
      </c>
      <c r="AA103" t="e">
        <f t="shared" si="13"/>
        <v>#VALUE!</v>
      </c>
    </row>
    <row r="104" spans="1:27" ht="13.5" customHeight="1" thickBot="1" x14ac:dyDescent="0.35">
      <c r="A104">
        <f t="shared" si="7"/>
        <v>0</v>
      </c>
      <c r="B104" s="18">
        <v>178</v>
      </c>
      <c r="C104" s="11" t="s">
        <v>513</v>
      </c>
      <c r="D104" s="19" t="s">
        <v>416</v>
      </c>
      <c r="E104" s="19" t="s">
        <v>46</v>
      </c>
      <c r="F104" s="19" t="s">
        <v>47</v>
      </c>
      <c r="G104" s="19">
        <v>19</v>
      </c>
      <c r="H104" s="19" t="s">
        <v>126</v>
      </c>
      <c r="I104" s="19" t="s">
        <v>126</v>
      </c>
      <c r="J104" s="19" t="s">
        <v>126</v>
      </c>
      <c r="K104" s="19" t="s">
        <v>126</v>
      </c>
      <c r="L104" s="19" t="s">
        <v>126</v>
      </c>
      <c r="M104" s="19" t="s">
        <v>126</v>
      </c>
      <c r="N104" s="19" t="s">
        <v>126</v>
      </c>
      <c r="O104" s="19" t="s">
        <v>126</v>
      </c>
      <c r="P104" s="19" t="s">
        <v>126</v>
      </c>
      <c r="Q104" s="19" t="s">
        <v>126</v>
      </c>
      <c r="R104" s="19" t="s">
        <v>126</v>
      </c>
      <c r="S104" s="19" t="s">
        <v>126</v>
      </c>
      <c r="T104" s="19" t="s">
        <v>126</v>
      </c>
      <c r="U104" s="19" t="s">
        <v>126</v>
      </c>
      <c r="V104" s="19" t="e">
        <f t="shared" si="8"/>
        <v>#VALUE!</v>
      </c>
      <c r="W104" s="5" t="e">
        <f t="shared" si="9"/>
        <v>#VALUE!</v>
      </c>
      <c r="X104" t="e">
        <f t="shared" si="10"/>
        <v>#VALUE!</v>
      </c>
      <c r="Y104" s="5" t="e">
        <f t="shared" si="11"/>
        <v>#VALUE!</v>
      </c>
      <c r="Z104" t="e">
        <f t="shared" si="12"/>
        <v>#VALUE!</v>
      </c>
      <c r="AA104" t="e">
        <f t="shared" si="13"/>
        <v>#VALUE!</v>
      </c>
    </row>
    <row r="105" spans="1:27" ht="13.5" customHeight="1" thickBot="1" x14ac:dyDescent="0.35">
      <c r="A105">
        <f t="shared" si="7"/>
        <v>0</v>
      </c>
      <c r="B105" s="18">
        <v>179</v>
      </c>
      <c r="C105" s="11" t="s">
        <v>514</v>
      </c>
      <c r="D105" s="19" t="s">
        <v>416</v>
      </c>
      <c r="E105" s="19" t="s">
        <v>36</v>
      </c>
      <c r="F105" s="19" t="s">
        <v>36</v>
      </c>
      <c r="G105" s="19">
        <v>19</v>
      </c>
      <c r="H105" s="19" t="s">
        <v>126</v>
      </c>
      <c r="I105" s="19" t="s">
        <v>126</v>
      </c>
      <c r="J105" s="19" t="s">
        <v>126</v>
      </c>
      <c r="K105" s="19" t="s">
        <v>126</v>
      </c>
      <c r="L105" s="19" t="s">
        <v>126</v>
      </c>
      <c r="M105" s="19" t="s">
        <v>126</v>
      </c>
      <c r="N105" s="19" t="s">
        <v>126</v>
      </c>
      <c r="O105" s="19" t="s">
        <v>126</v>
      </c>
      <c r="P105" s="19" t="s">
        <v>126</v>
      </c>
      <c r="Q105" s="19" t="s">
        <v>126</v>
      </c>
      <c r="R105" s="19" t="s">
        <v>126</v>
      </c>
      <c r="S105" s="19" t="s">
        <v>126</v>
      </c>
      <c r="T105" s="19" t="s">
        <v>126</v>
      </c>
      <c r="U105" s="19" t="s">
        <v>126</v>
      </c>
      <c r="V105" s="19" t="e">
        <f t="shared" si="8"/>
        <v>#VALUE!</v>
      </c>
      <c r="W105" s="5" t="e">
        <f t="shared" si="9"/>
        <v>#VALUE!</v>
      </c>
      <c r="X105" t="e">
        <f t="shared" si="10"/>
        <v>#VALUE!</v>
      </c>
      <c r="Y105" s="5" t="e">
        <f t="shared" si="11"/>
        <v>#VALUE!</v>
      </c>
      <c r="Z105" t="e">
        <f t="shared" si="12"/>
        <v>#VALUE!</v>
      </c>
      <c r="AA105" t="e">
        <f t="shared" si="13"/>
        <v>#VALUE!</v>
      </c>
    </row>
    <row r="106" spans="1:27" ht="13.5" customHeight="1" thickBot="1" x14ac:dyDescent="0.35">
      <c r="A106">
        <f t="shared" si="7"/>
        <v>0</v>
      </c>
      <c r="B106" s="18">
        <v>180</v>
      </c>
      <c r="C106" s="11" t="s">
        <v>515</v>
      </c>
      <c r="D106" s="19" t="s">
        <v>416</v>
      </c>
      <c r="E106" s="19" t="s">
        <v>46</v>
      </c>
      <c r="F106" s="19" t="s">
        <v>47</v>
      </c>
      <c r="G106" s="19">
        <v>22</v>
      </c>
      <c r="H106" s="19" t="s">
        <v>126</v>
      </c>
      <c r="I106" s="19" t="s">
        <v>126</v>
      </c>
      <c r="J106" s="19" t="s">
        <v>126</v>
      </c>
      <c r="K106" s="19" t="s">
        <v>126</v>
      </c>
      <c r="L106" s="19" t="s">
        <v>126</v>
      </c>
      <c r="M106" s="19" t="s">
        <v>126</v>
      </c>
      <c r="N106" s="19" t="s">
        <v>126</v>
      </c>
      <c r="O106" s="19" t="s">
        <v>126</v>
      </c>
      <c r="P106" s="19" t="s">
        <v>126</v>
      </c>
      <c r="Q106" s="19" t="s">
        <v>126</v>
      </c>
      <c r="R106" s="19" t="s">
        <v>126</v>
      </c>
      <c r="S106" s="19" t="s">
        <v>126</v>
      </c>
      <c r="T106" s="19" t="s">
        <v>126</v>
      </c>
      <c r="U106" s="19" t="s">
        <v>126</v>
      </c>
      <c r="V106" s="19" t="e">
        <f t="shared" si="8"/>
        <v>#VALUE!</v>
      </c>
      <c r="W106" s="5" t="e">
        <f t="shared" si="9"/>
        <v>#VALUE!</v>
      </c>
      <c r="X106" t="e">
        <f t="shared" si="10"/>
        <v>#VALUE!</v>
      </c>
      <c r="Y106" s="5" t="e">
        <f t="shared" si="11"/>
        <v>#VALUE!</v>
      </c>
      <c r="Z106" t="e">
        <f t="shared" si="12"/>
        <v>#VALUE!</v>
      </c>
      <c r="AA106" t="e">
        <f t="shared" si="13"/>
        <v>#VALUE!</v>
      </c>
    </row>
    <row r="107" spans="1:27" ht="13.5" customHeight="1" thickBot="1" x14ac:dyDescent="0.35">
      <c r="A107">
        <f t="shared" si="7"/>
        <v>0</v>
      </c>
      <c r="B107" s="18">
        <v>181</v>
      </c>
      <c r="C107" s="11" t="s">
        <v>516</v>
      </c>
      <c r="D107" s="19" t="s">
        <v>416</v>
      </c>
      <c r="E107" s="19" t="s">
        <v>36</v>
      </c>
      <c r="F107" s="19" t="s">
        <v>36</v>
      </c>
      <c r="G107" s="19">
        <v>21</v>
      </c>
      <c r="H107" s="19" t="s">
        <v>126</v>
      </c>
      <c r="I107" s="19" t="s">
        <v>126</v>
      </c>
      <c r="J107" s="19" t="s">
        <v>126</v>
      </c>
      <c r="K107" s="19" t="s">
        <v>126</v>
      </c>
      <c r="L107" s="19" t="s">
        <v>126</v>
      </c>
      <c r="M107" s="19" t="s">
        <v>126</v>
      </c>
      <c r="N107" s="19" t="s">
        <v>126</v>
      </c>
      <c r="O107" s="19" t="s">
        <v>126</v>
      </c>
      <c r="P107" s="19" t="s">
        <v>126</v>
      </c>
      <c r="Q107" s="19" t="s">
        <v>126</v>
      </c>
      <c r="R107" s="19" t="s">
        <v>126</v>
      </c>
      <c r="S107" s="19" t="s">
        <v>126</v>
      </c>
      <c r="T107" s="19" t="s">
        <v>126</v>
      </c>
      <c r="U107" s="19" t="s">
        <v>126</v>
      </c>
      <c r="V107" s="19" t="e">
        <f t="shared" si="8"/>
        <v>#VALUE!</v>
      </c>
      <c r="W107" s="5" t="e">
        <f t="shared" si="9"/>
        <v>#VALUE!</v>
      </c>
      <c r="X107" t="e">
        <f t="shared" si="10"/>
        <v>#VALUE!</v>
      </c>
      <c r="Y107" s="5" t="e">
        <f t="shared" si="11"/>
        <v>#VALUE!</v>
      </c>
      <c r="Z107" t="e">
        <f t="shared" si="12"/>
        <v>#VALUE!</v>
      </c>
      <c r="AA107" t="e">
        <f t="shared" si="13"/>
        <v>#VALUE!</v>
      </c>
    </row>
    <row r="108" spans="1:27" ht="13.5" customHeight="1" thickBot="1" x14ac:dyDescent="0.35">
      <c r="A108">
        <f t="shared" si="7"/>
        <v>0</v>
      </c>
      <c r="B108" s="16">
        <v>182</v>
      </c>
      <c r="C108" s="10" t="s">
        <v>517</v>
      </c>
      <c r="D108" s="17" t="s">
        <v>416</v>
      </c>
      <c r="E108" s="17" t="s">
        <v>36</v>
      </c>
      <c r="F108" s="17" t="s">
        <v>36</v>
      </c>
      <c r="G108" s="17">
        <v>22</v>
      </c>
      <c r="H108" s="17" t="s">
        <v>126</v>
      </c>
      <c r="I108" s="17" t="s">
        <v>126</v>
      </c>
      <c r="J108" s="17" t="s">
        <v>126</v>
      </c>
      <c r="K108" s="17" t="s">
        <v>126</v>
      </c>
      <c r="L108" s="17" t="s">
        <v>126</v>
      </c>
      <c r="M108" s="17" t="s">
        <v>126</v>
      </c>
      <c r="N108" s="17" t="s">
        <v>126</v>
      </c>
      <c r="O108" s="17" t="s">
        <v>126</v>
      </c>
      <c r="P108" s="17" t="s">
        <v>126</v>
      </c>
      <c r="Q108" s="17" t="s">
        <v>126</v>
      </c>
      <c r="R108" s="17" t="s">
        <v>126</v>
      </c>
      <c r="S108" s="17" t="s">
        <v>126</v>
      </c>
      <c r="T108" s="17" t="s">
        <v>126</v>
      </c>
      <c r="U108" s="17" t="s">
        <v>126</v>
      </c>
      <c r="V108" s="17" t="e">
        <f t="shared" si="8"/>
        <v>#VALUE!</v>
      </c>
      <c r="W108" s="5" t="e">
        <f t="shared" si="9"/>
        <v>#VALUE!</v>
      </c>
      <c r="X108" t="e">
        <f t="shared" si="10"/>
        <v>#VALUE!</v>
      </c>
      <c r="Y108" s="5" t="e">
        <f t="shared" si="11"/>
        <v>#VALUE!</v>
      </c>
      <c r="Z108" t="e">
        <f t="shared" si="12"/>
        <v>#VALUE!</v>
      </c>
      <c r="AA108" t="e">
        <f t="shared" si="13"/>
        <v>#VALUE!</v>
      </c>
    </row>
    <row r="109" spans="1:27" ht="13.5" customHeight="1" thickBot="1" x14ac:dyDescent="0.35">
      <c r="A109">
        <f t="shared" si="7"/>
        <v>0</v>
      </c>
      <c r="B109" s="16">
        <v>183</v>
      </c>
      <c r="C109" s="10" t="s">
        <v>518</v>
      </c>
      <c r="D109" s="17" t="s">
        <v>416</v>
      </c>
      <c r="E109" s="17" t="s">
        <v>36</v>
      </c>
      <c r="F109" s="17" t="s">
        <v>36</v>
      </c>
      <c r="G109" s="17">
        <v>19</v>
      </c>
      <c r="H109" s="17" t="s">
        <v>126</v>
      </c>
      <c r="I109" s="17" t="s">
        <v>126</v>
      </c>
      <c r="J109" s="17" t="s">
        <v>126</v>
      </c>
      <c r="K109" s="17" t="s">
        <v>126</v>
      </c>
      <c r="L109" s="17" t="s">
        <v>126</v>
      </c>
      <c r="M109" s="17" t="s">
        <v>126</v>
      </c>
      <c r="N109" s="17" t="s">
        <v>126</v>
      </c>
      <c r="O109" s="17" t="s">
        <v>126</v>
      </c>
      <c r="P109" s="17" t="s">
        <v>126</v>
      </c>
      <c r="Q109" s="17" t="s">
        <v>126</v>
      </c>
      <c r="R109" s="17" t="s">
        <v>126</v>
      </c>
      <c r="S109" s="17" t="s">
        <v>126</v>
      </c>
      <c r="T109" s="17" t="s">
        <v>126</v>
      </c>
      <c r="U109" s="17" t="s">
        <v>126</v>
      </c>
      <c r="V109" s="17" t="e">
        <f t="shared" si="8"/>
        <v>#VALUE!</v>
      </c>
      <c r="W109" s="5" t="e">
        <f t="shared" si="9"/>
        <v>#VALUE!</v>
      </c>
      <c r="X109" t="e">
        <f t="shared" si="10"/>
        <v>#VALUE!</v>
      </c>
      <c r="Y109" s="5" t="e">
        <f t="shared" si="11"/>
        <v>#VALUE!</v>
      </c>
      <c r="Z109" t="e">
        <f t="shared" si="12"/>
        <v>#VALUE!</v>
      </c>
      <c r="AA109" t="e">
        <f t="shared" si="13"/>
        <v>#VALUE!</v>
      </c>
    </row>
    <row r="110" spans="1:27" ht="13.5" customHeight="1" thickBot="1" x14ac:dyDescent="0.35">
      <c r="A110">
        <f t="shared" si="7"/>
        <v>0</v>
      </c>
      <c r="B110" s="18">
        <v>184</v>
      </c>
      <c r="C110" s="11" t="s">
        <v>519</v>
      </c>
      <c r="D110" s="19" t="s">
        <v>416</v>
      </c>
      <c r="E110" s="19" t="s">
        <v>47</v>
      </c>
      <c r="F110" s="19" t="s">
        <v>47</v>
      </c>
      <c r="G110" s="19">
        <v>20</v>
      </c>
      <c r="H110" s="19" t="s">
        <v>126</v>
      </c>
      <c r="I110" s="19" t="s">
        <v>126</v>
      </c>
      <c r="J110" s="19" t="s">
        <v>126</v>
      </c>
      <c r="K110" s="19" t="s">
        <v>126</v>
      </c>
      <c r="L110" s="19" t="s">
        <v>126</v>
      </c>
      <c r="M110" s="19" t="s">
        <v>126</v>
      </c>
      <c r="N110" s="19" t="s">
        <v>126</v>
      </c>
      <c r="O110" s="19" t="s">
        <v>126</v>
      </c>
      <c r="P110" s="19" t="s">
        <v>126</v>
      </c>
      <c r="Q110" s="19" t="s">
        <v>126</v>
      </c>
      <c r="R110" s="19" t="s">
        <v>126</v>
      </c>
      <c r="S110" s="19" t="s">
        <v>126</v>
      </c>
      <c r="T110" s="19" t="s">
        <v>126</v>
      </c>
      <c r="U110" s="19" t="s">
        <v>126</v>
      </c>
      <c r="V110" s="19" t="e">
        <f t="shared" si="8"/>
        <v>#VALUE!</v>
      </c>
      <c r="W110" s="5" t="e">
        <f t="shared" si="9"/>
        <v>#VALUE!</v>
      </c>
      <c r="X110" t="e">
        <f t="shared" si="10"/>
        <v>#VALUE!</v>
      </c>
      <c r="Y110" s="5" t="e">
        <f t="shared" si="11"/>
        <v>#VALUE!</v>
      </c>
      <c r="Z110" t="e">
        <f t="shared" si="12"/>
        <v>#VALUE!</v>
      </c>
      <c r="AA110" t="e">
        <f t="shared" si="13"/>
        <v>#VALUE!</v>
      </c>
    </row>
    <row r="111" spans="1:27" ht="13.5" customHeight="1" thickBot="1" x14ac:dyDescent="0.35">
      <c r="A111">
        <f t="shared" si="7"/>
        <v>0</v>
      </c>
      <c r="B111" s="18">
        <v>185</v>
      </c>
      <c r="C111" s="11" t="s">
        <v>520</v>
      </c>
      <c r="D111" s="19" t="s">
        <v>416</v>
      </c>
      <c r="E111" s="19" t="s">
        <v>46</v>
      </c>
      <c r="F111" s="19" t="s">
        <v>47</v>
      </c>
      <c r="G111" s="19">
        <v>21</v>
      </c>
      <c r="H111" s="19" t="s">
        <v>126</v>
      </c>
      <c r="I111" s="19" t="s">
        <v>126</v>
      </c>
      <c r="J111" s="19" t="s">
        <v>126</v>
      </c>
      <c r="K111" s="19" t="s">
        <v>126</v>
      </c>
      <c r="L111" s="19" t="s">
        <v>126</v>
      </c>
      <c r="M111" s="19" t="s">
        <v>126</v>
      </c>
      <c r="N111" s="19" t="s">
        <v>126</v>
      </c>
      <c r="O111" s="19" t="s">
        <v>126</v>
      </c>
      <c r="P111" s="19" t="s">
        <v>126</v>
      </c>
      <c r="Q111" s="19" t="s">
        <v>126</v>
      </c>
      <c r="R111" s="19" t="s">
        <v>126</v>
      </c>
      <c r="S111" s="19" t="s">
        <v>126</v>
      </c>
      <c r="T111" s="19" t="s">
        <v>126</v>
      </c>
      <c r="U111" s="19" t="s">
        <v>126</v>
      </c>
      <c r="V111" s="19" t="e">
        <f t="shared" si="8"/>
        <v>#VALUE!</v>
      </c>
      <c r="W111" s="5" t="e">
        <f t="shared" si="9"/>
        <v>#VALUE!</v>
      </c>
      <c r="X111" t="e">
        <f t="shared" si="10"/>
        <v>#VALUE!</v>
      </c>
      <c r="Y111" s="5" t="e">
        <f t="shared" si="11"/>
        <v>#VALUE!</v>
      </c>
      <c r="Z111" t="e">
        <f t="shared" si="12"/>
        <v>#VALUE!</v>
      </c>
      <c r="AA111" t="e">
        <f t="shared" si="13"/>
        <v>#VALUE!</v>
      </c>
    </row>
    <row r="112" spans="1:27" ht="13.5" customHeight="1" thickBot="1" x14ac:dyDescent="0.35">
      <c r="A112">
        <f t="shared" si="7"/>
        <v>0</v>
      </c>
      <c r="B112" s="16">
        <v>186</v>
      </c>
      <c r="C112" s="10" t="s">
        <v>521</v>
      </c>
      <c r="D112" s="17" t="s">
        <v>416</v>
      </c>
      <c r="E112" s="17" t="s">
        <v>47</v>
      </c>
      <c r="F112" s="17" t="s">
        <v>47</v>
      </c>
      <c r="G112" s="17">
        <v>18</v>
      </c>
      <c r="H112" s="17" t="s">
        <v>126</v>
      </c>
      <c r="I112" s="17" t="s">
        <v>126</v>
      </c>
      <c r="J112" s="17" t="s">
        <v>126</v>
      </c>
      <c r="K112" s="17" t="s">
        <v>126</v>
      </c>
      <c r="L112" s="17" t="s">
        <v>126</v>
      </c>
      <c r="M112" s="17" t="s">
        <v>126</v>
      </c>
      <c r="N112" s="17" t="s">
        <v>126</v>
      </c>
      <c r="O112" s="17" t="s">
        <v>126</v>
      </c>
      <c r="P112" s="17" t="s">
        <v>126</v>
      </c>
      <c r="Q112" s="17" t="s">
        <v>126</v>
      </c>
      <c r="R112" s="17" t="s">
        <v>126</v>
      </c>
      <c r="S112" s="17" t="s">
        <v>126</v>
      </c>
      <c r="T112" s="17" t="s">
        <v>126</v>
      </c>
      <c r="U112" s="17" t="s">
        <v>126</v>
      </c>
      <c r="V112" s="17" t="e">
        <f t="shared" si="8"/>
        <v>#VALUE!</v>
      </c>
      <c r="W112" s="5" t="e">
        <f t="shared" si="9"/>
        <v>#VALUE!</v>
      </c>
      <c r="X112" t="e">
        <f t="shared" si="10"/>
        <v>#VALUE!</v>
      </c>
      <c r="Y112" s="5" t="e">
        <f t="shared" si="11"/>
        <v>#VALUE!</v>
      </c>
      <c r="Z112" t="e">
        <f t="shared" si="12"/>
        <v>#VALUE!</v>
      </c>
      <c r="AA112" t="e">
        <f t="shared" si="13"/>
        <v>#VALUE!</v>
      </c>
    </row>
    <row r="113" spans="1:27" ht="13.5" customHeight="1" thickBot="1" x14ac:dyDescent="0.35">
      <c r="A113">
        <f t="shared" si="7"/>
        <v>0</v>
      </c>
      <c r="B113" s="16">
        <v>187</v>
      </c>
      <c r="C113" s="10" t="s">
        <v>522</v>
      </c>
      <c r="D113" s="17" t="s">
        <v>416</v>
      </c>
      <c r="E113" s="17" t="s">
        <v>36</v>
      </c>
      <c r="F113" s="17" t="s">
        <v>36</v>
      </c>
      <c r="G113" s="17">
        <v>22</v>
      </c>
      <c r="H113" s="17" t="s">
        <v>126</v>
      </c>
      <c r="I113" s="17" t="s">
        <v>126</v>
      </c>
      <c r="J113" s="17" t="s">
        <v>126</v>
      </c>
      <c r="K113" s="17" t="s">
        <v>126</v>
      </c>
      <c r="L113" s="17" t="s">
        <v>126</v>
      </c>
      <c r="M113" s="17" t="s">
        <v>126</v>
      </c>
      <c r="N113" s="17" t="s">
        <v>126</v>
      </c>
      <c r="O113" s="17" t="s">
        <v>126</v>
      </c>
      <c r="P113" s="17" t="s">
        <v>126</v>
      </c>
      <c r="Q113" s="17" t="s">
        <v>126</v>
      </c>
      <c r="R113" s="17" t="s">
        <v>126</v>
      </c>
      <c r="S113" s="17" t="s">
        <v>126</v>
      </c>
      <c r="T113" s="17" t="s">
        <v>126</v>
      </c>
      <c r="U113" s="17" t="s">
        <v>126</v>
      </c>
      <c r="V113" s="17" t="e">
        <f t="shared" si="8"/>
        <v>#VALUE!</v>
      </c>
      <c r="W113" s="5" t="e">
        <f t="shared" si="9"/>
        <v>#VALUE!</v>
      </c>
      <c r="X113" t="e">
        <f t="shared" si="10"/>
        <v>#VALUE!</v>
      </c>
      <c r="Y113" s="5" t="e">
        <f t="shared" si="11"/>
        <v>#VALUE!</v>
      </c>
      <c r="Z113" t="e">
        <f t="shared" si="12"/>
        <v>#VALUE!</v>
      </c>
      <c r="AA113" t="e">
        <f t="shared" si="13"/>
        <v>#VALUE!</v>
      </c>
    </row>
    <row r="114" spans="1:27" ht="13.5" customHeight="1" thickBot="1" x14ac:dyDescent="0.35">
      <c r="A114">
        <f t="shared" si="7"/>
        <v>0</v>
      </c>
      <c r="B114" s="18">
        <v>188</v>
      </c>
      <c r="C114" s="11" t="s">
        <v>523</v>
      </c>
      <c r="D114" s="19" t="s">
        <v>416</v>
      </c>
      <c r="E114" s="19" t="s">
        <v>47</v>
      </c>
      <c r="F114" s="19" t="s">
        <v>47</v>
      </c>
      <c r="G114" s="19">
        <v>21</v>
      </c>
      <c r="H114" s="19" t="s">
        <v>126</v>
      </c>
      <c r="I114" s="19" t="s">
        <v>126</v>
      </c>
      <c r="J114" s="19" t="s">
        <v>126</v>
      </c>
      <c r="K114" s="19" t="s">
        <v>126</v>
      </c>
      <c r="L114" s="19" t="s">
        <v>126</v>
      </c>
      <c r="M114" s="19" t="s">
        <v>126</v>
      </c>
      <c r="N114" s="19" t="s">
        <v>126</v>
      </c>
      <c r="O114" s="19" t="s">
        <v>126</v>
      </c>
      <c r="P114" s="19" t="s">
        <v>126</v>
      </c>
      <c r="Q114" s="19" t="s">
        <v>126</v>
      </c>
      <c r="R114" s="19" t="s">
        <v>126</v>
      </c>
      <c r="S114" s="19" t="s">
        <v>126</v>
      </c>
      <c r="T114" s="19" t="s">
        <v>126</v>
      </c>
      <c r="U114" s="19" t="s">
        <v>126</v>
      </c>
      <c r="V114" s="19" t="e">
        <f t="shared" si="8"/>
        <v>#VALUE!</v>
      </c>
      <c r="W114" s="5" t="e">
        <f t="shared" si="9"/>
        <v>#VALUE!</v>
      </c>
      <c r="X114" t="e">
        <f t="shared" si="10"/>
        <v>#VALUE!</v>
      </c>
      <c r="Y114" s="5" t="e">
        <f t="shared" si="11"/>
        <v>#VALUE!</v>
      </c>
      <c r="Z114" t="e">
        <f t="shared" si="12"/>
        <v>#VALUE!</v>
      </c>
      <c r="AA114" t="e">
        <f t="shared" si="13"/>
        <v>#VALUE!</v>
      </c>
    </row>
    <row r="115" spans="1:27" ht="13.5" customHeight="1" thickBot="1" x14ac:dyDescent="0.35">
      <c r="A115">
        <f t="shared" si="7"/>
        <v>0</v>
      </c>
      <c r="B115" s="18">
        <v>189</v>
      </c>
      <c r="C115" s="11" t="s">
        <v>524</v>
      </c>
      <c r="D115" s="19" t="s">
        <v>416</v>
      </c>
      <c r="E115" s="19" t="s">
        <v>36</v>
      </c>
      <c r="F115" s="19" t="s">
        <v>36</v>
      </c>
      <c r="G115" s="19">
        <v>20</v>
      </c>
      <c r="H115" s="19" t="s">
        <v>126</v>
      </c>
      <c r="I115" s="19" t="s">
        <v>126</v>
      </c>
      <c r="J115" s="19" t="s">
        <v>126</v>
      </c>
      <c r="K115" s="19" t="s">
        <v>126</v>
      </c>
      <c r="L115" s="19" t="s">
        <v>126</v>
      </c>
      <c r="M115" s="19" t="s">
        <v>126</v>
      </c>
      <c r="N115" s="19" t="s">
        <v>126</v>
      </c>
      <c r="O115" s="19" t="s">
        <v>126</v>
      </c>
      <c r="P115" s="19" t="s">
        <v>126</v>
      </c>
      <c r="Q115" s="19" t="s">
        <v>126</v>
      </c>
      <c r="R115" s="19" t="s">
        <v>126</v>
      </c>
      <c r="S115" s="19" t="s">
        <v>126</v>
      </c>
      <c r="T115" s="19" t="s">
        <v>126</v>
      </c>
      <c r="U115" s="19" t="s">
        <v>126</v>
      </c>
      <c r="V115" s="19" t="e">
        <f t="shared" si="8"/>
        <v>#VALUE!</v>
      </c>
      <c r="W115" s="5" t="e">
        <f t="shared" si="9"/>
        <v>#VALUE!</v>
      </c>
      <c r="X115" t="e">
        <f t="shared" si="10"/>
        <v>#VALUE!</v>
      </c>
      <c r="Y115" s="5" t="e">
        <f t="shared" si="11"/>
        <v>#VALUE!</v>
      </c>
      <c r="Z115" t="e">
        <f t="shared" si="12"/>
        <v>#VALUE!</v>
      </c>
      <c r="AA115" t="e">
        <f t="shared" si="13"/>
        <v>#VALUE!</v>
      </c>
    </row>
    <row r="116" spans="1:27" ht="13.5" customHeight="1" thickBot="1" x14ac:dyDescent="0.35">
      <c r="A116">
        <f t="shared" si="7"/>
        <v>0</v>
      </c>
      <c r="B116" s="18">
        <v>190</v>
      </c>
      <c r="C116" s="11" t="s">
        <v>525</v>
      </c>
      <c r="D116" s="19" t="s">
        <v>416</v>
      </c>
      <c r="E116" s="19" t="s">
        <v>46</v>
      </c>
      <c r="F116" s="19" t="s">
        <v>36</v>
      </c>
      <c r="G116" s="19">
        <v>21</v>
      </c>
      <c r="H116" s="19" t="s">
        <v>126</v>
      </c>
      <c r="I116" s="19" t="s">
        <v>126</v>
      </c>
      <c r="J116" s="19" t="s">
        <v>126</v>
      </c>
      <c r="K116" s="19" t="s">
        <v>126</v>
      </c>
      <c r="L116" s="19" t="s">
        <v>126</v>
      </c>
      <c r="M116" s="19" t="s">
        <v>126</v>
      </c>
      <c r="N116" s="19" t="s">
        <v>126</v>
      </c>
      <c r="O116" s="19" t="s">
        <v>126</v>
      </c>
      <c r="P116" s="19" t="s">
        <v>126</v>
      </c>
      <c r="Q116" s="19" t="s">
        <v>126</v>
      </c>
      <c r="R116" s="19" t="s">
        <v>126</v>
      </c>
      <c r="S116" s="19" t="s">
        <v>126</v>
      </c>
      <c r="T116" s="19" t="s">
        <v>126</v>
      </c>
      <c r="U116" s="19" t="s">
        <v>126</v>
      </c>
      <c r="V116" s="19" t="e">
        <f t="shared" si="8"/>
        <v>#VALUE!</v>
      </c>
      <c r="W116" s="5" t="e">
        <f t="shared" si="9"/>
        <v>#VALUE!</v>
      </c>
      <c r="X116" t="e">
        <f t="shared" si="10"/>
        <v>#VALUE!</v>
      </c>
      <c r="Y116" s="5" t="e">
        <f t="shared" si="11"/>
        <v>#VALUE!</v>
      </c>
      <c r="Z116" t="e">
        <f t="shared" si="12"/>
        <v>#VALUE!</v>
      </c>
      <c r="AA116" t="e">
        <f t="shared" si="13"/>
        <v>#VALUE!</v>
      </c>
    </row>
    <row r="117" spans="1:27" ht="13.5" customHeight="1" thickBot="1" x14ac:dyDescent="0.35">
      <c r="A117">
        <f t="shared" si="7"/>
        <v>0</v>
      </c>
      <c r="B117" s="16">
        <v>191</v>
      </c>
      <c r="C117" s="10" t="s">
        <v>526</v>
      </c>
      <c r="D117" s="17" t="s">
        <v>416</v>
      </c>
      <c r="E117" s="17" t="s">
        <v>36</v>
      </c>
      <c r="F117" s="17" t="s">
        <v>36</v>
      </c>
      <c r="G117" s="17">
        <v>20</v>
      </c>
      <c r="H117" s="17" t="s">
        <v>126</v>
      </c>
      <c r="I117" s="17" t="s">
        <v>126</v>
      </c>
      <c r="J117" s="17" t="s">
        <v>126</v>
      </c>
      <c r="K117" s="17" t="s">
        <v>126</v>
      </c>
      <c r="L117" s="17" t="s">
        <v>126</v>
      </c>
      <c r="M117" s="17" t="s">
        <v>126</v>
      </c>
      <c r="N117" s="17" t="s">
        <v>126</v>
      </c>
      <c r="O117" s="17" t="s">
        <v>126</v>
      </c>
      <c r="P117" s="17" t="s">
        <v>126</v>
      </c>
      <c r="Q117" s="17" t="s">
        <v>126</v>
      </c>
      <c r="R117" s="17" t="s">
        <v>126</v>
      </c>
      <c r="S117" s="17" t="s">
        <v>126</v>
      </c>
      <c r="T117" s="17" t="s">
        <v>126</v>
      </c>
      <c r="U117" s="17" t="s">
        <v>126</v>
      </c>
      <c r="V117" s="17" t="e">
        <f t="shared" si="8"/>
        <v>#VALUE!</v>
      </c>
      <c r="W117" s="5" t="e">
        <f t="shared" si="9"/>
        <v>#VALUE!</v>
      </c>
      <c r="X117" t="e">
        <f t="shared" si="10"/>
        <v>#VALUE!</v>
      </c>
      <c r="Y117" s="5" t="e">
        <f t="shared" si="11"/>
        <v>#VALUE!</v>
      </c>
      <c r="Z117" t="e">
        <f t="shared" si="12"/>
        <v>#VALUE!</v>
      </c>
      <c r="AA117" t="e">
        <f t="shared" si="13"/>
        <v>#VALUE!</v>
      </c>
    </row>
    <row r="118" spans="1:27" ht="13.5" customHeight="1" thickBot="1" x14ac:dyDescent="0.35">
      <c r="A118">
        <f t="shared" si="7"/>
        <v>0</v>
      </c>
      <c r="B118" s="16">
        <v>192</v>
      </c>
      <c r="C118" s="10" t="s">
        <v>527</v>
      </c>
      <c r="D118" s="17" t="s">
        <v>416</v>
      </c>
      <c r="E118" s="17" t="s">
        <v>36</v>
      </c>
      <c r="F118" s="17" t="s">
        <v>36</v>
      </c>
      <c r="G118" s="17">
        <v>18</v>
      </c>
      <c r="H118" s="17" t="s">
        <v>126</v>
      </c>
      <c r="I118" s="17" t="s">
        <v>126</v>
      </c>
      <c r="J118" s="17" t="s">
        <v>126</v>
      </c>
      <c r="K118" s="17" t="s">
        <v>126</v>
      </c>
      <c r="L118" s="17" t="s">
        <v>126</v>
      </c>
      <c r="M118" s="17" t="s">
        <v>126</v>
      </c>
      <c r="N118" s="17" t="s">
        <v>126</v>
      </c>
      <c r="O118" s="17" t="s">
        <v>126</v>
      </c>
      <c r="P118" s="17" t="s">
        <v>126</v>
      </c>
      <c r="Q118" s="17" t="s">
        <v>126</v>
      </c>
      <c r="R118" s="17" t="s">
        <v>126</v>
      </c>
      <c r="S118" s="17" t="s">
        <v>126</v>
      </c>
      <c r="T118" s="17" t="s">
        <v>126</v>
      </c>
      <c r="U118" s="17" t="s">
        <v>126</v>
      </c>
      <c r="V118" s="17" t="e">
        <f t="shared" si="8"/>
        <v>#VALUE!</v>
      </c>
      <c r="W118" s="5" t="e">
        <f t="shared" si="9"/>
        <v>#VALUE!</v>
      </c>
      <c r="X118" t="e">
        <f t="shared" si="10"/>
        <v>#VALUE!</v>
      </c>
      <c r="Y118" s="5" t="e">
        <f t="shared" si="11"/>
        <v>#VALUE!</v>
      </c>
      <c r="Z118" t="e">
        <f t="shared" si="12"/>
        <v>#VALUE!</v>
      </c>
      <c r="AA118" t="e">
        <f t="shared" si="13"/>
        <v>#VALUE!</v>
      </c>
    </row>
    <row r="119" spans="1:27" ht="13.5" customHeight="1" thickBot="1" x14ac:dyDescent="0.35">
      <c r="A119">
        <f t="shared" si="7"/>
        <v>0</v>
      </c>
      <c r="B119" s="16">
        <v>193</v>
      </c>
      <c r="C119" s="10" t="s">
        <v>528</v>
      </c>
      <c r="D119" s="17" t="s">
        <v>416</v>
      </c>
      <c r="E119" s="17" t="s">
        <v>47</v>
      </c>
      <c r="F119" s="17" t="s">
        <v>47</v>
      </c>
      <c r="G119" s="17">
        <v>21</v>
      </c>
      <c r="H119" s="17" t="s">
        <v>126</v>
      </c>
      <c r="I119" s="17" t="s">
        <v>126</v>
      </c>
      <c r="J119" s="17" t="s">
        <v>126</v>
      </c>
      <c r="K119" s="17" t="s">
        <v>126</v>
      </c>
      <c r="L119" s="17" t="s">
        <v>126</v>
      </c>
      <c r="M119" s="17" t="s">
        <v>126</v>
      </c>
      <c r="N119" s="17" t="s">
        <v>126</v>
      </c>
      <c r="O119" s="17" t="s">
        <v>126</v>
      </c>
      <c r="P119" s="17" t="s">
        <v>126</v>
      </c>
      <c r="Q119" s="17" t="s">
        <v>126</v>
      </c>
      <c r="R119" s="17" t="s">
        <v>126</v>
      </c>
      <c r="S119" s="17" t="s">
        <v>126</v>
      </c>
      <c r="T119" s="17" t="s">
        <v>126</v>
      </c>
      <c r="U119" s="17" t="s">
        <v>126</v>
      </c>
      <c r="V119" s="17" t="e">
        <f t="shared" si="8"/>
        <v>#VALUE!</v>
      </c>
      <c r="W119" s="5" t="e">
        <f t="shared" si="9"/>
        <v>#VALUE!</v>
      </c>
      <c r="X119" t="e">
        <f t="shared" si="10"/>
        <v>#VALUE!</v>
      </c>
      <c r="Y119" s="5" t="e">
        <f t="shared" si="11"/>
        <v>#VALUE!</v>
      </c>
      <c r="Z119" t="e">
        <f t="shared" si="12"/>
        <v>#VALUE!</v>
      </c>
      <c r="AA119" t="e">
        <f t="shared" si="13"/>
        <v>#VALUE!</v>
      </c>
    </row>
    <row r="120" spans="1:27" ht="13.5" customHeight="1" thickBot="1" x14ac:dyDescent="0.35">
      <c r="A120">
        <f t="shared" si="7"/>
        <v>0</v>
      </c>
      <c r="B120" s="18">
        <v>194</v>
      </c>
      <c r="C120" s="11" t="s">
        <v>529</v>
      </c>
      <c r="D120" s="19" t="s">
        <v>416</v>
      </c>
      <c r="E120" s="19" t="s">
        <v>36</v>
      </c>
      <c r="F120" s="19" t="s">
        <v>36</v>
      </c>
      <c r="G120" s="19">
        <v>20</v>
      </c>
      <c r="H120" s="19" t="s">
        <v>126</v>
      </c>
      <c r="I120" s="19" t="s">
        <v>126</v>
      </c>
      <c r="J120" s="19" t="s">
        <v>126</v>
      </c>
      <c r="K120" s="19" t="s">
        <v>126</v>
      </c>
      <c r="L120" s="19" t="s">
        <v>126</v>
      </c>
      <c r="M120" s="19" t="s">
        <v>126</v>
      </c>
      <c r="N120" s="19" t="s">
        <v>126</v>
      </c>
      <c r="O120" s="19" t="s">
        <v>126</v>
      </c>
      <c r="P120" s="19" t="s">
        <v>126</v>
      </c>
      <c r="Q120" s="19" t="s">
        <v>126</v>
      </c>
      <c r="R120" s="19" t="s">
        <v>126</v>
      </c>
      <c r="S120" s="19" t="s">
        <v>126</v>
      </c>
      <c r="T120" s="19" t="s">
        <v>126</v>
      </c>
      <c r="U120" s="19" t="s">
        <v>126</v>
      </c>
      <c r="V120" s="19" t="e">
        <f t="shared" si="8"/>
        <v>#VALUE!</v>
      </c>
      <c r="W120" s="5" t="e">
        <f t="shared" si="9"/>
        <v>#VALUE!</v>
      </c>
      <c r="X120" t="e">
        <f t="shared" si="10"/>
        <v>#VALUE!</v>
      </c>
      <c r="Y120" s="5" t="e">
        <f t="shared" si="11"/>
        <v>#VALUE!</v>
      </c>
      <c r="Z120" t="e">
        <f t="shared" si="12"/>
        <v>#VALUE!</v>
      </c>
      <c r="AA120" t="e">
        <f t="shared" si="13"/>
        <v>#VALUE!</v>
      </c>
    </row>
    <row r="121" spans="1:27" ht="13.5" customHeight="1" thickBot="1" x14ac:dyDescent="0.35">
      <c r="A121">
        <f t="shared" si="7"/>
        <v>0</v>
      </c>
      <c r="B121" s="18">
        <v>195</v>
      </c>
      <c r="C121" s="11" t="s">
        <v>530</v>
      </c>
      <c r="D121" s="19" t="s">
        <v>416</v>
      </c>
      <c r="E121" s="19" t="s">
        <v>47</v>
      </c>
      <c r="F121" s="19" t="s">
        <v>47</v>
      </c>
      <c r="G121" s="19">
        <v>22</v>
      </c>
      <c r="H121" s="19" t="s">
        <v>126</v>
      </c>
      <c r="I121" s="19" t="s">
        <v>126</v>
      </c>
      <c r="J121" s="19" t="s">
        <v>126</v>
      </c>
      <c r="K121" s="19" t="s">
        <v>126</v>
      </c>
      <c r="L121" s="19" t="s">
        <v>126</v>
      </c>
      <c r="M121" s="19" t="s">
        <v>126</v>
      </c>
      <c r="N121" s="19" t="s">
        <v>126</v>
      </c>
      <c r="O121" s="19" t="s">
        <v>126</v>
      </c>
      <c r="P121" s="19" t="s">
        <v>126</v>
      </c>
      <c r="Q121" s="19" t="s">
        <v>126</v>
      </c>
      <c r="R121" s="19" t="s">
        <v>126</v>
      </c>
      <c r="S121" s="19" t="s">
        <v>126</v>
      </c>
      <c r="T121" s="19" t="s">
        <v>126</v>
      </c>
      <c r="U121" s="19" t="s">
        <v>126</v>
      </c>
      <c r="V121" s="19" t="e">
        <f t="shared" si="8"/>
        <v>#VALUE!</v>
      </c>
      <c r="W121" s="5" t="e">
        <f t="shared" si="9"/>
        <v>#VALUE!</v>
      </c>
      <c r="X121" t="e">
        <f t="shared" si="10"/>
        <v>#VALUE!</v>
      </c>
      <c r="Y121" s="5" t="e">
        <f t="shared" si="11"/>
        <v>#VALUE!</v>
      </c>
      <c r="Z121" t="e">
        <f t="shared" si="12"/>
        <v>#VALUE!</v>
      </c>
      <c r="AA121" t="e">
        <f t="shared" si="13"/>
        <v>#VALUE!</v>
      </c>
    </row>
    <row r="122" spans="1:27" ht="13.5" customHeight="1" thickBot="1" x14ac:dyDescent="0.35">
      <c r="A122">
        <f t="shared" si="7"/>
        <v>0</v>
      </c>
      <c r="B122" s="16">
        <v>196</v>
      </c>
      <c r="C122" s="10" t="s">
        <v>531</v>
      </c>
      <c r="D122" s="17" t="s">
        <v>416</v>
      </c>
      <c r="E122" s="17" t="s">
        <v>36</v>
      </c>
      <c r="F122" s="17" t="s">
        <v>36</v>
      </c>
      <c r="G122" s="17">
        <v>19</v>
      </c>
      <c r="H122" s="17" t="s">
        <v>126</v>
      </c>
      <c r="I122" s="17" t="s">
        <v>126</v>
      </c>
      <c r="J122" s="17" t="s">
        <v>126</v>
      </c>
      <c r="K122" s="17" t="s">
        <v>126</v>
      </c>
      <c r="L122" s="17" t="s">
        <v>126</v>
      </c>
      <c r="M122" s="17" t="s">
        <v>126</v>
      </c>
      <c r="N122" s="17" t="s">
        <v>126</v>
      </c>
      <c r="O122" s="17" t="s">
        <v>126</v>
      </c>
      <c r="P122" s="17" t="s">
        <v>126</v>
      </c>
      <c r="Q122" s="17" t="s">
        <v>126</v>
      </c>
      <c r="R122" s="17" t="s">
        <v>126</v>
      </c>
      <c r="S122" s="17" t="s">
        <v>126</v>
      </c>
      <c r="T122" s="17" t="s">
        <v>126</v>
      </c>
      <c r="U122" s="17" t="s">
        <v>126</v>
      </c>
      <c r="V122" s="17" t="e">
        <f t="shared" si="8"/>
        <v>#VALUE!</v>
      </c>
      <c r="W122" s="5" t="e">
        <f t="shared" si="9"/>
        <v>#VALUE!</v>
      </c>
      <c r="X122" t="e">
        <f t="shared" si="10"/>
        <v>#VALUE!</v>
      </c>
      <c r="Y122" s="5" t="e">
        <f t="shared" si="11"/>
        <v>#VALUE!</v>
      </c>
      <c r="Z122" t="e">
        <f t="shared" si="12"/>
        <v>#VALUE!</v>
      </c>
      <c r="AA122" t="e">
        <f t="shared" si="13"/>
        <v>#VALUE!</v>
      </c>
    </row>
    <row r="123" spans="1:27" ht="13.5" customHeight="1" thickBot="1" x14ac:dyDescent="0.35">
      <c r="A123">
        <f t="shared" si="7"/>
        <v>0</v>
      </c>
      <c r="B123" s="16">
        <v>197</v>
      </c>
      <c r="C123" s="10" t="s">
        <v>532</v>
      </c>
      <c r="D123" s="17" t="s">
        <v>416</v>
      </c>
      <c r="E123" s="17" t="s">
        <v>36</v>
      </c>
      <c r="F123" s="17" t="s">
        <v>36</v>
      </c>
      <c r="G123" s="17">
        <v>20</v>
      </c>
      <c r="H123" s="17" t="s">
        <v>126</v>
      </c>
      <c r="I123" s="17" t="s">
        <v>126</v>
      </c>
      <c r="J123" s="17" t="s">
        <v>126</v>
      </c>
      <c r="K123" s="17" t="s">
        <v>126</v>
      </c>
      <c r="L123" s="17" t="s">
        <v>126</v>
      </c>
      <c r="M123" s="17" t="s">
        <v>126</v>
      </c>
      <c r="N123" s="17" t="s">
        <v>126</v>
      </c>
      <c r="O123" s="17" t="s">
        <v>126</v>
      </c>
      <c r="P123" s="17" t="s">
        <v>126</v>
      </c>
      <c r="Q123" s="17" t="s">
        <v>126</v>
      </c>
      <c r="R123" s="17" t="s">
        <v>126</v>
      </c>
      <c r="S123" s="17" t="s">
        <v>126</v>
      </c>
      <c r="T123" s="17" t="s">
        <v>126</v>
      </c>
      <c r="U123" s="17" t="s">
        <v>126</v>
      </c>
      <c r="V123" s="17" t="e">
        <f t="shared" si="8"/>
        <v>#VALUE!</v>
      </c>
      <c r="W123" s="5" t="e">
        <f t="shared" si="9"/>
        <v>#VALUE!</v>
      </c>
      <c r="X123" t="e">
        <f t="shared" si="10"/>
        <v>#VALUE!</v>
      </c>
      <c r="Y123" s="5" t="e">
        <f t="shared" si="11"/>
        <v>#VALUE!</v>
      </c>
      <c r="Z123" t="e">
        <f t="shared" si="12"/>
        <v>#VALUE!</v>
      </c>
      <c r="AA123" t="e">
        <f t="shared" si="13"/>
        <v>#VALUE!</v>
      </c>
    </row>
    <row r="124" spans="1:27" ht="13.5" customHeight="1" thickBot="1" x14ac:dyDescent="0.35">
      <c r="A124">
        <f t="shared" si="7"/>
        <v>0</v>
      </c>
      <c r="B124" s="18">
        <v>198</v>
      </c>
      <c r="C124" s="11" t="s">
        <v>533</v>
      </c>
      <c r="D124" s="19" t="s">
        <v>416</v>
      </c>
      <c r="E124" s="19" t="s">
        <v>46</v>
      </c>
      <c r="F124" s="19" t="s">
        <v>47</v>
      </c>
      <c r="G124" s="19">
        <v>20</v>
      </c>
      <c r="H124" s="19" t="s">
        <v>126</v>
      </c>
      <c r="I124" s="19" t="s">
        <v>126</v>
      </c>
      <c r="J124" s="19" t="s">
        <v>126</v>
      </c>
      <c r="K124" s="19" t="s">
        <v>126</v>
      </c>
      <c r="L124" s="19" t="s">
        <v>126</v>
      </c>
      <c r="M124" s="19" t="s">
        <v>126</v>
      </c>
      <c r="N124" s="19" t="s">
        <v>126</v>
      </c>
      <c r="O124" s="19" t="s">
        <v>126</v>
      </c>
      <c r="P124" s="19" t="s">
        <v>126</v>
      </c>
      <c r="Q124" s="19" t="s">
        <v>126</v>
      </c>
      <c r="R124" s="19" t="s">
        <v>126</v>
      </c>
      <c r="S124" s="19" t="s">
        <v>126</v>
      </c>
      <c r="T124" s="19" t="s">
        <v>126</v>
      </c>
      <c r="U124" s="19" t="s">
        <v>126</v>
      </c>
      <c r="V124" s="19" t="e">
        <f t="shared" si="8"/>
        <v>#VALUE!</v>
      </c>
      <c r="W124" s="5" t="e">
        <f t="shared" si="9"/>
        <v>#VALUE!</v>
      </c>
      <c r="X124" t="e">
        <f t="shared" si="10"/>
        <v>#VALUE!</v>
      </c>
      <c r="Y124" s="5" t="e">
        <f t="shared" si="11"/>
        <v>#VALUE!</v>
      </c>
      <c r="Z124" t="e">
        <f t="shared" si="12"/>
        <v>#VALUE!</v>
      </c>
      <c r="AA124" t="e">
        <f t="shared" si="13"/>
        <v>#VALUE!</v>
      </c>
    </row>
    <row r="125" spans="1:27" ht="13.5" customHeight="1" thickBot="1" x14ac:dyDescent="0.35">
      <c r="A125">
        <f t="shared" si="7"/>
        <v>0</v>
      </c>
      <c r="B125" s="16">
        <v>199</v>
      </c>
      <c r="C125" s="10" t="s">
        <v>534</v>
      </c>
      <c r="D125" s="17" t="s">
        <v>416</v>
      </c>
      <c r="E125" s="17" t="s">
        <v>36</v>
      </c>
      <c r="F125" s="17" t="s">
        <v>36</v>
      </c>
      <c r="G125" s="17">
        <v>19</v>
      </c>
      <c r="H125" s="17" t="s">
        <v>126</v>
      </c>
      <c r="I125" s="17" t="s">
        <v>126</v>
      </c>
      <c r="J125" s="17" t="s">
        <v>126</v>
      </c>
      <c r="K125" s="17" t="s">
        <v>126</v>
      </c>
      <c r="L125" s="17" t="s">
        <v>126</v>
      </c>
      <c r="M125" s="17" t="s">
        <v>126</v>
      </c>
      <c r="N125" s="17" t="s">
        <v>126</v>
      </c>
      <c r="O125" s="17" t="s">
        <v>126</v>
      </c>
      <c r="P125" s="17" t="s">
        <v>126</v>
      </c>
      <c r="Q125" s="17" t="s">
        <v>126</v>
      </c>
      <c r="R125" s="17" t="s">
        <v>126</v>
      </c>
      <c r="S125" s="17" t="s">
        <v>126</v>
      </c>
      <c r="T125" s="17" t="s">
        <v>126</v>
      </c>
      <c r="U125" s="17" t="s">
        <v>126</v>
      </c>
      <c r="V125" s="17" t="e">
        <f t="shared" si="8"/>
        <v>#VALUE!</v>
      </c>
      <c r="W125" s="5" t="e">
        <f t="shared" si="9"/>
        <v>#VALUE!</v>
      </c>
      <c r="X125" t="e">
        <f t="shared" si="10"/>
        <v>#VALUE!</v>
      </c>
      <c r="Y125" s="5" t="e">
        <f t="shared" si="11"/>
        <v>#VALUE!</v>
      </c>
      <c r="Z125" t="e">
        <f t="shared" si="12"/>
        <v>#VALUE!</v>
      </c>
      <c r="AA125" t="e">
        <f t="shared" si="13"/>
        <v>#VALUE!</v>
      </c>
    </row>
    <row r="126" spans="1:27" ht="13.5" customHeight="1" thickBot="1" x14ac:dyDescent="0.35">
      <c r="A126">
        <f t="shared" si="7"/>
        <v>0</v>
      </c>
      <c r="B126" s="18">
        <v>200</v>
      </c>
      <c r="C126" s="11" t="s">
        <v>535</v>
      </c>
      <c r="D126" s="19" t="s">
        <v>416</v>
      </c>
      <c r="E126" s="19" t="s">
        <v>36</v>
      </c>
      <c r="F126" s="19" t="s">
        <v>36</v>
      </c>
      <c r="G126" s="19">
        <v>21</v>
      </c>
      <c r="H126" s="19" t="s">
        <v>126</v>
      </c>
      <c r="I126" s="19" t="s">
        <v>126</v>
      </c>
      <c r="J126" s="19" t="s">
        <v>126</v>
      </c>
      <c r="K126" s="19" t="s">
        <v>126</v>
      </c>
      <c r="L126" s="19" t="s">
        <v>126</v>
      </c>
      <c r="M126" s="19" t="s">
        <v>126</v>
      </c>
      <c r="N126" s="19" t="s">
        <v>126</v>
      </c>
      <c r="O126" s="19" t="s">
        <v>126</v>
      </c>
      <c r="P126" s="19" t="s">
        <v>126</v>
      </c>
      <c r="Q126" s="19" t="s">
        <v>126</v>
      </c>
      <c r="R126" s="19" t="s">
        <v>126</v>
      </c>
      <c r="S126" s="19" t="s">
        <v>126</v>
      </c>
      <c r="T126" s="19" t="s">
        <v>126</v>
      </c>
      <c r="U126" s="19" t="s">
        <v>126</v>
      </c>
      <c r="V126" s="19" t="e">
        <f t="shared" si="8"/>
        <v>#VALUE!</v>
      </c>
      <c r="W126" s="5" t="e">
        <f t="shared" si="9"/>
        <v>#VALUE!</v>
      </c>
      <c r="X126" t="e">
        <f t="shared" si="10"/>
        <v>#VALUE!</v>
      </c>
      <c r="Y126" s="5" t="e">
        <f t="shared" si="11"/>
        <v>#VALUE!</v>
      </c>
      <c r="Z126" t="e">
        <f t="shared" si="12"/>
        <v>#VALUE!</v>
      </c>
      <c r="AA126" t="e">
        <f t="shared" si="13"/>
        <v>#VALUE!</v>
      </c>
    </row>
    <row r="127" spans="1:27" ht="13.5" customHeight="1" thickBot="1" x14ac:dyDescent="0.35">
      <c r="A127">
        <f t="shared" si="7"/>
        <v>0</v>
      </c>
      <c r="B127" s="18">
        <v>201</v>
      </c>
      <c r="C127" s="11" t="s">
        <v>536</v>
      </c>
      <c r="D127" s="19" t="s">
        <v>416</v>
      </c>
      <c r="E127" s="19" t="s">
        <v>36</v>
      </c>
      <c r="F127" s="19" t="s">
        <v>36</v>
      </c>
      <c r="G127" s="19">
        <v>20</v>
      </c>
      <c r="H127" s="19" t="s">
        <v>126</v>
      </c>
      <c r="I127" s="19" t="s">
        <v>126</v>
      </c>
      <c r="J127" s="19" t="s">
        <v>126</v>
      </c>
      <c r="K127" s="19" t="s">
        <v>126</v>
      </c>
      <c r="L127" s="19" t="s">
        <v>126</v>
      </c>
      <c r="M127" s="19" t="s">
        <v>126</v>
      </c>
      <c r="N127" s="19" t="s">
        <v>126</v>
      </c>
      <c r="O127" s="19" t="s">
        <v>126</v>
      </c>
      <c r="P127" s="19" t="s">
        <v>126</v>
      </c>
      <c r="Q127" s="19" t="s">
        <v>126</v>
      </c>
      <c r="R127" s="19" t="s">
        <v>126</v>
      </c>
      <c r="S127" s="19" t="s">
        <v>126</v>
      </c>
      <c r="T127" s="19" t="s">
        <v>126</v>
      </c>
      <c r="U127" s="19" t="s">
        <v>126</v>
      </c>
      <c r="V127" s="19" t="e">
        <f t="shared" si="8"/>
        <v>#VALUE!</v>
      </c>
      <c r="W127" s="5" t="e">
        <f t="shared" si="9"/>
        <v>#VALUE!</v>
      </c>
      <c r="X127" t="e">
        <f t="shared" si="10"/>
        <v>#VALUE!</v>
      </c>
      <c r="Y127" s="5" t="e">
        <f t="shared" si="11"/>
        <v>#VALUE!</v>
      </c>
      <c r="Z127" t="e">
        <f t="shared" si="12"/>
        <v>#VALUE!</v>
      </c>
      <c r="AA127" t="e">
        <f t="shared" si="13"/>
        <v>#VALUE!</v>
      </c>
    </row>
    <row r="128" spans="1:27" ht="13.5" customHeight="1" thickBot="1" x14ac:dyDescent="0.35">
      <c r="A128">
        <f t="shared" si="7"/>
        <v>0</v>
      </c>
      <c r="B128" s="16">
        <v>202</v>
      </c>
      <c r="C128" s="10" t="s">
        <v>537</v>
      </c>
      <c r="D128" s="17" t="s">
        <v>416</v>
      </c>
      <c r="E128" s="17" t="s">
        <v>36</v>
      </c>
      <c r="F128" s="17" t="s">
        <v>36</v>
      </c>
      <c r="G128" s="17">
        <v>21</v>
      </c>
      <c r="H128" s="17" t="s">
        <v>126</v>
      </c>
      <c r="I128" s="17" t="s">
        <v>126</v>
      </c>
      <c r="J128" s="17" t="s">
        <v>126</v>
      </c>
      <c r="K128" s="17" t="s">
        <v>126</v>
      </c>
      <c r="L128" s="17" t="s">
        <v>126</v>
      </c>
      <c r="M128" s="17" t="s">
        <v>126</v>
      </c>
      <c r="N128" s="17" t="s">
        <v>126</v>
      </c>
      <c r="O128" s="17" t="s">
        <v>126</v>
      </c>
      <c r="P128" s="17" t="s">
        <v>126</v>
      </c>
      <c r="Q128" s="17" t="s">
        <v>126</v>
      </c>
      <c r="R128" s="17" t="s">
        <v>126</v>
      </c>
      <c r="S128" s="17" t="s">
        <v>126</v>
      </c>
      <c r="T128" s="17" t="s">
        <v>126</v>
      </c>
      <c r="U128" s="17" t="s">
        <v>126</v>
      </c>
      <c r="V128" s="17" t="e">
        <f t="shared" si="8"/>
        <v>#VALUE!</v>
      </c>
      <c r="W128" s="5" t="e">
        <f t="shared" si="9"/>
        <v>#VALUE!</v>
      </c>
      <c r="X128" t="e">
        <f t="shared" si="10"/>
        <v>#VALUE!</v>
      </c>
      <c r="Y128" s="5" t="e">
        <f t="shared" si="11"/>
        <v>#VALUE!</v>
      </c>
      <c r="Z128" t="e">
        <f t="shared" si="12"/>
        <v>#VALUE!</v>
      </c>
      <c r="AA128" t="e">
        <f t="shared" si="13"/>
        <v>#VALUE!</v>
      </c>
    </row>
    <row r="129" spans="1:27" ht="13.5" customHeight="1" thickBot="1" x14ac:dyDescent="0.35">
      <c r="A129">
        <f t="shared" si="7"/>
        <v>0</v>
      </c>
      <c r="B129" s="18">
        <v>203</v>
      </c>
      <c r="C129" s="11" t="s">
        <v>538</v>
      </c>
      <c r="D129" s="19" t="s">
        <v>416</v>
      </c>
      <c r="E129" s="19" t="s">
        <v>36</v>
      </c>
      <c r="F129" s="19" t="s">
        <v>36</v>
      </c>
      <c r="G129" s="19">
        <v>22</v>
      </c>
      <c r="H129" s="19" t="s">
        <v>126</v>
      </c>
      <c r="I129" s="19" t="s">
        <v>126</v>
      </c>
      <c r="J129" s="19" t="s">
        <v>126</v>
      </c>
      <c r="K129" s="19" t="s">
        <v>126</v>
      </c>
      <c r="L129" s="19" t="s">
        <v>126</v>
      </c>
      <c r="M129" s="19" t="s">
        <v>126</v>
      </c>
      <c r="N129" s="19" t="s">
        <v>126</v>
      </c>
      <c r="O129" s="19" t="s">
        <v>126</v>
      </c>
      <c r="P129" s="19" t="s">
        <v>126</v>
      </c>
      <c r="Q129" s="19" t="s">
        <v>126</v>
      </c>
      <c r="R129" s="19" t="s">
        <v>126</v>
      </c>
      <c r="S129" s="19" t="s">
        <v>126</v>
      </c>
      <c r="T129" s="19" t="s">
        <v>126</v>
      </c>
      <c r="U129" s="19" t="s">
        <v>126</v>
      </c>
      <c r="V129" s="19" t="e">
        <f t="shared" si="8"/>
        <v>#VALUE!</v>
      </c>
      <c r="W129" s="5" t="e">
        <f t="shared" si="9"/>
        <v>#VALUE!</v>
      </c>
      <c r="X129" t="e">
        <f t="shared" si="10"/>
        <v>#VALUE!</v>
      </c>
      <c r="Y129" s="5" t="e">
        <f t="shared" si="11"/>
        <v>#VALUE!</v>
      </c>
      <c r="Z129" t="e">
        <f t="shared" si="12"/>
        <v>#VALUE!</v>
      </c>
      <c r="AA129" t="e">
        <f t="shared" si="13"/>
        <v>#VALUE!</v>
      </c>
    </row>
    <row r="130" spans="1:27" ht="13.5" customHeight="1" thickBot="1" x14ac:dyDescent="0.35">
      <c r="A130">
        <f t="shared" si="7"/>
        <v>0</v>
      </c>
      <c r="B130" s="16">
        <v>204</v>
      </c>
      <c r="C130" s="10" t="s">
        <v>539</v>
      </c>
      <c r="D130" s="17" t="s">
        <v>416</v>
      </c>
      <c r="E130" s="17" t="s">
        <v>46</v>
      </c>
      <c r="F130" s="17" t="s">
        <v>47</v>
      </c>
      <c r="G130" s="17">
        <v>21</v>
      </c>
      <c r="H130" s="17" t="s">
        <v>126</v>
      </c>
      <c r="I130" s="17" t="s">
        <v>126</v>
      </c>
      <c r="J130" s="17" t="s">
        <v>126</v>
      </c>
      <c r="K130" s="17" t="s">
        <v>126</v>
      </c>
      <c r="L130" s="17" t="s">
        <v>126</v>
      </c>
      <c r="M130" s="17" t="s">
        <v>126</v>
      </c>
      <c r="N130" s="17" t="s">
        <v>126</v>
      </c>
      <c r="O130" s="17" t="s">
        <v>126</v>
      </c>
      <c r="P130" s="17" t="s">
        <v>126</v>
      </c>
      <c r="Q130" s="17" t="s">
        <v>126</v>
      </c>
      <c r="R130" s="17" t="s">
        <v>126</v>
      </c>
      <c r="S130" s="17" t="s">
        <v>126</v>
      </c>
      <c r="T130" s="17" t="s">
        <v>126</v>
      </c>
      <c r="U130" s="17" t="s">
        <v>126</v>
      </c>
      <c r="V130" s="17" t="e">
        <f t="shared" si="8"/>
        <v>#VALUE!</v>
      </c>
      <c r="W130" s="5" t="e">
        <f t="shared" si="9"/>
        <v>#VALUE!</v>
      </c>
      <c r="X130" t="e">
        <f t="shared" si="10"/>
        <v>#VALUE!</v>
      </c>
      <c r="Y130" s="5" t="e">
        <f t="shared" si="11"/>
        <v>#VALUE!</v>
      </c>
      <c r="Z130" t="e">
        <f t="shared" si="12"/>
        <v>#VALUE!</v>
      </c>
      <c r="AA130" t="e">
        <f t="shared" si="13"/>
        <v>#VALUE!</v>
      </c>
    </row>
    <row r="131" spans="1:27" ht="13.5" customHeight="1" thickBot="1" x14ac:dyDescent="0.35">
      <c r="A131">
        <f t="shared" si="7"/>
        <v>0</v>
      </c>
      <c r="B131" s="16">
        <v>205</v>
      </c>
      <c r="C131" s="10" t="s">
        <v>540</v>
      </c>
      <c r="D131" s="17" t="s">
        <v>416</v>
      </c>
      <c r="E131" s="17" t="s">
        <v>46</v>
      </c>
      <c r="F131" s="17" t="s">
        <v>47</v>
      </c>
      <c r="G131" s="17">
        <v>18</v>
      </c>
      <c r="H131" s="17" t="s">
        <v>126</v>
      </c>
      <c r="I131" s="17" t="s">
        <v>126</v>
      </c>
      <c r="J131" s="17" t="s">
        <v>126</v>
      </c>
      <c r="K131" s="17" t="s">
        <v>126</v>
      </c>
      <c r="L131" s="17" t="s">
        <v>126</v>
      </c>
      <c r="M131" s="17" t="s">
        <v>126</v>
      </c>
      <c r="N131" s="17" t="s">
        <v>126</v>
      </c>
      <c r="O131" s="17" t="s">
        <v>126</v>
      </c>
      <c r="P131" s="17" t="s">
        <v>126</v>
      </c>
      <c r="Q131" s="17" t="s">
        <v>126</v>
      </c>
      <c r="R131" s="17" t="s">
        <v>126</v>
      </c>
      <c r="S131" s="17" t="s">
        <v>126</v>
      </c>
      <c r="T131" s="17" t="s">
        <v>126</v>
      </c>
      <c r="U131" s="17" t="s">
        <v>126</v>
      </c>
      <c r="V131" s="17" t="e">
        <f t="shared" si="8"/>
        <v>#VALUE!</v>
      </c>
      <c r="W131" s="5" t="e">
        <f t="shared" si="9"/>
        <v>#VALUE!</v>
      </c>
      <c r="X131" t="e">
        <f t="shared" si="10"/>
        <v>#VALUE!</v>
      </c>
      <c r="Y131" s="5" t="e">
        <f t="shared" si="11"/>
        <v>#VALUE!</v>
      </c>
      <c r="Z131" t="e">
        <f t="shared" si="12"/>
        <v>#VALUE!</v>
      </c>
      <c r="AA131" t="e">
        <f t="shared" si="13"/>
        <v>#VALUE!</v>
      </c>
    </row>
    <row r="132" spans="1:27" ht="13.5" customHeight="1" thickBot="1" x14ac:dyDescent="0.35">
      <c r="A132">
        <f t="shared" si="7"/>
        <v>0</v>
      </c>
      <c r="B132" s="18">
        <v>206</v>
      </c>
      <c r="C132" s="11" t="s">
        <v>541</v>
      </c>
      <c r="D132" s="19" t="s">
        <v>416</v>
      </c>
      <c r="E132" s="19" t="s">
        <v>47</v>
      </c>
      <c r="F132" s="19" t="s">
        <v>47</v>
      </c>
      <c r="G132" s="19">
        <v>19</v>
      </c>
      <c r="H132" s="19" t="s">
        <v>126</v>
      </c>
      <c r="I132" s="19" t="s">
        <v>126</v>
      </c>
      <c r="J132" s="19" t="s">
        <v>126</v>
      </c>
      <c r="K132" s="19" t="s">
        <v>126</v>
      </c>
      <c r="L132" s="19" t="s">
        <v>126</v>
      </c>
      <c r="M132" s="19" t="s">
        <v>126</v>
      </c>
      <c r="N132" s="19" t="s">
        <v>126</v>
      </c>
      <c r="O132" s="19" t="s">
        <v>126</v>
      </c>
      <c r="P132" s="19" t="s">
        <v>126</v>
      </c>
      <c r="Q132" s="19" t="s">
        <v>126</v>
      </c>
      <c r="R132" s="19" t="s">
        <v>126</v>
      </c>
      <c r="S132" s="19" t="s">
        <v>126</v>
      </c>
      <c r="T132" s="19" t="s">
        <v>126</v>
      </c>
      <c r="U132" s="19" t="s">
        <v>126</v>
      </c>
      <c r="V132" s="19" t="e">
        <f t="shared" si="8"/>
        <v>#VALUE!</v>
      </c>
      <c r="W132" s="5" t="e">
        <f t="shared" si="9"/>
        <v>#VALUE!</v>
      </c>
      <c r="X132" t="e">
        <f t="shared" si="10"/>
        <v>#VALUE!</v>
      </c>
      <c r="Y132" s="5" t="e">
        <f t="shared" si="11"/>
        <v>#VALUE!</v>
      </c>
      <c r="Z132" t="e">
        <f t="shared" si="12"/>
        <v>#VALUE!</v>
      </c>
      <c r="AA132" t="e">
        <f t="shared" si="13"/>
        <v>#VALUE!</v>
      </c>
    </row>
    <row r="133" spans="1:27" ht="13.5" customHeight="1" thickBot="1" x14ac:dyDescent="0.35">
      <c r="A133">
        <f t="shared" si="7"/>
        <v>0</v>
      </c>
      <c r="B133" s="18">
        <v>207</v>
      </c>
      <c r="C133" s="11" t="s">
        <v>542</v>
      </c>
      <c r="D133" s="19" t="s">
        <v>416</v>
      </c>
      <c r="E133" s="19" t="s">
        <v>36</v>
      </c>
      <c r="F133" s="19" t="s">
        <v>36</v>
      </c>
      <c r="G133" s="19">
        <v>19</v>
      </c>
      <c r="H133" s="19" t="s">
        <v>126</v>
      </c>
      <c r="I133" s="19" t="s">
        <v>126</v>
      </c>
      <c r="J133" s="19" t="s">
        <v>126</v>
      </c>
      <c r="K133" s="19" t="s">
        <v>126</v>
      </c>
      <c r="L133" s="19" t="s">
        <v>126</v>
      </c>
      <c r="M133" s="19" t="s">
        <v>126</v>
      </c>
      <c r="N133" s="19" t="s">
        <v>126</v>
      </c>
      <c r="O133" s="19" t="s">
        <v>126</v>
      </c>
      <c r="P133" s="19" t="s">
        <v>126</v>
      </c>
      <c r="Q133" s="19" t="s">
        <v>126</v>
      </c>
      <c r="R133" s="19" t="s">
        <v>126</v>
      </c>
      <c r="S133" s="19" t="s">
        <v>126</v>
      </c>
      <c r="T133" s="19" t="s">
        <v>126</v>
      </c>
      <c r="U133" s="19" t="s">
        <v>126</v>
      </c>
      <c r="V133" s="19" t="e">
        <f t="shared" si="8"/>
        <v>#VALUE!</v>
      </c>
      <c r="W133" s="5" t="e">
        <f t="shared" si="9"/>
        <v>#VALUE!</v>
      </c>
      <c r="X133" t="e">
        <f t="shared" si="10"/>
        <v>#VALUE!</v>
      </c>
      <c r="Y133" s="5" t="e">
        <f t="shared" si="11"/>
        <v>#VALUE!</v>
      </c>
      <c r="Z133" t="e">
        <f t="shared" si="12"/>
        <v>#VALUE!</v>
      </c>
      <c r="AA133" t="e">
        <f t="shared" si="13"/>
        <v>#VALUE!</v>
      </c>
    </row>
    <row r="134" spans="1:27" ht="13.5" customHeight="1" thickBot="1" x14ac:dyDescent="0.35">
      <c r="A134">
        <f t="shared" ref="A134:A197" si="14">IFERROR((V134*V$2+W134*W$2+X134*X$2)*100/(V$4*V$2+W$4*W$2+X$4*X$2),0)</f>
        <v>0</v>
      </c>
      <c r="B134" s="18">
        <v>208</v>
      </c>
      <c r="C134" s="11" t="s">
        <v>543</v>
      </c>
      <c r="D134" s="19" t="s">
        <v>416</v>
      </c>
      <c r="E134" s="19" t="s">
        <v>36</v>
      </c>
      <c r="F134" s="19" t="s">
        <v>36</v>
      </c>
      <c r="G134" s="19">
        <v>22</v>
      </c>
      <c r="H134" s="19" t="s">
        <v>126</v>
      </c>
      <c r="I134" s="19" t="s">
        <v>126</v>
      </c>
      <c r="J134" s="19" t="s">
        <v>126</v>
      </c>
      <c r="K134" s="19" t="s">
        <v>126</v>
      </c>
      <c r="L134" s="19" t="s">
        <v>126</v>
      </c>
      <c r="M134" s="19" t="s">
        <v>126</v>
      </c>
      <c r="N134" s="19" t="s">
        <v>126</v>
      </c>
      <c r="O134" s="19" t="s">
        <v>126</v>
      </c>
      <c r="P134" s="19" t="s">
        <v>126</v>
      </c>
      <c r="Q134" s="19" t="s">
        <v>126</v>
      </c>
      <c r="R134" s="19" t="s">
        <v>126</v>
      </c>
      <c r="S134" s="19" t="s">
        <v>126</v>
      </c>
      <c r="T134" s="19" t="s">
        <v>126</v>
      </c>
      <c r="U134" s="19" t="s">
        <v>126</v>
      </c>
      <c r="V134" s="19" t="e">
        <f t="shared" ref="V134:V197" si="15">K$1*(0.000001*K134^3)+L$1*((-0.000002)*L134^3+0.00032*L134^2+(-0.0021)*L134)+M$1*((-0.000002)*M134^3+0.00032*M134^2+(-0.0021)*M134)+N$1*((-0.000002)*N134^3+0.00032*N134^2+(-0.0021)*N134)+O$1*((-0.000002)*O134^3+0.00032*O134^2+(-0.0021)*O134)</f>
        <v>#VALUE!</v>
      </c>
      <c r="W134" s="5" t="e">
        <f t="shared" ref="W134:W197" si="16">P$1*((-0.000002)*P134^3+0.00032*P134^2+(-0.0021)*P134)+Q$1*((-0.000002)*Q134^3+0.00032*Q134^2+(-0.0021)*Q134)+R$1*((-0.000002)*R134^3+0.00032*R134^2+(-0.0021)*R134)+S$1*((-0.000002)*S134^3+0.00032*S134^2+(-0.0021)*S134)+T$1*((-0.000002)*T134^3+0.00032*T134^2+(-0.0021)*T134)</f>
        <v>#VALUE!</v>
      </c>
      <c r="X134" t="e">
        <f t="shared" ref="X134:X197" si="17">(I$1*((-0.000002)*I134^3+0.00032*I134^2+(-0.0021)*I134)+J$1*((-0.000002)*J134^3+0.00032*J134^2+(-0.0021)*J134)+H$1*((-0.000002)*H134^3+0.00032*H134^2+(-0.0021)*H134))*(MAX(0.05,MIN(1,(2*J134+I134)/120)*MIN(1,I134/10)*MIN(1,J134/10)))</f>
        <v>#VALUE!</v>
      </c>
      <c r="Y134" s="5" t="e">
        <f t="shared" ref="Y134:Y197" si="18">(I$1*((-0.000002)*I134^3+0.00032*I134^2+(-0.0021)*I134)+J$1*((-0.000002)*J134^3+0.00032*J134^2+(-0.0021)*J134)+H$1*((-0.000002)*H134^3+0.00032*H134^2+(-0.0021)*H134))*(MAX(0.05,MIN(1,(2*J134+I134)/120)*MIN(1,I134/10)*MIN(1,J134/10)))</f>
        <v>#VALUE!</v>
      </c>
      <c r="Z134" t="e">
        <f t="shared" ref="Z134:Z197" si="19">IF(AND(J134&gt;50,I134+J134&gt;75),"SP",IF(2*I134+J134&gt;120,"RP","CRAP"))</f>
        <v>#VALUE!</v>
      </c>
      <c r="AA134" t="e">
        <f t="shared" ref="AA134:AA197" si="20">IF(AND(J134&gt;50,I134+J134&gt;75),"SP",IF(2*I134+J134&gt;120,"RP","CRAP"))</f>
        <v>#VALUE!</v>
      </c>
    </row>
    <row r="135" spans="1:27" ht="13.5" customHeight="1" thickBot="1" x14ac:dyDescent="0.35">
      <c r="A135">
        <f t="shared" si="14"/>
        <v>0</v>
      </c>
      <c r="B135" s="18">
        <v>209</v>
      </c>
      <c r="C135" s="11" t="s">
        <v>544</v>
      </c>
      <c r="D135" s="19" t="s">
        <v>416</v>
      </c>
      <c r="E135" s="19" t="s">
        <v>36</v>
      </c>
      <c r="F135" s="19" t="s">
        <v>36</v>
      </c>
      <c r="G135" s="19">
        <v>21</v>
      </c>
      <c r="H135" s="19" t="s">
        <v>126</v>
      </c>
      <c r="I135" s="19" t="s">
        <v>126</v>
      </c>
      <c r="J135" s="19" t="s">
        <v>126</v>
      </c>
      <c r="K135" s="19" t="s">
        <v>126</v>
      </c>
      <c r="L135" s="19" t="s">
        <v>126</v>
      </c>
      <c r="M135" s="19" t="s">
        <v>126</v>
      </c>
      <c r="N135" s="19" t="s">
        <v>126</v>
      </c>
      <c r="O135" s="19" t="s">
        <v>126</v>
      </c>
      <c r="P135" s="19" t="s">
        <v>126</v>
      </c>
      <c r="Q135" s="19" t="s">
        <v>126</v>
      </c>
      <c r="R135" s="19" t="s">
        <v>126</v>
      </c>
      <c r="S135" s="19" t="s">
        <v>126</v>
      </c>
      <c r="T135" s="19" t="s">
        <v>126</v>
      </c>
      <c r="U135" s="19" t="s">
        <v>126</v>
      </c>
      <c r="V135" s="19" t="e">
        <f t="shared" si="15"/>
        <v>#VALUE!</v>
      </c>
      <c r="W135" s="5" t="e">
        <f t="shared" si="16"/>
        <v>#VALUE!</v>
      </c>
      <c r="X135" t="e">
        <f t="shared" si="17"/>
        <v>#VALUE!</v>
      </c>
      <c r="Y135" s="5" t="e">
        <f t="shared" si="18"/>
        <v>#VALUE!</v>
      </c>
      <c r="Z135" t="e">
        <f t="shared" si="19"/>
        <v>#VALUE!</v>
      </c>
      <c r="AA135" t="e">
        <f t="shared" si="20"/>
        <v>#VALUE!</v>
      </c>
    </row>
    <row r="136" spans="1:27" ht="13.5" customHeight="1" thickBot="1" x14ac:dyDescent="0.35">
      <c r="A136">
        <f t="shared" si="14"/>
        <v>0</v>
      </c>
      <c r="B136" s="16">
        <v>210</v>
      </c>
      <c r="C136" s="10" t="s">
        <v>545</v>
      </c>
      <c r="D136" s="17" t="s">
        <v>416</v>
      </c>
      <c r="E136" s="17" t="s">
        <v>47</v>
      </c>
      <c r="F136" s="17" t="s">
        <v>47</v>
      </c>
      <c r="G136" s="17">
        <v>18</v>
      </c>
      <c r="H136" s="17" t="s">
        <v>126</v>
      </c>
      <c r="I136" s="17" t="s">
        <v>126</v>
      </c>
      <c r="J136" s="17" t="s">
        <v>126</v>
      </c>
      <c r="K136" s="17" t="s">
        <v>126</v>
      </c>
      <c r="L136" s="17" t="s">
        <v>126</v>
      </c>
      <c r="M136" s="17" t="s">
        <v>126</v>
      </c>
      <c r="N136" s="17" t="s">
        <v>126</v>
      </c>
      <c r="O136" s="17" t="s">
        <v>126</v>
      </c>
      <c r="P136" s="17" t="s">
        <v>126</v>
      </c>
      <c r="Q136" s="17" t="s">
        <v>126</v>
      </c>
      <c r="R136" s="17" t="s">
        <v>126</v>
      </c>
      <c r="S136" s="17" t="s">
        <v>126</v>
      </c>
      <c r="T136" s="17" t="s">
        <v>126</v>
      </c>
      <c r="U136" s="17" t="s">
        <v>126</v>
      </c>
      <c r="V136" s="17" t="e">
        <f t="shared" si="15"/>
        <v>#VALUE!</v>
      </c>
      <c r="W136" s="5" t="e">
        <f t="shared" si="16"/>
        <v>#VALUE!</v>
      </c>
      <c r="X136" t="e">
        <f t="shared" si="17"/>
        <v>#VALUE!</v>
      </c>
      <c r="Y136" s="5" t="e">
        <f t="shared" si="18"/>
        <v>#VALUE!</v>
      </c>
      <c r="Z136" t="e">
        <f t="shared" si="19"/>
        <v>#VALUE!</v>
      </c>
      <c r="AA136" t="e">
        <f t="shared" si="20"/>
        <v>#VALUE!</v>
      </c>
    </row>
    <row r="137" spans="1:27" ht="13.5" customHeight="1" thickBot="1" x14ac:dyDescent="0.35">
      <c r="A137">
        <f t="shared" si="14"/>
        <v>0</v>
      </c>
      <c r="B137" s="18">
        <v>211</v>
      </c>
      <c r="C137" s="11" t="s">
        <v>546</v>
      </c>
      <c r="D137" s="19" t="s">
        <v>416</v>
      </c>
      <c r="E137" s="19" t="s">
        <v>36</v>
      </c>
      <c r="F137" s="19" t="s">
        <v>36</v>
      </c>
      <c r="G137" s="19">
        <v>18</v>
      </c>
      <c r="H137" s="19" t="s">
        <v>126</v>
      </c>
      <c r="I137" s="19" t="s">
        <v>126</v>
      </c>
      <c r="J137" s="19" t="s">
        <v>126</v>
      </c>
      <c r="K137" s="19" t="s">
        <v>126</v>
      </c>
      <c r="L137" s="19" t="s">
        <v>126</v>
      </c>
      <c r="M137" s="19" t="s">
        <v>126</v>
      </c>
      <c r="N137" s="19" t="s">
        <v>126</v>
      </c>
      <c r="O137" s="19" t="s">
        <v>126</v>
      </c>
      <c r="P137" s="19" t="s">
        <v>126</v>
      </c>
      <c r="Q137" s="19" t="s">
        <v>126</v>
      </c>
      <c r="R137" s="19" t="s">
        <v>126</v>
      </c>
      <c r="S137" s="19" t="s">
        <v>126</v>
      </c>
      <c r="T137" s="19" t="s">
        <v>126</v>
      </c>
      <c r="U137" s="19" t="s">
        <v>126</v>
      </c>
      <c r="V137" s="19" t="e">
        <f t="shared" si="15"/>
        <v>#VALUE!</v>
      </c>
      <c r="W137" s="5" t="e">
        <f t="shared" si="16"/>
        <v>#VALUE!</v>
      </c>
      <c r="X137" t="e">
        <f t="shared" si="17"/>
        <v>#VALUE!</v>
      </c>
      <c r="Y137" s="5" t="e">
        <f t="shared" si="18"/>
        <v>#VALUE!</v>
      </c>
      <c r="Z137" t="e">
        <f t="shared" si="19"/>
        <v>#VALUE!</v>
      </c>
      <c r="AA137" t="e">
        <f t="shared" si="20"/>
        <v>#VALUE!</v>
      </c>
    </row>
    <row r="138" spans="1:27" ht="13.5" customHeight="1" thickBot="1" x14ac:dyDescent="0.35">
      <c r="A138">
        <f t="shared" si="14"/>
        <v>0</v>
      </c>
      <c r="B138" s="18">
        <v>212</v>
      </c>
      <c r="C138" s="11" t="s">
        <v>547</v>
      </c>
      <c r="D138" s="19" t="s">
        <v>416</v>
      </c>
      <c r="E138" s="19" t="s">
        <v>47</v>
      </c>
      <c r="F138" s="19" t="s">
        <v>47</v>
      </c>
      <c r="G138" s="19">
        <v>20</v>
      </c>
      <c r="H138" s="19" t="s">
        <v>126</v>
      </c>
      <c r="I138" s="19" t="s">
        <v>126</v>
      </c>
      <c r="J138" s="19" t="s">
        <v>126</v>
      </c>
      <c r="K138" s="19" t="s">
        <v>126</v>
      </c>
      <c r="L138" s="19" t="s">
        <v>126</v>
      </c>
      <c r="M138" s="19" t="s">
        <v>126</v>
      </c>
      <c r="N138" s="19" t="s">
        <v>126</v>
      </c>
      <c r="O138" s="19" t="s">
        <v>126</v>
      </c>
      <c r="P138" s="19" t="s">
        <v>126</v>
      </c>
      <c r="Q138" s="19" t="s">
        <v>126</v>
      </c>
      <c r="R138" s="19" t="s">
        <v>126</v>
      </c>
      <c r="S138" s="19" t="s">
        <v>126</v>
      </c>
      <c r="T138" s="19" t="s">
        <v>126</v>
      </c>
      <c r="U138" s="19" t="s">
        <v>126</v>
      </c>
      <c r="V138" s="19" t="e">
        <f t="shared" si="15"/>
        <v>#VALUE!</v>
      </c>
      <c r="W138" s="5" t="e">
        <f t="shared" si="16"/>
        <v>#VALUE!</v>
      </c>
      <c r="X138" t="e">
        <f t="shared" si="17"/>
        <v>#VALUE!</v>
      </c>
      <c r="Y138" s="5" t="e">
        <f t="shared" si="18"/>
        <v>#VALUE!</v>
      </c>
      <c r="Z138" t="e">
        <f t="shared" si="19"/>
        <v>#VALUE!</v>
      </c>
      <c r="AA138" t="e">
        <f t="shared" si="20"/>
        <v>#VALUE!</v>
      </c>
    </row>
    <row r="139" spans="1:27" ht="13.5" customHeight="1" thickBot="1" x14ac:dyDescent="0.35">
      <c r="A139">
        <f t="shared" si="14"/>
        <v>0</v>
      </c>
      <c r="B139" s="16">
        <v>213</v>
      </c>
      <c r="C139" s="10" t="s">
        <v>548</v>
      </c>
      <c r="D139" s="17" t="s">
        <v>416</v>
      </c>
      <c r="E139" s="17" t="s">
        <v>36</v>
      </c>
      <c r="F139" s="17" t="s">
        <v>36</v>
      </c>
      <c r="G139" s="17">
        <v>19</v>
      </c>
      <c r="H139" s="17" t="s">
        <v>126</v>
      </c>
      <c r="I139" s="17" t="s">
        <v>126</v>
      </c>
      <c r="J139" s="17" t="s">
        <v>126</v>
      </c>
      <c r="K139" s="17" t="s">
        <v>126</v>
      </c>
      <c r="L139" s="17" t="s">
        <v>126</v>
      </c>
      <c r="M139" s="17" t="s">
        <v>126</v>
      </c>
      <c r="N139" s="17" t="s">
        <v>126</v>
      </c>
      <c r="O139" s="17" t="s">
        <v>126</v>
      </c>
      <c r="P139" s="17" t="s">
        <v>126</v>
      </c>
      <c r="Q139" s="17" t="s">
        <v>126</v>
      </c>
      <c r="R139" s="17" t="s">
        <v>126</v>
      </c>
      <c r="S139" s="17" t="s">
        <v>126</v>
      </c>
      <c r="T139" s="17" t="s">
        <v>126</v>
      </c>
      <c r="U139" s="17" t="s">
        <v>126</v>
      </c>
      <c r="V139" s="17" t="e">
        <f t="shared" si="15"/>
        <v>#VALUE!</v>
      </c>
      <c r="W139" s="5" t="e">
        <f t="shared" si="16"/>
        <v>#VALUE!</v>
      </c>
      <c r="X139" t="e">
        <f t="shared" si="17"/>
        <v>#VALUE!</v>
      </c>
      <c r="Y139" s="5" t="e">
        <f t="shared" si="18"/>
        <v>#VALUE!</v>
      </c>
      <c r="Z139" t="e">
        <f t="shared" si="19"/>
        <v>#VALUE!</v>
      </c>
      <c r="AA139" t="e">
        <f t="shared" si="20"/>
        <v>#VALUE!</v>
      </c>
    </row>
    <row r="140" spans="1:27" ht="13.5" customHeight="1" thickBot="1" x14ac:dyDescent="0.35">
      <c r="A140">
        <f t="shared" si="14"/>
        <v>0</v>
      </c>
      <c r="B140" s="16">
        <v>214</v>
      </c>
      <c r="C140" s="10" t="s">
        <v>549</v>
      </c>
      <c r="D140" s="17" t="s">
        <v>416</v>
      </c>
      <c r="E140" s="17" t="s">
        <v>47</v>
      </c>
      <c r="F140" s="17" t="s">
        <v>47</v>
      </c>
      <c r="G140" s="17">
        <v>20</v>
      </c>
      <c r="H140" s="17" t="s">
        <v>126</v>
      </c>
      <c r="I140" s="17" t="s">
        <v>126</v>
      </c>
      <c r="J140" s="17" t="s">
        <v>126</v>
      </c>
      <c r="K140" s="17" t="s">
        <v>126</v>
      </c>
      <c r="L140" s="17" t="s">
        <v>126</v>
      </c>
      <c r="M140" s="17" t="s">
        <v>126</v>
      </c>
      <c r="N140" s="17" t="s">
        <v>126</v>
      </c>
      <c r="O140" s="17" t="s">
        <v>126</v>
      </c>
      <c r="P140" s="17" t="s">
        <v>126</v>
      </c>
      <c r="Q140" s="17" t="s">
        <v>126</v>
      </c>
      <c r="R140" s="17" t="s">
        <v>126</v>
      </c>
      <c r="S140" s="17" t="s">
        <v>126</v>
      </c>
      <c r="T140" s="17" t="s">
        <v>126</v>
      </c>
      <c r="U140" s="17" t="s">
        <v>126</v>
      </c>
      <c r="V140" s="17" t="e">
        <f t="shared" si="15"/>
        <v>#VALUE!</v>
      </c>
      <c r="W140" s="5" t="e">
        <f t="shared" si="16"/>
        <v>#VALUE!</v>
      </c>
      <c r="X140" t="e">
        <f t="shared" si="17"/>
        <v>#VALUE!</v>
      </c>
      <c r="Y140" s="5" t="e">
        <f t="shared" si="18"/>
        <v>#VALUE!</v>
      </c>
      <c r="Z140" t="e">
        <f t="shared" si="19"/>
        <v>#VALUE!</v>
      </c>
      <c r="AA140" t="e">
        <f t="shared" si="20"/>
        <v>#VALUE!</v>
      </c>
    </row>
    <row r="141" spans="1:27" ht="13.5" customHeight="1" thickBot="1" x14ac:dyDescent="0.35">
      <c r="A141">
        <f t="shared" si="14"/>
        <v>0</v>
      </c>
      <c r="B141" s="16">
        <v>215</v>
      </c>
      <c r="C141" s="10" t="s">
        <v>550</v>
      </c>
      <c r="D141" s="17" t="s">
        <v>416</v>
      </c>
      <c r="E141" s="17" t="s">
        <v>47</v>
      </c>
      <c r="F141" s="17" t="s">
        <v>47</v>
      </c>
      <c r="G141" s="17">
        <v>22</v>
      </c>
      <c r="H141" s="17" t="s">
        <v>126</v>
      </c>
      <c r="I141" s="17" t="s">
        <v>126</v>
      </c>
      <c r="J141" s="17" t="s">
        <v>126</v>
      </c>
      <c r="K141" s="17" t="s">
        <v>126</v>
      </c>
      <c r="L141" s="17" t="s">
        <v>126</v>
      </c>
      <c r="M141" s="17" t="s">
        <v>126</v>
      </c>
      <c r="N141" s="17" t="s">
        <v>126</v>
      </c>
      <c r="O141" s="17" t="s">
        <v>126</v>
      </c>
      <c r="P141" s="17" t="s">
        <v>126</v>
      </c>
      <c r="Q141" s="17" t="s">
        <v>126</v>
      </c>
      <c r="R141" s="17" t="s">
        <v>126</v>
      </c>
      <c r="S141" s="17" t="s">
        <v>126</v>
      </c>
      <c r="T141" s="17" t="s">
        <v>126</v>
      </c>
      <c r="U141" s="17" t="s">
        <v>126</v>
      </c>
      <c r="V141" s="17" t="e">
        <f t="shared" si="15"/>
        <v>#VALUE!</v>
      </c>
      <c r="W141" s="5" t="e">
        <f t="shared" si="16"/>
        <v>#VALUE!</v>
      </c>
      <c r="X141" t="e">
        <f t="shared" si="17"/>
        <v>#VALUE!</v>
      </c>
      <c r="Y141" s="5" t="e">
        <f t="shared" si="18"/>
        <v>#VALUE!</v>
      </c>
      <c r="Z141" t="e">
        <f t="shared" si="19"/>
        <v>#VALUE!</v>
      </c>
      <c r="AA141" t="e">
        <f t="shared" si="20"/>
        <v>#VALUE!</v>
      </c>
    </row>
    <row r="142" spans="1:27" ht="13.5" customHeight="1" thickBot="1" x14ac:dyDescent="0.35">
      <c r="A142">
        <f t="shared" si="14"/>
        <v>0</v>
      </c>
      <c r="B142" s="18">
        <v>216</v>
      </c>
      <c r="C142" s="11" t="s">
        <v>551</v>
      </c>
      <c r="D142" s="19" t="s">
        <v>416</v>
      </c>
      <c r="E142" s="19" t="s">
        <v>36</v>
      </c>
      <c r="F142" s="19" t="s">
        <v>36</v>
      </c>
      <c r="G142" s="19">
        <v>22</v>
      </c>
      <c r="H142" s="19" t="s">
        <v>126</v>
      </c>
      <c r="I142" s="19" t="s">
        <v>126</v>
      </c>
      <c r="J142" s="19" t="s">
        <v>126</v>
      </c>
      <c r="K142" s="19" t="s">
        <v>126</v>
      </c>
      <c r="L142" s="19" t="s">
        <v>126</v>
      </c>
      <c r="M142" s="19" t="s">
        <v>126</v>
      </c>
      <c r="N142" s="19" t="s">
        <v>126</v>
      </c>
      <c r="O142" s="19" t="s">
        <v>126</v>
      </c>
      <c r="P142" s="19" t="s">
        <v>126</v>
      </c>
      <c r="Q142" s="19" t="s">
        <v>126</v>
      </c>
      <c r="R142" s="19" t="s">
        <v>126</v>
      </c>
      <c r="S142" s="19" t="s">
        <v>126</v>
      </c>
      <c r="T142" s="19" t="s">
        <v>126</v>
      </c>
      <c r="U142" s="19" t="s">
        <v>126</v>
      </c>
      <c r="V142" s="19" t="e">
        <f t="shared" si="15"/>
        <v>#VALUE!</v>
      </c>
      <c r="W142" s="5" t="e">
        <f t="shared" si="16"/>
        <v>#VALUE!</v>
      </c>
      <c r="X142" t="e">
        <f t="shared" si="17"/>
        <v>#VALUE!</v>
      </c>
      <c r="Y142" s="5" t="e">
        <f t="shared" si="18"/>
        <v>#VALUE!</v>
      </c>
      <c r="Z142" t="e">
        <f t="shared" si="19"/>
        <v>#VALUE!</v>
      </c>
      <c r="AA142" t="e">
        <f t="shared" si="20"/>
        <v>#VALUE!</v>
      </c>
    </row>
    <row r="143" spans="1:27" ht="13.5" customHeight="1" thickBot="1" x14ac:dyDescent="0.35">
      <c r="A143">
        <f t="shared" si="14"/>
        <v>0</v>
      </c>
      <c r="B143" s="16">
        <v>217</v>
      </c>
      <c r="C143" s="10" t="s">
        <v>552</v>
      </c>
      <c r="D143" s="17" t="s">
        <v>416</v>
      </c>
      <c r="E143" s="17" t="s">
        <v>36</v>
      </c>
      <c r="F143" s="17" t="s">
        <v>36</v>
      </c>
      <c r="G143" s="17">
        <v>21</v>
      </c>
      <c r="H143" s="17" t="s">
        <v>126</v>
      </c>
      <c r="I143" s="17" t="s">
        <v>126</v>
      </c>
      <c r="J143" s="17" t="s">
        <v>126</v>
      </c>
      <c r="K143" s="17" t="s">
        <v>126</v>
      </c>
      <c r="L143" s="17" t="s">
        <v>126</v>
      </c>
      <c r="M143" s="17" t="s">
        <v>126</v>
      </c>
      <c r="N143" s="17" t="s">
        <v>126</v>
      </c>
      <c r="O143" s="17" t="s">
        <v>126</v>
      </c>
      <c r="P143" s="17" t="s">
        <v>126</v>
      </c>
      <c r="Q143" s="17" t="s">
        <v>126</v>
      </c>
      <c r="R143" s="17" t="s">
        <v>126</v>
      </c>
      <c r="S143" s="17" t="s">
        <v>126</v>
      </c>
      <c r="T143" s="17" t="s">
        <v>126</v>
      </c>
      <c r="U143" s="17" t="s">
        <v>126</v>
      </c>
      <c r="V143" s="17" t="e">
        <f t="shared" si="15"/>
        <v>#VALUE!</v>
      </c>
      <c r="W143" s="5" t="e">
        <f t="shared" si="16"/>
        <v>#VALUE!</v>
      </c>
      <c r="X143" t="e">
        <f t="shared" si="17"/>
        <v>#VALUE!</v>
      </c>
      <c r="Y143" s="5" t="e">
        <f t="shared" si="18"/>
        <v>#VALUE!</v>
      </c>
      <c r="Z143" t="e">
        <f t="shared" si="19"/>
        <v>#VALUE!</v>
      </c>
      <c r="AA143" t="e">
        <f t="shared" si="20"/>
        <v>#VALUE!</v>
      </c>
    </row>
    <row r="144" spans="1:27" ht="13.5" customHeight="1" thickBot="1" x14ac:dyDescent="0.35">
      <c r="A144">
        <f t="shared" si="14"/>
        <v>0</v>
      </c>
      <c r="B144" s="18">
        <v>218</v>
      </c>
      <c r="C144" s="11" t="s">
        <v>553</v>
      </c>
      <c r="D144" s="19" t="s">
        <v>416</v>
      </c>
      <c r="E144" s="19" t="s">
        <v>47</v>
      </c>
      <c r="F144" s="19" t="s">
        <v>47</v>
      </c>
      <c r="G144" s="19">
        <v>19</v>
      </c>
      <c r="H144" s="19" t="s">
        <v>126</v>
      </c>
      <c r="I144" s="19" t="s">
        <v>126</v>
      </c>
      <c r="J144" s="19" t="s">
        <v>126</v>
      </c>
      <c r="K144" s="19" t="s">
        <v>126</v>
      </c>
      <c r="L144" s="19" t="s">
        <v>126</v>
      </c>
      <c r="M144" s="19" t="s">
        <v>126</v>
      </c>
      <c r="N144" s="19" t="s">
        <v>126</v>
      </c>
      <c r="O144" s="19" t="s">
        <v>126</v>
      </c>
      <c r="P144" s="19" t="s">
        <v>126</v>
      </c>
      <c r="Q144" s="19" t="s">
        <v>126</v>
      </c>
      <c r="R144" s="19" t="s">
        <v>126</v>
      </c>
      <c r="S144" s="19" t="s">
        <v>126</v>
      </c>
      <c r="T144" s="19" t="s">
        <v>126</v>
      </c>
      <c r="U144" s="19" t="s">
        <v>126</v>
      </c>
      <c r="V144" s="19" t="e">
        <f t="shared" si="15"/>
        <v>#VALUE!</v>
      </c>
      <c r="W144" s="5" t="e">
        <f t="shared" si="16"/>
        <v>#VALUE!</v>
      </c>
      <c r="X144" t="e">
        <f t="shared" si="17"/>
        <v>#VALUE!</v>
      </c>
      <c r="Y144" s="5" t="e">
        <f t="shared" si="18"/>
        <v>#VALUE!</v>
      </c>
      <c r="Z144" t="e">
        <f t="shared" si="19"/>
        <v>#VALUE!</v>
      </c>
      <c r="AA144" t="e">
        <f t="shared" si="20"/>
        <v>#VALUE!</v>
      </c>
    </row>
    <row r="145" spans="1:27" ht="13.5" customHeight="1" thickBot="1" x14ac:dyDescent="0.35">
      <c r="A145">
        <f t="shared" si="14"/>
        <v>0</v>
      </c>
      <c r="B145" s="18">
        <v>219</v>
      </c>
      <c r="C145" s="11" t="s">
        <v>554</v>
      </c>
      <c r="D145" s="19" t="s">
        <v>416</v>
      </c>
      <c r="E145" s="19" t="s">
        <v>46</v>
      </c>
      <c r="F145" s="19" t="s">
        <v>47</v>
      </c>
      <c r="G145" s="19">
        <v>19</v>
      </c>
      <c r="H145" s="19" t="s">
        <v>126</v>
      </c>
      <c r="I145" s="19" t="s">
        <v>126</v>
      </c>
      <c r="J145" s="19" t="s">
        <v>126</v>
      </c>
      <c r="K145" s="19" t="s">
        <v>126</v>
      </c>
      <c r="L145" s="19" t="s">
        <v>126</v>
      </c>
      <c r="M145" s="19" t="s">
        <v>126</v>
      </c>
      <c r="N145" s="19" t="s">
        <v>126</v>
      </c>
      <c r="O145" s="19" t="s">
        <v>126</v>
      </c>
      <c r="P145" s="19" t="s">
        <v>126</v>
      </c>
      <c r="Q145" s="19" t="s">
        <v>126</v>
      </c>
      <c r="R145" s="19" t="s">
        <v>126</v>
      </c>
      <c r="S145" s="19" t="s">
        <v>126</v>
      </c>
      <c r="T145" s="19" t="s">
        <v>126</v>
      </c>
      <c r="U145" s="19" t="s">
        <v>126</v>
      </c>
      <c r="V145" s="19" t="e">
        <f t="shared" si="15"/>
        <v>#VALUE!</v>
      </c>
      <c r="W145" s="5" t="e">
        <f t="shared" si="16"/>
        <v>#VALUE!</v>
      </c>
      <c r="X145" t="e">
        <f t="shared" si="17"/>
        <v>#VALUE!</v>
      </c>
      <c r="Y145" s="5" t="e">
        <f t="shared" si="18"/>
        <v>#VALUE!</v>
      </c>
      <c r="Z145" t="e">
        <f t="shared" si="19"/>
        <v>#VALUE!</v>
      </c>
      <c r="AA145" t="e">
        <f t="shared" si="20"/>
        <v>#VALUE!</v>
      </c>
    </row>
    <row r="146" spans="1:27" ht="13.5" customHeight="1" thickBot="1" x14ac:dyDescent="0.35">
      <c r="A146">
        <f t="shared" si="14"/>
        <v>0</v>
      </c>
      <c r="B146" s="16">
        <v>220</v>
      </c>
      <c r="C146" s="10" t="s">
        <v>555</v>
      </c>
      <c r="D146" s="17" t="s">
        <v>416</v>
      </c>
      <c r="E146" s="17" t="s">
        <v>47</v>
      </c>
      <c r="F146" s="17" t="s">
        <v>47</v>
      </c>
      <c r="G146" s="17">
        <v>20</v>
      </c>
      <c r="H146" s="17" t="s">
        <v>126</v>
      </c>
      <c r="I146" s="17" t="s">
        <v>126</v>
      </c>
      <c r="J146" s="17" t="s">
        <v>126</v>
      </c>
      <c r="K146" s="17" t="s">
        <v>126</v>
      </c>
      <c r="L146" s="17" t="s">
        <v>126</v>
      </c>
      <c r="M146" s="17" t="s">
        <v>126</v>
      </c>
      <c r="N146" s="17" t="s">
        <v>126</v>
      </c>
      <c r="O146" s="17" t="s">
        <v>126</v>
      </c>
      <c r="P146" s="17" t="s">
        <v>126</v>
      </c>
      <c r="Q146" s="17" t="s">
        <v>126</v>
      </c>
      <c r="R146" s="17" t="s">
        <v>126</v>
      </c>
      <c r="S146" s="17" t="s">
        <v>126</v>
      </c>
      <c r="T146" s="17" t="s">
        <v>126</v>
      </c>
      <c r="U146" s="17" t="s">
        <v>126</v>
      </c>
      <c r="V146" s="17" t="e">
        <f t="shared" si="15"/>
        <v>#VALUE!</v>
      </c>
      <c r="W146" s="5" t="e">
        <f t="shared" si="16"/>
        <v>#VALUE!</v>
      </c>
      <c r="X146" t="e">
        <f t="shared" si="17"/>
        <v>#VALUE!</v>
      </c>
      <c r="Y146" s="5" t="e">
        <f t="shared" si="18"/>
        <v>#VALUE!</v>
      </c>
      <c r="Z146" t="e">
        <f t="shared" si="19"/>
        <v>#VALUE!</v>
      </c>
      <c r="AA146" t="e">
        <f t="shared" si="20"/>
        <v>#VALUE!</v>
      </c>
    </row>
    <row r="147" spans="1:27" ht="13.5" customHeight="1" thickBot="1" x14ac:dyDescent="0.35">
      <c r="A147">
        <f t="shared" si="14"/>
        <v>0</v>
      </c>
      <c r="B147" s="16">
        <v>221</v>
      </c>
      <c r="C147" s="10" t="s">
        <v>556</v>
      </c>
      <c r="D147" s="17" t="s">
        <v>416</v>
      </c>
      <c r="E147" s="17" t="s">
        <v>47</v>
      </c>
      <c r="F147" s="17" t="s">
        <v>47</v>
      </c>
      <c r="G147" s="17">
        <v>20</v>
      </c>
      <c r="H147" s="17" t="s">
        <v>126</v>
      </c>
      <c r="I147" s="17" t="s">
        <v>126</v>
      </c>
      <c r="J147" s="17" t="s">
        <v>126</v>
      </c>
      <c r="K147" s="17" t="s">
        <v>126</v>
      </c>
      <c r="L147" s="17" t="s">
        <v>126</v>
      </c>
      <c r="M147" s="17" t="s">
        <v>126</v>
      </c>
      <c r="N147" s="17" t="s">
        <v>126</v>
      </c>
      <c r="O147" s="17" t="s">
        <v>126</v>
      </c>
      <c r="P147" s="17" t="s">
        <v>126</v>
      </c>
      <c r="Q147" s="17" t="s">
        <v>126</v>
      </c>
      <c r="R147" s="17" t="s">
        <v>126</v>
      </c>
      <c r="S147" s="17" t="s">
        <v>126</v>
      </c>
      <c r="T147" s="17" t="s">
        <v>126</v>
      </c>
      <c r="U147" s="17" t="s">
        <v>126</v>
      </c>
      <c r="V147" s="17" t="e">
        <f t="shared" si="15"/>
        <v>#VALUE!</v>
      </c>
      <c r="W147" s="5" t="e">
        <f t="shared" si="16"/>
        <v>#VALUE!</v>
      </c>
      <c r="X147" t="e">
        <f t="shared" si="17"/>
        <v>#VALUE!</v>
      </c>
      <c r="Y147" s="5" t="e">
        <f t="shared" si="18"/>
        <v>#VALUE!</v>
      </c>
      <c r="Z147" t="e">
        <f t="shared" si="19"/>
        <v>#VALUE!</v>
      </c>
      <c r="AA147" t="e">
        <f t="shared" si="20"/>
        <v>#VALUE!</v>
      </c>
    </row>
    <row r="148" spans="1:27" ht="13.5" customHeight="1" thickBot="1" x14ac:dyDescent="0.35">
      <c r="A148">
        <f t="shared" si="14"/>
        <v>0</v>
      </c>
      <c r="B148" s="18">
        <v>222</v>
      </c>
      <c r="C148" s="11" t="s">
        <v>154</v>
      </c>
      <c r="D148" s="19" t="s">
        <v>416</v>
      </c>
      <c r="E148" s="19" t="s">
        <v>36</v>
      </c>
      <c r="F148" s="19" t="s">
        <v>36</v>
      </c>
      <c r="G148" s="19">
        <v>20</v>
      </c>
      <c r="H148" s="19" t="s">
        <v>126</v>
      </c>
      <c r="I148" s="19" t="s">
        <v>126</v>
      </c>
      <c r="J148" s="19" t="s">
        <v>126</v>
      </c>
      <c r="K148" s="19" t="s">
        <v>126</v>
      </c>
      <c r="L148" s="19" t="s">
        <v>126</v>
      </c>
      <c r="M148" s="19" t="s">
        <v>126</v>
      </c>
      <c r="N148" s="19" t="s">
        <v>126</v>
      </c>
      <c r="O148" s="19" t="s">
        <v>126</v>
      </c>
      <c r="P148" s="19" t="s">
        <v>126</v>
      </c>
      <c r="Q148" s="19" t="s">
        <v>126</v>
      </c>
      <c r="R148" s="19" t="s">
        <v>126</v>
      </c>
      <c r="S148" s="19" t="s">
        <v>126</v>
      </c>
      <c r="T148" s="19" t="s">
        <v>126</v>
      </c>
      <c r="U148" s="19" t="s">
        <v>126</v>
      </c>
      <c r="V148" s="19" t="e">
        <f t="shared" si="15"/>
        <v>#VALUE!</v>
      </c>
      <c r="W148" s="5" t="e">
        <f t="shared" si="16"/>
        <v>#VALUE!</v>
      </c>
      <c r="X148" t="e">
        <f t="shared" si="17"/>
        <v>#VALUE!</v>
      </c>
      <c r="Y148" s="5" t="e">
        <f t="shared" si="18"/>
        <v>#VALUE!</v>
      </c>
      <c r="Z148" t="e">
        <f t="shared" si="19"/>
        <v>#VALUE!</v>
      </c>
      <c r="AA148" t="e">
        <f t="shared" si="20"/>
        <v>#VALUE!</v>
      </c>
    </row>
    <row r="149" spans="1:27" ht="13.5" customHeight="1" thickBot="1" x14ac:dyDescent="0.35">
      <c r="A149">
        <f t="shared" si="14"/>
        <v>0</v>
      </c>
      <c r="B149" s="16">
        <v>223</v>
      </c>
      <c r="C149" s="10" t="s">
        <v>557</v>
      </c>
      <c r="D149" s="17" t="s">
        <v>416</v>
      </c>
      <c r="E149" s="17" t="s">
        <v>36</v>
      </c>
      <c r="F149" s="17" t="s">
        <v>36</v>
      </c>
      <c r="G149" s="17">
        <v>19</v>
      </c>
      <c r="H149" s="17" t="s">
        <v>126</v>
      </c>
      <c r="I149" s="17" t="s">
        <v>126</v>
      </c>
      <c r="J149" s="17" t="s">
        <v>126</v>
      </c>
      <c r="K149" s="17" t="s">
        <v>126</v>
      </c>
      <c r="L149" s="17" t="s">
        <v>126</v>
      </c>
      <c r="M149" s="17" t="s">
        <v>126</v>
      </c>
      <c r="N149" s="17" t="s">
        <v>126</v>
      </c>
      <c r="O149" s="17" t="s">
        <v>126</v>
      </c>
      <c r="P149" s="17" t="s">
        <v>126</v>
      </c>
      <c r="Q149" s="17" t="s">
        <v>126</v>
      </c>
      <c r="R149" s="17" t="s">
        <v>126</v>
      </c>
      <c r="S149" s="17" t="s">
        <v>126</v>
      </c>
      <c r="T149" s="17" t="s">
        <v>126</v>
      </c>
      <c r="U149" s="17" t="s">
        <v>126</v>
      </c>
      <c r="V149" s="17" t="e">
        <f t="shared" si="15"/>
        <v>#VALUE!</v>
      </c>
      <c r="W149" s="5" t="e">
        <f t="shared" si="16"/>
        <v>#VALUE!</v>
      </c>
      <c r="X149" t="e">
        <f t="shared" si="17"/>
        <v>#VALUE!</v>
      </c>
      <c r="Y149" s="5" t="e">
        <f t="shared" si="18"/>
        <v>#VALUE!</v>
      </c>
      <c r="Z149" t="e">
        <f t="shared" si="19"/>
        <v>#VALUE!</v>
      </c>
      <c r="AA149" t="e">
        <f t="shared" si="20"/>
        <v>#VALUE!</v>
      </c>
    </row>
    <row r="150" spans="1:27" ht="13.5" customHeight="1" thickBot="1" x14ac:dyDescent="0.35">
      <c r="A150">
        <f t="shared" si="14"/>
        <v>0</v>
      </c>
      <c r="B150" s="18">
        <v>224</v>
      </c>
      <c r="C150" s="11" t="s">
        <v>558</v>
      </c>
      <c r="D150" s="19" t="s">
        <v>416</v>
      </c>
      <c r="E150" s="19" t="s">
        <v>46</v>
      </c>
      <c r="F150" s="19" t="s">
        <v>36</v>
      </c>
      <c r="G150" s="19">
        <v>19</v>
      </c>
      <c r="H150" s="19" t="s">
        <v>126</v>
      </c>
      <c r="I150" s="19" t="s">
        <v>126</v>
      </c>
      <c r="J150" s="19" t="s">
        <v>126</v>
      </c>
      <c r="K150" s="19" t="s">
        <v>126</v>
      </c>
      <c r="L150" s="19" t="s">
        <v>126</v>
      </c>
      <c r="M150" s="19" t="s">
        <v>126</v>
      </c>
      <c r="N150" s="19" t="s">
        <v>126</v>
      </c>
      <c r="O150" s="19" t="s">
        <v>126</v>
      </c>
      <c r="P150" s="19" t="s">
        <v>126</v>
      </c>
      <c r="Q150" s="19" t="s">
        <v>126</v>
      </c>
      <c r="R150" s="19" t="s">
        <v>126</v>
      </c>
      <c r="S150" s="19" t="s">
        <v>126</v>
      </c>
      <c r="T150" s="19" t="s">
        <v>126</v>
      </c>
      <c r="U150" s="19" t="s">
        <v>126</v>
      </c>
      <c r="V150" s="19" t="e">
        <f t="shared" si="15"/>
        <v>#VALUE!</v>
      </c>
      <c r="W150" s="5" t="e">
        <f t="shared" si="16"/>
        <v>#VALUE!</v>
      </c>
      <c r="X150" t="e">
        <f t="shared" si="17"/>
        <v>#VALUE!</v>
      </c>
      <c r="Y150" s="5" t="e">
        <f t="shared" si="18"/>
        <v>#VALUE!</v>
      </c>
      <c r="Z150" t="e">
        <f t="shared" si="19"/>
        <v>#VALUE!</v>
      </c>
      <c r="AA150" t="e">
        <f t="shared" si="20"/>
        <v>#VALUE!</v>
      </c>
    </row>
    <row r="151" spans="1:27" ht="13.5" customHeight="1" thickBot="1" x14ac:dyDescent="0.35">
      <c r="A151">
        <f t="shared" si="14"/>
        <v>0</v>
      </c>
      <c r="B151" s="18">
        <v>225</v>
      </c>
      <c r="C151" s="11" t="s">
        <v>559</v>
      </c>
      <c r="D151" s="19" t="s">
        <v>416</v>
      </c>
      <c r="E151" s="19" t="s">
        <v>36</v>
      </c>
      <c r="F151" s="19" t="s">
        <v>36</v>
      </c>
      <c r="G151" s="19">
        <v>18</v>
      </c>
      <c r="H151" s="19" t="s">
        <v>126</v>
      </c>
      <c r="I151" s="19" t="s">
        <v>126</v>
      </c>
      <c r="J151" s="19" t="s">
        <v>126</v>
      </c>
      <c r="K151" s="19" t="s">
        <v>126</v>
      </c>
      <c r="L151" s="19" t="s">
        <v>126</v>
      </c>
      <c r="M151" s="19" t="s">
        <v>126</v>
      </c>
      <c r="N151" s="19" t="s">
        <v>126</v>
      </c>
      <c r="O151" s="19" t="s">
        <v>126</v>
      </c>
      <c r="P151" s="19" t="s">
        <v>126</v>
      </c>
      <c r="Q151" s="19" t="s">
        <v>126</v>
      </c>
      <c r="R151" s="19" t="s">
        <v>126</v>
      </c>
      <c r="S151" s="19" t="s">
        <v>126</v>
      </c>
      <c r="T151" s="19" t="s">
        <v>126</v>
      </c>
      <c r="U151" s="19" t="s">
        <v>126</v>
      </c>
      <c r="V151" s="19" t="e">
        <f t="shared" si="15"/>
        <v>#VALUE!</v>
      </c>
      <c r="W151" s="5" t="e">
        <f t="shared" si="16"/>
        <v>#VALUE!</v>
      </c>
      <c r="X151" t="e">
        <f t="shared" si="17"/>
        <v>#VALUE!</v>
      </c>
      <c r="Y151" s="5" t="e">
        <f t="shared" si="18"/>
        <v>#VALUE!</v>
      </c>
      <c r="Z151" t="e">
        <f t="shared" si="19"/>
        <v>#VALUE!</v>
      </c>
      <c r="AA151" t="e">
        <f t="shared" si="20"/>
        <v>#VALUE!</v>
      </c>
    </row>
    <row r="152" spans="1:27" ht="13.5" customHeight="1" thickBot="1" x14ac:dyDescent="0.35">
      <c r="A152">
        <f t="shared" si="14"/>
        <v>0</v>
      </c>
      <c r="B152" s="18">
        <v>226</v>
      </c>
      <c r="C152" s="11" t="s">
        <v>560</v>
      </c>
      <c r="D152" s="19" t="s">
        <v>416</v>
      </c>
      <c r="E152" s="19" t="s">
        <v>36</v>
      </c>
      <c r="F152" s="19" t="s">
        <v>36</v>
      </c>
      <c r="G152" s="19">
        <v>22</v>
      </c>
      <c r="H152" s="19" t="s">
        <v>126</v>
      </c>
      <c r="I152" s="19" t="s">
        <v>126</v>
      </c>
      <c r="J152" s="19" t="s">
        <v>126</v>
      </c>
      <c r="K152" s="19" t="s">
        <v>126</v>
      </c>
      <c r="L152" s="19" t="s">
        <v>126</v>
      </c>
      <c r="M152" s="19" t="s">
        <v>126</v>
      </c>
      <c r="N152" s="19" t="s">
        <v>126</v>
      </c>
      <c r="O152" s="19" t="s">
        <v>126</v>
      </c>
      <c r="P152" s="19" t="s">
        <v>126</v>
      </c>
      <c r="Q152" s="19" t="s">
        <v>126</v>
      </c>
      <c r="R152" s="19" t="s">
        <v>126</v>
      </c>
      <c r="S152" s="19" t="s">
        <v>126</v>
      </c>
      <c r="T152" s="19" t="s">
        <v>126</v>
      </c>
      <c r="U152" s="19" t="s">
        <v>126</v>
      </c>
      <c r="V152" s="19" t="e">
        <f t="shared" si="15"/>
        <v>#VALUE!</v>
      </c>
      <c r="W152" s="5" t="e">
        <f t="shared" si="16"/>
        <v>#VALUE!</v>
      </c>
      <c r="X152" t="e">
        <f t="shared" si="17"/>
        <v>#VALUE!</v>
      </c>
      <c r="Y152" s="5" t="e">
        <f t="shared" si="18"/>
        <v>#VALUE!</v>
      </c>
      <c r="Z152" t="e">
        <f t="shared" si="19"/>
        <v>#VALUE!</v>
      </c>
      <c r="AA152" t="e">
        <f t="shared" si="20"/>
        <v>#VALUE!</v>
      </c>
    </row>
    <row r="153" spans="1:27" ht="13.5" customHeight="1" thickBot="1" x14ac:dyDescent="0.35">
      <c r="A153">
        <f t="shared" si="14"/>
        <v>10.589413650939074</v>
      </c>
      <c r="B153" s="18">
        <v>34</v>
      </c>
      <c r="C153" s="11" t="s">
        <v>561</v>
      </c>
      <c r="D153" s="19" t="s">
        <v>38</v>
      </c>
      <c r="E153" s="19" t="s">
        <v>36</v>
      </c>
      <c r="F153" s="19" t="s">
        <v>36</v>
      </c>
      <c r="G153" s="19">
        <v>18</v>
      </c>
      <c r="H153" s="19"/>
      <c r="I153" s="19"/>
      <c r="J153" s="19">
        <v>84</v>
      </c>
      <c r="K153" s="19">
        <v>33</v>
      </c>
      <c r="L153" s="19">
        <v>11</v>
      </c>
      <c r="M153" s="19">
        <v>8</v>
      </c>
      <c r="N153" s="19">
        <v>10</v>
      </c>
      <c r="O153" s="19">
        <v>0</v>
      </c>
      <c r="P153" s="19">
        <v>27</v>
      </c>
      <c r="Q153" s="19">
        <v>64</v>
      </c>
      <c r="R153" s="19">
        <v>0</v>
      </c>
      <c r="S153" s="19">
        <v>0</v>
      </c>
      <c r="T153" s="19">
        <v>0</v>
      </c>
      <c r="U153" s="19">
        <v>0</v>
      </c>
      <c r="V153" s="19">
        <f t="shared" si="15"/>
        <v>9.0616000000000002E-2</v>
      </c>
      <c r="W153" s="5">
        <f t="shared" si="16"/>
        <v>1.5784920000000005</v>
      </c>
      <c r="X153">
        <f t="shared" si="17"/>
        <v>0.17922240000000009</v>
      </c>
      <c r="Y153" s="5">
        <f t="shared" si="18"/>
        <v>0.17922240000000009</v>
      </c>
      <c r="Z153" t="str">
        <f t="shared" si="19"/>
        <v>SP</v>
      </c>
      <c r="AA153" t="str">
        <f t="shared" si="20"/>
        <v>SP</v>
      </c>
    </row>
    <row r="154" spans="1:27" ht="13.5" customHeight="1" thickBot="1" x14ac:dyDescent="0.35">
      <c r="A154">
        <f t="shared" si="14"/>
        <v>9.872052221713238</v>
      </c>
      <c r="B154" s="18">
        <v>150</v>
      </c>
      <c r="C154" s="11" t="s">
        <v>562</v>
      </c>
      <c r="D154" s="19" t="s">
        <v>45</v>
      </c>
      <c r="E154" s="19" t="s">
        <v>36</v>
      </c>
      <c r="F154" s="19" t="s">
        <v>36</v>
      </c>
      <c r="G154" s="19">
        <v>18</v>
      </c>
      <c r="H154" s="19"/>
      <c r="I154" s="19"/>
      <c r="J154" s="19">
        <v>92</v>
      </c>
      <c r="K154" s="19">
        <v>25</v>
      </c>
      <c r="L154" s="19">
        <v>26</v>
      </c>
      <c r="M154" s="19">
        <v>16</v>
      </c>
      <c r="N154" s="19">
        <v>8</v>
      </c>
      <c r="O154" s="19">
        <v>13</v>
      </c>
      <c r="P154" s="19">
        <v>25</v>
      </c>
      <c r="Q154" s="19">
        <v>52</v>
      </c>
      <c r="R154" s="19">
        <v>0</v>
      </c>
      <c r="S154" s="19">
        <v>0</v>
      </c>
      <c r="T154" s="19">
        <v>0</v>
      </c>
      <c r="U154" s="19">
        <v>0</v>
      </c>
      <c r="V154" s="19">
        <f t="shared" si="15"/>
        <v>0.22301840000000006</v>
      </c>
      <c r="W154" s="5">
        <f t="shared" si="16"/>
        <v>1.1822280000000003</v>
      </c>
      <c r="X154">
        <f t="shared" si="17"/>
        <v>0.19158080000000008</v>
      </c>
      <c r="Y154" s="5">
        <f t="shared" si="18"/>
        <v>0.19158080000000008</v>
      </c>
      <c r="Z154" t="str">
        <f t="shared" si="19"/>
        <v>SP</v>
      </c>
      <c r="AA154" t="str">
        <f t="shared" si="20"/>
        <v>SP</v>
      </c>
    </row>
    <row r="155" spans="1:27" ht="13.5" customHeight="1" thickBot="1" x14ac:dyDescent="0.35">
      <c r="A155">
        <f t="shared" si="14"/>
        <v>11.280152313330278</v>
      </c>
      <c r="B155" s="16">
        <v>71</v>
      </c>
      <c r="C155" s="10" t="s">
        <v>563</v>
      </c>
      <c r="D155" s="17" t="s">
        <v>45</v>
      </c>
      <c r="E155" s="17" t="s">
        <v>36</v>
      </c>
      <c r="F155" s="17" t="s">
        <v>36</v>
      </c>
      <c r="G155" s="17">
        <v>18</v>
      </c>
      <c r="H155" s="17"/>
      <c r="I155" s="17"/>
      <c r="J155" s="17">
        <v>93</v>
      </c>
      <c r="K155" s="17">
        <v>13</v>
      </c>
      <c r="L155" s="17">
        <v>19</v>
      </c>
      <c r="M155" s="17">
        <v>16</v>
      </c>
      <c r="N155" s="17">
        <v>8</v>
      </c>
      <c r="O155" s="17">
        <v>9</v>
      </c>
      <c r="P155" s="17">
        <v>37</v>
      </c>
      <c r="Q155" s="17">
        <v>57</v>
      </c>
      <c r="R155" s="17">
        <v>0</v>
      </c>
      <c r="S155" s="17">
        <v>0</v>
      </c>
      <c r="T155" s="17">
        <v>0</v>
      </c>
      <c r="U155" s="17">
        <v>0</v>
      </c>
      <c r="V155" s="17">
        <f t="shared" si="15"/>
        <v>0.12813160000000007</v>
      </c>
      <c r="W155" s="5">
        <f t="shared" si="16"/>
        <v>1.6173360000000003</v>
      </c>
      <c r="X155">
        <f t="shared" si="17"/>
        <v>0.19273320000000008</v>
      </c>
      <c r="Y155" s="5">
        <f t="shared" si="18"/>
        <v>0.19273320000000008</v>
      </c>
      <c r="Z155" t="str">
        <f t="shared" si="19"/>
        <v>SP</v>
      </c>
      <c r="AA155" t="str">
        <f t="shared" si="20"/>
        <v>SP</v>
      </c>
    </row>
    <row r="156" spans="1:27" ht="13.5" customHeight="1" thickBot="1" x14ac:dyDescent="0.35">
      <c r="A156">
        <f t="shared" si="14"/>
        <v>11.271973202015571</v>
      </c>
      <c r="B156" s="16">
        <v>141</v>
      </c>
      <c r="C156" s="10" t="s">
        <v>564</v>
      </c>
      <c r="D156" s="17" t="s">
        <v>42</v>
      </c>
      <c r="E156" s="17" t="s">
        <v>47</v>
      </c>
      <c r="F156" s="17" t="s">
        <v>47</v>
      </c>
      <c r="G156" s="17">
        <v>18</v>
      </c>
      <c r="H156" s="17"/>
      <c r="I156" s="17"/>
      <c r="J156" s="17">
        <v>91</v>
      </c>
      <c r="K156" s="17">
        <v>10</v>
      </c>
      <c r="L156" s="17">
        <v>16</v>
      </c>
      <c r="M156" s="17">
        <v>2</v>
      </c>
      <c r="N156" s="17">
        <v>13</v>
      </c>
      <c r="O156" s="17">
        <v>1</v>
      </c>
      <c r="P156" s="17">
        <v>39</v>
      </c>
      <c r="Q156" s="17">
        <v>61</v>
      </c>
      <c r="R156" s="17">
        <v>0</v>
      </c>
      <c r="S156" s="17">
        <v>0</v>
      </c>
      <c r="T156" s="17">
        <v>0</v>
      </c>
      <c r="U156" s="17">
        <v>0</v>
      </c>
      <c r="V156" s="17">
        <f t="shared" si="15"/>
        <v>4.1844800000000008E-2</v>
      </c>
      <c r="W156" s="5">
        <f t="shared" si="16"/>
        <v>1.7896800000000002</v>
      </c>
      <c r="X156">
        <f t="shared" si="17"/>
        <v>0.19033560000000005</v>
      </c>
      <c r="Y156" s="5">
        <f t="shared" si="18"/>
        <v>0.19033560000000005</v>
      </c>
      <c r="Z156" t="str">
        <f t="shared" si="19"/>
        <v>SP</v>
      </c>
      <c r="AA156" t="str">
        <f t="shared" si="20"/>
        <v>SP</v>
      </c>
    </row>
    <row r="157" spans="1:27" ht="13.5" customHeight="1" thickBot="1" x14ac:dyDescent="0.35">
      <c r="A157">
        <f t="shared" si="14"/>
        <v>9.5056985799358689</v>
      </c>
      <c r="B157" s="18">
        <v>192</v>
      </c>
      <c r="C157" s="11" t="s">
        <v>565</v>
      </c>
      <c r="D157" s="19" t="s">
        <v>57</v>
      </c>
      <c r="E157" s="19" t="s">
        <v>36</v>
      </c>
      <c r="F157" s="19" t="s">
        <v>36</v>
      </c>
      <c r="G157" s="19">
        <v>18</v>
      </c>
      <c r="H157" s="19"/>
      <c r="I157" s="19"/>
      <c r="J157" s="19">
        <v>88</v>
      </c>
      <c r="K157" s="19">
        <v>27</v>
      </c>
      <c r="L157" s="19">
        <v>7</v>
      </c>
      <c r="M157" s="19">
        <v>20</v>
      </c>
      <c r="N157" s="19">
        <v>16</v>
      </c>
      <c r="O157" s="19">
        <v>13</v>
      </c>
      <c r="P157" s="19">
        <v>58</v>
      </c>
      <c r="Q157" s="19">
        <v>19</v>
      </c>
      <c r="R157" s="19">
        <v>0</v>
      </c>
      <c r="S157" s="19">
        <v>0</v>
      </c>
      <c r="T157" s="19">
        <v>0</v>
      </c>
      <c r="U157" s="19">
        <v>0</v>
      </c>
      <c r="V157" s="19">
        <f t="shared" si="15"/>
        <v>0.15716279999999999</v>
      </c>
      <c r="W157" s="5">
        <f t="shared" si="16"/>
        <v>1.2527160000000004</v>
      </c>
      <c r="X157">
        <f t="shared" si="17"/>
        <v>0.1860672000000001</v>
      </c>
      <c r="Y157" s="5">
        <f t="shared" si="18"/>
        <v>0.1860672000000001</v>
      </c>
      <c r="Z157" t="str">
        <f t="shared" si="19"/>
        <v>SP</v>
      </c>
      <c r="AA157" t="str">
        <f t="shared" si="20"/>
        <v>SP</v>
      </c>
    </row>
    <row r="158" spans="1:27" ht="13.5" customHeight="1" thickBot="1" x14ac:dyDescent="0.35">
      <c r="A158">
        <f t="shared" si="14"/>
        <v>8.318862803481446</v>
      </c>
      <c r="B158" s="18">
        <v>184</v>
      </c>
      <c r="C158" s="11" t="s">
        <v>566</v>
      </c>
      <c r="D158" s="19" t="s">
        <v>57</v>
      </c>
      <c r="E158" s="19" t="s">
        <v>36</v>
      </c>
      <c r="F158" s="19" t="s">
        <v>36</v>
      </c>
      <c r="G158" s="19">
        <v>22</v>
      </c>
      <c r="H158" s="19"/>
      <c r="I158" s="19"/>
      <c r="J158" s="19">
        <v>91</v>
      </c>
      <c r="K158" s="19">
        <v>19</v>
      </c>
      <c r="L158" s="19">
        <v>22</v>
      </c>
      <c r="M158" s="19">
        <v>0</v>
      </c>
      <c r="N158" s="19">
        <v>28</v>
      </c>
      <c r="O158" s="19">
        <v>0</v>
      </c>
      <c r="P158" s="19">
        <v>6</v>
      </c>
      <c r="Q158" s="19">
        <v>57</v>
      </c>
      <c r="R158" s="19">
        <v>0</v>
      </c>
      <c r="S158" s="19">
        <v>0</v>
      </c>
      <c r="T158" s="19">
        <v>0</v>
      </c>
      <c r="U158" s="19">
        <v>0</v>
      </c>
      <c r="V158" s="19">
        <f t="shared" si="15"/>
        <v>0.13073720000000003</v>
      </c>
      <c r="W158" s="5">
        <f t="shared" si="16"/>
        <v>1.0961640000000004</v>
      </c>
      <c r="X158">
        <f t="shared" si="17"/>
        <v>0.19033560000000005</v>
      </c>
      <c r="Y158" s="5">
        <f t="shared" si="18"/>
        <v>0.19033560000000005</v>
      </c>
      <c r="Z158" t="str">
        <f t="shared" si="19"/>
        <v>SP</v>
      </c>
      <c r="AA158" t="str">
        <f t="shared" si="20"/>
        <v>SP</v>
      </c>
    </row>
    <row r="159" spans="1:27" ht="13.5" customHeight="1" thickBot="1" x14ac:dyDescent="0.35">
      <c r="A159">
        <f t="shared" si="14"/>
        <v>9.117449610627574</v>
      </c>
      <c r="B159" s="16">
        <v>27</v>
      </c>
      <c r="C159" s="10" t="s">
        <v>567</v>
      </c>
      <c r="D159" s="17" t="s">
        <v>42</v>
      </c>
      <c r="E159" s="17" t="s">
        <v>36</v>
      </c>
      <c r="F159" s="17" t="s">
        <v>36</v>
      </c>
      <c r="G159" s="17">
        <v>18</v>
      </c>
      <c r="H159" s="17"/>
      <c r="I159" s="17"/>
      <c r="J159" s="17">
        <v>85</v>
      </c>
      <c r="K159" s="17">
        <v>36</v>
      </c>
      <c r="L159" s="17">
        <v>23</v>
      </c>
      <c r="M159" s="17">
        <v>24</v>
      </c>
      <c r="N159" s="17">
        <v>16</v>
      </c>
      <c r="O159" s="17">
        <v>21</v>
      </c>
      <c r="P159" s="17">
        <v>31</v>
      </c>
      <c r="Q159" s="17">
        <v>32</v>
      </c>
      <c r="R159" s="17">
        <v>0</v>
      </c>
      <c r="S159" s="17">
        <v>0</v>
      </c>
      <c r="T159" s="17">
        <v>0</v>
      </c>
      <c r="U159" s="17">
        <v>0</v>
      </c>
      <c r="V159" s="17">
        <f t="shared" si="15"/>
        <v>0.37309120000000001</v>
      </c>
      <c r="W159" s="5">
        <f t="shared" si="16"/>
        <v>0.75556400000000012</v>
      </c>
      <c r="X159">
        <f t="shared" si="17"/>
        <v>0.1810500000000001</v>
      </c>
      <c r="Y159" s="5">
        <f t="shared" si="18"/>
        <v>0.1810500000000001</v>
      </c>
      <c r="Z159" t="str">
        <f t="shared" si="19"/>
        <v>SP</v>
      </c>
      <c r="AA159" t="str">
        <f t="shared" si="20"/>
        <v>SP</v>
      </c>
    </row>
    <row r="160" spans="1:27" ht="13.5" customHeight="1" thickBot="1" x14ac:dyDescent="0.35">
      <c r="A160">
        <f t="shared" si="14"/>
        <v>11.139907237746222</v>
      </c>
      <c r="B160" s="18">
        <v>156</v>
      </c>
      <c r="C160" s="11" t="s">
        <v>568</v>
      </c>
      <c r="D160" s="19" t="s">
        <v>42</v>
      </c>
      <c r="E160" s="19" t="s">
        <v>46</v>
      </c>
      <c r="F160" s="19" t="s">
        <v>36</v>
      </c>
      <c r="G160" s="19">
        <v>18</v>
      </c>
      <c r="H160" s="19"/>
      <c r="I160" s="19"/>
      <c r="J160" s="19">
        <v>81</v>
      </c>
      <c r="K160" s="19">
        <v>14</v>
      </c>
      <c r="L160" s="19">
        <v>13</v>
      </c>
      <c r="M160" s="19">
        <v>17</v>
      </c>
      <c r="N160" s="19">
        <v>12</v>
      </c>
      <c r="O160" s="19">
        <v>15</v>
      </c>
      <c r="P160" s="19">
        <v>39</v>
      </c>
      <c r="Q160" s="19">
        <v>56</v>
      </c>
      <c r="R160" s="19">
        <v>0</v>
      </c>
      <c r="S160" s="19">
        <v>0</v>
      </c>
      <c r="T160" s="19">
        <v>0</v>
      </c>
      <c r="U160" s="19">
        <v>0</v>
      </c>
      <c r="V160" s="19">
        <f t="shared" si="15"/>
        <v>0.10853980000000003</v>
      </c>
      <c r="W160" s="5">
        <f t="shared" si="16"/>
        <v>1.6417400000000004</v>
      </c>
      <c r="X160">
        <f t="shared" si="17"/>
        <v>0.17330760000000003</v>
      </c>
      <c r="Y160" s="5">
        <f t="shared" si="18"/>
        <v>0.17330760000000003</v>
      </c>
      <c r="Z160" t="str">
        <f t="shared" si="19"/>
        <v>SP</v>
      </c>
      <c r="AA160" t="str">
        <f t="shared" si="20"/>
        <v>SP</v>
      </c>
    </row>
    <row r="161" spans="1:27" ht="13.5" customHeight="1" thickBot="1" x14ac:dyDescent="0.35">
      <c r="A161">
        <f t="shared" si="14"/>
        <v>12.507178195144295</v>
      </c>
      <c r="B161" s="18">
        <v>114</v>
      </c>
      <c r="C161" s="11" t="s">
        <v>569</v>
      </c>
      <c r="D161" s="19" t="s">
        <v>64</v>
      </c>
      <c r="E161" s="19" t="s">
        <v>36</v>
      </c>
      <c r="F161" s="19" t="s">
        <v>36</v>
      </c>
      <c r="G161" s="19">
        <v>18</v>
      </c>
      <c r="H161" s="19"/>
      <c r="I161" s="19"/>
      <c r="J161" s="19">
        <v>72</v>
      </c>
      <c r="K161" s="19">
        <v>8</v>
      </c>
      <c r="L161" s="19">
        <v>5</v>
      </c>
      <c r="M161" s="19">
        <v>12</v>
      </c>
      <c r="N161" s="19">
        <v>10</v>
      </c>
      <c r="O161" s="19">
        <v>11</v>
      </c>
      <c r="P161" s="19">
        <v>22</v>
      </c>
      <c r="Q161" s="19">
        <v>89</v>
      </c>
      <c r="R161" s="19">
        <v>0</v>
      </c>
      <c r="S161" s="19">
        <v>0</v>
      </c>
      <c r="T161" s="19">
        <v>0</v>
      </c>
      <c r="U161" s="19">
        <v>0</v>
      </c>
      <c r="V161" s="19">
        <f t="shared" si="15"/>
        <v>2.8801600000000007E-2</v>
      </c>
      <c r="W161" s="5">
        <f t="shared" si="16"/>
        <v>2.0505320000000005</v>
      </c>
      <c r="X161">
        <f t="shared" si="17"/>
        <v>0.15223680000000006</v>
      </c>
      <c r="Y161" s="5">
        <f t="shared" si="18"/>
        <v>0.15223680000000006</v>
      </c>
      <c r="Z161" t="str">
        <f t="shared" si="19"/>
        <v>CRAP</v>
      </c>
      <c r="AA161" t="str">
        <f t="shared" si="20"/>
        <v>CRAP</v>
      </c>
    </row>
    <row r="162" spans="1:27" ht="13.5" customHeight="1" thickBot="1" x14ac:dyDescent="0.35">
      <c r="A162">
        <f t="shared" si="14"/>
        <v>10.659584287677507</v>
      </c>
      <c r="B162" s="16">
        <v>49</v>
      </c>
      <c r="C162" s="10" t="s">
        <v>570</v>
      </c>
      <c r="D162" s="17" t="s">
        <v>40</v>
      </c>
      <c r="E162" s="17" t="s">
        <v>46</v>
      </c>
      <c r="F162" s="17" t="s">
        <v>47</v>
      </c>
      <c r="G162" s="17">
        <v>18</v>
      </c>
      <c r="H162" s="17"/>
      <c r="I162" s="17"/>
      <c r="J162" s="17">
        <v>75</v>
      </c>
      <c r="K162" s="17">
        <v>17</v>
      </c>
      <c r="L162" s="17">
        <v>22</v>
      </c>
      <c r="M162" s="17">
        <v>17</v>
      </c>
      <c r="N162" s="17">
        <v>4</v>
      </c>
      <c r="O162" s="17">
        <v>0</v>
      </c>
      <c r="P162" s="17">
        <v>29</v>
      </c>
      <c r="Q162" s="17">
        <v>58</v>
      </c>
      <c r="R162" s="17">
        <v>0</v>
      </c>
      <c r="S162" s="17">
        <v>0</v>
      </c>
      <c r="T162" s="17">
        <v>0</v>
      </c>
      <c r="U162" s="17">
        <v>0</v>
      </c>
      <c r="V162" s="17">
        <f t="shared" si="15"/>
        <v>0.16695940000000004</v>
      </c>
      <c r="W162" s="5">
        <f t="shared" si="16"/>
        <v>1.4477960000000003</v>
      </c>
      <c r="X162">
        <f t="shared" si="17"/>
        <v>0.15975000000000003</v>
      </c>
      <c r="Y162" s="5">
        <f t="shared" si="18"/>
        <v>0.15975000000000003</v>
      </c>
      <c r="Z162" t="str">
        <f t="shared" si="19"/>
        <v>CRAP</v>
      </c>
      <c r="AA162" t="str">
        <f t="shared" si="20"/>
        <v>CRAP</v>
      </c>
    </row>
    <row r="163" spans="1:27" ht="13.5" customHeight="1" thickBot="1" x14ac:dyDescent="0.35">
      <c r="A163">
        <f t="shared" si="14"/>
        <v>11.080791342189649</v>
      </c>
      <c r="B163" s="16">
        <v>155</v>
      </c>
      <c r="C163" s="10" t="s">
        <v>571</v>
      </c>
      <c r="D163" s="17" t="s">
        <v>45</v>
      </c>
      <c r="E163" s="17" t="s">
        <v>36</v>
      </c>
      <c r="F163" s="17" t="s">
        <v>36</v>
      </c>
      <c r="G163" s="17">
        <v>18</v>
      </c>
      <c r="H163" s="17"/>
      <c r="I163" s="17"/>
      <c r="J163" s="17">
        <v>87</v>
      </c>
      <c r="K163" s="17">
        <v>12</v>
      </c>
      <c r="L163" s="17">
        <v>9</v>
      </c>
      <c r="M163" s="17">
        <v>26</v>
      </c>
      <c r="N163" s="17">
        <v>19</v>
      </c>
      <c r="O163" s="17">
        <v>11</v>
      </c>
      <c r="P163" s="17">
        <v>35</v>
      </c>
      <c r="Q163" s="17">
        <v>52</v>
      </c>
      <c r="R163" s="17">
        <v>0</v>
      </c>
      <c r="S163" s="17">
        <v>0</v>
      </c>
      <c r="T163" s="17">
        <v>0</v>
      </c>
      <c r="U163" s="17">
        <v>0</v>
      </c>
      <c r="V163" s="17">
        <f t="shared" si="15"/>
        <v>0.21384200000000003</v>
      </c>
      <c r="W163" s="5">
        <f t="shared" si="16"/>
        <v>1.4152280000000004</v>
      </c>
      <c r="X163">
        <f t="shared" si="17"/>
        <v>0.18447480000000008</v>
      </c>
      <c r="Y163" s="5">
        <f t="shared" si="18"/>
        <v>0.18447480000000008</v>
      </c>
      <c r="Z163" t="str">
        <f t="shared" si="19"/>
        <v>SP</v>
      </c>
      <c r="AA163" t="str">
        <f t="shared" si="20"/>
        <v>SP</v>
      </c>
    </row>
    <row r="164" spans="1:27" ht="13.5" customHeight="1" thickBot="1" x14ac:dyDescent="0.35">
      <c r="A164">
        <f t="shared" si="14"/>
        <v>9.8125332111772785</v>
      </c>
      <c r="B164" s="16">
        <v>197</v>
      </c>
      <c r="C164" s="10" t="s">
        <v>572</v>
      </c>
      <c r="D164" s="17" t="s">
        <v>57</v>
      </c>
      <c r="E164" s="17" t="s">
        <v>36</v>
      </c>
      <c r="F164" s="17" t="s">
        <v>36</v>
      </c>
      <c r="G164" s="17">
        <v>19</v>
      </c>
      <c r="H164" s="17"/>
      <c r="I164" s="17"/>
      <c r="J164" s="17">
        <v>70</v>
      </c>
      <c r="K164" s="17">
        <v>29</v>
      </c>
      <c r="L164" s="17">
        <v>3</v>
      </c>
      <c r="M164" s="17">
        <v>36</v>
      </c>
      <c r="N164" s="17">
        <v>29</v>
      </c>
      <c r="O164" s="17">
        <v>0</v>
      </c>
      <c r="P164" s="17">
        <v>12</v>
      </c>
      <c r="Q164" s="17">
        <v>44</v>
      </c>
      <c r="R164" s="17">
        <v>0</v>
      </c>
      <c r="S164" s="17">
        <v>0</v>
      </c>
      <c r="T164" s="17">
        <v>0</v>
      </c>
      <c r="U164" s="17">
        <v>0</v>
      </c>
      <c r="V164" s="17">
        <f t="shared" si="15"/>
        <v>0.44590440000000003</v>
      </c>
      <c r="W164" s="5">
        <f t="shared" si="16"/>
        <v>0.74835200000000024</v>
      </c>
      <c r="X164">
        <f t="shared" si="17"/>
        <v>0.14700000000000002</v>
      </c>
      <c r="Y164" s="5">
        <f t="shared" si="18"/>
        <v>0.14700000000000002</v>
      </c>
      <c r="Z164" t="str">
        <f t="shared" si="19"/>
        <v>CRAP</v>
      </c>
      <c r="AA164" t="str">
        <f t="shared" si="20"/>
        <v>CRAP</v>
      </c>
    </row>
    <row r="165" spans="1:27" ht="13.5" customHeight="1" thickBot="1" x14ac:dyDescent="0.35">
      <c r="A165">
        <f t="shared" si="14"/>
        <v>10.01807031607879</v>
      </c>
      <c r="B165" s="16">
        <v>55</v>
      </c>
      <c r="C165" s="10" t="s">
        <v>573</v>
      </c>
      <c r="D165" s="17" t="s">
        <v>42</v>
      </c>
      <c r="E165" s="17" t="s">
        <v>47</v>
      </c>
      <c r="F165" s="17" t="s">
        <v>47</v>
      </c>
      <c r="G165" s="17">
        <v>18</v>
      </c>
      <c r="H165" s="17"/>
      <c r="I165" s="17"/>
      <c r="J165" s="17">
        <v>85</v>
      </c>
      <c r="K165" s="17">
        <v>13</v>
      </c>
      <c r="L165" s="17">
        <v>10</v>
      </c>
      <c r="M165" s="17">
        <v>17</v>
      </c>
      <c r="N165" s="17">
        <v>23</v>
      </c>
      <c r="O165" s="17">
        <v>3</v>
      </c>
      <c r="P165" s="17">
        <v>33</v>
      </c>
      <c r="Q165" s="17">
        <v>55</v>
      </c>
      <c r="R165" s="17">
        <v>0</v>
      </c>
      <c r="S165" s="17">
        <v>0</v>
      </c>
      <c r="T165" s="17">
        <v>0</v>
      </c>
      <c r="U165" s="17">
        <v>0</v>
      </c>
      <c r="V165" s="17">
        <f t="shared" si="15"/>
        <v>0.10245940000000003</v>
      </c>
      <c r="W165" s="5">
        <f t="shared" si="16"/>
        <v>1.4541120000000003</v>
      </c>
      <c r="X165">
        <f t="shared" si="17"/>
        <v>0.1810500000000001</v>
      </c>
      <c r="Y165" s="5">
        <f t="shared" si="18"/>
        <v>0.1810500000000001</v>
      </c>
      <c r="Z165" t="str">
        <f t="shared" si="19"/>
        <v>SP</v>
      </c>
      <c r="AA165" t="str">
        <f t="shared" si="20"/>
        <v>SP</v>
      </c>
    </row>
    <row r="166" spans="1:27" ht="13.5" customHeight="1" thickBot="1" x14ac:dyDescent="0.35">
      <c r="A166">
        <f t="shared" si="14"/>
        <v>11.804740036646812</v>
      </c>
      <c r="B166" s="16">
        <v>193</v>
      </c>
      <c r="C166" s="10" t="s">
        <v>574</v>
      </c>
      <c r="D166" s="17" t="s">
        <v>57</v>
      </c>
      <c r="E166" s="17" t="s">
        <v>36</v>
      </c>
      <c r="F166" s="17" t="s">
        <v>36</v>
      </c>
      <c r="G166" s="17">
        <v>18</v>
      </c>
      <c r="H166" s="17"/>
      <c r="I166" s="17"/>
      <c r="J166" s="17">
        <v>73</v>
      </c>
      <c r="K166" s="17">
        <v>11</v>
      </c>
      <c r="L166" s="17">
        <v>7</v>
      </c>
      <c r="M166" s="17">
        <v>19</v>
      </c>
      <c r="N166" s="17">
        <v>10</v>
      </c>
      <c r="O166" s="17">
        <v>1</v>
      </c>
      <c r="P166" s="17">
        <v>39</v>
      </c>
      <c r="Q166" s="17">
        <v>61</v>
      </c>
      <c r="R166" s="17">
        <v>0</v>
      </c>
      <c r="S166" s="17">
        <v>0</v>
      </c>
      <c r="T166" s="17">
        <v>0</v>
      </c>
      <c r="U166" s="17">
        <v>0</v>
      </c>
      <c r="V166" s="17">
        <f t="shared" si="15"/>
        <v>9.7252600000000022E-2</v>
      </c>
      <c r="W166" s="5">
        <f t="shared" si="16"/>
        <v>1.7896800000000002</v>
      </c>
      <c r="X166">
        <f t="shared" si="17"/>
        <v>0.15478920000000004</v>
      </c>
      <c r="Y166" s="5">
        <f t="shared" si="18"/>
        <v>0.15478920000000004</v>
      </c>
      <c r="Z166" t="str">
        <f t="shared" si="19"/>
        <v>CRAP</v>
      </c>
      <c r="AA166" t="str">
        <f t="shared" si="20"/>
        <v>CRAP</v>
      </c>
    </row>
    <row r="167" spans="1:27" ht="13.5" customHeight="1" thickBot="1" x14ac:dyDescent="0.35">
      <c r="A167">
        <f t="shared" si="14"/>
        <v>11.654081539166283</v>
      </c>
      <c r="B167" s="16">
        <v>143</v>
      </c>
      <c r="C167" s="10" t="s">
        <v>575</v>
      </c>
      <c r="D167" s="17" t="s">
        <v>42</v>
      </c>
      <c r="E167" s="17" t="s">
        <v>36</v>
      </c>
      <c r="F167" s="17" t="s">
        <v>36</v>
      </c>
      <c r="G167" s="17">
        <v>18</v>
      </c>
      <c r="H167" s="17"/>
      <c r="I167" s="17"/>
      <c r="J167" s="17">
        <v>88</v>
      </c>
      <c r="K167" s="17">
        <v>7</v>
      </c>
      <c r="L167" s="17">
        <v>7</v>
      </c>
      <c r="M167" s="17">
        <v>8</v>
      </c>
      <c r="N167" s="17">
        <v>0</v>
      </c>
      <c r="O167" s="17">
        <v>1</v>
      </c>
      <c r="P167" s="17">
        <v>39</v>
      </c>
      <c r="Q167" s="17">
        <v>66</v>
      </c>
      <c r="R167" s="17">
        <v>0</v>
      </c>
      <c r="S167" s="17">
        <v>0</v>
      </c>
      <c r="T167" s="17">
        <v>0</v>
      </c>
      <c r="U167" s="17">
        <v>0</v>
      </c>
      <c r="V167" s="17">
        <f t="shared" si="15"/>
        <v>4.6076000000000077E-3</v>
      </c>
      <c r="W167" s="5">
        <f t="shared" si="16"/>
        <v>1.9330200000000002</v>
      </c>
      <c r="X167">
        <f t="shared" si="17"/>
        <v>0.1860672000000001</v>
      </c>
      <c r="Y167" s="5">
        <f t="shared" si="18"/>
        <v>0.1860672000000001</v>
      </c>
      <c r="Z167" t="str">
        <f t="shared" si="19"/>
        <v>SP</v>
      </c>
      <c r="AA167" t="str">
        <f t="shared" si="20"/>
        <v>SP</v>
      </c>
    </row>
    <row r="168" spans="1:27" ht="13.5" customHeight="1" thickBot="1" x14ac:dyDescent="0.35">
      <c r="A168">
        <f t="shared" si="14"/>
        <v>9.9710684837379748</v>
      </c>
      <c r="B168" s="18">
        <v>72</v>
      </c>
      <c r="C168" s="11" t="s">
        <v>576</v>
      </c>
      <c r="D168" s="19" t="s">
        <v>35</v>
      </c>
      <c r="E168" s="19" t="s">
        <v>36</v>
      </c>
      <c r="F168" s="19" t="s">
        <v>36</v>
      </c>
      <c r="G168" s="19">
        <v>18</v>
      </c>
      <c r="H168" s="19"/>
      <c r="I168" s="19"/>
      <c r="J168" s="19">
        <v>79</v>
      </c>
      <c r="K168" s="19">
        <v>28</v>
      </c>
      <c r="L168" s="19">
        <v>8</v>
      </c>
      <c r="M168" s="19">
        <v>7</v>
      </c>
      <c r="N168" s="19">
        <v>0</v>
      </c>
      <c r="O168" s="19">
        <v>11</v>
      </c>
      <c r="P168" s="19">
        <v>37</v>
      </c>
      <c r="Q168" s="19">
        <v>55</v>
      </c>
      <c r="R168" s="19">
        <v>0</v>
      </c>
      <c r="S168" s="19">
        <v>0</v>
      </c>
      <c r="T168" s="19">
        <v>0</v>
      </c>
      <c r="U168" s="19">
        <v>0</v>
      </c>
      <c r="V168" s="19">
        <f t="shared" si="15"/>
        <v>4.9592600000000008E-2</v>
      </c>
      <c r="W168" s="5">
        <f t="shared" si="16"/>
        <v>1.5576480000000004</v>
      </c>
      <c r="X168">
        <f t="shared" si="17"/>
        <v>0.16902840000000008</v>
      </c>
      <c r="Y168" s="5">
        <f t="shared" si="18"/>
        <v>0.16902840000000008</v>
      </c>
      <c r="Z168" t="str">
        <f t="shared" si="19"/>
        <v>SP</v>
      </c>
      <c r="AA168" t="str">
        <f t="shared" si="20"/>
        <v>SP</v>
      </c>
    </row>
    <row r="169" spans="1:27" ht="13.5" customHeight="1" thickBot="1" x14ac:dyDescent="0.35">
      <c r="A169">
        <f t="shared" si="14"/>
        <v>9.8236452130096197</v>
      </c>
      <c r="B169" s="18">
        <v>140</v>
      </c>
      <c r="C169" s="11" t="s">
        <v>577</v>
      </c>
      <c r="D169" s="19" t="s">
        <v>40</v>
      </c>
      <c r="E169" s="19" t="s">
        <v>36</v>
      </c>
      <c r="F169" s="19" t="s">
        <v>36</v>
      </c>
      <c r="G169" s="19">
        <v>18</v>
      </c>
      <c r="H169" s="19"/>
      <c r="I169" s="19"/>
      <c r="J169" s="19">
        <v>79</v>
      </c>
      <c r="K169" s="19">
        <v>29</v>
      </c>
      <c r="L169" s="19">
        <v>17</v>
      </c>
      <c r="M169" s="19">
        <v>8</v>
      </c>
      <c r="N169" s="19">
        <v>0</v>
      </c>
      <c r="O169" s="19">
        <v>1</v>
      </c>
      <c r="P169" s="19">
        <v>21</v>
      </c>
      <c r="Q169" s="19">
        <v>63</v>
      </c>
      <c r="R169" s="19">
        <v>0</v>
      </c>
      <c r="S169" s="19">
        <v>0</v>
      </c>
      <c r="T169" s="19">
        <v>0</v>
      </c>
      <c r="U169" s="19">
        <v>0</v>
      </c>
      <c r="V169" s="19">
        <f t="shared" si="15"/>
        <v>9.9359600000000006E-2</v>
      </c>
      <c r="W169" s="5">
        <f t="shared" si="16"/>
        <v>1.4323680000000005</v>
      </c>
      <c r="X169">
        <f t="shared" si="17"/>
        <v>0.16902840000000008</v>
      </c>
      <c r="Y169" s="5">
        <f t="shared" si="18"/>
        <v>0.16902840000000008</v>
      </c>
      <c r="Z169" t="str">
        <f t="shared" si="19"/>
        <v>SP</v>
      </c>
      <c r="AA169" t="str">
        <f t="shared" si="20"/>
        <v>SP</v>
      </c>
    </row>
    <row r="170" spans="1:27" ht="13.5" customHeight="1" thickBot="1" x14ac:dyDescent="0.35">
      <c r="A170">
        <f t="shared" si="14"/>
        <v>9.3918689876316961</v>
      </c>
      <c r="B170" s="18">
        <v>190</v>
      </c>
      <c r="C170" s="11" t="s">
        <v>578</v>
      </c>
      <c r="D170" s="19" t="s">
        <v>57</v>
      </c>
      <c r="E170" s="19" t="s">
        <v>47</v>
      </c>
      <c r="F170" s="19" t="s">
        <v>47</v>
      </c>
      <c r="G170" s="19">
        <v>18</v>
      </c>
      <c r="H170" s="19"/>
      <c r="I170" s="19"/>
      <c r="J170" s="19">
        <v>80</v>
      </c>
      <c r="K170" s="19">
        <v>34</v>
      </c>
      <c r="L170" s="19">
        <v>2</v>
      </c>
      <c r="M170" s="19">
        <v>0</v>
      </c>
      <c r="N170" s="19">
        <v>0</v>
      </c>
      <c r="O170" s="19">
        <v>10</v>
      </c>
      <c r="P170" s="19">
        <v>46</v>
      </c>
      <c r="Q170" s="19">
        <v>41</v>
      </c>
      <c r="R170" s="19">
        <v>0</v>
      </c>
      <c r="S170" s="19">
        <v>0</v>
      </c>
      <c r="T170" s="19">
        <v>0</v>
      </c>
      <c r="U170" s="19">
        <v>0</v>
      </c>
      <c r="V170" s="19">
        <f t="shared" si="15"/>
        <v>7.7471999999999999E-2</v>
      </c>
      <c r="W170" s="5">
        <f t="shared" si="16"/>
        <v>1.3996520000000001</v>
      </c>
      <c r="X170">
        <f t="shared" si="17"/>
        <v>0.17120000000000002</v>
      </c>
      <c r="Y170" s="5">
        <f t="shared" si="18"/>
        <v>0.17120000000000002</v>
      </c>
      <c r="Z170" t="str">
        <f t="shared" si="19"/>
        <v>SP</v>
      </c>
      <c r="AA170" t="str">
        <f t="shared" si="20"/>
        <v>SP</v>
      </c>
    </row>
    <row r="171" spans="1:27" ht="13.5" customHeight="1" thickBot="1" x14ac:dyDescent="0.35">
      <c r="A171">
        <f t="shared" si="14"/>
        <v>10.040359596885018</v>
      </c>
      <c r="B171" s="18">
        <v>194</v>
      </c>
      <c r="C171" s="11" t="s">
        <v>579</v>
      </c>
      <c r="D171" s="19" t="s">
        <v>57</v>
      </c>
      <c r="E171" s="19" t="s">
        <v>47</v>
      </c>
      <c r="F171" s="19" t="s">
        <v>36</v>
      </c>
      <c r="G171" s="19">
        <v>18</v>
      </c>
      <c r="H171" s="19"/>
      <c r="I171" s="19"/>
      <c r="J171" s="19">
        <v>84</v>
      </c>
      <c r="K171" s="19">
        <v>21</v>
      </c>
      <c r="L171" s="19">
        <v>22</v>
      </c>
      <c r="M171" s="19">
        <v>13</v>
      </c>
      <c r="N171" s="19">
        <v>7</v>
      </c>
      <c r="O171" s="19">
        <v>17</v>
      </c>
      <c r="P171" s="19">
        <v>8</v>
      </c>
      <c r="Q171" s="19">
        <v>66</v>
      </c>
      <c r="R171" s="19">
        <v>0</v>
      </c>
      <c r="S171" s="19">
        <v>0</v>
      </c>
      <c r="T171" s="19">
        <v>0</v>
      </c>
      <c r="U171" s="19">
        <v>0</v>
      </c>
      <c r="V171" s="19">
        <f t="shared" si="15"/>
        <v>0.14893460000000003</v>
      </c>
      <c r="W171" s="5">
        <f t="shared" si="16"/>
        <v>1.3659680000000001</v>
      </c>
      <c r="X171">
        <f t="shared" si="17"/>
        <v>0.17922240000000009</v>
      </c>
      <c r="Y171" s="5">
        <f t="shared" si="18"/>
        <v>0.17922240000000009</v>
      </c>
      <c r="Z171" t="str">
        <f t="shared" si="19"/>
        <v>SP</v>
      </c>
      <c r="AA171" t="str">
        <f t="shared" si="20"/>
        <v>SP</v>
      </c>
    </row>
    <row r="172" spans="1:27" ht="13.5" customHeight="1" thickBot="1" x14ac:dyDescent="0.35">
      <c r="A172">
        <f t="shared" si="14"/>
        <v>10.649176591846082</v>
      </c>
      <c r="B172" s="18">
        <v>104</v>
      </c>
      <c r="C172" s="11" t="s">
        <v>580</v>
      </c>
      <c r="D172" s="19" t="s">
        <v>49</v>
      </c>
      <c r="E172" s="19" t="s">
        <v>36</v>
      </c>
      <c r="F172" s="19" t="s">
        <v>36</v>
      </c>
      <c r="G172" s="19">
        <v>18</v>
      </c>
      <c r="H172" s="19"/>
      <c r="I172" s="19"/>
      <c r="J172" s="19">
        <v>83</v>
      </c>
      <c r="K172" s="19">
        <v>17</v>
      </c>
      <c r="L172" s="19">
        <v>5</v>
      </c>
      <c r="M172" s="19">
        <v>7</v>
      </c>
      <c r="N172" s="19">
        <v>10</v>
      </c>
      <c r="O172" s="19">
        <v>32</v>
      </c>
      <c r="P172" s="19">
        <v>30</v>
      </c>
      <c r="Q172" s="19">
        <v>65</v>
      </c>
      <c r="R172" s="19">
        <v>0</v>
      </c>
      <c r="S172" s="19">
        <v>0</v>
      </c>
      <c r="T172" s="19">
        <v>0</v>
      </c>
      <c r="U172" s="19">
        <v>0</v>
      </c>
      <c r="V172" s="19">
        <f t="shared" si="15"/>
        <v>4.8305800000000024E-2</v>
      </c>
      <c r="W172" s="5">
        <f t="shared" si="16"/>
        <v>1.6745000000000003</v>
      </c>
      <c r="X172">
        <f t="shared" si="17"/>
        <v>0.17732120000000007</v>
      </c>
      <c r="Y172" s="5">
        <f t="shared" si="18"/>
        <v>0.17732120000000007</v>
      </c>
      <c r="Z172" t="str">
        <f t="shared" si="19"/>
        <v>SP</v>
      </c>
      <c r="AA172" t="str">
        <f t="shared" si="20"/>
        <v>SP</v>
      </c>
    </row>
    <row r="173" spans="1:27" ht="13.5" customHeight="1" thickBot="1" x14ac:dyDescent="0.35">
      <c r="A173">
        <f t="shared" si="14"/>
        <v>8.2354351809436555</v>
      </c>
      <c r="B173" s="18">
        <v>48</v>
      </c>
      <c r="C173" s="11" t="s">
        <v>581</v>
      </c>
      <c r="D173" s="19" t="s">
        <v>35</v>
      </c>
      <c r="E173" s="19" t="s">
        <v>36</v>
      </c>
      <c r="F173" s="19" t="s">
        <v>36</v>
      </c>
      <c r="G173" s="19">
        <v>21</v>
      </c>
      <c r="H173" s="19"/>
      <c r="I173" s="19"/>
      <c r="J173" s="19">
        <v>100</v>
      </c>
      <c r="K173" s="19">
        <v>12</v>
      </c>
      <c r="L173" s="19">
        <v>27</v>
      </c>
      <c r="M173" s="19">
        <v>15</v>
      </c>
      <c r="N173" s="19">
        <v>18</v>
      </c>
      <c r="O173" s="19">
        <v>0</v>
      </c>
      <c r="P173" s="19">
        <v>38</v>
      </c>
      <c r="Q173" s="19">
        <v>32</v>
      </c>
      <c r="R173" s="19">
        <v>0</v>
      </c>
      <c r="S173" s="19">
        <v>0</v>
      </c>
      <c r="T173" s="19">
        <v>0</v>
      </c>
      <c r="U173" s="19">
        <v>0</v>
      </c>
      <c r="V173" s="19">
        <f t="shared" si="15"/>
        <v>0.20213820000000002</v>
      </c>
      <c r="W173" s="5">
        <f t="shared" si="16"/>
        <v>0.93496000000000024</v>
      </c>
      <c r="X173">
        <f t="shared" si="17"/>
        <v>0.19800000000000006</v>
      </c>
      <c r="Y173" s="5">
        <f t="shared" si="18"/>
        <v>0.19800000000000006</v>
      </c>
      <c r="Z173" t="str">
        <f t="shared" si="19"/>
        <v>SP</v>
      </c>
      <c r="AA173" t="str">
        <f t="shared" si="20"/>
        <v>SP</v>
      </c>
    </row>
    <row r="174" spans="1:27" ht="13.5" customHeight="1" thickBot="1" x14ac:dyDescent="0.35">
      <c r="A174">
        <f t="shared" si="14"/>
        <v>9.8847217132386636</v>
      </c>
      <c r="B174" s="18">
        <v>120</v>
      </c>
      <c r="C174" s="11" t="s">
        <v>582</v>
      </c>
      <c r="D174" s="19" t="s">
        <v>42</v>
      </c>
      <c r="E174" s="19" t="s">
        <v>46</v>
      </c>
      <c r="F174" s="19" t="s">
        <v>47</v>
      </c>
      <c r="G174" s="19">
        <v>18</v>
      </c>
      <c r="H174" s="19"/>
      <c r="I174" s="19"/>
      <c r="J174" s="19">
        <v>83</v>
      </c>
      <c r="K174" s="19">
        <v>18</v>
      </c>
      <c r="L174" s="19">
        <v>0</v>
      </c>
      <c r="M174" s="19">
        <v>20</v>
      </c>
      <c r="N174" s="19">
        <v>21</v>
      </c>
      <c r="O174" s="19">
        <v>10</v>
      </c>
      <c r="P174" s="19">
        <v>17</v>
      </c>
      <c r="Q174" s="19">
        <v>63</v>
      </c>
      <c r="R174" s="19">
        <v>0</v>
      </c>
      <c r="S174" s="19">
        <v>0</v>
      </c>
      <c r="T174" s="19">
        <v>0</v>
      </c>
      <c r="U174" s="19">
        <v>0</v>
      </c>
      <c r="V174" s="19">
        <f t="shared" si="15"/>
        <v>0.13416359999999999</v>
      </c>
      <c r="W174" s="5">
        <f t="shared" si="16"/>
        <v>1.3692800000000005</v>
      </c>
      <c r="X174">
        <f t="shared" si="17"/>
        <v>0.17732120000000007</v>
      </c>
      <c r="Y174" s="5">
        <f t="shared" si="18"/>
        <v>0.17732120000000007</v>
      </c>
      <c r="Z174" t="str">
        <f t="shared" si="19"/>
        <v>SP</v>
      </c>
      <c r="AA174" t="str">
        <f t="shared" si="20"/>
        <v>SP</v>
      </c>
    </row>
    <row r="175" spans="1:27" ht="13.5" customHeight="1" thickBot="1" x14ac:dyDescent="0.35">
      <c r="A175">
        <f t="shared" si="14"/>
        <v>8.9405680256527713</v>
      </c>
      <c r="B175" s="18">
        <v>148</v>
      </c>
      <c r="C175" s="11" t="s">
        <v>583</v>
      </c>
      <c r="D175" s="19" t="s">
        <v>42</v>
      </c>
      <c r="E175" s="19" t="s">
        <v>36</v>
      </c>
      <c r="F175" s="19" t="s">
        <v>36</v>
      </c>
      <c r="G175" s="19">
        <v>18</v>
      </c>
      <c r="H175" s="19"/>
      <c r="I175" s="19"/>
      <c r="J175" s="19">
        <v>92</v>
      </c>
      <c r="K175" s="19">
        <v>35</v>
      </c>
      <c r="L175" s="19">
        <v>14</v>
      </c>
      <c r="M175" s="19">
        <v>16</v>
      </c>
      <c r="N175" s="19">
        <v>8</v>
      </c>
      <c r="O175" s="19">
        <v>10</v>
      </c>
      <c r="P175" s="19">
        <v>26</v>
      </c>
      <c r="Q175" s="19">
        <v>49</v>
      </c>
      <c r="R175" s="19">
        <v>0</v>
      </c>
      <c r="S175" s="19">
        <v>0</v>
      </c>
      <c r="T175" s="19">
        <v>0</v>
      </c>
      <c r="U175" s="19">
        <v>0</v>
      </c>
      <c r="V175" s="19">
        <f t="shared" si="15"/>
        <v>0.17610520000000002</v>
      </c>
      <c r="W175" s="5">
        <f t="shared" si="16"/>
        <v>1.1133800000000003</v>
      </c>
      <c r="X175">
        <f t="shared" si="17"/>
        <v>0.19158080000000008</v>
      </c>
      <c r="Y175" s="5">
        <f t="shared" si="18"/>
        <v>0.19158080000000008</v>
      </c>
      <c r="Z175" t="str">
        <f t="shared" si="19"/>
        <v>SP</v>
      </c>
      <c r="AA175" t="str">
        <f t="shared" si="20"/>
        <v>SP</v>
      </c>
    </row>
    <row r="176" spans="1:27" ht="13.5" customHeight="1" thickBot="1" x14ac:dyDescent="0.35">
      <c r="A176">
        <f t="shared" si="14"/>
        <v>9.6864166284929016</v>
      </c>
      <c r="B176" s="18">
        <v>128</v>
      </c>
      <c r="C176" s="11" t="s">
        <v>584</v>
      </c>
      <c r="D176" s="19" t="s">
        <v>40</v>
      </c>
      <c r="E176" s="19" t="s">
        <v>36</v>
      </c>
      <c r="F176" s="19" t="s">
        <v>36</v>
      </c>
      <c r="G176" s="19">
        <v>18</v>
      </c>
      <c r="H176" s="19"/>
      <c r="I176" s="19"/>
      <c r="J176" s="19">
        <v>91</v>
      </c>
      <c r="K176" s="19">
        <v>20</v>
      </c>
      <c r="L176" s="19">
        <v>3</v>
      </c>
      <c r="M176" s="19">
        <v>12</v>
      </c>
      <c r="N176" s="19">
        <v>4</v>
      </c>
      <c r="O176" s="19">
        <v>11</v>
      </c>
      <c r="P176" s="19">
        <v>43</v>
      </c>
      <c r="Q176" s="19">
        <v>48</v>
      </c>
      <c r="R176" s="19">
        <v>0</v>
      </c>
      <c r="S176" s="19">
        <v>0</v>
      </c>
      <c r="T176" s="19">
        <v>0</v>
      </c>
      <c r="U176" s="19">
        <v>0</v>
      </c>
      <c r="V176" s="19">
        <f t="shared" si="15"/>
        <v>4.0572000000000004E-2</v>
      </c>
      <c r="W176" s="5">
        <f t="shared" si="16"/>
        <v>1.5153240000000006</v>
      </c>
      <c r="X176">
        <f t="shared" si="17"/>
        <v>0.19033560000000005</v>
      </c>
      <c r="Y176" s="5">
        <f t="shared" si="18"/>
        <v>0.19033560000000005</v>
      </c>
      <c r="Z176" t="str">
        <f t="shared" si="19"/>
        <v>SP</v>
      </c>
      <c r="AA176" t="str">
        <f t="shared" si="20"/>
        <v>SP</v>
      </c>
    </row>
    <row r="177" spans="1:27" ht="13.5" customHeight="1" thickBot="1" x14ac:dyDescent="0.35">
      <c r="A177">
        <f t="shared" si="14"/>
        <v>9.8844720568025632</v>
      </c>
      <c r="B177" s="18">
        <v>160</v>
      </c>
      <c r="C177" s="11" t="s">
        <v>585</v>
      </c>
      <c r="D177" s="19" t="s">
        <v>64</v>
      </c>
      <c r="E177" s="19" t="s">
        <v>47</v>
      </c>
      <c r="F177" s="19" t="s">
        <v>36</v>
      </c>
      <c r="G177" s="19">
        <v>18</v>
      </c>
      <c r="H177" s="19"/>
      <c r="I177" s="19"/>
      <c r="J177" s="19">
        <v>77</v>
      </c>
      <c r="K177" s="19">
        <v>25</v>
      </c>
      <c r="L177" s="19">
        <v>0</v>
      </c>
      <c r="M177" s="19">
        <v>0</v>
      </c>
      <c r="N177" s="19">
        <v>8</v>
      </c>
      <c r="O177" s="19">
        <v>3</v>
      </c>
      <c r="P177" s="19">
        <v>23</v>
      </c>
      <c r="Q177" s="19">
        <v>67</v>
      </c>
      <c r="R177" s="19">
        <v>0</v>
      </c>
      <c r="S177" s="19">
        <v>0</v>
      </c>
      <c r="T177" s="19">
        <v>0</v>
      </c>
      <c r="U177" s="19">
        <v>0</v>
      </c>
      <c r="V177" s="19">
        <f t="shared" si="15"/>
        <v>3.1086400000000004E-2</v>
      </c>
      <c r="W177" s="5">
        <f t="shared" si="16"/>
        <v>1.5818000000000003</v>
      </c>
      <c r="X177">
        <f t="shared" si="17"/>
        <v>0.16450280000000006</v>
      </c>
      <c r="Y177" s="5">
        <f t="shared" si="18"/>
        <v>0.16450280000000006</v>
      </c>
      <c r="Z177" t="str">
        <f t="shared" si="19"/>
        <v>SP</v>
      </c>
      <c r="AA177" t="str">
        <f t="shared" si="20"/>
        <v>SP</v>
      </c>
    </row>
    <row r="178" spans="1:27" ht="13.5" customHeight="1" thickBot="1" x14ac:dyDescent="0.35">
      <c r="A178">
        <f t="shared" si="14"/>
        <v>7.059695373339439</v>
      </c>
      <c r="B178" s="16">
        <v>191</v>
      </c>
      <c r="C178" s="10" t="s">
        <v>586</v>
      </c>
      <c r="D178" s="17" t="s">
        <v>57</v>
      </c>
      <c r="E178" s="17" t="s">
        <v>47</v>
      </c>
      <c r="F178" s="17" t="s">
        <v>47</v>
      </c>
      <c r="G178" s="17">
        <v>18</v>
      </c>
      <c r="H178" s="17"/>
      <c r="I178" s="17"/>
      <c r="J178" s="17">
        <v>100</v>
      </c>
      <c r="K178" s="17">
        <v>33</v>
      </c>
      <c r="L178" s="17">
        <v>30</v>
      </c>
      <c r="M178" s="17">
        <v>9</v>
      </c>
      <c r="N178" s="17">
        <v>0</v>
      </c>
      <c r="O178" s="17">
        <v>16</v>
      </c>
      <c r="P178" s="17">
        <v>19</v>
      </c>
      <c r="Q178" s="17">
        <v>36</v>
      </c>
      <c r="R178" s="17">
        <v>0</v>
      </c>
      <c r="S178" s="17">
        <v>0</v>
      </c>
      <c r="T178" s="17">
        <v>0</v>
      </c>
      <c r="U178" s="17">
        <v>0</v>
      </c>
      <c r="V178" s="17">
        <f t="shared" si="15"/>
        <v>0.25924260000000005</v>
      </c>
      <c r="W178" s="5">
        <f t="shared" si="16"/>
        <v>0.61542000000000008</v>
      </c>
      <c r="X178">
        <f t="shared" si="17"/>
        <v>0.19800000000000006</v>
      </c>
      <c r="Y178" s="5">
        <f t="shared" si="18"/>
        <v>0.19800000000000006</v>
      </c>
      <c r="Z178" t="str">
        <f t="shared" si="19"/>
        <v>SP</v>
      </c>
      <c r="AA178" t="str">
        <f t="shared" si="20"/>
        <v>SP</v>
      </c>
    </row>
    <row r="179" spans="1:27" ht="13.5" customHeight="1" thickBot="1" x14ac:dyDescent="0.35">
      <c r="A179">
        <f t="shared" si="14"/>
        <v>5.3024038021071913</v>
      </c>
      <c r="B179" s="18">
        <v>196</v>
      </c>
      <c r="C179" s="11" t="s">
        <v>587</v>
      </c>
      <c r="D179" s="19" t="s">
        <v>57</v>
      </c>
      <c r="E179" s="19" t="s">
        <v>36</v>
      </c>
      <c r="F179" s="19" t="s">
        <v>36</v>
      </c>
      <c r="G179" s="19">
        <v>21</v>
      </c>
      <c r="H179" s="19"/>
      <c r="I179" s="19"/>
      <c r="J179" s="19">
        <v>95</v>
      </c>
      <c r="K179" s="19">
        <v>29</v>
      </c>
      <c r="L179" s="19">
        <v>28</v>
      </c>
      <c r="M179" s="19">
        <v>0</v>
      </c>
      <c r="N179" s="19">
        <v>28</v>
      </c>
      <c r="O179" s="19">
        <v>3</v>
      </c>
      <c r="P179" s="19">
        <v>12</v>
      </c>
      <c r="Q179" s="19">
        <v>30</v>
      </c>
      <c r="R179" s="19">
        <v>0</v>
      </c>
      <c r="S179" s="19">
        <v>0</v>
      </c>
      <c r="T179" s="19">
        <v>0</v>
      </c>
      <c r="U179" s="19">
        <v>0</v>
      </c>
      <c r="V179" s="19">
        <f t="shared" si="15"/>
        <v>0.22589440000000005</v>
      </c>
      <c r="W179" s="5">
        <f t="shared" si="16"/>
        <v>0.37684800000000007</v>
      </c>
      <c r="X179">
        <f t="shared" si="17"/>
        <v>0.19475000000000009</v>
      </c>
      <c r="Y179" s="5">
        <f t="shared" si="18"/>
        <v>0.19475000000000009</v>
      </c>
      <c r="Z179" t="str">
        <f t="shared" si="19"/>
        <v>SP</v>
      </c>
      <c r="AA179" t="str">
        <f t="shared" si="20"/>
        <v>SP</v>
      </c>
    </row>
    <row r="180" spans="1:27" ht="13.5" customHeight="1" thickBot="1" x14ac:dyDescent="0.35">
      <c r="A180">
        <f t="shared" si="14"/>
        <v>8.4657604214383877</v>
      </c>
      <c r="B180" s="18">
        <v>138</v>
      </c>
      <c r="C180" s="11" t="s">
        <v>588</v>
      </c>
      <c r="D180" s="19" t="s">
        <v>64</v>
      </c>
      <c r="E180" s="19" t="s">
        <v>36</v>
      </c>
      <c r="F180" s="19" t="s">
        <v>36</v>
      </c>
      <c r="G180" s="19">
        <v>18</v>
      </c>
      <c r="H180" s="19"/>
      <c r="I180" s="19"/>
      <c r="J180" s="19">
        <v>90</v>
      </c>
      <c r="K180" s="19">
        <v>29</v>
      </c>
      <c r="L180" s="19">
        <v>20</v>
      </c>
      <c r="M180" s="19">
        <v>7</v>
      </c>
      <c r="N180" s="19">
        <v>3</v>
      </c>
      <c r="O180" s="19">
        <v>0</v>
      </c>
      <c r="P180" s="19">
        <v>10</v>
      </c>
      <c r="Q180" s="19">
        <v>58</v>
      </c>
      <c r="R180" s="19">
        <v>0</v>
      </c>
      <c r="S180" s="19">
        <v>0</v>
      </c>
      <c r="T180" s="19">
        <v>0</v>
      </c>
      <c r="U180" s="19">
        <v>0</v>
      </c>
      <c r="V180" s="19">
        <f t="shared" si="15"/>
        <v>0.11852420000000001</v>
      </c>
      <c r="W180" s="5">
        <f t="shared" si="16"/>
        <v>1.1469120000000004</v>
      </c>
      <c r="X180">
        <f t="shared" si="17"/>
        <v>0.18900000000000003</v>
      </c>
      <c r="Y180" s="5">
        <f t="shared" si="18"/>
        <v>0.18900000000000003</v>
      </c>
      <c r="Z180" t="str">
        <f t="shared" si="19"/>
        <v>SP</v>
      </c>
      <c r="AA180" t="str">
        <f t="shared" si="20"/>
        <v>SP</v>
      </c>
    </row>
    <row r="181" spans="1:27" ht="13.5" customHeight="1" thickBot="1" x14ac:dyDescent="0.35">
      <c r="A181">
        <f t="shared" si="14"/>
        <v>9.8013742556115453</v>
      </c>
      <c r="B181" s="18">
        <v>108</v>
      </c>
      <c r="C181" s="11" t="s">
        <v>589</v>
      </c>
      <c r="D181" s="19" t="s">
        <v>45</v>
      </c>
      <c r="E181" s="19" t="s">
        <v>47</v>
      </c>
      <c r="F181" s="19" t="s">
        <v>47</v>
      </c>
      <c r="G181" s="19">
        <v>18</v>
      </c>
      <c r="H181" s="19"/>
      <c r="I181" s="19"/>
      <c r="J181" s="19">
        <v>80</v>
      </c>
      <c r="K181" s="19">
        <v>17</v>
      </c>
      <c r="L181" s="19">
        <v>12</v>
      </c>
      <c r="M181" s="19">
        <v>0</v>
      </c>
      <c r="N181" s="19">
        <v>8</v>
      </c>
      <c r="O181" s="19">
        <v>2</v>
      </c>
      <c r="P181" s="19">
        <v>28</v>
      </c>
      <c r="Q181" s="19">
        <v>63</v>
      </c>
      <c r="R181" s="19">
        <v>0</v>
      </c>
      <c r="S181" s="19">
        <v>0</v>
      </c>
      <c r="T181" s="19">
        <v>0</v>
      </c>
      <c r="U181" s="19">
        <v>0</v>
      </c>
      <c r="V181" s="19">
        <f t="shared" si="15"/>
        <v>2.7194000000000003E-2</v>
      </c>
      <c r="W181" s="5">
        <f t="shared" si="16"/>
        <v>1.5717240000000006</v>
      </c>
      <c r="X181">
        <f t="shared" si="17"/>
        <v>0.17120000000000002</v>
      </c>
      <c r="Y181" s="5">
        <f t="shared" si="18"/>
        <v>0.17120000000000002</v>
      </c>
      <c r="Z181" t="str">
        <f t="shared" si="19"/>
        <v>SP</v>
      </c>
      <c r="AA181" t="str">
        <f t="shared" si="20"/>
        <v>SP</v>
      </c>
    </row>
    <row r="182" spans="1:27" ht="13.5" customHeight="1" thickBot="1" x14ac:dyDescent="0.35">
      <c r="A182">
        <f t="shared" si="14"/>
        <v>8.3755428309665589</v>
      </c>
      <c r="B182" s="16">
        <v>67</v>
      </c>
      <c r="C182" s="10" t="s">
        <v>590</v>
      </c>
      <c r="D182" s="17" t="s">
        <v>42</v>
      </c>
      <c r="E182" s="17" t="s">
        <v>47</v>
      </c>
      <c r="F182" s="17" t="s">
        <v>36</v>
      </c>
      <c r="G182" s="17">
        <v>18</v>
      </c>
      <c r="H182" s="17"/>
      <c r="I182" s="17"/>
      <c r="J182" s="17">
        <v>84</v>
      </c>
      <c r="K182" s="17">
        <v>37</v>
      </c>
      <c r="L182" s="17">
        <v>0</v>
      </c>
      <c r="M182" s="17">
        <v>0</v>
      </c>
      <c r="N182" s="17">
        <v>11</v>
      </c>
      <c r="O182" s="17">
        <v>3</v>
      </c>
      <c r="P182" s="17">
        <v>15</v>
      </c>
      <c r="Q182" s="17">
        <v>57</v>
      </c>
      <c r="R182" s="17">
        <v>0</v>
      </c>
      <c r="S182" s="17">
        <v>0</v>
      </c>
      <c r="T182" s="17">
        <v>0</v>
      </c>
      <c r="U182" s="17">
        <v>0</v>
      </c>
      <c r="V182" s="17">
        <f t="shared" si="15"/>
        <v>0.1032028</v>
      </c>
      <c r="W182" s="5">
        <f t="shared" si="16"/>
        <v>1.1666880000000002</v>
      </c>
      <c r="X182">
        <f t="shared" si="17"/>
        <v>0.17922240000000009</v>
      </c>
      <c r="Y182" s="5">
        <f t="shared" si="18"/>
        <v>0.17922240000000009</v>
      </c>
      <c r="Z182" t="str">
        <f t="shared" si="19"/>
        <v>SP</v>
      </c>
      <c r="AA182" t="str">
        <f t="shared" si="20"/>
        <v>SP</v>
      </c>
    </row>
    <row r="183" spans="1:27" ht="13.5" customHeight="1" thickBot="1" x14ac:dyDescent="0.35">
      <c r="A183">
        <f t="shared" si="14"/>
        <v>8.3042201099404469</v>
      </c>
      <c r="B183" s="16">
        <v>43</v>
      </c>
      <c r="C183" s="10" t="s">
        <v>591</v>
      </c>
      <c r="D183" s="17" t="s">
        <v>49</v>
      </c>
      <c r="E183" s="17" t="s">
        <v>36</v>
      </c>
      <c r="F183" s="17" t="s">
        <v>36</v>
      </c>
      <c r="G183" s="17">
        <v>18</v>
      </c>
      <c r="H183" s="17"/>
      <c r="I183" s="17"/>
      <c r="J183" s="17">
        <v>73</v>
      </c>
      <c r="K183" s="17">
        <v>30</v>
      </c>
      <c r="L183" s="17">
        <v>8</v>
      </c>
      <c r="M183" s="17">
        <v>6</v>
      </c>
      <c r="N183" s="17">
        <v>5</v>
      </c>
      <c r="O183" s="17">
        <v>3</v>
      </c>
      <c r="P183" s="17">
        <v>35</v>
      </c>
      <c r="Q183" s="17">
        <v>47</v>
      </c>
      <c r="R183" s="17">
        <v>0</v>
      </c>
      <c r="S183" s="17">
        <v>0</v>
      </c>
      <c r="T183" s="17">
        <v>0</v>
      </c>
      <c r="U183" s="17">
        <v>0</v>
      </c>
      <c r="V183" s="17">
        <f t="shared" si="15"/>
        <v>5.3143199999999995E-2</v>
      </c>
      <c r="W183" s="5">
        <f t="shared" si="16"/>
        <v>1.2665680000000001</v>
      </c>
      <c r="X183">
        <f t="shared" si="17"/>
        <v>0.15478920000000004</v>
      </c>
      <c r="Y183" s="5">
        <f t="shared" si="18"/>
        <v>0.15478920000000004</v>
      </c>
      <c r="Z183" t="str">
        <f t="shared" si="19"/>
        <v>CRAP</v>
      </c>
      <c r="AA183" t="str">
        <f t="shared" si="20"/>
        <v>CRAP</v>
      </c>
    </row>
    <row r="184" spans="1:27" ht="13.5" customHeight="1" thickBot="1" x14ac:dyDescent="0.35">
      <c r="A184">
        <f t="shared" si="14"/>
        <v>10.247230874942739</v>
      </c>
      <c r="B184" s="18">
        <v>176</v>
      </c>
      <c r="C184" s="11" t="s">
        <v>592</v>
      </c>
      <c r="D184" s="19" t="s">
        <v>49</v>
      </c>
      <c r="E184" s="19" t="s">
        <v>36</v>
      </c>
      <c r="F184" s="19" t="s">
        <v>36</v>
      </c>
      <c r="G184" s="19">
        <v>21</v>
      </c>
      <c r="H184" s="19"/>
      <c r="I184" s="19"/>
      <c r="J184" s="19">
        <v>54</v>
      </c>
      <c r="K184" s="19">
        <v>29</v>
      </c>
      <c r="L184" s="19">
        <v>4</v>
      </c>
      <c r="M184" s="19">
        <v>29</v>
      </c>
      <c r="N184" s="19">
        <v>3</v>
      </c>
      <c r="O184" s="19">
        <v>24</v>
      </c>
      <c r="P184" s="19">
        <v>0</v>
      </c>
      <c r="Q184" s="19">
        <v>58</v>
      </c>
      <c r="R184" s="19">
        <v>0</v>
      </c>
      <c r="S184" s="19">
        <v>0</v>
      </c>
      <c r="T184" s="19">
        <v>0</v>
      </c>
      <c r="U184" s="19">
        <v>0</v>
      </c>
      <c r="V184" s="19">
        <f t="shared" si="15"/>
        <v>0.30509260000000005</v>
      </c>
      <c r="W184" s="5">
        <f t="shared" si="16"/>
        <v>1.1289120000000004</v>
      </c>
      <c r="X184">
        <f t="shared" si="17"/>
        <v>0.10095840000000003</v>
      </c>
      <c r="Y184" s="5">
        <f t="shared" si="18"/>
        <v>0.10095840000000003</v>
      </c>
      <c r="Z184" t="str">
        <f t="shared" si="19"/>
        <v>CRAP</v>
      </c>
      <c r="AA184" t="str">
        <f t="shared" si="20"/>
        <v>CRAP</v>
      </c>
    </row>
    <row r="185" spans="1:27" ht="13.5" customHeight="1" thickBot="1" x14ac:dyDescent="0.35">
      <c r="A185">
        <f t="shared" si="14"/>
        <v>7.4485730645900121</v>
      </c>
      <c r="B185" s="18">
        <v>2</v>
      </c>
      <c r="C185" s="11" t="s">
        <v>593</v>
      </c>
      <c r="D185" s="19" t="s">
        <v>64</v>
      </c>
      <c r="E185" s="19" t="s">
        <v>36</v>
      </c>
      <c r="F185" s="19" t="s">
        <v>36</v>
      </c>
      <c r="G185" s="19">
        <v>18</v>
      </c>
      <c r="H185" s="19"/>
      <c r="I185" s="19"/>
      <c r="J185" s="19">
        <v>100</v>
      </c>
      <c r="K185" s="19">
        <v>31</v>
      </c>
      <c r="L185" s="19">
        <v>15</v>
      </c>
      <c r="M185" s="19">
        <v>9</v>
      </c>
      <c r="N185" s="19">
        <v>0</v>
      </c>
      <c r="O185" s="19">
        <v>14</v>
      </c>
      <c r="P185" s="19">
        <v>15</v>
      </c>
      <c r="Q185" s="19">
        <v>51</v>
      </c>
      <c r="R185" s="19">
        <v>0</v>
      </c>
      <c r="S185" s="19">
        <v>0</v>
      </c>
      <c r="T185" s="19">
        <v>0</v>
      </c>
      <c r="U185" s="19">
        <v>0</v>
      </c>
      <c r="V185" s="19">
        <f t="shared" si="15"/>
        <v>0.1072414</v>
      </c>
      <c r="W185" s="5">
        <f t="shared" si="16"/>
        <v>0.9873360000000001</v>
      </c>
      <c r="X185">
        <f t="shared" si="17"/>
        <v>0.19800000000000006</v>
      </c>
      <c r="Y185" s="5">
        <f t="shared" si="18"/>
        <v>0.19800000000000006</v>
      </c>
      <c r="Z185" t="str">
        <f t="shared" si="19"/>
        <v>SP</v>
      </c>
      <c r="AA185" t="str">
        <f t="shared" si="20"/>
        <v>SP</v>
      </c>
    </row>
    <row r="186" spans="1:27" ht="13.5" customHeight="1" thickBot="1" x14ac:dyDescent="0.35">
      <c r="A186">
        <f t="shared" si="14"/>
        <v>7.8273419606046728</v>
      </c>
      <c r="B186" s="18">
        <v>56</v>
      </c>
      <c r="C186" s="11" t="s">
        <v>594</v>
      </c>
      <c r="D186" s="19" t="s">
        <v>45</v>
      </c>
      <c r="E186" s="19" t="s">
        <v>36</v>
      </c>
      <c r="F186" s="19" t="s">
        <v>36</v>
      </c>
      <c r="G186" s="19">
        <v>18</v>
      </c>
      <c r="H186" s="19"/>
      <c r="I186" s="19"/>
      <c r="J186" s="19">
        <v>89</v>
      </c>
      <c r="K186" s="19">
        <v>22</v>
      </c>
      <c r="L186" s="19">
        <v>12</v>
      </c>
      <c r="M186" s="19">
        <v>9</v>
      </c>
      <c r="N186" s="19">
        <v>14</v>
      </c>
      <c r="O186" s="19">
        <v>15</v>
      </c>
      <c r="P186" s="19">
        <v>22</v>
      </c>
      <c r="Q186" s="19">
        <v>53</v>
      </c>
      <c r="R186" s="19">
        <v>0</v>
      </c>
      <c r="S186" s="19">
        <v>0</v>
      </c>
      <c r="T186" s="19">
        <v>0</v>
      </c>
      <c r="U186" s="19">
        <v>0</v>
      </c>
      <c r="V186" s="19">
        <f t="shared" si="15"/>
        <v>5.9379400000000006E-2</v>
      </c>
      <c r="W186" s="5">
        <f t="shared" si="16"/>
        <v>1.1544200000000004</v>
      </c>
      <c r="X186">
        <f t="shared" si="17"/>
        <v>0.18757640000000006</v>
      </c>
      <c r="Y186" s="5">
        <f t="shared" si="18"/>
        <v>0.18757640000000006</v>
      </c>
      <c r="Z186" t="str">
        <f t="shared" si="19"/>
        <v>SP</v>
      </c>
      <c r="AA186" t="str">
        <f t="shared" si="20"/>
        <v>SP</v>
      </c>
    </row>
    <row r="187" spans="1:27" ht="13.5" customHeight="1" thickBot="1" x14ac:dyDescent="0.35">
      <c r="A187">
        <f t="shared" si="14"/>
        <v>7.4659745762711864</v>
      </c>
      <c r="B187" s="16">
        <v>97</v>
      </c>
      <c r="C187" s="10" t="s">
        <v>595</v>
      </c>
      <c r="D187" s="17" t="s">
        <v>49</v>
      </c>
      <c r="E187" s="17" t="s">
        <v>36</v>
      </c>
      <c r="F187" s="17" t="s">
        <v>36</v>
      </c>
      <c r="G187" s="17">
        <v>18</v>
      </c>
      <c r="H187" s="17"/>
      <c r="I187" s="17"/>
      <c r="J187" s="17">
        <v>85</v>
      </c>
      <c r="K187" s="17">
        <v>40</v>
      </c>
      <c r="L187" s="17">
        <v>7</v>
      </c>
      <c r="M187" s="17">
        <v>22</v>
      </c>
      <c r="N187" s="17">
        <v>14</v>
      </c>
      <c r="O187" s="17">
        <v>5</v>
      </c>
      <c r="P187" s="17">
        <v>31</v>
      </c>
      <c r="Q187" s="17">
        <v>29</v>
      </c>
      <c r="R187" s="17">
        <v>0</v>
      </c>
      <c r="S187" s="17">
        <v>0</v>
      </c>
      <c r="T187" s="17">
        <v>0</v>
      </c>
      <c r="U187" s="17">
        <v>0</v>
      </c>
      <c r="V187" s="17">
        <f t="shared" si="15"/>
        <v>0.26438640000000008</v>
      </c>
      <c r="W187" s="5">
        <f t="shared" si="16"/>
        <v>0.68456000000000006</v>
      </c>
      <c r="X187">
        <f t="shared" si="17"/>
        <v>0.1810500000000001</v>
      </c>
      <c r="Y187" s="5">
        <f t="shared" si="18"/>
        <v>0.1810500000000001</v>
      </c>
      <c r="Z187" t="str">
        <f t="shared" si="19"/>
        <v>SP</v>
      </c>
      <c r="AA187" t="str">
        <f t="shared" si="20"/>
        <v>SP</v>
      </c>
    </row>
    <row r="188" spans="1:27" ht="13.5" customHeight="1" thickBot="1" x14ac:dyDescent="0.35">
      <c r="A188">
        <f t="shared" si="14"/>
        <v>7.4068483737975246</v>
      </c>
      <c r="B188" s="18">
        <v>182</v>
      </c>
      <c r="C188" s="11" t="s">
        <v>596</v>
      </c>
      <c r="D188" s="19" t="s">
        <v>57</v>
      </c>
      <c r="E188" s="19" t="s">
        <v>46</v>
      </c>
      <c r="F188" s="19" t="s">
        <v>36</v>
      </c>
      <c r="G188" s="19">
        <v>18</v>
      </c>
      <c r="H188" s="19"/>
      <c r="I188" s="19"/>
      <c r="J188" s="19">
        <v>100</v>
      </c>
      <c r="K188" s="19">
        <v>4</v>
      </c>
      <c r="L188" s="19">
        <v>14</v>
      </c>
      <c r="M188" s="19">
        <v>22</v>
      </c>
      <c r="N188" s="19">
        <v>29</v>
      </c>
      <c r="O188" s="19">
        <v>11</v>
      </c>
      <c r="P188" s="19">
        <v>30</v>
      </c>
      <c r="Q188" s="19">
        <v>35</v>
      </c>
      <c r="R188" s="19">
        <v>0</v>
      </c>
      <c r="S188" s="19">
        <v>0</v>
      </c>
      <c r="T188" s="19">
        <v>0</v>
      </c>
      <c r="U188" s="19">
        <v>0</v>
      </c>
      <c r="V188" s="19">
        <f t="shared" si="15"/>
        <v>0.19351600000000005</v>
      </c>
      <c r="W188" s="5">
        <f t="shared" si="16"/>
        <v>0.80750000000000011</v>
      </c>
      <c r="X188">
        <f t="shared" si="17"/>
        <v>0.19800000000000006</v>
      </c>
      <c r="Y188" s="5">
        <f t="shared" si="18"/>
        <v>0.19800000000000006</v>
      </c>
      <c r="Z188" t="str">
        <f t="shared" si="19"/>
        <v>SP</v>
      </c>
      <c r="AA188" t="str">
        <f t="shared" si="20"/>
        <v>SP</v>
      </c>
    </row>
    <row r="189" spans="1:27" ht="13.5" customHeight="1" thickBot="1" x14ac:dyDescent="0.35">
      <c r="A189">
        <f t="shared" si="14"/>
        <v>8.1210501603298209</v>
      </c>
      <c r="B189" s="18">
        <v>26</v>
      </c>
      <c r="C189" s="11" t="s">
        <v>597</v>
      </c>
      <c r="D189" s="19" t="s">
        <v>45</v>
      </c>
      <c r="E189" s="19" t="s">
        <v>46</v>
      </c>
      <c r="F189" s="19" t="s">
        <v>47</v>
      </c>
      <c r="G189" s="19">
        <v>18</v>
      </c>
      <c r="H189" s="19"/>
      <c r="I189" s="19"/>
      <c r="J189" s="19">
        <v>93</v>
      </c>
      <c r="K189" s="19">
        <v>14</v>
      </c>
      <c r="L189" s="19">
        <v>6</v>
      </c>
      <c r="M189" s="19">
        <v>20</v>
      </c>
      <c r="N189" s="19">
        <v>19</v>
      </c>
      <c r="O189" s="19">
        <v>14</v>
      </c>
      <c r="P189" s="19">
        <v>28</v>
      </c>
      <c r="Q189" s="19">
        <v>46</v>
      </c>
      <c r="R189" s="19">
        <v>0</v>
      </c>
      <c r="S189" s="19">
        <v>0</v>
      </c>
      <c r="T189" s="19">
        <v>0</v>
      </c>
      <c r="U189" s="19">
        <v>0</v>
      </c>
      <c r="V189" s="19">
        <f t="shared" si="15"/>
        <v>0.12692280000000003</v>
      </c>
      <c r="W189" s="5">
        <f t="shared" si="16"/>
        <v>1.0680480000000003</v>
      </c>
      <c r="X189">
        <f t="shared" si="17"/>
        <v>0.19273320000000008</v>
      </c>
      <c r="Y189" s="5">
        <f t="shared" si="18"/>
        <v>0.19273320000000008</v>
      </c>
      <c r="Z189" t="str">
        <f t="shared" si="19"/>
        <v>SP</v>
      </c>
      <c r="AA189" t="str">
        <f t="shared" si="20"/>
        <v>SP</v>
      </c>
    </row>
    <row r="190" spans="1:27" ht="13.5" customHeight="1" thickBot="1" x14ac:dyDescent="0.35">
      <c r="A190">
        <f t="shared" si="14"/>
        <v>7.6464028859367845</v>
      </c>
      <c r="B190" s="16">
        <v>109</v>
      </c>
      <c r="C190" s="10" t="s">
        <v>598</v>
      </c>
      <c r="D190" s="17" t="s">
        <v>45</v>
      </c>
      <c r="E190" s="17" t="s">
        <v>36</v>
      </c>
      <c r="F190" s="17" t="s">
        <v>36</v>
      </c>
      <c r="G190" s="17">
        <v>18</v>
      </c>
      <c r="H190" s="17"/>
      <c r="I190" s="17"/>
      <c r="J190" s="17">
        <v>81</v>
      </c>
      <c r="K190" s="17">
        <v>23</v>
      </c>
      <c r="L190" s="17">
        <v>5</v>
      </c>
      <c r="M190" s="17">
        <v>3</v>
      </c>
      <c r="N190" s="17">
        <v>4</v>
      </c>
      <c r="O190" s="17">
        <v>16</v>
      </c>
      <c r="P190" s="17">
        <v>42</v>
      </c>
      <c r="Q190" s="17">
        <v>38</v>
      </c>
      <c r="R190" s="17">
        <v>0</v>
      </c>
      <c r="S190" s="17">
        <v>0</v>
      </c>
      <c r="T190" s="17">
        <v>0</v>
      </c>
      <c r="U190" s="17">
        <v>0</v>
      </c>
      <c r="V190" s="17">
        <f t="shared" si="15"/>
        <v>2.3716999999999998E-2</v>
      </c>
      <c r="W190" s="5">
        <f t="shared" si="16"/>
        <v>1.2012800000000003</v>
      </c>
      <c r="X190">
        <f t="shared" si="17"/>
        <v>0.17330760000000003</v>
      </c>
      <c r="Y190" s="5">
        <f t="shared" si="18"/>
        <v>0.17330760000000003</v>
      </c>
      <c r="Z190" t="str">
        <f t="shared" si="19"/>
        <v>SP</v>
      </c>
      <c r="AA190" t="str">
        <f t="shared" si="20"/>
        <v>SP</v>
      </c>
    </row>
    <row r="191" spans="1:27" ht="13.5" customHeight="1" thickBot="1" x14ac:dyDescent="0.35">
      <c r="A191">
        <f t="shared" si="14"/>
        <v>6.9606951442968379</v>
      </c>
      <c r="B191" s="18">
        <v>86</v>
      </c>
      <c r="C191" s="11" t="s">
        <v>599</v>
      </c>
      <c r="D191" s="19" t="s">
        <v>45</v>
      </c>
      <c r="E191" s="19" t="s">
        <v>36</v>
      </c>
      <c r="F191" s="19" t="s">
        <v>36</v>
      </c>
      <c r="G191" s="19">
        <v>18</v>
      </c>
      <c r="H191" s="19"/>
      <c r="I191" s="19"/>
      <c r="J191" s="19">
        <v>85</v>
      </c>
      <c r="K191" s="19">
        <v>28</v>
      </c>
      <c r="L191" s="19">
        <v>16</v>
      </c>
      <c r="M191" s="19">
        <v>5</v>
      </c>
      <c r="N191" s="19">
        <v>0</v>
      </c>
      <c r="O191" s="19">
        <v>4</v>
      </c>
      <c r="P191" s="19">
        <v>26</v>
      </c>
      <c r="Q191" s="19">
        <v>44</v>
      </c>
      <c r="R191" s="19">
        <v>0</v>
      </c>
      <c r="S191" s="19">
        <v>0</v>
      </c>
      <c r="T191" s="19">
        <v>0</v>
      </c>
      <c r="U191" s="19">
        <v>0</v>
      </c>
      <c r="V191" s="19">
        <f t="shared" si="15"/>
        <v>7.9225399999999987E-2</v>
      </c>
      <c r="W191" s="5">
        <f t="shared" si="16"/>
        <v>0.96664000000000028</v>
      </c>
      <c r="X191">
        <f t="shared" si="17"/>
        <v>0.1810500000000001</v>
      </c>
      <c r="Y191" s="5">
        <f t="shared" si="18"/>
        <v>0.1810500000000001</v>
      </c>
      <c r="Z191" t="str">
        <f t="shared" si="19"/>
        <v>SP</v>
      </c>
      <c r="AA191" t="str">
        <f t="shared" si="20"/>
        <v>SP</v>
      </c>
    </row>
    <row r="192" spans="1:27" ht="13.5" customHeight="1" thickBot="1" x14ac:dyDescent="0.35">
      <c r="A192">
        <f t="shared" si="14"/>
        <v>7.2533886852954641</v>
      </c>
      <c r="B192" s="16">
        <v>199</v>
      </c>
      <c r="C192" s="10" t="s">
        <v>600</v>
      </c>
      <c r="D192" s="17" t="s">
        <v>57</v>
      </c>
      <c r="E192" s="17" t="s">
        <v>47</v>
      </c>
      <c r="F192" s="17" t="s">
        <v>47</v>
      </c>
      <c r="G192" s="17">
        <v>18</v>
      </c>
      <c r="H192" s="17"/>
      <c r="I192" s="17"/>
      <c r="J192" s="17">
        <v>81</v>
      </c>
      <c r="K192" s="17">
        <v>26</v>
      </c>
      <c r="L192" s="17">
        <v>10</v>
      </c>
      <c r="M192" s="17">
        <v>7</v>
      </c>
      <c r="N192" s="17">
        <v>3</v>
      </c>
      <c r="O192" s="17">
        <v>2</v>
      </c>
      <c r="P192" s="17">
        <v>35</v>
      </c>
      <c r="Q192" s="17">
        <v>41</v>
      </c>
      <c r="R192" s="17">
        <v>0</v>
      </c>
      <c r="S192" s="17">
        <v>0</v>
      </c>
      <c r="T192" s="17">
        <v>0</v>
      </c>
      <c r="U192" s="17">
        <v>0</v>
      </c>
      <c r="V192" s="17">
        <f t="shared" si="15"/>
        <v>4.3310999999999995E-2</v>
      </c>
      <c r="W192" s="5">
        <f t="shared" si="16"/>
        <v>1.0934560000000002</v>
      </c>
      <c r="X192">
        <f t="shared" si="17"/>
        <v>0.17330760000000003</v>
      </c>
      <c r="Y192" s="5">
        <f t="shared" si="18"/>
        <v>0.17330760000000003</v>
      </c>
      <c r="Z192" t="str">
        <f t="shared" si="19"/>
        <v>SP</v>
      </c>
      <c r="AA192" t="str">
        <f t="shared" si="20"/>
        <v>SP</v>
      </c>
    </row>
    <row r="193" spans="1:27" ht="13.5" customHeight="1" thickBot="1" x14ac:dyDescent="0.35">
      <c r="A193">
        <f t="shared" si="14"/>
        <v>9.2167590471827729</v>
      </c>
      <c r="B193" s="16">
        <v>175</v>
      </c>
      <c r="C193" s="10" t="s">
        <v>601</v>
      </c>
      <c r="D193" s="17" t="s">
        <v>40</v>
      </c>
      <c r="E193" s="17" t="s">
        <v>47</v>
      </c>
      <c r="F193" s="17" t="s">
        <v>36</v>
      </c>
      <c r="G193" s="17">
        <v>22</v>
      </c>
      <c r="H193" s="17"/>
      <c r="I193" s="17"/>
      <c r="J193" s="17">
        <v>100</v>
      </c>
      <c r="K193" s="17">
        <v>21</v>
      </c>
      <c r="L193" s="17">
        <v>0</v>
      </c>
      <c r="M193" s="17">
        <v>41</v>
      </c>
      <c r="N193" s="17">
        <v>4</v>
      </c>
      <c r="O193" s="17">
        <v>0</v>
      </c>
      <c r="P193" s="17">
        <v>15</v>
      </c>
      <c r="Q193" s="17">
        <v>35</v>
      </c>
      <c r="R193" s="17">
        <v>0</v>
      </c>
      <c r="S193" s="17">
        <v>0</v>
      </c>
      <c r="T193" s="17">
        <v>0</v>
      </c>
      <c r="U193" s="17">
        <v>0</v>
      </c>
      <c r="V193" s="17">
        <f t="shared" si="15"/>
        <v>0.4888074</v>
      </c>
      <c r="W193" s="5">
        <f t="shared" si="16"/>
        <v>0.53300000000000003</v>
      </c>
      <c r="X193">
        <f t="shared" si="17"/>
        <v>0.19800000000000006</v>
      </c>
      <c r="Y193" s="5">
        <f t="shared" si="18"/>
        <v>0.19800000000000006</v>
      </c>
      <c r="Z193" t="str">
        <f t="shared" si="19"/>
        <v>SP</v>
      </c>
      <c r="AA193" t="str">
        <f t="shared" si="20"/>
        <v>SP</v>
      </c>
    </row>
    <row r="194" spans="1:27" ht="13.5" customHeight="1" thickBot="1" x14ac:dyDescent="0.35">
      <c r="A194">
        <f t="shared" si="14"/>
        <v>6.7689555657352267</v>
      </c>
      <c r="B194" s="18">
        <v>78</v>
      </c>
      <c r="C194" s="11" t="s">
        <v>602</v>
      </c>
      <c r="D194" s="19" t="s">
        <v>45</v>
      </c>
      <c r="E194" s="19" t="s">
        <v>36</v>
      </c>
      <c r="F194" s="19" t="s">
        <v>36</v>
      </c>
      <c r="G194" s="19">
        <v>18</v>
      </c>
      <c r="H194" s="19"/>
      <c r="I194" s="19"/>
      <c r="J194" s="19">
        <v>82</v>
      </c>
      <c r="K194" s="19">
        <v>25</v>
      </c>
      <c r="L194" s="19">
        <v>12</v>
      </c>
      <c r="M194" s="19">
        <v>0</v>
      </c>
      <c r="N194" s="19">
        <v>5</v>
      </c>
      <c r="O194" s="19">
        <v>0</v>
      </c>
      <c r="P194" s="19">
        <v>30</v>
      </c>
      <c r="Q194" s="19">
        <v>42</v>
      </c>
      <c r="R194" s="19">
        <v>0</v>
      </c>
      <c r="S194" s="19">
        <v>0</v>
      </c>
      <c r="T194" s="19">
        <v>0</v>
      </c>
      <c r="U194" s="19">
        <v>0</v>
      </c>
      <c r="V194" s="19">
        <f t="shared" si="15"/>
        <v>4.8124E-2</v>
      </c>
      <c r="W194" s="5">
        <f t="shared" si="16"/>
        <v>0.99820800000000032</v>
      </c>
      <c r="X194">
        <f t="shared" si="17"/>
        <v>0.17534880000000008</v>
      </c>
      <c r="Y194" s="5">
        <f t="shared" si="18"/>
        <v>0.17534880000000008</v>
      </c>
      <c r="Z194" t="str">
        <f t="shared" si="19"/>
        <v>SP</v>
      </c>
      <c r="AA194" t="str">
        <f t="shared" si="20"/>
        <v>SP</v>
      </c>
    </row>
    <row r="195" spans="1:27" ht="13.5" customHeight="1" thickBot="1" x14ac:dyDescent="0.35">
      <c r="A195">
        <f t="shared" si="14"/>
        <v>6.836581539166283</v>
      </c>
      <c r="B195" s="18">
        <v>84</v>
      </c>
      <c r="C195" s="11" t="s">
        <v>603</v>
      </c>
      <c r="D195" s="19" t="s">
        <v>49</v>
      </c>
      <c r="E195" s="19" t="s">
        <v>36</v>
      </c>
      <c r="F195" s="19" t="s">
        <v>36</v>
      </c>
      <c r="G195" s="19">
        <v>18</v>
      </c>
      <c r="H195" s="19"/>
      <c r="I195" s="19"/>
      <c r="J195" s="19">
        <v>77</v>
      </c>
      <c r="K195" s="19">
        <v>33</v>
      </c>
      <c r="L195" s="19">
        <v>0</v>
      </c>
      <c r="M195" s="19">
        <v>3</v>
      </c>
      <c r="N195" s="19">
        <v>4</v>
      </c>
      <c r="O195" s="19">
        <v>23</v>
      </c>
      <c r="P195" s="19">
        <v>20</v>
      </c>
      <c r="Q195" s="19">
        <v>47</v>
      </c>
      <c r="R195" s="19">
        <v>0</v>
      </c>
      <c r="S195" s="19">
        <v>0</v>
      </c>
      <c r="T195" s="19">
        <v>0</v>
      </c>
      <c r="U195" s="19">
        <v>0</v>
      </c>
      <c r="V195" s="19">
        <f t="shared" si="15"/>
        <v>8.53106E-2</v>
      </c>
      <c r="W195" s="5">
        <f t="shared" si="16"/>
        <v>0.94106800000000013</v>
      </c>
      <c r="X195">
        <f t="shared" si="17"/>
        <v>0.16450280000000006</v>
      </c>
      <c r="Y195" s="5">
        <f t="shared" si="18"/>
        <v>0.16450280000000006</v>
      </c>
      <c r="Z195" t="str">
        <f t="shared" si="19"/>
        <v>SP</v>
      </c>
      <c r="AA195" t="str">
        <f t="shared" si="20"/>
        <v>SP</v>
      </c>
    </row>
    <row r="196" spans="1:27" ht="13.5" customHeight="1" thickBot="1" x14ac:dyDescent="0.35">
      <c r="A196">
        <f t="shared" si="14"/>
        <v>6.6655038937242317</v>
      </c>
      <c r="B196" s="16">
        <v>139</v>
      </c>
      <c r="C196" s="10" t="s">
        <v>604</v>
      </c>
      <c r="D196" s="17" t="s">
        <v>49</v>
      </c>
      <c r="E196" s="17" t="s">
        <v>36</v>
      </c>
      <c r="F196" s="17" t="s">
        <v>36</v>
      </c>
      <c r="G196" s="17">
        <v>18</v>
      </c>
      <c r="H196" s="17"/>
      <c r="I196" s="17"/>
      <c r="J196" s="17">
        <v>76</v>
      </c>
      <c r="K196" s="17">
        <v>31</v>
      </c>
      <c r="L196" s="17">
        <v>3</v>
      </c>
      <c r="M196" s="17">
        <v>9</v>
      </c>
      <c r="N196" s="17">
        <v>8</v>
      </c>
      <c r="O196" s="17">
        <v>23</v>
      </c>
      <c r="P196" s="17">
        <v>30</v>
      </c>
      <c r="Q196" s="17">
        <v>39</v>
      </c>
      <c r="R196" s="17">
        <v>0</v>
      </c>
      <c r="S196" s="17">
        <v>0</v>
      </c>
      <c r="T196" s="17">
        <v>0</v>
      </c>
      <c r="U196" s="17">
        <v>0</v>
      </c>
      <c r="V196" s="17">
        <f t="shared" si="15"/>
        <v>8.4311399999999995E-2</v>
      </c>
      <c r="W196" s="5">
        <f t="shared" si="16"/>
        <v>0.91436400000000018</v>
      </c>
      <c r="X196">
        <f t="shared" si="17"/>
        <v>0.16215360000000006</v>
      </c>
      <c r="Y196" s="5">
        <f t="shared" si="18"/>
        <v>0.16215360000000006</v>
      </c>
      <c r="Z196" t="str">
        <f t="shared" si="19"/>
        <v>SP</v>
      </c>
      <c r="AA196" t="str">
        <f t="shared" si="20"/>
        <v>SP</v>
      </c>
    </row>
    <row r="197" spans="1:27" ht="13.5" customHeight="1" thickBot="1" x14ac:dyDescent="0.35">
      <c r="A197">
        <f t="shared" si="14"/>
        <v>6.7098293632615658</v>
      </c>
      <c r="B197" s="18">
        <v>58</v>
      </c>
      <c r="C197" s="11" t="s">
        <v>605</v>
      </c>
      <c r="D197" s="19" t="s">
        <v>45</v>
      </c>
      <c r="E197" s="19" t="s">
        <v>47</v>
      </c>
      <c r="F197" s="19" t="s">
        <v>47</v>
      </c>
      <c r="G197" s="19">
        <v>18</v>
      </c>
      <c r="H197" s="19"/>
      <c r="I197" s="19"/>
      <c r="J197" s="19">
        <v>75</v>
      </c>
      <c r="K197" s="19">
        <v>28</v>
      </c>
      <c r="L197" s="19">
        <v>6</v>
      </c>
      <c r="M197" s="19">
        <v>8</v>
      </c>
      <c r="N197" s="19">
        <v>7</v>
      </c>
      <c r="O197" s="19">
        <v>25</v>
      </c>
      <c r="P197" s="19">
        <v>28</v>
      </c>
      <c r="Q197" s="19">
        <v>42</v>
      </c>
      <c r="R197" s="19">
        <v>0</v>
      </c>
      <c r="S197" s="19">
        <v>0</v>
      </c>
      <c r="T197" s="19">
        <v>0</v>
      </c>
      <c r="U197" s="19">
        <v>0</v>
      </c>
      <c r="V197" s="19">
        <f t="shared" si="15"/>
        <v>6.9684800000000005E-2</v>
      </c>
      <c r="W197" s="5">
        <f t="shared" si="16"/>
        <v>0.9525600000000003</v>
      </c>
      <c r="X197">
        <f t="shared" si="17"/>
        <v>0.15975000000000003</v>
      </c>
      <c r="Y197" s="5">
        <f t="shared" si="18"/>
        <v>0.15975000000000003</v>
      </c>
      <c r="Z197" t="str">
        <f t="shared" si="19"/>
        <v>CRAP</v>
      </c>
      <c r="AA197" t="str">
        <f t="shared" si="20"/>
        <v>CRAP</v>
      </c>
    </row>
    <row r="198" spans="1:27" ht="13.5" customHeight="1" thickBot="1" x14ac:dyDescent="0.35">
      <c r="A198">
        <f t="shared" ref="A198:A206" si="21">IFERROR((V198*V$2+W198*W$2+X198*X$2)*100/(V$4*V$2+W$4*W$2+X$4*X$2),0)</f>
        <v>7.7127611085661911</v>
      </c>
      <c r="B198" s="18">
        <v>186</v>
      </c>
      <c r="C198" s="11" t="s">
        <v>606</v>
      </c>
      <c r="D198" s="19" t="s">
        <v>57</v>
      </c>
      <c r="E198" s="19" t="s">
        <v>36</v>
      </c>
      <c r="F198" s="19" t="s">
        <v>36</v>
      </c>
      <c r="G198" s="19">
        <v>18</v>
      </c>
      <c r="H198" s="19"/>
      <c r="I198" s="19"/>
      <c r="J198" s="19">
        <v>81</v>
      </c>
      <c r="K198" s="19">
        <v>11</v>
      </c>
      <c r="L198" s="19">
        <v>17</v>
      </c>
      <c r="M198" s="19">
        <v>5</v>
      </c>
      <c r="N198" s="19">
        <v>3</v>
      </c>
      <c r="O198" s="19">
        <v>8</v>
      </c>
      <c r="P198" s="19">
        <v>9</v>
      </c>
      <c r="Q198" s="19">
        <v>59</v>
      </c>
      <c r="R198" s="19">
        <v>0</v>
      </c>
      <c r="S198" s="19">
        <v>0</v>
      </c>
      <c r="T198" s="19">
        <v>0</v>
      </c>
      <c r="U198" s="19">
        <v>0</v>
      </c>
      <c r="V198" s="19">
        <f t="shared" ref="V198:V261" si="22">K$1*(0.000001*K198^3)+L$1*((-0.000002)*L198^3+0.00032*L198^2+(-0.0021)*L198)+M$1*((-0.000002)*M198^3+0.00032*M198^2+(-0.0021)*M198)+N$1*((-0.000002)*N198^3+0.00032*N198^2+(-0.0021)*N198)+O$1*((-0.000002)*O198^3+0.00032*O198^2+(-0.0021)*O198)</f>
        <v>4.5327400000000011E-2</v>
      </c>
      <c r="W198" s="5">
        <f t="shared" ref="W198:W261" si="23">P$1*((-0.000002)*P198^3+0.00032*P198^2+(-0.0021)*P198)+Q$1*((-0.000002)*Q198^3+0.00032*Q198^2+(-0.0021)*Q198)+R$1*((-0.000002)*R198^3+0.00032*R198^2+(-0.0021)*R198)+S$1*((-0.000002)*S198^3+0.00032*S198^2+(-0.0021)*S198)+T$1*((-0.000002)*T198^3+0.00032*T198^2+(-0.0021)*T198)</f>
        <v>1.169648</v>
      </c>
      <c r="X198">
        <f t="shared" ref="X198:X261" si="24">(I$1*((-0.000002)*I198^3+0.00032*I198^2+(-0.0021)*I198)+J$1*((-0.000002)*J198^3+0.00032*J198^2+(-0.0021)*J198)+H$1*((-0.000002)*H198^3+0.00032*H198^2+(-0.0021)*H198))*(MAX(0.05,MIN(1,(2*J198+I198)/120)*MIN(1,I198/10)*MIN(1,J198/10)))</f>
        <v>0.17330760000000003</v>
      </c>
      <c r="Y198" s="5">
        <f t="shared" ref="Y198:Y261" si="25">(I$1*((-0.000002)*I198^3+0.00032*I198^2+(-0.0021)*I198)+J$1*((-0.000002)*J198^3+0.00032*J198^2+(-0.0021)*J198)+H$1*((-0.000002)*H198^3+0.00032*H198^2+(-0.0021)*H198))*(MAX(0.05,MIN(1,(2*J198+I198)/120)*MIN(1,I198/10)*MIN(1,J198/10)))</f>
        <v>0.17330760000000003</v>
      </c>
      <c r="Z198" t="str">
        <f t="shared" ref="Z198:Z261" si="26">IF(AND(J198&gt;50,I198+J198&gt;75),"SP",IF(2*I198+J198&gt;120,"RP","CRAP"))</f>
        <v>SP</v>
      </c>
      <c r="AA198" t="str">
        <f t="shared" ref="AA198:AA261" si="27">IF(AND(J198&gt;50,I198+J198&gt;75),"SP",IF(2*I198+J198&gt;120,"RP","CRAP"))</f>
        <v>SP</v>
      </c>
    </row>
    <row r="199" spans="1:27" ht="13.5" customHeight="1" thickBot="1" x14ac:dyDescent="0.35">
      <c r="A199">
        <f t="shared" si="21"/>
        <v>6.4919182317911126</v>
      </c>
      <c r="B199" s="16">
        <v>73</v>
      </c>
      <c r="C199" s="10" t="s">
        <v>607</v>
      </c>
      <c r="D199" s="17" t="s">
        <v>45</v>
      </c>
      <c r="E199" s="17" t="s">
        <v>47</v>
      </c>
      <c r="F199" s="17" t="s">
        <v>47</v>
      </c>
      <c r="G199" s="17">
        <v>18</v>
      </c>
      <c r="H199" s="17"/>
      <c r="I199" s="17"/>
      <c r="J199" s="17">
        <v>81</v>
      </c>
      <c r="K199" s="17">
        <v>19</v>
      </c>
      <c r="L199" s="17">
        <v>10</v>
      </c>
      <c r="M199" s="17">
        <v>3</v>
      </c>
      <c r="N199" s="17">
        <v>9</v>
      </c>
      <c r="O199" s="17">
        <v>0</v>
      </c>
      <c r="P199" s="17">
        <v>28</v>
      </c>
      <c r="Q199" s="17">
        <v>44</v>
      </c>
      <c r="R199" s="17">
        <v>0</v>
      </c>
      <c r="S199" s="17">
        <v>0</v>
      </c>
      <c r="T199" s="17">
        <v>0</v>
      </c>
      <c r="U199" s="17">
        <v>0</v>
      </c>
      <c r="V199" s="17">
        <f t="shared" si="22"/>
        <v>1.8619400000000001E-2</v>
      </c>
      <c r="W199" s="5">
        <f t="shared" si="23"/>
        <v>1.0098560000000003</v>
      </c>
      <c r="X199">
        <f t="shared" si="24"/>
        <v>0.17330760000000003</v>
      </c>
      <c r="Y199" s="5">
        <f t="shared" si="25"/>
        <v>0.17330760000000003</v>
      </c>
      <c r="Z199" t="str">
        <f t="shared" si="26"/>
        <v>SP</v>
      </c>
      <c r="AA199" t="str">
        <f t="shared" si="27"/>
        <v>SP</v>
      </c>
    </row>
    <row r="200" spans="1:27" ht="13.5" customHeight="1" thickBot="1" x14ac:dyDescent="0.35">
      <c r="A200">
        <f t="shared" si="21"/>
        <v>6.2267991296381124</v>
      </c>
      <c r="B200" s="16">
        <v>183</v>
      </c>
      <c r="C200" s="10" t="s">
        <v>608</v>
      </c>
      <c r="D200" s="17" t="s">
        <v>57</v>
      </c>
      <c r="E200" s="17" t="s">
        <v>36</v>
      </c>
      <c r="F200" s="17" t="s">
        <v>36</v>
      </c>
      <c r="G200" s="17">
        <v>18</v>
      </c>
      <c r="H200" s="17"/>
      <c r="I200" s="17"/>
      <c r="J200" s="17">
        <v>77</v>
      </c>
      <c r="K200" s="17">
        <v>25</v>
      </c>
      <c r="L200" s="17">
        <v>2</v>
      </c>
      <c r="M200" s="17">
        <v>6</v>
      </c>
      <c r="N200" s="17">
        <v>5</v>
      </c>
      <c r="O200" s="17">
        <v>24</v>
      </c>
      <c r="P200" s="17">
        <v>20</v>
      </c>
      <c r="Q200" s="17">
        <v>46</v>
      </c>
      <c r="R200" s="17">
        <v>0</v>
      </c>
      <c r="S200" s="17">
        <v>0</v>
      </c>
      <c r="T200" s="17">
        <v>0</v>
      </c>
      <c r="U200" s="17">
        <v>0</v>
      </c>
      <c r="V200" s="17">
        <f t="shared" si="22"/>
        <v>4.6750400000000004E-2</v>
      </c>
      <c r="W200" s="5">
        <f t="shared" si="23"/>
        <v>0.91169600000000017</v>
      </c>
      <c r="X200">
        <f t="shared" si="24"/>
        <v>0.16450280000000006</v>
      </c>
      <c r="Y200" s="5">
        <f t="shared" si="25"/>
        <v>0.16450280000000006</v>
      </c>
      <c r="Z200" t="str">
        <f t="shared" si="26"/>
        <v>SP</v>
      </c>
      <c r="AA200" t="str">
        <f t="shared" si="27"/>
        <v>SP</v>
      </c>
    </row>
    <row r="201" spans="1:27" ht="13.5" customHeight="1" thickBot="1" x14ac:dyDescent="0.35">
      <c r="A201">
        <f t="shared" si="21"/>
        <v>5.161267750801648</v>
      </c>
      <c r="B201" s="18">
        <v>12</v>
      </c>
      <c r="C201" s="11" t="s">
        <v>609</v>
      </c>
      <c r="D201" s="19" t="s">
        <v>42</v>
      </c>
      <c r="E201" s="19" t="s">
        <v>36</v>
      </c>
      <c r="F201" s="19" t="s">
        <v>36</v>
      </c>
      <c r="G201" s="19">
        <v>18</v>
      </c>
      <c r="H201" s="19"/>
      <c r="I201" s="19"/>
      <c r="J201" s="19">
        <v>95</v>
      </c>
      <c r="K201" s="19">
        <v>30</v>
      </c>
      <c r="L201" s="19">
        <v>13</v>
      </c>
      <c r="M201" s="19">
        <v>4</v>
      </c>
      <c r="N201" s="19">
        <v>0</v>
      </c>
      <c r="O201" s="19">
        <v>4</v>
      </c>
      <c r="P201" s="19">
        <v>12</v>
      </c>
      <c r="Q201" s="19">
        <v>41</v>
      </c>
      <c r="R201" s="19">
        <v>0</v>
      </c>
      <c r="S201" s="19">
        <v>0</v>
      </c>
      <c r="T201" s="19">
        <v>0</v>
      </c>
      <c r="U201" s="19">
        <v>0</v>
      </c>
      <c r="V201" s="19">
        <f t="shared" si="22"/>
        <v>7.05924E-2</v>
      </c>
      <c r="W201" s="5">
        <f t="shared" si="23"/>
        <v>0.66280400000000006</v>
      </c>
      <c r="X201">
        <f t="shared" si="24"/>
        <v>0.19475000000000009</v>
      </c>
      <c r="Y201" s="5">
        <f t="shared" si="25"/>
        <v>0.19475000000000009</v>
      </c>
      <c r="Z201" t="str">
        <f t="shared" si="26"/>
        <v>SP</v>
      </c>
      <c r="AA201" t="str">
        <f t="shared" si="27"/>
        <v>SP</v>
      </c>
    </row>
    <row r="202" spans="1:27" ht="13.5" customHeight="1" thickBot="1" x14ac:dyDescent="0.35">
      <c r="A202">
        <f t="shared" si="21"/>
        <v>5.5410284012826381</v>
      </c>
      <c r="B202" s="16">
        <v>105</v>
      </c>
      <c r="C202" s="10" t="s">
        <v>610</v>
      </c>
      <c r="D202" s="17" t="s">
        <v>45</v>
      </c>
      <c r="E202" s="17" t="s">
        <v>36</v>
      </c>
      <c r="F202" s="17" t="s">
        <v>36</v>
      </c>
      <c r="G202" s="17">
        <v>18</v>
      </c>
      <c r="H202" s="17"/>
      <c r="I202" s="17"/>
      <c r="J202" s="17">
        <v>76</v>
      </c>
      <c r="K202" s="17">
        <v>26</v>
      </c>
      <c r="L202" s="17">
        <v>7</v>
      </c>
      <c r="M202" s="17">
        <v>7</v>
      </c>
      <c r="N202" s="17">
        <v>0</v>
      </c>
      <c r="O202" s="17">
        <v>28</v>
      </c>
      <c r="P202" s="17">
        <v>31</v>
      </c>
      <c r="Q202" s="17">
        <v>32</v>
      </c>
      <c r="R202" s="17">
        <v>0</v>
      </c>
      <c r="S202" s="17">
        <v>0</v>
      </c>
      <c r="T202" s="17">
        <v>0</v>
      </c>
      <c r="U202" s="17">
        <v>0</v>
      </c>
      <c r="V202" s="17">
        <f t="shared" si="22"/>
        <v>6.5522200000000017E-2</v>
      </c>
      <c r="W202" s="5">
        <f t="shared" si="23"/>
        <v>0.75556400000000012</v>
      </c>
      <c r="X202">
        <f t="shared" si="24"/>
        <v>0.16215360000000006</v>
      </c>
      <c r="Y202" s="5">
        <f t="shared" si="25"/>
        <v>0.16215360000000006</v>
      </c>
      <c r="Z202" t="str">
        <f t="shared" si="26"/>
        <v>SP</v>
      </c>
      <c r="AA202" t="str">
        <f t="shared" si="27"/>
        <v>SP</v>
      </c>
    </row>
    <row r="203" spans="1:27" ht="13.5" customHeight="1" thickBot="1" x14ac:dyDescent="0.35">
      <c r="A203">
        <f t="shared" si="21"/>
        <v>4.6881470453504344</v>
      </c>
      <c r="B203" s="18">
        <v>142</v>
      </c>
      <c r="C203" s="11" t="s">
        <v>611</v>
      </c>
      <c r="D203" s="19" t="s">
        <v>42</v>
      </c>
      <c r="E203" s="19" t="s">
        <v>47</v>
      </c>
      <c r="F203" s="19" t="s">
        <v>47</v>
      </c>
      <c r="G203" s="19">
        <v>18</v>
      </c>
      <c r="H203" s="19"/>
      <c r="I203" s="19"/>
      <c r="J203" s="19">
        <v>92</v>
      </c>
      <c r="K203" s="19">
        <v>34</v>
      </c>
      <c r="L203" s="19">
        <v>10</v>
      </c>
      <c r="M203" s="19">
        <v>1</v>
      </c>
      <c r="N203" s="19">
        <v>3</v>
      </c>
      <c r="O203" s="19">
        <v>16</v>
      </c>
      <c r="P203" s="19">
        <v>19</v>
      </c>
      <c r="Q203" s="19">
        <v>33</v>
      </c>
      <c r="R203" s="19">
        <v>0</v>
      </c>
      <c r="S203" s="19">
        <v>0</v>
      </c>
      <c r="T203" s="19">
        <v>0</v>
      </c>
      <c r="U203" s="19">
        <v>0</v>
      </c>
      <c r="V203" s="19">
        <f t="shared" si="22"/>
        <v>9.2265800000000009E-2</v>
      </c>
      <c r="W203" s="5">
        <f t="shared" si="23"/>
        <v>0.53841600000000012</v>
      </c>
      <c r="X203">
        <f t="shared" si="24"/>
        <v>0.19158080000000008</v>
      </c>
      <c r="Y203" s="5">
        <f t="shared" si="25"/>
        <v>0.19158080000000008</v>
      </c>
      <c r="Z203" t="str">
        <f t="shared" si="26"/>
        <v>SP</v>
      </c>
      <c r="AA203" t="str">
        <f t="shared" si="27"/>
        <v>SP</v>
      </c>
    </row>
    <row r="204" spans="1:27" ht="13.5" customHeight="1" thickBot="1" x14ac:dyDescent="0.35">
      <c r="A204">
        <f t="shared" si="21"/>
        <v>4.8386268896014659</v>
      </c>
      <c r="B204" s="16">
        <v>195</v>
      </c>
      <c r="C204" s="10" t="s">
        <v>612</v>
      </c>
      <c r="D204" s="17" t="s">
        <v>57</v>
      </c>
      <c r="E204" s="17" t="s">
        <v>36</v>
      </c>
      <c r="F204" s="17" t="s">
        <v>36</v>
      </c>
      <c r="G204" s="17">
        <v>18</v>
      </c>
      <c r="H204" s="17"/>
      <c r="I204" s="17"/>
      <c r="J204" s="17">
        <v>75</v>
      </c>
      <c r="K204" s="17">
        <v>30</v>
      </c>
      <c r="L204" s="17">
        <v>13</v>
      </c>
      <c r="M204" s="17">
        <v>15</v>
      </c>
      <c r="N204" s="17">
        <v>9</v>
      </c>
      <c r="O204" s="17">
        <v>0</v>
      </c>
      <c r="P204" s="17">
        <v>28</v>
      </c>
      <c r="Q204" s="17">
        <v>24</v>
      </c>
      <c r="R204" s="17">
        <v>0</v>
      </c>
      <c r="S204" s="17">
        <v>0</v>
      </c>
      <c r="T204" s="17">
        <v>0</v>
      </c>
      <c r="U204" s="17">
        <v>0</v>
      </c>
      <c r="V204" s="17">
        <f t="shared" si="22"/>
        <v>0.12812340000000003</v>
      </c>
      <c r="W204" s="5">
        <f t="shared" si="23"/>
        <v>0.50889600000000013</v>
      </c>
      <c r="X204">
        <f t="shared" si="24"/>
        <v>0.15975000000000003</v>
      </c>
      <c r="Y204" s="5">
        <f t="shared" si="25"/>
        <v>0.15975000000000003</v>
      </c>
      <c r="Z204" t="str">
        <f t="shared" si="26"/>
        <v>CRAP</v>
      </c>
      <c r="AA204" t="str">
        <f t="shared" si="27"/>
        <v>CRAP</v>
      </c>
    </row>
    <row r="205" spans="1:27" ht="13.5" customHeight="1" thickBot="1" x14ac:dyDescent="0.35">
      <c r="A205">
        <f t="shared" si="21"/>
        <v>4.0988238662391199</v>
      </c>
      <c r="B205" s="16">
        <v>13</v>
      </c>
      <c r="C205" s="10" t="s">
        <v>613</v>
      </c>
      <c r="D205" s="17" t="s">
        <v>45</v>
      </c>
      <c r="E205" s="17" t="s">
        <v>36</v>
      </c>
      <c r="F205" s="17" t="s">
        <v>36</v>
      </c>
      <c r="G205" s="17">
        <v>18</v>
      </c>
      <c r="H205" s="17"/>
      <c r="I205" s="17"/>
      <c r="J205" s="17">
        <v>89</v>
      </c>
      <c r="K205" s="17">
        <v>22</v>
      </c>
      <c r="L205" s="17">
        <v>0</v>
      </c>
      <c r="M205" s="17">
        <v>10</v>
      </c>
      <c r="N205" s="17">
        <v>19</v>
      </c>
      <c r="O205" s="17">
        <v>2</v>
      </c>
      <c r="P205" s="17">
        <v>28</v>
      </c>
      <c r="Q205" s="17">
        <v>25</v>
      </c>
      <c r="R205" s="17">
        <v>0</v>
      </c>
      <c r="S205" s="17">
        <v>0</v>
      </c>
      <c r="T205" s="17">
        <v>0</v>
      </c>
      <c r="U205" s="17">
        <v>0</v>
      </c>
      <c r="V205" s="17">
        <f t="shared" si="22"/>
        <v>4.6589200000000004E-2</v>
      </c>
      <c r="W205" s="5">
        <f t="shared" si="23"/>
        <v>0.5288520000000001</v>
      </c>
      <c r="X205">
        <f t="shared" si="24"/>
        <v>0.18757640000000006</v>
      </c>
      <c r="Y205" s="5">
        <f t="shared" si="25"/>
        <v>0.18757640000000006</v>
      </c>
      <c r="Z205" t="str">
        <f t="shared" si="26"/>
        <v>SP</v>
      </c>
      <c r="AA205" t="str">
        <f t="shared" si="27"/>
        <v>SP</v>
      </c>
    </row>
    <row r="206" spans="1:27" ht="13.5" customHeight="1" thickBot="1" x14ac:dyDescent="0.35">
      <c r="A206">
        <f t="shared" si="21"/>
        <v>2.5859276225377918</v>
      </c>
      <c r="B206" s="16">
        <v>91</v>
      </c>
      <c r="C206" s="10" t="s">
        <v>614</v>
      </c>
      <c r="D206" s="17" t="s">
        <v>42</v>
      </c>
      <c r="E206" s="17" t="s">
        <v>47</v>
      </c>
      <c r="F206" s="17" t="s">
        <v>47</v>
      </c>
      <c r="G206" s="17">
        <v>18</v>
      </c>
      <c r="H206" s="17"/>
      <c r="I206" s="17"/>
      <c r="J206" s="17">
        <v>86</v>
      </c>
      <c r="K206" s="17">
        <v>13</v>
      </c>
      <c r="L206" s="17">
        <v>6</v>
      </c>
      <c r="M206" s="17">
        <v>6</v>
      </c>
      <c r="N206" s="17">
        <v>7</v>
      </c>
      <c r="O206" s="17">
        <v>0</v>
      </c>
      <c r="P206" s="17">
        <v>4</v>
      </c>
      <c r="Q206" s="17">
        <v>31</v>
      </c>
      <c r="R206" s="17">
        <v>0</v>
      </c>
      <c r="S206" s="17">
        <v>0</v>
      </c>
      <c r="T206" s="17">
        <v>0</v>
      </c>
      <c r="U206" s="17">
        <v>0</v>
      </c>
      <c r="V206" s="17">
        <f t="shared" si="22"/>
        <v>6.7280000000000172E-4</v>
      </c>
      <c r="W206" s="5">
        <f t="shared" si="23"/>
        <v>0.35886000000000007</v>
      </c>
      <c r="X206">
        <f t="shared" si="24"/>
        <v>0.18280160000000012</v>
      </c>
      <c r="Y206" s="5">
        <f t="shared" si="25"/>
        <v>0.18280160000000012</v>
      </c>
      <c r="Z206" t="str">
        <f t="shared" si="26"/>
        <v>SP</v>
      </c>
      <c r="AA206" t="str">
        <f t="shared" si="27"/>
        <v>SP</v>
      </c>
    </row>
    <row r="207" spans="1:27" ht="13.5" customHeight="1" thickBot="1" x14ac:dyDescent="0.35">
      <c r="A207">
        <f t="shared" ref="A207:A270" si="28">(V207*V$2+W207*W$2+X207*X$2)*100/(V$4*V$2+W$4*W$2+X$4*X$2)</f>
        <v>0</v>
      </c>
      <c r="B207" s="18"/>
      <c r="C207" s="11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>
        <f t="shared" si="22"/>
        <v>0</v>
      </c>
      <c r="W207">
        <f t="shared" si="23"/>
        <v>0</v>
      </c>
      <c r="X207">
        <f t="shared" si="24"/>
        <v>0</v>
      </c>
      <c r="Y207">
        <f t="shared" si="25"/>
        <v>0</v>
      </c>
      <c r="Z207" t="str">
        <f t="shared" si="26"/>
        <v>CRAP</v>
      </c>
      <c r="AA207" t="str">
        <f t="shared" si="27"/>
        <v>CRAP</v>
      </c>
    </row>
    <row r="208" spans="1:27" ht="13.5" customHeight="1" thickBot="1" x14ac:dyDescent="0.35">
      <c r="A208">
        <f t="shared" si="28"/>
        <v>0</v>
      </c>
      <c r="B208" s="16"/>
      <c r="C208" s="10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>
        <f t="shared" si="22"/>
        <v>0</v>
      </c>
      <c r="W208">
        <f t="shared" si="23"/>
        <v>0</v>
      </c>
      <c r="X208">
        <f t="shared" si="24"/>
        <v>0</v>
      </c>
      <c r="Y208">
        <f t="shared" si="25"/>
        <v>0</v>
      </c>
      <c r="Z208" t="str">
        <f t="shared" si="26"/>
        <v>CRAP</v>
      </c>
      <c r="AA208" t="str">
        <f t="shared" si="27"/>
        <v>CRAP</v>
      </c>
    </row>
    <row r="209" spans="1:27" ht="13.5" customHeight="1" thickBot="1" x14ac:dyDescent="0.35">
      <c r="A209">
        <f t="shared" si="28"/>
        <v>0</v>
      </c>
      <c r="B209" s="18"/>
      <c r="C209" s="11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>
        <f t="shared" si="22"/>
        <v>0</v>
      </c>
      <c r="W209">
        <f t="shared" si="23"/>
        <v>0</v>
      </c>
      <c r="X209">
        <f t="shared" si="24"/>
        <v>0</v>
      </c>
      <c r="Y209">
        <f t="shared" si="25"/>
        <v>0</v>
      </c>
      <c r="Z209" t="str">
        <f t="shared" si="26"/>
        <v>CRAP</v>
      </c>
      <c r="AA209" t="str">
        <f t="shared" si="27"/>
        <v>CRAP</v>
      </c>
    </row>
    <row r="210" spans="1:27" ht="13.5" customHeight="1" thickBot="1" x14ac:dyDescent="0.35">
      <c r="A210">
        <f t="shared" si="28"/>
        <v>0</v>
      </c>
      <c r="B210" s="16"/>
      <c r="C210" s="10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>
        <f t="shared" si="22"/>
        <v>0</v>
      </c>
      <c r="W210">
        <f t="shared" si="23"/>
        <v>0</v>
      </c>
      <c r="X210">
        <f t="shared" si="24"/>
        <v>0</v>
      </c>
      <c r="Y210">
        <f t="shared" si="25"/>
        <v>0</v>
      </c>
      <c r="Z210" t="str">
        <f t="shared" si="26"/>
        <v>CRAP</v>
      </c>
      <c r="AA210" t="str">
        <f t="shared" si="27"/>
        <v>CRAP</v>
      </c>
    </row>
    <row r="211" spans="1:27" ht="13.5" customHeight="1" thickBot="1" x14ac:dyDescent="0.35">
      <c r="A211">
        <f t="shared" si="28"/>
        <v>0</v>
      </c>
      <c r="B211" s="18"/>
      <c r="C211" s="11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>
        <f t="shared" si="22"/>
        <v>0</v>
      </c>
      <c r="W211">
        <f t="shared" si="23"/>
        <v>0</v>
      </c>
      <c r="X211">
        <f t="shared" si="24"/>
        <v>0</v>
      </c>
      <c r="Y211">
        <f t="shared" si="25"/>
        <v>0</v>
      </c>
      <c r="Z211" t="str">
        <f t="shared" si="26"/>
        <v>CRAP</v>
      </c>
      <c r="AA211" t="str">
        <f t="shared" si="27"/>
        <v>CRAP</v>
      </c>
    </row>
    <row r="212" spans="1:27" ht="13.5" customHeight="1" thickBot="1" x14ac:dyDescent="0.35">
      <c r="A212">
        <f t="shared" si="28"/>
        <v>0</v>
      </c>
      <c r="B212" s="16"/>
      <c r="C212" s="10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>
        <f t="shared" si="22"/>
        <v>0</v>
      </c>
      <c r="W212">
        <f t="shared" si="23"/>
        <v>0</v>
      </c>
      <c r="X212">
        <f t="shared" si="24"/>
        <v>0</v>
      </c>
      <c r="Y212">
        <f t="shared" si="25"/>
        <v>0</v>
      </c>
      <c r="Z212" t="str">
        <f t="shared" si="26"/>
        <v>CRAP</v>
      </c>
      <c r="AA212" t="str">
        <f t="shared" si="27"/>
        <v>CRAP</v>
      </c>
    </row>
    <row r="213" spans="1:27" ht="13.5" customHeight="1" thickBot="1" x14ac:dyDescent="0.35">
      <c r="A213">
        <f t="shared" si="28"/>
        <v>0</v>
      </c>
      <c r="B213" s="18"/>
      <c r="C213" s="11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>
        <f t="shared" si="22"/>
        <v>0</v>
      </c>
      <c r="W213">
        <f t="shared" si="23"/>
        <v>0</v>
      </c>
      <c r="X213">
        <f t="shared" si="24"/>
        <v>0</v>
      </c>
      <c r="Y213">
        <f t="shared" si="25"/>
        <v>0</v>
      </c>
      <c r="Z213" t="str">
        <f t="shared" si="26"/>
        <v>CRAP</v>
      </c>
      <c r="AA213" t="str">
        <f t="shared" si="27"/>
        <v>CRAP</v>
      </c>
    </row>
    <row r="214" spans="1:27" ht="13.5" customHeight="1" thickBot="1" x14ac:dyDescent="0.35">
      <c r="A214">
        <f t="shared" si="28"/>
        <v>0</v>
      </c>
      <c r="B214" s="16"/>
      <c r="C214" s="10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>
        <f t="shared" si="22"/>
        <v>0</v>
      </c>
      <c r="W214">
        <f t="shared" si="23"/>
        <v>0</v>
      </c>
      <c r="X214">
        <f t="shared" si="24"/>
        <v>0</v>
      </c>
      <c r="Y214">
        <f t="shared" si="25"/>
        <v>0</v>
      </c>
      <c r="Z214" t="str">
        <f t="shared" si="26"/>
        <v>CRAP</v>
      </c>
      <c r="AA214" t="str">
        <f t="shared" si="27"/>
        <v>CRAP</v>
      </c>
    </row>
    <row r="215" spans="1:27" ht="13.5" customHeight="1" thickBot="1" x14ac:dyDescent="0.35">
      <c r="A215">
        <f t="shared" si="28"/>
        <v>0</v>
      </c>
      <c r="B215" s="18"/>
      <c r="C215" s="11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>
        <f t="shared" si="22"/>
        <v>0</v>
      </c>
      <c r="W215">
        <f t="shared" si="23"/>
        <v>0</v>
      </c>
      <c r="X215">
        <f t="shared" si="24"/>
        <v>0</v>
      </c>
      <c r="Y215">
        <f t="shared" si="25"/>
        <v>0</v>
      </c>
      <c r="Z215" t="str">
        <f t="shared" si="26"/>
        <v>CRAP</v>
      </c>
      <c r="AA215" t="str">
        <f t="shared" si="27"/>
        <v>CRAP</v>
      </c>
    </row>
    <row r="216" spans="1:27" ht="13.5" customHeight="1" thickBot="1" x14ac:dyDescent="0.35">
      <c r="A216">
        <f t="shared" si="28"/>
        <v>0</v>
      </c>
      <c r="B216" s="16"/>
      <c r="C216" s="10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>
        <f t="shared" si="22"/>
        <v>0</v>
      </c>
      <c r="W216">
        <f t="shared" si="23"/>
        <v>0</v>
      </c>
      <c r="X216">
        <f t="shared" si="24"/>
        <v>0</v>
      </c>
      <c r="Y216">
        <f t="shared" si="25"/>
        <v>0</v>
      </c>
      <c r="Z216" t="str">
        <f t="shared" si="26"/>
        <v>CRAP</v>
      </c>
      <c r="AA216" t="str">
        <f t="shared" si="27"/>
        <v>CRAP</v>
      </c>
    </row>
    <row r="217" spans="1:27" ht="13.5" customHeight="1" thickBot="1" x14ac:dyDescent="0.35">
      <c r="A217">
        <f t="shared" si="28"/>
        <v>0</v>
      </c>
      <c r="B217" s="18"/>
      <c r="C217" s="11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>
        <f t="shared" si="22"/>
        <v>0</v>
      </c>
      <c r="W217">
        <f t="shared" si="23"/>
        <v>0</v>
      </c>
      <c r="X217">
        <f t="shared" si="24"/>
        <v>0</v>
      </c>
      <c r="Y217">
        <f t="shared" si="25"/>
        <v>0</v>
      </c>
      <c r="Z217" t="str">
        <f t="shared" si="26"/>
        <v>CRAP</v>
      </c>
      <c r="AA217" t="str">
        <f t="shared" si="27"/>
        <v>CRAP</v>
      </c>
    </row>
    <row r="218" spans="1:27" ht="13.5" customHeight="1" thickBot="1" x14ac:dyDescent="0.35">
      <c r="A218">
        <f t="shared" si="28"/>
        <v>0</v>
      </c>
      <c r="B218" s="16"/>
      <c r="C218" s="10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>
        <f t="shared" si="22"/>
        <v>0</v>
      </c>
      <c r="W218">
        <f t="shared" si="23"/>
        <v>0</v>
      </c>
      <c r="X218">
        <f t="shared" si="24"/>
        <v>0</v>
      </c>
      <c r="Y218">
        <f t="shared" si="25"/>
        <v>0</v>
      </c>
      <c r="Z218" t="str">
        <f t="shared" si="26"/>
        <v>CRAP</v>
      </c>
      <c r="AA218" t="str">
        <f t="shared" si="27"/>
        <v>CRAP</v>
      </c>
    </row>
    <row r="219" spans="1:27" ht="13.5" customHeight="1" thickBot="1" x14ac:dyDescent="0.35">
      <c r="A219">
        <f t="shared" si="28"/>
        <v>0</v>
      </c>
      <c r="B219" s="18"/>
      <c r="C219" s="11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>
        <f t="shared" si="22"/>
        <v>0</v>
      </c>
      <c r="W219">
        <f t="shared" si="23"/>
        <v>0</v>
      </c>
      <c r="X219">
        <f t="shared" si="24"/>
        <v>0</v>
      </c>
      <c r="Y219">
        <f t="shared" si="25"/>
        <v>0</v>
      </c>
      <c r="Z219" t="str">
        <f t="shared" si="26"/>
        <v>CRAP</v>
      </c>
      <c r="AA219" t="str">
        <f t="shared" si="27"/>
        <v>CRAP</v>
      </c>
    </row>
    <row r="220" spans="1:27" ht="13.5" customHeight="1" thickBot="1" x14ac:dyDescent="0.35">
      <c r="A220">
        <f t="shared" si="28"/>
        <v>0</v>
      </c>
      <c r="B220" s="16"/>
      <c r="C220" s="10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>
        <f t="shared" si="22"/>
        <v>0</v>
      </c>
      <c r="W220">
        <f t="shared" si="23"/>
        <v>0</v>
      </c>
      <c r="X220">
        <f t="shared" si="24"/>
        <v>0</v>
      </c>
      <c r="Y220">
        <f t="shared" si="25"/>
        <v>0</v>
      </c>
      <c r="Z220" t="str">
        <f t="shared" si="26"/>
        <v>CRAP</v>
      </c>
      <c r="AA220" t="str">
        <f t="shared" si="27"/>
        <v>CRAP</v>
      </c>
    </row>
    <row r="221" spans="1:27" ht="13.5" customHeight="1" thickBot="1" x14ac:dyDescent="0.35">
      <c r="A221">
        <f t="shared" si="28"/>
        <v>0</v>
      </c>
      <c r="B221" s="18"/>
      <c r="C221" s="11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>
        <f t="shared" si="22"/>
        <v>0</v>
      </c>
      <c r="W221">
        <f t="shared" si="23"/>
        <v>0</v>
      </c>
      <c r="X221">
        <f t="shared" si="24"/>
        <v>0</v>
      </c>
      <c r="Y221">
        <f t="shared" si="25"/>
        <v>0</v>
      </c>
      <c r="Z221" t="str">
        <f t="shared" si="26"/>
        <v>CRAP</v>
      </c>
      <c r="AA221" t="str">
        <f t="shared" si="27"/>
        <v>CRAP</v>
      </c>
    </row>
    <row r="222" spans="1:27" ht="13.5" customHeight="1" thickBot="1" x14ac:dyDescent="0.35">
      <c r="A222">
        <f t="shared" si="28"/>
        <v>0</v>
      </c>
      <c r="B222" s="16"/>
      <c r="C222" s="10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>
        <f t="shared" si="22"/>
        <v>0</v>
      </c>
      <c r="W222">
        <f t="shared" si="23"/>
        <v>0</v>
      </c>
      <c r="X222">
        <f t="shared" si="24"/>
        <v>0</v>
      </c>
      <c r="Y222">
        <f t="shared" si="25"/>
        <v>0</v>
      </c>
      <c r="Z222" t="str">
        <f t="shared" si="26"/>
        <v>CRAP</v>
      </c>
      <c r="AA222" t="str">
        <f t="shared" si="27"/>
        <v>CRAP</v>
      </c>
    </row>
    <row r="223" spans="1:27" ht="13.5" customHeight="1" thickBot="1" x14ac:dyDescent="0.35">
      <c r="A223">
        <f t="shared" si="28"/>
        <v>0</v>
      </c>
      <c r="B223" s="18"/>
      <c r="C223" s="11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>
        <f t="shared" si="22"/>
        <v>0</v>
      </c>
      <c r="W223">
        <f t="shared" si="23"/>
        <v>0</v>
      </c>
      <c r="X223">
        <f t="shared" si="24"/>
        <v>0</v>
      </c>
      <c r="Y223">
        <f t="shared" si="25"/>
        <v>0</v>
      </c>
      <c r="Z223" t="str">
        <f t="shared" si="26"/>
        <v>CRAP</v>
      </c>
      <c r="AA223" t="str">
        <f t="shared" si="27"/>
        <v>CRAP</v>
      </c>
    </row>
    <row r="224" spans="1:27" ht="13.5" customHeight="1" thickBot="1" x14ac:dyDescent="0.35">
      <c r="A224">
        <f t="shared" si="28"/>
        <v>0</v>
      </c>
      <c r="B224" s="16"/>
      <c r="C224" s="10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>
        <f t="shared" si="22"/>
        <v>0</v>
      </c>
      <c r="W224">
        <f t="shared" si="23"/>
        <v>0</v>
      </c>
      <c r="X224">
        <f t="shared" si="24"/>
        <v>0</v>
      </c>
      <c r="Y224">
        <f t="shared" si="25"/>
        <v>0</v>
      </c>
      <c r="Z224" t="str">
        <f t="shared" si="26"/>
        <v>CRAP</v>
      </c>
      <c r="AA224" t="str">
        <f t="shared" si="27"/>
        <v>CRAP</v>
      </c>
    </row>
    <row r="225" spans="1:27" ht="13.5" customHeight="1" thickBot="1" x14ac:dyDescent="0.35">
      <c r="A225">
        <f t="shared" si="28"/>
        <v>0</v>
      </c>
      <c r="B225" s="18"/>
      <c r="C225" s="11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>
        <f t="shared" si="22"/>
        <v>0</v>
      </c>
      <c r="W225">
        <f t="shared" si="23"/>
        <v>0</v>
      </c>
      <c r="X225">
        <f t="shared" si="24"/>
        <v>0</v>
      </c>
      <c r="Y225">
        <f t="shared" si="25"/>
        <v>0</v>
      </c>
      <c r="Z225" t="str">
        <f t="shared" si="26"/>
        <v>CRAP</v>
      </c>
      <c r="AA225" t="str">
        <f t="shared" si="27"/>
        <v>CRAP</v>
      </c>
    </row>
    <row r="226" spans="1:27" ht="13.5" customHeight="1" thickBot="1" x14ac:dyDescent="0.35">
      <c r="A226">
        <f t="shared" si="28"/>
        <v>0</v>
      </c>
      <c r="B226" s="16"/>
      <c r="C226" s="10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>
        <f t="shared" si="22"/>
        <v>0</v>
      </c>
      <c r="W226">
        <f t="shared" si="23"/>
        <v>0</v>
      </c>
      <c r="X226">
        <f t="shared" si="24"/>
        <v>0</v>
      </c>
      <c r="Y226">
        <f t="shared" si="25"/>
        <v>0</v>
      </c>
      <c r="Z226" t="str">
        <f t="shared" si="26"/>
        <v>CRAP</v>
      </c>
      <c r="AA226" t="str">
        <f t="shared" si="27"/>
        <v>CRAP</v>
      </c>
    </row>
    <row r="227" spans="1:27" ht="13.5" customHeight="1" thickBot="1" x14ac:dyDescent="0.35">
      <c r="A227">
        <f t="shared" si="28"/>
        <v>0</v>
      </c>
      <c r="B227" s="18"/>
      <c r="C227" s="11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>
        <f t="shared" si="22"/>
        <v>0</v>
      </c>
      <c r="W227">
        <f t="shared" si="23"/>
        <v>0</v>
      </c>
      <c r="X227">
        <f t="shared" si="24"/>
        <v>0</v>
      </c>
      <c r="Y227">
        <f t="shared" si="25"/>
        <v>0</v>
      </c>
      <c r="Z227" t="str">
        <f t="shared" si="26"/>
        <v>CRAP</v>
      </c>
      <c r="AA227" t="str">
        <f t="shared" si="27"/>
        <v>CRAP</v>
      </c>
    </row>
    <row r="228" spans="1:27" ht="13.5" customHeight="1" thickBot="1" x14ac:dyDescent="0.35">
      <c r="A228">
        <f t="shared" si="28"/>
        <v>0</v>
      </c>
      <c r="B228" s="16"/>
      <c r="C228" s="10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>
        <f t="shared" si="22"/>
        <v>0</v>
      </c>
      <c r="W228">
        <f t="shared" si="23"/>
        <v>0</v>
      </c>
      <c r="X228">
        <f t="shared" si="24"/>
        <v>0</v>
      </c>
      <c r="Y228">
        <f t="shared" si="25"/>
        <v>0</v>
      </c>
      <c r="Z228" t="str">
        <f t="shared" si="26"/>
        <v>CRAP</v>
      </c>
      <c r="AA228" t="str">
        <f t="shared" si="27"/>
        <v>CRAP</v>
      </c>
    </row>
    <row r="229" spans="1:27" ht="13.5" customHeight="1" thickBot="1" x14ac:dyDescent="0.35">
      <c r="A229">
        <f t="shared" si="28"/>
        <v>0</v>
      </c>
      <c r="B229" s="18"/>
      <c r="C229" s="11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>
        <f t="shared" si="22"/>
        <v>0</v>
      </c>
      <c r="W229">
        <f t="shared" si="23"/>
        <v>0</v>
      </c>
      <c r="X229">
        <f t="shared" si="24"/>
        <v>0</v>
      </c>
      <c r="Y229">
        <f t="shared" si="25"/>
        <v>0</v>
      </c>
      <c r="Z229" t="str">
        <f t="shared" si="26"/>
        <v>CRAP</v>
      </c>
      <c r="AA229" t="str">
        <f t="shared" si="27"/>
        <v>CRAP</v>
      </c>
    </row>
    <row r="230" spans="1:27" ht="13.5" customHeight="1" thickBot="1" x14ac:dyDescent="0.35">
      <c r="A230">
        <f t="shared" si="28"/>
        <v>0</v>
      </c>
      <c r="B230" s="16"/>
      <c r="C230" s="10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>
        <f t="shared" si="22"/>
        <v>0</v>
      </c>
      <c r="W230">
        <f t="shared" si="23"/>
        <v>0</v>
      </c>
      <c r="X230">
        <f t="shared" si="24"/>
        <v>0</v>
      </c>
      <c r="Y230">
        <f t="shared" si="25"/>
        <v>0</v>
      </c>
      <c r="Z230" t="str">
        <f t="shared" si="26"/>
        <v>CRAP</v>
      </c>
      <c r="AA230" t="str">
        <f t="shared" si="27"/>
        <v>CRAP</v>
      </c>
    </row>
    <row r="231" spans="1:27" ht="13.5" customHeight="1" thickBot="1" x14ac:dyDescent="0.35">
      <c r="A231">
        <f t="shared" si="28"/>
        <v>0</v>
      </c>
      <c r="B231" s="18"/>
      <c r="C231" s="11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>
        <f t="shared" si="22"/>
        <v>0</v>
      </c>
      <c r="W231">
        <f t="shared" si="23"/>
        <v>0</v>
      </c>
      <c r="X231">
        <f t="shared" si="24"/>
        <v>0</v>
      </c>
      <c r="Y231">
        <f t="shared" si="25"/>
        <v>0</v>
      </c>
      <c r="Z231" t="str">
        <f t="shared" si="26"/>
        <v>CRAP</v>
      </c>
      <c r="AA231" t="str">
        <f t="shared" si="27"/>
        <v>CRAP</v>
      </c>
    </row>
    <row r="232" spans="1:27" ht="13.5" customHeight="1" thickBot="1" x14ac:dyDescent="0.35">
      <c r="A232">
        <f t="shared" si="28"/>
        <v>0</v>
      </c>
      <c r="B232" s="16"/>
      <c r="C232" s="10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>
        <f t="shared" si="22"/>
        <v>0</v>
      </c>
      <c r="W232">
        <f t="shared" si="23"/>
        <v>0</v>
      </c>
      <c r="X232">
        <f t="shared" si="24"/>
        <v>0</v>
      </c>
      <c r="Y232">
        <f t="shared" si="25"/>
        <v>0</v>
      </c>
      <c r="Z232" t="str">
        <f t="shared" si="26"/>
        <v>CRAP</v>
      </c>
      <c r="AA232" t="str">
        <f t="shared" si="27"/>
        <v>CRAP</v>
      </c>
    </row>
    <row r="233" spans="1:27" ht="13.5" customHeight="1" thickBot="1" x14ac:dyDescent="0.35">
      <c r="A233">
        <f t="shared" si="28"/>
        <v>0</v>
      </c>
      <c r="B233" s="18"/>
      <c r="C233" s="11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>
        <f t="shared" si="22"/>
        <v>0</v>
      </c>
      <c r="W233">
        <f t="shared" si="23"/>
        <v>0</v>
      </c>
      <c r="X233">
        <f t="shared" si="24"/>
        <v>0</v>
      </c>
      <c r="Y233">
        <f t="shared" si="25"/>
        <v>0</v>
      </c>
      <c r="Z233" t="str">
        <f t="shared" si="26"/>
        <v>CRAP</v>
      </c>
      <c r="AA233" t="str">
        <f t="shared" si="27"/>
        <v>CRAP</v>
      </c>
    </row>
    <row r="234" spans="1:27" ht="13.5" customHeight="1" thickBot="1" x14ac:dyDescent="0.35">
      <c r="A234">
        <f t="shared" si="28"/>
        <v>0</v>
      </c>
      <c r="B234" s="16"/>
      <c r="C234" s="10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>
        <f t="shared" si="22"/>
        <v>0</v>
      </c>
      <c r="W234">
        <f t="shared" si="23"/>
        <v>0</v>
      </c>
      <c r="X234">
        <f t="shared" si="24"/>
        <v>0</v>
      </c>
      <c r="Y234">
        <f t="shared" si="25"/>
        <v>0</v>
      </c>
      <c r="Z234" t="str">
        <f t="shared" si="26"/>
        <v>CRAP</v>
      </c>
      <c r="AA234" t="str">
        <f t="shared" si="27"/>
        <v>CRAP</v>
      </c>
    </row>
    <row r="235" spans="1:27" ht="13.5" customHeight="1" thickBot="1" x14ac:dyDescent="0.35">
      <c r="A235">
        <f t="shared" si="28"/>
        <v>0</v>
      </c>
      <c r="B235" s="18"/>
      <c r="C235" s="11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>
        <f t="shared" si="22"/>
        <v>0</v>
      </c>
      <c r="W235">
        <f t="shared" si="23"/>
        <v>0</v>
      </c>
      <c r="X235">
        <f t="shared" si="24"/>
        <v>0</v>
      </c>
      <c r="Y235">
        <f t="shared" si="25"/>
        <v>0</v>
      </c>
      <c r="Z235" t="str">
        <f t="shared" si="26"/>
        <v>CRAP</v>
      </c>
      <c r="AA235" t="str">
        <f t="shared" si="27"/>
        <v>CRAP</v>
      </c>
    </row>
    <row r="236" spans="1:27" ht="13.5" customHeight="1" thickBot="1" x14ac:dyDescent="0.35">
      <c r="A236">
        <f t="shared" si="28"/>
        <v>0</v>
      </c>
      <c r="B236" s="16"/>
      <c r="C236" s="10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>
        <f t="shared" si="22"/>
        <v>0</v>
      </c>
      <c r="W236">
        <f t="shared" si="23"/>
        <v>0</v>
      </c>
      <c r="X236">
        <f t="shared" si="24"/>
        <v>0</v>
      </c>
      <c r="Y236">
        <f t="shared" si="25"/>
        <v>0</v>
      </c>
      <c r="Z236" t="str">
        <f t="shared" si="26"/>
        <v>CRAP</v>
      </c>
      <c r="AA236" t="str">
        <f t="shared" si="27"/>
        <v>CRAP</v>
      </c>
    </row>
    <row r="237" spans="1:27" ht="13.5" customHeight="1" thickBot="1" x14ac:dyDescent="0.35">
      <c r="A237">
        <f t="shared" si="28"/>
        <v>0</v>
      </c>
      <c r="B237" s="18"/>
      <c r="C237" s="11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>
        <f t="shared" si="22"/>
        <v>0</v>
      </c>
      <c r="W237">
        <f t="shared" si="23"/>
        <v>0</v>
      </c>
      <c r="X237">
        <f t="shared" si="24"/>
        <v>0</v>
      </c>
      <c r="Y237">
        <f t="shared" si="25"/>
        <v>0</v>
      </c>
      <c r="Z237" t="str">
        <f t="shared" si="26"/>
        <v>CRAP</v>
      </c>
      <c r="AA237" t="str">
        <f t="shared" si="27"/>
        <v>CRAP</v>
      </c>
    </row>
    <row r="238" spans="1:27" ht="13.5" customHeight="1" thickBot="1" x14ac:dyDescent="0.35">
      <c r="A238">
        <f t="shared" si="28"/>
        <v>0</v>
      </c>
      <c r="B238" s="16"/>
      <c r="C238" s="10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>
        <f t="shared" si="22"/>
        <v>0</v>
      </c>
      <c r="W238">
        <f t="shared" si="23"/>
        <v>0</v>
      </c>
      <c r="X238">
        <f t="shared" si="24"/>
        <v>0</v>
      </c>
      <c r="Y238">
        <f t="shared" si="25"/>
        <v>0</v>
      </c>
      <c r="Z238" t="str">
        <f t="shared" si="26"/>
        <v>CRAP</v>
      </c>
      <c r="AA238" t="str">
        <f t="shared" si="27"/>
        <v>CRAP</v>
      </c>
    </row>
    <row r="239" spans="1:27" ht="13.5" customHeight="1" thickBot="1" x14ac:dyDescent="0.35">
      <c r="A239">
        <f t="shared" si="28"/>
        <v>0</v>
      </c>
      <c r="B239" s="18"/>
      <c r="C239" s="11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>
        <f t="shared" si="22"/>
        <v>0</v>
      </c>
      <c r="W239">
        <f t="shared" si="23"/>
        <v>0</v>
      </c>
      <c r="X239">
        <f t="shared" si="24"/>
        <v>0</v>
      </c>
      <c r="Y239">
        <f t="shared" si="25"/>
        <v>0</v>
      </c>
      <c r="Z239" t="str">
        <f t="shared" si="26"/>
        <v>CRAP</v>
      </c>
      <c r="AA239" t="str">
        <f t="shared" si="27"/>
        <v>CRAP</v>
      </c>
    </row>
    <row r="240" spans="1:27" ht="13.5" customHeight="1" thickBot="1" x14ac:dyDescent="0.35">
      <c r="A240">
        <f t="shared" si="28"/>
        <v>0</v>
      </c>
      <c r="B240" s="16"/>
      <c r="C240" s="10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>
        <f t="shared" si="22"/>
        <v>0</v>
      </c>
      <c r="W240">
        <f t="shared" si="23"/>
        <v>0</v>
      </c>
      <c r="X240">
        <f t="shared" si="24"/>
        <v>0</v>
      </c>
      <c r="Y240">
        <f t="shared" si="25"/>
        <v>0</v>
      </c>
      <c r="Z240" t="str">
        <f t="shared" si="26"/>
        <v>CRAP</v>
      </c>
      <c r="AA240" t="str">
        <f t="shared" si="27"/>
        <v>CRAP</v>
      </c>
    </row>
    <row r="241" spans="1:27" ht="13.5" customHeight="1" thickBot="1" x14ac:dyDescent="0.35">
      <c r="A241">
        <f t="shared" si="28"/>
        <v>0</v>
      </c>
      <c r="B241" s="18"/>
      <c r="C241" s="11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>
        <f t="shared" si="22"/>
        <v>0</v>
      </c>
      <c r="W241">
        <f t="shared" si="23"/>
        <v>0</v>
      </c>
      <c r="X241">
        <f t="shared" si="24"/>
        <v>0</v>
      </c>
      <c r="Y241">
        <f t="shared" si="25"/>
        <v>0</v>
      </c>
      <c r="Z241" t="str">
        <f t="shared" si="26"/>
        <v>CRAP</v>
      </c>
      <c r="AA241" t="str">
        <f t="shared" si="27"/>
        <v>CRAP</v>
      </c>
    </row>
    <row r="242" spans="1:27" ht="13.5" customHeight="1" thickBot="1" x14ac:dyDescent="0.35">
      <c r="A242">
        <f t="shared" si="28"/>
        <v>0</v>
      </c>
      <c r="B242" s="16"/>
      <c r="C242" s="10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>
        <f t="shared" si="22"/>
        <v>0</v>
      </c>
      <c r="W242">
        <f t="shared" si="23"/>
        <v>0</v>
      </c>
      <c r="X242">
        <f t="shared" si="24"/>
        <v>0</v>
      </c>
      <c r="Y242">
        <f t="shared" si="25"/>
        <v>0</v>
      </c>
      <c r="Z242" t="str">
        <f t="shared" si="26"/>
        <v>CRAP</v>
      </c>
      <c r="AA242" t="str">
        <f t="shared" si="27"/>
        <v>CRAP</v>
      </c>
    </row>
    <row r="243" spans="1:27" ht="13.5" customHeight="1" thickBot="1" x14ac:dyDescent="0.35">
      <c r="A243">
        <f t="shared" si="28"/>
        <v>0</v>
      </c>
      <c r="B243" s="18"/>
      <c r="C243" s="11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>
        <f t="shared" si="22"/>
        <v>0</v>
      </c>
      <c r="W243">
        <f t="shared" si="23"/>
        <v>0</v>
      </c>
      <c r="X243">
        <f t="shared" si="24"/>
        <v>0</v>
      </c>
      <c r="Y243">
        <f t="shared" si="25"/>
        <v>0</v>
      </c>
      <c r="Z243" t="str">
        <f t="shared" si="26"/>
        <v>CRAP</v>
      </c>
      <c r="AA243" t="str">
        <f t="shared" si="27"/>
        <v>CRAP</v>
      </c>
    </row>
    <row r="244" spans="1:27" ht="13.5" customHeight="1" thickBot="1" x14ac:dyDescent="0.35">
      <c r="A244">
        <f t="shared" si="28"/>
        <v>0</v>
      </c>
      <c r="B244" s="16"/>
      <c r="C244" s="10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>
        <f t="shared" si="22"/>
        <v>0</v>
      </c>
      <c r="W244">
        <f t="shared" si="23"/>
        <v>0</v>
      </c>
      <c r="X244">
        <f t="shared" si="24"/>
        <v>0</v>
      </c>
      <c r="Y244">
        <f t="shared" si="25"/>
        <v>0</v>
      </c>
      <c r="Z244" t="str">
        <f t="shared" si="26"/>
        <v>CRAP</v>
      </c>
      <c r="AA244" t="str">
        <f t="shared" si="27"/>
        <v>CRAP</v>
      </c>
    </row>
    <row r="245" spans="1:27" ht="13.5" customHeight="1" thickBot="1" x14ac:dyDescent="0.35">
      <c r="A245">
        <f t="shared" si="28"/>
        <v>0</v>
      </c>
      <c r="B245" s="18"/>
      <c r="C245" s="11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>
        <f t="shared" si="22"/>
        <v>0</v>
      </c>
      <c r="W245">
        <f t="shared" si="23"/>
        <v>0</v>
      </c>
      <c r="X245">
        <f t="shared" si="24"/>
        <v>0</v>
      </c>
      <c r="Y245">
        <f t="shared" si="25"/>
        <v>0</v>
      </c>
      <c r="Z245" t="str">
        <f t="shared" si="26"/>
        <v>CRAP</v>
      </c>
      <c r="AA245" t="str">
        <f t="shared" si="27"/>
        <v>CRAP</v>
      </c>
    </row>
    <row r="246" spans="1:27" ht="13.5" customHeight="1" thickBot="1" x14ac:dyDescent="0.35">
      <c r="A246">
        <f t="shared" si="28"/>
        <v>0</v>
      </c>
      <c r="B246" s="16"/>
      <c r="C246" s="10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>
        <f t="shared" si="22"/>
        <v>0</v>
      </c>
      <c r="W246">
        <f t="shared" si="23"/>
        <v>0</v>
      </c>
      <c r="X246">
        <f t="shared" si="24"/>
        <v>0</v>
      </c>
      <c r="Y246">
        <f t="shared" si="25"/>
        <v>0</v>
      </c>
      <c r="Z246" t="str">
        <f t="shared" si="26"/>
        <v>CRAP</v>
      </c>
      <c r="AA246" t="str">
        <f t="shared" si="27"/>
        <v>CRAP</v>
      </c>
    </row>
    <row r="247" spans="1:27" ht="13.5" customHeight="1" thickBot="1" x14ac:dyDescent="0.35">
      <c r="A247">
        <f t="shared" si="28"/>
        <v>0</v>
      </c>
      <c r="B247" s="18"/>
      <c r="C247" s="11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>
        <f t="shared" si="22"/>
        <v>0</v>
      </c>
      <c r="W247">
        <f t="shared" si="23"/>
        <v>0</v>
      </c>
      <c r="X247">
        <f t="shared" si="24"/>
        <v>0</v>
      </c>
      <c r="Y247">
        <f t="shared" si="25"/>
        <v>0</v>
      </c>
      <c r="Z247" t="str">
        <f t="shared" si="26"/>
        <v>CRAP</v>
      </c>
      <c r="AA247" t="str">
        <f t="shared" si="27"/>
        <v>CRAP</v>
      </c>
    </row>
    <row r="248" spans="1:27" ht="13.5" customHeight="1" thickBot="1" x14ac:dyDescent="0.35">
      <c r="A248">
        <f t="shared" si="28"/>
        <v>0</v>
      </c>
      <c r="B248" s="16"/>
      <c r="C248" s="10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>
        <f t="shared" si="22"/>
        <v>0</v>
      </c>
      <c r="W248">
        <f t="shared" si="23"/>
        <v>0</v>
      </c>
      <c r="X248">
        <f t="shared" si="24"/>
        <v>0</v>
      </c>
      <c r="Y248">
        <f t="shared" si="25"/>
        <v>0</v>
      </c>
      <c r="Z248" t="str">
        <f t="shared" si="26"/>
        <v>CRAP</v>
      </c>
      <c r="AA248" t="str">
        <f t="shared" si="27"/>
        <v>CRAP</v>
      </c>
    </row>
    <row r="249" spans="1:27" ht="13.5" customHeight="1" thickBot="1" x14ac:dyDescent="0.35">
      <c r="A249">
        <f t="shared" si="28"/>
        <v>0</v>
      </c>
      <c r="B249" s="18"/>
      <c r="C249" s="11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>
        <f t="shared" si="22"/>
        <v>0</v>
      </c>
      <c r="W249">
        <f t="shared" si="23"/>
        <v>0</v>
      </c>
      <c r="X249">
        <f t="shared" si="24"/>
        <v>0</v>
      </c>
      <c r="Y249">
        <f t="shared" si="25"/>
        <v>0</v>
      </c>
      <c r="Z249" t="str">
        <f t="shared" si="26"/>
        <v>CRAP</v>
      </c>
      <c r="AA249" t="str">
        <f t="shared" si="27"/>
        <v>CRAP</v>
      </c>
    </row>
    <row r="250" spans="1:27" ht="13.5" customHeight="1" thickBot="1" x14ac:dyDescent="0.35">
      <c r="A250">
        <f t="shared" si="28"/>
        <v>0</v>
      </c>
      <c r="B250" s="16"/>
      <c r="C250" s="10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>
        <f t="shared" si="22"/>
        <v>0</v>
      </c>
      <c r="W250">
        <f t="shared" si="23"/>
        <v>0</v>
      </c>
      <c r="X250">
        <f t="shared" si="24"/>
        <v>0</v>
      </c>
      <c r="Y250">
        <f t="shared" si="25"/>
        <v>0</v>
      </c>
      <c r="Z250" t="str">
        <f t="shared" si="26"/>
        <v>CRAP</v>
      </c>
      <c r="AA250" t="str">
        <f t="shared" si="27"/>
        <v>CRAP</v>
      </c>
    </row>
    <row r="251" spans="1:27" ht="13.5" customHeight="1" thickBot="1" x14ac:dyDescent="0.35">
      <c r="A251">
        <f t="shared" si="28"/>
        <v>0</v>
      </c>
      <c r="B251" s="18"/>
      <c r="C251" s="11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>
        <f t="shared" si="22"/>
        <v>0</v>
      </c>
      <c r="W251">
        <f t="shared" si="23"/>
        <v>0</v>
      </c>
      <c r="X251">
        <f t="shared" si="24"/>
        <v>0</v>
      </c>
      <c r="Y251">
        <f t="shared" si="25"/>
        <v>0</v>
      </c>
      <c r="Z251" t="str">
        <f t="shared" si="26"/>
        <v>CRAP</v>
      </c>
      <c r="AA251" t="str">
        <f t="shared" si="27"/>
        <v>CRAP</v>
      </c>
    </row>
    <row r="252" spans="1:27" ht="13.5" customHeight="1" thickBot="1" x14ac:dyDescent="0.35">
      <c r="A252">
        <f t="shared" si="28"/>
        <v>0</v>
      </c>
      <c r="B252" s="16"/>
      <c r="C252" s="10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>
        <f t="shared" si="22"/>
        <v>0</v>
      </c>
      <c r="W252">
        <f t="shared" si="23"/>
        <v>0</v>
      </c>
      <c r="X252">
        <f t="shared" si="24"/>
        <v>0</v>
      </c>
      <c r="Y252">
        <f t="shared" si="25"/>
        <v>0</v>
      </c>
      <c r="Z252" t="str">
        <f t="shared" si="26"/>
        <v>CRAP</v>
      </c>
      <c r="AA252" t="str">
        <f t="shared" si="27"/>
        <v>CRAP</v>
      </c>
    </row>
    <row r="253" spans="1:27" ht="13.5" customHeight="1" thickBot="1" x14ac:dyDescent="0.35">
      <c r="A253">
        <f t="shared" si="28"/>
        <v>0</v>
      </c>
      <c r="B253" s="18"/>
      <c r="C253" s="11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>
        <f t="shared" si="22"/>
        <v>0</v>
      </c>
      <c r="W253">
        <f t="shared" si="23"/>
        <v>0</v>
      </c>
      <c r="X253">
        <f t="shared" si="24"/>
        <v>0</v>
      </c>
      <c r="Y253">
        <f t="shared" si="25"/>
        <v>0</v>
      </c>
      <c r="Z253" t="str">
        <f t="shared" si="26"/>
        <v>CRAP</v>
      </c>
      <c r="AA253" t="str">
        <f t="shared" si="27"/>
        <v>CRAP</v>
      </c>
    </row>
    <row r="254" spans="1:27" ht="13.5" customHeight="1" thickBot="1" x14ac:dyDescent="0.35">
      <c r="A254">
        <f t="shared" si="28"/>
        <v>0</v>
      </c>
      <c r="B254" s="16"/>
      <c r="C254" s="10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>
        <f t="shared" si="22"/>
        <v>0</v>
      </c>
      <c r="W254">
        <f t="shared" si="23"/>
        <v>0</v>
      </c>
      <c r="X254">
        <f t="shared" si="24"/>
        <v>0</v>
      </c>
      <c r="Y254">
        <f t="shared" si="25"/>
        <v>0</v>
      </c>
      <c r="Z254" t="str">
        <f t="shared" si="26"/>
        <v>CRAP</v>
      </c>
      <c r="AA254" t="str">
        <f t="shared" si="27"/>
        <v>CRAP</v>
      </c>
    </row>
    <row r="255" spans="1:27" ht="13.5" customHeight="1" thickBot="1" x14ac:dyDescent="0.35">
      <c r="A255">
        <f t="shared" si="28"/>
        <v>0</v>
      </c>
      <c r="B255" s="18"/>
      <c r="C255" s="11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>
        <f t="shared" si="22"/>
        <v>0</v>
      </c>
      <c r="W255">
        <f t="shared" si="23"/>
        <v>0</v>
      </c>
      <c r="X255">
        <f t="shared" si="24"/>
        <v>0</v>
      </c>
      <c r="Y255">
        <f t="shared" si="25"/>
        <v>0</v>
      </c>
      <c r="Z255" t="str">
        <f t="shared" si="26"/>
        <v>CRAP</v>
      </c>
      <c r="AA255" t="str">
        <f t="shared" si="27"/>
        <v>CRAP</v>
      </c>
    </row>
    <row r="256" spans="1:27" ht="13.5" customHeight="1" thickBot="1" x14ac:dyDescent="0.35">
      <c r="A256">
        <f t="shared" si="28"/>
        <v>0</v>
      </c>
      <c r="B256" s="16"/>
      <c r="C256" s="10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>
        <f t="shared" si="22"/>
        <v>0</v>
      </c>
      <c r="W256">
        <f t="shared" si="23"/>
        <v>0</v>
      </c>
      <c r="X256">
        <f t="shared" si="24"/>
        <v>0</v>
      </c>
      <c r="Y256">
        <f t="shared" si="25"/>
        <v>0</v>
      </c>
      <c r="Z256" t="str">
        <f t="shared" si="26"/>
        <v>CRAP</v>
      </c>
      <c r="AA256" t="str">
        <f t="shared" si="27"/>
        <v>CRAP</v>
      </c>
    </row>
    <row r="257" spans="1:27" ht="13.5" customHeight="1" thickBot="1" x14ac:dyDescent="0.35">
      <c r="A257">
        <f t="shared" si="28"/>
        <v>0</v>
      </c>
      <c r="B257" s="18"/>
      <c r="C257" s="11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>
        <f t="shared" si="22"/>
        <v>0</v>
      </c>
      <c r="W257">
        <f t="shared" si="23"/>
        <v>0</v>
      </c>
      <c r="X257">
        <f t="shared" si="24"/>
        <v>0</v>
      </c>
      <c r="Y257">
        <f t="shared" si="25"/>
        <v>0</v>
      </c>
      <c r="Z257" t="str">
        <f t="shared" si="26"/>
        <v>CRAP</v>
      </c>
      <c r="AA257" t="str">
        <f t="shared" si="27"/>
        <v>CRAP</v>
      </c>
    </row>
    <row r="258" spans="1:27" ht="13.5" customHeight="1" thickBot="1" x14ac:dyDescent="0.35">
      <c r="A258">
        <f t="shared" si="28"/>
        <v>0</v>
      </c>
      <c r="B258" s="16"/>
      <c r="C258" s="10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>
        <f t="shared" si="22"/>
        <v>0</v>
      </c>
      <c r="W258">
        <f t="shared" si="23"/>
        <v>0</v>
      </c>
      <c r="X258">
        <f t="shared" si="24"/>
        <v>0</v>
      </c>
      <c r="Y258">
        <f t="shared" si="25"/>
        <v>0</v>
      </c>
      <c r="Z258" t="str">
        <f t="shared" si="26"/>
        <v>CRAP</v>
      </c>
      <c r="AA258" t="str">
        <f t="shared" si="27"/>
        <v>CRAP</v>
      </c>
    </row>
    <row r="259" spans="1:27" ht="13.5" customHeight="1" thickBot="1" x14ac:dyDescent="0.35">
      <c r="A259">
        <f t="shared" si="28"/>
        <v>0</v>
      </c>
      <c r="B259" s="18"/>
      <c r="C259" s="11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>
        <f t="shared" si="22"/>
        <v>0</v>
      </c>
      <c r="W259">
        <f t="shared" si="23"/>
        <v>0</v>
      </c>
      <c r="X259">
        <f t="shared" si="24"/>
        <v>0</v>
      </c>
      <c r="Y259">
        <f t="shared" si="25"/>
        <v>0</v>
      </c>
      <c r="Z259" t="str">
        <f t="shared" si="26"/>
        <v>CRAP</v>
      </c>
      <c r="AA259" t="str">
        <f t="shared" si="27"/>
        <v>CRAP</v>
      </c>
    </row>
    <row r="260" spans="1:27" ht="13.5" customHeight="1" thickBot="1" x14ac:dyDescent="0.35">
      <c r="A260">
        <f t="shared" si="28"/>
        <v>0</v>
      </c>
      <c r="B260" s="16"/>
      <c r="C260" s="10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>
        <f t="shared" si="22"/>
        <v>0</v>
      </c>
      <c r="W260">
        <f t="shared" si="23"/>
        <v>0</v>
      </c>
      <c r="X260">
        <f t="shared" si="24"/>
        <v>0</v>
      </c>
      <c r="Y260">
        <f t="shared" si="25"/>
        <v>0</v>
      </c>
      <c r="Z260" t="str">
        <f t="shared" si="26"/>
        <v>CRAP</v>
      </c>
      <c r="AA260" t="str">
        <f t="shared" si="27"/>
        <v>CRAP</v>
      </c>
    </row>
    <row r="261" spans="1:27" ht="13.5" customHeight="1" thickBot="1" x14ac:dyDescent="0.35">
      <c r="A261">
        <f t="shared" si="28"/>
        <v>0</v>
      </c>
      <c r="B261" s="18"/>
      <c r="C261" s="11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>
        <f t="shared" si="22"/>
        <v>0</v>
      </c>
      <c r="W261">
        <f t="shared" si="23"/>
        <v>0</v>
      </c>
      <c r="X261">
        <f t="shared" si="24"/>
        <v>0</v>
      </c>
      <c r="Y261">
        <f t="shared" si="25"/>
        <v>0</v>
      </c>
      <c r="Z261" t="str">
        <f t="shared" si="26"/>
        <v>CRAP</v>
      </c>
      <c r="AA261" t="str">
        <f t="shared" si="27"/>
        <v>CRAP</v>
      </c>
    </row>
    <row r="262" spans="1:27" ht="13.5" customHeight="1" thickBot="1" x14ac:dyDescent="0.35">
      <c r="A262">
        <f t="shared" si="28"/>
        <v>0</v>
      </c>
      <c r="B262" s="16"/>
      <c r="C262" s="10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>
        <f t="shared" ref="V262:V325" si="29">K$1*(0.000001*K262^3)+L$1*((-0.000002)*L262^3+0.00032*L262^2+(-0.0021)*L262)+M$1*((-0.000002)*M262^3+0.00032*M262^2+(-0.0021)*M262)+N$1*((-0.000002)*N262^3+0.00032*N262^2+(-0.0021)*N262)+O$1*((-0.000002)*O262^3+0.00032*O262^2+(-0.0021)*O262)</f>
        <v>0</v>
      </c>
      <c r="W262">
        <f t="shared" ref="W262:W325" si="30">P$1*((-0.000002)*P262^3+0.00032*P262^2+(-0.0021)*P262)+Q$1*((-0.000002)*Q262^3+0.00032*Q262^2+(-0.0021)*Q262)+R$1*((-0.000002)*R262^3+0.00032*R262^2+(-0.0021)*R262)+S$1*((-0.000002)*S262^3+0.00032*S262^2+(-0.0021)*S262)+T$1*((-0.000002)*T262^3+0.00032*T262^2+(-0.0021)*T262)</f>
        <v>0</v>
      </c>
      <c r="X262">
        <f t="shared" ref="X262:X325" si="31">(I$1*((-0.000002)*I262^3+0.00032*I262^2+(-0.0021)*I262)+J$1*((-0.000002)*J262^3+0.00032*J262^2+(-0.0021)*J262)+H$1*((-0.000002)*H262^3+0.00032*H262^2+(-0.0021)*H262))*(MAX(0.05,MIN(1,(2*J262+I262)/120)*MIN(1,I262/10)*MIN(1,J262/10)))</f>
        <v>0</v>
      </c>
      <c r="Y262">
        <f t="shared" ref="Y262:Y325" si="32">(I$1*((-0.000002)*I262^3+0.00032*I262^2+(-0.0021)*I262)+J$1*((-0.000002)*J262^3+0.00032*J262^2+(-0.0021)*J262)+H$1*((-0.000002)*H262^3+0.00032*H262^2+(-0.0021)*H262))*(MAX(0.05,MIN(1,(2*J262+I262)/120)*MIN(1,I262/10)*MIN(1,J262/10)))</f>
        <v>0</v>
      </c>
      <c r="Z262" t="str">
        <f t="shared" ref="Z262:Z325" si="33">IF(AND(J262&gt;50,I262+J262&gt;75),"SP",IF(2*I262+J262&gt;120,"RP","CRAP"))</f>
        <v>CRAP</v>
      </c>
      <c r="AA262" t="str">
        <f t="shared" ref="AA262:AA325" si="34">IF(AND(J262&gt;50,I262+J262&gt;75),"SP",IF(2*I262+J262&gt;120,"RP","CRAP"))</f>
        <v>CRAP</v>
      </c>
    </row>
    <row r="263" spans="1:27" ht="13.5" customHeight="1" thickBot="1" x14ac:dyDescent="0.35">
      <c r="A263">
        <f t="shared" si="28"/>
        <v>0</v>
      </c>
      <c r="B263" s="18"/>
      <c r="C263" s="11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>
        <f t="shared" si="29"/>
        <v>0</v>
      </c>
      <c r="W263">
        <f t="shared" si="30"/>
        <v>0</v>
      </c>
      <c r="X263">
        <f t="shared" si="31"/>
        <v>0</v>
      </c>
      <c r="Y263">
        <f t="shared" si="32"/>
        <v>0</v>
      </c>
      <c r="Z263" t="str">
        <f t="shared" si="33"/>
        <v>CRAP</v>
      </c>
      <c r="AA263" t="str">
        <f t="shared" si="34"/>
        <v>CRAP</v>
      </c>
    </row>
    <row r="264" spans="1:27" ht="13.5" customHeight="1" thickBot="1" x14ac:dyDescent="0.35">
      <c r="A264">
        <f t="shared" si="28"/>
        <v>0</v>
      </c>
      <c r="B264" s="16"/>
      <c r="C264" s="10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>
        <f t="shared" si="29"/>
        <v>0</v>
      </c>
      <c r="W264">
        <f t="shared" si="30"/>
        <v>0</v>
      </c>
      <c r="X264">
        <f t="shared" si="31"/>
        <v>0</v>
      </c>
      <c r="Y264">
        <f t="shared" si="32"/>
        <v>0</v>
      </c>
      <c r="Z264" t="str">
        <f t="shared" si="33"/>
        <v>CRAP</v>
      </c>
      <c r="AA264" t="str">
        <f t="shared" si="34"/>
        <v>CRAP</v>
      </c>
    </row>
    <row r="265" spans="1:27" ht="13.5" customHeight="1" thickBot="1" x14ac:dyDescent="0.35">
      <c r="A265">
        <f t="shared" si="28"/>
        <v>0</v>
      </c>
      <c r="B265" s="18"/>
      <c r="C265" s="11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>
        <f t="shared" si="29"/>
        <v>0</v>
      </c>
      <c r="W265">
        <f t="shared" si="30"/>
        <v>0</v>
      </c>
      <c r="X265">
        <f t="shared" si="31"/>
        <v>0</v>
      </c>
      <c r="Y265">
        <f t="shared" si="32"/>
        <v>0</v>
      </c>
      <c r="Z265" t="str">
        <f t="shared" si="33"/>
        <v>CRAP</v>
      </c>
      <c r="AA265" t="str">
        <f t="shared" si="34"/>
        <v>CRAP</v>
      </c>
    </row>
    <row r="266" spans="1:27" ht="13.5" customHeight="1" thickBot="1" x14ac:dyDescent="0.35">
      <c r="A266">
        <f t="shared" si="28"/>
        <v>0</v>
      </c>
      <c r="B266" s="16"/>
      <c r="C266" s="10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>
        <f t="shared" si="29"/>
        <v>0</v>
      </c>
      <c r="W266">
        <f t="shared" si="30"/>
        <v>0</v>
      </c>
      <c r="X266">
        <f t="shared" si="31"/>
        <v>0</v>
      </c>
      <c r="Y266">
        <f t="shared" si="32"/>
        <v>0</v>
      </c>
      <c r="Z266" t="str">
        <f t="shared" si="33"/>
        <v>CRAP</v>
      </c>
      <c r="AA266" t="str">
        <f t="shared" si="34"/>
        <v>CRAP</v>
      </c>
    </row>
    <row r="267" spans="1:27" ht="13.5" customHeight="1" thickBot="1" x14ac:dyDescent="0.35">
      <c r="A267">
        <f t="shared" si="28"/>
        <v>0</v>
      </c>
      <c r="B267" s="18"/>
      <c r="C267" s="11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>
        <f t="shared" si="29"/>
        <v>0</v>
      </c>
      <c r="W267">
        <f t="shared" si="30"/>
        <v>0</v>
      </c>
      <c r="X267">
        <f t="shared" si="31"/>
        <v>0</v>
      </c>
      <c r="Y267">
        <f t="shared" si="32"/>
        <v>0</v>
      </c>
      <c r="Z267" t="str">
        <f t="shared" si="33"/>
        <v>CRAP</v>
      </c>
      <c r="AA267" t="str">
        <f t="shared" si="34"/>
        <v>CRAP</v>
      </c>
    </row>
    <row r="268" spans="1:27" ht="13.5" customHeight="1" thickBot="1" x14ac:dyDescent="0.35">
      <c r="A268">
        <f t="shared" si="28"/>
        <v>0</v>
      </c>
      <c r="B268" s="16"/>
      <c r="C268" s="10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>
        <f t="shared" si="29"/>
        <v>0</v>
      </c>
      <c r="W268">
        <f t="shared" si="30"/>
        <v>0</v>
      </c>
      <c r="X268">
        <f t="shared" si="31"/>
        <v>0</v>
      </c>
      <c r="Y268">
        <f t="shared" si="32"/>
        <v>0</v>
      </c>
      <c r="Z268" t="str">
        <f t="shared" si="33"/>
        <v>CRAP</v>
      </c>
      <c r="AA268" t="str">
        <f t="shared" si="34"/>
        <v>CRAP</v>
      </c>
    </row>
    <row r="269" spans="1:27" ht="13.5" customHeight="1" thickBot="1" x14ac:dyDescent="0.35">
      <c r="A269">
        <f t="shared" si="28"/>
        <v>0</v>
      </c>
      <c r="B269" s="18"/>
      <c r="C269" s="11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>
        <f t="shared" si="29"/>
        <v>0</v>
      </c>
      <c r="W269">
        <f t="shared" si="30"/>
        <v>0</v>
      </c>
      <c r="X269">
        <f t="shared" si="31"/>
        <v>0</v>
      </c>
      <c r="Y269">
        <f t="shared" si="32"/>
        <v>0</v>
      </c>
      <c r="Z269" t="str">
        <f t="shared" si="33"/>
        <v>CRAP</v>
      </c>
      <c r="AA269" t="str">
        <f t="shared" si="34"/>
        <v>CRAP</v>
      </c>
    </row>
    <row r="270" spans="1:27" ht="13.5" customHeight="1" thickBot="1" x14ac:dyDescent="0.35">
      <c r="A270">
        <f t="shared" si="28"/>
        <v>0</v>
      </c>
      <c r="B270" s="16"/>
      <c r="C270" s="10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>
        <f t="shared" si="29"/>
        <v>0</v>
      </c>
      <c r="W270">
        <f t="shared" si="30"/>
        <v>0</v>
      </c>
      <c r="X270">
        <f t="shared" si="31"/>
        <v>0</v>
      </c>
      <c r="Y270">
        <f t="shared" si="32"/>
        <v>0</v>
      </c>
      <c r="Z270" t="str">
        <f t="shared" si="33"/>
        <v>CRAP</v>
      </c>
      <c r="AA270" t="str">
        <f t="shared" si="34"/>
        <v>CRAP</v>
      </c>
    </row>
    <row r="271" spans="1:27" ht="13.5" customHeight="1" thickBot="1" x14ac:dyDescent="0.35">
      <c r="A271">
        <f t="shared" ref="A271:A334" si="35">(V271*V$2+W271*W$2+X271*X$2)*100/(V$4*V$2+W$4*W$2+X$4*X$2)</f>
        <v>0</v>
      </c>
      <c r="B271" s="18"/>
      <c r="C271" s="11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>
        <f t="shared" si="29"/>
        <v>0</v>
      </c>
      <c r="W271">
        <f t="shared" si="30"/>
        <v>0</v>
      </c>
      <c r="X271">
        <f t="shared" si="31"/>
        <v>0</v>
      </c>
      <c r="Y271">
        <f t="shared" si="32"/>
        <v>0</v>
      </c>
      <c r="Z271" t="str">
        <f t="shared" si="33"/>
        <v>CRAP</v>
      </c>
      <c r="AA271" t="str">
        <f t="shared" si="34"/>
        <v>CRAP</v>
      </c>
    </row>
    <row r="272" spans="1:27" ht="13.5" customHeight="1" thickBot="1" x14ac:dyDescent="0.35">
      <c r="A272">
        <f t="shared" si="35"/>
        <v>0</v>
      </c>
      <c r="B272" s="16"/>
      <c r="C272" s="10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>
        <f t="shared" si="29"/>
        <v>0</v>
      </c>
      <c r="W272">
        <f t="shared" si="30"/>
        <v>0</v>
      </c>
      <c r="X272">
        <f t="shared" si="31"/>
        <v>0</v>
      </c>
      <c r="Y272">
        <f t="shared" si="32"/>
        <v>0</v>
      </c>
      <c r="Z272" t="str">
        <f t="shared" si="33"/>
        <v>CRAP</v>
      </c>
      <c r="AA272" t="str">
        <f t="shared" si="34"/>
        <v>CRAP</v>
      </c>
    </row>
    <row r="273" spans="1:27" ht="13.5" customHeight="1" thickBot="1" x14ac:dyDescent="0.35">
      <c r="A273">
        <f t="shared" si="35"/>
        <v>0</v>
      </c>
      <c r="B273" s="18"/>
      <c r="C273" s="11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>
        <f t="shared" si="29"/>
        <v>0</v>
      </c>
      <c r="W273">
        <f t="shared" si="30"/>
        <v>0</v>
      </c>
      <c r="X273">
        <f t="shared" si="31"/>
        <v>0</v>
      </c>
      <c r="Y273">
        <f t="shared" si="32"/>
        <v>0</v>
      </c>
      <c r="Z273" t="str">
        <f t="shared" si="33"/>
        <v>CRAP</v>
      </c>
      <c r="AA273" t="str">
        <f t="shared" si="34"/>
        <v>CRAP</v>
      </c>
    </row>
    <row r="274" spans="1:27" ht="13.5" customHeight="1" thickBot="1" x14ac:dyDescent="0.35">
      <c r="A274">
        <f t="shared" si="35"/>
        <v>0</v>
      </c>
      <c r="B274" s="16"/>
      <c r="C274" s="10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>
        <f t="shared" si="29"/>
        <v>0</v>
      </c>
      <c r="W274">
        <f t="shared" si="30"/>
        <v>0</v>
      </c>
      <c r="X274">
        <f t="shared" si="31"/>
        <v>0</v>
      </c>
      <c r="Y274">
        <f t="shared" si="32"/>
        <v>0</v>
      </c>
      <c r="Z274" t="str">
        <f t="shared" si="33"/>
        <v>CRAP</v>
      </c>
      <c r="AA274" t="str">
        <f t="shared" si="34"/>
        <v>CRAP</v>
      </c>
    </row>
    <row r="275" spans="1:27" ht="13.5" customHeight="1" thickBot="1" x14ac:dyDescent="0.35">
      <c r="A275">
        <f t="shared" si="35"/>
        <v>0</v>
      </c>
      <c r="B275" s="18"/>
      <c r="C275" s="11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>
        <f t="shared" si="29"/>
        <v>0</v>
      </c>
      <c r="W275">
        <f t="shared" si="30"/>
        <v>0</v>
      </c>
      <c r="X275">
        <f t="shared" si="31"/>
        <v>0</v>
      </c>
      <c r="Y275">
        <f t="shared" si="32"/>
        <v>0</v>
      </c>
      <c r="Z275" t="str">
        <f t="shared" si="33"/>
        <v>CRAP</v>
      </c>
      <c r="AA275" t="str">
        <f t="shared" si="34"/>
        <v>CRAP</v>
      </c>
    </row>
    <row r="276" spans="1:27" ht="13.5" customHeight="1" thickBot="1" x14ac:dyDescent="0.35">
      <c r="A276">
        <f t="shared" si="35"/>
        <v>0</v>
      </c>
      <c r="B276" s="16"/>
      <c r="C276" s="10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>
        <f t="shared" si="29"/>
        <v>0</v>
      </c>
      <c r="W276">
        <f t="shared" si="30"/>
        <v>0</v>
      </c>
      <c r="X276">
        <f t="shared" si="31"/>
        <v>0</v>
      </c>
      <c r="Y276">
        <f t="shared" si="32"/>
        <v>0</v>
      </c>
      <c r="Z276" t="str">
        <f t="shared" si="33"/>
        <v>CRAP</v>
      </c>
      <c r="AA276" t="str">
        <f t="shared" si="34"/>
        <v>CRAP</v>
      </c>
    </row>
    <row r="277" spans="1:27" ht="13.5" customHeight="1" thickBot="1" x14ac:dyDescent="0.35">
      <c r="A277">
        <f t="shared" si="35"/>
        <v>0</v>
      </c>
      <c r="B277" s="18"/>
      <c r="C277" s="11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>
        <f t="shared" si="29"/>
        <v>0</v>
      </c>
      <c r="W277">
        <f t="shared" si="30"/>
        <v>0</v>
      </c>
      <c r="X277">
        <f t="shared" si="31"/>
        <v>0</v>
      </c>
      <c r="Y277">
        <f t="shared" si="32"/>
        <v>0</v>
      </c>
      <c r="Z277" t="str">
        <f t="shared" si="33"/>
        <v>CRAP</v>
      </c>
      <c r="AA277" t="str">
        <f t="shared" si="34"/>
        <v>CRAP</v>
      </c>
    </row>
    <row r="278" spans="1:27" ht="13.5" customHeight="1" thickBot="1" x14ac:dyDescent="0.35">
      <c r="A278">
        <f t="shared" si="35"/>
        <v>0</v>
      </c>
      <c r="B278" s="16"/>
      <c r="C278" s="10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>
        <f t="shared" si="29"/>
        <v>0</v>
      </c>
      <c r="W278">
        <f t="shared" si="30"/>
        <v>0</v>
      </c>
      <c r="X278">
        <f t="shared" si="31"/>
        <v>0</v>
      </c>
      <c r="Y278">
        <f t="shared" si="32"/>
        <v>0</v>
      </c>
      <c r="Z278" t="str">
        <f t="shared" si="33"/>
        <v>CRAP</v>
      </c>
      <c r="AA278" t="str">
        <f t="shared" si="34"/>
        <v>CRAP</v>
      </c>
    </row>
    <row r="279" spans="1:27" ht="13.5" customHeight="1" thickBot="1" x14ac:dyDescent="0.35">
      <c r="A279">
        <f t="shared" si="35"/>
        <v>0</v>
      </c>
      <c r="B279" s="18"/>
      <c r="C279" s="11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>
        <f t="shared" si="29"/>
        <v>0</v>
      </c>
      <c r="W279">
        <f t="shared" si="30"/>
        <v>0</v>
      </c>
      <c r="X279">
        <f t="shared" si="31"/>
        <v>0</v>
      </c>
      <c r="Y279">
        <f t="shared" si="32"/>
        <v>0</v>
      </c>
      <c r="Z279" t="str">
        <f t="shared" si="33"/>
        <v>CRAP</v>
      </c>
      <c r="AA279" t="str">
        <f t="shared" si="34"/>
        <v>CRAP</v>
      </c>
    </row>
    <row r="280" spans="1:27" ht="13.5" customHeight="1" thickBot="1" x14ac:dyDescent="0.35">
      <c r="A280">
        <f t="shared" si="35"/>
        <v>0</v>
      </c>
      <c r="B280" s="16"/>
      <c r="C280" s="10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>
        <f t="shared" si="29"/>
        <v>0</v>
      </c>
      <c r="W280">
        <f t="shared" si="30"/>
        <v>0</v>
      </c>
      <c r="X280">
        <f t="shared" si="31"/>
        <v>0</v>
      </c>
      <c r="Y280">
        <f t="shared" si="32"/>
        <v>0</v>
      </c>
      <c r="Z280" t="str">
        <f t="shared" si="33"/>
        <v>CRAP</v>
      </c>
      <c r="AA280" t="str">
        <f t="shared" si="34"/>
        <v>CRAP</v>
      </c>
    </row>
    <row r="281" spans="1:27" ht="13.5" customHeight="1" thickBot="1" x14ac:dyDescent="0.35">
      <c r="A281">
        <f t="shared" si="35"/>
        <v>0</v>
      </c>
      <c r="B281" s="18"/>
      <c r="C281" s="11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>
        <f t="shared" si="29"/>
        <v>0</v>
      </c>
      <c r="W281">
        <f t="shared" si="30"/>
        <v>0</v>
      </c>
      <c r="X281">
        <f t="shared" si="31"/>
        <v>0</v>
      </c>
      <c r="Y281">
        <f t="shared" si="32"/>
        <v>0</v>
      </c>
      <c r="Z281" t="str">
        <f t="shared" si="33"/>
        <v>CRAP</v>
      </c>
      <c r="AA281" t="str">
        <f t="shared" si="34"/>
        <v>CRAP</v>
      </c>
    </row>
    <row r="282" spans="1:27" ht="13.5" customHeight="1" thickBot="1" x14ac:dyDescent="0.35">
      <c r="A282">
        <f t="shared" si="35"/>
        <v>0</v>
      </c>
      <c r="B282" s="16"/>
      <c r="C282" s="10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>
        <f t="shared" si="29"/>
        <v>0</v>
      </c>
      <c r="W282">
        <f t="shared" si="30"/>
        <v>0</v>
      </c>
      <c r="X282">
        <f t="shared" si="31"/>
        <v>0</v>
      </c>
      <c r="Y282">
        <f t="shared" si="32"/>
        <v>0</v>
      </c>
      <c r="Z282" t="str">
        <f t="shared" si="33"/>
        <v>CRAP</v>
      </c>
      <c r="AA282" t="str">
        <f t="shared" si="34"/>
        <v>CRAP</v>
      </c>
    </row>
    <row r="283" spans="1:27" ht="13.5" customHeight="1" thickBot="1" x14ac:dyDescent="0.35">
      <c r="A283">
        <f t="shared" si="35"/>
        <v>0</v>
      </c>
      <c r="B283" s="18"/>
      <c r="C283" s="11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>
        <f t="shared" si="29"/>
        <v>0</v>
      </c>
      <c r="W283">
        <f t="shared" si="30"/>
        <v>0</v>
      </c>
      <c r="X283">
        <f t="shared" si="31"/>
        <v>0</v>
      </c>
      <c r="Y283">
        <f t="shared" si="32"/>
        <v>0</v>
      </c>
      <c r="Z283" t="str">
        <f t="shared" si="33"/>
        <v>CRAP</v>
      </c>
      <c r="AA283" t="str">
        <f t="shared" si="34"/>
        <v>CRAP</v>
      </c>
    </row>
    <row r="284" spans="1:27" ht="13.5" customHeight="1" thickBot="1" x14ac:dyDescent="0.35">
      <c r="A284">
        <f t="shared" si="35"/>
        <v>0</v>
      </c>
      <c r="B284" s="16"/>
      <c r="C284" s="10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>
        <f t="shared" si="29"/>
        <v>0</v>
      </c>
      <c r="W284">
        <f t="shared" si="30"/>
        <v>0</v>
      </c>
      <c r="X284">
        <f t="shared" si="31"/>
        <v>0</v>
      </c>
      <c r="Y284">
        <f t="shared" si="32"/>
        <v>0</v>
      </c>
      <c r="Z284" t="str">
        <f t="shared" si="33"/>
        <v>CRAP</v>
      </c>
      <c r="AA284" t="str">
        <f t="shared" si="34"/>
        <v>CRAP</v>
      </c>
    </row>
    <row r="285" spans="1:27" ht="13.5" customHeight="1" thickBot="1" x14ac:dyDescent="0.35">
      <c r="A285">
        <f t="shared" si="35"/>
        <v>0</v>
      </c>
      <c r="B285" s="18"/>
      <c r="C285" s="11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>
        <f t="shared" si="29"/>
        <v>0</v>
      </c>
      <c r="W285">
        <f t="shared" si="30"/>
        <v>0</v>
      </c>
      <c r="X285">
        <f t="shared" si="31"/>
        <v>0</v>
      </c>
      <c r="Y285">
        <f t="shared" si="32"/>
        <v>0</v>
      </c>
      <c r="Z285" t="str">
        <f t="shared" si="33"/>
        <v>CRAP</v>
      </c>
      <c r="AA285" t="str">
        <f t="shared" si="34"/>
        <v>CRAP</v>
      </c>
    </row>
    <row r="286" spans="1:27" ht="13.5" customHeight="1" thickBot="1" x14ac:dyDescent="0.35">
      <c r="A286">
        <f t="shared" si="35"/>
        <v>0</v>
      </c>
      <c r="B286" s="16"/>
      <c r="C286" s="10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>
        <f t="shared" si="29"/>
        <v>0</v>
      </c>
      <c r="W286">
        <f t="shared" si="30"/>
        <v>0</v>
      </c>
      <c r="X286">
        <f t="shared" si="31"/>
        <v>0</v>
      </c>
      <c r="Y286">
        <f t="shared" si="32"/>
        <v>0</v>
      </c>
      <c r="Z286" t="str">
        <f t="shared" si="33"/>
        <v>CRAP</v>
      </c>
      <c r="AA286" t="str">
        <f t="shared" si="34"/>
        <v>CRAP</v>
      </c>
    </row>
    <row r="287" spans="1:27" ht="13.5" customHeight="1" thickBot="1" x14ac:dyDescent="0.35">
      <c r="A287">
        <f t="shared" si="35"/>
        <v>0</v>
      </c>
      <c r="B287" s="18"/>
      <c r="C287" s="11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>
        <f t="shared" si="29"/>
        <v>0</v>
      </c>
      <c r="W287">
        <f t="shared" si="30"/>
        <v>0</v>
      </c>
      <c r="X287">
        <f t="shared" si="31"/>
        <v>0</v>
      </c>
      <c r="Y287">
        <f t="shared" si="32"/>
        <v>0</v>
      </c>
      <c r="Z287" t="str">
        <f t="shared" si="33"/>
        <v>CRAP</v>
      </c>
      <c r="AA287" t="str">
        <f t="shared" si="34"/>
        <v>CRAP</v>
      </c>
    </row>
    <row r="288" spans="1:27" ht="13.5" customHeight="1" thickBot="1" x14ac:dyDescent="0.35">
      <c r="A288">
        <f t="shared" si="35"/>
        <v>0</v>
      </c>
      <c r="B288" s="16"/>
      <c r="C288" s="10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>
        <f t="shared" si="29"/>
        <v>0</v>
      </c>
      <c r="W288">
        <f t="shared" si="30"/>
        <v>0</v>
      </c>
      <c r="X288">
        <f t="shared" si="31"/>
        <v>0</v>
      </c>
      <c r="Y288">
        <f t="shared" si="32"/>
        <v>0</v>
      </c>
      <c r="Z288" t="str">
        <f t="shared" si="33"/>
        <v>CRAP</v>
      </c>
      <c r="AA288" t="str">
        <f t="shared" si="34"/>
        <v>CRAP</v>
      </c>
    </row>
    <row r="289" spans="1:27" ht="13.5" customHeight="1" thickBot="1" x14ac:dyDescent="0.35">
      <c r="A289">
        <f t="shared" si="35"/>
        <v>0</v>
      </c>
      <c r="B289" s="18"/>
      <c r="C289" s="11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>
        <f t="shared" si="29"/>
        <v>0</v>
      </c>
      <c r="W289">
        <f t="shared" si="30"/>
        <v>0</v>
      </c>
      <c r="X289">
        <f t="shared" si="31"/>
        <v>0</v>
      </c>
      <c r="Y289">
        <f t="shared" si="32"/>
        <v>0</v>
      </c>
      <c r="Z289" t="str">
        <f t="shared" si="33"/>
        <v>CRAP</v>
      </c>
      <c r="AA289" t="str">
        <f t="shared" si="34"/>
        <v>CRAP</v>
      </c>
    </row>
    <row r="290" spans="1:27" ht="13.5" customHeight="1" thickBot="1" x14ac:dyDescent="0.35">
      <c r="A290">
        <f t="shared" si="35"/>
        <v>0</v>
      </c>
      <c r="B290" s="16"/>
      <c r="C290" s="10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>
        <f t="shared" si="29"/>
        <v>0</v>
      </c>
      <c r="W290">
        <f t="shared" si="30"/>
        <v>0</v>
      </c>
      <c r="X290">
        <f t="shared" si="31"/>
        <v>0</v>
      </c>
      <c r="Y290">
        <f t="shared" si="32"/>
        <v>0</v>
      </c>
      <c r="Z290" t="str">
        <f t="shared" si="33"/>
        <v>CRAP</v>
      </c>
      <c r="AA290" t="str">
        <f t="shared" si="34"/>
        <v>CRAP</v>
      </c>
    </row>
    <row r="291" spans="1:27" ht="13.5" customHeight="1" thickBot="1" x14ac:dyDescent="0.35">
      <c r="A291">
        <f t="shared" si="35"/>
        <v>0</v>
      </c>
      <c r="B291" s="18"/>
      <c r="C291" s="11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>
        <f t="shared" si="29"/>
        <v>0</v>
      </c>
      <c r="W291">
        <f t="shared" si="30"/>
        <v>0</v>
      </c>
      <c r="X291">
        <f t="shared" si="31"/>
        <v>0</v>
      </c>
      <c r="Y291">
        <f t="shared" si="32"/>
        <v>0</v>
      </c>
      <c r="Z291" t="str">
        <f t="shared" si="33"/>
        <v>CRAP</v>
      </c>
      <c r="AA291" t="str">
        <f t="shared" si="34"/>
        <v>CRAP</v>
      </c>
    </row>
    <row r="292" spans="1:27" ht="13.5" customHeight="1" thickBot="1" x14ac:dyDescent="0.35">
      <c r="A292">
        <f t="shared" si="35"/>
        <v>0</v>
      </c>
      <c r="B292" s="16"/>
      <c r="C292" s="10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>
        <f t="shared" si="29"/>
        <v>0</v>
      </c>
      <c r="W292">
        <f t="shared" si="30"/>
        <v>0</v>
      </c>
      <c r="X292">
        <f t="shared" si="31"/>
        <v>0</v>
      </c>
      <c r="Y292">
        <f t="shared" si="32"/>
        <v>0</v>
      </c>
      <c r="Z292" t="str">
        <f t="shared" si="33"/>
        <v>CRAP</v>
      </c>
      <c r="AA292" t="str">
        <f t="shared" si="34"/>
        <v>CRAP</v>
      </c>
    </row>
    <row r="293" spans="1:27" ht="13.5" customHeight="1" thickBot="1" x14ac:dyDescent="0.35">
      <c r="A293">
        <f t="shared" si="35"/>
        <v>0</v>
      </c>
      <c r="B293" s="18"/>
      <c r="C293" s="11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>
        <f t="shared" si="29"/>
        <v>0</v>
      </c>
      <c r="W293">
        <f t="shared" si="30"/>
        <v>0</v>
      </c>
      <c r="X293">
        <f t="shared" si="31"/>
        <v>0</v>
      </c>
      <c r="Y293">
        <f t="shared" si="32"/>
        <v>0</v>
      </c>
      <c r="Z293" t="str">
        <f t="shared" si="33"/>
        <v>CRAP</v>
      </c>
      <c r="AA293" t="str">
        <f t="shared" si="34"/>
        <v>CRAP</v>
      </c>
    </row>
    <row r="294" spans="1:27" ht="13.5" customHeight="1" thickBot="1" x14ac:dyDescent="0.35">
      <c r="A294">
        <f t="shared" si="35"/>
        <v>0</v>
      </c>
      <c r="B294" s="16"/>
      <c r="C294" s="10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>
        <f t="shared" si="29"/>
        <v>0</v>
      </c>
      <c r="W294">
        <f t="shared" si="30"/>
        <v>0</v>
      </c>
      <c r="X294">
        <f t="shared" si="31"/>
        <v>0</v>
      </c>
      <c r="Y294">
        <f t="shared" si="32"/>
        <v>0</v>
      </c>
      <c r="Z294" t="str">
        <f t="shared" si="33"/>
        <v>CRAP</v>
      </c>
      <c r="AA294" t="str">
        <f t="shared" si="34"/>
        <v>CRAP</v>
      </c>
    </row>
    <row r="295" spans="1:27" ht="13.5" customHeight="1" thickBot="1" x14ac:dyDescent="0.35">
      <c r="A295">
        <f t="shared" si="35"/>
        <v>0</v>
      </c>
      <c r="B295" s="18"/>
      <c r="C295" s="11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>
        <f t="shared" si="29"/>
        <v>0</v>
      </c>
      <c r="W295">
        <f t="shared" si="30"/>
        <v>0</v>
      </c>
      <c r="X295">
        <f t="shared" si="31"/>
        <v>0</v>
      </c>
      <c r="Y295">
        <f t="shared" si="32"/>
        <v>0</v>
      </c>
      <c r="Z295" t="str">
        <f t="shared" si="33"/>
        <v>CRAP</v>
      </c>
      <c r="AA295" t="str">
        <f t="shared" si="34"/>
        <v>CRAP</v>
      </c>
    </row>
    <row r="296" spans="1:27" ht="13.5" customHeight="1" thickBot="1" x14ac:dyDescent="0.35">
      <c r="A296">
        <f t="shared" si="35"/>
        <v>0</v>
      </c>
      <c r="B296" s="16"/>
      <c r="C296" s="10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>
        <f t="shared" si="29"/>
        <v>0</v>
      </c>
      <c r="W296">
        <f t="shared" si="30"/>
        <v>0</v>
      </c>
      <c r="X296">
        <f t="shared" si="31"/>
        <v>0</v>
      </c>
      <c r="Y296">
        <f t="shared" si="32"/>
        <v>0</v>
      </c>
      <c r="Z296" t="str">
        <f t="shared" si="33"/>
        <v>CRAP</v>
      </c>
      <c r="AA296" t="str">
        <f t="shared" si="34"/>
        <v>CRAP</v>
      </c>
    </row>
    <row r="297" spans="1:27" ht="13.5" customHeight="1" thickBot="1" x14ac:dyDescent="0.35">
      <c r="A297">
        <f t="shared" si="35"/>
        <v>0</v>
      </c>
      <c r="B297" s="18"/>
      <c r="C297" s="11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>
        <f t="shared" si="29"/>
        <v>0</v>
      </c>
      <c r="W297">
        <f t="shared" si="30"/>
        <v>0</v>
      </c>
      <c r="X297">
        <f t="shared" si="31"/>
        <v>0</v>
      </c>
      <c r="Y297">
        <f t="shared" si="32"/>
        <v>0</v>
      </c>
      <c r="Z297" t="str">
        <f t="shared" si="33"/>
        <v>CRAP</v>
      </c>
      <c r="AA297" t="str">
        <f t="shared" si="34"/>
        <v>CRAP</v>
      </c>
    </row>
    <row r="298" spans="1:27" ht="13.5" customHeight="1" thickBot="1" x14ac:dyDescent="0.35">
      <c r="A298">
        <f t="shared" si="35"/>
        <v>0</v>
      </c>
      <c r="B298" s="16"/>
      <c r="C298" s="10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>
        <f t="shared" si="29"/>
        <v>0</v>
      </c>
      <c r="W298">
        <f t="shared" si="30"/>
        <v>0</v>
      </c>
      <c r="X298">
        <f t="shared" si="31"/>
        <v>0</v>
      </c>
      <c r="Y298">
        <f t="shared" si="32"/>
        <v>0</v>
      </c>
      <c r="Z298" t="str">
        <f t="shared" si="33"/>
        <v>CRAP</v>
      </c>
      <c r="AA298" t="str">
        <f t="shared" si="34"/>
        <v>CRAP</v>
      </c>
    </row>
    <row r="299" spans="1:27" ht="13.5" customHeight="1" thickBot="1" x14ac:dyDescent="0.35">
      <c r="A299">
        <f t="shared" si="35"/>
        <v>0</v>
      </c>
      <c r="B299" s="18"/>
      <c r="C299" s="11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>
        <f t="shared" si="29"/>
        <v>0</v>
      </c>
      <c r="W299">
        <f t="shared" si="30"/>
        <v>0</v>
      </c>
      <c r="X299">
        <f t="shared" si="31"/>
        <v>0</v>
      </c>
      <c r="Y299">
        <f t="shared" si="32"/>
        <v>0</v>
      </c>
      <c r="Z299" t="str">
        <f t="shared" si="33"/>
        <v>CRAP</v>
      </c>
      <c r="AA299" t="str">
        <f t="shared" si="34"/>
        <v>CRAP</v>
      </c>
    </row>
    <row r="300" spans="1:27" ht="13.5" customHeight="1" thickBot="1" x14ac:dyDescent="0.35">
      <c r="A300">
        <f t="shared" si="35"/>
        <v>0</v>
      </c>
      <c r="B300" s="16"/>
      <c r="C300" s="10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>
        <f t="shared" si="29"/>
        <v>0</v>
      </c>
      <c r="W300">
        <f t="shared" si="30"/>
        <v>0</v>
      </c>
      <c r="X300">
        <f t="shared" si="31"/>
        <v>0</v>
      </c>
      <c r="Y300">
        <f t="shared" si="32"/>
        <v>0</v>
      </c>
      <c r="Z300" t="str">
        <f t="shared" si="33"/>
        <v>CRAP</v>
      </c>
      <c r="AA300" t="str">
        <f t="shared" si="34"/>
        <v>CRAP</v>
      </c>
    </row>
    <row r="301" spans="1:27" ht="13.5" customHeight="1" thickBot="1" x14ac:dyDescent="0.35">
      <c r="A301">
        <f t="shared" si="35"/>
        <v>0</v>
      </c>
      <c r="B301" s="18"/>
      <c r="C301" s="11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>
        <f t="shared" si="29"/>
        <v>0</v>
      </c>
      <c r="W301">
        <f t="shared" si="30"/>
        <v>0</v>
      </c>
      <c r="X301">
        <f t="shared" si="31"/>
        <v>0</v>
      </c>
      <c r="Y301">
        <f t="shared" si="32"/>
        <v>0</v>
      </c>
      <c r="Z301" t="str">
        <f t="shared" si="33"/>
        <v>CRAP</v>
      </c>
      <c r="AA301" t="str">
        <f t="shared" si="34"/>
        <v>CRAP</v>
      </c>
    </row>
    <row r="302" spans="1:27" ht="13.5" customHeight="1" thickBot="1" x14ac:dyDescent="0.35">
      <c r="A302">
        <f t="shared" si="35"/>
        <v>0</v>
      </c>
      <c r="B302" s="16"/>
      <c r="C302" s="10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>
        <f t="shared" si="29"/>
        <v>0</v>
      </c>
      <c r="W302">
        <f t="shared" si="30"/>
        <v>0</v>
      </c>
      <c r="X302">
        <f t="shared" si="31"/>
        <v>0</v>
      </c>
      <c r="Y302">
        <f t="shared" si="32"/>
        <v>0</v>
      </c>
      <c r="Z302" t="str">
        <f t="shared" si="33"/>
        <v>CRAP</v>
      </c>
      <c r="AA302" t="str">
        <f t="shared" si="34"/>
        <v>CRAP</v>
      </c>
    </row>
    <row r="303" spans="1:27" ht="13.5" customHeight="1" thickBot="1" x14ac:dyDescent="0.35">
      <c r="A303">
        <f t="shared" si="35"/>
        <v>0</v>
      </c>
      <c r="B303" s="18"/>
      <c r="C303" s="11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>
        <f t="shared" si="29"/>
        <v>0</v>
      </c>
      <c r="W303">
        <f t="shared" si="30"/>
        <v>0</v>
      </c>
      <c r="X303">
        <f t="shared" si="31"/>
        <v>0</v>
      </c>
      <c r="Y303">
        <f t="shared" si="32"/>
        <v>0</v>
      </c>
      <c r="Z303" t="str">
        <f t="shared" si="33"/>
        <v>CRAP</v>
      </c>
      <c r="AA303" t="str">
        <f t="shared" si="34"/>
        <v>CRAP</v>
      </c>
    </row>
    <row r="304" spans="1:27" ht="13.5" customHeight="1" thickBot="1" x14ac:dyDescent="0.35">
      <c r="A304">
        <f t="shared" si="35"/>
        <v>0</v>
      </c>
      <c r="B304" s="16"/>
      <c r="C304" s="10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>
        <f t="shared" si="29"/>
        <v>0</v>
      </c>
      <c r="W304">
        <f t="shared" si="30"/>
        <v>0</v>
      </c>
      <c r="X304">
        <f t="shared" si="31"/>
        <v>0</v>
      </c>
      <c r="Y304">
        <f t="shared" si="32"/>
        <v>0</v>
      </c>
      <c r="Z304" t="str">
        <f t="shared" si="33"/>
        <v>CRAP</v>
      </c>
      <c r="AA304" t="str">
        <f t="shared" si="34"/>
        <v>CRAP</v>
      </c>
    </row>
    <row r="305" spans="1:27" ht="13.5" customHeight="1" thickBot="1" x14ac:dyDescent="0.35">
      <c r="A305">
        <f t="shared" si="35"/>
        <v>0</v>
      </c>
      <c r="B305" s="18"/>
      <c r="C305" s="11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>
        <f t="shared" si="29"/>
        <v>0</v>
      </c>
      <c r="W305">
        <f t="shared" si="30"/>
        <v>0</v>
      </c>
      <c r="X305">
        <f t="shared" si="31"/>
        <v>0</v>
      </c>
      <c r="Y305">
        <f t="shared" si="32"/>
        <v>0</v>
      </c>
      <c r="Z305" t="str">
        <f t="shared" si="33"/>
        <v>CRAP</v>
      </c>
      <c r="AA305" t="str">
        <f t="shared" si="34"/>
        <v>CRAP</v>
      </c>
    </row>
    <row r="306" spans="1:27" ht="13.5" customHeight="1" thickBot="1" x14ac:dyDescent="0.35">
      <c r="A306">
        <f t="shared" si="35"/>
        <v>0</v>
      </c>
      <c r="B306" s="16"/>
      <c r="C306" s="10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>
        <f t="shared" si="29"/>
        <v>0</v>
      </c>
      <c r="W306">
        <f t="shared" si="30"/>
        <v>0</v>
      </c>
      <c r="X306">
        <f t="shared" si="31"/>
        <v>0</v>
      </c>
      <c r="Y306">
        <f t="shared" si="32"/>
        <v>0</v>
      </c>
      <c r="Z306" t="str">
        <f t="shared" si="33"/>
        <v>CRAP</v>
      </c>
      <c r="AA306" t="str">
        <f t="shared" si="34"/>
        <v>CRAP</v>
      </c>
    </row>
    <row r="307" spans="1:27" ht="13.5" customHeight="1" thickBot="1" x14ac:dyDescent="0.35">
      <c r="A307">
        <f t="shared" si="35"/>
        <v>0</v>
      </c>
      <c r="B307" s="18"/>
      <c r="C307" s="11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>
        <f t="shared" si="29"/>
        <v>0</v>
      </c>
      <c r="W307">
        <f t="shared" si="30"/>
        <v>0</v>
      </c>
      <c r="X307">
        <f t="shared" si="31"/>
        <v>0</v>
      </c>
      <c r="Y307">
        <f t="shared" si="32"/>
        <v>0</v>
      </c>
      <c r="Z307" t="str">
        <f t="shared" si="33"/>
        <v>CRAP</v>
      </c>
      <c r="AA307" t="str">
        <f t="shared" si="34"/>
        <v>CRAP</v>
      </c>
    </row>
    <row r="308" spans="1:27" ht="13.5" customHeight="1" thickBot="1" x14ac:dyDescent="0.35">
      <c r="A308">
        <f t="shared" si="35"/>
        <v>0</v>
      </c>
      <c r="B308" s="16"/>
      <c r="C308" s="10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>
        <f t="shared" si="29"/>
        <v>0</v>
      </c>
      <c r="W308">
        <f t="shared" si="30"/>
        <v>0</v>
      </c>
      <c r="X308">
        <f t="shared" si="31"/>
        <v>0</v>
      </c>
      <c r="Y308">
        <f t="shared" si="32"/>
        <v>0</v>
      </c>
      <c r="Z308" t="str">
        <f t="shared" si="33"/>
        <v>CRAP</v>
      </c>
      <c r="AA308" t="str">
        <f t="shared" si="34"/>
        <v>CRAP</v>
      </c>
    </row>
    <row r="309" spans="1:27" ht="13.5" customHeight="1" thickBot="1" x14ac:dyDescent="0.35">
      <c r="A309">
        <f t="shared" si="35"/>
        <v>0</v>
      </c>
      <c r="B309" s="18"/>
      <c r="C309" s="11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>
        <f t="shared" si="29"/>
        <v>0</v>
      </c>
      <c r="W309">
        <f t="shared" si="30"/>
        <v>0</v>
      </c>
      <c r="X309">
        <f t="shared" si="31"/>
        <v>0</v>
      </c>
      <c r="Y309">
        <f t="shared" si="32"/>
        <v>0</v>
      </c>
      <c r="Z309" t="str">
        <f t="shared" si="33"/>
        <v>CRAP</v>
      </c>
      <c r="AA309" t="str">
        <f t="shared" si="34"/>
        <v>CRAP</v>
      </c>
    </row>
    <row r="310" spans="1:27" ht="13.5" customHeight="1" thickBot="1" x14ac:dyDescent="0.35">
      <c r="A310">
        <f t="shared" si="35"/>
        <v>0</v>
      </c>
      <c r="B310" s="16"/>
      <c r="C310" s="10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>
        <f t="shared" si="29"/>
        <v>0</v>
      </c>
      <c r="W310">
        <f t="shared" si="30"/>
        <v>0</v>
      </c>
      <c r="X310">
        <f t="shared" si="31"/>
        <v>0</v>
      </c>
      <c r="Y310">
        <f t="shared" si="32"/>
        <v>0</v>
      </c>
      <c r="Z310" t="str">
        <f t="shared" si="33"/>
        <v>CRAP</v>
      </c>
      <c r="AA310" t="str">
        <f t="shared" si="34"/>
        <v>CRAP</v>
      </c>
    </row>
    <row r="311" spans="1:27" ht="13.5" customHeight="1" thickBot="1" x14ac:dyDescent="0.35">
      <c r="A311">
        <f t="shared" si="35"/>
        <v>0</v>
      </c>
      <c r="B311" s="18"/>
      <c r="C311" s="11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>
        <f t="shared" si="29"/>
        <v>0</v>
      </c>
      <c r="W311">
        <f t="shared" si="30"/>
        <v>0</v>
      </c>
      <c r="X311">
        <f t="shared" si="31"/>
        <v>0</v>
      </c>
      <c r="Y311">
        <f t="shared" si="32"/>
        <v>0</v>
      </c>
      <c r="Z311" t="str">
        <f t="shared" si="33"/>
        <v>CRAP</v>
      </c>
      <c r="AA311" t="str">
        <f t="shared" si="34"/>
        <v>CRAP</v>
      </c>
    </row>
    <row r="312" spans="1:27" ht="13.5" customHeight="1" thickBot="1" x14ac:dyDescent="0.35">
      <c r="A312">
        <f t="shared" si="35"/>
        <v>0</v>
      </c>
      <c r="B312" s="16"/>
      <c r="C312" s="10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>
        <f t="shared" si="29"/>
        <v>0</v>
      </c>
      <c r="W312">
        <f t="shared" si="30"/>
        <v>0</v>
      </c>
      <c r="X312">
        <f t="shared" si="31"/>
        <v>0</v>
      </c>
      <c r="Y312">
        <f t="shared" si="32"/>
        <v>0</v>
      </c>
      <c r="Z312" t="str">
        <f t="shared" si="33"/>
        <v>CRAP</v>
      </c>
      <c r="AA312" t="str">
        <f t="shared" si="34"/>
        <v>CRAP</v>
      </c>
    </row>
    <row r="313" spans="1:27" ht="13.5" customHeight="1" thickBot="1" x14ac:dyDescent="0.35">
      <c r="A313">
        <f t="shared" si="35"/>
        <v>0</v>
      </c>
      <c r="B313" s="18"/>
      <c r="C313" s="11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>
        <f t="shared" si="29"/>
        <v>0</v>
      </c>
      <c r="W313">
        <f t="shared" si="30"/>
        <v>0</v>
      </c>
      <c r="X313">
        <f t="shared" si="31"/>
        <v>0</v>
      </c>
      <c r="Y313">
        <f t="shared" si="32"/>
        <v>0</v>
      </c>
      <c r="Z313" t="str">
        <f t="shared" si="33"/>
        <v>CRAP</v>
      </c>
      <c r="AA313" t="str">
        <f t="shared" si="34"/>
        <v>CRAP</v>
      </c>
    </row>
    <row r="314" spans="1:27" ht="13.5" customHeight="1" thickBot="1" x14ac:dyDescent="0.35">
      <c r="A314">
        <f t="shared" si="35"/>
        <v>0</v>
      </c>
      <c r="B314" s="16"/>
      <c r="C314" s="10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>
        <f t="shared" si="29"/>
        <v>0</v>
      </c>
      <c r="W314">
        <f t="shared" si="30"/>
        <v>0</v>
      </c>
      <c r="X314">
        <f t="shared" si="31"/>
        <v>0</v>
      </c>
      <c r="Y314">
        <f t="shared" si="32"/>
        <v>0</v>
      </c>
      <c r="Z314" t="str">
        <f t="shared" si="33"/>
        <v>CRAP</v>
      </c>
      <c r="AA314" t="str">
        <f t="shared" si="34"/>
        <v>CRAP</v>
      </c>
    </row>
    <row r="315" spans="1:27" ht="13.5" customHeight="1" thickBot="1" x14ac:dyDescent="0.35">
      <c r="A315">
        <f t="shared" si="35"/>
        <v>0</v>
      </c>
      <c r="B315" s="18"/>
      <c r="C315" s="11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>
        <f t="shared" si="29"/>
        <v>0</v>
      </c>
      <c r="W315">
        <f t="shared" si="30"/>
        <v>0</v>
      </c>
      <c r="X315">
        <f t="shared" si="31"/>
        <v>0</v>
      </c>
      <c r="Y315">
        <f t="shared" si="32"/>
        <v>0</v>
      </c>
      <c r="Z315" t="str">
        <f t="shared" si="33"/>
        <v>CRAP</v>
      </c>
      <c r="AA315" t="str">
        <f t="shared" si="34"/>
        <v>CRAP</v>
      </c>
    </row>
    <row r="316" spans="1:27" ht="13.5" customHeight="1" thickBot="1" x14ac:dyDescent="0.35">
      <c r="A316">
        <f t="shared" si="35"/>
        <v>0</v>
      </c>
      <c r="B316" s="16"/>
      <c r="C316" s="10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>
        <f t="shared" si="29"/>
        <v>0</v>
      </c>
      <c r="W316">
        <f t="shared" si="30"/>
        <v>0</v>
      </c>
      <c r="X316">
        <f t="shared" si="31"/>
        <v>0</v>
      </c>
      <c r="Y316">
        <f t="shared" si="32"/>
        <v>0</v>
      </c>
      <c r="Z316" t="str">
        <f t="shared" si="33"/>
        <v>CRAP</v>
      </c>
      <c r="AA316" t="str">
        <f t="shared" si="34"/>
        <v>CRAP</v>
      </c>
    </row>
    <row r="317" spans="1:27" ht="13.5" customHeight="1" thickBot="1" x14ac:dyDescent="0.35">
      <c r="A317">
        <f t="shared" si="35"/>
        <v>0</v>
      </c>
      <c r="B317" s="18"/>
      <c r="C317" s="11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>
        <f t="shared" si="29"/>
        <v>0</v>
      </c>
      <c r="W317">
        <f t="shared" si="30"/>
        <v>0</v>
      </c>
      <c r="X317">
        <f t="shared" si="31"/>
        <v>0</v>
      </c>
      <c r="Y317">
        <f t="shared" si="32"/>
        <v>0</v>
      </c>
      <c r="Z317" t="str">
        <f t="shared" si="33"/>
        <v>CRAP</v>
      </c>
      <c r="AA317" t="str">
        <f t="shared" si="34"/>
        <v>CRAP</v>
      </c>
    </row>
    <row r="318" spans="1:27" ht="13.5" customHeight="1" thickBot="1" x14ac:dyDescent="0.35">
      <c r="A318">
        <f t="shared" si="35"/>
        <v>0</v>
      </c>
      <c r="B318" s="16"/>
      <c r="C318" s="10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>
        <f t="shared" si="29"/>
        <v>0</v>
      </c>
      <c r="W318">
        <f t="shared" si="30"/>
        <v>0</v>
      </c>
      <c r="X318">
        <f t="shared" si="31"/>
        <v>0</v>
      </c>
      <c r="Y318">
        <f t="shared" si="32"/>
        <v>0</v>
      </c>
      <c r="Z318" t="str">
        <f t="shared" si="33"/>
        <v>CRAP</v>
      </c>
      <c r="AA318" t="str">
        <f t="shared" si="34"/>
        <v>CRAP</v>
      </c>
    </row>
    <row r="319" spans="1:27" ht="13.5" customHeight="1" thickBot="1" x14ac:dyDescent="0.35">
      <c r="A319">
        <f t="shared" si="35"/>
        <v>0</v>
      </c>
      <c r="B319" s="18"/>
      <c r="C319" s="11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>
        <f t="shared" si="29"/>
        <v>0</v>
      </c>
      <c r="W319">
        <f t="shared" si="30"/>
        <v>0</v>
      </c>
      <c r="X319">
        <f t="shared" si="31"/>
        <v>0</v>
      </c>
      <c r="Y319">
        <f t="shared" si="32"/>
        <v>0</v>
      </c>
      <c r="Z319" t="str">
        <f t="shared" si="33"/>
        <v>CRAP</v>
      </c>
      <c r="AA319" t="str">
        <f t="shared" si="34"/>
        <v>CRAP</v>
      </c>
    </row>
    <row r="320" spans="1:27" ht="13.5" customHeight="1" thickBot="1" x14ac:dyDescent="0.35">
      <c r="A320">
        <f t="shared" si="35"/>
        <v>0</v>
      </c>
      <c r="B320" s="16"/>
      <c r="C320" s="10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>
        <f t="shared" si="29"/>
        <v>0</v>
      </c>
      <c r="W320">
        <f t="shared" si="30"/>
        <v>0</v>
      </c>
      <c r="X320">
        <f t="shared" si="31"/>
        <v>0</v>
      </c>
      <c r="Y320">
        <f t="shared" si="32"/>
        <v>0</v>
      </c>
      <c r="Z320" t="str">
        <f t="shared" si="33"/>
        <v>CRAP</v>
      </c>
      <c r="AA320" t="str">
        <f t="shared" si="34"/>
        <v>CRAP</v>
      </c>
    </row>
    <row r="321" spans="1:27" ht="13.5" customHeight="1" thickBot="1" x14ac:dyDescent="0.35">
      <c r="A321">
        <f t="shared" si="35"/>
        <v>0</v>
      </c>
      <c r="B321" s="18"/>
      <c r="C321" s="11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>
        <f t="shared" si="29"/>
        <v>0</v>
      </c>
      <c r="W321">
        <f t="shared" si="30"/>
        <v>0</v>
      </c>
      <c r="X321">
        <f t="shared" si="31"/>
        <v>0</v>
      </c>
      <c r="Y321">
        <f t="shared" si="32"/>
        <v>0</v>
      </c>
      <c r="Z321" t="str">
        <f t="shared" si="33"/>
        <v>CRAP</v>
      </c>
      <c r="AA321" t="str">
        <f t="shared" si="34"/>
        <v>CRAP</v>
      </c>
    </row>
    <row r="322" spans="1:27" ht="13.5" customHeight="1" thickBot="1" x14ac:dyDescent="0.35">
      <c r="A322">
        <f t="shared" si="35"/>
        <v>0</v>
      </c>
      <c r="B322" s="16"/>
      <c r="C322" s="10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>
        <f t="shared" si="29"/>
        <v>0</v>
      </c>
      <c r="W322">
        <f t="shared" si="30"/>
        <v>0</v>
      </c>
      <c r="X322">
        <f t="shared" si="31"/>
        <v>0</v>
      </c>
      <c r="Y322">
        <f t="shared" si="32"/>
        <v>0</v>
      </c>
      <c r="Z322" t="str">
        <f t="shared" si="33"/>
        <v>CRAP</v>
      </c>
      <c r="AA322" t="str">
        <f t="shared" si="34"/>
        <v>CRAP</v>
      </c>
    </row>
    <row r="323" spans="1:27" ht="13.5" customHeight="1" thickBot="1" x14ac:dyDescent="0.35">
      <c r="A323">
        <f t="shared" si="35"/>
        <v>0</v>
      </c>
      <c r="B323" s="18"/>
      <c r="C323" s="11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>
        <f t="shared" si="29"/>
        <v>0</v>
      </c>
      <c r="W323">
        <f t="shared" si="30"/>
        <v>0</v>
      </c>
      <c r="X323">
        <f t="shared" si="31"/>
        <v>0</v>
      </c>
      <c r="Y323">
        <f t="shared" si="32"/>
        <v>0</v>
      </c>
      <c r="Z323" t="str">
        <f t="shared" si="33"/>
        <v>CRAP</v>
      </c>
      <c r="AA323" t="str">
        <f t="shared" si="34"/>
        <v>CRAP</v>
      </c>
    </row>
    <row r="324" spans="1:27" ht="13.5" customHeight="1" thickBot="1" x14ac:dyDescent="0.35">
      <c r="A324">
        <f t="shared" si="35"/>
        <v>0</v>
      </c>
      <c r="B324" s="16"/>
      <c r="C324" s="10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>
        <f t="shared" si="29"/>
        <v>0</v>
      </c>
      <c r="W324">
        <f t="shared" si="30"/>
        <v>0</v>
      </c>
      <c r="X324">
        <f t="shared" si="31"/>
        <v>0</v>
      </c>
      <c r="Y324">
        <f t="shared" si="32"/>
        <v>0</v>
      </c>
      <c r="Z324" t="str">
        <f t="shared" si="33"/>
        <v>CRAP</v>
      </c>
      <c r="AA324" t="str">
        <f t="shared" si="34"/>
        <v>CRAP</v>
      </c>
    </row>
    <row r="325" spans="1:27" ht="13.5" customHeight="1" thickBot="1" x14ac:dyDescent="0.35">
      <c r="A325">
        <f t="shared" si="35"/>
        <v>0</v>
      </c>
      <c r="B325" s="18"/>
      <c r="C325" s="11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>
        <f t="shared" si="29"/>
        <v>0</v>
      </c>
      <c r="W325">
        <f t="shared" si="30"/>
        <v>0</v>
      </c>
      <c r="X325">
        <f t="shared" si="31"/>
        <v>0</v>
      </c>
      <c r="Y325">
        <f t="shared" si="32"/>
        <v>0</v>
      </c>
      <c r="Z325" t="str">
        <f t="shared" si="33"/>
        <v>CRAP</v>
      </c>
      <c r="AA325" t="str">
        <f t="shared" si="34"/>
        <v>CRAP</v>
      </c>
    </row>
    <row r="326" spans="1:27" ht="13.5" customHeight="1" thickBot="1" x14ac:dyDescent="0.35">
      <c r="A326">
        <f t="shared" si="35"/>
        <v>0</v>
      </c>
      <c r="B326" s="16"/>
      <c r="C326" s="10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>
        <f t="shared" ref="V326:V389" si="36">K$1*(0.000001*K326^3)+L$1*((-0.000002)*L326^3+0.00032*L326^2+(-0.0021)*L326)+M$1*((-0.000002)*M326^3+0.00032*M326^2+(-0.0021)*M326)+N$1*((-0.000002)*N326^3+0.00032*N326^2+(-0.0021)*N326)+O$1*((-0.000002)*O326^3+0.00032*O326^2+(-0.0021)*O326)</f>
        <v>0</v>
      </c>
      <c r="W326">
        <f t="shared" ref="W326:W389" si="37">P$1*((-0.000002)*P326^3+0.00032*P326^2+(-0.0021)*P326)+Q$1*((-0.000002)*Q326^3+0.00032*Q326^2+(-0.0021)*Q326)+R$1*((-0.000002)*R326^3+0.00032*R326^2+(-0.0021)*R326)+S$1*((-0.000002)*S326^3+0.00032*S326^2+(-0.0021)*S326)+T$1*((-0.000002)*T326^3+0.00032*T326^2+(-0.0021)*T326)</f>
        <v>0</v>
      </c>
      <c r="X326">
        <f t="shared" ref="X326:X389" si="38">(I$1*((-0.000002)*I326^3+0.00032*I326^2+(-0.0021)*I326)+J$1*((-0.000002)*J326^3+0.00032*J326^2+(-0.0021)*J326)+H$1*((-0.000002)*H326^3+0.00032*H326^2+(-0.0021)*H326))*(MAX(0.05,MIN(1,(2*J326+I326)/120)*MIN(1,I326/10)*MIN(1,J326/10)))</f>
        <v>0</v>
      </c>
      <c r="Y326">
        <f t="shared" ref="Y326:Y389" si="39">(I$1*((-0.000002)*I326^3+0.00032*I326^2+(-0.0021)*I326)+J$1*((-0.000002)*J326^3+0.00032*J326^2+(-0.0021)*J326)+H$1*((-0.000002)*H326^3+0.00032*H326^2+(-0.0021)*H326))*(MAX(0.05,MIN(1,(2*J326+I326)/120)*MIN(1,I326/10)*MIN(1,J326/10)))</f>
        <v>0</v>
      </c>
      <c r="Z326" t="str">
        <f t="shared" ref="Z326:Z389" si="40">IF(AND(J326&gt;50,I326+J326&gt;75),"SP",IF(2*I326+J326&gt;120,"RP","CRAP"))</f>
        <v>CRAP</v>
      </c>
      <c r="AA326" t="str">
        <f t="shared" ref="AA326:AA389" si="41">IF(AND(J326&gt;50,I326+J326&gt;75),"SP",IF(2*I326+J326&gt;120,"RP","CRAP"))</f>
        <v>CRAP</v>
      </c>
    </row>
    <row r="327" spans="1:27" ht="13.5" customHeight="1" thickBot="1" x14ac:dyDescent="0.35">
      <c r="A327">
        <f t="shared" si="35"/>
        <v>0</v>
      </c>
      <c r="B327" s="18"/>
      <c r="C327" s="11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>
        <f t="shared" si="36"/>
        <v>0</v>
      </c>
      <c r="W327">
        <f t="shared" si="37"/>
        <v>0</v>
      </c>
      <c r="X327">
        <f t="shared" si="38"/>
        <v>0</v>
      </c>
      <c r="Y327">
        <f t="shared" si="39"/>
        <v>0</v>
      </c>
      <c r="Z327" t="str">
        <f t="shared" si="40"/>
        <v>CRAP</v>
      </c>
      <c r="AA327" t="str">
        <f t="shared" si="41"/>
        <v>CRAP</v>
      </c>
    </row>
    <row r="328" spans="1:27" ht="13.5" customHeight="1" thickBot="1" x14ac:dyDescent="0.35">
      <c r="A328">
        <f t="shared" si="35"/>
        <v>0</v>
      </c>
      <c r="B328" s="16"/>
      <c r="C328" s="10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>
        <f t="shared" si="36"/>
        <v>0</v>
      </c>
      <c r="W328">
        <f t="shared" si="37"/>
        <v>0</v>
      </c>
      <c r="X328">
        <f t="shared" si="38"/>
        <v>0</v>
      </c>
      <c r="Y328">
        <f t="shared" si="39"/>
        <v>0</v>
      </c>
      <c r="Z328" t="str">
        <f t="shared" si="40"/>
        <v>CRAP</v>
      </c>
      <c r="AA328" t="str">
        <f t="shared" si="41"/>
        <v>CRAP</v>
      </c>
    </row>
    <row r="329" spans="1:27" ht="13.5" customHeight="1" thickBot="1" x14ac:dyDescent="0.35">
      <c r="A329">
        <f t="shared" si="35"/>
        <v>0</v>
      </c>
      <c r="B329" s="18"/>
      <c r="C329" s="11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>
        <f t="shared" si="36"/>
        <v>0</v>
      </c>
      <c r="W329">
        <f t="shared" si="37"/>
        <v>0</v>
      </c>
      <c r="X329">
        <f t="shared" si="38"/>
        <v>0</v>
      </c>
      <c r="Y329">
        <f t="shared" si="39"/>
        <v>0</v>
      </c>
      <c r="Z329" t="str">
        <f t="shared" si="40"/>
        <v>CRAP</v>
      </c>
      <c r="AA329" t="str">
        <f t="shared" si="41"/>
        <v>CRAP</v>
      </c>
    </row>
    <row r="330" spans="1:27" ht="13.5" customHeight="1" thickBot="1" x14ac:dyDescent="0.35">
      <c r="A330">
        <f t="shared" si="35"/>
        <v>0</v>
      </c>
      <c r="B330" s="16"/>
      <c r="C330" s="10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>
        <f t="shared" si="36"/>
        <v>0</v>
      </c>
      <c r="W330">
        <f t="shared" si="37"/>
        <v>0</v>
      </c>
      <c r="X330">
        <f t="shared" si="38"/>
        <v>0</v>
      </c>
      <c r="Y330">
        <f t="shared" si="39"/>
        <v>0</v>
      </c>
      <c r="Z330" t="str">
        <f t="shared" si="40"/>
        <v>CRAP</v>
      </c>
      <c r="AA330" t="str">
        <f t="shared" si="41"/>
        <v>CRAP</v>
      </c>
    </row>
    <row r="331" spans="1:27" ht="13.5" customHeight="1" thickBot="1" x14ac:dyDescent="0.35">
      <c r="A331">
        <f t="shared" si="35"/>
        <v>0</v>
      </c>
      <c r="B331" s="18"/>
      <c r="C331" s="11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>
        <f t="shared" si="36"/>
        <v>0</v>
      </c>
      <c r="W331">
        <f t="shared" si="37"/>
        <v>0</v>
      </c>
      <c r="X331">
        <f t="shared" si="38"/>
        <v>0</v>
      </c>
      <c r="Y331">
        <f t="shared" si="39"/>
        <v>0</v>
      </c>
      <c r="Z331" t="str">
        <f t="shared" si="40"/>
        <v>CRAP</v>
      </c>
      <c r="AA331" t="str">
        <f t="shared" si="41"/>
        <v>CRAP</v>
      </c>
    </row>
    <row r="332" spans="1:27" ht="13.5" customHeight="1" thickBot="1" x14ac:dyDescent="0.35">
      <c r="A332">
        <f t="shared" si="35"/>
        <v>0</v>
      </c>
      <c r="B332" s="16"/>
      <c r="C332" s="10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>
        <f t="shared" si="36"/>
        <v>0</v>
      </c>
      <c r="W332">
        <f t="shared" si="37"/>
        <v>0</v>
      </c>
      <c r="X332">
        <f t="shared" si="38"/>
        <v>0</v>
      </c>
      <c r="Y332">
        <f t="shared" si="39"/>
        <v>0</v>
      </c>
      <c r="Z332" t="str">
        <f t="shared" si="40"/>
        <v>CRAP</v>
      </c>
      <c r="AA332" t="str">
        <f t="shared" si="41"/>
        <v>CRAP</v>
      </c>
    </row>
    <row r="333" spans="1:27" ht="13.5" customHeight="1" thickBot="1" x14ac:dyDescent="0.35">
      <c r="A333">
        <f t="shared" si="35"/>
        <v>0</v>
      </c>
      <c r="B333" s="18"/>
      <c r="C333" s="11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>
        <f t="shared" si="36"/>
        <v>0</v>
      </c>
      <c r="W333">
        <f t="shared" si="37"/>
        <v>0</v>
      </c>
      <c r="X333">
        <f t="shared" si="38"/>
        <v>0</v>
      </c>
      <c r="Y333">
        <f t="shared" si="39"/>
        <v>0</v>
      </c>
      <c r="Z333" t="str">
        <f t="shared" si="40"/>
        <v>CRAP</v>
      </c>
      <c r="AA333" t="str">
        <f t="shared" si="41"/>
        <v>CRAP</v>
      </c>
    </row>
    <row r="334" spans="1:27" ht="13.5" customHeight="1" thickBot="1" x14ac:dyDescent="0.35">
      <c r="A334">
        <f t="shared" si="35"/>
        <v>0</v>
      </c>
      <c r="B334" s="16"/>
      <c r="C334" s="10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>
        <f t="shared" si="36"/>
        <v>0</v>
      </c>
      <c r="W334">
        <f t="shared" si="37"/>
        <v>0</v>
      </c>
      <c r="X334">
        <f t="shared" si="38"/>
        <v>0</v>
      </c>
      <c r="Y334">
        <f t="shared" si="39"/>
        <v>0</v>
      </c>
      <c r="Z334" t="str">
        <f t="shared" si="40"/>
        <v>CRAP</v>
      </c>
      <c r="AA334" t="str">
        <f t="shared" si="41"/>
        <v>CRAP</v>
      </c>
    </row>
    <row r="335" spans="1:27" ht="13.5" customHeight="1" thickBot="1" x14ac:dyDescent="0.35">
      <c r="A335">
        <f t="shared" ref="A335:A398" si="42">(V335*V$2+W335*W$2+X335*X$2)*100/(V$4*V$2+W$4*W$2+X$4*X$2)</f>
        <v>0</v>
      </c>
      <c r="B335" s="18"/>
      <c r="C335" s="11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>
        <f t="shared" si="36"/>
        <v>0</v>
      </c>
      <c r="W335">
        <f t="shared" si="37"/>
        <v>0</v>
      </c>
      <c r="X335">
        <f t="shared" si="38"/>
        <v>0</v>
      </c>
      <c r="Y335">
        <f t="shared" si="39"/>
        <v>0</v>
      </c>
      <c r="Z335" t="str">
        <f t="shared" si="40"/>
        <v>CRAP</v>
      </c>
      <c r="AA335" t="str">
        <f t="shared" si="41"/>
        <v>CRAP</v>
      </c>
    </row>
    <row r="336" spans="1:27" ht="13.5" customHeight="1" thickBot="1" x14ac:dyDescent="0.35">
      <c r="A336">
        <f t="shared" si="42"/>
        <v>0</v>
      </c>
      <c r="B336" s="16"/>
      <c r="C336" s="10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>
        <f t="shared" si="36"/>
        <v>0</v>
      </c>
      <c r="W336">
        <f t="shared" si="37"/>
        <v>0</v>
      </c>
      <c r="X336">
        <f t="shared" si="38"/>
        <v>0</v>
      </c>
      <c r="Y336">
        <f t="shared" si="39"/>
        <v>0</v>
      </c>
      <c r="Z336" t="str">
        <f t="shared" si="40"/>
        <v>CRAP</v>
      </c>
      <c r="AA336" t="str">
        <f t="shared" si="41"/>
        <v>CRAP</v>
      </c>
    </row>
    <row r="337" spans="1:27" ht="13.5" customHeight="1" thickBot="1" x14ac:dyDescent="0.35">
      <c r="A337">
        <f t="shared" si="42"/>
        <v>0</v>
      </c>
      <c r="B337" s="18"/>
      <c r="C337" s="11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>
        <f t="shared" si="36"/>
        <v>0</v>
      </c>
      <c r="W337">
        <f t="shared" si="37"/>
        <v>0</v>
      </c>
      <c r="X337">
        <f t="shared" si="38"/>
        <v>0</v>
      </c>
      <c r="Y337">
        <f t="shared" si="39"/>
        <v>0</v>
      </c>
      <c r="Z337" t="str">
        <f t="shared" si="40"/>
        <v>CRAP</v>
      </c>
      <c r="AA337" t="str">
        <f t="shared" si="41"/>
        <v>CRAP</v>
      </c>
    </row>
    <row r="338" spans="1:27" ht="13.5" customHeight="1" thickBot="1" x14ac:dyDescent="0.35">
      <c r="A338">
        <f t="shared" si="42"/>
        <v>0</v>
      </c>
      <c r="B338" s="16"/>
      <c r="C338" s="10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>
        <f t="shared" si="36"/>
        <v>0</v>
      </c>
      <c r="W338">
        <f t="shared" si="37"/>
        <v>0</v>
      </c>
      <c r="X338">
        <f t="shared" si="38"/>
        <v>0</v>
      </c>
      <c r="Y338">
        <f t="shared" si="39"/>
        <v>0</v>
      </c>
      <c r="Z338" t="str">
        <f t="shared" si="40"/>
        <v>CRAP</v>
      </c>
      <c r="AA338" t="str">
        <f t="shared" si="41"/>
        <v>CRAP</v>
      </c>
    </row>
    <row r="339" spans="1:27" ht="13.5" customHeight="1" thickBot="1" x14ac:dyDescent="0.35">
      <c r="A339">
        <f t="shared" si="42"/>
        <v>0</v>
      </c>
      <c r="B339" s="18"/>
      <c r="C339" s="11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>
        <f t="shared" si="36"/>
        <v>0</v>
      </c>
      <c r="W339">
        <f t="shared" si="37"/>
        <v>0</v>
      </c>
      <c r="X339">
        <f t="shared" si="38"/>
        <v>0</v>
      </c>
      <c r="Y339">
        <f t="shared" si="39"/>
        <v>0</v>
      </c>
      <c r="Z339" t="str">
        <f t="shared" si="40"/>
        <v>CRAP</v>
      </c>
      <c r="AA339" t="str">
        <f t="shared" si="41"/>
        <v>CRAP</v>
      </c>
    </row>
    <row r="340" spans="1:27" ht="13.5" customHeight="1" thickBot="1" x14ac:dyDescent="0.35">
      <c r="A340">
        <f t="shared" si="42"/>
        <v>0</v>
      </c>
      <c r="B340" s="16"/>
      <c r="C340" s="10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>
        <f t="shared" si="36"/>
        <v>0</v>
      </c>
      <c r="W340">
        <f t="shared" si="37"/>
        <v>0</v>
      </c>
      <c r="X340">
        <f t="shared" si="38"/>
        <v>0</v>
      </c>
      <c r="Y340">
        <f t="shared" si="39"/>
        <v>0</v>
      </c>
      <c r="Z340" t="str">
        <f t="shared" si="40"/>
        <v>CRAP</v>
      </c>
      <c r="AA340" t="str">
        <f t="shared" si="41"/>
        <v>CRAP</v>
      </c>
    </row>
    <row r="341" spans="1:27" ht="13.5" customHeight="1" thickBot="1" x14ac:dyDescent="0.35">
      <c r="A341">
        <f t="shared" si="42"/>
        <v>0</v>
      </c>
      <c r="B341" s="18"/>
      <c r="C341" s="11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>
        <f t="shared" si="36"/>
        <v>0</v>
      </c>
      <c r="W341">
        <f t="shared" si="37"/>
        <v>0</v>
      </c>
      <c r="X341">
        <f t="shared" si="38"/>
        <v>0</v>
      </c>
      <c r="Y341">
        <f t="shared" si="39"/>
        <v>0</v>
      </c>
      <c r="Z341" t="str">
        <f t="shared" si="40"/>
        <v>CRAP</v>
      </c>
      <c r="AA341" t="str">
        <f t="shared" si="41"/>
        <v>CRAP</v>
      </c>
    </row>
    <row r="342" spans="1:27" ht="13.5" customHeight="1" thickBot="1" x14ac:dyDescent="0.35">
      <c r="A342">
        <f t="shared" si="42"/>
        <v>0</v>
      </c>
      <c r="B342" s="16"/>
      <c r="C342" s="10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>
        <f t="shared" si="36"/>
        <v>0</v>
      </c>
      <c r="W342">
        <f t="shared" si="37"/>
        <v>0</v>
      </c>
      <c r="X342">
        <f t="shared" si="38"/>
        <v>0</v>
      </c>
      <c r="Y342">
        <f t="shared" si="39"/>
        <v>0</v>
      </c>
      <c r="Z342" t="str">
        <f t="shared" si="40"/>
        <v>CRAP</v>
      </c>
      <c r="AA342" t="str">
        <f t="shared" si="41"/>
        <v>CRAP</v>
      </c>
    </row>
    <row r="343" spans="1:27" ht="13.5" customHeight="1" thickBot="1" x14ac:dyDescent="0.35">
      <c r="A343">
        <f t="shared" si="42"/>
        <v>0</v>
      </c>
      <c r="B343" s="18"/>
      <c r="C343" s="11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>
        <f t="shared" si="36"/>
        <v>0</v>
      </c>
      <c r="W343">
        <f t="shared" si="37"/>
        <v>0</v>
      </c>
      <c r="X343">
        <f t="shared" si="38"/>
        <v>0</v>
      </c>
      <c r="Y343">
        <f t="shared" si="39"/>
        <v>0</v>
      </c>
      <c r="Z343" t="str">
        <f t="shared" si="40"/>
        <v>CRAP</v>
      </c>
      <c r="AA343" t="str">
        <f t="shared" si="41"/>
        <v>CRAP</v>
      </c>
    </row>
    <row r="344" spans="1:27" ht="13.5" customHeight="1" thickBot="1" x14ac:dyDescent="0.35">
      <c r="A344">
        <f t="shared" si="42"/>
        <v>0</v>
      </c>
      <c r="B344" s="16"/>
      <c r="C344" s="10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>
        <f t="shared" si="36"/>
        <v>0</v>
      </c>
      <c r="W344">
        <f t="shared" si="37"/>
        <v>0</v>
      </c>
      <c r="X344">
        <f t="shared" si="38"/>
        <v>0</v>
      </c>
      <c r="Y344">
        <f t="shared" si="39"/>
        <v>0</v>
      </c>
      <c r="Z344" t="str">
        <f t="shared" si="40"/>
        <v>CRAP</v>
      </c>
      <c r="AA344" t="str">
        <f t="shared" si="41"/>
        <v>CRAP</v>
      </c>
    </row>
    <row r="345" spans="1:27" ht="13.5" customHeight="1" thickBot="1" x14ac:dyDescent="0.35">
      <c r="A345">
        <f t="shared" si="42"/>
        <v>0</v>
      </c>
      <c r="B345" s="18"/>
      <c r="C345" s="11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>
        <f t="shared" si="36"/>
        <v>0</v>
      </c>
      <c r="W345">
        <f t="shared" si="37"/>
        <v>0</v>
      </c>
      <c r="X345">
        <f t="shared" si="38"/>
        <v>0</v>
      </c>
      <c r="Y345">
        <f t="shared" si="39"/>
        <v>0</v>
      </c>
      <c r="Z345" t="str">
        <f t="shared" si="40"/>
        <v>CRAP</v>
      </c>
      <c r="AA345" t="str">
        <f t="shared" si="41"/>
        <v>CRAP</v>
      </c>
    </row>
    <row r="346" spans="1:27" ht="13.5" customHeight="1" thickBot="1" x14ac:dyDescent="0.35">
      <c r="A346">
        <f t="shared" si="42"/>
        <v>0</v>
      </c>
      <c r="B346" s="16"/>
      <c r="C346" s="10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>
        <f t="shared" si="36"/>
        <v>0</v>
      </c>
      <c r="W346">
        <f t="shared" si="37"/>
        <v>0</v>
      </c>
      <c r="X346">
        <f t="shared" si="38"/>
        <v>0</v>
      </c>
      <c r="Y346">
        <f t="shared" si="39"/>
        <v>0</v>
      </c>
      <c r="Z346" t="str">
        <f t="shared" si="40"/>
        <v>CRAP</v>
      </c>
      <c r="AA346" t="str">
        <f t="shared" si="41"/>
        <v>CRAP</v>
      </c>
    </row>
    <row r="347" spans="1:27" ht="13.5" customHeight="1" thickBot="1" x14ac:dyDescent="0.35">
      <c r="A347">
        <f t="shared" si="42"/>
        <v>0</v>
      </c>
      <c r="B347" s="18"/>
      <c r="C347" s="11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>
        <f t="shared" si="36"/>
        <v>0</v>
      </c>
      <c r="W347">
        <f t="shared" si="37"/>
        <v>0</v>
      </c>
      <c r="X347">
        <f t="shared" si="38"/>
        <v>0</v>
      </c>
      <c r="Y347">
        <f t="shared" si="39"/>
        <v>0</v>
      </c>
      <c r="Z347" t="str">
        <f t="shared" si="40"/>
        <v>CRAP</v>
      </c>
      <c r="AA347" t="str">
        <f t="shared" si="41"/>
        <v>CRAP</v>
      </c>
    </row>
    <row r="348" spans="1:27" ht="13.5" customHeight="1" thickBot="1" x14ac:dyDescent="0.35">
      <c r="A348">
        <f t="shared" si="42"/>
        <v>0</v>
      </c>
      <c r="B348" s="16"/>
      <c r="C348" s="10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>
        <f t="shared" si="36"/>
        <v>0</v>
      </c>
      <c r="W348">
        <f t="shared" si="37"/>
        <v>0</v>
      </c>
      <c r="X348">
        <f t="shared" si="38"/>
        <v>0</v>
      </c>
      <c r="Y348">
        <f t="shared" si="39"/>
        <v>0</v>
      </c>
      <c r="Z348" t="str">
        <f t="shared" si="40"/>
        <v>CRAP</v>
      </c>
      <c r="AA348" t="str">
        <f t="shared" si="41"/>
        <v>CRAP</v>
      </c>
    </row>
    <row r="349" spans="1:27" ht="13.5" customHeight="1" thickBot="1" x14ac:dyDescent="0.35">
      <c r="A349">
        <f t="shared" si="42"/>
        <v>0</v>
      </c>
      <c r="B349" s="18"/>
      <c r="C349" s="11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>
        <f t="shared" si="36"/>
        <v>0</v>
      </c>
      <c r="W349">
        <f t="shared" si="37"/>
        <v>0</v>
      </c>
      <c r="X349">
        <f t="shared" si="38"/>
        <v>0</v>
      </c>
      <c r="Y349">
        <f t="shared" si="39"/>
        <v>0</v>
      </c>
      <c r="Z349" t="str">
        <f t="shared" si="40"/>
        <v>CRAP</v>
      </c>
      <c r="AA349" t="str">
        <f t="shared" si="41"/>
        <v>CRAP</v>
      </c>
    </row>
    <row r="350" spans="1:27" ht="13.5" customHeight="1" thickBot="1" x14ac:dyDescent="0.35">
      <c r="A350">
        <f t="shared" si="42"/>
        <v>0</v>
      </c>
      <c r="B350" s="16"/>
      <c r="C350" s="10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>
        <f t="shared" si="36"/>
        <v>0</v>
      </c>
      <c r="W350">
        <f t="shared" si="37"/>
        <v>0</v>
      </c>
      <c r="X350">
        <f t="shared" si="38"/>
        <v>0</v>
      </c>
      <c r="Y350">
        <f t="shared" si="39"/>
        <v>0</v>
      </c>
      <c r="Z350" t="str">
        <f t="shared" si="40"/>
        <v>CRAP</v>
      </c>
      <c r="AA350" t="str">
        <f t="shared" si="41"/>
        <v>CRAP</v>
      </c>
    </row>
    <row r="351" spans="1:27" ht="13.5" customHeight="1" thickBot="1" x14ac:dyDescent="0.35">
      <c r="A351">
        <f t="shared" si="42"/>
        <v>0</v>
      </c>
      <c r="B351" s="18"/>
      <c r="C351" s="11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>
        <f t="shared" si="36"/>
        <v>0</v>
      </c>
      <c r="W351">
        <f t="shared" si="37"/>
        <v>0</v>
      </c>
      <c r="X351">
        <f t="shared" si="38"/>
        <v>0</v>
      </c>
      <c r="Y351">
        <f t="shared" si="39"/>
        <v>0</v>
      </c>
      <c r="Z351" t="str">
        <f t="shared" si="40"/>
        <v>CRAP</v>
      </c>
      <c r="AA351" t="str">
        <f t="shared" si="41"/>
        <v>CRAP</v>
      </c>
    </row>
    <row r="352" spans="1:27" ht="13.5" customHeight="1" thickBot="1" x14ac:dyDescent="0.35">
      <c r="A352">
        <f t="shared" si="42"/>
        <v>0</v>
      </c>
      <c r="B352" s="16"/>
      <c r="C352" s="10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>
        <f t="shared" si="36"/>
        <v>0</v>
      </c>
      <c r="W352">
        <f t="shared" si="37"/>
        <v>0</v>
      </c>
      <c r="X352">
        <f t="shared" si="38"/>
        <v>0</v>
      </c>
      <c r="Y352">
        <f t="shared" si="39"/>
        <v>0</v>
      </c>
      <c r="Z352" t="str">
        <f t="shared" si="40"/>
        <v>CRAP</v>
      </c>
      <c r="AA352" t="str">
        <f t="shared" si="41"/>
        <v>CRAP</v>
      </c>
    </row>
    <row r="353" spans="1:27" ht="13.5" customHeight="1" thickBot="1" x14ac:dyDescent="0.35">
      <c r="A353">
        <f t="shared" si="42"/>
        <v>0</v>
      </c>
      <c r="B353" s="18"/>
      <c r="C353" s="11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>
        <f t="shared" si="36"/>
        <v>0</v>
      </c>
      <c r="W353">
        <f t="shared" si="37"/>
        <v>0</v>
      </c>
      <c r="X353">
        <f t="shared" si="38"/>
        <v>0</v>
      </c>
      <c r="Y353">
        <f t="shared" si="39"/>
        <v>0</v>
      </c>
      <c r="Z353" t="str">
        <f t="shared" si="40"/>
        <v>CRAP</v>
      </c>
      <c r="AA353" t="str">
        <f t="shared" si="41"/>
        <v>CRAP</v>
      </c>
    </row>
    <row r="354" spans="1:27" ht="13.5" customHeight="1" thickBot="1" x14ac:dyDescent="0.35">
      <c r="A354">
        <f t="shared" si="42"/>
        <v>0</v>
      </c>
      <c r="B354" s="16"/>
      <c r="C354" s="10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>
        <f t="shared" si="36"/>
        <v>0</v>
      </c>
      <c r="W354">
        <f t="shared" si="37"/>
        <v>0</v>
      </c>
      <c r="X354">
        <f t="shared" si="38"/>
        <v>0</v>
      </c>
      <c r="Y354">
        <f t="shared" si="39"/>
        <v>0</v>
      </c>
      <c r="Z354" t="str">
        <f t="shared" si="40"/>
        <v>CRAP</v>
      </c>
      <c r="AA354" t="str">
        <f t="shared" si="41"/>
        <v>CRAP</v>
      </c>
    </row>
    <row r="355" spans="1:27" ht="13.5" customHeight="1" thickBot="1" x14ac:dyDescent="0.35">
      <c r="A355">
        <f t="shared" si="42"/>
        <v>0</v>
      </c>
      <c r="B355" s="18"/>
      <c r="C355" s="11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>
        <f t="shared" si="36"/>
        <v>0</v>
      </c>
      <c r="W355">
        <f t="shared" si="37"/>
        <v>0</v>
      </c>
      <c r="X355">
        <f t="shared" si="38"/>
        <v>0</v>
      </c>
      <c r="Y355">
        <f t="shared" si="39"/>
        <v>0</v>
      </c>
      <c r="Z355" t="str">
        <f t="shared" si="40"/>
        <v>CRAP</v>
      </c>
      <c r="AA355" t="str">
        <f t="shared" si="41"/>
        <v>CRAP</v>
      </c>
    </row>
    <row r="356" spans="1:27" ht="13.5" customHeight="1" thickBot="1" x14ac:dyDescent="0.35">
      <c r="A356">
        <f t="shared" si="42"/>
        <v>0</v>
      </c>
      <c r="B356" s="16"/>
      <c r="C356" s="10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>
        <f t="shared" si="36"/>
        <v>0</v>
      </c>
      <c r="W356">
        <f t="shared" si="37"/>
        <v>0</v>
      </c>
      <c r="X356">
        <f t="shared" si="38"/>
        <v>0</v>
      </c>
      <c r="Y356">
        <f t="shared" si="39"/>
        <v>0</v>
      </c>
      <c r="Z356" t="str">
        <f t="shared" si="40"/>
        <v>CRAP</v>
      </c>
      <c r="AA356" t="str">
        <f t="shared" si="41"/>
        <v>CRAP</v>
      </c>
    </row>
    <row r="357" spans="1:27" ht="13.5" customHeight="1" thickBot="1" x14ac:dyDescent="0.35">
      <c r="A357">
        <f t="shared" si="42"/>
        <v>0</v>
      </c>
      <c r="B357" s="18"/>
      <c r="C357" s="11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>
        <f t="shared" si="36"/>
        <v>0</v>
      </c>
      <c r="W357">
        <f t="shared" si="37"/>
        <v>0</v>
      </c>
      <c r="X357">
        <f t="shared" si="38"/>
        <v>0</v>
      </c>
      <c r="Y357">
        <f t="shared" si="39"/>
        <v>0</v>
      </c>
      <c r="Z357" t="str">
        <f t="shared" si="40"/>
        <v>CRAP</v>
      </c>
      <c r="AA357" t="str">
        <f t="shared" si="41"/>
        <v>CRAP</v>
      </c>
    </row>
    <row r="358" spans="1:27" ht="13.5" customHeight="1" thickBot="1" x14ac:dyDescent="0.35">
      <c r="A358">
        <f t="shared" si="42"/>
        <v>0</v>
      </c>
      <c r="B358" s="16"/>
      <c r="C358" s="10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>
        <f t="shared" si="36"/>
        <v>0</v>
      </c>
      <c r="W358">
        <f t="shared" si="37"/>
        <v>0</v>
      </c>
      <c r="X358">
        <f t="shared" si="38"/>
        <v>0</v>
      </c>
      <c r="Y358">
        <f t="shared" si="39"/>
        <v>0</v>
      </c>
      <c r="Z358" t="str">
        <f t="shared" si="40"/>
        <v>CRAP</v>
      </c>
      <c r="AA358" t="str">
        <f t="shared" si="41"/>
        <v>CRAP</v>
      </c>
    </row>
    <row r="359" spans="1:27" ht="13.5" customHeight="1" thickBot="1" x14ac:dyDescent="0.35">
      <c r="A359">
        <f t="shared" si="42"/>
        <v>0</v>
      </c>
      <c r="B359" s="18"/>
      <c r="C359" s="11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>
        <f t="shared" si="36"/>
        <v>0</v>
      </c>
      <c r="W359">
        <f t="shared" si="37"/>
        <v>0</v>
      </c>
      <c r="X359">
        <f t="shared" si="38"/>
        <v>0</v>
      </c>
      <c r="Y359">
        <f t="shared" si="39"/>
        <v>0</v>
      </c>
      <c r="Z359" t="str">
        <f t="shared" si="40"/>
        <v>CRAP</v>
      </c>
      <c r="AA359" t="str">
        <f t="shared" si="41"/>
        <v>CRAP</v>
      </c>
    </row>
    <row r="360" spans="1:27" ht="13.5" customHeight="1" thickBot="1" x14ac:dyDescent="0.35">
      <c r="A360">
        <f t="shared" si="42"/>
        <v>0</v>
      </c>
      <c r="B360" s="16"/>
      <c r="C360" s="10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>
        <f t="shared" si="36"/>
        <v>0</v>
      </c>
      <c r="W360">
        <f t="shared" si="37"/>
        <v>0</v>
      </c>
      <c r="X360">
        <f t="shared" si="38"/>
        <v>0</v>
      </c>
      <c r="Y360">
        <f t="shared" si="39"/>
        <v>0</v>
      </c>
      <c r="Z360" t="str">
        <f t="shared" si="40"/>
        <v>CRAP</v>
      </c>
      <c r="AA360" t="str">
        <f t="shared" si="41"/>
        <v>CRAP</v>
      </c>
    </row>
    <row r="361" spans="1:27" ht="13.5" customHeight="1" thickBot="1" x14ac:dyDescent="0.35">
      <c r="A361">
        <f t="shared" si="42"/>
        <v>0</v>
      </c>
      <c r="B361" s="18"/>
      <c r="C361" s="11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>
        <f t="shared" si="36"/>
        <v>0</v>
      </c>
      <c r="W361">
        <f t="shared" si="37"/>
        <v>0</v>
      </c>
      <c r="X361">
        <f t="shared" si="38"/>
        <v>0</v>
      </c>
      <c r="Y361">
        <f t="shared" si="39"/>
        <v>0</v>
      </c>
      <c r="Z361" t="str">
        <f t="shared" si="40"/>
        <v>CRAP</v>
      </c>
      <c r="AA361" t="str">
        <f t="shared" si="41"/>
        <v>CRAP</v>
      </c>
    </row>
    <row r="362" spans="1:27" ht="13.5" customHeight="1" thickBot="1" x14ac:dyDescent="0.35">
      <c r="A362">
        <f t="shared" si="42"/>
        <v>0</v>
      </c>
      <c r="B362" s="16"/>
      <c r="C362" s="10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>
        <f t="shared" si="36"/>
        <v>0</v>
      </c>
      <c r="W362">
        <f t="shared" si="37"/>
        <v>0</v>
      </c>
      <c r="X362">
        <f t="shared" si="38"/>
        <v>0</v>
      </c>
      <c r="Y362">
        <f t="shared" si="39"/>
        <v>0</v>
      </c>
      <c r="Z362" t="str">
        <f t="shared" si="40"/>
        <v>CRAP</v>
      </c>
      <c r="AA362" t="str">
        <f t="shared" si="41"/>
        <v>CRAP</v>
      </c>
    </row>
    <row r="363" spans="1:27" ht="13.5" customHeight="1" thickBot="1" x14ac:dyDescent="0.35">
      <c r="A363">
        <f t="shared" si="42"/>
        <v>0</v>
      </c>
      <c r="B363" s="18"/>
      <c r="C363" s="11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>
        <f t="shared" si="36"/>
        <v>0</v>
      </c>
      <c r="W363">
        <f t="shared" si="37"/>
        <v>0</v>
      </c>
      <c r="X363">
        <f t="shared" si="38"/>
        <v>0</v>
      </c>
      <c r="Y363">
        <f t="shared" si="39"/>
        <v>0</v>
      </c>
      <c r="Z363" t="str">
        <f t="shared" si="40"/>
        <v>CRAP</v>
      </c>
      <c r="AA363" t="str">
        <f t="shared" si="41"/>
        <v>CRAP</v>
      </c>
    </row>
    <row r="364" spans="1:27" ht="13.5" customHeight="1" thickBot="1" x14ac:dyDescent="0.35">
      <c r="A364">
        <f t="shared" si="42"/>
        <v>0</v>
      </c>
      <c r="B364" s="16"/>
      <c r="C364" s="10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>
        <f t="shared" si="36"/>
        <v>0</v>
      </c>
      <c r="W364">
        <f t="shared" si="37"/>
        <v>0</v>
      </c>
      <c r="X364">
        <f t="shared" si="38"/>
        <v>0</v>
      </c>
      <c r="Y364">
        <f t="shared" si="39"/>
        <v>0</v>
      </c>
      <c r="Z364" t="str">
        <f t="shared" si="40"/>
        <v>CRAP</v>
      </c>
      <c r="AA364" t="str">
        <f t="shared" si="41"/>
        <v>CRAP</v>
      </c>
    </row>
    <row r="365" spans="1:27" ht="13.5" customHeight="1" thickBot="1" x14ac:dyDescent="0.35">
      <c r="A365">
        <f t="shared" si="42"/>
        <v>0</v>
      </c>
      <c r="B365" s="18"/>
      <c r="C365" s="11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>
        <f t="shared" si="36"/>
        <v>0</v>
      </c>
      <c r="W365">
        <f t="shared" si="37"/>
        <v>0</v>
      </c>
      <c r="X365">
        <f t="shared" si="38"/>
        <v>0</v>
      </c>
      <c r="Y365">
        <f t="shared" si="39"/>
        <v>0</v>
      </c>
      <c r="Z365" t="str">
        <f t="shared" si="40"/>
        <v>CRAP</v>
      </c>
      <c r="AA365" t="str">
        <f t="shared" si="41"/>
        <v>CRAP</v>
      </c>
    </row>
    <row r="366" spans="1:27" ht="13.5" customHeight="1" thickBot="1" x14ac:dyDescent="0.35">
      <c r="A366">
        <f t="shared" si="42"/>
        <v>0</v>
      </c>
      <c r="B366" s="16"/>
      <c r="C366" s="10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>
        <f t="shared" si="36"/>
        <v>0</v>
      </c>
      <c r="W366">
        <f t="shared" si="37"/>
        <v>0</v>
      </c>
      <c r="X366">
        <f t="shared" si="38"/>
        <v>0</v>
      </c>
      <c r="Y366">
        <f t="shared" si="39"/>
        <v>0</v>
      </c>
      <c r="Z366" t="str">
        <f t="shared" si="40"/>
        <v>CRAP</v>
      </c>
      <c r="AA366" t="str">
        <f t="shared" si="41"/>
        <v>CRAP</v>
      </c>
    </row>
    <row r="367" spans="1:27" ht="13.5" customHeight="1" thickBot="1" x14ac:dyDescent="0.35">
      <c r="A367">
        <f t="shared" si="42"/>
        <v>0</v>
      </c>
      <c r="B367" s="18"/>
      <c r="C367" s="11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>
        <f t="shared" si="36"/>
        <v>0</v>
      </c>
      <c r="W367">
        <f t="shared" si="37"/>
        <v>0</v>
      </c>
      <c r="X367">
        <f t="shared" si="38"/>
        <v>0</v>
      </c>
      <c r="Y367">
        <f t="shared" si="39"/>
        <v>0</v>
      </c>
      <c r="Z367" t="str">
        <f t="shared" si="40"/>
        <v>CRAP</v>
      </c>
      <c r="AA367" t="str">
        <f t="shared" si="41"/>
        <v>CRAP</v>
      </c>
    </row>
    <row r="368" spans="1:27" ht="13.5" customHeight="1" thickBot="1" x14ac:dyDescent="0.35">
      <c r="A368">
        <f t="shared" si="42"/>
        <v>0</v>
      </c>
      <c r="B368" s="16"/>
      <c r="C368" s="10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>
        <f t="shared" si="36"/>
        <v>0</v>
      </c>
      <c r="W368">
        <f t="shared" si="37"/>
        <v>0</v>
      </c>
      <c r="X368">
        <f t="shared" si="38"/>
        <v>0</v>
      </c>
      <c r="Y368">
        <f t="shared" si="39"/>
        <v>0</v>
      </c>
      <c r="Z368" t="str">
        <f t="shared" si="40"/>
        <v>CRAP</v>
      </c>
      <c r="AA368" t="str">
        <f t="shared" si="41"/>
        <v>CRAP</v>
      </c>
    </row>
    <row r="369" spans="1:27" ht="13.5" customHeight="1" thickBot="1" x14ac:dyDescent="0.35">
      <c r="A369">
        <f t="shared" si="42"/>
        <v>0</v>
      </c>
      <c r="B369" s="18"/>
      <c r="C369" s="11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>
        <f t="shared" si="36"/>
        <v>0</v>
      </c>
      <c r="W369">
        <f t="shared" si="37"/>
        <v>0</v>
      </c>
      <c r="X369">
        <f t="shared" si="38"/>
        <v>0</v>
      </c>
      <c r="Y369">
        <f t="shared" si="39"/>
        <v>0</v>
      </c>
      <c r="Z369" t="str">
        <f t="shared" si="40"/>
        <v>CRAP</v>
      </c>
      <c r="AA369" t="str">
        <f t="shared" si="41"/>
        <v>CRAP</v>
      </c>
    </row>
    <row r="370" spans="1:27" ht="13.5" customHeight="1" thickBot="1" x14ac:dyDescent="0.35">
      <c r="A370">
        <f t="shared" si="42"/>
        <v>0</v>
      </c>
      <c r="B370" s="16"/>
      <c r="C370" s="10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>
        <f t="shared" si="36"/>
        <v>0</v>
      </c>
      <c r="W370">
        <f t="shared" si="37"/>
        <v>0</v>
      </c>
      <c r="X370">
        <f t="shared" si="38"/>
        <v>0</v>
      </c>
      <c r="Y370">
        <f t="shared" si="39"/>
        <v>0</v>
      </c>
      <c r="Z370" t="str">
        <f t="shared" si="40"/>
        <v>CRAP</v>
      </c>
      <c r="AA370" t="str">
        <f t="shared" si="41"/>
        <v>CRAP</v>
      </c>
    </row>
    <row r="371" spans="1:27" ht="13.5" customHeight="1" thickBot="1" x14ac:dyDescent="0.35">
      <c r="A371">
        <f t="shared" si="42"/>
        <v>0</v>
      </c>
      <c r="B371" s="18"/>
      <c r="C371" s="11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>
        <f t="shared" si="36"/>
        <v>0</v>
      </c>
      <c r="W371">
        <f t="shared" si="37"/>
        <v>0</v>
      </c>
      <c r="X371">
        <f t="shared" si="38"/>
        <v>0</v>
      </c>
      <c r="Y371">
        <f t="shared" si="39"/>
        <v>0</v>
      </c>
      <c r="Z371" t="str">
        <f t="shared" si="40"/>
        <v>CRAP</v>
      </c>
      <c r="AA371" t="str">
        <f t="shared" si="41"/>
        <v>CRAP</v>
      </c>
    </row>
    <row r="372" spans="1:27" ht="13.5" customHeight="1" thickBot="1" x14ac:dyDescent="0.35">
      <c r="A372">
        <f t="shared" si="42"/>
        <v>0</v>
      </c>
      <c r="B372" s="16"/>
      <c r="C372" s="10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>
        <f t="shared" si="36"/>
        <v>0</v>
      </c>
      <c r="W372">
        <f t="shared" si="37"/>
        <v>0</v>
      </c>
      <c r="X372">
        <f t="shared" si="38"/>
        <v>0</v>
      </c>
      <c r="Y372">
        <f t="shared" si="39"/>
        <v>0</v>
      </c>
      <c r="Z372" t="str">
        <f t="shared" si="40"/>
        <v>CRAP</v>
      </c>
      <c r="AA372" t="str">
        <f t="shared" si="41"/>
        <v>CRAP</v>
      </c>
    </row>
    <row r="373" spans="1:27" ht="13.5" customHeight="1" thickBot="1" x14ac:dyDescent="0.35">
      <c r="A373">
        <f t="shared" si="42"/>
        <v>0</v>
      </c>
      <c r="B373" s="18"/>
      <c r="C373" s="11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>
        <f t="shared" si="36"/>
        <v>0</v>
      </c>
      <c r="W373">
        <f t="shared" si="37"/>
        <v>0</v>
      </c>
      <c r="X373">
        <f t="shared" si="38"/>
        <v>0</v>
      </c>
      <c r="Y373">
        <f t="shared" si="39"/>
        <v>0</v>
      </c>
      <c r="Z373" t="str">
        <f t="shared" si="40"/>
        <v>CRAP</v>
      </c>
      <c r="AA373" t="str">
        <f t="shared" si="41"/>
        <v>CRAP</v>
      </c>
    </row>
    <row r="374" spans="1:27" ht="13.5" customHeight="1" thickBot="1" x14ac:dyDescent="0.35">
      <c r="A374">
        <f t="shared" si="42"/>
        <v>0</v>
      </c>
      <c r="B374" s="16"/>
      <c r="C374" s="10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>
        <f t="shared" si="36"/>
        <v>0</v>
      </c>
      <c r="W374">
        <f t="shared" si="37"/>
        <v>0</v>
      </c>
      <c r="X374">
        <f t="shared" si="38"/>
        <v>0</v>
      </c>
      <c r="Y374">
        <f t="shared" si="39"/>
        <v>0</v>
      </c>
      <c r="Z374" t="str">
        <f t="shared" si="40"/>
        <v>CRAP</v>
      </c>
      <c r="AA374" t="str">
        <f t="shared" si="41"/>
        <v>CRAP</v>
      </c>
    </row>
    <row r="375" spans="1:27" ht="13.5" customHeight="1" thickBot="1" x14ac:dyDescent="0.35">
      <c r="A375">
        <f t="shared" si="42"/>
        <v>0</v>
      </c>
      <c r="B375" s="18"/>
      <c r="C375" s="11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>
        <f t="shared" si="36"/>
        <v>0</v>
      </c>
      <c r="W375">
        <f t="shared" si="37"/>
        <v>0</v>
      </c>
      <c r="X375">
        <f t="shared" si="38"/>
        <v>0</v>
      </c>
      <c r="Y375">
        <f t="shared" si="39"/>
        <v>0</v>
      </c>
      <c r="Z375" t="str">
        <f t="shared" si="40"/>
        <v>CRAP</v>
      </c>
      <c r="AA375" t="str">
        <f t="shared" si="41"/>
        <v>CRAP</v>
      </c>
    </row>
    <row r="376" spans="1:27" ht="13.5" customHeight="1" thickBot="1" x14ac:dyDescent="0.35">
      <c r="A376">
        <f t="shared" si="42"/>
        <v>0</v>
      </c>
      <c r="B376" s="16"/>
      <c r="C376" s="10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>
        <f t="shared" si="36"/>
        <v>0</v>
      </c>
      <c r="W376">
        <f t="shared" si="37"/>
        <v>0</v>
      </c>
      <c r="X376">
        <f t="shared" si="38"/>
        <v>0</v>
      </c>
      <c r="Y376">
        <f t="shared" si="39"/>
        <v>0</v>
      </c>
      <c r="Z376" t="str">
        <f t="shared" si="40"/>
        <v>CRAP</v>
      </c>
      <c r="AA376" t="str">
        <f t="shared" si="41"/>
        <v>CRAP</v>
      </c>
    </row>
    <row r="377" spans="1:27" ht="13.5" customHeight="1" thickBot="1" x14ac:dyDescent="0.35">
      <c r="A377">
        <f t="shared" si="42"/>
        <v>0</v>
      </c>
      <c r="B377" s="18"/>
      <c r="C377" s="11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>
        <f t="shared" si="36"/>
        <v>0</v>
      </c>
      <c r="W377">
        <f t="shared" si="37"/>
        <v>0</v>
      </c>
      <c r="X377">
        <f t="shared" si="38"/>
        <v>0</v>
      </c>
      <c r="Y377">
        <f t="shared" si="39"/>
        <v>0</v>
      </c>
      <c r="Z377" t="str">
        <f t="shared" si="40"/>
        <v>CRAP</v>
      </c>
      <c r="AA377" t="str">
        <f t="shared" si="41"/>
        <v>CRAP</v>
      </c>
    </row>
    <row r="378" spans="1:27" ht="13.5" customHeight="1" thickBot="1" x14ac:dyDescent="0.35">
      <c r="A378">
        <f t="shared" si="42"/>
        <v>0</v>
      </c>
      <c r="B378" s="16"/>
      <c r="C378" s="10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>
        <f t="shared" si="36"/>
        <v>0</v>
      </c>
      <c r="W378">
        <f t="shared" si="37"/>
        <v>0</v>
      </c>
      <c r="X378">
        <f t="shared" si="38"/>
        <v>0</v>
      </c>
      <c r="Y378">
        <f t="shared" si="39"/>
        <v>0</v>
      </c>
      <c r="Z378" t="str">
        <f t="shared" si="40"/>
        <v>CRAP</v>
      </c>
      <c r="AA378" t="str">
        <f t="shared" si="41"/>
        <v>CRAP</v>
      </c>
    </row>
    <row r="379" spans="1:27" ht="13.5" customHeight="1" thickBot="1" x14ac:dyDescent="0.35">
      <c r="A379">
        <f t="shared" si="42"/>
        <v>0</v>
      </c>
      <c r="B379" s="18"/>
      <c r="C379" s="11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>
        <f t="shared" si="36"/>
        <v>0</v>
      </c>
      <c r="W379">
        <f t="shared" si="37"/>
        <v>0</v>
      </c>
      <c r="X379">
        <f t="shared" si="38"/>
        <v>0</v>
      </c>
      <c r="Y379">
        <f t="shared" si="39"/>
        <v>0</v>
      </c>
      <c r="Z379" t="str">
        <f t="shared" si="40"/>
        <v>CRAP</v>
      </c>
      <c r="AA379" t="str">
        <f t="shared" si="41"/>
        <v>CRAP</v>
      </c>
    </row>
    <row r="380" spans="1:27" ht="13.5" customHeight="1" thickBot="1" x14ac:dyDescent="0.35">
      <c r="A380">
        <f t="shared" si="42"/>
        <v>0</v>
      </c>
      <c r="B380" s="16"/>
      <c r="C380" s="10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>
        <f t="shared" si="36"/>
        <v>0</v>
      </c>
      <c r="W380">
        <f t="shared" si="37"/>
        <v>0</v>
      </c>
      <c r="X380">
        <f t="shared" si="38"/>
        <v>0</v>
      </c>
      <c r="Y380">
        <f t="shared" si="39"/>
        <v>0</v>
      </c>
      <c r="Z380" t="str">
        <f t="shared" si="40"/>
        <v>CRAP</v>
      </c>
      <c r="AA380" t="str">
        <f t="shared" si="41"/>
        <v>CRAP</v>
      </c>
    </row>
    <row r="381" spans="1:27" ht="13.5" customHeight="1" thickBot="1" x14ac:dyDescent="0.35">
      <c r="A381">
        <f t="shared" si="42"/>
        <v>0</v>
      </c>
      <c r="B381" s="18"/>
      <c r="C381" s="11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>
        <f t="shared" si="36"/>
        <v>0</v>
      </c>
      <c r="W381">
        <f t="shared" si="37"/>
        <v>0</v>
      </c>
      <c r="X381">
        <f t="shared" si="38"/>
        <v>0</v>
      </c>
      <c r="Y381">
        <f t="shared" si="39"/>
        <v>0</v>
      </c>
      <c r="Z381" t="str">
        <f t="shared" si="40"/>
        <v>CRAP</v>
      </c>
      <c r="AA381" t="str">
        <f t="shared" si="41"/>
        <v>CRAP</v>
      </c>
    </row>
    <row r="382" spans="1:27" ht="13.5" customHeight="1" thickBot="1" x14ac:dyDescent="0.35">
      <c r="A382">
        <f t="shared" si="42"/>
        <v>0</v>
      </c>
      <c r="B382" s="16"/>
      <c r="C382" s="10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>
        <f t="shared" si="36"/>
        <v>0</v>
      </c>
      <c r="W382">
        <f t="shared" si="37"/>
        <v>0</v>
      </c>
      <c r="X382">
        <f t="shared" si="38"/>
        <v>0</v>
      </c>
      <c r="Y382">
        <f t="shared" si="39"/>
        <v>0</v>
      </c>
      <c r="Z382" t="str">
        <f t="shared" si="40"/>
        <v>CRAP</v>
      </c>
      <c r="AA382" t="str">
        <f t="shared" si="41"/>
        <v>CRAP</v>
      </c>
    </row>
    <row r="383" spans="1:27" ht="13.5" customHeight="1" thickBot="1" x14ac:dyDescent="0.35">
      <c r="A383">
        <f t="shared" si="42"/>
        <v>0</v>
      </c>
      <c r="B383" s="18"/>
      <c r="C383" s="11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>
        <f t="shared" si="36"/>
        <v>0</v>
      </c>
      <c r="W383">
        <f t="shared" si="37"/>
        <v>0</v>
      </c>
      <c r="X383">
        <f t="shared" si="38"/>
        <v>0</v>
      </c>
      <c r="Y383">
        <f t="shared" si="39"/>
        <v>0</v>
      </c>
      <c r="Z383" t="str">
        <f t="shared" si="40"/>
        <v>CRAP</v>
      </c>
      <c r="AA383" t="str">
        <f t="shared" si="41"/>
        <v>CRAP</v>
      </c>
    </row>
    <row r="384" spans="1:27" ht="13.5" customHeight="1" thickBot="1" x14ac:dyDescent="0.35">
      <c r="A384">
        <f t="shared" si="42"/>
        <v>0</v>
      </c>
      <c r="B384" s="16"/>
      <c r="C384" s="10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>
        <f t="shared" si="36"/>
        <v>0</v>
      </c>
      <c r="W384">
        <f t="shared" si="37"/>
        <v>0</v>
      </c>
      <c r="X384">
        <f t="shared" si="38"/>
        <v>0</v>
      </c>
      <c r="Y384">
        <f t="shared" si="39"/>
        <v>0</v>
      </c>
      <c r="Z384" t="str">
        <f t="shared" si="40"/>
        <v>CRAP</v>
      </c>
      <c r="AA384" t="str">
        <f t="shared" si="41"/>
        <v>CRAP</v>
      </c>
    </row>
    <row r="385" spans="1:27" ht="13.5" customHeight="1" thickBot="1" x14ac:dyDescent="0.35">
      <c r="A385">
        <f t="shared" si="42"/>
        <v>0</v>
      </c>
      <c r="B385" s="18"/>
      <c r="C385" s="11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>
        <f t="shared" si="36"/>
        <v>0</v>
      </c>
      <c r="W385">
        <f t="shared" si="37"/>
        <v>0</v>
      </c>
      <c r="X385">
        <f t="shared" si="38"/>
        <v>0</v>
      </c>
      <c r="Y385">
        <f t="shared" si="39"/>
        <v>0</v>
      </c>
      <c r="Z385" t="str">
        <f t="shared" si="40"/>
        <v>CRAP</v>
      </c>
      <c r="AA385" t="str">
        <f t="shared" si="41"/>
        <v>CRAP</v>
      </c>
    </row>
    <row r="386" spans="1:27" ht="13.5" customHeight="1" thickBot="1" x14ac:dyDescent="0.35">
      <c r="A386">
        <f t="shared" si="42"/>
        <v>0</v>
      </c>
      <c r="B386" s="16"/>
      <c r="C386" s="10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>
        <f t="shared" si="36"/>
        <v>0</v>
      </c>
      <c r="W386">
        <f t="shared" si="37"/>
        <v>0</v>
      </c>
      <c r="X386">
        <f t="shared" si="38"/>
        <v>0</v>
      </c>
      <c r="Y386">
        <f t="shared" si="39"/>
        <v>0</v>
      </c>
      <c r="Z386" t="str">
        <f t="shared" si="40"/>
        <v>CRAP</v>
      </c>
      <c r="AA386" t="str">
        <f t="shared" si="41"/>
        <v>CRAP</v>
      </c>
    </row>
    <row r="387" spans="1:27" ht="13.5" customHeight="1" thickBot="1" x14ac:dyDescent="0.35">
      <c r="A387">
        <f t="shared" si="42"/>
        <v>0</v>
      </c>
      <c r="B387" s="18"/>
      <c r="C387" s="11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>
        <f t="shared" si="36"/>
        <v>0</v>
      </c>
      <c r="W387">
        <f t="shared" si="37"/>
        <v>0</v>
      </c>
      <c r="X387">
        <f t="shared" si="38"/>
        <v>0</v>
      </c>
      <c r="Y387">
        <f t="shared" si="39"/>
        <v>0</v>
      </c>
      <c r="Z387" t="str">
        <f t="shared" si="40"/>
        <v>CRAP</v>
      </c>
      <c r="AA387" t="str">
        <f t="shared" si="41"/>
        <v>CRAP</v>
      </c>
    </row>
    <row r="388" spans="1:27" ht="13.5" customHeight="1" thickBot="1" x14ac:dyDescent="0.35">
      <c r="A388">
        <f t="shared" si="42"/>
        <v>0</v>
      </c>
      <c r="B388" s="16"/>
      <c r="C388" s="10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>
        <f t="shared" si="36"/>
        <v>0</v>
      </c>
      <c r="W388">
        <f t="shared" si="37"/>
        <v>0</v>
      </c>
      <c r="X388">
        <f t="shared" si="38"/>
        <v>0</v>
      </c>
      <c r="Y388">
        <f t="shared" si="39"/>
        <v>0</v>
      </c>
      <c r="Z388" t="str">
        <f t="shared" si="40"/>
        <v>CRAP</v>
      </c>
      <c r="AA388" t="str">
        <f t="shared" si="41"/>
        <v>CRAP</v>
      </c>
    </row>
    <row r="389" spans="1:27" ht="13.5" customHeight="1" thickBot="1" x14ac:dyDescent="0.35">
      <c r="A389">
        <f t="shared" si="42"/>
        <v>0</v>
      </c>
      <c r="B389" s="18"/>
      <c r="C389" s="11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>
        <f t="shared" si="36"/>
        <v>0</v>
      </c>
      <c r="W389">
        <f t="shared" si="37"/>
        <v>0</v>
      </c>
      <c r="X389">
        <f t="shared" si="38"/>
        <v>0</v>
      </c>
      <c r="Y389">
        <f t="shared" si="39"/>
        <v>0</v>
      </c>
      <c r="Z389" t="str">
        <f t="shared" si="40"/>
        <v>CRAP</v>
      </c>
      <c r="AA389" t="str">
        <f t="shared" si="41"/>
        <v>CRAP</v>
      </c>
    </row>
    <row r="390" spans="1:27" ht="13.5" customHeight="1" thickBot="1" x14ac:dyDescent="0.35">
      <c r="A390">
        <f t="shared" si="42"/>
        <v>0</v>
      </c>
      <c r="B390" s="16"/>
      <c r="C390" s="10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>
        <f t="shared" ref="V390:V453" si="43">K$1*(0.000001*K390^3)+L$1*((-0.000002)*L390^3+0.00032*L390^2+(-0.0021)*L390)+M$1*((-0.000002)*M390^3+0.00032*M390^2+(-0.0021)*M390)+N$1*((-0.000002)*N390^3+0.00032*N390^2+(-0.0021)*N390)+O$1*((-0.000002)*O390^3+0.00032*O390^2+(-0.0021)*O390)</f>
        <v>0</v>
      </c>
      <c r="W390">
        <f t="shared" ref="W390:W453" si="44">P$1*((-0.000002)*P390^3+0.00032*P390^2+(-0.0021)*P390)+Q$1*((-0.000002)*Q390^3+0.00032*Q390^2+(-0.0021)*Q390)+R$1*((-0.000002)*R390^3+0.00032*R390^2+(-0.0021)*R390)+S$1*((-0.000002)*S390^3+0.00032*S390^2+(-0.0021)*S390)+T$1*((-0.000002)*T390^3+0.00032*T390^2+(-0.0021)*T390)</f>
        <v>0</v>
      </c>
      <c r="X390">
        <f t="shared" ref="X390:X453" si="45">(I$1*((-0.000002)*I390^3+0.00032*I390^2+(-0.0021)*I390)+J$1*((-0.000002)*J390^3+0.00032*J390^2+(-0.0021)*J390)+H$1*((-0.000002)*H390^3+0.00032*H390^2+(-0.0021)*H390))*(MAX(0.05,MIN(1,(2*J390+I390)/120)*MIN(1,I390/10)*MIN(1,J390/10)))</f>
        <v>0</v>
      </c>
      <c r="Y390">
        <f t="shared" ref="Y390:Y453" si="46">(I$1*((-0.000002)*I390^3+0.00032*I390^2+(-0.0021)*I390)+J$1*((-0.000002)*J390^3+0.00032*J390^2+(-0.0021)*J390)+H$1*((-0.000002)*H390^3+0.00032*H390^2+(-0.0021)*H390))*(MAX(0.05,MIN(1,(2*J390+I390)/120)*MIN(1,I390/10)*MIN(1,J390/10)))</f>
        <v>0</v>
      </c>
      <c r="Z390" t="str">
        <f t="shared" ref="Z390:Z453" si="47">IF(AND(J390&gt;50,I390+J390&gt;75),"SP",IF(2*I390+J390&gt;120,"RP","CRAP"))</f>
        <v>CRAP</v>
      </c>
      <c r="AA390" t="str">
        <f t="shared" ref="AA390:AA453" si="48">IF(AND(J390&gt;50,I390+J390&gt;75),"SP",IF(2*I390+J390&gt;120,"RP","CRAP"))</f>
        <v>CRAP</v>
      </c>
    </row>
    <row r="391" spans="1:27" ht="13.5" customHeight="1" thickBot="1" x14ac:dyDescent="0.35">
      <c r="A391">
        <f t="shared" si="42"/>
        <v>0</v>
      </c>
      <c r="B391" s="18"/>
      <c r="C391" s="11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>
        <f t="shared" si="43"/>
        <v>0</v>
      </c>
      <c r="W391">
        <f t="shared" si="44"/>
        <v>0</v>
      </c>
      <c r="X391">
        <f t="shared" si="45"/>
        <v>0</v>
      </c>
      <c r="Y391">
        <f t="shared" si="46"/>
        <v>0</v>
      </c>
      <c r="Z391" t="str">
        <f t="shared" si="47"/>
        <v>CRAP</v>
      </c>
      <c r="AA391" t="str">
        <f t="shared" si="48"/>
        <v>CRAP</v>
      </c>
    </row>
    <row r="392" spans="1:27" ht="13.5" customHeight="1" thickBot="1" x14ac:dyDescent="0.35">
      <c r="A392">
        <f t="shared" si="42"/>
        <v>0</v>
      </c>
      <c r="B392" s="16"/>
      <c r="C392" s="10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>
        <f t="shared" si="43"/>
        <v>0</v>
      </c>
      <c r="W392">
        <f t="shared" si="44"/>
        <v>0</v>
      </c>
      <c r="X392">
        <f t="shared" si="45"/>
        <v>0</v>
      </c>
      <c r="Y392">
        <f t="shared" si="46"/>
        <v>0</v>
      </c>
      <c r="Z392" t="str">
        <f t="shared" si="47"/>
        <v>CRAP</v>
      </c>
      <c r="AA392" t="str">
        <f t="shared" si="48"/>
        <v>CRAP</v>
      </c>
    </row>
    <row r="393" spans="1:27" ht="13.5" customHeight="1" thickBot="1" x14ac:dyDescent="0.35">
      <c r="A393">
        <f t="shared" si="42"/>
        <v>0</v>
      </c>
      <c r="B393" s="18"/>
      <c r="C393" s="11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>
        <f t="shared" si="43"/>
        <v>0</v>
      </c>
      <c r="W393">
        <f t="shared" si="44"/>
        <v>0</v>
      </c>
      <c r="X393">
        <f t="shared" si="45"/>
        <v>0</v>
      </c>
      <c r="Y393">
        <f t="shared" si="46"/>
        <v>0</v>
      </c>
      <c r="Z393" t="str">
        <f t="shared" si="47"/>
        <v>CRAP</v>
      </c>
      <c r="AA393" t="str">
        <f t="shared" si="48"/>
        <v>CRAP</v>
      </c>
    </row>
    <row r="394" spans="1:27" ht="13.5" customHeight="1" thickBot="1" x14ac:dyDescent="0.35">
      <c r="A394">
        <f t="shared" si="42"/>
        <v>0</v>
      </c>
      <c r="B394" s="16"/>
      <c r="C394" s="10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>
        <f t="shared" si="43"/>
        <v>0</v>
      </c>
      <c r="W394">
        <f t="shared" si="44"/>
        <v>0</v>
      </c>
      <c r="X394">
        <f t="shared" si="45"/>
        <v>0</v>
      </c>
      <c r="Y394">
        <f t="shared" si="46"/>
        <v>0</v>
      </c>
      <c r="Z394" t="str">
        <f t="shared" si="47"/>
        <v>CRAP</v>
      </c>
      <c r="AA394" t="str">
        <f t="shared" si="48"/>
        <v>CRAP</v>
      </c>
    </row>
    <row r="395" spans="1:27" ht="13.5" customHeight="1" thickBot="1" x14ac:dyDescent="0.35">
      <c r="A395">
        <f t="shared" si="42"/>
        <v>0</v>
      </c>
      <c r="B395" s="18"/>
      <c r="C395" s="11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>
        <f t="shared" si="43"/>
        <v>0</v>
      </c>
      <c r="W395">
        <f t="shared" si="44"/>
        <v>0</v>
      </c>
      <c r="X395">
        <f t="shared" si="45"/>
        <v>0</v>
      </c>
      <c r="Y395">
        <f t="shared" si="46"/>
        <v>0</v>
      </c>
      <c r="Z395" t="str">
        <f t="shared" si="47"/>
        <v>CRAP</v>
      </c>
      <c r="AA395" t="str">
        <f t="shared" si="48"/>
        <v>CRAP</v>
      </c>
    </row>
    <row r="396" spans="1:27" ht="13.5" customHeight="1" thickBot="1" x14ac:dyDescent="0.35">
      <c r="A396">
        <f t="shared" si="42"/>
        <v>0</v>
      </c>
      <c r="B396" s="16"/>
      <c r="C396" s="10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>
        <f t="shared" si="43"/>
        <v>0</v>
      </c>
      <c r="W396">
        <f t="shared" si="44"/>
        <v>0</v>
      </c>
      <c r="X396">
        <f t="shared" si="45"/>
        <v>0</v>
      </c>
      <c r="Y396">
        <f t="shared" si="46"/>
        <v>0</v>
      </c>
      <c r="Z396" t="str">
        <f t="shared" si="47"/>
        <v>CRAP</v>
      </c>
      <c r="AA396" t="str">
        <f t="shared" si="48"/>
        <v>CRAP</v>
      </c>
    </row>
    <row r="397" spans="1:27" ht="13.5" customHeight="1" thickBot="1" x14ac:dyDescent="0.35">
      <c r="A397">
        <f t="shared" si="42"/>
        <v>0</v>
      </c>
      <c r="B397" s="18"/>
      <c r="C397" s="11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>
        <f t="shared" si="43"/>
        <v>0</v>
      </c>
      <c r="W397">
        <f t="shared" si="44"/>
        <v>0</v>
      </c>
      <c r="X397">
        <f t="shared" si="45"/>
        <v>0</v>
      </c>
      <c r="Y397">
        <f t="shared" si="46"/>
        <v>0</v>
      </c>
      <c r="Z397" t="str">
        <f t="shared" si="47"/>
        <v>CRAP</v>
      </c>
      <c r="AA397" t="str">
        <f t="shared" si="48"/>
        <v>CRAP</v>
      </c>
    </row>
    <row r="398" spans="1:27" ht="13.5" customHeight="1" thickBot="1" x14ac:dyDescent="0.35">
      <c r="A398">
        <f t="shared" si="42"/>
        <v>0</v>
      </c>
      <c r="B398" s="16"/>
      <c r="C398" s="10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>
        <f t="shared" si="43"/>
        <v>0</v>
      </c>
      <c r="W398">
        <f t="shared" si="44"/>
        <v>0</v>
      </c>
      <c r="X398">
        <f t="shared" si="45"/>
        <v>0</v>
      </c>
      <c r="Y398">
        <f t="shared" si="46"/>
        <v>0</v>
      </c>
      <c r="Z398" t="str">
        <f t="shared" si="47"/>
        <v>CRAP</v>
      </c>
      <c r="AA398" t="str">
        <f t="shared" si="48"/>
        <v>CRAP</v>
      </c>
    </row>
    <row r="399" spans="1:27" ht="13.5" customHeight="1" thickBot="1" x14ac:dyDescent="0.35">
      <c r="A399">
        <f t="shared" ref="A399:A462" si="49">(V399*V$2+W399*W$2+X399*X$2)*100/(V$4*V$2+W$4*W$2+X$4*X$2)</f>
        <v>0</v>
      </c>
      <c r="B399" s="18"/>
      <c r="C399" s="11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>
        <f t="shared" si="43"/>
        <v>0</v>
      </c>
      <c r="W399">
        <f t="shared" si="44"/>
        <v>0</v>
      </c>
      <c r="X399">
        <f t="shared" si="45"/>
        <v>0</v>
      </c>
      <c r="Y399">
        <f t="shared" si="46"/>
        <v>0</v>
      </c>
      <c r="Z399" t="str">
        <f t="shared" si="47"/>
        <v>CRAP</v>
      </c>
      <c r="AA399" t="str">
        <f t="shared" si="48"/>
        <v>CRAP</v>
      </c>
    </row>
    <row r="400" spans="1:27" ht="13.5" customHeight="1" thickBot="1" x14ac:dyDescent="0.35">
      <c r="A400">
        <f t="shared" si="49"/>
        <v>0</v>
      </c>
      <c r="B400" s="16"/>
      <c r="C400" s="10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>
        <f t="shared" si="43"/>
        <v>0</v>
      </c>
      <c r="W400">
        <f t="shared" si="44"/>
        <v>0</v>
      </c>
      <c r="X400">
        <f t="shared" si="45"/>
        <v>0</v>
      </c>
      <c r="Y400">
        <f t="shared" si="46"/>
        <v>0</v>
      </c>
      <c r="Z400" t="str">
        <f t="shared" si="47"/>
        <v>CRAP</v>
      </c>
      <c r="AA400" t="str">
        <f t="shared" si="48"/>
        <v>CRAP</v>
      </c>
    </row>
    <row r="401" spans="1:27" ht="13.5" customHeight="1" thickBot="1" x14ac:dyDescent="0.35">
      <c r="A401">
        <f t="shared" si="49"/>
        <v>0</v>
      </c>
      <c r="B401" s="18"/>
      <c r="C401" s="11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>
        <f t="shared" si="43"/>
        <v>0</v>
      </c>
      <c r="W401">
        <f t="shared" si="44"/>
        <v>0</v>
      </c>
      <c r="X401">
        <f t="shared" si="45"/>
        <v>0</v>
      </c>
      <c r="Y401">
        <f t="shared" si="46"/>
        <v>0</v>
      </c>
      <c r="Z401" t="str">
        <f t="shared" si="47"/>
        <v>CRAP</v>
      </c>
      <c r="AA401" t="str">
        <f t="shared" si="48"/>
        <v>CRAP</v>
      </c>
    </row>
    <row r="402" spans="1:27" ht="13.5" customHeight="1" thickBot="1" x14ac:dyDescent="0.35">
      <c r="A402">
        <f t="shared" si="49"/>
        <v>0</v>
      </c>
      <c r="B402" s="16"/>
      <c r="C402" s="10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>
        <f t="shared" si="43"/>
        <v>0</v>
      </c>
      <c r="W402">
        <f t="shared" si="44"/>
        <v>0</v>
      </c>
      <c r="X402">
        <f t="shared" si="45"/>
        <v>0</v>
      </c>
      <c r="Y402">
        <f t="shared" si="46"/>
        <v>0</v>
      </c>
      <c r="Z402" t="str">
        <f t="shared" si="47"/>
        <v>CRAP</v>
      </c>
      <c r="AA402" t="str">
        <f t="shared" si="48"/>
        <v>CRAP</v>
      </c>
    </row>
    <row r="403" spans="1:27" ht="13.5" customHeight="1" thickBot="1" x14ac:dyDescent="0.35">
      <c r="A403">
        <f t="shared" si="49"/>
        <v>0</v>
      </c>
      <c r="B403" s="18"/>
      <c r="C403" s="11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>
        <f t="shared" si="43"/>
        <v>0</v>
      </c>
      <c r="W403">
        <f t="shared" si="44"/>
        <v>0</v>
      </c>
      <c r="X403">
        <f t="shared" si="45"/>
        <v>0</v>
      </c>
      <c r="Y403">
        <f t="shared" si="46"/>
        <v>0</v>
      </c>
      <c r="Z403" t="str">
        <f t="shared" si="47"/>
        <v>CRAP</v>
      </c>
      <c r="AA403" t="str">
        <f t="shared" si="48"/>
        <v>CRAP</v>
      </c>
    </row>
    <row r="404" spans="1:27" ht="13.5" customHeight="1" thickBot="1" x14ac:dyDescent="0.35">
      <c r="A404">
        <f t="shared" si="49"/>
        <v>0</v>
      </c>
      <c r="B404" s="16"/>
      <c r="C404" s="10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>
        <f t="shared" si="43"/>
        <v>0</v>
      </c>
      <c r="W404">
        <f t="shared" si="44"/>
        <v>0</v>
      </c>
      <c r="X404">
        <f t="shared" si="45"/>
        <v>0</v>
      </c>
      <c r="Y404">
        <f t="shared" si="46"/>
        <v>0</v>
      </c>
      <c r="Z404" t="str">
        <f t="shared" si="47"/>
        <v>CRAP</v>
      </c>
      <c r="AA404" t="str">
        <f t="shared" si="48"/>
        <v>CRAP</v>
      </c>
    </row>
    <row r="405" spans="1:27" ht="13.5" customHeight="1" thickBot="1" x14ac:dyDescent="0.35">
      <c r="A405">
        <f t="shared" si="49"/>
        <v>0</v>
      </c>
      <c r="B405" s="18"/>
      <c r="C405" s="11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>
        <f t="shared" si="43"/>
        <v>0</v>
      </c>
      <c r="W405">
        <f t="shared" si="44"/>
        <v>0</v>
      </c>
      <c r="X405">
        <f t="shared" si="45"/>
        <v>0</v>
      </c>
      <c r="Y405">
        <f t="shared" si="46"/>
        <v>0</v>
      </c>
      <c r="Z405" t="str">
        <f t="shared" si="47"/>
        <v>CRAP</v>
      </c>
      <c r="AA405" t="str">
        <f t="shared" si="48"/>
        <v>CRAP</v>
      </c>
    </row>
    <row r="406" spans="1:27" ht="13.5" customHeight="1" thickBot="1" x14ac:dyDescent="0.35">
      <c r="A406">
        <f t="shared" si="49"/>
        <v>0</v>
      </c>
      <c r="B406" s="16"/>
      <c r="C406" s="10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>
        <f t="shared" si="43"/>
        <v>0</v>
      </c>
      <c r="W406">
        <f t="shared" si="44"/>
        <v>0</v>
      </c>
      <c r="X406">
        <f t="shared" si="45"/>
        <v>0</v>
      </c>
      <c r="Y406">
        <f t="shared" si="46"/>
        <v>0</v>
      </c>
      <c r="Z406" t="str">
        <f t="shared" si="47"/>
        <v>CRAP</v>
      </c>
      <c r="AA406" t="str">
        <f t="shared" si="48"/>
        <v>CRAP</v>
      </c>
    </row>
    <row r="407" spans="1:27" ht="13.5" customHeight="1" thickBot="1" x14ac:dyDescent="0.35">
      <c r="A407">
        <f t="shared" si="49"/>
        <v>0</v>
      </c>
      <c r="B407" s="18"/>
      <c r="C407" s="11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>
        <f t="shared" si="43"/>
        <v>0</v>
      </c>
      <c r="W407">
        <f t="shared" si="44"/>
        <v>0</v>
      </c>
      <c r="X407">
        <f t="shared" si="45"/>
        <v>0</v>
      </c>
      <c r="Y407">
        <f t="shared" si="46"/>
        <v>0</v>
      </c>
      <c r="Z407" t="str">
        <f t="shared" si="47"/>
        <v>CRAP</v>
      </c>
      <c r="AA407" t="str">
        <f t="shared" si="48"/>
        <v>CRAP</v>
      </c>
    </row>
    <row r="408" spans="1:27" ht="13.5" customHeight="1" thickBot="1" x14ac:dyDescent="0.35">
      <c r="A408">
        <f t="shared" si="49"/>
        <v>0</v>
      </c>
      <c r="B408" s="16"/>
      <c r="C408" s="10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>
        <f t="shared" si="43"/>
        <v>0</v>
      </c>
      <c r="W408">
        <f t="shared" si="44"/>
        <v>0</v>
      </c>
      <c r="X408">
        <f t="shared" si="45"/>
        <v>0</v>
      </c>
      <c r="Y408">
        <f t="shared" si="46"/>
        <v>0</v>
      </c>
      <c r="Z408" t="str">
        <f t="shared" si="47"/>
        <v>CRAP</v>
      </c>
      <c r="AA408" t="str">
        <f t="shared" si="48"/>
        <v>CRAP</v>
      </c>
    </row>
    <row r="409" spans="1:27" ht="13.5" customHeight="1" thickBot="1" x14ac:dyDescent="0.35">
      <c r="A409">
        <f t="shared" si="49"/>
        <v>0</v>
      </c>
      <c r="B409" s="18"/>
      <c r="C409" s="11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>
        <f t="shared" si="43"/>
        <v>0</v>
      </c>
      <c r="W409">
        <f t="shared" si="44"/>
        <v>0</v>
      </c>
      <c r="X409">
        <f t="shared" si="45"/>
        <v>0</v>
      </c>
      <c r="Y409">
        <f t="shared" si="46"/>
        <v>0</v>
      </c>
      <c r="Z409" t="str">
        <f t="shared" si="47"/>
        <v>CRAP</v>
      </c>
      <c r="AA409" t="str">
        <f t="shared" si="48"/>
        <v>CRAP</v>
      </c>
    </row>
    <row r="410" spans="1:27" ht="13.5" customHeight="1" thickBot="1" x14ac:dyDescent="0.35">
      <c r="A410">
        <f t="shared" si="49"/>
        <v>0</v>
      </c>
      <c r="B410" s="16"/>
      <c r="C410" s="10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>
        <f t="shared" si="43"/>
        <v>0</v>
      </c>
      <c r="W410">
        <f t="shared" si="44"/>
        <v>0</v>
      </c>
      <c r="X410">
        <f t="shared" si="45"/>
        <v>0</v>
      </c>
      <c r="Y410">
        <f t="shared" si="46"/>
        <v>0</v>
      </c>
      <c r="Z410" t="str">
        <f t="shared" si="47"/>
        <v>CRAP</v>
      </c>
      <c r="AA410" t="str">
        <f t="shared" si="48"/>
        <v>CRAP</v>
      </c>
    </row>
    <row r="411" spans="1:27" ht="13.5" customHeight="1" thickBot="1" x14ac:dyDescent="0.35">
      <c r="A411">
        <f t="shared" si="49"/>
        <v>0</v>
      </c>
      <c r="B411" s="18"/>
      <c r="C411" s="11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>
        <f t="shared" si="43"/>
        <v>0</v>
      </c>
      <c r="W411">
        <f t="shared" si="44"/>
        <v>0</v>
      </c>
      <c r="X411">
        <f t="shared" si="45"/>
        <v>0</v>
      </c>
      <c r="Y411">
        <f t="shared" si="46"/>
        <v>0</v>
      </c>
      <c r="Z411" t="str">
        <f t="shared" si="47"/>
        <v>CRAP</v>
      </c>
      <c r="AA411" t="str">
        <f t="shared" si="48"/>
        <v>CRAP</v>
      </c>
    </row>
    <row r="412" spans="1:27" ht="13.5" customHeight="1" thickBot="1" x14ac:dyDescent="0.35">
      <c r="A412">
        <f t="shared" si="49"/>
        <v>0</v>
      </c>
      <c r="B412" s="16"/>
      <c r="C412" s="10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>
        <f t="shared" si="43"/>
        <v>0</v>
      </c>
      <c r="W412">
        <f t="shared" si="44"/>
        <v>0</v>
      </c>
      <c r="X412">
        <f t="shared" si="45"/>
        <v>0</v>
      </c>
      <c r="Y412">
        <f t="shared" si="46"/>
        <v>0</v>
      </c>
      <c r="Z412" t="str">
        <f t="shared" si="47"/>
        <v>CRAP</v>
      </c>
      <c r="AA412" t="str">
        <f t="shared" si="48"/>
        <v>CRAP</v>
      </c>
    </row>
    <row r="413" spans="1:27" ht="13.5" customHeight="1" thickBot="1" x14ac:dyDescent="0.35">
      <c r="A413">
        <f t="shared" si="49"/>
        <v>0</v>
      </c>
      <c r="B413" s="18"/>
      <c r="C413" s="11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>
        <f t="shared" si="43"/>
        <v>0</v>
      </c>
      <c r="W413">
        <f t="shared" si="44"/>
        <v>0</v>
      </c>
      <c r="X413">
        <f t="shared" si="45"/>
        <v>0</v>
      </c>
      <c r="Y413">
        <f t="shared" si="46"/>
        <v>0</v>
      </c>
      <c r="Z413" t="str">
        <f t="shared" si="47"/>
        <v>CRAP</v>
      </c>
      <c r="AA413" t="str">
        <f t="shared" si="48"/>
        <v>CRAP</v>
      </c>
    </row>
    <row r="414" spans="1:27" ht="13.5" customHeight="1" thickBot="1" x14ac:dyDescent="0.35">
      <c r="A414">
        <f t="shared" si="49"/>
        <v>0</v>
      </c>
      <c r="B414" s="16"/>
      <c r="C414" s="10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>
        <f t="shared" si="43"/>
        <v>0</v>
      </c>
      <c r="W414">
        <f t="shared" si="44"/>
        <v>0</v>
      </c>
      <c r="X414">
        <f t="shared" si="45"/>
        <v>0</v>
      </c>
      <c r="Y414">
        <f t="shared" si="46"/>
        <v>0</v>
      </c>
      <c r="Z414" t="str">
        <f t="shared" si="47"/>
        <v>CRAP</v>
      </c>
      <c r="AA414" t="str">
        <f t="shared" si="48"/>
        <v>CRAP</v>
      </c>
    </row>
    <row r="415" spans="1:27" ht="13.5" customHeight="1" thickBot="1" x14ac:dyDescent="0.35">
      <c r="A415">
        <f t="shared" si="49"/>
        <v>0</v>
      </c>
      <c r="B415" s="18"/>
      <c r="C415" s="11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>
        <f t="shared" si="43"/>
        <v>0</v>
      </c>
      <c r="W415">
        <f t="shared" si="44"/>
        <v>0</v>
      </c>
      <c r="X415">
        <f t="shared" si="45"/>
        <v>0</v>
      </c>
      <c r="Y415">
        <f t="shared" si="46"/>
        <v>0</v>
      </c>
      <c r="Z415" t="str">
        <f t="shared" si="47"/>
        <v>CRAP</v>
      </c>
      <c r="AA415" t="str">
        <f t="shared" si="48"/>
        <v>CRAP</v>
      </c>
    </row>
    <row r="416" spans="1:27" ht="13.5" customHeight="1" thickBot="1" x14ac:dyDescent="0.35">
      <c r="A416">
        <f t="shared" si="49"/>
        <v>0</v>
      </c>
      <c r="B416" s="16"/>
      <c r="C416" s="10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>
        <f t="shared" si="43"/>
        <v>0</v>
      </c>
      <c r="W416">
        <f t="shared" si="44"/>
        <v>0</v>
      </c>
      <c r="X416">
        <f t="shared" si="45"/>
        <v>0</v>
      </c>
      <c r="Y416">
        <f t="shared" si="46"/>
        <v>0</v>
      </c>
      <c r="Z416" t="str">
        <f t="shared" si="47"/>
        <v>CRAP</v>
      </c>
      <c r="AA416" t="str">
        <f t="shared" si="48"/>
        <v>CRAP</v>
      </c>
    </row>
    <row r="417" spans="1:27" ht="13.5" customHeight="1" thickBot="1" x14ac:dyDescent="0.35">
      <c r="A417">
        <f t="shared" si="49"/>
        <v>0</v>
      </c>
      <c r="B417" s="18"/>
      <c r="C417" s="11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>
        <f t="shared" si="43"/>
        <v>0</v>
      </c>
      <c r="W417">
        <f t="shared" si="44"/>
        <v>0</v>
      </c>
      <c r="X417">
        <f t="shared" si="45"/>
        <v>0</v>
      </c>
      <c r="Y417">
        <f t="shared" si="46"/>
        <v>0</v>
      </c>
      <c r="Z417" t="str">
        <f t="shared" si="47"/>
        <v>CRAP</v>
      </c>
      <c r="AA417" t="str">
        <f t="shared" si="48"/>
        <v>CRAP</v>
      </c>
    </row>
    <row r="418" spans="1:27" ht="13.5" customHeight="1" thickBot="1" x14ac:dyDescent="0.35">
      <c r="A418">
        <f t="shared" si="49"/>
        <v>0</v>
      </c>
      <c r="B418" s="16"/>
      <c r="C418" s="10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>
        <f t="shared" si="43"/>
        <v>0</v>
      </c>
      <c r="W418">
        <f t="shared" si="44"/>
        <v>0</v>
      </c>
      <c r="X418">
        <f t="shared" si="45"/>
        <v>0</v>
      </c>
      <c r="Y418">
        <f t="shared" si="46"/>
        <v>0</v>
      </c>
      <c r="Z418" t="str">
        <f t="shared" si="47"/>
        <v>CRAP</v>
      </c>
      <c r="AA418" t="str">
        <f t="shared" si="48"/>
        <v>CRAP</v>
      </c>
    </row>
    <row r="419" spans="1:27" ht="13.5" customHeight="1" thickBot="1" x14ac:dyDescent="0.35">
      <c r="A419">
        <f t="shared" si="49"/>
        <v>0</v>
      </c>
      <c r="B419" s="18"/>
      <c r="C419" s="11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>
        <f t="shared" si="43"/>
        <v>0</v>
      </c>
      <c r="W419">
        <f t="shared" si="44"/>
        <v>0</v>
      </c>
      <c r="X419">
        <f t="shared" si="45"/>
        <v>0</v>
      </c>
      <c r="Y419">
        <f t="shared" si="46"/>
        <v>0</v>
      </c>
      <c r="Z419" t="str">
        <f t="shared" si="47"/>
        <v>CRAP</v>
      </c>
      <c r="AA419" t="str">
        <f t="shared" si="48"/>
        <v>CRAP</v>
      </c>
    </row>
    <row r="420" spans="1:27" ht="13.5" customHeight="1" thickBot="1" x14ac:dyDescent="0.35">
      <c r="A420">
        <f t="shared" si="49"/>
        <v>0</v>
      </c>
      <c r="B420" s="16"/>
      <c r="C420" s="10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>
        <f t="shared" si="43"/>
        <v>0</v>
      </c>
      <c r="W420">
        <f t="shared" si="44"/>
        <v>0</v>
      </c>
      <c r="X420">
        <f t="shared" si="45"/>
        <v>0</v>
      </c>
      <c r="Y420">
        <f t="shared" si="46"/>
        <v>0</v>
      </c>
      <c r="Z420" t="str">
        <f t="shared" si="47"/>
        <v>CRAP</v>
      </c>
      <c r="AA420" t="str">
        <f t="shared" si="48"/>
        <v>CRAP</v>
      </c>
    </row>
    <row r="421" spans="1:27" ht="13.5" customHeight="1" thickBot="1" x14ac:dyDescent="0.35">
      <c r="A421">
        <f t="shared" si="49"/>
        <v>0</v>
      </c>
      <c r="B421" s="18"/>
      <c r="C421" s="11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>
        <f t="shared" si="43"/>
        <v>0</v>
      </c>
      <c r="W421">
        <f t="shared" si="44"/>
        <v>0</v>
      </c>
      <c r="X421">
        <f t="shared" si="45"/>
        <v>0</v>
      </c>
      <c r="Y421">
        <f t="shared" si="46"/>
        <v>0</v>
      </c>
      <c r="Z421" t="str">
        <f t="shared" si="47"/>
        <v>CRAP</v>
      </c>
      <c r="AA421" t="str">
        <f t="shared" si="48"/>
        <v>CRAP</v>
      </c>
    </row>
    <row r="422" spans="1:27" ht="13.5" customHeight="1" thickBot="1" x14ac:dyDescent="0.35">
      <c r="A422">
        <f t="shared" si="49"/>
        <v>0</v>
      </c>
      <c r="B422" s="16"/>
      <c r="C422" s="10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>
        <f t="shared" si="43"/>
        <v>0</v>
      </c>
      <c r="W422">
        <f t="shared" si="44"/>
        <v>0</v>
      </c>
      <c r="X422">
        <f t="shared" si="45"/>
        <v>0</v>
      </c>
      <c r="Y422">
        <f t="shared" si="46"/>
        <v>0</v>
      </c>
      <c r="Z422" t="str">
        <f t="shared" si="47"/>
        <v>CRAP</v>
      </c>
      <c r="AA422" t="str">
        <f t="shared" si="48"/>
        <v>CRAP</v>
      </c>
    </row>
    <row r="423" spans="1:27" ht="13.5" customHeight="1" thickBot="1" x14ac:dyDescent="0.35">
      <c r="A423">
        <f t="shared" si="49"/>
        <v>0</v>
      </c>
      <c r="B423" s="18"/>
      <c r="C423" s="11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>
        <f t="shared" si="43"/>
        <v>0</v>
      </c>
      <c r="W423">
        <f t="shared" si="44"/>
        <v>0</v>
      </c>
      <c r="X423">
        <f t="shared" si="45"/>
        <v>0</v>
      </c>
      <c r="Y423">
        <f t="shared" si="46"/>
        <v>0</v>
      </c>
      <c r="Z423" t="str">
        <f t="shared" si="47"/>
        <v>CRAP</v>
      </c>
      <c r="AA423" t="str">
        <f t="shared" si="48"/>
        <v>CRAP</v>
      </c>
    </row>
    <row r="424" spans="1:27" ht="13.5" customHeight="1" thickBot="1" x14ac:dyDescent="0.35">
      <c r="A424">
        <f t="shared" si="49"/>
        <v>0</v>
      </c>
      <c r="B424" s="16"/>
      <c r="C424" s="10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>
        <f t="shared" si="43"/>
        <v>0</v>
      </c>
      <c r="W424">
        <f t="shared" si="44"/>
        <v>0</v>
      </c>
      <c r="X424">
        <f t="shared" si="45"/>
        <v>0</v>
      </c>
      <c r="Y424">
        <f t="shared" si="46"/>
        <v>0</v>
      </c>
      <c r="Z424" t="str">
        <f t="shared" si="47"/>
        <v>CRAP</v>
      </c>
      <c r="AA424" t="str">
        <f t="shared" si="48"/>
        <v>CRAP</v>
      </c>
    </row>
    <row r="425" spans="1:27" ht="13.5" customHeight="1" thickBot="1" x14ac:dyDescent="0.35">
      <c r="A425">
        <f t="shared" si="49"/>
        <v>0</v>
      </c>
      <c r="B425" s="18"/>
      <c r="C425" s="11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>
        <f t="shared" si="43"/>
        <v>0</v>
      </c>
      <c r="W425">
        <f t="shared" si="44"/>
        <v>0</v>
      </c>
      <c r="X425">
        <f t="shared" si="45"/>
        <v>0</v>
      </c>
      <c r="Y425">
        <f t="shared" si="46"/>
        <v>0</v>
      </c>
      <c r="Z425" t="str">
        <f t="shared" si="47"/>
        <v>CRAP</v>
      </c>
      <c r="AA425" t="str">
        <f t="shared" si="48"/>
        <v>CRAP</v>
      </c>
    </row>
    <row r="426" spans="1:27" ht="13.5" customHeight="1" thickBot="1" x14ac:dyDescent="0.35">
      <c r="A426">
        <f t="shared" si="49"/>
        <v>0</v>
      </c>
      <c r="B426" s="16"/>
      <c r="C426" s="10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>
        <f t="shared" si="43"/>
        <v>0</v>
      </c>
      <c r="W426">
        <f t="shared" si="44"/>
        <v>0</v>
      </c>
      <c r="X426">
        <f t="shared" si="45"/>
        <v>0</v>
      </c>
      <c r="Y426">
        <f t="shared" si="46"/>
        <v>0</v>
      </c>
      <c r="Z426" t="str">
        <f t="shared" si="47"/>
        <v>CRAP</v>
      </c>
      <c r="AA426" t="str">
        <f t="shared" si="48"/>
        <v>CRAP</v>
      </c>
    </row>
    <row r="427" spans="1:27" ht="13.5" customHeight="1" thickBot="1" x14ac:dyDescent="0.35">
      <c r="A427">
        <f t="shared" si="49"/>
        <v>0</v>
      </c>
      <c r="B427" s="18"/>
      <c r="C427" s="11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>
        <f t="shared" si="43"/>
        <v>0</v>
      </c>
      <c r="W427">
        <f t="shared" si="44"/>
        <v>0</v>
      </c>
      <c r="X427">
        <f t="shared" si="45"/>
        <v>0</v>
      </c>
      <c r="Y427">
        <f t="shared" si="46"/>
        <v>0</v>
      </c>
      <c r="Z427" t="str">
        <f t="shared" si="47"/>
        <v>CRAP</v>
      </c>
      <c r="AA427" t="str">
        <f t="shared" si="48"/>
        <v>CRAP</v>
      </c>
    </row>
    <row r="428" spans="1:27" ht="13.5" customHeight="1" thickBot="1" x14ac:dyDescent="0.35">
      <c r="A428">
        <f t="shared" si="49"/>
        <v>0</v>
      </c>
      <c r="B428" s="16"/>
      <c r="C428" s="10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>
        <f t="shared" si="43"/>
        <v>0</v>
      </c>
      <c r="W428">
        <f t="shared" si="44"/>
        <v>0</v>
      </c>
      <c r="X428">
        <f t="shared" si="45"/>
        <v>0</v>
      </c>
      <c r="Y428">
        <f t="shared" si="46"/>
        <v>0</v>
      </c>
      <c r="Z428" t="str">
        <f t="shared" si="47"/>
        <v>CRAP</v>
      </c>
      <c r="AA428" t="str">
        <f t="shared" si="48"/>
        <v>CRAP</v>
      </c>
    </row>
    <row r="429" spans="1:27" ht="13.5" customHeight="1" thickBot="1" x14ac:dyDescent="0.35">
      <c r="A429">
        <f t="shared" si="49"/>
        <v>0</v>
      </c>
      <c r="B429" s="18"/>
      <c r="C429" s="11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>
        <f t="shared" si="43"/>
        <v>0</v>
      </c>
      <c r="W429">
        <f t="shared" si="44"/>
        <v>0</v>
      </c>
      <c r="X429">
        <f t="shared" si="45"/>
        <v>0</v>
      </c>
      <c r="Y429">
        <f t="shared" si="46"/>
        <v>0</v>
      </c>
      <c r="Z429" t="str">
        <f t="shared" si="47"/>
        <v>CRAP</v>
      </c>
      <c r="AA429" t="str">
        <f t="shared" si="48"/>
        <v>CRAP</v>
      </c>
    </row>
    <row r="430" spans="1:27" ht="13.5" customHeight="1" thickBot="1" x14ac:dyDescent="0.35">
      <c r="A430">
        <f t="shared" si="49"/>
        <v>0</v>
      </c>
      <c r="B430" s="16"/>
      <c r="C430" s="10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>
        <f t="shared" si="43"/>
        <v>0</v>
      </c>
      <c r="W430">
        <f t="shared" si="44"/>
        <v>0</v>
      </c>
      <c r="X430">
        <f t="shared" si="45"/>
        <v>0</v>
      </c>
      <c r="Y430">
        <f t="shared" si="46"/>
        <v>0</v>
      </c>
      <c r="Z430" t="str">
        <f t="shared" si="47"/>
        <v>CRAP</v>
      </c>
      <c r="AA430" t="str">
        <f t="shared" si="48"/>
        <v>CRAP</v>
      </c>
    </row>
    <row r="431" spans="1:27" ht="13.5" customHeight="1" thickBot="1" x14ac:dyDescent="0.35">
      <c r="A431">
        <f t="shared" si="49"/>
        <v>0</v>
      </c>
      <c r="B431" s="18"/>
      <c r="C431" s="11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>
        <f t="shared" si="43"/>
        <v>0</v>
      </c>
      <c r="W431">
        <f t="shared" si="44"/>
        <v>0</v>
      </c>
      <c r="X431">
        <f t="shared" si="45"/>
        <v>0</v>
      </c>
      <c r="Y431">
        <f t="shared" si="46"/>
        <v>0</v>
      </c>
      <c r="Z431" t="str">
        <f t="shared" si="47"/>
        <v>CRAP</v>
      </c>
      <c r="AA431" t="str">
        <f t="shared" si="48"/>
        <v>CRAP</v>
      </c>
    </row>
    <row r="432" spans="1:27" ht="13.5" customHeight="1" thickBot="1" x14ac:dyDescent="0.35">
      <c r="A432">
        <f t="shared" si="49"/>
        <v>0</v>
      </c>
      <c r="B432" s="16"/>
      <c r="C432" s="10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>
        <f t="shared" si="43"/>
        <v>0</v>
      </c>
      <c r="W432">
        <f t="shared" si="44"/>
        <v>0</v>
      </c>
      <c r="X432">
        <f t="shared" si="45"/>
        <v>0</v>
      </c>
      <c r="Y432">
        <f t="shared" si="46"/>
        <v>0</v>
      </c>
      <c r="Z432" t="str">
        <f t="shared" si="47"/>
        <v>CRAP</v>
      </c>
      <c r="AA432" t="str">
        <f t="shared" si="48"/>
        <v>CRAP</v>
      </c>
    </row>
    <row r="433" spans="1:27" ht="13.5" customHeight="1" thickBot="1" x14ac:dyDescent="0.35">
      <c r="A433">
        <f t="shared" si="49"/>
        <v>0</v>
      </c>
      <c r="B433" s="18"/>
      <c r="C433" s="11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>
        <f t="shared" si="43"/>
        <v>0</v>
      </c>
      <c r="W433">
        <f t="shared" si="44"/>
        <v>0</v>
      </c>
      <c r="X433">
        <f t="shared" si="45"/>
        <v>0</v>
      </c>
      <c r="Y433">
        <f t="shared" si="46"/>
        <v>0</v>
      </c>
      <c r="Z433" t="str">
        <f t="shared" si="47"/>
        <v>CRAP</v>
      </c>
      <c r="AA433" t="str">
        <f t="shared" si="48"/>
        <v>CRAP</v>
      </c>
    </row>
    <row r="434" spans="1:27" ht="13.5" customHeight="1" thickBot="1" x14ac:dyDescent="0.35">
      <c r="A434">
        <f t="shared" si="49"/>
        <v>0</v>
      </c>
      <c r="B434" s="16"/>
      <c r="C434" s="10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>
        <f t="shared" si="43"/>
        <v>0</v>
      </c>
      <c r="W434">
        <f t="shared" si="44"/>
        <v>0</v>
      </c>
      <c r="X434">
        <f t="shared" si="45"/>
        <v>0</v>
      </c>
      <c r="Y434">
        <f t="shared" si="46"/>
        <v>0</v>
      </c>
      <c r="Z434" t="str">
        <f t="shared" si="47"/>
        <v>CRAP</v>
      </c>
      <c r="AA434" t="str">
        <f t="shared" si="48"/>
        <v>CRAP</v>
      </c>
    </row>
    <row r="435" spans="1:27" ht="13.5" customHeight="1" thickBot="1" x14ac:dyDescent="0.35">
      <c r="A435">
        <f t="shared" si="49"/>
        <v>0</v>
      </c>
      <c r="B435" s="18"/>
      <c r="C435" s="11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>
        <f t="shared" si="43"/>
        <v>0</v>
      </c>
      <c r="W435">
        <f t="shared" si="44"/>
        <v>0</v>
      </c>
      <c r="X435">
        <f t="shared" si="45"/>
        <v>0</v>
      </c>
      <c r="Y435">
        <f t="shared" si="46"/>
        <v>0</v>
      </c>
      <c r="Z435" t="str">
        <f t="shared" si="47"/>
        <v>CRAP</v>
      </c>
      <c r="AA435" t="str">
        <f t="shared" si="48"/>
        <v>CRAP</v>
      </c>
    </row>
    <row r="436" spans="1:27" ht="13.5" customHeight="1" thickBot="1" x14ac:dyDescent="0.35">
      <c r="A436">
        <f t="shared" si="49"/>
        <v>0</v>
      </c>
      <c r="B436" s="16"/>
      <c r="C436" s="10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>
        <f t="shared" si="43"/>
        <v>0</v>
      </c>
      <c r="W436">
        <f t="shared" si="44"/>
        <v>0</v>
      </c>
      <c r="X436">
        <f t="shared" si="45"/>
        <v>0</v>
      </c>
      <c r="Y436">
        <f t="shared" si="46"/>
        <v>0</v>
      </c>
      <c r="Z436" t="str">
        <f t="shared" si="47"/>
        <v>CRAP</v>
      </c>
      <c r="AA436" t="str">
        <f t="shared" si="48"/>
        <v>CRAP</v>
      </c>
    </row>
    <row r="437" spans="1:27" ht="13.5" customHeight="1" thickBot="1" x14ac:dyDescent="0.35">
      <c r="A437">
        <f t="shared" si="49"/>
        <v>0</v>
      </c>
      <c r="B437" s="18"/>
      <c r="C437" s="11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>
        <f t="shared" si="43"/>
        <v>0</v>
      </c>
      <c r="W437">
        <f t="shared" si="44"/>
        <v>0</v>
      </c>
      <c r="X437">
        <f t="shared" si="45"/>
        <v>0</v>
      </c>
      <c r="Y437">
        <f t="shared" si="46"/>
        <v>0</v>
      </c>
      <c r="Z437" t="str">
        <f t="shared" si="47"/>
        <v>CRAP</v>
      </c>
      <c r="AA437" t="str">
        <f t="shared" si="48"/>
        <v>CRAP</v>
      </c>
    </row>
    <row r="438" spans="1:27" ht="13.5" customHeight="1" thickBot="1" x14ac:dyDescent="0.35">
      <c r="A438">
        <f t="shared" si="49"/>
        <v>0</v>
      </c>
      <c r="B438" s="16"/>
      <c r="C438" s="10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>
        <f t="shared" si="43"/>
        <v>0</v>
      </c>
      <c r="W438">
        <f t="shared" si="44"/>
        <v>0</v>
      </c>
      <c r="X438">
        <f t="shared" si="45"/>
        <v>0</v>
      </c>
      <c r="Y438">
        <f t="shared" si="46"/>
        <v>0</v>
      </c>
      <c r="Z438" t="str">
        <f t="shared" si="47"/>
        <v>CRAP</v>
      </c>
      <c r="AA438" t="str">
        <f t="shared" si="48"/>
        <v>CRAP</v>
      </c>
    </row>
    <row r="439" spans="1:27" ht="13.5" customHeight="1" thickBot="1" x14ac:dyDescent="0.35">
      <c r="A439">
        <f t="shared" si="49"/>
        <v>0</v>
      </c>
      <c r="B439" s="18"/>
      <c r="C439" s="11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>
        <f t="shared" si="43"/>
        <v>0</v>
      </c>
      <c r="W439">
        <f t="shared" si="44"/>
        <v>0</v>
      </c>
      <c r="X439">
        <f t="shared" si="45"/>
        <v>0</v>
      </c>
      <c r="Y439">
        <f t="shared" si="46"/>
        <v>0</v>
      </c>
      <c r="Z439" t="str">
        <f t="shared" si="47"/>
        <v>CRAP</v>
      </c>
      <c r="AA439" t="str">
        <f t="shared" si="48"/>
        <v>CRAP</v>
      </c>
    </row>
    <row r="440" spans="1:27" ht="13.5" customHeight="1" thickBot="1" x14ac:dyDescent="0.35">
      <c r="A440">
        <f t="shared" si="49"/>
        <v>0</v>
      </c>
      <c r="B440" s="16"/>
      <c r="C440" s="10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>
        <f t="shared" si="43"/>
        <v>0</v>
      </c>
      <c r="W440">
        <f t="shared" si="44"/>
        <v>0</v>
      </c>
      <c r="X440">
        <f t="shared" si="45"/>
        <v>0</v>
      </c>
      <c r="Y440">
        <f t="shared" si="46"/>
        <v>0</v>
      </c>
      <c r="Z440" t="str">
        <f t="shared" si="47"/>
        <v>CRAP</v>
      </c>
      <c r="AA440" t="str">
        <f t="shared" si="48"/>
        <v>CRAP</v>
      </c>
    </row>
    <row r="441" spans="1:27" ht="13.5" customHeight="1" thickBot="1" x14ac:dyDescent="0.35">
      <c r="A441">
        <f t="shared" si="49"/>
        <v>0</v>
      </c>
      <c r="B441" s="18"/>
      <c r="C441" s="11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>
        <f t="shared" si="43"/>
        <v>0</v>
      </c>
      <c r="W441">
        <f t="shared" si="44"/>
        <v>0</v>
      </c>
      <c r="X441">
        <f t="shared" si="45"/>
        <v>0</v>
      </c>
      <c r="Y441">
        <f t="shared" si="46"/>
        <v>0</v>
      </c>
      <c r="Z441" t="str">
        <f t="shared" si="47"/>
        <v>CRAP</v>
      </c>
      <c r="AA441" t="str">
        <f t="shared" si="48"/>
        <v>CRAP</v>
      </c>
    </row>
    <row r="442" spans="1:27" ht="13.5" customHeight="1" thickBot="1" x14ac:dyDescent="0.35">
      <c r="A442">
        <f t="shared" si="49"/>
        <v>0</v>
      </c>
      <c r="B442" s="16"/>
      <c r="C442" s="10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>
        <f t="shared" si="43"/>
        <v>0</v>
      </c>
      <c r="W442">
        <f t="shared" si="44"/>
        <v>0</v>
      </c>
      <c r="X442">
        <f t="shared" si="45"/>
        <v>0</v>
      </c>
      <c r="Y442">
        <f t="shared" si="46"/>
        <v>0</v>
      </c>
      <c r="Z442" t="str">
        <f t="shared" si="47"/>
        <v>CRAP</v>
      </c>
      <c r="AA442" t="str">
        <f t="shared" si="48"/>
        <v>CRAP</v>
      </c>
    </row>
    <row r="443" spans="1:27" ht="13.5" customHeight="1" thickBot="1" x14ac:dyDescent="0.35">
      <c r="A443">
        <f t="shared" si="49"/>
        <v>0</v>
      </c>
      <c r="B443" s="18"/>
      <c r="C443" s="11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>
        <f t="shared" si="43"/>
        <v>0</v>
      </c>
      <c r="W443">
        <f t="shared" si="44"/>
        <v>0</v>
      </c>
      <c r="X443">
        <f t="shared" si="45"/>
        <v>0</v>
      </c>
      <c r="Y443">
        <f t="shared" si="46"/>
        <v>0</v>
      </c>
      <c r="Z443" t="str">
        <f t="shared" si="47"/>
        <v>CRAP</v>
      </c>
      <c r="AA443" t="str">
        <f t="shared" si="48"/>
        <v>CRAP</v>
      </c>
    </row>
    <row r="444" spans="1:27" ht="13.5" customHeight="1" thickBot="1" x14ac:dyDescent="0.35">
      <c r="A444">
        <f t="shared" si="49"/>
        <v>0</v>
      </c>
      <c r="B444" s="16"/>
      <c r="C444" s="10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>
        <f t="shared" si="43"/>
        <v>0</v>
      </c>
      <c r="W444">
        <f t="shared" si="44"/>
        <v>0</v>
      </c>
      <c r="X444">
        <f t="shared" si="45"/>
        <v>0</v>
      </c>
      <c r="Y444">
        <f t="shared" si="46"/>
        <v>0</v>
      </c>
      <c r="Z444" t="str">
        <f t="shared" si="47"/>
        <v>CRAP</v>
      </c>
      <c r="AA444" t="str">
        <f t="shared" si="48"/>
        <v>CRAP</v>
      </c>
    </row>
    <row r="445" spans="1:27" ht="13.5" customHeight="1" thickBot="1" x14ac:dyDescent="0.35">
      <c r="A445">
        <f t="shared" si="49"/>
        <v>0</v>
      </c>
      <c r="B445" s="18"/>
      <c r="C445" s="11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>
        <f t="shared" si="43"/>
        <v>0</v>
      </c>
      <c r="W445">
        <f t="shared" si="44"/>
        <v>0</v>
      </c>
      <c r="X445">
        <f t="shared" si="45"/>
        <v>0</v>
      </c>
      <c r="Y445">
        <f t="shared" si="46"/>
        <v>0</v>
      </c>
      <c r="Z445" t="str">
        <f t="shared" si="47"/>
        <v>CRAP</v>
      </c>
      <c r="AA445" t="str">
        <f t="shared" si="48"/>
        <v>CRAP</v>
      </c>
    </row>
    <row r="446" spans="1:27" ht="13.5" customHeight="1" thickBot="1" x14ac:dyDescent="0.35">
      <c r="A446">
        <f t="shared" si="49"/>
        <v>0</v>
      </c>
      <c r="B446" s="16"/>
      <c r="C446" s="10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>
        <f t="shared" si="43"/>
        <v>0</v>
      </c>
      <c r="W446">
        <f t="shared" si="44"/>
        <v>0</v>
      </c>
      <c r="X446">
        <f t="shared" si="45"/>
        <v>0</v>
      </c>
      <c r="Y446">
        <f t="shared" si="46"/>
        <v>0</v>
      </c>
      <c r="Z446" t="str">
        <f t="shared" si="47"/>
        <v>CRAP</v>
      </c>
      <c r="AA446" t="str">
        <f t="shared" si="48"/>
        <v>CRAP</v>
      </c>
    </row>
    <row r="447" spans="1:27" ht="13.5" customHeight="1" thickBot="1" x14ac:dyDescent="0.35">
      <c r="A447">
        <f t="shared" si="49"/>
        <v>0</v>
      </c>
      <c r="B447" s="18"/>
      <c r="C447" s="11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>
        <f t="shared" si="43"/>
        <v>0</v>
      </c>
      <c r="W447">
        <f t="shared" si="44"/>
        <v>0</v>
      </c>
      <c r="X447">
        <f t="shared" si="45"/>
        <v>0</v>
      </c>
      <c r="Y447">
        <f t="shared" si="46"/>
        <v>0</v>
      </c>
      <c r="Z447" t="str">
        <f t="shared" si="47"/>
        <v>CRAP</v>
      </c>
      <c r="AA447" t="str">
        <f t="shared" si="48"/>
        <v>CRAP</v>
      </c>
    </row>
    <row r="448" spans="1:27" ht="13.5" customHeight="1" thickBot="1" x14ac:dyDescent="0.35">
      <c r="A448">
        <f t="shared" si="49"/>
        <v>0</v>
      </c>
      <c r="B448" s="16"/>
      <c r="C448" s="10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>
        <f t="shared" si="43"/>
        <v>0</v>
      </c>
      <c r="W448">
        <f t="shared" si="44"/>
        <v>0</v>
      </c>
      <c r="X448">
        <f t="shared" si="45"/>
        <v>0</v>
      </c>
      <c r="Y448">
        <f t="shared" si="46"/>
        <v>0</v>
      </c>
      <c r="Z448" t="str">
        <f t="shared" si="47"/>
        <v>CRAP</v>
      </c>
      <c r="AA448" t="str">
        <f t="shared" si="48"/>
        <v>CRAP</v>
      </c>
    </row>
    <row r="449" spans="1:27" ht="13.5" customHeight="1" thickBot="1" x14ac:dyDescent="0.35">
      <c r="A449">
        <f t="shared" si="49"/>
        <v>0</v>
      </c>
      <c r="B449" s="18"/>
      <c r="C449" s="11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>
        <f t="shared" si="43"/>
        <v>0</v>
      </c>
      <c r="W449">
        <f t="shared" si="44"/>
        <v>0</v>
      </c>
      <c r="X449">
        <f t="shared" si="45"/>
        <v>0</v>
      </c>
      <c r="Y449">
        <f t="shared" si="46"/>
        <v>0</v>
      </c>
      <c r="Z449" t="str">
        <f t="shared" si="47"/>
        <v>CRAP</v>
      </c>
      <c r="AA449" t="str">
        <f t="shared" si="48"/>
        <v>CRAP</v>
      </c>
    </row>
    <row r="450" spans="1:27" ht="13.5" customHeight="1" thickBot="1" x14ac:dyDescent="0.35">
      <c r="A450">
        <f t="shared" si="49"/>
        <v>0</v>
      </c>
      <c r="B450" s="16"/>
      <c r="C450" s="10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>
        <f t="shared" si="43"/>
        <v>0</v>
      </c>
      <c r="W450">
        <f t="shared" si="44"/>
        <v>0</v>
      </c>
      <c r="X450">
        <f t="shared" si="45"/>
        <v>0</v>
      </c>
      <c r="Y450">
        <f t="shared" si="46"/>
        <v>0</v>
      </c>
      <c r="Z450" t="str">
        <f t="shared" si="47"/>
        <v>CRAP</v>
      </c>
      <c r="AA450" t="str">
        <f t="shared" si="48"/>
        <v>CRAP</v>
      </c>
    </row>
    <row r="451" spans="1:27" ht="13.5" customHeight="1" thickBot="1" x14ac:dyDescent="0.35">
      <c r="A451">
        <f t="shared" si="49"/>
        <v>0</v>
      </c>
      <c r="B451" s="18"/>
      <c r="C451" s="11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>
        <f t="shared" si="43"/>
        <v>0</v>
      </c>
      <c r="W451">
        <f t="shared" si="44"/>
        <v>0</v>
      </c>
      <c r="X451">
        <f t="shared" si="45"/>
        <v>0</v>
      </c>
      <c r="Y451">
        <f t="shared" si="46"/>
        <v>0</v>
      </c>
      <c r="Z451" t="str">
        <f t="shared" si="47"/>
        <v>CRAP</v>
      </c>
      <c r="AA451" t="str">
        <f t="shared" si="48"/>
        <v>CRAP</v>
      </c>
    </row>
    <row r="452" spans="1:27" ht="13.5" customHeight="1" thickBot="1" x14ac:dyDescent="0.35">
      <c r="A452">
        <f t="shared" si="49"/>
        <v>0</v>
      </c>
      <c r="B452" s="16"/>
      <c r="C452" s="10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>
        <f t="shared" si="43"/>
        <v>0</v>
      </c>
      <c r="W452">
        <f t="shared" si="44"/>
        <v>0</v>
      </c>
      <c r="X452">
        <f t="shared" si="45"/>
        <v>0</v>
      </c>
      <c r="Y452">
        <f t="shared" si="46"/>
        <v>0</v>
      </c>
      <c r="Z452" t="str">
        <f t="shared" si="47"/>
        <v>CRAP</v>
      </c>
      <c r="AA452" t="str">
        <f t="shared" si="48"/>
        <v>CRAP</v>
      </c>
    </row>
    <row r="453" spans="1:27" ht="13.5" customHeight="1" thickBot="1" x14ac:dyDescent="0.35">
      <c r="A453">
        <f t="shared" si="49"/>
        <v>0</v>
      </c>
      <c r="B453" s="18"/>
      <c r="C453" s="11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>
        <f t="shared" si="43"/>
        <v>0</v>
      </c>
      <c r="W453">
        <f t="shared" si="44"/>
        <v>0</v>
      </c>
      <c r="X453">
        <f t="shared" si="45"/>
        <v>0</v>
      </c>
      <c r="Y453">
        <f t="shared" si="46"/>
        <v>0</v>
      </c>
      <c r="Z453" t="str">
        <f t="shared" si="47"/>
        <v>CRAP</v>
      </c>
      <c r="AA453" t="str">
        <f t="shared" si="48"/>
        <v>CRAP</v>
      </c>
    </row>
    <row r="454" spans="1:27" ht="13.5" customHeight="1" thickBot="1" x14ac:dyDescent="0.35">
      <c r="A454">
        <f t="shared" si="49"/>
        <v>0</v>
      </c>
      <c r="B454" s="16"/>
      <c r="C454" s="10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>
        <f t="shared" ref="V454:V505" si="50">K$1*(0.000001*K454^3)+L$1*((-0.000002)*L454^3+0.00032*L454^2+(-0.0021)*L454)+M$1*((-0.000002)*M454^3+0.00032*M454^2+(-0.0021)*M454)+N$1*((-0.000002)*N454^3+0.00032*N454^2+(-0.0021)*N454)+O$1*((-0.000002)*O454^3+0.00032*O454^2+(-0.0021)*O454)</f>
        <v>0</v>
      </c>
      <c r="W454">
        <f t="shared" ref="W454:W505" si="51">P$1*((-0.000002)*P454^3+0.00032*P454^2+(-0.0021)*P454)+Q$1*((-0.000002)*Q454^3+0.00032*Q454^2+(-0.0021)*Q454)+R$1*((-0.000002)*R454^3+0.00032*R454^2+(-0.0021)*R454)+S$1*((-0.000002)*S454^3+0.00032*S454^2+(-0.0021)*S454)+T$1*((-0.000002)*T454^3+0.00032*T454^2+(-0.0021)*T454)</f>
        <v>0</v>
      </c>
      <c r="X454">
        <f t="shared" ref="X454:X505" si="52">(I$1*((-0.000002)*I454^3+0.00032*I454^2+(-0.0021)*I454)+J$1*((-0.000002)*J454^3+0.00032*J454^2+(-0.0021)*J454)+H$1*((-0.000002)*H454^3+0.00032*H454^2+(-0.0021)*H454))*(MAX(0.05,MIN(1,(2*J454+I454)/120)*MIN(1,I454/10)*MIN(1,J454/10)))</f>
        <v>0</v>
      </c>
      <c r="Y454">
        <f t="shared" ref="Y454:Y505" si="53">(I$1*((-0.000002)*I454^3+0.00032*I454^2+(-0.0021)*I454)+J$1*((-0.000002)*J454^3+0.00032*J454^2+(-0.0021)*J454)+H$1*((-0.000002)*H454^3+0.00032*H454^2+(-0.0021)*H454))*(MAX(0.05,MIN(1,(2*J454+I454)/120)*MIN(1,I454/10)*MIN(1,J454/10)))</f>
        <v>0</v>
      </c>
      <c r="Z454" t="str">
        <f t="shared" ref="Z454:Z505" si="54">IF(AND(J454&gt;50,I454+J454&gt;75),"SP",IF(2*I454+J454&gt;120,"RP","CRAP"))</f>
        <v>CRAP</v>
      </c>
      <c r="AA454" t="str">
        <f t="shared" ref="AA454:AA505" si="55">IF(AND(J454&gt;50,I454+J454&gt;75),"SP",IF(2*I454+J454&gt;120,"RP","CRAP"))</f>
        <v>CRAP</v>
      </c>
    </row>
    <row r="455" spans="1:27" ht="13.5" customHeight="1" thickBot="1" x14ac:dyDescent="0.35">
      <c r="A455">
        <f t="shared" si="49"/>
        <v>0</v>
      </c>
      <c r="B455" s="18"/>
      <c r="C455" s="11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>
        <f t="shared" si="50"/>
        <v>0</v>
      </c>
      <c r="W455">
        <f t="shared" si="51"/>
        <v>0</v>
      </c>
      <c r="X455">
        <f t="shared" si="52"/>
        <v>0</v>
      </c>
      <c r="Y455">
        <f t="shared" si="53"/>
        <v>0</v>
      </c>
      <c r="Z455" t="str">
        <f t="shared" si="54"/>
        <v>CRAP</v>
      </c>
      <c r="AA455" t="str">
        <f t="shared" si="55"/>
        <v>CRAP</v>
      </c>
    </row>
    <row r="456" spans="1:27" ht="13.5" customHeight="1" thickBot="1" x14ac:dyDescent="0.35">
      <c r="A456">
        <f t="shared" si="49"/>
        <v>0</v>
      </c>
      <c r="B456" s="16"/>
      <c r="C456" s="10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>
        <f t="shared" si="50"/>
        <v>0</v>
      </c>
      <c r="W456">
        <f t="shared" si="51"/>
        <v>0</v>
      </c>
      <c r="X456">
        <f t="shared" si="52"/>
        <v>0</v>
      </c>
      <c r="Y456">
        <f t="shared" si="53"/>
        <v>0</v>
      </c>
      <c r="Z456" t="str">
        <f t="shared" si="54"/>
        <v>CRAP</v>
      </c>
      <c r="AA456" t="str">
        <f t="shared" si="55"/>
        <v>CRAP</v>
      </c>
    </row>
    <row r="457" spans="1:27" ht="13.5" customHeight="1" thickBot="1" x14ac:dyDescent="0.35">
      <c r="A457">
        <f t="shared" si="49"/>
        <v>0</v>
      </c>
      <c r="B457" s="18"/>
      <c r="C457" s="11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>
        <f t="shared" si="50"/>
        <v>0</v>
      </c>
      <c r="W457">
        <f t="shared" si="51"/>
        <v>0</v>
      </c>
      <c r="X457">
        <f t="shared" si="52"/>
        <v>0</v>
      </c>
      <c r="Y457">
        <f t="shared" si="53"/>
        <v>0</v>
      </c>
      <c r="Z457" t="str">
        <f t="shared" si="54"/>
        <v>CRAP</v>
      </c>
      <c r="AA457" t="str">
        <f t="shared" si="55"/>
        <v>CRAP</v>
      </c>
    </row>
    <row r="458" spans="1:27" ht="13.5" customHeight="1" thickBot="1" x14ac:dyDescent="0.35">
      <c r="A458">
        <f t="shared" si="49"/>
        <v>0</v>
      </c>
      <c r="B458" s="16"/>
      <c r="C458" s="10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>
        <f t="shared" si="50"/>
        <v>0</v>
      </c>
      <c r="W458">
        <f t="shared" si="51"/>
        <v>0</v>
      </c>
      <c r="X458">
        <f t="shared" si="52"/>
        <v>0</v>
      </c>
      <c r="Y458">
        <f t="shared" si="53"/>
        <v>0</v>
      </c>
      <c r="Z458" t="str">
        <f t="shared" si="54"/>
        <v>CRAP</v>
      </c>
      <c r="AA458" t="str">
        <f t="shared" si="55"/>
        <v>CRAP</v>
      </c>
    </row>
    <row r="459" spans="1:27" ht="13.5" customHeight="1" thickBot="1" x14ac:dyDescent="0.35">
      <c r="A459">
        <f t="shared" si="49"/>
        <v>0</v>
      </c>
      <c r="B459" s="18"/>
      <c r="C459" s="11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>
        <f t="shared" si="50"/>
        <v>0</v>
      </c>
      <c r="W459">
        <f t="shared" si="51"/>
        <v>0</v>
      </c>
      <c r="X459">
        <f t="shared" si="52"/>
        <v>0</v>
      </c>
      <c r="Y459">
        <f t="shared" si="53"/>
        <v>0</v>
      </c>
      <c r="Z459" t="str">
        <f t="shared" si="54"/>
        <v>CRAP</v>
      </c>
      <c r="AA459" t="str">
        <f t="shared" si="55"/>
        <v>CRAP</v>
      </c>
    </row>
    <row r="460" spans="1:27" ht="13.5" customHeight="1" thickBot="1" x14ac:dyDescent="0.35">
      <c r="A460">
        <f t="shared" si="49"/>
        <v>0</v>
      </c>
      <c r="B460" s="16"/>
      <c r="C460" s="10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>
        <f t="shared" si="50"/>
        <v>0</v>
      </c>
      <c r="W460">
        <f t="shared" si="51"/>
        <v>0</v>
      </c>
      <c r="X460">
        <f t="shared" si="52"/>
        <v>0</v>
      </c>
      <c r="Y460">
        <f t="shared" si="53"/>
        <v>0</v>
      </c>
      <c r="Z460" t="str">
        <f t="shared" si="54"/>
        <v>CRAP</v>
      </c>
      <c r="AA460" t="str">
        <f t="shared" si="55"/>
        <v>CRAP</v>
      </c>
    </row>
    <row r="461" spans="1:27" ht="13.5" customHeight="1" thickBot="1" x14ac:dyDescent="0.35">
      <c r="A461">
        <f t="shared" si="49"/>
        <v>0</v>
      </c>
      <c r="B461" s="18"/>
      <c r="C461" s="11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>
        <f t="shared" si="50"/>
        <v>0</v>
      </c>
      <c r="W461">
        <f t="shared" si="51"/>
        <v>0</v>
      </c>
      <c r="X461">
        <f t="shared" si="52"/>
        <v>0</v>
      </c>
      <c r="Y461">
        <f t="shared" si="53"/>
        <v>0</v>
      </c>
      <c r="Z461" t="str">
        <f t="shared" si="54"/>
        <v>CRAP</v>
      </c>
      <c r="AA461" t="str">
        <f t="shared" si="55"/>
        <v>CRAP</v>
      </c>
    </row>
    <row r="462" spans="1:27" ht="13.5" customHeight="1" thickBot="1" x14ac:dyDescent="0.35">
      <c r="A462">
        <f t="shared" si="49"/>
        <v>0</v>
      </c>
      <c r="B462" s="16"/>
      <c r="C462" s="10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>
        <f t="shared" si="50"/>
        <v>0</v>
      </c>
      <c r="W462">
        <f t="shared" si="51"/>
        <v>0</v>
      </c>
      <c r="X462">
        <f t="shared" si="52"/>
        <v>0</v>
      </c>
      <c r="Y462">
        <f t="shared" si="53"/>
        <v>0</v>
      </c>
      <c r="Z462" t="str">
        <f t="shared" si="54"/>
        <v>CRAP</v>
      </c>
      <c r="AA462" t="str">
        <f t="shared" si="55"/>
        <v>CRAP</v>
      </c>
    </row>
    <row r="463" spans="1:27" ht="13.5" customHeight="1" thickBot="1" x14ac:dyDescent="0.35">
      <c r="A463">
        <f t="shared" ref="A463:A505" si="56">(V463*V$2+W463*W$2+X463*X$2)*100/(V$4*V$2+W$4*W$2+X$4*X$2)</f>
        <v>0</v>
      </c>
      <c r="B463" s="18"/>
      <c r="C463" s="11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>
        <f t="shared" si="50"/>
        <v>0</v>
      </c>
      <c r="W463">
        <f t="shared" si="51"/>
        <v>0</v>
      </c>
      <c r="X463">
        <f t="shared" si="52"/>
        <v>0</v>
      </c>
      <c r="Y463">
        <f t="shared" si="53"/>
        <v>0</v>
      </c>
      <c r="Z463" t="str">
        <f t="shared" si="54"/>
        <v>CRAP</v>
      </c>
      <c r="AA463" t="str">
        <f t="shared" si="55"/>
        <v>CRAP</v>
      </c>
    </row>
    <row r="464" spans="1:27" ht="13.5" customHeight="1" thickBot="1" x14ac:dyDescent="0.35">
      <c r="A464">
        <f t="shared" si="56"/>
        <v>0</v>
      </c>
      <c r="B464" s="16"/>
      <c r="C464" s="10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>
        <f t="shared" si="50"/>
        <v>0</v>
      </c>
      <c r="W464">
        <f t="shared" si="51"/>
        <v>0</v>
      </c>
      <c r="X464">
        <f t="shared" si="52"/>
        <v>0</v>
      </c>
      <c r="Y464">
        <f t="shared" si="53"/>
        <v>0</v>
      </c>
      <c r="Z464" t="str">
        <f t="shared" si="54"/>
        <v>CRAP</v>
      </c>
      <c r="AA464" t="str">
        <f t="shared" si="55"/>
        <v>CRAP</v>
      </c>
    </row>
    <row r="465" spans="1:27" ht="13.5" customHeight="1" thickBot="1" x14ac:dyDescent="0.35">
      <c r="A465">
        <f t="shared" si="56"/>
        <v>0</v>
      </c>
      <c r="B465" s="18"/>
      <c r="C465" s="11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>
        <f t="shared" si="50"/>
        <v>0</v>
      </c>
      <c r="W465">
        <f t="shared" si="51"/>
        <v>0</v>
      </c>
      <c r="X465">
        <f t="shared" si="52"/>
        <v>0</v>
      </c>
      <c r="Y465">
        <f t="shared" si="53"/>
        <v>0</v>
      </c>
      <c r="Z465" t="str">
        <f t="shared" si="54"/>
        <v>CRAP</v>
      </c>
      <c r="AA465" t="str">
        <f t="shared" si="55"/>
        <v>CRAP</v>
      </c>
    </row>
    <row r="466" spans="1:27" ht="13.5" customHeight="1" thickBot="1" x14ac:dyDescent="0.35">
      <c r="A466">
        <f t="shared" si="56"/>
        <v>0</v>
      </c>
      <c r="B466" s="16"/>
      <c r="C466" s="10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>
        <f t="shared" si="50"/>
        <v>0</v>
      </c>
      <c r="W466">
        <f t="shared" si="51"/>
        <v>0</v>
      </c>
      <c r="X466">
        <f t="shared" si="52"/>
        <v>0</v>
      </c>
      <c r="Y466">
        <f t="shared" si="53"/>
        <v>0</v>
      </c>
      <c r="Z466" t="str">
        <f t="shared" si="54"/>
        <v>CRAP</v>
      </c>
      <c r="AA466" t="str">
        <f t="shared" si="55"/>
        <v>CRAP</v>
      </c>
    </row>
    <row r="467" spans="1:27" ht="13.5" customHeight="1" thickBot="1" x14ac:dyDescent="0.35">
      <c r="A467">
        <f t="shared" si="56"/>
        <v>0</v>
      </c>
      <c r="B467" s="18"/>
      <c r="C467" s="11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>
        <f t="shared" si="50"/>
        <v>0</v>
      </c>
      <c r="W467">
        <f t="shared" si="51"/>
        <v>0</v>
      </c>
      <c r="X467">
        <f t="shared" si="52"/>
        <v>0</v>
      </c>
      <c r="Y467">
        <f t="shared" si="53"/>
        <v>0</v>
      </c>
      <c r="Z467" t="str">
        <f t="shared" si="54"/>
        <v>CRAP</v>
      </c>
      <c r="AA467" t="str">
        <f t="shared" si="55"/>
        <v>CRAP</v>
      </c>
    </row>
    <row r="468" spans="1:27" ht="13.5" customHeight="1" thickBot="1" x14ac:dyDescent="0.35">
      <c r="A468">
        <f t="shared" si="56"/>
        <v>0</v>
      </c>
      <c r="B468" s="16"/>
      <c r="C468" s="10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>
        <f t="shared" si="50"/>
        <v>0</v>
      </c>
      <c r="W468">
        <f t="shared" si="51"/>
        <v>0</v>
      </c>
      <c r="X468">
        <f t="shared" si="52"/>
        <v>0</v>
      </c>
      <c r="Y468">
        <f t="shared" si="53"/>
        <v>0</v>
      </c>
      <c r="Z468" t="str">
        <f t="shared" si="54"/>
        <v>CRAP</v>
      </c>
      <c r="AA468" t="str">
        <f t="shared" si="55"/>
        <v>CRAP</v>
      </c>
    </row>
    <row r="469" spans="1:27" ht="13.5" customHeight="1" thickBot="1" x14ac:dyDescent="0.35">
      <c r="A469">
        <f t="shared" si="56"/>
        <v>0</v>
      </c>
      <c r="B469" s="18"/>
      <c r="C469" s="11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>
        <f t="shared" si="50"/>
        <v>0</v>
      </c>
      <c r="W469">
        <f t="shared" si="51"/>
        <v>0</v>
      </c>
      <c r="X469">
        <f t="shared" si="52"/>
        <v>0</v>
      </c>
      <c r="Y469">
        <f t="shared" si="53"/>
        <v>0</v>
      </c>
      <c r="Z469" t="str">
        <f t="shared" si="54"/>
        <v>CRAP</v>
      </c>
      <c r="AA469" t="str">
        <f t="shared" si="55"/>
        <v>CRAP</v>
      </c>
    </row>
    <row r="470" spans="1:27" ht="13.5" customHeight="1" thickBot="1" x14ac:dyDescent="0.35">
      <c r="A470">
        <f t="shared" si="56"/>
        <v>0</v>
      </c>
      <c r="B470" s="16"/>
      <c r="C470" s="10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>
        <f t="shared" si="50"/>
        <v>0</v>
      </c>
      <c r="W470">
        <f t="shared" si="51"/>
        <v>0</v>
      </c>
      <c r="X470">
        <f t="shared" si="52"/>
        <v>0</v>
      </c>
      <c r="Y470">
        <f t="shared" si="53"/>
        <v>0</v>
      </c>
      <c r="Z470" t="str">
        <f t="shared" si="54"/>
        <v>CRAP</v>
      </c>
      <c r="AA470" t="str">
        <f t="shared" si="55"/>
        <v>CRAP</v>
      </c>
    </row>
    <row r="471" spans="1:27" ht="13.5" customHeight="1" thickBot="1" x14ac:dyDescent="0.35">
      <c r="A471">
        <f t="shared" si="56"/>
        <v>0</v>
      </c>
      <c r="B471" s="18"/>
      <c r="C471" s="11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>
        <f t="shared" si="50"/>
        <v>0</v>
      </c>
      <c r="W471">
        <f t="shared" si="51"/>
        <v>0</v>
      </c>
      <c r="X471">
        <f t="shared" si="52"/>
        <v>0</v>
      </c>
      <c r="Y471">
        <f t="shared" si="53"/>
        <v>0</v>
      </c>
      <c r="Z471" t="str">
        <f t="shared" si="54"/>
        <v>CRAP</v>
      </c>
      <c r="AA471" t="str">
        <f t="shared" si="55"/>
        <v>CRAP</v>
      </c>
    </row>
    <row r="472" spans="1:27" ht="13.5" customHeight="1" thickBot="1" x14ac:dyDescent="0.35">
      <c r="A472">
        <f t="shared" si="56"/>
        <v>0</v>
      </c>
      <c r="B472" s="16"/>
      <c r="C472" s="10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>
        <f t="shared" si="50"/>
        <v>0</v>
      </c>
      <c r="W472">
        <f t="shared" si="51"/>
        <v>0</v>
      </c>
      <c r="X472">
        <f t="shared" si="52"/>
        <v>0</v>
      </c>
      <c r="Y472">
        <f t="shared" si="53"/>
        <v>0</v>
      </c>
      <c r="Z472" t="str">
        <f t="shared" si="54"/>
        <v>CRAP</v>
      </c>
      <c r="AA472" t="str">
        <f t="shared" si="55"/>
        <v>CRAP</v>
      </c>
    </row>
    <row r="473" spans="1:27" ht="13.5" customHeight="1" thickBot="1" x14ac:dyDescent="0.35">
      <c r="A473">
        <f t="shared" si="56"/>
        <v>0</v>
      </c>
      <c r="B473" s="18"/>
      <c r="C473" s="11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>
        <f t="shared" si="50"/>
        <v>0</v>
      </c>
      <c r="W473">
        <f t="shared" si="51"/>
        <v>0</v>
      </c>
      <c r="X473">
        <f t="shared" si="52"/>
        <v>0</v>
      </c>
      <c r="Y473">
        <f t="shared" si="53"/>
        <v>0</v>
      </c>
      <c r="Z473" t="str">
        <f t="shared" si="54"/>
        <v>CRAP</v>
      </c>
      <c r="AA473" t="str">
        <f t="shared" si="55"/>
        <v>CRAP</v>
      </c>
    </row>
    <row r="474" spans="1:27" ht="13.5" customHeight="1" thickBot="1" x14ac:dyDescent="0.35">
      <c r="A474">
        <f t="shared" si="56"/>
        <v>0</v>
      </c>
      <c r="B474" s="16"/>
      <c r="C474" s="10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>
        <f t="shared" si="50"/>
        <v>0</v>
      </c>
      <c r="W474">
        <f t="shared" si="51"/>
        <v>0</v>
      </c>
      <c r="X474">
        <f t="shared" si="52"/>
        <v>0</v>
      </c>
      <c r="Y474">
        <f t="shared" si="53"/>
        <v>0</v>
      </c>
      <c r="Z474" t="str">
        <f t="shared" si="54"/>
        <v>CRAP</v>
      </c>
      <c r="AA474" t="str">
        <f t="shared" si="55"/>
        <v>CRAP</v>
      </c>
    </row>
    <row r="475" spans="1:27" ht="13.5" customHeight="1" thickBot="1" x14ac:dyDescent="0.35">
      <c r="A475">
        <f t="shared" si="56"/>
        <v>0</v>
      </c>
      <c r="B475" s="18"/>
      <c r="C475" s="11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>
        <f t="shared" si="50"/>
        <v>0</v>
      </c>
      <c r="W475">
        <f t="shared" si="51"/>
        <v>0</v>
      </c>
      <c r="X475">
        <f t="shared" si="52"/>
        <v>0</v>
      </c>
      <c r="Y475">
        <f t="shared" si="53"/>
        <v>0</v>
      </c>
      <c r="Z475" t="str">
        <f t="shared" si="54"/>
        <v>CRAP</v>
      </c>
      <c r="AA475" t="str">
        <f t="shared" si="55"/>
        <v>CRAP</v>
      </c>
    </row>
    <row r="476" spans="1:27" ht="13.5" customHeight="1" thickBot="1" x14ac:dyDescent="0.35">
      <c r="A476">
        <f t="shared" si="56"/>
        <v>0</v>
      </c>
      <c r="B476" s="16"/>
      <c r="C476" s="10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>
        <f t="shared" si="50"/>
        <v>0</v>
      </c>
      <c r="W476">
        <f t="shared" si="51"/>
        <v>0</v>
      </c>
      <c r="X476">
        <f t="shared" si="52"/>
        <v>0</v>
      </c>
      <c r="Y476">
        <f t="shared" si="53"/>
        <v>0</v>
      </c>
      <c r="Z476" t="str">
        <f t="shared" si="54"/>
        <v>CRAP</v>
      </c>
      <c r="AA476" t="str">
        <f t="shared" si="55"/>
        <v>CRAP</v>
      </c>
    </row>
    <row r="477" spans="1:27" ht="13.5" customHeight="1" thickBot="1" x14ac:dyDescent="0.35">
      <c r="A477">
        <f t="shared" si="56"/>
        <v>0</v>
      </c>
      <c r="B477" s="18"/>
      <c r="C477" s="11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>
        <f t="shared" si="50"/>
        <v>0</v>
      </c>
      <c r="W477">
        <f t="shared" si="51"/>
        <v>0</v>
      </c>
      <c r="X477">
        <f t="shared" si="52"/>
        <v>0</v>
      </c>
      <c r="Y477">
        <f t="shared" si="53"/>
        <v>0</v>
      </c>
      <c r="Z477" t="str">
        <f t="shared" si="54"/>
        <v>CRAP</v>
      </c>
      <c r="AA477" t="str">
        <f t="shared" si="55"/>
        <v>CRAP</v>
      </c>
    </row>
    <row r="478" spans="1:27" ht="13.5" customHeight="1" thickBot="1" x14ac:dyDescent="0.35">
      <c r="A478">
        <f t="shared" si="56"/>
        <v>0</v>
      </c>
      <c r="B478" s="16"/>
      <c r="C478" s="10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>
        <f t="shared" si="50"/>
        <v>0</v>
      </c>
      <c r="W478">
        <f t="shared" si="51"/>
        <v>0</v>
      </c>
      <c r="X478">
        <f t="shared" si="52"/>
        <v>0</v>
      </c>
      <c r="Y478">
        <f t="shared" si="53"/>
        <v>0</v>
      </c>
      <c r="Z478" t="str">
        <f t="shared" si="54"/>
        <v>CRAP</v>
      </c>
      <c r="AA478" t="str">
        <f t="shared" si="55"/>
        <v>CRAP</v>
      </c>
    </row>
    <row r="479" spans="1:27" ht="13.5" customHeight="1" thickBot="1" x14ac:dyDescent="0.35">
      <c r="A479">
        <f t="shared" si="56"/>
        <v>0</v>
      </c>
      <c r="B479" s="18"/>
      <c r="C479" s="11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>
        <f t="shared" si="50"/>
        <v>0</v>
      </c>
      <c r="W479">
        <f t="shared" si="51"/>
        <v>0</v>
      </c>
      <c r="X479">
        <f t="shared" si="52"/>
        <v>0</v>
      </c>
      <c r="Y479">
        <f t="shared" si="53"/>
        <v>0</v>
      </c>
      <c r="Z479" t="str">
        <f t="shared" si="54"/>
        <v>CRAP</v>
      </c>
      <c r="AA479" t="str">
        <f t="shared" si="55"/>
        <v>CRAP</v>
      </c>
    </row>
    <row r="480" spans="1:27" ht="13.5" customHeight="1" thickBot="1" x14ac:dyDescent="0.35">
      <c r="A480">
        <f t="shared" si="56"/>
        <v>0</v>
      </c>
      <c r="B480" s="16"/>
      <c r="C480" s="10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>
        <f t="shared" si="50"/>
        <v>0</v>
      </c>
      <c r="W480">
        <f t="shared" si="51"/>
        <v>0</v>
      </c>
      <c r="X480">
        <f t="shared" si="52"/>
        <v>0</v>
      </c>
      <c r="Y480">
        <f t="shared" si="53"/>
        <v>0</v>
      </c>
      <c r="Z480" t="str">
        <f t="shared" si="54"/>
        <v>CRAP</v>
      </c>
      <c r="AA480" t="str">
        <f t="shared" si="55"/>
        <v>CRAP</v>
      </c>
    </row>
    <row r="481" spans="1:27" ht="13.5" customHeight="1" thickBot="1" x14ac:dyDescent="0.35">
      <c r="A481">
        <f t="shared" si="56"/>
        <v>0</v>
      </c>
      <c r="B481" s="18"/>
      <c r="C481" s="11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>
        <f t="shared" si="50"/>
        <v>0</v>
      </c>
      <c r="W481">
        <f t="shared" si="51"/>
        <v>0</v>
      </c>
      <c r="X481">
        <f t="shared" si="52"/>
        <v>0</v>
      </c>
      <c r="Y481">
        <f t="shared" si="53"/>
        <v>0</v>
      </c>
      <c r="Z481" t="str">
        <f t="shared" si="54"/>
        <v>CRAP</v>
      </c>
      <c r="AA481" t="str">
        <f t="shared" si="55"/>
        <v>CRAP</v>
      </c>
    </row>
    <row r="482" spans="1:27" ht="13.5" customHeight="1" thickBot="1" x14ac:dyDescent="0.35">
      <c r="A482">
        <f t="shared" si="56"/>
        <v>0</v>
      </c>
      <c r="B482" s="16"/>
      <c r="C482" s="10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>
        <f t="shared" si="50"/>
        <v>0</v>
      </c>
      <c r="W482">
        <f t="shared" si="51"/>
        <v>0</v>
      </c>
      <c r="X482">
        <f t="shared" si="52"/>
        <v>0</v>
      </c>
      <c r="Y482">
        <f t="shared" si="53"/>
        <v>0</v>
      </c>
      <c r="Z482" t="str">
        <f t="shared" si="54"/>
        <v>CRAP</v>
      </c>
      <c r="AA482" t="str">
        <f t="shared" si="55"/>
        <v>CRAP</v>
      </c>
    </row>
    <row r="483" spans="1:27" ht="13.5" customHeight="1" thickBot="1" x14ac:dyDescent="0.35">
      <c r="A483">
        <f t="shared" si="56"/>
        <v>0</v>
      </c>
      <c r="B483" s="18"/>
      <c r="C483" s="11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>
        <f t="shared" si="50"/>
        <v>0</v>
      </c>
      <c r="W483">
        <f t="shared" si="51"/>
        <v>0</v>
      </c>
      <c r="X483">
        <f t="shared" si="52"/>
        <v>0</v>
      </c>
      <c r="Y483">
        <f t="shared" si="53"/>
        <v>0</v>
      </c>
      <c r="Z483" t="str">
        <f t="shared" si="54"/>
        <v>CRAP</v>
      </c>
      <c r="AA483" t="str">
        <f t="shared" si="55"/>
        <v>CRAP</v>
      </c>
    </row>
    <row r="484" spans="1:27" ht="13.5" customHeight="1" thickBot="1" x14ac:dyDescent="0.35">
      <c r="A484">
        <f t="shared" si="56"/>
        <v>0</v>
      </c>
      <c r="B484" s="16"/>
      <c r="C484" s="10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>
        <f t="shared" si="50"/>
        <v>0</v>
      </c>
      <c r="W484">
        <f t="shared" si="51"/>
        <v>0</v>
      </c>
      <c r="X484">
        <f t="shared" si="52"/>
        <v>0</v>
      </c>
      <c r="Y484">
        <f t="shared" si="53"/>
        <v>0</v>
      </c>
      <c r="Z484" t="str">
        <f t="shared" si="54"/>
        <v>CRAP</v>
      </c>
      <c r="AA484" t="str">
        <f t="shared" si="55"/>
        <v>CRAP</v>
      </c>
    </row>
    <row r="485" spans="1:27" ht="13.5" customHeight="1" thickBot="1" x14ac:dyDescent="0.35">
      <c r="A485">
        <f t="shared" si="56"/>
        <v>0</v>
      </c>
      <c r="B485" s="18"/>
      <c r="C485" s="11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>
        <f t="shared" si="50"/>
        <v>0</v>
      </c>
      <c r="W485">
        <f t="shared" si="51"/>
        <v>0</v>
      </c>
      <c r="X485">
        <f t="shared" si="52"/>
        <v>0</v>
      </c>
      <c r="Y485">
        <f t="shared" si="53"/>
        <v>0</v>
      </c>
      <c r="Z485" t="str">
        <f t="shared" si="54"/>
        <v>CRAP</v>
      </c>
      <c r="AA485" t="str">
        <f t="shared" si="55"/>
        <v>CRAP</v>
      </c>
    </row>
    <row r="486" spans="1:27" ht="13.5" customHeight="1" thickBot="1" x14ac:dyDescent="0.35">
      <c r="A486">
        <f t="shared" si="56"/>
        <v>0</v>
      </c>
      <c r="B486" s="16"/>
      <c r="C486" s="10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>
        <f t="shared" si="50"/>
        <v>0</v>
      </c>
      <c r="W486">
        <f t="shared" si="51"/>
        <v>0</v>
      </c>
      <c r="X486">
        <f t="shared" si="52"/>
        <v>0</v>
      </c>
      <c r="Y486">
        <f t="shared" si="53"/>
        <v>0</v>
      </c>
      <c r="Z486" t="str">
        <f t="shared" si="54"/>
        <v>CRAP</v>
      </c>
      <c r="AA486" t="str">
        <f t="shared" si="55"/>
        <v>CRAP</v>
      </c>
    </row>
    <row r="487" spans="1:27" ht="13.5" customHeight="1" thickBot="1" x14ac:dyDescent="0.35">
      <c r="A487">
        <f t="shared" si="56"/>
        <v>0</v>
      </c>
      <c r="B487" s="18"/>
      <c r="C487" s="11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>
        <f t="shared" si="50"/>
        <v>0</v>
      </c>
      <c r="W487">
        <f t="shared" si="51"/>
        <v>0</v>
      </c>
      <c r="X487">
        <f t="shared" si="52"/>
        <v>0</v>
      </c>
      <c r="Y487">
        <f t="shared" si="53"/>
        <v>0</v>
      </c>
      <c r="Z487" t="str">
        <f t="shared" si="54"/>
        <v>CRAP</v>
      </c>
      <c r="AA487" t="str">
        <f t="shared" si="55"/>
        <v>CRAP</v>
      </c>
    </row>
    <row r="488" spans="1:27" ht="13.5" customHeight="1" thickBot="1" x14ac:dyDescent="0.35">
      <c r="A488">
        <f t="shared" si="56"/>
        <v>0</v>
      </c>
      <c r="B488" s="16"/>
      <c r="C488" s="10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>
        <f t="shared" si="50"/>
        <v>0</v>
      </c>
      <c r="W488">
        <f t="shared" si="51"/>
        <v>0</v>
      </c>
      <c r="X488">
        <f t="shared" si="52"/>
        <v>0</v>
      </c>
      <c r="Y488">
        <f t="shared" si="53"/>
        <v>0</v>
      </c>
      <c r="Z488" t="str">
        <f t="shared" si="54"/>
        <v>CRAP</v>
      </c>
      <c r="AA488" t="str">
        <f t="shared" si="55"/>
        <v>CRAP</v>
      </c>
    </row>
    <row r="489" spans="1:27" ht="13.5" customHeight="1" thickBot="1" x14ac:dyDescent="0.35">
      <c r="A489">
        <f t="shared" si="56"/>
        <v>0</v>
      </c>
      <c r="B489" s="18"/>
      <c r="C489" s="11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>
        <f t="shared" si="50"/>
        <v>0</v>
      </c>
      <c r="W489">
        <f t="shared" si="51"/>
        <v>0</v>
      </c>
      <c r="X489">
        <f t="shared" si="52"/>
        <v>0</v>
      </c>
      <c r="Y489">
        <f t="shared" si="53"/>
        <v>0</v>
      </c>
      <c r="Z489" t="str">
        <f t="shared" si="54"/>
        <v>CRAP</v>
      </c>
      <c r="AA489" t="str">
        <f t="shared" si="55"/>
        <v>CRAP</v>
      </c>
    </row>
    <row r="490" spans="1:27" ht="13.5" customHeight="1" thickBot="1" x14ac:dyDescent="0.35">
      <c r="A490">
        <f t="shared" si="56"/>
        <v>0</v>
      </c>
      <c r="B490" s="16"/>
      <c r="C490" s="10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>
        <f t="shared" si="50"/>
        <v>0</v>
      </c>
      <c r="W490">
        <f t="shared" si="51"/>
        <v>0</v>
      </c>
      <c r="X490">
        <f t="shared" si="52"/>
        <v>0</v>
      </c>
      <c r="Y490">
        <f t="shared" si="53"/>
        <v>0</v>
      </c>
      <c r="Z490" t="str">
        <f t="shared" si="54"/>
        <v>CRAP</v>
      </c>
      <c r="AA490" t="str">
        <f t="shared" si="55"/>
        <v>CRAP</v>
      </c>
    </row>
    <row r="491" spans="1:27" ht="13.5" customHeight="1" thickBot="1" x14ac:dyDescent="0.35">
      <c r="A491">
        <f t="shared" si="56"/>
        <v>0</v>
      </c>
      <c r="B491" s="18"/>
      <c r="C491" s="11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>
        <f t="shared" si="50"/>
        <v>0</v>
      </c>
      <c r="W491">
        <f t="shared" si="51"/>
        <v>0</v>
      </c>
      <c r="X491">
        <f t="shared" si="52"/>
        <v>0</v>
      </c>
      <c r="Y491">
        <f t="shared" si="53"/>
        <v>0</v>
      </c>
      <c r="Z491" t="str">
        <f t="shared" si="54"/>
        <v>CRAP</v>
      </c>
      <c r="AA491" t="str">
        <f t="shared" si="55"/>
        <v>CRAP</v>
      </c>
    </row>
    <row r="492" spans="1:27" ht="13.5" customHeight="1" thickBot="1" x14ac:dyDescent="0.35">
      <c r="A492">
        <f t="shared" si="56"/>
        <v>0</v>
      </c>
      <c r="B492" s="16"/>
      <c r="C492" s="10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>
        <f t="shared" si="50"/>
        <v>0</v>
      </c>
      <c r="W492">
        <f t="shared" si="51"/>
        <v>0</v>
      </c>
      <c r="X492">
        <f t="shared" si="52"/>
        <v>0</v>
      </c>
      <c r="Y492">
        <f t="shared" si="53"/>
        <v>0</v>
      </c>
      <c r="Z492" t="str">
        <f t="shared" si="54"/>
        <v>CRAP</v>
      </c>
      <c r="AA492" t="str">
        <f t="shared" si="55"/>
        <v>CRAP</v>
      </c>
    </row>
    <row r="493" spans="1:27" ht="13.5" customHeight="1" thickBot="1" x14ac:dyDescent="0.35">
      <c r="A493">
        <f t="shared" si="56"/>
        <v>0</v>
      </c>
      <c r="B493" s="18"/>
      <c r="C493" s="11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>
        <f t="shared" si="50"/>
        <v>0</v>
      </c>
      <c r="W493">
        <f t="shared" si="51"/>
        <v>0</v>
      </c>
      <c r="X493">
        <f t="shared" si="52"/>
        <v>0</v>
      </c>
      <c r="Y493">
        <f t="shared" si="53"/>
        <v>0</v>
      </c>
      <c r="Z493" t="str">
        <f t="shared" si="54"/>
        <v>CRAP</v>
      </c>
      <c r="AA493" t="str">
        <f t="shared" si="55"/>
        <v>CRAP</v>
      </c>
    </row>
    <row r="494" spans="1:27" ht="13.5" customHeight="1" thickBot="1" x14ac:dyDescent="0.35">
      <c r="A494">
        <f t="shared" si="56"/>
        <v>0</v>
      </c>
      <c r="B494" s="16"/>
      <c r="C494" s="10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>
        <f t="shared" si="50"/>
        <v>0</v>
      </c>
      <c r="W494">
        <f t="shared" si="51"/>
        <v>0</v>
      </c>
      <c r="X494">
        <f t="shared" si="52"/>
        <v>0</v>
      </c>
      <c r="Y494">
        <f t="shared" si="53"/>
        <v>0</v>
      </c>
      <c r="Z494" t="str">
        <f t="shared" si="54"/>
        <v>CRAP</v>
      </c>
      <c r="AA494" t="str">
        <f t="shared" si="55"/>
        <v>CRAP</v>
      </c>
    </row>
    <row r="495" spans="1:27" ht="13.5" customHeight="1" thickBot="1" x14ac:dyDescent="0.35">
      <c r="A495">
        <f t="shared" si="56"/>
        <v>0</v>
      </c>
      <c r="B495" s="18"/>
      <c r="C495" s="11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>
        <f t="shared" si="50"/>
        <v>0</v>
      </c>
      <c r="W495">
        <f t="shared" si="51"/>
        <v>0</v>
      </c>
      <c r="X495">
        <f t="shared" si="52"/>
        <v>0</v>
      </c>
      <c r="Y495">
        <f t="shared" si="53"/>
        <v>0</v>
      </c>
      <c r="Z495" t="str">
        <f t="shared" si="54"/>
        <v>CRAP</v>
      </c>
      <c r="AA495" t="str">
        <f t="shared" si="55"/>
        <v>CRAP</v>
      </c>
    </row>
    <row r="496" spans="1:27" ht="13.5" customHeight="1" thickBot="1" x14ac:dyDescent="0.35">
      <c r="A496">
        <f t="shared" si="56"/>
        <v>0</v>
      </c>
      <c r="B496" s="16"/>
      <c r="C496" s="10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>
        <f t="shared" si="50"/>
        <v>0</v>
      </c>
      <c r="W496">
        <f t="shared" si="51"/>
        <v>0</v>
      </c>
      <c r="X496">
        <f t="shared" si="52"/>
        <v>0</v>
      </c>
      <c r="Y496">
        <f t="shared" si="53"/>
        <v>0</v>
      </c>
      <c r="Z496" t="str">
        <f t="shared" si="54"/>
        <v>CRAP</v>
      </c>
      <c r="AA496" t="str">
        <f t="shared" si="55"/>
        <v>CRAP</v>
      </c>
    </row>
    <row r="497" spans="1:27" ht="13.5" customHeight="1" thickBot="1" x14ac:dyDescent="0.35">
      <c r="A497">
        <f t="shared" si="56"/>
        <v>0</v>
      </c>
      <c r="B497" s="18"/>
      <c r="C497" s="11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>
        <f t="shared" si="50"/>
        <v>0</v>
      </c>
      <c r="W497">
        <f t="shared" si="51"/>
        <v>0</v>
      </c>
      <c r="X497">
        <f t="shared" si="52"/>
        <v>0</v>
      </c>
      <c r="Y497">
        <f t="shared" si="53"/>
        <v>0</v>
      </c>
      <c r="Z497" t="str">
        <f t="shared" si="54"/>
        <v>CRAP</v>
      </c>
      <c r="AA497" t="str">
        <f t="shared" si="55"/>
        <v>CRAP</v>
      </c>
    </row>
    <row r="498" spans="1:27" ht="13.5" customHeight="1" thickBot="1" x14ac:dyDescent="0.35">
      <c r="A498">
        <f t="shared" si="56"/>
        <v>0</v>
      </c>
      <c r="B498" s="16"/>
      <c r="C498" s="10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>
        <f t="shared" si="50"/>
        <v>0</v>
      </c>
      <c r="W498">
        <f t="shared" si="51"/>
        <v>0</v>
      </c>
      <c r="X498">
        <f t="shared" si="52"/>
        <v>0</v>
      </c>
      <c r="Y498">
        <f t="shared" si="53"/>
        <v>0</v>
      </c>
      <c r="Z498" t="str">
        <f t="shared" si="54"/>
        <v>CRAP</v>
      </c>
      <c r="AA498" t="str">
        <f t="shared" si="55"/>
        <v>CRAP</v>
      </c>
    </row>
    <row r="499" spans="1:27" ht="13.5" customHeight="1" thickBot="1" x14ac:dyDescent="0.35">
      <c r="A499">
        <f t="shared" si="56"/>
        <v>0</v>
      </c>
      <c r="B499" s="18"/>
      <c r="C499" s="11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>
        <f t="shared" si="50"/>
        <v>0</v>
      </c>
      <c r="W499">
        <f t="shared" si="51"/>
        <v>0</v>
      </c>
      <c r="X499">
        <f t="shared" si="52"/>
        <v>0</v>
      </c>
      <c r="Y499">
        <f t="shared" si="53"/>
        <v>0</v>
      </c>
      <c r="Z499" t="str">
        <f t="shared" si="54"/>
        <v>CRAP</v>
      </c>
      <c r="AA499" t="str">
        <f t="shared" si="55"/>
        <v>CRAP</v>
      </c>
    </row>
    <row r="500" spans="1:27" ht="13.5" customHeight="1" thickBot="1" x14ac:dyDescent="0.35">
      <c r="A500">
        <f t="shared" si="56"/>
        <v>0</v>
      </c>
      <c r="B500" s="16"/>
      <c r="C500" s="10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>
        <f t="shared" si="50"/>
        <v>0</v>
      </c>
      <c r="W500">
        <f t="shared" si="51"/>
        <v>0</v>
      </c>
      <c r="X500">
        <f t="shared" si="52"/>
        <v>0</v>
      </c>
      <c r="Y500">
        <f t="shared" si="53"/>
        <v>0</v>
      </c>
      <c r="Z500" t="str">
        <f t="shared" si="54"/>
        <v>CRAP</v>
      </c>
      <c r="AA500" t="str">
        <f t="shared" si="55"/>
        <v>CRAP</v>
      </c>
    </row>
    <row r="501" spans="1:27" ht="13.5" customHeight="1" thickBot="1" x14ac:dyDescent="0.35">
      <c r="A501">
        <f t="shared" si="56"/>
        <v>0</v>
      </c>
      <c r="B501" s="18"/>
      <c r="C501" s="11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>
        <f t="shared" si="50"/>
        <v>0</v>
      </c>
      <c r="W501">
        <f t="shared" si="51"/>
        <v>0</v>
      </c>
      <c r="X501">
        <f t="shared" si="52"/>
        <v>0</v>
      </c>
      <c r="Y501">
        <f t="shared" si="53"/>
        <v>0</v>
      </c>
      <c r="Z501" t="str">
        <f t="shared" si="54"/>
        <v>CRAP</v>
      </c>
      <c r="AA501" t="str">
        <f t="shared" si="55"/>
        <v>CRAP</v>
      </c>
    </row>
    <row r="502" spans="1:27" ht="13.5" customHeight="1" thickBot="1" x14ac:dyDescent="0.35">
      <c r="A502">
        <f t="shared" si="56"/>
        <v>0</v>
      </c>
      <c r="B502" s="16"/>
      <c r="C502" s="10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>
        <f t="shared" si="50"/>
        <v>0</v>
      </c>
      <c r="W502">
        <f t="shared" si="51"/>
        <v>0</v>
      </c>
      <c r="X502">
        <f t="shared" si="52"/>
        <v>0</v>
      </c>
      <c r="Y502">
        <f t="shared" si="53"/>
        <v>0</v>
      </c>
      <c r="Z502" t="str">
        <f t="shared" si="54"/>
        <v>CRAP</v>
      </c>
      <c r="AA502" t="str">
        <f t="shared" si="55"/>
        <v>CRAP</v>
      </c>
    </row>
    <row r="503" spans="1:27" ht="13.5" customHeight="1" thickBot="1" x14ac:dyDescent="0.35">
      <c r="A503">
        <f t="shared" si="56"/>
        <v>0</v>
      </c>
      <c r="B503" s="18"/>
      <c r="C503" s="11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>
        <f t="shared" si="50"/>
        <v>0</v>
      </c>
      <c r="W503">
        <f t="shared" si="51"/>
        <v>0</v>
      </c>
      <c r="X503">
        <f t="shared" si="52"/>
        <v>0</v>
      </c>
      <c r="Y503">
        <f t="shared" si="53"/>
        <v>0</v>
      </c>
      <c r="Z503" t="str">
        <f t="shared" si="54"/>
        <v>CRAP</v>
      </c>
      <c r="AA503" t="str">
        <f t="shared" si="55"/>
        <v>CRAP</v>
      </c>
    </row>
    <row r="504" spans="1:27" ht="13.5" customHeight="1" thickBot="1" x14ac:dyDescent="0.35">
      <c r="A504">
        <f t="shared" si="56"/>
        <v>0</v>
      </c>
      <c r="B504" s="16"/>
      <c r="C504" s="10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>
        <f t="shared" si="50"/>
        <v>0</v>
      </c>
      <c r="W504">
        <f t="shared" si="51"/>
        <v>0</v>
      </c>
      <c r="X504">
        <f t="shared" si="52"/>
        <v>0</v>
      </c>
      <c r="Y504">
        <f t="shared" si="53"/>
        <v>0</v>
      </c>
      <c r="Z504" t="str">
        <f t="shared" si="54"/>
        <v>CRAP</v>
      </c>
      <c r="AA504" t="str">
        <f t="shared" si="55"/>
        <v>CRAP</v>
      </c>
    </row>
    <row r="505" spans="1:27" ht="13.5" customHeight="1" thickBot="1" x14ac:dyDescent="0.35">
      <c r="A505">
        <f t="shared" si="56"/>
        <v>0</v>
      </c>
      <c r="B505" s="18"/>
      <c r="C505" s="11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>
        <f t="shared" si="50"/>
        <v>0</v>
      </c>
      <c r="W505">
        <f t="shared" si="51"/>
        <v>0</v>
      </c>
      <c r="X505">
        <f t="shared" si="52"/>
        <v>0</v>
      </c>
      <c r="Y505">
        <f t="shared" si="53"/>
        <v>0</v>
      </c>
      <c r="Z505" t="str">
        <f t="shared" si="54"/>
        <v>CRAP</v>
      </c>
      <c r="AA505" t="str">
        <f t="shared" si="55"/>
        <v>CRAP</v>
      </c>
    </row>
  </sheetData>
  <autoFilter ref="A5:Y5" xr:uid="{00000000-0009-0000-0000-000001000000}">
    <sortState xmlns:xlrd2="http://schemas.microsoft.com/office/spreadsheetml/2017/richdata2" ref="A6:Y206">
      <sortCondition descending="1" ref="A5"/>
    </sortState>
  </autoFilter>
  <hyperlinks>
    <hyperlink ref="B5" r:id="rId1" display="https://www.whatifsports.com/hbd/Pages/GM/AmateurDraftPlayerPool.aspx" xr:uid="{00000000-0004-0000-0100-000000000000}"/>
    <hyperlink ref="C5" r:id="rId2" display="https://www.whatifsports.com/hbd/Pages/GM/AmateurDraftPlayerPool.aspx" xr:uid="{00000000-0004-0000-0100-000001000000}"/>
    <hyperlink ref="D5" r:id="rId3" display="https://www.whatifsports.com/hbd/Pages/GM/AmateurDraftPlayerPool.aspx" xr:uid="{00000000-0004-0000-0100-000002000000}"/>
    <hyperlink ref="E5" r:id="rId4" display="https://www.whatifsports.com/hbd/Pages/GM/AmateurDraftPlayerPool.aspx" xr:uid="{00000000-0004-0000-0100-000003000000}"/>
    <hyperlink ref="F5" r:id="rId5" display="https://www.whatifsports.com/hbd/Pages/GM/AmateurDraftPlayerPool.aspx" xr:uid="{00000000-0004-0000-0100-000004000000}"/>
    <hyperlink ref="G5" r:id="rId6" display="https://www.whatifsports.com/hbd/Pages/GM/AmateurDraftPlayerPool.aspx" xr:uid="{00000000-0004-0000-0100-000005000000}"/>
    <hyperlink ref="H5" display="Health" xr:uid="{00000000-0004-0000-0100-000006000000}"/>
    <hyperlink ref="C6" r:id="rId7" tooltip="Open Prospect Profile" display="https://www.whatifsports.com/hbd/Pages/Popups/ProspectProfile.aspx?pid=13632168" xr:uid="{00000000-0004-0000-0100-000007000000}"/>
    <hyperlink ref="C7" r:id="rId8" tooltip="Open Prospect Profile" display="https://www.whatifsports.com/hbd/Pages/Popups/ProspectProfile.aspx?pid=13632221" xr:uid="{00000000-0004-0000-0100-000008000000}"/>
    <hyperlink ref="C8" r:id="rId9" tooltip="Open Prospect Profile" display="https://www.whatifsports.com/hbd/Pages/Popups/ProspectProfile.aspx?pid=13632238" xr:uid="{00000000-0004-0000-0100-000009000000}"/>
    <hyperlink ref="C9" r:id="rId10" tooltip="Open Prospect Profile" display="https://www.whatifsports.com/hbd/Pages/Popups/ProspectProfile.aspx?pid=13632216" xr:uid="{00000000-0004-0000-0100-00000A000000}"/>
    <hyperlink ref="C10" r:id="rId11" tooltip="Open Prospect Profile" display="https://www.whatifsports.com/hbd/Pages/Popups/ProspectProfile.aspx?pid=13632232" xr:uid="{00000000-0004-0000-0100-00000B000000}"/>
    <hyperlink ref="C11" r:id="rId12" tooltip="Open Prospect Profile" display="https://www.whatifsports.com/hbd/Pages/Popups/ProspectProfile.aspx?pid=13632233" xr:uid="{00000000-0004-0000-0100-00000C000000}"/>
    <hyperlink ref="C12" r:id="rId13" tooltip="Open Prospect Profile" display="https://www.whatifsports.com/hbd/Pages/Popups/ProspectProfile.aspx?pid=13632194" xr:uid="{00000000-0004-0000-0100-00000D000000}"/>
    <hyperlink ref="C13" r:id="rId14" tooltip="Open Prospect Profile" display="https://www.whatifsports.com/hbd/Pages/Popups/ProspectProfile.aspx?pid=13632205" xr:uid="{00000000-0004-0000-0100-00000E000000}"/>
    <hyperlink ref="C14" r:id="rId15" tooltip="Open Prospect Profile" display="https://www.whatifsports.com/hbd/Pages/Popups/ProspectProfile.aspx?pid=13632207" xr:uid="{00000000-0004-0000-0100-00000F000000}"/>
    <hyperlink ref="C15" r:id="rId16" tooltip="Open Prospect Profile" display="https://www.whatifsports.com/hbd/Pages/Popups/ProspectProfile.aspx?pid=13632211" xr:uid="{00000000-0004-0000-0100-000010000000}"/>
    <hyperlink ref="C16" r:id="rId17" tooltip="Open Prospect Profile" display="https://www.whatifsports.com/hbd/Pages/Popups/ProspectProfile.aspx?pid=13632199" xr:uid="{00000000-0004-0000-0100-000011000000}"/>
    <hyperlink ref="C17" r:id="rId18" tooltip="Open Prospect Profile" display="https://www.whatifsports.com/hbd/Pages/Popups/ProspectProfile.aspx?pid=13632178" xr:uid="{00000000-0004-0000-0100-000012000000}"/>
    <hyperlink ref="C18" r:id="rId19" tooltip="Open Prospect Profile" display="https://www.whatifsports.com/hbd/Pages/Popups/ProspectProfile.aspx?pid=13632234" xr:uid="{00000000-0004-0000-0100-000013000000}"/>
    <hyperlink ref="C19" r:id="rId20" tooltip="Open Prospect Profile" display="https://www.whatifsports.com/hbd/Pages/Popups/ProspectProfile.aspx?pid=13632223" xr:uid="{00000000-0004-0000-0100-000014000000}"/>
    <hyperlink ref="C20" r:id="rId21" tooltip="Open Prospect Profile" display="https://www.whatifsports.com/hbd/Pages/Popups/ProspectProfile.aspx?pid=13632217" xr:uid="{00000000-0004-0000-0100-000015000000}"/>
    <hyperlink ref="C21" r:id="rId22" tooltip="Open Prospect Profile" display="https://www.whatifsports.com/hbd/Pages/Popups/ProspectProfile.aspx?pid=13632201" xr:uid="{00000000-0004-0000-0100-000016000000}"/>
    <hyperlink ref="C22" r:id="rId23" tooltip="Open Prospect Profile" display="https://www.whatifsports.com/hbd/Pages/Popups/ProspectProfile.aspx?pid=13632164" xr:uid="{00000000-0004-0000-0100-000017000000}"/>
    <hyperlink ref="C23" r:id="rId24" tooltip="Open Prospect Profile" display="https://www.whatifsports.com/hbd/Pages/Popups/ProspectProfile.aspx?pid=13632171" xr:uid="{00000000-0004-0000-0100-000018000000}"/>
    <hyperlink ref="C24" r:id="rId25" tooltip="Open Prospect Profile" display="https://www.whatifsports.com/hbd/Pages/Popups/ProspectProfile.aspx?pid=13632212" xr:uid="{00000000-0004-0000-0100-000019000000}"/>
    <hyperlink ref="C25" r:id="rId26" tooltip="Open Prospect Profile" display="https://www.whatifsports.com/hbd/Pages/Popups/ProspectProfile.aspx?pid=13632206" xr:uid="{00000000-0004-0000-0100-00001A000000}"/>
    <hyperlink ref="C26" r:id="rId27" tooltip="Open Prospect Profile" display="https://www.whatifsports.com/hbd/Pages/Popups/ProspectProfile.aspx?pid=13632071" xr:uid="{00000000-0004-0000-0100-00001B000000}"/>
    <hyperlink ref="C27" r:id="rId28" tooltip="Open Prospect Profile" display="https://www.whatifsports.com/hbd/Pages/Popups/ProspectProfile.aspx?pid=13632066" xr:uid="{00000000-0004-0000-0100-00001C000000}"/>
    <hyperlink ref="C28" r:id="rId29" tooltip="Open Prospect Profile" display="https://www.whatifsports.com/hbd/Pages/Popups/ProspectProfile.aspx?pid=13632229" xr:uid="{00000000-0004-0000-0100-00001D000000}"/>
    <hyperlink ref="C29" r:id="rId30" tooltip="Open Prospect Profile" display="https://www.whatifsports.com/hbd/Pages/Popups/ProspectProfile.aspx?pid=13631900" xr:uid="{00000000-0004-0000-0100-00001E000000}"/>
    <hyperlink ref="C30" r:id="rId31" tooltip="Open Prospect Profile" display="https://www.whatifsports.com/hbd/Pages/Popups/ProspectProfile.aspx?pid=13632224" xr:uid="{00000000-0004-0000-0100-00001F000000}"/>
    <hyperlink ref="C31" r:id="rId32" tooltip="Open Prospect Profile" display="https://www.whatifsports.com/hbd/Pages/Popups/ProspectProfile.aspx?pid=13632130" xr:uid="{00000000-0004-0000-0100-000020000000}"/>
    <hyperlink ref="C32" r:id="rId33" tooltip="Open Prospect Profile" display="https://www.whatifsports.com/hbd/Pages/Popups/ProspectProfile.aspx?pid=13632169" xr:uid="{00000000-0004-0000-0100-000021000000}"/>
    <hyperlink ref="C33" r:id="rId34" tooltip="Open Prospect Profile" display="https://www.whatifsports.com/hbd/Pages/Popups/ProspectProfile.aspx?pid=13631946" xr:uid="{00000000-0004-0000-0100-000022000000}"/>
    <hyperlink ref="C34" r:id="rId35" tooltip="Open Prospect Profile" display="https://www.whatifsports.com/hbd/Pages/Popups/ProspectProfile.aspx?pid=13632099" xr:uid="{00000000-0004-0000-0100-000023000000}"/>
    <hyperlink ref="C35" r:id="rId36" tooltip="Open Prospect Profile" display="https://www.whatifsports.com/hbd/Pages/Popups/ProspectProfile.aspx?pid=13632172" xr:uid="{00000000-0004-0000-0100-000024000000}"/>
    <hyperlink ref="C36" r:id="rId37" tooltip="Open Prospect Profile" display="https://www.whatifsports.com/hbd/Pages/Popups/ProspectProfile.aspx?pid=13632116" xr:uid="{00000000-0004-0000-0100-000025000000}"/>
    <hyperlink ref="C37" r:id="rId38" tooltip="Open Prospect Profile" display="https://www.whatifsports.com/hbd/Pages/Popups/ProspectProfile.aspx?pid=13632183" xr:uid="{00000000-0004-0000-0100-000026000000}"/>
    <hyperlink ref="C38" r:id="rId39" tooltip="Open Prospect Profile" display="https://www.whatifsports.com/hbd/Pages/Popups/ProspectProfile.aspx?pid=13632036" xr:uid="{00000000-0004-0000-0100-000027000000}"/>
    <hyperlink ref="C39" r:id="rId40" tooltip="Open Prospect Profile" display="https://www.whatifsports.com/hbd/Pages/Popups/ProspectProfile.aspx?pid=13632186" xr:uid="{00000000-0004-0000-0100-000028000000}"/>
    <hyperlink ref="C40" r:id="rId41" tooltip="Open Prospect Profile" display="https://www.whatifsports.com/hbd/Pages/Popups/ProspectProfile.aspx?pid=13632123" xr:uid="{00000000-0004-0000-0100-000029000000}"/>
    <hyperlink ref="C41" r:id="rId42" tooltip="Open Prospect Profile" display="https://www.whatifsports.com/hbd/Pages/Popups/ProspectProfile.aspx?pid=13632143" xr:uid="{00000000-0004-0000-0100-00002A000000}"/>
    <hyperlink ref="C42" r:id="rId43" tooltip="Open Prospect Profile" display="https://www.whatifsports.com/hbd/Pages/Popups/ProspectProfile.aspx?pid=13632154" xr:uid="{00000000-0004-0000-0100-00002B000000}"/>
    <hyperlink ref="C43" r:id="rId44" tooltip="Open Prospect Profile" display="https://www.whatifsports.com/hbd/Pages/Popups/ProspectProfile.aspx?pid=13632237" xr:uid="{00000000-0004-0000-0100-00002C000000}"/>
    <hyperlink ref="C44" r:id="rId45" tooltip="Open Prospect Profile" display="https://www.whatifsports.com/hbd/Pages/Popups/ProspectProfile.aspx?pid=13632035" xr:uid="{00000000-0004-0000-0100-00002D000000}"/>
    <hyperlink ref="C45" r:id="rId46" tooltip="Open Prospect Profile" display="https://www.whatifsports.com/hbd/Pages/Popups/ProspectProfile.aspx?pid=13632149" xr:uid="{00000000-0004-0000-0100-00002E000000}"/>
    <hyperlink ref="C46" r:id="rId47" tooltip="Open Prospect Profile" display="https://www.whatifsports.com/hbd/Pages/Popups/ProspectProfile.aspx?pid=13632078" xr:uid="{00000000-0004-0000-0100-00002F000000}"/>
    <hyperlink ref="C47" r:id="rId48" tooltip="Open Prospect Profile" display="https://www.whatifsports.com/hbd/Pages/Popups/ProspectProfile.aspx?pid=13632087" xr:uid="{00000000-0004-0000-0100-000030000000}"/>
    <hyperlink ref="C48" r:id="rId49" tooltip="Open Prospect Profile" display="https://www.whatifsports.com/hbd/Pages/Popups/ProspectProfile.aspx?pid=13632197" xr:uid="{00000000-0004-0000-0100-000031000000}"/>
    <hyperlink ref="C49" r:id="rId50" tooltip="Open Prospect Profile" display="https://www.whatifsports.com/hbd/Pages/Popups/ProspectProfile.aspx?pid=13632052" xr:uid="{00000000-0004-0000-0100-000032000000}"/>
    <hyperlink ref="C50" r:id="rId51" tooltip="Open Prospect Profile" display="https://www.whatifsports.com/hbd/Pages/Popups/ProspectProfile.aspx?pid=13632030" xr:uid="{00000000-0004-0000-0100-000033000000}"/>
    <hyperlink ref="C51" r:id="rId52" tooltip="Open Prospect Profile" display="https://www.whatifsports.com/hbd/Pages/Popups/ProspectProfile.aspx?pid=13631977" xr:uid="{00000000-0004-0000-0100-000034000000}"/>
    <hyperlink ref="C52" r:id="rId53" tooltip="Open Prospect Profile" display="https://www.whatifsports.com/hbd/Pages/Popups/ProspectProfile.aspx?pid=13631972" xr:uid="{00000000-0004-0000-0100-000035000000}"/>
    <hyperlink ref="C53" r:id="rId54" tooltip="Open Prospect Profile" display="https://www.whatifsports.com/hbd/Pages/Popups/ProspectProfile.aspx?pid=13632160" xr:uid="{00000000-0004-0000-0100-000036000000}"/>
    <hyperlink ref="C54" r:id="rId55" tooltip="Open Prospect Profile" display="https://www.whatifsports.com/hbd/Pages/Popups/ProspectProfile.aspx?pid=13632084" xr:uid="{00000000-0004-0000-0100-000037000000}"/>
    <hyperlink ref="C55" r:id="rId56" tooltip="Open Prospect Profile" display="https://www.whatifsports.com/hbd/Pages/Popups/ProspectProfile.aspx?pid=13631876" xr:uid="{00000000-0004-0000-0100-000038000000}"/>
    <hyperlink ref="C56" r:id="rId57" tooltip="Open Prospect Profile" display="https://www.whatifsports.com/hbd/Pages/Popups/ProspectProfile.aspx?pid=13632208" xr:uid="{00000000-0004-0000-0100-000039000000}"/>
    <hyperlink ref="C57" r:id="rId58" tooltip="Open Prospect Profile" display="https://www.whatifsports.com/hbd/Pages/Popups/ProspectProfile.aspx?pid=13631852" xr:uid="{00000000-0004-0000-0100-00003A000000}"/>
    <hyperlink ref="C58" r:id="rId59" tooltip="Open Prospect Profile" display="https://www.whatifsports.com/hbd/Pages/Popups/ProspectProfile.aspx?pid=13631871" xr:uid="{00000000-0004-0000-0100-00003B000000}"/>
    <hyperlink ref="C59" r:id="rId60" tooltip="Open Prospect Profile" display="https://www.whatifsports.com/hbd/Pages/Popups/ProspectProfile.aspx?pid=13631904" xr:uid="{00000000-0004-0000-0100-00003C000000}"/>
    <hyperlink ref="C60" r:id="rId61" tooltip="Open Prospect Profile" display="https://www.whatifsports.com/hbd/Pages/Popups/ProspectProfile.aspx?pid=13632001" xr:uid="{00000000-0004-0000-0100-00003D000000}"/>
    <hyperlink ref="C61" r:id="rId62" tooltip="Open Prospect Profile" display="https://www.whatifsports.com/hbd/Pages/Popups/ProspectProfile.aspx?pid=13631916" xr:uid="{00000000-0004-0000-0100-00003E000000}"/>
    <hyperlink ref="C62" r:id="rId63" tooltip="Open Prospect Profile" display="https://www.whatifsports.com/hbd/Pages/Popups/ProspectProfile.aspx?pid=13632075" xr:uid="{00000000-0004-0000-0100-00003F000000}"/>
    <hyperlink ref="C63" r:id="rId64" tooltip="Open Prospect Profile" display="https://www.whatifsports.com/hbd/Pages/Popups/ProspectProfile.aspx?pid=13632113" xr:uid="{00000000-0004-0000-0100-000040000000}"/>
    <hyperlink ref="C64" r:id="rId65" tooltip="Open Prospect Profile" display="https://www.whatifsports.com/hbd/Pages/Popups/ProspectProfile.aspx?pid=13632213" xr:uid="{00000000-0004-0000-0100-000041000000}"/>
    <hyperlink ref="C65" r:id="rId66" tooltip="Open Prospect Profile" display="https://www.whatifsports.com/hbd/Pages/Popups/ProspectProfile.aspx?pid=13631926" xr:uid="{00000000-0004-0000-0100-000042000000}"/>
    <hyperlink ref="C66" r:id="rId67" tooltip="Open Prospect Profile" display="https://www.whatifsports.com/hbd/Pages/Popups/ProspectProfile.aspx?pid=13631989" xr:uid="{00000000-0004-0000-0100-000043000000}"/>
    <hyperlink ref="C67" r:id="rId68" tooltip="Open Prospect Profile" display="https://www.whatifsports.com/hbd/Pages/Popups/ProspectProfile.aspx?pid=13632013" xr:uid="{00000000-0004-0000-0100-000044000000}"/>
    <hyperlink ref="C68" r:id="rId69" tooltip="Open Prospect Profile" display="https://www.whatifsports.com/hbd/Pages/Popups/ProspectProfile.aspx?pid=13631896" xr:uid="{00000000-0004-0000-0100-000045000000}"/>
    <hyperlink ref="C69" r:id="rId70" tooltip="Open Prospect Profile" display="https://www.whatifsports.com/hbd/Pages/Popups/ProspectProfile.aspx?pid=13632204" xr:uid="{00000000-0004-0000-0100-000046000000}"/>
    <hyperlink ref="C70" r:id="rId71" tooltip="Open Prospect Profile" display="https://www.whatifsports.com/hbd/Pages/Popups/ProspectProfile.aspx?pid=13632107" xr:uid="{00000000-0004-0000-0100-000047000000}"/>
    <hyperlink ref="C71" r:id="rId72" tooltip="Open Prospect Profile" display="https://www.whatifsports.com/hbd/Pages/Popups/ProspectProfile.aspx?pid=13632019" xr:uid="{00000000-0004-0000-0100-000048000000}"/>
    <hyperlink ref="C72" r:id="rId73" tooltip="Open Prospect Profile" display="https://www.whatifsports.com/hbd/Pages/Popups/ProspectProfile.aspx?pid=13632115" xr:uid="{00000000-0004-0000-0100-000049000000}"/>
    <hyperlink ref="C73" r:id="rId74" tooltip="Open Prospect Profile" display="https://www.whatifsports.com/hbd/Pages/Popups/ProspectProfile.aspx?pid=13631994" xr:uid="{00000000-0004-0000-0100-00004A000000}"/>
    <hyperlink ref="C74" r:id="rId75" tooltip="Open Prospect Profile" display="https://www.whatifsports.com/hbd/Pages/Popups/ProspectProfile.aspx?pid=13631952" xr:uid="{00000000-0004-0000-0100-00004B000000}"/>
    <hyperlink ref="C75" r:id="rId76" tooltip="Open Prospect Profile" display="https://www.whatifsports.com/hbd/Pages/Popups/ProspectProfile.aspx?pid=13632104" xr:uid="{00000000-0004-0000-0100-00004C000000}"/>
    <hyperlink ref="C76" r:id="rId77" tooltip="Open Prospect Profile" display="https://www.whatifsports.com/hbd/Pages/Popups/ProspectProfile.aspx?pid=13631874" xr:uid="{00000000-0004-0000-0100-00004D000000}"/>
    <hyperlink ref="C77" r:id="rId78" tooltip="Open Prospect Profile" display="https://www.whatifsports.com/hbd/Pages/Popups/ProspectProfile.aspx?pid=13632063" xr:uid="{00000000-0004-0000-0100-00004E000000}"/>
    <hyperlink ref="C78" r:id="rId79" tooltip="Open Prospect Profile" display="https://www.whatifsports.com/hbd/Pages/Popups/ProspectProfile.aspx?pid=13632058" xr:uid="{00000000-0004-0000-0100-00004F000000}"/>
    <hyperlink ref="C79" r:id="rId80" tooltip="Open Prospect Profile" display="https://www.whatifsports.com/hbd/Pages/Popups/ProspectProfile.aspx?pid=13631991" xr:uid="{00000000-0004-0000-0100-000050000000}"/>
    <hyperlink ref="C80" r:id="rId81" tooltip="Open Prospect Profile" display="https://www.whatifsports.com/hbd/Pages/Popups/ProspectProfile.aspx?pid=13632055" xr:uid="{00000000-0004-0000-0100-000051000000}"/>
    <hyperlink ref="C81" r:id="rId82" tooltip="Open Prospect Profile" display="https://www.whatifsports.com/hbd/Pages/Popups/ProspectProfile.aspx?pid=13632022" xr:uid="{00000000-0004-0000-0100-000052000000}"/>
    <hyperlink ref="C82" r:id="rId83" tooltip="Open Prospect Profile" display="https://www.whatifsports.com/hbd/Pages/Popups/ProspectProfile.aspx?pid=13632023" xr:uid="{00000000-0004-0000-0100-000053000000}"/>
    <hyperlink ref="C83" r:id="rId84" tooltip="Open Prospect Profile" display="https://www.whatifsports.com/hbd/Pages/Popups/ProspectProfile.aspx?pid=13632131" xr:uid="{00000000-0004-0000-0100-000054000000}"/>
    <hyperlink ref="C84" r:id="rId85" tooltip="Open Prospect Profile" display="https://www.whatifsports.com/hbd/Pages/Popups/ProspectProfile.aspx?pid=13631885" xr:uid="{00000000-0004-0000-0100-000055000000}"/>
    <hyperlink ref="C85" r:id="rId86" tooltip="Open Prospect Profile" display="https://www.whatifsports.com/hbd/Pages/Popups/ProspectProfile.aspx?pid=13632236" xr:uid="{00000000-0004-0000-0100-000056000000}"/>
    <hyperlink ref="C86" r:id="rId87" tooltip="Open Prospect Profile" display="https://www.whatifsports.com/hbd/Pages/Popups/ProspectProfile.aspx?pid=13632048" xr:uid="{00000000-0004-0000-0100-000057000000}"/>
    <hyperlink ref="C87" r:id="rId88" tooltip="Open Prospect Profile" display="https://www.whatifsports.com/hbd/Pages/Popups/ProspectProfile.aspx?pid=13632029" xr:uid="{00000000-0004-0000-0100-000058000000}"/>
    <hyperlink ref="C88" r:id="rId89" tooltip="Open Prospect Profile" display="https://www.whatifsports.com/hbd/Pages/Popups/ProspectProfile.aspx?pid=13632085" xr:uid="{00000000-0004-0000-0100-000059000000}"/>
    <hyperlink ref="C89" r:id="rId90" tooltip="Open Prospect Profile" display="https://www.whatifsports.com/hbd/Pages/Popups/ProspectProfile.aspx?pid=13631910" xr:uid="{00000000-0004-0000-0100-00005A000000}"/>
    <hyperlink ref="C90" r:id="rId91" tooltip="Open Prospect Profile" display="https://www.whatifsports.com/hbd/Pages/Popups/ProspectProfile.aspx?pid=13631875" xr:uid="{00000000-0004-0000-0100-00005B000000}"/>
    <hyperlink ref="C91" r:id="rId92" tooltip="Open Prospect Profile" display="https://www.whatifsports.com/hbd/Pages/Popups/ProspectProfile.aspx?pid=13631877" xr:uid="{00000000-0004-0000-0100-00005C000000}"/>
    <hyperlink ref="C92" r:id="rId93" tooltip="Open Prospect Profile" display="https://www.whatifsports.com/hbd/Pages/Popups/ProspectProfile.aspx?pid=13631968" xr:uid="{00000000-0004-0000-0100-00005D000000}"/>
    <hyperlink ref="C93" r:id="rId94" tooltip="Open Prospect Profile" display="https://www.whatifsports.com/hbd/Pages/Popups/ProspectProfile.aspx?pid=13631996" xr:uid="{00000000-0004-0000-0100-00005E000000}"/>
    <hyperlink ref="C94" r:id="rId95" tooltip="Open Prospect Profile" display="https://www.whatifsports.com/hbd/Pages/Popups/ProspectProfile.aspx?pid=13631914" xr:uid="{00000000-0004-0000-0100-00005F000000}"/>
    <hyperlink ref="C95" r:id="rId96" tooltip="Open Prospect Profile" display="https://www.whatifsports.com/hbd/Pages/Popups/ProspectProfile.aspx?pid=13631882" xr:uid="{00000000-0004-0000-0100-000060000000}"/>
    <hyperlink ref="C96" r:id="rId97" tooltip="Open Prospect Profile" display="https://www.whatifsports.com/hbd/Pages/Popups/ProspectProfile.aspx?pid=13632156" xr:uid="{00000000-0004-0000-0100-000061000000}"/>
    <hyperlink ref="C97" r:id="rId98" tooltip="Open Prospect Profile" display="https://www.whatifsports.com/hbd/Pages/Popups/ProspectProfile.aspx?pid=13631844" xr:uid="{00000000-0004-0000-0100-000062000000}"/>
    <hyperlink ref="C98" r:id="rId99" tooltip="Open Prospect Profile" display="https://www.whatifsports.com/hbd/Pages/Popups/ProspectProfile.aspx?pid=13631963" xr:uid="{00000000-0004-0000-0100-000063000000}"/>
    <hyperlink ref="C99" r:id="rId100" tooltip="Open Prospect Profile" display="https://www.whatifsports.com/hbd/Pages/Popups/ProspectProfile.aspx?pid=13631849" xr:uid="{00000000-0004-0000-0100-000064000000}"/>
    <hyperlink ref="C100" r:id="rId101" tooltip="Open Prospect Profile" display="https://www.whatifsports.com/hbd/Pages/Popups/ProspectProfile.aspx?pid=13631913" xr:uid="{00000000-0004-0000-0100-000065000000}"/>
    <hyperlink ref="C101" r:id="rId102" tooltip="Open Prospect Profile" display="https://www.whatifsports.com/hbd/Pages/Popups/ProspectProfile.aspx?pid=13631945" xr:uid="{00000000-0004-0000-0100-000066000000}"/>
    <hyperlink ref="C102" r:id="rId103" tooltip="Open Prospect Profile" display="https://www.whatifsports.com/hbd/Pages/Popups/ProspectProfile.aspx?pid=13631863" xr:uid="{00000000-0004-0000-0100-000067000000}"/>
    <hyperlink ref="C103" r:id="rId104" tooltip="Open Prospect Profile" display="https://www.whatifsports.com/hbd/Pages/Popups/ProspectProfile.aspx?pid=13631939" xr:uid="{00000000-0004-0000-0100-000068000000}"/>
    <hyperlink ref="C104" r:id="rId105" tooltip="Open Prospect Profile" display="https://www.whatifsports.com/hbd/Pages/Popups/ProspectProfile.aspx?pid=13631860" xr:uid="{00000000-0004-0000-0100-000069000000}"/>
    <hyperlink ref="C105" r:id="rId106" tooltip="Open Prospect Profile" display="https://www.whatifsports.com/hbd/Pages/Popups/ProspectProfile.aspx?pid=13631853" xr:uid="{00000000-0004-0000-0100-00006A000000}"/>
    <hyperlink ref="C106" r:id="rId107" tooltip="Open Prospect Profile" display="https://www.whatifsports.com/hbd/Pages/Popups/ProspectProfile.aspx?pid=13631908" xr:uid="{00000000-0004-0000-0100-00006B000000}"/>
    <hyperlink ref="C107" r:id="rId108" tooltip="Open Prospect Profile" display="https://www.whatifsports.com/hbd/Pages/Popups/ProspectProfile.aspx?pid=13631576" xr:uid="{00000000-0004-0000-0100-00006C000000}"/>
    <hyperlink ref="C108" r:id="rId109" tooltip="Open Prospect Profile" display="https://www.whatifsports.com/hbd/Pages/Popups/ProspectProfile.aspx?pid=13631526" xr:uid="{00000000-0004-0000-0100-00006D000000}"/>
    <hyperlink ref="C109" r:id="rId110" tooltip="Open Prospect Profile" display="https://www.whatifsports.com/hbd/Pages/Popups/ProspectProfile.aspx?pid=13631732" xr:uid="{00000000-0004-0000-0100-00006E000000}"/>
    <hyperlink ref="C110" r:id="rId111" tooltip="Open Prospect Profile" display="https://www.whatifsports.com/hbd/Pages/Popups/ProspectProfile.aspx?pid=13631636" xr:uid="{00000000-0004-0000-0100-00006F000000}"/>
    <hyperlink ref="C111" r:id="rId112" tooltip="Open Prospect Profile" display="https://www.whatifsports.com/hbd/Pages/Popups/ProspectProfile.aspx?pid=13631678" xr:uid="{00000000-0004-0000-0100-000070000000}"/>
    <hyperlink ref="C112" r:id="rId113" tooltip="Open Prospect Profile" display="https://www.whatifsports.com/hbd/Pages/Popups/ProspectProfile.aspx?pid=13631448" xr:uid="{00000000-0004-0000-0100-000071000000}"/>
    <hyperlink ref="C113" r:id="rId114" tooltip="Open Prospect Profile" display="https://www.whatifsports.com/hbd/Pages/Popups/ProspectProfile.aspx?pid=13631567" xr:uid="{00000000-0004-0000-0100-000072000000}"/>
    <hyperlink ref="C114" r:id="rId115" tooltip="Open Prospect Profile" display="https://www.whatifsports.com/hbd/Pages/Popups/ProspectProfile.aspx?pid=13631672" xr:uid="{00000000-0004-0000-0100-000073000000}"/>
    <hyperlink ref="C115" r:id="rId116" tooltip="Open Prospect Profile" display="https://www.whatifsports.com/hbd/Pages/Popups/ProspectProfile.aspx?pid=13631585" xr:uid="{00000000-0004-0000-0100-000074000000}"/>
    <hyperlink ref="C116" r:id="rId117" tooltip="Open Prospect Profile" display="https://www.whatifsports.com/hbd/Pages/Popups/ProspectProfile.aspx?pid=13631514" xr:uid="{00000000-0004-0000-0100-000075000000}"/>
    <hyperlink ref="C117" r:id="rId118" tooltip="Open Prospect Profile" display="https://www.whatifsports.com/hbd/Pages/Popups/ProspectProfile.aspx?pid=13631431" xr:uid="{00000000-0004-0000-0100-000076000000}"/>
    <hyperlink ref="C118" r:id="rId119" tooltip="Open Prospect Profile" display="https://www.whatifsports.com/hbd/Pages/Popups/ProspectProfile.aspx?pid=13631674" xr:uid="{00000000-0004-0000-0100-000077000000}"/>
    <hyperlink ref="C119" r:id="rId120" tooltip="Open Prospect Profile" display="https://www.whatifsports.com/hbd/Pages/Popups/ProspectProfile.aspx?pid=13631409" xr:uid="{00000000-0004-0000-0100-000078000000}"/>
    <hyperlink ref="C120" r:id="rId121" tooltip="Open Prospect Profile" display="https://www.whatifsports.com/hbd/Pages/Popups/ProspectProfile.aspx?pid=13631391" xr:uid="{00000000-0004-0000-0100-000079000000}"/>
    <hyperlink ref="C121" r:id="rId122" tooltip="Open Prospect Profile" display="https://www.whatifsports.com/hbd/Pages/Popups/ProspectProfile.aspx?pid=13631791" xr:uid="{00000000-0004-0000-0100-00007A000000}"/>
    <hyperlink ref="C122" r:id="rId123" tooltip="Open Prospect Profile" display="https://www.whatifsports.com/hbd/Pages/Popups/ProspectProfile.aspx?pid=13631677" xr:uid="{00000000-0004-0000-0100-00007B000000}"/>
    <hyperlink ref="C123" r:id="rId124" tooltip="Open Prospect Profile" display="https://www.whatifsports.com/hbd/Pages/Popups/ProspectProfile.aspx?pid=13631814" xr:uid="{00000000-0004-0000-0100-00007C000000}"/>
    <hyperlink ref="C124" r:id="rId125" tooltip="Open Prospect Profile" display="https://www.whatifsports.com/hbd/Pages/Popups/ProspectProfile.aspx?pid=13631698" xr:uid="{00000000-0004-0000-0100-00007D000000}"/>
    <hyperlink ref="C125" r:id="rId126" tooltip="Open Prospect Profile" display="https://www.whatifsports.com/hbd/Pages/Popups/ProspectProfile.aspx?pid=13631579" xr:uid="{00000000-0004-0000-0100-00007E000000}"/>
    <hyperlink ref="C126" r:id="rId127" tooltip="Open Prospect Profile" display="https://www.whatifsports.com/hbd/Pages/Popups/ProspectProfile.aspx?pid=13631635" xr:uid="{00000000-0004-0000-0100-00007F000000}"/>
    <hyperlink ref="C127" r:id="rId128" tooltip="Open Prospect Profile" display="https://www.whatifsports.com/hbd/Pages/Popups/ProspectProfile.aspx?pid=13631584" xr:uid="{00000000-0004-0000-0100-000080000000}"/>
    <hyperlink ref="C128" r:id="rId129" tooltip="Open Prospect Profile" display="https://www.whatifsports.com/hbd/Pages/Popups/ProspectProfile.aspx?pid=13631565" xr:uid="{00000000-0004-0000-0100-000081000000}"/>
    <hyperlink ref="C129" r:id="rId130" tooltip="Open Prospect Profile" display="https://www.whatifsports.com/hbd/Pages/Popups/ProspectProfile.aspx?pid=13631506" xr:uid="{00000000-0004-0000-0100-000082000000}"/>
    <hyperlink ref="C130" r:id="rId131" tooltip="Open Prospect Profile" display="https://www.whatifsports.com/hbd/Pages/Popups/ProspectProfile.aspx?pid=13631789" xr:uid="{00000000-0004-0000-0100-000083000000}"/>
    <hyperlink ref="C131" r:id="rId132" tooltip="Open Prospect Profile" display="https://www.whatifsports.com/hbd/Pages/Popups/ProspectProfile.aspx?pid=13631505" xr:uid="{00000000-0004-0000-0100-000084000000}"/>
    <hyperlink ref="C132" r:id="rId133" tooltip="Open Prospect Profile" display="https://www.whatifsports.com/hbd/Pages/Popups/ProspectProfile.aspx?pid=13631433" xr:uid="{00000000-0004-0000-0100-000085000000}"/>
    <hyperlink ref="C133" r:id="rId134" tooltip="Open Prospect Profile" display="https://www.whatifsports.com/hbd/Pages/Popups/ProspectProfile.aspx?pid=13631531" xr:uid="{00000000-0004-0000-0100-000086000000}"/>
    <hyperlink ref="C134" r:id="rId135" tooltip="Open Prospect Profile" display="https://www.whatifsports.com/hbd/Pages/Popups/ProspectProfile.aspx?pid=13631552" xr:uid="{00000000-0004-0000-0100-000087000000}"/>
    <hyperlink ref="C135" r:id="rId136" tooltip="Open Prospect Profile" display="https://www.whatifsports.com/hbd/Pages/Popups/ProspectProfile.aspx?pid=13631500" xr:uid="{00000000-0004-0000-0100-000088000000}"/>
    <hyperlink ref="C136" r:id="rId137" tooltip="Open Prospect Profile" display="https://www.whatifsports.com/hbd/Pages/Popups/ProspectProfile.aspx?pid=13631839" xr:uid="{00000000-0004-0000-0100-000089000000}"/>
    <hyperlink ref="C137" r:id="rId138" tooltip="Open Prospect Profile" display="https://www.whatifsports.com/hbd/Pages/Popups/ProspectProfile.aspx?pid=13631591" xr:uid="{00000000-0004-0000-0100-00008A000000}"/>
    <hyperlink ref="C138" r:id="rId139" tooltip="Open Prospect Profile" display="https://www.whatifsports.com/hbd/Pages/Popups/ProspectProfile.aspx?pid=13631459" xr:uid="{00000000-0004-0000-0100-00008B000000}"/>
    <hyperlink ref="C139" r:id="rId140" tooltip="Open Prospect Profile" display="https://www.whatifsports.com/hbd/Pages/Popups/ProspectProfile.aspx?pid=13631716" xr:uid="{00000000-0004-0000-0100-00008C000000}"/>
    <hyperlink ref="C140" r:id="rId141" tooltip="Open Prospect Profile" display="https://www.whatifsports.com/hbd/Pages/Popups/ProspectProfile.aspx?pid=13631406" xr:uid="{00000000-0004-0000-0100-00008D000000}"/>
    <hyperlink ref="C141" r:id="rId142" tooltip="Open Prospect Profile" display="https://www.whatifsports.com/hbd/Pages/Popups/ProspectProfile.aspx?pid=13631701" xr:uid="{00000000-0004-0000-0100-00008E000000}"/>
    <hyperlink ref="C142" r:id="rId143" tooltip="Open Prospect Profile" display="https://www.whatifsports.com/hbd/Pages/Popups/ProspectProfile.aspx?pid=13631607" xr:uid="{00000000-0004-0000-0100-00008F000000}"/>
    <hyperlink ref="C143" r:id="rId144" tooltip="Open Prospect Profile" display="https://www.whatifsports.com/hbd/Pages/Popups/ProspectProfile.aspx?pid=13631583" xr:uid="{00000000-0004-0000-0100-000090000000}"/>
    <hyperlink ref="C144" r:id="rId145" tooltip="Open Prospect Profile" display="https://www.whatifsports.com/hbd/Pages/Popups/ProspectProfile.aspx?pid=13631838" xr:uid="{00000000-0004-0000-0100-000091000000}"/>
    <hyperlink ref="C145" r:id="rId146" tooltip="Open Prospect Profile" display="https://www.whatifsports.com/hbd/Pages/Popups/ProspectProfile.aspx?pid=13631835" xr:uid="{00000000-0004-0000-0100-000092000000}"/>
    <hyperlink ref="C146" r:id="rId147" tooltip="Open Prospect Profile" display="https://www.whatifsports.com/hbd/Pages/Popups/ProspectProfile.aspx?pid=13631601" xr:uid="{00000000-0004-0000-0100-000093000000}"/>
    <hyperlink ref="C147" r:id="rId148" tooltip="Open Prospect Profile" display="https://www.whatifsports.com/hbd/Pages/Popups/ProspectProfile.aspx?pid=13631617" xr:uid="{00000000-0004-0000-0100-000094000000}"/>
    <hyperlink ref="C148" r:id="rId149" tooltip="Open Prospect Profile" display="https://www.whatifsports.com/hbd/Pages/Popups/ProspectProfile.aspx?pid=13631833" xr:uid="{00000000-0004-0000-0100-000095000000}"/>
    <hyperlink ref="C149" r:id="rId150" tooltip="Open Prospect Profile" display="https://www.whatifsports.com/hbd/Pages/Popups/ProspectProfile.aspx?pid=13631792" xr:uid="{00000000-0004-0000-0100-000096000000}"/>
    <hyperlink ref="C150" r:id="rId151" tooltip="Open Prospect Profile" display="https://www.whatifsports.com/hbd/Pages/Popups/ProspectProfile.aspx?pid=13631507" xr:uid="{00000000-0004-0000-0100-000097000000}"/>
    <hyperlink ref="C151" r:id="rId152" tooltip="Open Prospect Profile" display="https://www.whatifsports.com/hbd/Pages/Popups/ProspectProfile.aspx?pid=13631454" xr:uid="{00000000-0004-0000-0100-000098000000}"/>
    <hyperlink ref="C152" r:id="rId153" tooltip="Open Prospect Profile" display="https://www.whatifsports.com/hbd/Pages/Popups/ProspectProfile.aspx?pid=13631730" xr:uid="{00000000-0004-0000-0100-000099000000}"/>
    <hyperlink ref="C153" r:id="rId154" tooltip="Open Prospect Profile" display="https://www.whatifsports.com/hbd/Pages/Popups/ProspectProfile.aspx?pid=13631605" xr:uid="{00000000-0004-0000-0100-00009A000000}"/>
    <hyperlink ref="C154" r:id="rId155" tooltip="Open Prospect Profile" display="https://www.whatifsports.com/hbd/Pages/Popups/ProspectProfile.aspx?pid=13631642" xr:uid="{00000000-0004-0000-0100-00009B000000}"/>
    <hyperlink ref="C155" r:id="rId156" tooltip="Open Prospect Profile" display="https://www.whatifsports.com/hbd/Pages/Popups/ProspectProfile.aspx?pid=13631699" xr:uid="{00000000-0004-0000-0100-00009C000000}"/>
    <hyperlink ref="C156" r:id="rId157" tooltip="Open Prospect Profile" display="https://www.whatifsports.com/hbd/Pages/Popups/ProspectProfile.aspx?pid=13631518" xr:uid="{00000000-0004-0000-0100-00009D000000}"/>
    <hyperlink ref="C157" r:id="rId158" tooltip="Open Prospect Profile" display="https://www.whatifsports.com/hbd/Pages/Popups/ProspectProfile.aspx?pid=13631752" xr:uid="{00000000-0004-0000-0100-00009E000000}"/>
    <hyperlink ref="C158" r:id="rId159" tooltip="Open Prospect Profile" display="https://www.whatifsports.com/hbd/Pages/Popups/ProspectProfile.aspx?pid=13631818" xr:uid="{00000000-0004-0000-0100-00009F000000}"/>
    <hyperlink ref="C159" r:id="rId160" tooltip="Open Prospect Profile" display="https://www.whatifsports.com/hbd/Pages/Popups/ProspectProfile.aspx?pid=13631767" xr:uid="{00000000-0004-0000-0100-0000A0000000}"/>
    <hyperlink ref="C160" r:id="rId161" tooltip="Open Prospect Profile" display="https://www.whatifsports.com/hbd/Pages/Popups/ProspectProfile.aspx?pid=13631630" xr:uid="{00000000-0004-0000-0100-0000A1000000}"/>
    <hyperlink ref="C161" r:id="rId162" tooltip="Open Prospect Profile" display="https://www.whatifsports.com/hbd/Pages/Popups/ProspectProfile.aspx?pid=13631836" xr:uid="{00000000-0004-0000-0100-0000A2000000}"/>
    <hyperlink ref="C162" r:id="rId163" tooltip="Open Prospect Profile" display="https://www.whatifsports.com/hbd/Pages/Popups/ProspectProfile.aspx?pid=13631429" xr:uid="{00000000-0004-0000-0100-0000A3000000}"/>
    <hyperlink ref="C163" r:id="rId164" tooltip="Open Prospect Profile" display="https://www.whatifsports.com/hbd/Pages/Popups/ProspectProfile.aspx?pid=13631680" xr:uid="{00000000-0004-0000-0100-0000A4000000}"/>
    <hyperlink ref="C164" r:id="rId165" tooltip="Open Prospect Profile" display="https://www.whatifsports.com/hbd/Pages/Popups/ProspectProfile.aspx?pid=13631532" xr:uid="{00000000-0004-0000-0100-0000A5000000}"/>
    <hyperlink ref="C165" r:id="rId166" tooltip="Open Prospect Profile" display="https://www.whatifsports.com/hbd/Pages/Popups/ProspectProfile.aspx?pid=13631768" xr:uid="{00000000-0004-0000-0100-0000A6000000}"/>
    <hyperlink ref="C166" r:id="rId167" tooltip="Open Prospect Profile" display="https://www.whatifsports.com/hbd/Pages/Popups/ProspectProfile.aspx?pid=13631802" xr:uid="{00000000-0004-0000-0100-0000A7000000}"/>
    <hyperlink ref="C167" r:id="rId168" tooltip="Open Prospect Profile" display="https://www.whatifsports.com/hbd/Pages/Popups/ProspectProfile.aspx?pid=13631389" xr:uid="{00000000-0004-0000-0100-0000A8000000}"/>
    <hyperlink ref="C168" r:id="rId169" tooltip="Open Prospect Profile" display="https://www.whatifsports.com/hbd/Pages/Popups/ProspectProfile.aspx?pid=13631667" xr:uid="{00000000-0004-0000-0100-0000A9000000}"/>
    <hyperlink ref="C169" r:id="rId170" tooltip="Open Prospect Profile" display="https://www.whatifsports.com/hbd/Pages/Popups/ProspectProfile.aspx?pid=13631560" xr:uid="{00000000-0004-0000-0100-0000AA000000}"/>
    <hyperlink ref="C170" r:id="rId171" tooltip="Open Prospect Profile" display="https://www.whatifsports.com/hbd/Pages/Popups/ProspectProfile.aspx?pid=13631763" xr:uid="{00000000-0004-0000-0100-0000AB000000}"/>
    <hyperlink ref="C171" r:id="rId172" tooltip="Open Prospect Profile" display="https://www.whatifsports.com/hbd/Pages/Popups/ProspectProfile.aspx?pid=13631780" xr:uid="{00000000-0004-0000-0100-0000AC000000}"/>
    <hyperlink ref="C172" r:id="rId173" tooltip="Open Prospect Profile" display="https://www.whatifsports.com/hbd/Pages/Popups/ProspectProfile.aspx?pid=13631471" xr:uid="{00000000-0004-0000-0100-0000AD000000}"/>
    <hyperlink ref="C173" r:id="rId174" tooltip="Open Prospect Profile" display="https://www.whatifsports.com/hbd/Pages/Popups/ProspectProfile.aspx?pid=13631497" xr:uid="{00000000-0004-0000-0100-0000AE000000}"/>
    <hyperlink ref="C174" r:id="rId175" tooltip="Open Prospect Profile" display="https://www.whatifsports.com/hbd/Pages/Popups/ProspectProfile.aspx?pid=13631414" xr:uid="{00000000-0004-0000-0100-0000AF000000}"/>
    <hyperlink ref="C175" r:id="rId176" tooltip="Open Prospect Profile" display="https://www.whatifsports.com/hbd/Pages/Popups/ProspectProfile.aspx?pid=13631442" xr:uid="{00000000-0004-0000-0100-0000B0000000}"/>
    <hyperlink ref="C176" r:id="rId177" tooltip="Open Prospect Profile" display="https://www.whatifsports.com/hbd/Pages/Popups/ProspectProfile.aspx?pid=13631650" xr:uid="{00000000-0004-0000-0100-0000B1000000}"/>
    <hyperlink ref="C177" r:id="rId178" tooltip="Open Prospect Profile" display="https://www.whatifsports.com/hbd/Pages/Popups/ProspectProfile.aspx?pid=13631808" xr:uid="{00000000-0004-0000-0100-0000B2000000}"/>
    <hyperlink ref="C178" r:id="rId179" tooltip="Open Prospect Profile" display="https://www.whatifsports.com/hbd/Pages/Popups/ProspectProfile.aspx?pid=13631762" xr:uid="{00000000-0004-0000-0100-0000B3000000}"/>
    <hyperlink ref="C179" r:id="rId180" tooltip="Open Prospect Profile" display="https://www.whatifsports.com/hbd/Pages/Popups/ProspectProfile.aspx?pid=13631648" xr:uid="{00000000-0004-0000-0100-0000B4000000}"/>
    <hyperlink ref="C180" r:id="rId181" tooltip="Open Prospect Profile" display="https://www.whatifsports.com/hbd/Pages/Popups/ProspectProfile.aspx?pid=13631796" xr:uid="{00000000-0004-0000-0100-0000B5000000}"/>
    <hyperlink ref="C181" r:id="rId182" tooltip="Open Prospect Profile" display="https://www.whatifsports.com/hbd/Pages/Popups/ProspectProfile.aspx?pid=13631468" xr:uid="{00000000-0004-0000-0100-0000B6000000}"/>
    <hyperlink ref="C182" r:id="rId183" tooltip="Open Prospect Profile" display="https://www.whatifsports.com/hbd/Pages/Popups/ProspectProfile.aspx?pid=13631718" xr:uid="{00000000-0004-0000-0100-0000B7000000}"/>
    <hyperlink ref="C183" r:id="rId184" tooltip="Open Prospect Profile" display="https://www.whatifsports.com/hbd/Pages/Popups/ProspectProfile.aspx?pid=13631673" xr:uid="{00000000-0004-0000-0100-0000B8000000}"/>
    <hyperlink ref="C184" r:id="rId185" tooltip="Open Prospect Profile" display="https://www.whatifsports.com/hbd/Pages/Popups/ProspectProfile.aspx?pid=13631610" xr:uid="{00000000-0004-0000-0100-0000B9000000}"/>
    <hyperlink ref="C185" r:id="rId186" tooltip="Open Prospect Profile" display="https://www.whatifsports.com/hbd/Pages/Popups/ProspectProfile.aspx?pid=13631837" xr:uid="{00000000-0004-0000-0100-0000BA000000}"/>
    <hyperlink ref="C186" r:id="rId187" tooltip="Open Prospect Profile" display="https://www.whatifsports.com/hbd/Pages/Popups/ProspectProfile.aspx?pid=13631725" xr:uid="{00000000-0004-0000-0100-0000BB000000}"/>
    <hyperlink ref="C187" r:id="rId188" tooltip="Open Prospect Profile" display="https://www.whatifsports.com/hbd/Pages/Popups/ProspectProfile.aspx?pid=13631457" xr:uid="{00000000-0004-0000-0100-0000BC000000}"/>
    <hyperlink ref="C188" r:id="rId189" tooltip="Open Prospect Profile" display="https://www.whatifsports.com/hbd/Pages/Popups/ProspectProfile.aspx?pid=13631775" xr:uid="{00000000-0004-0000-0100-0000BD000000}"/>
    <hyperlink ref="C189" r:id="rId190" tooltip="Open Prospect Profile" display="https://www.whatifsports.com/hbd/Pages/Popups/ProspectProfile.aspx?pid=13631551" xr:uid="{00000000-0004-0000-0100-0000BE000000}"/>
    <hyperlink ref="C190" r:id="rId191" tooltip="Open Prospect Profile" display="https://www.whatifsports.com/hbd/Pages/Popups/ProspectProfile.aspx?pid=13631453" xr:uid="{00000000-0004-0000-0100-0000BF000000}"/>
    <hyperlink ref="C191" r:id="rId192" tooltip="Open Prospect Profile" display="https://www.whatifsports.com/hbd/Pages/Popups/ProspectProfile.aspx?pid=13631482" xr:uid="{00000000-0004-0000-0100-0000C0000000}"/>
    <hyperlink ref="C192" r:id="rId193" tooltip="Open Prospect Profile" display="https://www.whatifsports.com/hbd/Pages/Popups/ProspectProfile.aspx?pid=13631516" xr:uid="{00000000-0004-0000-0100-0000C1000000}"/>
    <hyperlink ref="C193" r:id="rId194" tooltip="Open Prospect Profile" display="https://www.whatifsports.com/hbd/Pages/Popups/ProspectProfile.aspx?pid=13631703" xr:uid="{00000000-0004-0000-0100-0000C2000000}"/>
    <hyperlink ref="C194" r:id="rId195" tooltip="Open Prospect Profile" display="https://www.whatifsports.com/hbd/Pages/Popups/ProspectProfile.aspx?pid=13631478" xr:uid="{00000000-0004-0000-0100-0000C3000000}"/>
    <hyperlink ref="C195" r:id="rId196" tooltip="Open Prospect Profile" display="https://www.whatifsports.com/hbd/Pages/Popups/ProspectProfile.aspx?pid=13631731" xr:uid="{00000000-0004-0000-0100-0000C4000000}"/>
    <hyperlink ref="C196" r:id="rId197" tooltip="Open Prospect Profile" display="https://www.whatifsports.com/hbd/Pages/Popups/ProspectProfile.aspx?pid=13631713" xr:uid="{00000000-0004-0000-0100-0000C5000000}"/>
    <hyperlink ref="C197" r:id="rId198" tooltip="Open Prospect Profile" display="https://www.whatifsports.com/hbd/Pages/Popups/ProspectProfile.aspx?pid=13631541" xr:uid="{00000000-0004-0000-0100-0000C6000000}"/>
    <hyperlink ref="C198" r:id="rId199" tooltip="Open Prospect Profile" display="https://www.whatifsports.com/hbd/Pages/Popups/ProspectProfile.aspx?pid=13631803" xr:uid="{00000000-0004-0000-0100-0000C7000000}"/>
    <hyperlink ref="C199" r:id="rId200" tooltip="Open Prospect Profile" display="https://www.whatifsports.com/hbd/Pages/Popups/ProspectProfile.aspx?pid=13631484" xr:uid="{00000000-0004-0000-0100-0000C8000000}"/>
    <hyperlink ref="C200" r:id="rId201" tooltip="Open Prospect Profile" display="https://www.whatifsports.com/hbd/Pages/Popups/ProspectProfile.aspx?pid=13631823" xr:uid="{00000000-0004-0000-0100-0000C9000000}"/>
    <hyperlink ref="C201" r:id="rId202" tooltip="Open Prospect Profile" display="https://www.whatifsports.com/hbd/Pages/Popups/ProspectProfile.aspx?pid=13631772" xr:uid="{00000000-0004-0000-0100-0000CA000000}"/>
    <hyperlink ref="C202" r:id="rId203" tooltip="Open Prospect Profile" display="https://www.whatifsports.com/hbd/Pages/Popups/ProspectProfile.aspx?pid=13631437" xr:uid="{00000000-0004-0000-0100-0000CB000000}"/>
    <hyperlink ref="C203" r:id="rId204" tooltip="Open Prospect Profile" display="https://www.whatifsports.com/hbd/Pages/Popups/ProspectProfile.aspx?pid=13631435" xr:uid="{00000000-0004-0000-0100-0000CC000000}"/>
    <hyperlink ref="C204" r:id="rId205" tooltip="Open Prospect Profile" display="https://www.whatifsports.com/hbd/Pages/Popups/ProspectProfile.aspx?pid=13631742" xr:uid="{00000000-0004-0000-0100-0000CD000000}"/>
    <hyperlink ref="C205" r:id="rId206" tooltip="Open Prospect Profile" display="https://www.whatifsports.com/hbd/Pages/Popups/ProspectProfile.aspx?pid=13631714" xr:uid="{00000000-0004-0000-0100-0000CE000000}"/>
    <hyperlink ref="C206" r:id="rId207" tooltip="Open Prospect Profile" display="https://www.whatifsports.com/hbd/Pages/Popups/ProspectProfile.aspx?pid=13631555" xr:uid="{00000000-0004-0000-0100-0000CF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selection activeCell="L15" sqref="L15"/>
    </sheetView>
  </sheetViews>
  <sheetFormatPr defaultRowHeight="14.4" x14ac:dyDescent="0.3"/>
  <cols>
    <col min="4" max="4" width="12" bestFit="1" customWidth="1"/>
    <col min="7" max="7" width="9.6640625" bestFit="1" customWidth="1"/>
  </cols>
  <sheetData>
    <row r="1" spans="1:11" x14ac:dyDescent="0.3">
      <c r="A1">
        <v>0</v>
      </c>
      <c r="B1">
        <v>0</v>
      </c>
      <c r="C1">
        <f t="shared" ref="C1:C14" si="0">1/LOG10(111-A1)</f>
        <v>0.48892033696958109</v>
      </c>
      <c r="D1">
        <f t="shared" ref="D1:D14" si="1">MAX(0, (((LOG(A1+0.000001, 100)*2.6-0.92))))</f>
        <v>0</v>
      </c>
      <c r="E1">
        <f t="shared" ref="E1:E14" si="2">(-2*10^-6)*A1^3+0.00032*A1^2-0.0021*A1</f>
        <v>0</v>
      </c>
      <c r="G1">
        <f t="shared" ref="G1:G14" si="3">-2*10^-6*A1^3</f>
        <v>0</v>
      </c>
      <c r="H1">
        <f t="shared" ref="H1:H14" si="4">0.00032*A1^2</f>
        <v>0</v>
      </c>
      <c r="I1">
        <f t="shared" ref="I1:I14" si="5">-0.0021*A1</f>
        <v>0</v>
      </c>
      <c r="J1">
        <v>0</v>
      </c>
      <c r="K1">
        <f t="shared" ref="K1:K14" si="6">SUM(G1:J1)</f>
        <v>0</v>
      </c>
    </row>
    <row r="2" spans="1:11" x14ac:dyDescent="0.3">
      <c r="A2">
        <v>10</v>
      </c>
      <c r="B2">
        <v>0.05</v>
      </c>
      <c r="C2">
        <f t="shared" si="0"/>
        <v>0.49892198580547809</v>
      </c>
      <c r="D2">
        <f t="shared" si="1"/>
        <v>0.38000005645827961</v>
      </c>
      <c r="E2">
        <f t="shared" si="2"/>
        <v>9.0000000000000011E-3</v>
      </c>
      <c r="G2">
        <f t="shared" si="3"/>
        <v>-2E-3</v>
      </c>
      <c r="H2">
        <f t="shared" si="4"/>
        <v>3.2000000000000001E-2</v>
      </c>
      <c r="I2">
        <f t="shared" si="5"/>
        <v>-2.0999999999999998E-2</v>
      </c>
      <c r="J2">
        <v>0</v>
      </c>
      <c r="K2">
        <f t="shared" si="6"/>
        <v>9.0000000000000011E-3</v>
      </c>
    </row>
    <row r="3" spans="1:11" x14ac:dyDescent="0.3">
      <c r="A3">
        <v>20</v>
      </c>
      <c r="B3">
        <v>0.1</v>
      </c>
      <c r="C3">
        <f t="shared" si="0"/>
        <v>0.51045373717968723</v>
      </c>
      <c r="D3">
        <f t="shared" si="1"/>
        <v>0.7713390225923159</v>
      </c>
      <c r="E3">
        <f t="shared" si="2"/>
        <v>7.0000000000000007E-2</v>
      </c>
      <c r="G3">
        <f t="shared" si="3"/>
        <v>-1.6E-2</v>
      </c>
      <c r="H3">
        <f t="shared" si="4"/>
        <v>0.128</v>
      </c>
      <c r="I3">
        <f t="shared" si="5"/>
        <v>-4.1999999999999996E-2</v>
      </c>
      <c r="J3">
        <v>0</v>
      </c>
      <c r="K3">
        <f t="shared" si="6"/>
        <v>7.0000000000000007E-2</v>
      </c>
    </row>
    <row r="4" spans="1:11" x14ac:dyDescent="0.3">
      <c r="A4">
        <v>22</v>
      </c>
      <c r="B4">
        <v>0.11</v>
      </c>
      <c r="C4">
        <f t="shared" si="0"/>
        <v>0.51298098204632536</v>
      </c>
      <c r="D4">
        <f t="shared" si="1"/>
        <v>0.82514951073172316</v>
      </c>
      <c r="E4">
        <f t="shared" si="2"/>
        <v>8.7384000000000017E-2</v>
      </c>
      <c r="G4">
        <f t="shared" si="3"/>
        <v>-2.1295999999999999E-2</v>
      </c>
      <c r="H4">
        <f t="shared" si="4"/>
        <v>0.15488000000000002</v>
      </c>
      <c r="I4">
        <f t="shared" si="5"/>
        <v>-4.6199999999999998E-2</v>
      </c>
      <c r="J4">
        <v>0</v>
      </c>
      <c r="K4">
        <f t="shared" si="6"/>
        <v>8.7384000000000017E-2</v>
      </c>
    </row>
    <row r="5" spans="1:11" x14ac:dyDescent="0.3">
      <c r="A5">
        <v>24</v>
      </c>
      <c r="B5">
        <v>0.12</v>
      </c>
      <c r="C5">
        <f t="shared" si="0"/>
        <v>0.51559168523326704</v>
      </c>
      <c r="D5">
        <f t="shared" si="1"/>
        <v>0.87427463774937164</v>
      </c>
      <c r="E5">
        <f t="shared" si="2"/>
        <v>0.10627200000000001</v>
      </c>
      <c r="G5">
        <f t="shared" si="3"/>
        <v>-2.7647999999999999E-2</v>
      </c>
      <c r="H5">
        <f t="shared" si="4"/>
        <v>0.18432000000000001</v>
      </c>
      <c r="I5">
        <f t="shared" si="5"/>
        <v>-5.04E-2</v>
      </c>
      <c r="J5">
        <v>0</v>
      </c>
      <c r="K5">
        <f t="shared" si="6"/>
        <v>0.10627200000000001</v>
      </c>
    </row>
    <row r="6" spans="1:11" x14ac:dyDescent="0.3">
      <c r="A6">
        <v>26</v>
      </c>
      <c r="B6">
        <v>0.13</v>
      </c>
      <c r="C6">
        <f t="shared" si="0"/>
        <v>0.5182907592915772</v>
      </c>
      <c r="D6">
        <f t="shared" si="1"/>
        <v>0.91946537407678675</v>
      </c>
      <c r="E6">
        <f t="shared" si="2"/>
        <v>0.12656800000000001</v>
      </c>
      <c r="G6">
        <f t="shared" si="3"/>
        <v>-3.5151999999999996E-2</v>
      </c>
      <c r="H6">
        <f t="shared" si="4"/>
        <v>0.21632000000000001</v>
      </c>
      <c r="I6">
        <f t="shared" si="5"/>
        <v>-5.4599999999999996E-2</v>
      </c>
      <c r="J6">
        <v>0</v>
      </c>
      <c r="K6">
        <f t="shared" si="6"/>
        <v>0.12656800000000001</v>
      </c>
    </row>
    <row r="7" spans="1:11" x14ac:dyDescent="0.3">
      <c r="A7">
        <v>30</v>
      </c>
      <c r="B7">
        <v>0.15</v>
      </c>
      <c r="C7">
        <f t="shared" si="0"/>
        <v>0.52397581857234621</v>
      </c>
      <c r="D7">
        <f t="shared" si="1"/>
        <v>1.000257649954988</v>
      </c>
      <c r="E7">
        <f t="shared" si="2"/>
        <v>0.17100000000000004</v>
      </c>
      <c r="G7">
        <f t="shared" si="3"/>
        <v>-5.3999999999999999E-2</v>
      </c>
      <c r="H7">
        <f t="shared" si="4"/>
        <v>0.28800000000000003</v>
      </c>
      <c r="I7">
        <f t="shared" si="5"/>
        <v>-6.3E-2</v>
      </c>
      <c r="J7">
        <v>0</v>
      </c>
      <c r="K7">
        <f t="shared" si="6"/>
        <v>0.17100000000000004</v>
      </c>
    </row>
    <row r="8" spans="1:11" x14ac:dyDescent="0.3">
      <c r="A8">
        <v>40</v>
      </c>
      <c r="B8">
        <v>0.3</v>
      </c>
      <c r="C8">
        <f t="shared" si="0"/>
        <v>0.54017312099735892</v>
      </c>
      <c r="D8">
        <f t="shared" si="1"/>
        <v>1.1626780028409214</v>
      </c>
      <c r="E8">
        <f t="shared" si="2"/>
        <v>0.30000000000000004</v>
      </c>
      <c r="G8">
        <f t="shared" si="3"/>
        <v>-0.128</v>
      </c>
      <c r="H8">
        <f t="shared" si="4"/>
        <v>0.51200000000000001</v>
      </c>
      <c r="I8">
        <f t="shared" si="5"/>
        <v>-8.3999999999999991E-2</v>
      </c>
      <c r="J8">
        <v>0</v>
      </c>
      <c r="K8">
        <f t="shared" si="6"/>
        <v>0.30000000000000004</v>
      </c>
    </row>
    <row r="9" spans="1:11" x14ac:dyDescent="0.3">
      <c r="A9">
        <v>50</v>
      </c>
      <c r="B9">
        <v>0.45</v>
      </c>
      <c r="C9">
        <f t="shared" si="0"/>
        <v>0.5601205897026692</v>
      </c>
      <c r="D9">
        <f t="shared" si="1"/>
        <v>1.2886610169284807</v>
      </c>
      <c r="E9">
        <f t="shared" si="2"/>
        <v>0.44500000000000006</v>
      </c>
      <c r="G9">
        <f t="shared" si="3"/>
        <v>-0.25</v>
      </c>
      <c r="H9">
        <f t="shared" si="4"/>
        <v>0.8</v>
      </c>
      <c r="I9">
        <f t="shared" si="5"/>
        <v>-0.105</v>
      </c>
      <c r="J9">
        <v>0</v>
      </c>
      <c r="K9">
        <f t="shared" si="6"/>
        <v>0.44500000000000006</v>
      </c>
    </row>
    <row r="10" spans="1:11" x14ac:dyDescent="0.3">
      <c r="A10">
        <v>60</v>
      </c>
      <c r="B10">
        <v>0.6</v>
      </c>
      <c r="C10">
        <f t="shared" si="0"/>
        <v>0.58562746878441962</v>
      </c>
      <c r="D10">
        <f t="shared" si="1"/>
        <v>1.3915966349084505</v>
      </c>
      <c r="E10">
        <f t="shared" si="2"/>
        <v>0.59400000000000019</v>
      </c>
      <c r="G10">
        <f t="shared" si="3"/>
        <v>-0.432</v>
      </c>
      <c r="H10">
        <f t="shared" si="4"/>
        <v>1.1520000000000001</v>
      </c>
      <c r="I10">
        <f t="shared" si="5"/>
        <v>-0.126</v>
      </c>
      <c r="J10">
        <v>0</v>
      </c>
      <c r="K10">
        <f t="shared" si="6"/>
        <v>0.59400000000000019</v>
      </c>
    </row>
    <row r="11" spans="1:11" x14ac:dyDescent="0.3">
      <c r="A11">
        <v>70</v>
      </c>
      <c r="B11">
        <v>0.75</v>
      </c>
      <c r="C11">
        <f t="shared" si="0"/>
        <v>0.62004588887311562</v>
      </c>
      <c r="D11">
        <f t="shared" si="1"/>
        <v>1.4786274600840028</v>
      </c>
      <c r="E11">
        <f t="shared" si="2"/>
        <v>0.7350000000000001</v>
      </c>
      <c r="G11">
        <f t="shared" si="3"/>
        <v>-0.68599999999999994</v>
      </c>
      <c r="H11">
        <f t="shared" si="4"/>
        <v>1.5680000000000001</v>
      </c>
      <c r="I11">
        <f t="shared" si="5"/>
        <v>-0.14699999999999999</v>
      </c>
      <c r="J11">
        <v>0</v>
      </c>
      <c r="K11">
        <f t="shared" si="6"/>
        <v>0.7350000000000001</v>
      </c>
    </row>
    <row r="12" spans="1:11" x14ac:dyDescent="0.3">
      <c r="A12">
        <v>80</v>
      </c>
      <c r="B12">
        <v>0.85</v>
      </c>
      <c r="C12">
        <f t="shared" si="0"/>
        <v>0.67052815164442925</v>
      </c>
      <c r="D12">
        <f t="shared" si="1"/>
        <v>1.5540169901468119</v>
      </c>
      <c r="E12">
        <f t="shared" si="2"/>
        <v>0.85600000000000009</v>
      </c>
      <c r="G12">
        <f t="shared" si="3"/>
        <v>-1.024</v>
      </c>
      <c r="H12">
        <f t="shared" si="4"/>
        <v>2.048</v>
      </c>
      <c r="I12">
        <f t="shared" si="5"/>
        <v>-0.16799999999999998</v>
      </c>
      <c r="J12">
        <v>0</v>
      </c>
      <c r="K12">
        <f t="shared" si="6"/>
        <v>0.85600000000000009</v>
      </c>
    </row>
    <row r="13" spans="1:11" x14ac:dyDescent="0.3">
      <c r="A13">
        <v>90</v>
      </c>
      <c r="B13">
        <v>0.95</v>
      </c>
      <c r="C13">
        <f t="shared" si="0"/>
        <v>0.75630419551640105</v>
      </c>
      <c r="D13">
        <f t="shared" si="1"/>
        <v>1.6205152685442648</v>
      </c>
      <c r="E13">
        <f t="shared" si="2"/>
        <v>0.94500000000000006</v>
      </c>
      <c r="G13">
        <f t="shared" si="3"/>
        <v>-1.458</v>
      </c>
      <c r="H13">
        <f t="shared" si="4"/>
        <v>2.5920000000000001</v>
      </c>
      <c r="I13">
        <f t="shared" si="5"/>
        <v>-0.189</v>
      </c>
      <c r="J13">
        <v>0</v>
      </c>
      <c r="K13">
        <f t="shared" si="6"/>
        <v>0.94500000000000006</v>
      </c>
    </row>
    <row r="14" spans="1:11" x14ac:dyDescent="0.3">
      <c r="A14">
        <v>100</v>
      </c>
      <c r="B14">
        <v>1</v>
      </c>
      <c r="C14">
        <f t="shared" si="0"/>
        <v>0.96025256778912738</v>
      </c>
      <c r="D14">
        <f t="shared" si="1"/>
        <v>1.6800000056458275</v>
      </c>
      <c r="E14">
        <f t="shared" si="2"/>
        <v>0.99000000000000021</v>
      </c>
      <c r="G14">
        <f t="shared" si="3"/>
        <v>-2</v>
      </c>
      <c r="H14">
        <f t="shared" si="4"/>
        <v>3.2</v>
      </c>
      <c r="I14">
        <f t="shared" si="5"/>
        <v>-0.21</v>
      </c>
      <c r="J14">
        <v>0</v>
      </c>
      <c r="K14">
        <f t="shared" si="6"/>
        <v>0.99000000000000021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M1:P2"/>
  <sheetViews>
    <sheetView workbookViewId="0"/>
  </sheetViews>
  <sheetFormatPr defaultRowHeight="14.4" x14ac:dyDescent="0.3"/>
  <sheetData>
    <row r="1" spans="13:16" x14ac:dyDescent="0.3">
      <c r="M1" t="s">
        <v>615</v>
      </c>
      <c r="N1" t="s">
        <v>616</v>
      </c>
      <c r="O1" t="s">
        <v>617</v>
      </c>
      <c r="P1" t="s">
        <v>618</v>
      </c>
    </row>
    <row r="2" spans="13:16" x14ac:dyDescent="0.3">
      <c r="M2">
        <v>-1.9999999999999999E-6</v>
      </c>
      <c r="N2">
        <v>3.2000000000000003E-4</v>
      </c>
      <c r="O2">
        <v>-2.0999999999999999E-3</v>
      </c>
      <c r="P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1"/>
  <sheetViews>
    <sheetView workbookViewId="0"/>
  </sheetViews>
  <sheetFormatPr defaultRowHeight="14.4" x14ac:dyDescent="0.3"/>
  <sheetData>
    <row r="1" spans="1:10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619</v>
      </c>
      <c r="H1" t="s">
        <v>620</v>
      </c>
      <c r="I1" t="s">
        <v>621</v>
      </c>
      <c r="J1" t="s">
        <v>622</v>
      </c>
    </row>
    <row r="2" spans="1:10" x14ac:dyDescent="0.3">
      <c r="A2">
        <v>1</v>
      </c>
      <c r="B2" t="s">
        <v>34</v>
      </c>
      <c r="C2" t="s">
        <v>35</v>
      </c>
      <c r="D2" t="s">
        <v>36</v>
      </c>
      <c r="E2" t="s">
        <v>36</v>
      </c>
      <c r="F2">
        <v>18</v>
      </c>
      <c r="G2" t="s">
        <v>623</v>
      </c>
      <c r="H2" t="s">
        <v>624</v>
      </c>
      <c r="I2" t="s">
        <v>625</v>
      </c>
      <c r="J2" t="s">
        <v>626</v>
      </c>
    </row>
    <row r="3" spans="1:10" x14ac:dyDescent="0.3">
      <c r="A3">
        <v>2</v>
      </c>
      <c r="B3" t="s">
        <v>37</v>
      </c>
      <c r="C3" t="s">
        <v>38</v>
      </c>
      <c r="D3" t="s">
        <v>36</v>
      </c>
      <c r="E3" t="s">
        <v>36</v>
      </c>
      <c r="F3">
        <v>18</v>
      </c>
      <c r="G3" t="s">
        <v>627</v>
      </c>
      <c r="H3" t="s">
        <v>628</v>
      </c>
      <c r="I3" t="s">
        <v>625</v>
      </c>
      <c r="J3" t="s">
        <v>629</v>
      </c>
    </row>
    <row r="4" spans="1:10" x14ac:dyDescent="0.3">
      <c r="A4">
        <v>3</v>
      </c>
      <c r="B4" t="s">
        <v>39</v>
      </c>
      <c r="C4" t="s">
        <v>40</v>
      </c>
      <c r="D4" t="s">
        <v>36</v>
      </c>
      <c r="E4" t="s">
        <v>36</v>
      </c>
      <c r="F4">
        <v>18</v>
      </c>
      <c r="G4" t="s">
        <v>630</v>
      </c>
      <c r="H4" t="s">
        <v>631</v>
      </c>
      <c r="I4" t="s">
        <v>625</v>
      </c>
      <c r="J4" t="s">
        <v>632</v>
      </c>
    </row>
    <row r="5" spans="1:10" x14ac:dyDescent="0.3">
      <c r="A5">
        <v>4</v>
      </c>
      <c r="B5" t="s">
        <v>415</v>
      </c>
      <c r="C5" t="s">
        <v>416</v>
      </c>
      <c r="D5" t="s">
        <v>46</v>
      </c>
      <c r="E5" t="s">
        <v>36</v>
      </c>
      <c r="F5">
        <v>18</v>
      </c>
      <c r="G5" t="s">
        <v>633</v>
      </c>
      <c r="H5" t="s">
        <v>634</v>
      </c>
      <c r="I5" t="s">
        <v>625</v>
      </c>
      <c r="J5" t="s">
        <v>626</v>
      </c>
    </row>
    <row r="6" spans="1:10" x14ac:dyDescent="0.3">
      <c r="A6">
        <v>5</v>
      </c>
      <c r="B6" t="s">
        <v>41</v>
      </c>
      <c r="C6" t="s">
        <v>42</v>
      </c>
      <c r="D6" t="s">
        <v>36</v>
      </c>
      <c r="E6" t="s">
        <v>36</v>
      </c>
      <c r="F6">
        <v>18</v>
      </c>
      <c r="G6" t="s">
        <v>635</v>
      </c>
      <c r="H6" t="s">
        <v>636</v>
      </c>
      <c r="I6" t="s">
        <v>625</v>
      </c>
      <c r="J6" t="s">
        <v>626</v>
      </c>
    </row>
    <row r="7" spans="1:10" x14ac:dyDescent="0.3">
      <c r="A7">
        <v>6</v>
      </c>
      <c r="B7" t="s">
        <v>417</v>
      </c>
      <c r="C7" t="s">
        <v>416</v>
      </c>
      <c r="D7" t="s">
        <v>36</v>
      </c>
      <c r="E7" t="s">
        <v>36</v>
      </c>
      <c r="F7">
        <v>18</v>
      </c>
      <c r="G7" t="s">
        <v>637</v>
      </c>
      <c r="H7" t="s">
        <v>638</v>
      </c>
      <c r="I7" t="s">
        <v>625</v>
      </c>
      <c r="J7" t="s">
        <v>639</v>
      </c>
    </row>
    <row r="8" spans="1:10" x14ac:dyDescent="0.3">
      <c r="A8">
        <v>7</v>
      </c>
      <c r="B8" t="s">
        <v>43</v>
      </c>
      <c r="C8" t="s">
        <v>35</v>
      </c>
      <c r="D8" t="s">
        <v>36</v>
      </c>
      <c r="E8" t="s">
        <v>36</v>
      </c>
      <c r="F8">
        <v>18</v>
      </c>
      <c r="G8" t="s">
        <v>640</v>
      </c>
      <c r="H8" t="s">
        <v>641</v>
      </c>
      <c r="I8" t="s">
        <v>625</v>
      </c>
      <c r="J8" t="s">
        <v>629</v>
      </c>
    </row>
    <row r="9" spans="1:10" x14ac:dyDescent="0.3">
      <c r="A9">
        <v>8</v>
      </c>
      <c r="B9" t="s">
        <v>418</v>
      </c>
      <c r="C9" t="s">
        <v>416</v>
      </c>
      <c r="D9" t="s">
        <v>47</v>
      </c>
      <c r="E9" t="s">
        <v>47</v>
      </c>
      <c r="F9">
        <v>18</v>
      </c>
      <c r="G9" t="s">
        <v>642</v>
      </c>
      <c r="H9" t="s">
        <v>643</v>
      </c>
      <c r="I9" t="s">
        <v>625</v>
      </c>
      <c r="J9" t="s">
        <v>626</v>
      </c>
    </row>
    <row r="10" spans="1:10" x14ac:dyDescent="0.3">
      <c r="A10">
        <v>9</v>
      </c>
      <c r="B10" t="s">
        <v>419</v>
      </c>
      <c r="C10" t="s">
        <v>416</v>
      </c>
      <c r="D10" t="s">
        <v>47</v>
      </c>
      <c r="E10" t="s">
        <v>47</v>
      </c>
      <c r="F10">
        <v>18</v>
      </c>
      <c r="G10" t="s">
        <v>644</v>
      </c>
      <c r="H10" t="s">
        <v>645</v>
      </c>
      <c r="I10" t="s">
        <v>625</v>
      </c>
      <c r="J10" t="s">
        <v>629</v>
      </c>
    </row>
    <row r="11" spans="1:10" x14ac:dyDescent="0.3">
      <c r="A11">
        <v>10</v>
      </c>
      <c r="B11" t="s">
        <v>420</v>
      </c>
      <c r="C11" t="s">
        <v>416</v>
      </c>
      <c r="D11" t="s">
        <v>36</v>
      </c>
      <c r="E11" t="s">
        <v>36</v>
      </c>
      <c r="F11">
        <v>18</v>
      </c>
      <c r="G11" t="s">
        <v>646</v>
      </c>
      <c r="H11" t="s">
        <v>647</v>
      </c>
      <c r="I11" t="s">
        <v>625</v>
      </c>
      <c r="J11" t="s">
        <v>626</v>
      </c>
    </row>
    <row r="12" spans="1:10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  <c r="F12">
        <v>18</v>
      </c>
      <c r="G12" t="s">
        <v>648</v>
      </c>
      <c r="H12" t="s">
        <v>649</v>
      </c>
      <c r="I12" t="s">
        <v>625</v>
      </c>
      <c r="J12" t="s">
        <v>626</v>
      </c>
    </row>
    <row r="13" spans="1:10" x14ac:dyDescent="0.3">
      <c r="A13">
        <v>12</v>
      </c>
      <c r="B13" t="s">
        <v>48</v>
      </c>
      <c r="C13" t="s">
        <v>49</v>
      </c>
      <c r="D13" t="s">
        <v>36</v>
      </c>
      <c r="E13" t="s">
        <v>36</v>
      </c>
      <c r="F13">
        <v>18</v>
      </c>
      <c r="G13" t="s">
        <v>650</v>
      </c>
      <c r="H13" t="s">
        <v>651</v>
      </c>
      <c r="I13" t="s">
        <v>625</v>
      </c>
      <c r="J13" t="s">
        <v>626</v>
      </c>
    </row>
    <row r="14" spans="1:10" x14ac:dyDescent="0.3">
      <c r="A14">
        <v>13</v>
      </c>
      <c r="B14" t="s">
        <v>421</v>
      </c>
      <c r="C14" t="s">
        <v>416</v>
      </c>
      <c r="D14" t="s">
        <v>47</v>
      </c>
      <c r="E14" t="s">
        <v>47</v>
      </c>
      <c r="F14">
        <v>18</v>
      </c>
      <c r="G14" t="s">
        <v>652</v>
      </c>
      <c r="H14" t="s">
        <v>653</v>
      </c>
      <c r="I14" t="s">
        <v>625</v>
      </c>
      <c r="J14" t="s">
        <v>626</v>
      </c>
    </row>
    <row r="15" spans="1:10" x14ac:dyDescent="0.3">
      <c r="A15">
        <v>14</v>
      </c>
      <c r="B15" t="s">
        <v>50</v>
      </c>
      <c r="C15" t="s">
        <v>38</v>
      </c>
      <c r="D15" t="s">
        <v>47</v>
      </c>
      <c r="E15" t="s">
        <v>36</v>
      </c>
      <c r="F15">
        <v>18</v>
      </c>
      <c r="G15" t="s">
        <v>654</v>
      </c>
      <c r="H15" t="s">
        <v>655</v>
      </c>
      <c r="I15" t="s">
        <v>625</v>
      </c>
      <c r="J15" t="s">
        <v>629</v>
      </c>
    </row>
    <row r="16" spans="1:10" x14ac:dyDescent="0.3">
      <c r="A16">
        <v>15</v>
      </c>
      <c r="B16" t="s">
        <v>422</v>
      </c>
      <c r="C16" t="s">
        <v>416</v>
      </c>
      <c r="D16" t="s">
        <v>47</v>
      </c>
      <c r="E16" t="s">
        <v>47</v>
      </c>
      <c r="F16">
        <v>18</v>
      </c>
      <c r="G16" t="s">
        <v>656</v>
      </c>
      <c r="H16" t="s">
        <v>657</v>
      </c>
      <c r="I16" t="s">
        <v>625</v>
      </c>
      <c r="J16" t="s">
        <v>626</v>
      </c>
    </row>
    <row r="17" spans="1:10" x14ac:dyDescent="0.3">
      <c r="A17">
        <v>16</v>
      </c>
      <c r="B17" t="s">
        <v>423</v>
      </c>
      <c r="C17" t="s">
        <v>416</v>
      </c>
      <c r="D17" t="s">
        <v>47</v>
      </c>
      <c r="E17" t="s">
        <v>47</v>
      </c>
      <c r="F17">
        <v>18</v>
      </c>
      <c r="G17" t="s">
        <v>658</v>
      </c>
      <c r="H17" t="s">
        <v>659</v>
      </c>
      <c r="I17" t="s">
        <v>625</v>
      </c>
      <c r="J17" t="s">
        <v>632</v>
      </c>
    </row>
    <row r="18" spans="1:10" x14ac:dyDescent="0.3">
      <c r="A18">
        <v>17</v>
      </c>
      <c r="B18" t="s">
        <v>51</v>
      </c>
      <c r="C18" t="s">
        <v>45</v>
      </c>
      <c r="D18" t="s">
        <v>47</v>
      </c>
      <c r="E18" t="s">
        <v>47</v>
      </c>
      <c r="F18">
        <v>18</v>
      </c>
      <c r="G18" t="s">
        <v>660</v>
      </c>
      <c r="H18" t="s">
        <v>661</v>
      </c>
      <c r="I18" t="s">
        <v>625</v>
      </c>
      <c r="J18" t="s">
        <v>626</v>
      </c>
    </row>
    <row r="19" spans="1:10" x14ac:dyDescent="0.3">
      <c r="A19">
        <v>18</v>
      </c>
      <c r="B19" t="s">
        <v>52</v>
      </c>
      <c r="C19" t="s">
        <v>49</v>
      </c>
      <c r="D19" t="s">
        <v>36</v>
      </c>
      <c r="E19" t="s">
        <v>36</v>
      </c>
      <c r="F19">
        <v>18</v>
      </c>
      <c r="G19" t="s">
        <v>662</v>
      </c>
      <c r="H19" t="s">
        <v>663</v>
      </c>
      <c r="I19" t="s">
        <v>625</v>
      </c>
      <c r="J19" t="s">
        <v>639</v>
      </c>
    </row>
    <row r="20" spans="1:10" x14ac:dyDescent="0.3">
      <c r="A20">
        <v>19</v>
      </c>
      <c r="B20" t="s">
        <v>53</v>
      </c>
      <c r="C20" t="s">
        <v>49</v>
      </c>
      <c r="D20" t="s">
        <v>36</v>
      </c>
      <c r="E20" t="s">
        <v>36</v>
      </c>
      <c r="F20">
        <v>18</v>
      </c>
      <c r="G20" t="s">
        <v>664</v>
      </c>
      <c r="H20" t="s">
        <v>665</v>
      </c>
      <c r="I20" t="s">
        <v>625</v>
      </c>
      <c r="J20" t="s">
        <v>666</v>
      </c>
    </row>
    <row r="21" spans="1:10" x14ac:dyDescent="0.3">
      <c r="A21">
        <v>20</v>
      </c>
      <c r="B21" t="s">
        <v>424</v>
      </c>
      <c r="C21" t="s">
        <v>416</v>
      </c>
      <c r="D21" t="s">
        <v>36</v>
      </c>
      <c r="E21" t="s">
        <v>36</v>
      </c>
      <c r="F21">
        <v>18</v>
      </c>
      <c r="G21" t="s">
        <v>667</v>
      </c>
      <c r="H21" t="s">
        <v>668</v>
      </c>
      <c r="I21" t="s">
        <v>625</v>
      </c>
      <c r="J21" t="s">
        <v>626</v>
      </c>
    </row>
    <row r="22" spans="1:10" x14ac:dyDescent="0.3">
      <c r="A22">
        <v>21</v>
      </c>
      <c r="B22" t="s">
        <v>425</v>
      </c>
      <c r="C22" t="s">
        <v>416</v>
      </c>
      <c r="D22" t="s">
        <v>36</v>
      </c>
      <c r="E22" t="s">
        <v>36</v>
      </c>
      <c r="F22">
        <v>18</v>
      </c>
      <c r="G22" t="s">
        <v>669</v>
      </c>
      <c r="H22" t="s">
        <v>670</v>
      </c>
      <c r="I22" t="s">
        <v>625</v>
      </c>
      <c r="J22" t="s">
        <v>626</v>
      </c>
    </row>
    <row r="23" spans="1:10" x14ac:dyDescent="0.3">
      <c r="A23">
        <v>22</v>
      </c>
      <c r="B23" t="s">
        <v>54</v>
      </c>
      <c r="C23" t="s">
        <v>38</v>
      </c>
      <c r="D23" t="s">
        <v>46</v>
      </c>
      <c r="E23" t="s">
        <v>36</v>
      </c>
      <c r="F23">
        <v>18</v>
      </c>
      <c r="G23" t="s">
        <v>671</v>
      </c>
      <c r="H23" t="s">
        <v>672</v>
      </c>
      <c r="I23" t="s">
        <v>625</v>
      </c>
      <c r="J23" t="s">
        <v>626</v>
      </c>
    </row>
    <row r="24" spans="1:10" x14ac:dyDescent="0.3">
      <c r="A24">
        <v>23</v>
      </c>
      <c r="B24" t="s">
        <v>55</v>
      </c>
      <c r="C24" t="s">
        <v>38</v>
      </c>
      <c r="D24" t="s">
        <v>36</v>
      </c>
      <c r="E24" t="s">
        <v>36</v>
      </c>
      <c r="F24">
        <v>18</v>
      </c>
      <c r="G24" t="s">
        <v>673</v>
      </c>
      <c r="H24" t="s">
        <v>674</v>
      </c>
      <c r="I24" t="s">
        <v>625</v>
      </c>
      <c r="J24" t="s">
        <v>675</v>
      </c>
    </row>
    <row r="25" spans="1:10" x14ac:dyDescent="0.3">
      <c r="A25">
        <v>24</v>
      </c>
      <c r="B25" t="s">
        <v>56</v>
      </c>
      <c r="C25" t="s">
        <v>57</v>
      </c>
      <c r="D25" t="s">
        <v>36</v>
      </c>
      <c r="E25" t="s">
        <v>36</v>
      </c>
      <c r="F25">
        <v>18</v>
      </c>
      <c r="G25" t="s">
        <v>676</v>
      </c>
      <c r="H25" t="s">
        <v>677</v>
      </c>
      <c r="I25" t="s">
        <v>625</v>
      </c>
      <c r="J25" t="s">
        <v>629</v>
      </c>
    </row>
    <row r="26" spans="1:10" x14ac:dyDescent="0.3">
      <c r="A26">
        <v>25</v>
      </c>
      <c r="B26" t="s">
        <v>58</v>
      </c>
      <c r="C26" t="s">
        <v>35</v>
      </c>
      <c r="D26" t="s">
        <v>36</v>
      </c>
      <c r="E26" t="s">
        <v>36</v>
      </c>
      <c r="F26">
        <v>18</v>
      </c>
      <c r="G26" t="s">
        <v>678</v>
      </c>
      <c r="H26" t="s">
        <v>679</v>
      </c>
      <c r="I26" t="s">
        <v>625</v>
      </c>
      <c r="J26" t="s">
        <v>626</v>
      </c>
    </row>
    <row r="27" spans="1:10" x14ac:dyDescent="0.3">
      <c r="A27">
        <v>26</v>
      </c>
      <c r="B27" t="s">
        <v>59</v>
      </c>
      <c r="C27" t="s">
        <v>38</v>
      </c>
      <c r="D27" t="s">
        <v>46</v>
      </c>
      <c r="E27" t="s">
        <v>36</v>
      </c>
      <c r="F27">
        <v>18</v>
      </c>
      <c r="G27" t="s">
        <v>680</v>
      </c>
      <c r="H27" t="s">
        <v>681</v>
      </c>
      <c r="I27" t="s">
        <v>625</v>
      </c>
      <c r="J27" t="s">
        <v>626</v>
      </c>
    </row>
    <row r="28" spans="1:10" x14ac:dyDescent="0.3">
      <c r="A28">
        <v>27</v>
      </c>
      <c r="B28" t="s">
        <v>60</v>
      </c>
      <c r="C28" t="s">
        <v>38</v>
      </c>
      <c r="D28" t="s">
        <v>36</v>
      </c>
      <c r="E28" t="s">
        <v>36</v>
      </c>
      <c r="F28">
        <v>18</v>
      </c>
      <c r="G28" t="s">
        <v>682</v>
      </c>
      <c r="H28" t="s">
        <v>683</v>
      </c>
      <c r="I28" t="s">
        <v>625</v>
      </c>
      <c r="J28" t="s">
        <v>626</v>
      </c>
    </row>
    <row r="29" spans="1:10" x14ac:dyDescent="0.3">
      <c r="A29">
        <v>28</v>
      </c>
      <c r="B29" t="s">
        <v>61</v>
      </c>
      <c r="C29" t="s">
        <v>40</v>
      </c>
      <c r="D29" t="s">
        <v>36</v>
      </c>
      <c r="E29" t="s">
        <v>36</v>
      </c>
      <c r="F29">
        <v>18</v>
      </c>
      <c r="G29" t="s">
        <v>684</v>
      </c>
      <c r="H29" t="s">
        <v>685</v>
      </c>
      <c r="I29" t="s">
        <v>625</v>
      </c>
      <c r="J29" t="s">
        <v>626</v>
      </c>
    </row>
    <row r="30" spans="1:10" x14ac:dyDescent="0.3">
      <c r="A30">
        <v>29</v>
      </c>
      <c r="B30" t="s">
        <v>426</v>
      </c>
      <c r="C30" t="s">
        <v>416</v>
      </c>
      <c r="D30" t="s">
        <v>46</v>
      </c>
      <c r="E30" t="s">
        <v>36</v>
      </c>
      <c r="F30">
        <v>18</v>
      </c>
      <c r="G30" t="s">
        <v>686</v>
      </c>
      <c r="H30" t="s">
        <v>687</v>
      </c>
      <c r="I30" t="s">
        <v>625</v>
      </c>
      <c r="J30" t="s">
        <v>626</v>
      </c>
    </row>
    <row r="31" spans="1:10" x14ac:dyDescent="0.3">
      <c r="A31">
        <v>30</v>
      </c>
      <c r="B31" t="s">
        <v>427</v>
      </c>
      <c r="C31" t="s">
        <v>416</v>
      </c>
      <c r="D31" t="s">
        <v>36</v>
      </c>
      <c r="E31" t="s">
        <v>36</v>
      </c>
      <c r="F31">
        <v>22</v>
      </c>
      <c r="G31" t="s">
        <v>688</v>
      </c>
      <c r="H31" t="s">
        <v>689</v>
      </c>
      <c r="I31" t="s">
        <v>690</v>
      </c>
      <c r="J31" t="s">
        <v>626</v>
      </c>
    </row>
    <row r="32" spans="1:10" x14ac:dyDescent="0.3">
      <c r="A32">
        <v>31</v>
      </c>
      <c r="B32" t="s">
        <v>428</v>
      </c>
      <c r="C32" t="s">
        <v>416</v>
      </c>
      <c r="D32" t="s">
        <v>36</v>
      </c>
      <c r="E32" t="s">
        <v>36</v>
      </c>
      <c r="F32">
        <v>18</v>
      </c>
      <c r="G32" t="s">
        <v>691</v>
      </c>
      <c r="H32" t="s">
        <v>692</v>
      </c>
      <c r="I32" t="s">
        <v>625</v>
      </c>
      <c r="J32" t="s">
        <v>626</v>
      </c>
    </row>
    <row r="33" spans="1:10" x14ac:dyDescent="0.3">
      <c r="A33">
        <v>32</v>
      </c>
      <c r="B33" t="s">
        <v>429</v>
      </c>
      <c r="C33" t="s">
        <v>416</v>
      </c>
      <c r="D33" t="s">
        <v>36</v>
      </c>
      <c r="E33" t="s">
        <v>36</v>
      </c>
      <c r="F33">
        <v>18</v>
      </c>
      <c r="G33" t="s">
        <v>693</v>
      </c>
      <c r="H33" t="s">
        <v>694</v>
      </c>
      <c r="I33" t="s">
        <v>625</v>
      </c>
      <c r="J33" t="s">
        <v>695</v>
      </c>
    </row>
    <row r="34" spans="1:10" x14ac:dyDescent="0.3">
      <c r="A34">
        <v>33</v>
      </c>
      <c r="B34" t="s">
        <v>430</v>
      </c>
      <c r="C34" t="s">
        <v>416</v>
      </c>
      <c r="D34" t="s">
        <v>36</v>
      </c>
      <c r="E34" t="s">
        <v>36</v>
      </c>
      <c r="F34">
        <v>18</v>
      </c>
      <c r="G34" t="s">
        <v>696</v>
      </c>
      <c r="H34" t="s">
        <v>697</v>
      </c>
      <c r="I34" t="s">
        <v>625</v>
      </c>
      <c r="J34" t="s">
        <v>626</v>
      </c>
    </row>
    <row r="35" spans="1:10" x14ac:dyDescent="0.3">
      <c r="A35">
        <v>34</v>
      </c>
      <c r="B35" t="s">
        <v>62</v>
      </c>
      <c r="C35" t="s">
        <v>57</v>
      </c>
      <c r="D35" t="s">
        <v>36</v>
      </c>
      <c r="E35" t="s">
        <v>36</v>
      </c>
      <c r="F35">
        <v>18</v>
      </c>
      <c r="G35" t="s">
        <v>698</v>
      </c>
      <c r="H35" t="s">
        <v>699</v>
      </c>
      <c r="I35" t="s">
        <v>625</v>
      </c>
      <c r="J35" t="s">
        <v>626</v>
      </c>
    </row>
    <row r="36" spans="1:10" x14ac:dyDescent="0.3">
      <c r="A36">
        <v>35</v>
      </c>
      <c r="B36" t="s">
        <v>63</v>
      </c>
      <c r="C36" t="s">
        <v>64</v>
      </c>
      <c r="D36" t="s">
        <v>36</v>
      </c>
      <c r="E36" t="s">
        <v>36</v>
      </c>
      <c r="F36">
        <v>18</v>
      </c>
      <c r="G36" t="s">
        <v>700</v>
      </c>
      <c r="H36" t="s">
        <v>701</v>
      </c>
      <c r="I36" t="s">
        <v>625</v>
      </c>
      <c r="J36" t="s">
        <v>626</v>
      </c>
    </row>
    <row r="37" spans="1:10" x14ac:dyDescent="0.3">
      <c r="A37">
        <v>36</v>
      </c>
      <c r="B37" t="s">
        <v>65</v>
      </c>
      <c r="C37" t="s">
        <v>49</v>
      </c>
      <c r="D37" t="s">
        <v>36</v>
      </c>
      <c r="E37" t="s">
        <v>36</v>
      </c>
      <c r="F37">
        <v>18</v>
      </c>
      <c r="G37" t="s">
        <v>702</v>
      </c>
      <c r="H37" t="s">
        <v>703</v>
      </c>
      <c r="I37" t="s">
        <v>625</v>
      </c>
      <c r="J37" t="s">
        <v>626</v>
      </c>
    </row>
    <row r="38" spans="1:10" x14ac:dyDescent="0.3">
      <c r="A38">
        <v>37</v>
      </c>
      <c r="B38" t="s">
        <v>66</v>
      </c>
      <c r="C38" t="s">
        <v>40</v>
      </c>
      <c r="D38" t="s">
        <v>36</v>
      </c>
      <c r="E38" t="s">
        <v>36</v>
      </c>
      <c r="F38">
        <v>18</v>
      </c>
      <c r="G38" t="s">
        <v>704</v>
      </c>
      <c r="H38" t="s">
        <v>705</v>
      </c>
      <c r="I38" t="s">
        <v>625</v>
      </c>
      <c r="J38" t="s">
        <v>626</v>
      </c>
    </row>
    <row r="39" spans="1:10" x14ac:dyDescent="0.3">
      <c r="A39">
        <v>38</v>
      </c>
      <c r="B39" t="s">
        <v>67</v>
      </c>
      <c r="C39" t="s">
        <v>42</v>
      </c>
      <c r="D39" t="s">
        <v>36</v>
      </c>
      <c r="E39" t="s">
        <v>36</v>
      </c>
      <c r="F39">
        <v>22</v>
      </c>
      <c r="G39" t="s">
        <v>706</v>
      </c>
      <c r="H39" t="s">
        <v>707</v>
      </c>
      <c r="I39" t="s">
        <v>690</v>
      </c>
      <c r="J39" t="s">
        <v>626</v>
      </c>
    </row>
    <row r="40" spans="1:10" x14ac:dyDescent="0.3">
      <c r="A40">
        <v>39</v>
      </c>
      <c r="B40" t="s">
        <v>431</v>
      </c>
      <c r="C40" t="s">
        <v>416</v>
      </c>
      <c r="D40" t="s">
        <v>46</v>
      </c>
      <c r="E40" t="s">
        <v>47</v>
      </c>
      <c r="F40">
        <v>18</v>
      </c>
      <c r="G40" t="s">
        <v>708</v>
      </c>
      <c r="H40" t="s">
        <v>709</v>
      </c>
      <c r="I40" t="s">
        <v>625</v>
      </c>
      <c r="J40" t="s">
        <v>675</v>
      </c>
    </row>
    <row r="41" spans="1:10" x14ac:dyDescent="0.3">
      <c r="A41">
        <v>40</v>
      </c>
      <c r="B41" t="s">
        <v>432</v>
      </c>
      <c r="C41" t="s">
        <v>416</v>
      </c>
      <c r="D41" t="s">
        <v>46</v>
      </c>
      <c r="E41" t="s">
        <v>36</v>
      </c>
      <c r="F41">
        <v>18</v>
      </c>
      <c r="G41" t="s">
        <v>710</v>
      </c>
      <c r="H41" t="s">
        <v>711</v>
      </c>
      <c r="I41" t="s">
        <v>625</v>
      </c>
      <c r="J41" t="s">
        <v>626</v>
      </c>
    </row>
    <row r="42" spans="1:10" x14ac:dyDescent="0.3">
      <c r="A42">
        <v>41</v>
      </c>
      <c r="B42" t="s">
        <v>433</v>
      </c>
      <c r="C42" t="s">
        <v>416</v>
      </c>
      <c r="D42" t="s">
        <v>36</v>
      </c>
      <c r="E42" t="s">
        <v>36</v>
      </c>
      <c r="F42">
        <v>18</v>
      </c>
      <c r="G42" t="s">
        <v>712</v>
      </c>
      <c r="H42" t="s">
        <v>713</v>
      </c>
      <c r="I42" t="s">
        <v>625</v>
      </c>
      <c r="J42" t="s">
        <v>626</v>
      </c>
    </row>
    <row r="43" spans="1:10" x14ac:dyDescent="0.3">
      <c r="A43">
        <v>42</v>
      </c>
      <c r="B43" t="s">
        <v>434</v>
      </c>
      <c r="C43" t="s">
        <v>416</v>
      </c>
      <c r="D43" t="s">
        <v>46</v>
      </c>
      <c r="E43" t="s">
        <v>36</v>
      </c>
      <c r="F43">
        <v>18</v>
      </c>
      <c r="G43" t="s">
        <v>714</v>
      </c>
      <c r="H43" t="s">
        <v>715</v>
      </c>
      <c r="I43" t="s">
        <v>625</v>
      </c>
      <c r="J43" t="s">
        <v>626</v>
      </c>
    </row>
    <row r="44" spans="1:10" x14ac:dyDescent="0.3">
      <c r="A44">
        <v>43</v>
      </c>
      <c r="B44" t="s">
        <v>68</v>
      </c>
      <c r="C44" t="s">
        <v>45</v>
      </c>
      <c r="D44" t="s">
        <v>46</v>
      </c>
      <c r="E44" t="s">
        <v>36</v>
      </c>
      <c r="F44">
        <v>21</v>
      </c>
      <c r="G44" t="s">
        <v>716</v>
      </c>
      <c r="H44" t="s">
        <v>717</v>
      </c>
      <c r="I44" t="s">
        <v>718</v>
      </c>
      <c r="J44" t="s">
        <v>626</v>
      </c>
    </row>
    <row r="45" spans="1:10" x14ac:dyDescent="0.3">
      <c r="A45">
        <v>44</v>
      </c>
      <c r="B45" t="s">
        <v>435</v>
      </c>
      <c r="C45" t="s">
        <v>416</v>
      </c>
      <c r="D45" t="s">
        <v>46</v>
      </c>
      <c r="E45" t="s">
        <v>36</v>
      </c>
      <c r="F45">
        <v>18</v>
      </c>
      <c r="G45" t="s">
        <v>719</v>
      </c>
      <c r="H45" t="s">
        <v>720</v>
      </c>
      <c r="I45" t="s">
        <v>625</v>
      </c>
      <c r="J45" t="s">
        <v>626</v>
      </c>
    </row>
    <row r="46" spans="1:10" x14ac:dyDescent="0.3">
      <c r="A46">
        <v>45</v>
      </c>
      <c r="B46" t="s">
        <v>436</v>
      </c>
      <c r="C46" t="s">
        <v>416</v>
      </c>
      <c r="D46" t="s">
        <v>47</v>
      </c>
      <c r="E46" t="s">
        <v>47</v>
      </c>
      <c r="F46">
        <v>18</v>
      </c>
      <c r="G46" t="s">
        <v>721</v>
      </c>
      <c r="H46" t="s">
        <v>722</v>
      </c>
      <c r="I46" t="s">
        <v>625</v>
      </c>
      <c r="J46" t="s">
        <v>626</v>
      </c>
    </row>
    <row r="47" spans="1:10" x14ac:dyDescent="0.3">
      <c r="A47">
        <v>46</v>
      </c>
      <c r="B47" t="s">
        <v>69</v>
      </c>
      <c r="C47" t="s">
        <v>49</v>
      </c>
      <c r="D47" t="s">
        <v>47</v>
      </c>
      <c r="E47" t="s">
        <v>36</v>
      </c>
      <c r="F47">
        <v>18</v>
      </c>
      <c r="G47" t="s">
        <v>723</v>
      </c>
      <c r="H47" t="s">
        <v>724</v>
      </c>
      <c r="I47" t="s">
        <v>625</v>
      </c>
      <c r="J47" t="s">
        <v>626</v>
      </c>
    </row>
    <row r="48" spans="1:10" x14ac:dyDescent="0.3">
      <c r="A48">
        <v>47</v>
      </c>
      <c r="B48" t="s">
        <v>437</v>
      </c>
      <c r="C48" t="s">
        <v>416</v>
      </c>
      <c r="D48" t="s">
        <v>36</v>
      </c>
      <c r="E48" t="s">
        <v>36</v>
      </c>
      <c r="F48">
        <v>18</v>
      </c>
      <c r="G48" t="s">
        <v>725</v>
      </c>
      <c r="H48" t="s">
        <v>726</v>
      </c>
      <c r="I48" t="s">
        <v>625</v>
      </c>
      <c r="J48" t="s">
        <v>666</v>
      </c>
    </row>
    <row r="49" spans="1:10" x14ac:dyDescent="0.3">
      <c r="A49">
        <v>48</v>
      </c>
      <c r="B49" t="s">
        <v>438</v>
      </c>
      <c r="C49" t="s">
        <v>416</v>
      </c>
      <c r="D49" t="s">
        <v>36</v>
      </c>
      <c r="E49" t="s">
        <v>36</v>
      </c>
      <c r="F49">
        <v>19</v>
      </c>
      <c r="G49" t="s">
        <v>727</v>
      </c>
      <c r="H49" t="s">
        <v>728</v>
      </c>
      <c r="I49" t="s">
        <v>729</v>
      </c>
      <c r="J49" t="s">
        <v>626</v>
      </c>
    </row>
    <row r="50" spans="1:10" x14ac:dyDescent="0.3">
      <c r="A50">
        <v>49</v>
      </c>
      <c r="B50" t="s">
        <v>439</v>
      </c>
      <c r="C50" t="s">
        <v>416</v>
      </c>
      <c r="D50" t="s">
        <v>36</v>
      </c>
      <c r="E50" t="s">
        <v>36</v>
      </c>
      <c r="F50">
        <v>18</v>
      </c>
      <c r="G50" t="s">
        <v>730</v>
      </c>
      <c r="H50" t="s">
        <v>731</v>
      </c>
      <c r="I50" t="s">
        <v>625</v>
      </c>
      <c r="J50" t="s">
        <v>629</v>
      </c>
    </row>
    <row r="51" spans="1:10" x14ac:dyDescent="0.3">
      <c r="A51">
        <v>50</v>
      </c>
      <c r="B51" t="s">
        <v>440</v>
      </c>
      <c r="C51" t="s">
        <v>416</v>
      </c>
      <c r="D51" t="s">
        <v>46</v>
      </c>
      <c r="E51" t="s">
        <v>47</v>
      </c>
      <c r="F51">
        <v>18</v>
      </c>
      <c r="G51" t="s">
        <v>732</v>
      </c>
      <c r="H51" t="s">
        <v>733</v>
      </c>
      <c r="I51" t="s">
        <v>625</v>
      </c>
      <c r="J51" t="s">
        <v>626</v>
      </c>
    </row>
    <row r="52" spans="1:10" x14ac:dyDescent="0.3">
      <c r="A52">
        <v>51</v>
      </c>
      <c r="B52" t="s">
        <v>441</v>
      </c>
      <c r="C52" t="s">
        <v>416</v>
      </c>
      <c r="D52" t="s">
        <v>47</v>
      </c>
      <c r="E52" t="s">
        <v>47</v>
      </c>
      <c r="F52">
        <v>18</v>
      </c>
      <c r="G52" t="s">
        <v>734</v>
      </c>
      <c r="H52" t="s">
        <v>735</v>
      </c>
      <c r="I52" t="s">
        <v>625</v>
      </c>
      <c r="J52" t="s">
        <v>626</v>
      </c>
    </row>
    <row r="53" spans="1:10" x14ac:dyDescent="0.3">
      <c r="A53">
        <v>52</v>
      </c>
      <c r="B53" t="s">
        <v>70</v>
      </c>
      <c r="C53" t="s">
        <v>42</v>
      </c>
      <c r="D53" t="s">
        <v>36</v>
      </c>
      <c r="E53" t="s">
        <v>36</v>
      </c>
      <c r="F53">
        <v>18</v>
      </c>
      <c r="G53" t="s">
        <v>736</v>
      </c>
      <c r="H53" t="s">
        <v>737</v>
      </c>
      <c r="I53" t="s">
        <v>625</v>
      </c>
      <c r="J53" t="s">
        <v>626</v>
      </c>
    </row>
    <row r="54" spans="1:10" x14ac:dyDescent="0.3">
      <c r="A54">
        <v>53</v>
      </c>
      <c r="B54" t="s">
        <v>71</v>
      </c>
      <c r="C54" t="s">
        <v>40</v>
      </c>
      <c r="D54" t="s">
        <v>36</v>
      </c>
      <c r="E54" t="s">
        <v>36</v>
      </c>
      <c r="F54">
        <v>22</v>
      </c>
      <c r="G54" t="s">
        <v>738</v>
      </c>
      <c r="H54" t="s">
        <v>739</v>
      </c>
      <c r="I54" t="s">
        <v>690</v>
      </c>
      <c r="J54" t="s">
        <v>626</v>
      </c>
    </row>
    <row r="55" spans="1:10" x14ac:dyDescent="0.3">
      <c r="A55">
        <v>54</v>
      </c>
      <c r="B55" t="s">
        <v>442</v>
      </c>
      <c r="C55" t="s">
        <v>416</v>
      </c>
      <c r="D55" t="s">
        <v>47</v>
      </c>
      <c r="E55" t="s">
        <v>47</v>
      </c>
      <c r="F55">
        <v>18</v>
      </c>
      <c r="G55" t="s">
        <v>740</v>
      </c>
      <c r="H55" t="s">
        <v>741</v>
      </c>
      <c r="I55" t="s">
        <v>625</v>
      </c>
      <c r="J55" t="s">
        <v>629</v>
      </c>
    </row>
    <row r="56" spans="1:10" x14ac:dyDescent="0.3">
      <c r="A56">
        <v>55</v>
      </c>
      <c r="B56" t="s">
        <v>443</v>
      </c>
      <c r="C56" t="s">
        <v>416</v>
      </c>
      <c r="D56" t="s">
        <v>47</v>
      </c>
      <c r="E56" t="s">
        <v>47</v>
      </c>
      <c r="F56">
        <v>18</v>
      </c>
      <c r="G56" t="s">
        <v>742</v>
      </c>
      <c r="H56" t="s">
        <v>743</v>
      </c>
      <c r="I56" t="s">
        <v>625</v>
      </c>
      <c r="J56" t="s">
        <v>629</v>
      </c>
    </row>
    <row r="57" spans="1:10" x14ac:dyDescent="0.3">
      <c r="A57">
        <v>56</v>
      </c>
      <c r="B57" t="s">
        <v>72</v>
      </c>
      <c r="C57" t="s">
        <v>73</v>
      </c>
      <c r="D57" t="s">
        <v>46</v>
      </c>
      <c r="E57" t="s">
        <v>47</v>
      </c>
      <c r="F57">
        <v>18</v>
      </c>
      <c r="G57" t="s">
        <v>744</v>
      </c>
      <c r="H57" t="s">
        <v>745</v>
      </c>
      <c r="I57" t="s">
        <v>625</v>
      </c>
      <c r="J57" t="s">
        <v>626</v>
      </c>
    </row>
    <row r="58" spans="1:10" x14ac:dyDescent="0.3">
      <c r="A58">
        <v>57</v>
      </c>
      <c r="B58" t="s">
        <v>74</v>
      </c>
      <c r="C58" t="s">
        <v>38</v>
      </c>
      <c r="D58" t="s">
        <v>36</v>
      </c>
      <c r="E58" t="s">
        <v>36</v>
      </c>
      <c r="F58">
        <v>18</v>
      </c>
      <c r="G58" t="s">
        <v>746</v>
      </c>
      <c r="H58" t="s">
        <v>747</v>
      </c>
      <c r="I58" t="s">
        <v>625</v>
      </c>
      <c r="J58" t="s">
        <v>626</v>
      </c>
    </row>
    <row r="59" spans="1:10" x14ac:dyDescent="0.3">
      <c r="A59">
        <v>58</v>
      </c>
      <c r="B59" t="s">
        <v>444</v>
      </c>
      <c r="C59" t="s">
        <v>416</v>
      </c>
      <c r="D59" t="s">
        <v>36</v>
      </c>
      <c r="E59" t="s">
        <v>36</v>
      </c>
      <c r="F59">
        <v>18</v>
      </c>
      <c r="G59" t="s">
        <v>748</v>
      </c>
      <c r="H59" t="s">
        <v>749</v>
      </c>
      <c r="I59" t="s">
        <v>625</v>
      </c>
      <c r="J59" t="s">
        <v>626</v>
      </c>
    </row>
    <row r="60" spans="1:10" x14ac:dyDescent="0.3">
      <c r="A60">
        <v>59</v>
      </c>
      <c r="B60" t="s">
        <v>75</v>
      </c>
      <c r="C60" t="s">
        <v>45</v>
      </c>
      <c r="D60" t="s">
        <v>46</v>
      </c>
      <c r="E60" t="s">
        <v>36</v>
      </c>
      <c r="F60">
        <v>18</v>
      </c>
      <c r="G60" t="s">
        <v>750</v>
      </c>
      <c r="H60" t="s">
        <v>751</v>
      </c>
      <c r="I60" t="s">
        <v>625</v>
      </c>
      <c r="J60" t="s">
        <v>629</v>
      </c>
    </row>
    <row r="61" spans="1:10" x14ac:dyDescent="0.3">
      <c r="A61">
        <v>60</v>
      </c>
      <c r="B61" t="s">
        <v>76</v>
      </c>
      <c r="C61" t="s">
        <v>57</v>
      </c>
      <c r="D61" t="s">
        <v>47</v>
      </c>
      <c r="E61" t="s">
        <v>47</v>
      </c>
      <c r="F61">
        <v>18</v>
      </c>
      <c r="G61" t="s">
        <v>752</v>
      </c>
      <c r="H61" t="s">
        <v>753</v>
      </c>
      <c r="I61" t="s">
        <v>625</v>
      </c>
      <c r="J61" t="s">
        <v>626</v>
      </c>
    </row>
    <row r="62" spans="1:10" x14ac:dyDescent="0.3">
      <c r="A62">
        <v>61</v>
      </c>
      <c r="B62" t="s">
        <v>77</v>
      </c>
      <c r="C62" t="s">
        <v>38</v>
      </c>
      <c r="D62" t="s">
        <v>36</v>
      </c>
      <c r="E62" t="s">
        <v>36</v>
      </c>
      <c r="F62">
        <v>18</v>
      </c>
      <c r="G62" t="s">
        <v>754</v>
      </c>
      <c r="H62" t="s">
        <v>755</v>
      </c>
      <c r="I62" t="s">
        <v>625</v>
      </c>
      <c r="J62" t="s">
        <v>626</v>
      </c>
    </row>
    <row r="63" spans="1:10" x14ac:dyDescent="0.3">
      <c r="A63">
        <v>62</v>
      </c>
      <c r="B63" t="s">
        <v>445</v>
      </c>
      <c r="C63" t="s">
        <v>416</v>
      </c>
      <c r="D63" t="s">
        <v>46</v>
      </c>
      <c r="E63" t="s">
        <v>36</v>
      </c>
      <c r="F63">
        <v>18</v>
      </c>
      <c r="G63" t="s">
        <v>660</v>
      </c>
      <c r="H63" t="s">
        <v>756</v>
      </c>
      <c r="I63" t="s">
        <v>625</v>
      </c>
      <c r="J63" t="s">
        <v>639</v>
      </c>
    </row>
    <row r="64" spans="1:10" x14ac:dyDescent="0.3">
      <c r="A64">
        <v>63</v>
      </c>
      <c r="B64" t="s">
        <v>446</v>
      </c>
      <c r="C64" t="s">
        <v>416</v>
      </c>
      <c r="D64" t="s">
        <v>47</v>
      </c>
      <c r="E64" t="s">
        <v>47</v>
      </c>
      <c r="F64">
        <v>20</v>
      </c>
      <c r="G64" t="s">
        <v>757</v>
      </c>
      <c r="H64" t="s">
        <v>758</v>
      </c>
      <c r="I64" t="s">
        <v>759</v>
      </c>
      <c r="J64" t="s">
        <v>626</v>
      </c>
    </row>
    <row r="65" spans="1:10" x14ac:dyDescent="0.3">
      <c r="A65">
        <v>64</v>
      </c>
      <c r="B65" t="s">
        <v>447</v>
      </c>
      <c r="C65" t="s">
        <v>416</v>
      </c>
      <c r="D65" t="s">
        <v>47</v>
      </c>
      <c r="E65" t="s">
        <v>47</v>
      </c>
      <c r="F65">
        <v>18</v>
      </c>
      <c r="G65" t="s">
        <v>760</v>
      </c>
      <c r="H65" t="s">
        <v>761</v>
      </c>
      <c r="I65" t="s">
        <v>625</v>
      </c>
      <c r="J65" t="s">
        <v>629</v>
      </c>
    </row>
    <row r="66" spans="1:10" x14ac:dyDescent="0.3">
      <c r="A66">
        <v>65</v>
      </c>
      <c r="B66" t="s">
        <v>448</v>
      </c>
      <c r="C66" t="s">
        <v>416</v>
      </c>
      <c r="D66" t="s">
        <v>47</v>
      </c>
      <c r="E66" t="s">
        <v>47</v>
      </c>
      <c r="F66">
        <v>18</v>
      </c>
      <c r="G66" t="s">
        <v>762</v>
      </c>
      <c r="H66" t="s">
        <v>763</v>
      </c>
      <c r="I66" t="s">
        <v>625</v>
      </c>
      <c r="J66" t="s">
        <v>695</v>
      </c>
    </row>
    <row r="67" spans="1:10" x14ac:dyDescent="0.3">
      <c r="A67">
        <v>66</v>
      </c>
      <c r="B67" t="s">
        <v>78</v>
      </c>
      <c r="C67" t="s">
        <v>49</v>
      </c>
      <c r="D67" t="s">
        <v>36</v>
      </c>
      <c r="E67" t="s">
        <v>36</v>
      </c>
      <c r="F67">
        <v>18</v>
      </c>
      <c r="G67" t="s">
        <v>764</v>
      </c>
      <c r="H67" t="s">
        <v>765</v>
      </c>
      <c r="I67" t="s">
        <v>625</v>
      </c>
      <c r="J67" t="s">
        <v>626</v>
      </c>
    </row>
    <row r="68" spans="1:10" x14ac:dyDescent="0.3">
      <c r="A68">
        <v>67</v>
      </c>
      <c r="B68" t="s">
        <v>79</v>
      </c>
      <c r="C68" t="s">
        <v>57</v>
      </c>
      <c r="D68" t="s">
        <v>47</v>
      </c>
      <c r="E68" t="s">
        <v>47</v>
      </c>
      <c r="F68">
        <v>18</v>
      </c>
      <c r="G68" t="s">
        <v>766</v>
      </c>
      <c r="H68" t="s">
        <v>767</v>
      </c>
      <c r="I68" t="s">
        <v>625</v>
      </c>
      <c r="J68" t="s">
        <v>629</v>
      </c>
    </row>
    <row r="69" spans="1:10" x14ac:dyDescent="0.3">
      <c r="A69">
        <v>68</v>
      </c>
      <c r="B69" t="s">
        <v>80</v>
      </c>
      <c r="C69" t="s">
        <v>40</v>
      </c>
      <c r="D69" t="s">
        <v>46</v>
      </c>
      <c r="E69" t="s">
        <v>36</v>
      </c>
      <c r="F69">
        <v>18</v>
      </c>
      <c r="G69" t="s">
        <v>768</v>
      </c>
      <c r="H69" t="s">
        <v>769</v>
      </c>
      <c r="I69" t="s">
        <v>625</v>
      </c>
      <c r="J69" t="s">
        <v>629</v>
      </c>
    </row>
    <row r="70" spans="1:10" x14ac:dyDescent="0.3">
      <c r="A70">
        <v>69</v>
      </c>
      <c r="B70" t="s">
        <v>81</v>
      </c>
      <c r="C70" t="s">
        <v>57</v>
      </c>
      <c r="D70" t="s">
        <v>46</v>
      </c>
      <c r="E70" t="s">
        <v>36</v>
      </c>
      <c r="F70">
        <v>18</v>
      </c>
      <c r="G70" t="s">
        <v>770</v>
      </c>
      <c r="H70" t="s">
        <v>771</v>
      </c>
      <c r="I70" t="s">
        <v>625</v>
      </c>
      <c r="J70" t="s">
        <v>626</v>
      </c>
    </row>
    <row r="71" spans="1:10" x14ac:dyDescent="0.3">
      <c r="A71">
        <v>70</v>
      </c>
      <c r="B71" t="s">
        <v>82</v>
      </c>
      <c r="C71" t="s">
        <v>57</v>
      </c>
      <c r="D71" t="s">
        <v>46</v>
      </c>
      <c r="E71" t="s">
        <v>36</v>
      </c>
      <c r="F71">
        <v>20</v>
      </c>
      <c r="G71" t="s">
        <v>772</v>
      </c>
      <c r="H71" t="s">
        <v>773</v>
      </c>
      <c r="I71" t="s">
        <v>759</v>
      </c>
      <c r="J71" t="s">
        <v>626</v>
      </c>
    </row>
    <row r="72" spans="1:10" x14ac:dyDescent="0.3">
      <c r="A72">
        <v>71</v>
      </c>
      <c r="B72" t="s">
        <v>83</v>
      </c>
      <c r="C72" t="s">
        <v>45</v>
      </c>
      <c r="D72" t="s">
        <v>36</v>
      </c>
      <c r="E72" t="s">
        <v>36</v>
      </c>
      <c r="F72">
        <v>18</v>
      </c>
      <c r="G72" t="s">
        <v>774</v>
      </c>
      <c r="H72" t="s">
        <v>775</v>
      </c>
      <c r="I72" t="s">
        <v>625</v>
      </c>
      <c r="J72" t="s">
        <v>626</v>
      </c>
    </row>
    <row r="73" spans="1:10" x14ac:dyDescent="0.3">
      <c r="A73">
        <v>72</v>
      </c>
      <c r="B73" t="s">
        <v>449</v>
      </c>
      <c r="C73" t="s">
        <v>416</v>
      </c>
      <c r="D73" t="s">
        <v>46</v>
      </c>
      <c r="E73" t="s">
        <v>47</v>
      </c>
      <c r="F73">
        <v>21</v>
      </c>
      <c r="G73" t="s">
        <v>776</v>
      </c>
      <c r="H73" t="s">
        <v>777</v>
      </c>
      <c r="I73" t="s">
        <v>718</v>
      </c>
      <c r="J73" t="s">
        <v>626</v>
      </c>
    </row>
    <row r="74" spans="1:10" x14ac:dyDescent="0.3">
      <c r="A74">
        <v>73</v>
      </c>
      <c r="B74" t="s">
        <v>84</v>
      </c>
      <c r="C74" t="s">
        <v>40</v>
      </c>
      <c r="D74" t="s">
        <v>36</v>
      </c>
      <c r="E74" t="s">
        <v>36</v>
      </c>
      <c r="F74">
        <v>18</v>
      </c>
      <c r="G74" t="s">
        <v>778</v>
      </c>
      <c r="H74" t="s">
        <v>779</v>
      </c>
      <c r="I74" t="s">
        <v>625</v>
      </c>
      <c r="J74" t="s">
        <v>629</v>
      </c>
    </row>
    <row r="75" spans="1:10" x14ac:dyDescent="0.3">
      <c r="A75">
        <v>74</v>
      </c>
      <c r="B75" t="s">
        <v>85</v>
      </c>
      <c r="C75" t="s">
        <v>42</v>
      </c>
      <c r="D75" t="s">
        <v>36</v>
      </c>
      <c r="E75" t="s">
        <v>36</v>
      </c>
      <c r="F75">
        <v>18</v>
      </c>
      <c r="G75" t="s">
        <v>780</v>
      </c>
      <c r="H75" t="s">
        <v>781</v>
      </c>
      <c r="I75" t="s">
        <v>625</v>
      </c>
      <c r="J75" t="s">
        <v>626</v>
      </c>
    </row>
    <row r="76" spans="1:10" x14ac:dyDescent="0.3">
      <c r="A76">
        <v>75</v>
      </c>
      <c r="B76" t="s">
        <v>86</v>
      </c>
      <c r="C76" t="s">
        <v>42</v>
      </c>
      <c r="D76" t="s">
        <v>36</v>
      </c>
      <c r="E76" t="s">
        <v>36</v>
      </c>
      <c r="F76">
        <v>18</v>
      </c>
      <c r="G76" t="s">
        <v>782</v>
      </c>
      <c r="H76" t="s">
        <v>783</v>
      </c>
      <c r="I76" t="s">
        <v>625</v>
      </c>
      <c r="J76" t="s">
        <v>626</v>
      </c>
    </row>
    <row r="77" spans="1:10" x14ac:dyDescent="0.3">
      <c r="A77">
        <v>76</v>
      </c>
      <c r="B77" t="s">
        <v>87</v>
      </c>
      <c r="C77" t="s">
        <v>42</v>
      </c>
      <c r="D77" t="s">
        <v>36</v>
      </c>
      <c r="E77" t="s">
        <v>36</v>
      </c>
      <c r="F77">
        <v>18</v>
      </c>
      <c r="G77" t="s">
        <v>784</v>
      </c>
      <c r="H77" t="s">
        <v>785</v>
      </c>
      <c r="I77" t="s">
        <v>625</v>
      </c>
      <c r="J77" t="s">
        <v>629</v>
      </c>
    </row>
    <row r="78" spans="1:10" x14ac:dyDescent="0.3">
      <c r="A78">
        <v>77</v>
      </c>
      <c r="B78" t="s">
        <v>88</v>
      </c>
      <c r="C78" t="s">
        <v>57</v>
      </c>
      <c r="D78" t="s">
        <v>47</v>
      </c>
      <c r="E78" t="s">
        <v>47</v>
      </c>
      <c r="F78">
        <v>18</v>
      </c>
      <c r="G78" t="s">
        <v>786</v>
      </c>
      <c r="H78" t="s">
        <v>787</v>
      </c>
      <c r="I78" t="s">
        <v>625</v>
      </c>
      <c r="J78" t="s">
        <v>626</v>
      </c>
    </row>
    <row r="79" spans="1:10" x14ac:dyDescent="0.3">
      <c r="A79">
        <v>78</v>
      </c>
      <c r="B79" t="s">
        <v>450</v>
      </c>
      <c r="C79" t="s">
        <v>416</v>
      </c>
      <c r="D79" t="s">
        <v>47</v>
      </c>
      <c r="E79" t="s">
        <v>47</v>
      </c>
      <c r="F79">
        <v>18</v>
      </c>
      <c r="G79" t="s">
        <v>788</v>
      </c>
      <c r="H79" t="s">
        <v>789</v>
      </c>
      <c r="I79" t="s">
        <v>625</v>
      </c>
      <c r="J79" t="s">
        <v>626</v>
      </c>
    </row>
    <row r="80" spans="1:10" x14ac:dyDescent="0.3">
      <c r="A80">
        <v>79</v>
      </c>
      <c r="B80" t="s">
        <v>451</v>
      </c>
      <c r="C80" t="s">
        <v>416</v>
      </c>
      <c r="D80" t="s">
        <v>36</v>
      </c>
      <c r="E80" t="s">
        <v>36</v>
      </c>
      <c r="F80">
        <v>18</v>
      </c>
      <c r="G80" t="s">
        <v>790</v>
      </c>
      <c r="H80" t="s">
        <v>791</v>
      </c>
      <c r="I80" t="s">
        <v>625</v>
      </c>
      <c r="J80" t="s">
        <v>629</v>
      </c>
    </row>
    <row r="81" spans="1:10" x14ac:dyDescent="0.3">
      <c r="A81">
        <v>80</v>
      </c>
      <c r="B81" t="s">
        <v>89</v>
      </c>
      <c r="C81" t="s">
        <v>57</v>
      </c>
      <c r="D81" t="s">
        <v>46</v>
      </c>
      <c r="E81" t="s">
        <v>47</v>
      </c>
      <c r="F81">
        <v>19</v>
      </c>
      <c r="G81" t="s">
        <v>792</v>
      </c>
      <c r="H81" t="s">
        <v>793</v>
      </c>
      <c r="I81" t="s">
        <v>729</v>
      </c>
      <c r="J81" t="s">
        <v>626</v>
      </c>
    </row>
    <row r="82" spans="1:10" x14ac:dyDescent="0.3">
      <c r="A82">
        <v>81</v>
      </c>
      <c r="B82" t="s">
        <v>90</v>
      </c>
      <c r="C82" t="s">
        <v>42</v>
      </c>
      <c r="D82" t="s">
        <v>36</v>
      </c>
      <c r="E82" t="s">
        <v>36</v>
      </c>
      <c r="F82">
        <v>18</v>
      </c>
      <c r="G82" t="s">
        <v>794</v>
      </c>
      <c r="H82" t="s">
        <v>795</v>
      </c>
      <c r="I82" t="s">
        <v>625</v>
      </c>
      <c r="J82" t="s">
        <v>626</v>
      </c>
    </row>
    <row r="83" spans="1:10" x14ac:dyDescent="0.3">
      <c r="A83">
        <v>82</v>
      </c>
      <c r="B83" t="s">
        <v>91</v>
      </c>
      <c r="C83" t="s">
        <v>49</v>
      </c>
      <c r="D83" t="s">
        <v>36</v>
      </c>
      <c r="E83" t="s">
        <v>36</v>
      </c>
      <c r="F83">
        <v>18</v>
      </c>
      <c r="G83" t="s">
        <v>796</v>
      </c>
      <c r="H83" t="s">
        <v>797</v>
      </c>
      <c r="I83" t="s">
        <v>625</v>
      </c>
      <c r="J83" t="s">
        <v>626</v>
      </c>
    </row>
    <row r="84" spans="1:10" x14ac:dyDescent="0.3">
      <c r="A84">
        <v>83</v>
      </c>
      <c r="B84" t="s">
        <v>92</v>
      </c>
      <c r="C84" t="s">
        <v>49</v>
      </c>
      <c r="D84" t="s">
        <v>46</v>
      </c>
      <c r="E84" t="s">
        <v>36</v>
      </c>
      <c r="F84">
        <v>18</v>
      </c>
      <c r="G84" t="s">
        <v>798</v>
      </c>
      <c r="H84" t="s">
        <v>799</v>
      </c>
      <c r="I84" t="s">
        <v>625</v>
      </c>
      <c r="J84" t="s">
        <v>626</v>
      </c>
    </row>
    <row r="85" spans="1:10" x14ac:dyDescent="0.3">
      <c r="A85">
        <v>84</v>
      </c>
      <c r="B85" t="s">
        <v>452</v>
      </c>
      <c r="C85" t="s">
        <v>416</v>
      </c>
      <c r="D85" t="s">
        <v>36</v>
      </c>
      <c r="E85" t="s">
        <v>36</v>
      </c>
      <c r="F85">
        <v>18</v>
      </c>
      <c r="G85" t="s">
        <v>800</v>
      </c>
      <c r="H85" t="s">
        <v>801</v>
      </c>
      <c r="I85" t="s">
        <v>625</v>
      </c>
      <c r="J85" t="s">
        <v>675</v>
      </c>
    </row>
    <row r="86" spans="1:10" x14ac:dyDescent="0.3">
      <c r="A86">
        <v>85</v>
      </c>
      <c r="B86" t="s">
        <v>93</v>
      </c>
      <c r="C86" t="s">
        <v>45</v>
      </c>
      <c r="D86" t="s">
        <v>47</v>
      </c>
      <c r="E86" t="s">
        <v>36</v>
      </c>
      <c r="F86">
        <v>18</v>
      </c>
      <c r="G86" t="s">
        <v>802</v>
      </c>
      <c r="H86" t="s">
        <v>803</v>
      </c>
      <c r="I86" t="s">
        <v>625</v>
      </c>
      <c r="J86" t="s">
        <v>626</v>
      </c>
    </row>
    <row r="87" spans="1:10" x14ac:dyDescent="0.3">
      <c r="A87">
        <v>86</v>
      </c>
      <c r="B87" t="s">
        <v>453</v>
      </c>
      <c r="C87" t="s">
        <v>416</v>
      </c>
      <c r="D87" t="s">
        <v>36</v>
      </c>
      <c r="E87" t="s">
        <v>36</v>
      </c>
      <c r="F87">
        <v>18</v>
      </c>
      <c r="G87" t="s">
        <v>804</v>
      </c>
      <c r="H87" t="s">
        <v>805</v>
      </c>
      <c r="I87" t="s">
        <v>625</v>
      </c>
      <c r="J87" t="s">
        <v>626</v>
      </c>
    </row>
    <row r="88" spans="1:10" x14ac:dyDescent="0.3">
      <c r="A88">
        <v>87</v>
      </c>
      <c r="B88" t="s">
        <v>454</v>
      </c>
      <c r="C88" t="s">
        <v>416</v>
      </c>
      <c r="D88" t="s">
        <v>36</v>
      </c>
      <c r="E88" t="s">
        <v>36</v>
      </c>
      <c r="F88">
        <v>18</v>
      </c>
      <c r="G88" t="s">
        <v>806</v>
      </c>
      <c r="H88" t="s">
        <v>807</v>
      </c>
      <c r="I88" t="s">
        <v>625</v>
      </c>
      <c r="J88" t="s">
        <v>626</v>
      </c>
    </row>
    <row r="89" spans="1:10" x14ac:dyDescent="0.3">
      <c r="A89">
        <v>88</v>
      </c>
      <c r="B89" t="s">
        <v>455</v>
      </c>
      <c r="C89" t="s">
        <v>416</v>
      </c>
      <c r="D89" t="s">
        <v>47</v>
      </c>
      <c r="E89" t="s">
        <v>47</v>
      </c>
      <c r="F89">
        <v>18</v>
      </c>
      <c r="G89" t="s">
        <v>808</v>
      </c>
      <c r="H89" t="s">
        <v>809</v>
      </c>
      <c r="I89" t="s">
        <v>625</v>
      </c>
      <c r="J89" t="s">
        <v>629</v>
      </c>
    </row>
    <row r="90" spans="1:10" x14ac:dyDescent="0.3">
      <c r="A90">
        <v>89</v>
      </c>
      <c r="B90" t="s">
        <v>94</v>
      </c>
      <c r="C90" t="s">
        <v>40</v>
      </c>
      <c r="D90" t="s">
        <v>36</v>
      </c>
      <c r="E90" t="s">
        <v>36</v>
      </c>
      <c r="F90">
        <v>18</v>
      </c>
      <c r="G90" t="s">
        <v>810</v>
      </c>
      <c r="H90" t="s">
        <v>811</v>
      </c>
      <c r="I90" t="s">
        <v>625</v>
      </c>
      <c r="J90" t="s">
        <v>812</v>
      </c>
    </row>
    <row r="91" spans="1:10" x14ac:dyDescent="0.3">
      <c r="A91">
        <v>90</v>
      </c>
      <c r="B91" t="s">
        <v>95</v>
      </c>
      <c r="C91" t="s">
        <v>49</v>
      </c>
      <c r="D91" t="s">
        <v>46</v>
      </c>
      <c r="E91" t="s">
        <v>36</v>
      </c>
      <c r="F91">
        <v>22</v>
      </c>
      <c r="G91" t="s">
        <v>813</v>
      </c>
      <c r="H91" t="s">
        <v>814</v>
      </c>
      <c r="I91" t="s">
        <v>690</v>
      </c>
      <c r="J91" t="s">
        <v>815</v>
      </c>
    </row>
    <row r="92" spans="1:10" x14ac:dyDescent="0.3">
      <c r="A92">
        <v>91</v>
      </c>
      <c r="B92" t="s">
        <v>456</v>
      </c>
      <c r="C92" t="s">
        <v>416</v>
      </c>
      <c r="D92" t="s">
        <v>36</v>
      </c>
      <c r="E92" t="s">
        <v>36</v>
      </c>
      <c r="F92">
        <v>18</v>
      </c>
      <c r="G92" t="s">
        <v>650</v>
      </c>
      <c r="H92" t="s">
        <v>816</v>
      </c>
      <c r="I92" t="s">
        <v>625</v>
      </c>
      <c r="J92" t="s">
        <v>626</v>
      </c>
    </row>
    <row r="93" spans="1:10" x14ac:dyDescent="0.3">
      <c r="A93">
        <v>92</v>
      </c>
      <c r="B93" t="s">
        <v>96</v>
      </c>
      <c r="C93" t="s">
        <v>49</v>
      </c>
      <c r="D93" t="s">
        <v>47</v>
      </c>
      <c r="E93" t="s">
        <v>36</v>
      </c>
      <c r="F93">
        <v>18</v>
      </c>
      <c r="G93" t="s">
        <v>817</v>
      </c>
      <c r="H93" t="s">
        <v>818</v>
      </c>
      <c r="I93" t="s">
        <v>625</v>
      </c>
      <c r="J93" t="s">
        <v>626</v>
      </c>
    </row>
    <row r="94" spans="1:10" x14ac:dyDescent="0.3">
      <c r="A94">
        <v>93</v>
      </c>
      <c r="B94" t="s">
        <v>97</v>
      </c>
      <c r="C94" t="s">
        <v>38</v>
      </c>
      <c r="D94" t="s">
        <v>36</v>
      </c>
      <c r="E94" t="s">
        <v>36</v>
      </c>
      <c r="F94">
        <v>18</v>
      </c>
      <c r="G94" t="s">
        <v>819</v>
      </c>
      <c r="H94" t="s">
        <v>820</v>
      </c>
      <c r="I94" t="s">
        <v>625</v>
      </c>
      <c r="J94" t="s">
        <v>629</v>
      </c>
    </row>
    <row r="95" spans="1:10" x14ac:dyDescent="0.3">
      <c r="A95">
        <v>94</v>
      </c>
      <c r="B95" t="s">
        <v>98</v>
      </c>
      <c r="C95" t="s">
        <v>40</v>
      </c>
      <c r="D95" t="s">
        <v>46</v>
      </c>
      <c r="E95" t="s">
        <v>36</v>
      </c>
      <c r="F95">
        <v>18</v>
      </c>
      <c r="G95" t="s">
        <v>821</v>
      </c>
      <c r="H95" t="s">
        <v>822</v>
      </c>
      <c r="I95" t="s">
        <v>625</v>
      </c>
      <c r="J95" t="s">
        <v>626</v>
      </c>
    </row>
    <row r="96" spans="1:10" x14ac:dyDescent="0.3">
      <c r="A96">
        <v>95</v>
      </c>
      <c r="B96" t="s">
        <v>99</v>
      </c>
      <c r="C96" t="s">
        <v>57</v>
      </c>
      <c r="D96" t="s">
        <v>36</v>
      </c>
      <c r="E96" t="s">
        <v>36</v>
      </c>
      <c r="F96">
        <v>18</v>
      </c>
      <c r="G96" t="s">
        <v>823</v>
      </c>
      <c r="H96" t="s">
        <v>824</v>
      </c>
      <c r="I96" t="s">
        <v>625</v>
      </c>
      <c r="J96" t="s">
        <v>629</v>
      </c>
    </row>
    <row r="97" spans="1:10" x14ac:dyDescent="0.3">
      <c r="A97">
        <v>96</v>
      </c>
      <c r="B97" t="s">
        <v>457</v>
      </c>
      <c r="C97" t="s">
        <v>416</v>
      </c>
      <c r="D97" t="s">
        <v>46</v>
      </c>
      <c r="E97" t="s">
        <v>47</v>
      </c>
      <c r="F97">
        <v>19</v>
      </c>
      <c r="G97" t="s">
        <v>825</v>
      </c>
      <c r="H97" t="s">
        <v>826</v>
      </c>
      <c r="I97" t="s">
        <v>729</v>
      </c>
      <c r="J97" t="s">
        <v>626</v>
      </c>
    </row>
    <row r="98" spans="1:10" x14ac:dyDescent="0.3">
      <c r="A98">
        <v>97</v>
      </c>
      <c r="B98" t="s">
        <v>100</v>
      </c>
      <c r="C98" t="s">
        <v>49</v>
      </c>
      <c r="D98" t="s">
        <v>36</v>
      </c>
      <c r="E98" t="s">
        <v>36</v>
      </c>
      <c r="F98">
        <v>18</v>
      </c>
      <c r="G98" t="s">
        <v>827</v>
      </c>
      <c r="H98" t="s">
        <v>828</v>
      </c>
      <c r="I98" t="s">
        <v>625</v>
      </c>
      <c r="J98" t="s">
        <v>629</v>
      </c>
    </row>
    <row r="99" spans="1:10" x14ac:dyDescent="0.3">
      <c r="A99">
        <v>98</v>
      </c>
      <c r="B99" t="s">
        <v>458</v>
      </c>
      <c r="C99" t="s">
        <v>416</v>
      </c>
      <c r="D99" t="s">
        <v>46</v>
      </c>
      <c r="E99" t="s">
        <v>36</v>
      </c>
      <c r="F99">
        <v>22</v>
      </c>
      <c r="G99" t="s">
        <v>829</v>
      </c>
      <c r="H99" t="s">
        <v>830</v>
      </c>
      <c r="I99" t="s">
        <v>690</v>
      </c>
      <c r="J99" t="s">
        <v>626</v>
      </c>
    </row>
    <row r="100" spans="1:10" x14ac:dyDescent="0.3">
      <c r="A100">
        <v>99</v>
      </c>
      <c r="B100" t="s">
        <v>459</v>
      </c>
      <c r="C100" t="s">
        <v>416</v>
      </c>
      <c r="D100" t="s">
        <v>47</v>
      </c>
      <c r="E100" t="s">
        <v>47</v>
      </c>
      <c r="F100">
        <v>18</v>
      </c>
      <c r="G100" t="s">
        <v>831</v>
      </c>
      <c r="H100" t="s">
        <v>832</v>
      </c>
      <c r="I100" t="s">
        <v>625</v>
      </c>
      <c r="J100" t="s">
        <v>626</v>
      </c>
    </row>
    <row r="101" spans="1:10" x14ac:dyDescent="0.3">
      <c r="A101">
        <v>100</v>
      </c>
      <c r="B101" t="s">
        <v>101</v>
      </c>
      <c r="C101" t="s">
        <v>57</v>
      </c>
      <c r="D101" t="s">
        <v>36</v>
      </c>
      <c r="E101" t="s">
        <v>36</v>
      </c>
      <c r="F101">
        <v>18</v>
      </c>
      <c r="G101" t="s">
        <v>833</v>
      </c>
      <c r="H101" t="s">
        <v>834</v>
      </c>
      <c r="I101" t="s">
        <v>625</v>
      </c>
      <c r="J101" t="s">
        <v>639</v>
      </c>
    </row>
    <row r="102" spans="1:10" x14ac:dyDescent="0.3">
      <c r="A102">
        <v>101</v>
      </c>
      <c r="B102" t="s">
        <v>460</v>
      </c>
      <c r="C102" t="s">
        <v>416</v>
      </c>
      <c r="D102" t="s">
        <v>36</v>
      </c>
      <c r="E102" t="s">
        <v>36</v>
      </c>
      <c r="F102">
        <v>18</v>
      </c>
      <c r="G102" t="s">
        <v>835</v>
      </c>
      <c r="H102" t="s">
        <v>836</v>
      </c>
      <c r="I102" t="s">
        <v>625</v>
      </c>
      <c r="J102" t="s">
        <v>626</v>
      </c>
    </row>
    <row r="103" spans="1:10" x14ac:dyDescent="0.3">
      <c r="A103">
        <v>102</v>
      </c>
      <c r="B103" t="s">
        <v>102</v>
      </c>
      <c r="C103" t="s">
        <v>64</v>
      </c>
      <c r="D103" t="s">
        <v>36</v>
      </c>
      <c r="E103" t="s">
        <v>36</v>
      </c>
      <c r="F103">
        <v>18</v>
      </c>
      <c r="G103" t="s">
        <v>837</v>
      </c>
      <c r="H103" t="s">
        <v>838</v>
      </c>
      <c r="I103" t="s">
        <v>625</v>
      </c>
      <c r="J103" t="s">
        <v>626</v>
      </c>
    </row>
    <row r="104" spans="1:10" x14ac:dyDescent="0.3">
      <c r="A104">
        <v>103</v>
      </c>
      <c r="B104" t="s">
        <v>103</v>
      </c>
      <c r="C104" t="s">
        <v>42</v>
      </c>
      <c r="D104" t="s">
        <v>36</v>
      </c>
      <c r="E104" t="s">
        <v>36</v>
      </c>
      <c r="F104">
        <v>21</v>
      </c>
      <c r="G104" t="s">
        <v>839</v>
      </c>
      <c r="H104" t="s">
        <v>840</v>
      </c>
      <c r="I104" t="s">
        <v>718</v>
      </c>
      <c r="J104" t="s">
        <v>626</v>
      </c>
    </row>
    <row r="105" spans="1:10" x14ac:dyDescent="0.3">
      <c r="A105">
        <v>104</v>
      </c>
      <c r="B105" t="s">
        <v>104</v>
      </c>
      <c r="C105" t="s">
        <v>57</v>
      </c>
      <c r="D105" t="s">
        <v>36</v>
      </c>
      <c r="E105" t="s">
        <v>36</v>
      </c>
      <c r="F105">
        <v>18</v>
      </c>
      <c r="G105" t="s">
        <v>841</v>
      </c>
      <c r="H105" t="s">
        <v>842</v>
      </c>
      <c r="I105" t="s">
        <v>625</v>
      </c>
      <c r="J105" t="s">
        <v>626</v>
      </c>
    </row>
    <row r="106" spans="1:10" x14ac:dyDescent="0.3">
      <c r="A106">
        <v>105</v>
      </c>
      <c r="B106" t="s">
        <v>105</v>
      </c>
      <c r="C106" t="s">
        <v>42</v>
      </c>
      <c r="D106" t="s">
        <v>46</v>
      </c>
      <c r="E106" t="s">
        <v>36</v>
      </c>
      <c r="F106">
        <v>18</v>
      </c>
      <c r="G106" t="s">
        <v>843</v>
      </c>
      <c r="H106" t="s">
        <v>844</v>
      </c>
      <c r="I106" t="s">
        <v>625</v>
      </c>
      <c r="J106" t="s">
        <v>626</v>
      </c>
    </row>
    <row r="107" spans="1:10" x14ac:dyDescent="0.3">
      <c r="A107">
        <v>106</v>
      </c>
      <c r="B107" t="s">
        <v>461</v>
      </c>
      <c r="C107" t="s">
        <v>416</v>
      </c>
      <c r="D107" t="s">
        <v>36</v>
      </c>
      <c r="E107" t="s">
        <v>36</v>
      </c>
      <c r="F107">
        <v>18</v>
      </c>
      <c r="G107" t="s">
        <v>845</v>
      </c>
      <c r="H107" t="s">
        <v>846</v>
      </c>
      <c r="I107" t="s">
        <v>625</v>
      </c>
      <c r="J107" t="s">
        <v>626</v>
      </c>
    </row>
    <row r="108" spans="1:10" x14ac:dyDescent="0.3">
      <c r="A108">
        <v>107</v>
      </c>
      <c r="B108" t="s">
        <v>462</v>
      </c>
      <c r="C108" t="s">
        <v>416</v>
      </c>
      <c r="D108" t="s">
        <v>36</v>
      </c>
      <c r="E108" t="s">
        <v>36</v>
      </c>
      <c r="F108">
        <v>20</v>
      </c>
      <c r="G108" t="s">
        <v>847</v>
      </c>
      <c r="H108" t="s">
        <v>848</v>
      </c>
      <c r="I108" t="s">
        <v>759</v>
      </c>
      <c r="J108" t="s">
        <v>626</v>
      </c>
    </row>
    <row r="109" spans="1:10" x14ac:dyDescent="0.3">
      <c r="A109">
        <v>108</v>
      </c>
      <c r="B109" t="s">
        <v>106</v>
      </c>
      <c r="C109" t="s">
        <v>40</v>
      </c>
      <c r="D109" t="s">
        <v>47</v>
      </c>
      <c r="E109" t="s">
        <v>47</v>
      </c>
      <c r="F109">
        <v>18</v>
      </c>
      <c r="G109" t="s">
        <v>849</v>
      </c>
      <c r="H109" t="s">
        <v>850</v>
      </c>
      <c r="I109" t="s">
        <v>625</v>
      </c>
      <c r="J109" t="s">
        <v>695</v>
      </c>
    </row>
    <row r="110" spans="1:10" x14ac:dyDescent="0.3">
      <c r="A110">
        <v>109</v>
      </c>
      <c r="B110" t="s">
        <v>107</v>
      </c>
      <c r="C110" t="s">
        <v>57</v>
      </c>
      <c r="D110" t="s">
        <v>36</v>
      </c>
      <c r="E110" t="s">
        <v>36</v>
      </c>
      <c r="F110">
        <v>18</v>
      </c>
      <c r="G110" t="s">
        <v>851</v>
      </c>
      <c r="H110" t="s">
        <v>852</v>
      </c>
      <c r="I110" t="s">
        <v>625</v>
      </c>
      <c r="J110" t="s">
        <v>626</v>
      </c>
    </row>
    <row r="111" spans="1:10" x14ac:dyDescent="0.3">
      <c r="A111">
        <v>110</v>
      </c>
      <c r="B111" t="s">
        <v>463</v>
      </c>
      <c r="C111" t="s">
        <v>416</v>
      </c>
      <c r="D111" t="s">
        <v>36</v>
      </c>
      <c r="E111" t="s">
        <v>36</v>
      </c>
      <c r="F111">
        <v>18</v>
      </c>
      <c r="G111" t="s">
        <v>853</v>
      </c>
      <c r="H111" t="s">
        <v>854</v>
      </c>
      <c r="I111" t="s">
        <v>625</v>
      </c>
      <c r="J111" t="s">
        <v>626</v>
      </c>
    </row>
    <row r="112" spans="1:10" x14ac:dyDescent="0.3">
      <c r="A112">
        <v>111</v>
      </c>
      <c r="B112" t="s">
        <v>108</v>
      </c>
      <c r="C112" t="s">
        <v>42</v>
      </c>
      <c r="D112" t="s">
        <v>36</v>
      </c>
      <c r="E112" t="s">
        <v>36</v>
      </c>
      <c r="F112">
        <v>18</v>
      </c>
      <c r="G112" t="s">
        <v>855</v>
      </c>
      <c r="H112" t="s">
        <v>856</v>
      </c>
      <c r="I112" t="s">
        <v>625</v>
      </c>
      <c r="J112" t="s">
        <v>629</v>
      </c>
    </row>
    <row r="113" spans="1:10" x14ac:dyDescent="0.3">
      <c r="A113">
        <v>112</v>
      </c>
      <c r="B113" t="s">
        <v>464</v>
      </c>
      <c r="C113" t="s">
        <v>416</v>
      </c>
      <c r="D113" t="s">
        <v>36</v>
      </c>
      <c r="E113" t="s">
        <v>36</v>
      </c>
      <c r="F113">
        <v>18</v>
      </c>
      <c r="G113" t="s">
        <v>857</v>
      </c>
      <c r="H113" t="s">
        <v>858</v>
      </c>
      <c r="I113" t="s">
        <v>625</v>
      </c>
      <c r="J113" t="s">
        <v>626</v>
      </c>
    </row>
    <row r="114" spans="1:10" x14ac:dyDescent="0.3">
      <c r="A114">
        <v>113</v>
      </c>
      <c r="B114" t="s">
        <v>109</v>
      </c>
      <c r="C114" t="s">
        <v>45</v>
      </c>
      <c r="D114" t="s">
        <v>47</v>
      </c>
      <c r="E114" t="s">
        <v>47</v>
      </c>
      <c r="F114">
        <v>18</v>
      </c>
      <c r="G114" t="s">
        <v>859</v>
      </c>
      <c r="H114" t="s">
        <v>860</v>
      </c>
      <c r="I114" t="s">
        <v>625</v>
      </c>
      <c r="J114" t="s">
        <v>626</v>
      </c>
    </row>
    <row r="115" spans="1:10" x14ac:dyDescent="0.3">
      <c r="A115">
        <v>114</v>
      </c>
      <c r="B115" t="s">
        <v>110</v>
      </c>
      <c r="C115" t="s">
        <v>57</v>
      </c>
      <c r="D115" t="s">
        <v>47</v>
      </c>
      <c r="E115" t="s">
        <v>47</v>
      </c>
      <c r="F115">
        <v>19</v>
      </c>
      <c r="G115" t="s">
        <v>861</v>
      </c>
      <c r="H115" t="s">
        <v>862</v>
      </c>
      <c r="I115" t="s">
        <v>729</v>
      </c>
      <c r="J115" t="s">
        <v>626</v>
      </c>
    </row>
    <row r="116" spans="1:10" x14ac:dyDescent="0.3">
      <c r="A116">
        <v>115</v>
      </c>
      <c r="B116" t="s">
        <v>111</v>
      </c>
      <c r="C116" t="s">
        <v>57</v>
      </c>
      <c r="D116" t="s">
        <v>36</v>
      </c>
      <c r="E116" t="s">
        <v>36</v>
      </c>
      <c r="F116">
        <v>21</v>
      </c>
      <c r="G116" t="s">
        <v>863</v>
      </c>
      <c r="H116" t="s">
        <v>864</v>
      </c>
      <c r="I116" t="s">
        <v>718</v>
      </c>
      <c r="J116" t="s">
        <v>626</v>
      </c>
    </row>
    <row r="117" spans="1:10" x14ac:dyDescent="0.3">
      <c r="A117">
        <v>116</v>
      </c>
      <c r="B117" t="s">
        <v>112</v>
      </c>
      <c r="C117" t="s">
        <v>57</v>
      </c>
      <c r="D117" t="s">
        <v>36</v>
      </c>
      <c r="E117" t="s">
        <v>36</v>
      </c>
      <c r="F117">
        <v>20</v>
      </c>
      <c r="G117" t="s">
        <v>865</v>
      </c>
      <c r="H117" t="s">
        <v>866</v>
      </c>
      <c r="I117" t="s">
        <v>759</v>
      </c>
      <c r="J117" t="s">
        <v>626</v>
      </c>
    </row>
    <row r="118" spans="1:10" x14ac:dyDescent="0.3">
      <c r="A118">
        <v>117</v>
      </c>
      <c r="B118" t="s">
        <v>465</v>
      </c>
      <c r="C118" t="s">
        <v>416</v>
      </c>
      <c r="D118" t="s">
        <v>36</v>
      </c>
      <c r="E118" t="s">
        <v>36</v>
      </c>
      <c r="F118">
        <v>20</v>
      </c>
      <c r="G118" t="s">
        <v>867</v>
      </c>
      <c r="H118" t="s">
        <v>868</v>
      </c>
      <c r="I118" t="s">
        <v>759</v>
      </c>
      <c r="J118" t="s">
        <v>626</v>
      </c>
    </row>
    <row r="119" spans="1:10" x14ac:dyDescent="0.3">
      <c r="A119">
        <v>118</v>
      </c>
      <c r="B119" t="s">
        <v>466</v>
      </c>
      <c r="C119" t="s">
        <v>416</v>
      </c>
      <c r="D119" t="s">
        <v>46</v>
      </c>
      <c r="E119" t="s">
        <v>36</v>
      </c>
      <c r="F119">
        <v>18</v>
      </c>
      <c r="G119" t="s">
        <v>869</v>
      </c>
      <c r="H119" t="s">
        <v>870</v>
      </c>
      <c r="I119" t="s">
        <v>625</v>
      </c>
      <c r="J119" t="s">
        <v>626</v>
      </c>
    </row>
    <row r="120" spans="1:10" x14ac:dyDescent="0.3">
      <c r="A120">
        <v>119</v>
      </c>
      <c r="B120" t="s">
        <v>113</v>
      </c>
      <c r="C120" t="s">
        <v>40</v>
      </c>
      <c r="D120" t="s">
        <v>46</v>
      </c>
      <c r="E120" t="s">
        <v>47</v>
      </c>
      <c r="F120">
        <v>18</v>
      </c>
      <c r="G120" t="s">
        <v>871</v>
      </c>
      <c r="H120" t="s">
        <v>872</v>
      </c>
      <c r="I120" t="s">
        <v>625</v>
      </c>
      <c r="J120" t="s">
        <v>675</v>
      </c>
    </row>
    <row r="121" spans="1:10" x14ac:dyDescent="0.3">
      <c r="A121">
        <v>120</v>
      </c>
      <c r="B121" t="s">
        <v>114</v>
      </c>
      <c r="C121" t="s">
        <v>42</v>
      </c>
      <c r="D121" t="s">
        <v>36</v>
      </c>
      <c r="E121" t="s">
        <v>36</v>
      </c>
      <c r="F121">
        <v>22</v>
      </c>
      <c r="G121" t="s">
        <v>873</v>
      </c>
      <c r="H121" t="s">
        <v>874</v>
      </c>
      <c r="I121" t="s">
        <v>690</v>
      </c>
      <c r="J121" t="s">
        <v>626</v>
      </c>
    </row>
    <row r="122" spans="1:10" x14ac:dyDescent="0.3">
      <c r="A122">
        <v>121</v>
      </c>
      <c r="B122" t="s">
        <v>115</v>
      </c>
      <c r="C122" t="s">
        <v>57</v>
      </c>
      <c r="D122" t="s">
        <v>46</v>
      </c>
      <c r="E122" t="s">
        <v>36</v>
      </c>
      <c r="F122">
        <v>18</v>
      </c>
      <c r="G122" t="s">
        <v>875</v>
      </c>
      <c r="H122" t="s">
        <v>876</v>
      </c>
      <c r="I122" t="s">
        <v>625</v>
      </c>
      <c r="J122" t="s">
        <v>626</v>
      </c>
    </row>
    <row r="123" spans="1:10" x14ac:dyDescent="0.3">
      <c r="A123">
        <v>122</v>
      </c>
      <c r="B123" t="s">
        <v>467</v>
      </c>
      <c r="C123" t="s">
        <v>416</v>
      </c>
      <c r="D123" t="s">
        <v>36</v>
      </c>
      <c r="E123" t="s">
        <v>36</v>
      </c>
      <c r="F123">
        <v>18</v>
      </c>
      <c r="G123" t="s">
        <v>877</v>
      </c>
      <c r="H123" t="s">
        <v>878</v>
      </c>
      <c r="I123" t="s">
        <v>625</v>
      </c>
      <c r="J123" t="s">
        <v>626</v>
      </c>
    </row>
    <row r="124" spans="1:10" x14ac:dyDescent="0.3">
      <c r="A124">
        <v>123</v>
      </c>
      <c r="B124" t="s">
        <v>116</v>
      </c>
      <c r="C124" t="s">
        <v>42</v>
      </c>
      <c r="D124" t="s">
        <v>36</v>
      </c>
      <c r="E124" t="s">
        <v>36</v>
      </c>
      <c r="F124">
        <v>18</v>
      </c>
      <c r="G124" t="s">
        <v>879</v>
      </c>
      <c r="H124" t="s">
        <v>880</v>
      </c>
      <c r="I124" t="s">
        <v>625</v>
      </c>
      <c r="J124" t="s">
        <v>629</v>
      </c>
    </row>
    <row r="125" spans="1:10" x14ac:dyDescent="0.3">
      <c r="A125">
        <v>124</v>
      </c>
      <c r="B125" t="s">
        <v>117</v>
      </c>
      <c r="C125" t="s">
        <v>57</v>
      </c>
      <c r="D125" t="s">
        <v>47</v>
      </c>
      <c r="E125" t="s">
        <v>36</v>
      </c>
      <c r="F125">
        <v>18</v>
      </c>
      <c r="G125" t="s">
        <v>881</v>
      </c>
      <c r="H125" t="s">
        <v>882</v>
      </c>
      <c r="I125" t="s">
        <v>625</v>
      </c>
      <c r="J125" t="s">
        <v>626</v>
      </c>
    </row>
    <row r="126" spans="1:10" x14ac:dyDescent="0.3">
      <c r="A126">
        <v>125</v>
      </c>
      <c r="B126" t="s">
        <v>118</v>
      </c>
      <c r="C126" t="s">
        <v>57</v>
      </c>
      <c r="D126" t="s">
        <v>47</v>
      </c>
      <c r="E126" t="s">
        <v>47</v>
      </c>
      <c r="F126">
        <v>18</v>
      </c>
      <c r="G126" t="s">
        <v>883</v>
      </c>
      <c r="H126" t="s">
        <v>884</v>
      </c>
      <c r="I126" t="s">
        <v>625</v>
      </c>
      <c r="J126" t="s">
        <v>626</v>
      </c>
    </row>
    <row r="127" spans="1:10" x14ac:dyDescent="0.3">
      <c r="A127">
        <v>126</v>
      </c>
      <c r="B127" t="s">
        <v>119</v>
      </c>
      <c r="C127" t="s">
        <v>42</v>
      </c>
      <c r="D127" t="s">
        <v>36</v>
      </c>
      <c r="E127" t="s">
        <v>36</v>
      </c>
      <c r="F127">
        <v>18</v>
      </c>
      <c r="G127" t="s">
        <v>885</v>
      </c>
      <c r="H127" t="s">
        <v>886</v>
      </c>
      <c r="I127" t="s">
        <v>625</v>
      </c>
      <c r="J127" t="s">
        <v>695</v>
      </c>
    </row>
    <row r="128" spans="1:10" x14ac:dyDescent="0.3">
      <c r="A128">
        <v>127</v>
      </c>
      <c r="B128" t="s">
        <v>468</v>
      </c>
      <c r="C128" t="s">
        <v>416</v>
      </c>
      <c r="D128" t="s">
        <v>36</v>
      </c>
      <c r="E128" t="s">
        <v>36</v>
      </c>
      <c r="F128">
        <v>19</v>
      </c>
      <c r="G128" t="s">
        <v>887</v>
      </c>
      <c r="H128" t="s">
        <v>888</v>
      </c>
      <c r="I128" t="s">
        <v>729</v>
      </c>
      <c r="J128" t="s">
        <v>626</v>
      </c>
    </row>
    <row r="129" spans="1:10" x14ac:dyDescent="0.3">
      <c r="A129">
        <v>128</v>
      </c>
      <c r="B129" t="s">
        <v>469</v>
      </c>
      <c r="C129" t="s">
        <v>416</v>
      </c>
      <c r="D129" t="s">
        <v>36</v>
      </c>
      <c r="E129" t="s">
        <v>36</v>
      </c>
      <c r="F129">
        <v>18</v>
      </c>
      <c r="G129" t="s">
        <v>889</v>
      </c>
      <c r="H129" t="s">
        <v>890</v>
      </c>
      <c r="I129" t="s">
        <v>625</v>
      </c>
      <c r="J129" t="s">
        <v>626</v>
      </c>
    </row>
    <row r="130" spans="1:10" x14ac:dyDescent="0.3">
      <c r="A130">
        <v>129</v>
      </c>
      <c r="B130" t="s">
        <v>120</v>
      </c>
      <c r="C130" t="s">
        <v>57</v>
      </c>
      <c r="D130" t="s">
        <v>47</v>
      </c>
      <c r="E130" t="s">
        <v>47</v>
      </c>
      <c r="F130">
        <v>18</v>
      </c>
      <c r="G130" t="s">
        <v>891</v>
      </c>
      <c r="H130" t="s">
        <v>892</v>
      </c>
      <c r="I130" t="s">
        <v>625</v>
      </c>
      <c r="J130" t="s">
        <v>695</v>
      </c>
    </row>
    <row r="131" spans="1:10" x14ac:dyDescent="0.3">
      <c r="A131">
        <v>130</v>
      </c>
      <c r="B131" t="s">
        <v>470</v>
      </c>
      <c r="C131" t="s">
        <v>416</v>
      </c>
      <c r="D131" t="s">
        <v>36</v>
      </c>
      <c r="E131" t="s">
        <v>36</v>
      </c>
      <c r="F131">
        <v>20</v>
      </c>
      <c r="G131" t="s">
        <v>893</v>
      </c>
      <c r="H131" t="s">
        <v>894</v>
      </c>
      <c r="I131" t="s">
        <v>759</v>
      </c>
      <c r="J131" t="s">
        <v>626</v>
      </c>
    </row>
    <row r="132" spans="1:10" x14ac:dyDescent="0.3">
      <c r="A132">
        <v>131</v>
      </c>
      <c r="B132" t="s">
        <v>121</v>
      </c>
      <c r="C132" t="s">
        <v>57</v>
      </c>
      <c r="D132" t="s">
        <v>36</v>
      </c>
      <c r="E132" t="s">
        <v>36</v>
      </c>
      <c r="F132">
        <v>18</v>
      </c>
      <c r="G132" t="s">
        <v>895</v>
      </c>
      <c r="H132" t="s">
        <v>896</v>
      </c>
      <c r="I132" t="s">
        <v>625</v>
      </c>
      <c r="J132" t="s">
        <v>626</v>
      </c>
    </row>
    <row r="133" spans="1:10" x14ac:dyDescent="0.3">
      <c r="A133">
        <v>132</v>
      </c>
      <c r="B133" t="s">
        <v>122</v>
      </c>
      <c r="C133" t="s">
        <v>42</v>
      </c>
      <c r="D133" t="s">
        <v>36</v>
      </c>
      <c r="E133" t="s">
        <v>36</v>
      </c>
      <c r="F133">
        <v>19</v>
      </c>
      <c r="G133" t="s">
        <v>897</v>
      </c>
      <c r="H133" t="s">
        <v>898</v>
      </c>
      <c r="I133" t="s">
        <v>729</v>
      </c>
      <c r="J133" t="s">
        <v>626</v>
      </c>
    </row>
    <row r="134" spans="1:10" x14ac:dyDescent="0.3">
      <c r="A134">
        <v>133</v>
      </c>
      <c r="B134" t="s">
        <v>471</v>
      </c>
      <c r="C134" t="s">
        <v>416</v>
      </c>
      <c r="D134" t="s">
        <v>36</v>
      </c>
      <c r="E134" t="s">
        <v>36</v>
      </c>
      <c r="F134">
        <v>18</v>
      </c>
      <c r="G134" t="s">
        <v>899</v>
      </c>
      <c r="H134" t="s">
        <v>900</v>
      </c>
      <c r="I134" t="s">
        <v>625</v>
      </c>
      <c r="J134" t="s">
        <v>626</v>
      </c>
    </row>
    <row r="135" spans="1:10" x14ac:dyDescent="0.3">
      <c r="A135">
        <v>134</v>
      </c>
      <c r="B135" t="s">
        <v>123</v>
      </c>
      <c r="C135" t="s">
        <v>57</v>
      </c>
      <c r="D135" t="s">
        <v>36</v>
      </c>
      <c r="E135" t="s">
        <v>36</v>
      </c>
      <c r="F135">
        <v>18</v>
      </c>
      <c r="G135" t="s">
        <v>901</v>
      </c>
      <c r="H135" t="s">
        <v>902</v>
      </c>
      <c r="I135" t="s">
        <v>625</v>
      </c>
      <c r="J135" t="s">
        <v>626</v>
      </c>
    </row>
    <row r="136" spans="1:10" x14ac:dyDescent="0.3">
      <c r="A136">
        <v>135</v>
      </c>
      <c r="B136" t="s">
        <v>472</v>
      </c>
      <c r="C136" t="s">
        <v>416</v>
      </c>
      <c r="D136" t="s">
        <v>47</v>
      </c>
      <c r="E136" t="s">
        <v>47</v>
      </c>
      <c r="F136">
        <v>22</v>
      </c>
      <c r="G136" t="s">
        <v>903</v>
      </c>
      <c r="H136" t="s">
        <v>904</v>
      </c>
      <c r="I136" t="s">
        <v>690</v>
      </c>
      <c r="J136" t="s">
        <v>626</v>
      </c>
    </row>
    <row r="137" spans="1:10" x14ac:dyDescent="0.3">
      <c r="A137">
        <v>136</v>
      </c>
      <c r="B137" t="s">
        <v>473</v>
      </c>
      <c r="C137" t="s">
        <v>416</v>
      </c>
      <c r="D137" t="s">
        <v>46</v>
      </c>
      <c r="E137" t="s">
        <v>36</v>
      </c>
      <c r="F137">
        <v>19</v>
      </c>
      <c r="G137" t="s">
        <v>905</v>
      </c>
      <c r="H137" t="s">
        <v>906</v>
      </c>
      <c r="I137" t="s">
        <v>729</v>
      </c>
      <c r="J137" t="s">
        <v>907</v>
      </c>
    </row>
    <row r="138" spans="1:10" x14ac:dyDescent="0.3">
      <c r="A138">
        <v>137</v>
      </c>
      <c r="B138" t="s">
        <v>474</v>
      </c>
      <c r="C138" t="s">
        <v>416</v>
      </c>
      <c r="D138" t="s">
        <v>36</v>
      </c>
      <c r="E138" t="s">
        <v>36</v>
      </c>
      <c r="F138">
        <v>18</v>
      </c>
      <c r="G138" t="s">
        <v>908</v>
      </c>
      <c r="H138" t="s">
        <v>909</v>
      </c>
      <c r="I138" t="s">
        <v>625</v>
      </c>
      <c r="J138" t="s">
        <v>626</v>
      </c>
    </row>
    <row r="139" spans="1:10" x14ac:dyDescent="0.3">
      <c r="A139">
        <v>138</v>
      </c>
      <c r="B139" t="s">
        <v>475</v>
      </c>
      <c r="C139" t="s">
        <v>416</v>
      </c>
      <c r="D139" t="s">
        <v>47</v>
      </c>
      <c r="E139" t="s">
        <v>47</v>
      </c>
      <c r="F139">
        <v>19</v>
      </c>
      <c r="G139" t="s">
        <v>910</v>
      </c>
      <c r="H139" t="s">
        <v>911</v>
      </c>
      <c r="I139" t="s">
        <v>729</v>
      </c>
      <c r="J139" t="s">
        <v>626</v>
      </c>
    </row>
    <row r="140" spans="1:10" x14ac:dyDescent="0.3">
      <c r="A140">
        <v>139</v>
      </c>
      <c r="B140" t="s">
        <v>476</v>
      </c>
      <c r="C140" t="s">
        <v>416</v>
      </c>
      <c r="D140" t="s">
        <v>36</v>
      </c>
      <c r="E140" t="s">
        <v>36</v>
      </c>
      <c r="F140">
        <v>21</v>
      </c>
      <c r="G140" t="s">
        <v>912</v>
      </c>
      <c r="H140" t="s">
        <v>913</v>
      </c>
      <c r="I140" t="s">
        <v>718</v>
      </c>
      <c r="J140" t="s">
        <v>914</v>
      </c>
    </row>
    <row r="141" spans="1:10" x14ac:dyDescent="0.3">
      <c r="A141">
        <v>140</v>
      </c>
      <c r="B141" t="s">
        <v>477</v>
      </c>
      <c r="C141" t="s">
        <v>416</v>
      </c>
      <c r="D141" t="s">
        <v>47</v>
      </c>
      <c r="E141" t="s">
        <v>47</v>
      </c>
      <c r="F141">
        <v>18</v>
      </c>
      <c r="G141" t="s">
        <v>915</v>
      </c>
      <c r="H141" t="s">
        <v>916</v>
      </c>
      <c r="I141" t="s">
        <v>625</v>
      </c>
      <c r="J141" t="s">
        <v>626</v>
      </c>
    </row>
    <row r="142" spans="1:10" x14ac:dyDescent="0.3">
      <c r="A142">
        <v>141</v>
      </c>
      <c r="B142" t="s">
        <v>124</v>
      </c>
      <c r="C142" t="s">
        <v>57</v>
      </c>
      <c r="D142" t="s">
        <v>36</v>
      </c>
      <c r="E142" t="s">
        <v>36</v>
      </c>
      <c r="F142">
        <v>21</v>
      </c>
      <c r="G142" t="s">
        <v>917</v>
      </c>
      <c r="H142" t="s">
        <v>918</v>
      </c>
      <c r="I142" t="s">
        <v>718</v>
      </c>
      <c r="J142" t="s">
        <v>914</v>
      </c>
    </row>
    <row r="143" spans="1:10" x14ac:dyDescent="0.3">
      <c r="A143">
        <v>142</v>
      </c>
      <c r="B143" t="s">
        <v>478</v>
      </c>
      <c r="C143" t="s">
        <v>416</v>
      </c>
      <c r="D143" t="s">
        <v>47</v>
      </c>
      <c r="E143" t="s">
        <v>47</v>
      </c>
      <c r="F143">
        <v>18</v>
      </c>
      <c r="G143" t="s">
        <v>919</v>
      </c>
      <c r="H143" t="s">
        <v>920</v>
      </c>
      <c r="I143" t="s">
        <v>625</v>
      </c>
      <c r="J143" t="s">
        <v>626</v>
      </c>
    </row>
    <row r="144" spans="1:10" x14ac:dyDescent="0.3">
      <c r="A144">
        <v>143</v>
      </c>
      <c r="B144" t="s">
        <v>334</v>
      </c>
      <c r="C144" t="s">
        <v>416</v>
      </c>
      <c r="D144" t="s">
        <v>36</v>
      </c>
      <c r="E144" t="s">
        <v>36</v>
      </c>
      <c r="F144">
        <v>18</v>
      </c>
      <c r="G144" t="s">
        <v>921</v>
      </c>
      <c r="H144" t="s">
        <v>922</v>
      </c>
      <c r="I144" t="s">
        <v>625</v>
      </c>
      <c r="J144" t="s">
        <v>626</v>
      </c>
    </row>
    <row r="145" spans="1:10" x14ac:dyDescent="0.3">
      <c r="A145">
        <v>144</v>
      </c>
      <c r="B145" t="s">
        <v>479</v>
      </c>
      <c r="C145" t="s">
        <v>416</v>
      </c>
      <c r="D145" t="s">
        <v>36</v>
      </c>
      <c r="E145" t="s">
        <v>36</v>
      </c>
      <c r="F145">
        <v>18</v>
      </c>
      <c r="G145" t="s">
        <v>923</v>
      </c>
      <c r="H145" t="s">
        <v>924</v>
      </c>
      <c r="I145" t="s">
        <v>625</v>
      </c>
      <c r="J145" t="s">
        <v>925</v>
      </c>
    </row>
    <row r="146" spans="1:10" x14ac:dyDescent="0.3">
      <c r="A146">
        <v>145</v>
      </c>
      <c r="B146" t="s">
        <v>480</v>
      </c>
      <c r="C146" t="s">
        <v>416</v>
      </c>
      <c r="D146" t="s">
        <v>36</v>
      </c>
      <c r="E146" t="s">
        <v>36</v>
      </c>
      <c r="F146">
        <v>18</v>
      </c>
      <c r="G146" t="s">
        <v>877</v>
      </c>
      <c r="H146" t="s">
        <v>926</v>
      </c>
      <c r="I146" t="s">
        <v>625</v>
      </c>
      <c r="J146" t="s">
        <v>925</v>
      </c>
    </row>
    <row r="147" spans="1:10" x14ac:dyDescent="0.3">
      <c r="A147">
        <v>146</v>
      </c>
      <c r="B147" t="s">
        <v>481</v>
      </c>
      <c r="C147" t="s">
        <v>416</v>
      </c>
      <c r="D147" t="s">
        <v>36</v>
      </c>
      <c r="E147" t="s">
        <v>36</v>
      </c>
      <c r="F147">
        <v>18</v>
      </c>
      <c r="G147" t="s">
        <v>927</v>
      </c>
      <c r="H147" t="s">
        <v>928</v>
      </c>
      <c r="I147" t="s">
        <v>625</v>
      </c>
      <c r="J147" t="s">
        <v>925</v>
      </c>
    </row>
    <row r="148" spans="1:10" x14ac:dyDescent="0.3">
      <c r="A148">
        <v>147</v>
      </c>
      <c r="B148" t="s">
        <v>482</v>
      </c>
      <c r="C148" t="s">
        <v>416</v>
      </c>
      <c r="D148" t="s">
        <v>47</v>
      </c>
      <c r="E148" t="s">
        <v>47</v>
      </c>
      <c r="F148">
        <v>19</v>
      </c>
      <c r="G148" t="s">
        <v>929</v>
      </c>
      <c r="H148" t="s">
        <v>930</v>
      </c>
      <c r="I148" t="s">
        <v>729</v>
      </c>
      <c r="J148" t="s">
        <v>925</v>
      </c>
    </row>
    <row r="149" spans="1:10" x14ac:dyDescent="0.3">
      <c r="A149">
        <v>148</v>
      </c>
      <c r="B149" t="s">
        <v>483</v>
      </c>
      <c r="C149" t="s">
        <v>416</v>
      </c>
      <c r="D149" t="s">
        <v>47</v>
      </c>
      <c r="E149" t="s">
        <v>47</v>
      </c>
      <c r="F149">
        <v>22</v>
      </c>
      <c r="G149" t="s">
        <v>931</v>
      </c>
      <c r="H149" t="s">
        <v>830</v>
      </c>
      <c r="I149" t="s">
        <v>690</v>
      </c>
      <c r="J149" t="s">
        <v>925</v>
      </c>
    </row>
    <row r="150" spans="1:10" x14ac:dyDescent="0.3">
      <c r="A150">
        <v>149</v>
      </c>
      <c r="B150" t="s">
        <v>484</v>
      </c>
      <c r="C150" t="s">
        <v>416</v>
      </c>
      <c r="D150" t="s">
        <v>36</v>
      </c>
      <c r="E150" t="s">
        <v>36</v>
      </c>
      <c r="F150">
        <v>20</v>
      </c>
      <c r="G150" t="s">
        <v>932</v>
      </c>
      <c r="H150" t="s">
        <v>933</v>
      </c>
      <c r="I150" t="s">
        <v>759</v>
      </c>
      <c r="J150" t="s">
        <v>925</v>
      </c>
    </row>
    <row r="151" spans="1:10" x14ac:dyDescent="0.3">
      <c r="A151">
        <v>150</v>
      </c>
      <c r="B151" t="s">
        <v>485</v>
      </c>
      <c r="C151" t="s">
        <v>416</v>
      </c>
      <c r="D151" t="s">
        <v>36</v>
      </c>
      <c r="E151" t="s">
        <v>36</v>
      </c>
      <c r="F151">
        <v>20</v>
      </c>
      <c r="G151" t="s">
        <v>934</v>
      </c>
      <c r="H151" t="s">
        <v>935</v>
      </c>
      <c r="I151" t="s">
        <v>759</v>
      </c>
      <c r="J151" t="s">
        <v>925</v>
      </c>
    </row>
    <row r="152" spans="1:10" x14ac:dyDescent="0.3">
      <c r="A152">
        <v>151</v>
      </c>
      <c r="B152" t="s">
        <v>486</v>
      </c>
      <c r="C152" t="s">
        <v>416</v>
      </c>
      <c r="D152" t="s">
        <v>47</v>
      </c>
      <c r="E152" t="s">
        <v>47</v>
      </c>
      <c r="F152">
        <v>21</v>
      </c>
      <c r="G152" t="s">
        <v>936</v>
      </c>
      <c r="H152" t="s">
        <v>937</v>
      </c>
      <c r="I152" t="s">
        <v>718</v>
      </c>
      <c r="J152" t="s">
        <v>925</v>
      </c>
    </row>
    <row r="153" spans="1:10" x14ac:dyDescent="0.3">
      <c r="A153">
        <v>152</v>
      </c>
      <c r="B153" t="s">
        <v>487</v>
      </c>
      <c r="C153" t="s">
        <v>416</v>
      </c>
      <c r="D153" t="s">
        <v>36</v>
      </c>
      <c r="E153" t="s">
        <v>36</v>
      </c>
      <c r="F153">
        <v>18</v>
      </c>
      <c r="G153" t="s">
        <v>938</v>
      </c>
      <c r="H153" t="s">
        <v>939</v>
      </c>
      <c r="I153" t="s">
        <v>625</v>
      </c>
      <c r="J153" t="s">
        <v>925</v>
      </c>
    </row>
    <row r="154" spans="1:10" x14ac:dyDescent="0.3">
      <c r="A154">
        <v>153</v>
      </c>
      <c r="B154" t="s">
        <v>488</v>
      </c>
      <c r="C154" t="s">
        <v>416</v>
      </c>
      <c r="D154" t="s">
        <v>36</v>
      </c>
      <c r="E154" t="s">
        <v>36</v>
      </c>
      <c r="F154">
        <v>19</v>
      </c>
      <c r="G154" t="s">
        <v>940</v>
      </c>
      <c r="H154" t="s">
        <v>941</v>
      </c>
      <c r="I154" t="s">
        <v>729</v>
      </c>
      <c r="J154" t="s">
        <v>925</v>
      </c>
    </row>
    <row r="155" spans="1:10" x14ac:dyDescent="0.3">
      <c r="A155">
        <v>154</v>
      </c>
      <c r="B155" t="s">
        <v>489</v>
      </c>
      <c r="C155" t="s">
        <v>416</v>
      </c>
      <c r="D155" t="s">
        <v>47</v>
      </c>
      <c r="E155" t="s">
        <v>47</v>
      </c>
      <c r="F155">
        <v>19</v>
      </c>
      <c r="G155" t="s">
        <v>942</v>
      </c>
      <c r="H155" t="s">
        <v>941</v>
      </c>
      <c r="I155" t="s">
        <v>729</v>
      </c>
      <c r="J155" t="s">
        <v>925</v>
      </c>
    </row>
    <row r="156" spans="1:10" x14ac:dyDescent="0.3">
      <c r="A156">
        <v>155</v>
      </c>
      <c r="B156" t="s">
        <v>490</v>
      </c>
      <c r="C156" t="s">
        <v>416</v>
      </c>
      <c r="D156" t="s">
        <v>47</v>
      </c>
      <c r="E156" t="s">
        <v>47</v>
      </c>
      <c r="F156">
        <v>18</v>
      </c>
      <c r="G156" t="s">
        <v>943</v>
      </c>
      <c r="H156" t="s">
        <v>944</v>
      </c>
      <c r="I156" t="s">
        <v>625</v>
      </c>
      <c r="J156" t="s">
        <v>925</v>
      </c>
    </row>
    <row r="157" spans="1:10" x14ac:dyDescent="0.3">
      <c r="A157">
        <v>156</v>
      </c>
      <c r="B157" t="s">
        <v>491</v>
      </c>
      <c r="C157" t="s">
        <v>416</v>
      </c>
      <c r="D157" t="s">
        <v>36</v>
      </c>
      <c r="E157" t="s">
        <v>36</v>
      </c>
      <c r="F157">
        <v>18</v>
      </c>
      <c r="G157" t="s">
        <v>945</v>
      </c>
      <c r="H157" t="s">
        <v>946</v>
      </c>
      <c r="I157" t="s">
        <v>625</v>
      </c>
      <c r="J157" t="s">
        <v>925</v>
      </c>
    </row>
    <row r="158" spans="1:10" x14ac:dyDescent="0.3">
      <c r="A158">
        <v>157</v>
      </c>
      <c r="B158" t="s">
        <v>492</v>
      </c>
      <c r="C158" t="s">
        <v>416</v>
      </c>
      <c r="D158" t="s">
        <v>47</v>
      </c>
      <c r="E158" t="s">
        <v>47</v>
      </c>
      <c r="F158">
        <v>18</v>
      </c>
      <c r="G158" t="s">
        <v>947</v>
      </c>
      <c r="H158" t="s">
        <v>948</v>
      </c>
      <c r="I158" t="s">
        <v>625</v>
      </c>
      <c r="J158" t="s">
        <v>925</v>
      </c>
    </row>
    <row r="159" spans="1:10" x14ac:dyDescent="0.3">
      <c r="A159">
        <v>158</v>
      </c>
      <c r="B159" t="s">
        <v>493</v>
      </c>
      <c r="C159" t="s">
        <v>416</v>
      </c>
      <c r="D159" t="s">
        <v>36</v>
      </c>
      <c r="E159" t="s">
        <v>36</v>
      </c>
      <c r="F159">
        <v>18</v>
      </c>
      <c r="G159" t="s">
        <v>949</v>
      </c>
      <c r="H159" t="s">
        <v>950</v>
      </c>
      <c r="I159" t="s">
        <v>625</v>
      </c>
      <c r="J159" t="s">
        <v>925</v>
      </c>
    </row>
    <row r="160" spans="1:10" x14ac:dyDescent="0.3">
      <c r="A160">
        <v>159</v>
      </c>
      <c r="B160" t="s">
        <v>494</v>
      </c>
      <c r="C160" t="s">
        <v>416</v>
      </c>
      <c r="D160" t="s">
        <v>36</v>
      </c>
      <c r="E160" t="s">
        <v>36</v>
      </c>
      <c r="F160">
        <v>19</v>
      </c>
      <c r="G160" t="s">
        <v>951</v>
      </c>
      <c r="H160" t="s">
        <v>952</v>
      </c>
      <c r="I160" t="s">
        <v>729</v>
      </c>
      <c r="J160" t="s">
        <v>925</v>
      </c>
    </row>
    <row r="161" spans="1:10" x14ac:dyDescent="0.3">
      <c r="A161">
        <v>160</v>
      </c>
      <c r="B161" t="s">
        <v>495</v>
      </c>
      <c r="C161" t="s">
        <v>416</v>
      </c>
      <c r="D161" t="s">
        <v>36</v>
      </c>
      <c r="E161" t="s">
        <v>36</v>
      </c>
      <c r="F161">
        <v>21</v>
      </c>
      <c r="G161" t="s">
        <v>953</v>
      </c>
      <c r="H161" t="s">
        <v>954</v>
      </c>
      <c r="I161" t="s">
        <v>718</v>
      </c>
      <c r="J161" t="s">
        <v>925</v>
      </c>
    </row>
    <row r="162" spans="1:10" x14ac:dyDescent="0.3">
      <c r="A162">
        <v>161</v>
      </c>
      <c r="B162" t="s">
        <v>496</v>
      </c>
      <c r="C162" t="s">
        <v>416</v>
      </c>
      <c r="D162" t="s">
        <v>47</v>
      </c>
      <c r="E162" t="s">
        <v>47</v>
      </c>
      <c r="F162">
        <v>18</v>
      </c>
      <c r="G162" t="s">
        <v>955</v>
      </c>
      <c r="H162" t="s">
        <v>956</v>
      </c>
      <c r="I162" t="s">
        <v>625</v>
      </c>
      <c r="J162" t="s">
        <v>925</v>
      </c>
    </row>
    <row r="163" spans="1:10" x14ac:dyDescent="0.3">
      <c r="A163">
        <v>162</v>
      </c>
      <c r="B163" t="s">
        <v>497</v>
      </c>
      <c r="C163" t="s">
        <v>416</v>
      </c>
      <c r="D163" t="s">
        <v>36</v>
      </c>
      <c r="E163" t="s">
        <v>36</v>
      </c>
      <c r="F163">
        <v>18</v>
      </c>
      <c r="G163" t="s">
        <v>957</v>
      </c>
      <c r="H163" t="s">
        <v>958</v>
      </c>
      <c r="I163" t="s">
        <v>625</v>
      </c>
      <c r="J163" t="s">
        <v>925</v>
      </c>
    </row>
    <row r="164" spans="1:10" x14ac:dyDescent="0.3">
      <c r="A164">
        <v>163</v>
      </c>
      <c r="B164" t="s">
        <v>498</v>
      </c>
      <c r="C164" t="s">
        <v>416</v>
      </c>
      <c r="D164" t="s">
        <v>36</v>
      </c>
      <c r="E164" t="s">
        <v>36</v>
      </c>
      <c r="F164">
        <v>19</v>
      </c>
      <c r="G164" t="s">
        <v>959</v>
      </c>
      <c r="H164" t="s">
        <v>960</v>
      </c>
      <c r="I164" t="s">
        <v>729</v>
      </c>
      <c r="J164" t="s">
        <v>925</v>
      </c>
    </row>
    <row r="165" spans="1:10" x14ac:dyDescent="0.3">
      <c r="A165">
        <v>164</v>
      </c>
      <c r="B165" t="s">
        <v>499</v>
      </c>
      <c r="C165" t="s">
        <v>416</v>
      </c>
      <c r="D165" t="s">
        <v>46</v>
      </c>
      <c r="E165" t="s">
        <v>36</v>
      </c>
      <c r="F165">
        <v>22</v>
      </c>
      <c r="G165" t="s">
        <v>961</v>
      </c>
      <c r="H165" t="s">
        <v>962</v>
      </c>
      <c r="I165" t="s">
        <v>690</v>
      </c>
      <c r="J165" t="s">
        <v>925</v>
      </c>
    </row>
    <row r="166" spans="1:10" x14ac:dyDescent="0.3">
      <c r="A166">
        <v>165</v>
      </c>
      <c r="B166" t="s">
        <v>500</v>
      </c>
      <c r="C166" t="s">
        <v>416</v>
      </c>
      <c r="D166" t="s">
        <v>47</v>
      </c>
      <c r="E166" t="s">
        <v>47</v>
      </c>
      <c r="F166">
        <v>18</v>
      </c>
      <c r="G166" t="s">
        <v>963</v>
      </c>
      <c r="H166" t="s">
        <v>964</v>
      </c>
      <c r="I166" t="s">
        <v>625</v>
      </c>
      <c r="J166" t="s">
        <v>925</v>
      </c>
    </row>
    <row r="167" spans="1:10" x14ac:dyDescent="0.3">
      <c r="A167">
        <v>166</v>
      </c>
      <c r="B167" t="s">
        <v>501</v>
      </c>
      <c r="C167" t="s">
        <v>416</v>
      </c>
      <c r="D167" t="s">
        <v>36</v>
      </c>
      <c r="E167" t="s">
        <v>36</v>
      </c>
      <c r="F167">
        <v>19</v>
      </c>
      <c r="G167" t="s">
        <v>965</v>
      </c>
      <c r="H167" t="s">
        <v>966</v>
      </c>
      <c r="I167" t="s">
        <v>729</v>
      </c>
      <c r="J167" t="s">
        <v>925</v>
      </c>
    </row>
    <row r="168" spans="1:10" x14ac:dyDescent="0.3">
      <c r="A168">
        <v>167</v>
      </c>
      <c r="B168" t="s">
        <v>502</v>
      </c>
      <c r="C168" t="s">
        <v>416</v>
      </c>
      <c r="D168" t="s">
        <v>36</v>
      </c>
      <c r="E168" t="s">
        <v>36</v>
      </c>
      <c r="F168">
        <v>18</v>
      </c>
      <c r="G168" t="s">
        <v>967</v>
      </c>
      <c r="H168" t="s">
        <v>968</v>
      </c>
      <c r="I168" t="s">
        <v>625</v>
      </c>
      <c r="J168" t="s">
        <v>925</v>
      </c>
    </row>
    <row r="169" spans="1:10" x14ac:dyDescent="0.3">
      <c r="A169">
        <v>168</v>
      </c>
      <c r="B169" t="s">
        <v>503</v>
      </c>
      <c r="C169" t="s">
        <v>416</v>
      </c>
      <c r="D169" t="s">
        <v>36</v>
      </c>
      <c r="E169" t="s">
        <v>36</v>
      </c>
      <c r="F169">
        <v>19</v>
      </c>
      <c r="G169" t="s">
        <v>969</v>
      </c>
      <c r="H169" t="s">
        <v>970</v>
      </c>
      <c r="I169" t="s">
        <v>729</v>
      </c>
      <c r="J169" t="s">
        <v>925</v>
      </c>
    </row>
    <row r="170" spans="1:10" x14ac:dyDescent="0.3">
      <c r="A170">
        <v>169</v>
      </c>
      <c r="B170" t="s">
        <v>504</v>
      </c>
      <c r="C170" t="s">
        <v>416</v>
      </c>
      <c r="D170" t="s">
        <v>36</v>
      </c>
      <c r="E170" t="s">
        <v>36</v>
      </c>
      <c r="F170">
        <v>21</v>
      </c>
      <c r="G170" t="s">
        <v>971</v>
      </c>
      <c r="H170" t="s">
        <v>874</v>
      </c>
      <c r="I170" t="s">
        <v>718</v>
      </c>
      <c r="J170" t="s">
        <v>925</v>
      </c>
    </row>
    <row r="171" spans="1:10" x14ac:dyDescent="0.3">
      <c r="A171">
        <v>170</v>
      </c>
      <c r="B171" t="s">
        <v>505</v>
      </c>
      <c r="C171" t="s">
        <v>416</v>
      </c>
      <c r="D171" t="s">
        <v>47</v>
      </c>
      <c r="E171" t="s">
        <v>47</v>
      </c>
      <c r="F171">
        <v>22</v>
      </c>
      <c r="G171" t="s">
        <v>972</v>
      </c>
      <c r="H171" t="s">
        <v>973</v>
      </c>
      <c r="I171" t="s">
        <v>690</v>
      </c>
      <c r="J171" t="s">
        <v>925</v>
      </c>
    </row>
    <row r="172" spans="1:10" x14ac:dyDescent="0.3">
      <c r="A172">
        <v>171</v>
      </c>
      <c r="B172" t="s">
        <v>506</v>
      </c>
      <c r="C172" t="s">
        <v>416</v>
      </c>
      <c r="D172" t="s">
        <v>47</v>
      </c>
      <c r="E172" t="s">
        <v>47</v>
      </c>
      <c r="F172">
        <v>20</v>
      </c>
      <c r="G172" t="s">
        <v>974</v>
      </c>
      <c r="H172" t="s">
        <v>975</v>
      </c>
      <c r="I172" t="s">
        <v>759</v>
      </c>
      <c r="J172" t="s">
        <v>925</v>
      </c>
    </row>
    <row r="173" spans="1:10" x14ac:dyDescent="0.3">
      <c r="A173">
        <v>172</v>
      </c>
      <c r="B173" t="s">
        <v>507</v>
      </c>
      <c r="C173" t="s">
        <v>416</v>
      </c>
      <c r="D173" t="s">
        <v>46</v>
      </c>
      <c r="E173" t="s">
        <v>47</v>
      </c>
      <c r="F173">
        <v>20</v>
      </c>
      <c r="G173" t="s">
        <v>976</v>
      </c>
      <c r="H173" t="s">
        <v>977</v>
      </c>
      <c r="I173" t="s">
        <v>759</v>
      </c>
      <c r="J173" t="s">
        <v>925</v>
      </c>
    </row>
    <row r="174" spans="1:10" x14ac:dyDescent="0.3">
      <c r="A174">
        <v>173</v>
      </c>
      <c r="B174" t="s">
        <v>508</v>
      </c>
      <c r="C174" t="s">
        <v>416</v>
      </c>
      <c r="D174" t="s">
        <v>46</v>
      </c>
      <c r="E174" t="s">
        <v>47</v>
      </c>
      <c r="F174">
        <v>18</v>
      </c>
      <c r="G174" t="s">
        <v>978</v>
      </c>
      <c r="H174" t="s">
        <v>979</v>
      </c>
      <c r="I174" t="s">
        <v>625</v>
      </c>
      <c r="J174" t="s">
        <v>925</v>
      </c>
    </row>
    <row r="175" spans="1:10" x14ac:dyDescent="0.3">
      <c r="A175">
        <v>174</v>
      </c>
      <c r="B175" t="s">
        <v>509</v>
      </c>
      <c r="C175" t="s">
        <v>416</v>
      </c>
      <c r="D175" t="s">
        <v>36</v>
      </c>
      <c r="E175" t="s">
        <v>36</v>
      </c>
      <c r="F175">
        <v>22</v>
      </c>
      <c r="G175" t="s">
        <v>980</v>
      </c>
      <c r="H175" t="s">
        <v>981</v>
      </c>
      <c r="I175" t="s">
        <v>690</v>
      </c>
      <c r="J175" t="s">
        <v>925</v>
      </c>
    </row>
    <row r="176" spans="1:10" x14ac:dyDescent="0.3">
      <c r="A176">
        <v>175</v>
      </c>
      <c r="B176" t="s">
        <v>510</v>
      </c>
      <c r="C176" t="s">
        <v>416</v>
      </c>
      <c r="D176" t="s">
        <v>47</v>
      </c>
      <c r="E176" t="s">
        <v>47</v>
      </c>
      <c r="F176">
        <v>19</v>
      </c>
      <c r="G176" t="s">
        <v>982</v>
      </c>
      <c r="H176" t="s">
        <v>983</v>
      </c>
      <c r="I176" t="s">
        <v>729</v>
      </c>
      <c r="J176" t="s">
        <v>925</v>
      </c>
    </row>
    <row r="177" spans="1:10" x14ac:dyDescent="0.3">
      <c r="A177">
        <v>176</v>
      </c>
      <c r="B177" t="s">
        <v>511</v>
      </c>
      <c r="C177" t="s">
        <v>416</v>
      </c>
      <c r="D177" t="s">
        <v>36</v>
      </c>
      <c r="E177" t="s">
        <v>36</v>
      </c>
      <c r="F177">
        <v>19</v>
      </c>
      <c r="G177" t="s">
        <v>984</v>
      </c>
      <c r="H177" t="s">
        <v>985</v>
      </c>
      <c r="I177" t="s">
        <v>729</v>
      </c>
      <c r="J177" t="s">
        <v>925</v>
      </c>
    </row>
    <row r="178" spans="1:10" x14ac:dyDescent="0.3">
      <c r="A178">
        <v>177</v>
      </c>
      <c r="B178" t="s">
        <v>512</v>
      </c>
      <c r="C178" t="s">
        <v>416</v>
      </c>
      <c r="D178" t="s">
        <v>36</v>
      </c>
      <c r="E178" t="s">
        <v>36</v>
      </c>
      <c r="F178">
        <v>21</v>
      </c>
      <c r="G178" t="s">
        <v>986</v>
      </c>
      <c r="H178" t="s">
        <v>987</v>
      </c>
      <c r="I178" t="s">
        <v>718</v>
      </c>
      <c r="J178" t="s">
        <v>925</v>
      </c>
    </row>
    <row r="179" spans="1:10" x14ac:dyDescent="0.3">
      <c r="A179">
        <v>178</v>
      </c>
      <c r="B179" t="s">
        <v>513</v>
      </c>
      <c r="C179" t="s">
        <v>416</v>
      </c>
      <c r="D179" t="s">
        <v>46</v>
      </c>
      <c r="E179" t="s">
        <v>47</v>
      </c>
      <c r="F179">
        <v>19</v>
      </c>
      <c r="G179" t="s">
        <v>974</v>
      </c>
      <c r="H179" t="s">
        <v>988</v>
      </c>
      <c r="I179" t="s">
        <v>729</v>
      </c>
      <c r="J179" t="s">
        <v>925</v>
      </c>
    </row>
    <row r="180" spans="1:10" x14ac:dyDescent="0.3">
      <c r="A180">
        <v>179</v>
      </c>
      <c r="B180" t="s">
        <v>514</v>
      </c>
      <c r="C180" t="s">
        <v>416</v>
      </c>
      <c r="D180" t="s">
        <v>36</v>
      </c>
      <c r="E180" t="s">
        <v>36</v>
      </c>
      <c r="F180">
        <v>19</v>
      </c>
      <c r="G180" t="s">
        <v>989</v>
      </c>
      <c r="H180" t="s">
        <v>990</v>
      </c>
      <c r="I180" t="s">
        <v>729</v>
      </c>
      <c r="J180" t="s">
        <v>925</v>
      </c>
    </row>
    <row r="181" spans="1:10" x14ac:dyDescent="0.3">
      <c r="A181">
        <v>180</v>
      </c>
      <c r="B181" t="s">
        <v>515</v>
      </c>
      <c r="C181" t="s">
        <v>416</v>
      </c>
      <c r="D181" t="s">
        <v>46</v>
      </c>
      <c r="E181" t="s">
        <v>47</v>
      </c>
      <c r="F181">
        <v>22</v>
      </c>
      <c r="G181" t="s">
        <v>991</v>
      </c>
      <c r="H181" t="s">
        <v>992</v>
      </c>
      <c r="I181" t="s">
        <v>690</v>
      </c>
      <c r="J181" t="s">
        <v>925</v>
      </c>
    </row>
    <row r="182" spans="1:10" x14ac:dyDescent="0.3">
      <c r="A182">
        <v>181</v>
      </c>
      <c r="B182" t="s">
        <v>516</v>
      </c>
      <c r="C182" t="s">
        <v>416</v>
      </c>
      <c r="D182" t="s">
        <v>36</v>
      </c>
      <c r="E182" t="s">
        <v>36</v>
      </c>
      <c r="F182">
        <v>21</v>
      </c>
      <c r="G182" t="s">
        <v>993</v>
      </c>
      <c r="H182" t="s">
        <v>994</v>
      </c>
      <c r="I182" t="s">
        <v>718</v>
      </c>
      <c r="J182" t="s">
        <v>925</v>
      </c>
    </row>
    <row r="183" spans="1:10" x14ac:dyDescent="0.3">
      <c r="A183">
        <v>182</v>
      </c>
      <c r="B183" t="s">
        <v>517</v>
      </c>
      <c r="C183" t="s">
        <v>416</v>
      </c>
      <c r="D183" t="s">
        <v>36</v>
      </c>
      <c r="E183" t="s">
        <v>36</v>
      </c>
      <c r="F183">
        <v>22</v>
      </c>
      <c r="G183" t="s">
        <v>995</v>
      </c>
      <c r="H183" t="s">
        <v>996</v>
      </c>
      <c r="I183" t="s">
        <v>690</v>
      </c>
      <c r="J183" t="s">
        <v>925</v>
      </c>
    </row>
    <row r="184" spans="1:10" x14ac:dyDescent="0.3">
      <c r="A184">
        <v>183</v>
      </c>
      <c r="B184" t="s">
        <v>518</v>
      </c>
      <c r="C184" t="s">
        <v>416</v>
      </c>
      <c r="D184" t="s">
        <v>36</v>
      </c>
      <c r="E184" t="s">
        <v>36</v>
      </c>
      <c r="F184">
        <v>19</v>
      </c>
      <c r="G184" t="s">
        <v>997</v>
      </c>
      <c r="H184" t="s">
        <v>998</v>
      </c>
      <c r="I184" t="s">
        <v>729</v>
      </c>
      <c r="J184" t="s">
        <v>925</v>
      </c>
    </row>
    <row r="185" spans="1:10" x14ac:dyDescent="0.3">
      <c r="A185">
        <v>184</v>
      </c>
      <c r="B185" t="s">
        <v>519</v>
      </c>
      <c r="C185" t="s">
        <v>416</v>
      </c>
      <c r="D185" t="s">
        <v>47</v>
      </c>
      <c r="E185" t="s">
        <v>47</v>
      </c>
      <c r="F185">
        <v>20</v>
      </c>
      <c r="G185" t="s">
        <v>999</v>
      </c>
      <c r="H185" t="s">
        <v>1000</v>
      </c>
      <c r="I185" t="s">
        <v>759</v>
      </c>
      <c r="J185" t="s">
        <v>925</v>
      </c>
    </row>
    <row r="186" spans="1:10" x14ac:dyDescent="0.3">
      <c r="A186">
        <v>185</v>
      </c>
      <c r="B186" t="s">
        <v>520</v>
      </c>
      <c r="C186" t="s">
        <v>416</v>
      </c>
      <c r="D186" t="s">
        <v>46</v>
      </c>
      <c r="E186" t="s">
        <v>47</v>
      </c>
      <c r="F186">
        <v>21</v>
      </c>
      <c r="G186" t="s">
        <v>1001</v>
      </c>
      <c r="H186" t="s">
        <v>1002</v>
      </c>
      <c r="I186" t="s">
        <v>718</v>
      </c>
      <c r="J186" t="s">
        <v>925</v>
      </c>
    </row>
    <row r="187" spans="1:10" x14ac:dyDescent="0.3">
      <c r="A187">
        <v>186</v>
      </c>
      <c r="B187" t="s">
        <v>521</v>
      </c>
      <c r="C187" t="s">
        <v>416</v>
      </c>
      <c r="D187" t="s">
        <v>47</v>
      </c>
      <c r="E187" t="s">
        <v>47</v>
      </c>
      <c r="F187">
        <v>18</v>
      </c>
      <c r="G187" t="s">
        <v>1003</v>
      </c>
      <c r="H187" t="s">
        <v>1004</v>
      </c>
      <c r="I187" t="s">
        <v>625</v>
      </c>
      <c r="J187" t="s">
        <v>925</v>
      </c>
    </row>
    <row r="188" spans="1:10" x14ac:dyDescent="0.3">
      <c r="A188">
        <v>187</v>
      </c>
      <c r="B188" t="s">
        <v>522</v>
      </c>
      <c r="C188" t="s">
        <v>416</v>
      </c>
      <c r="D188" t="s">
        <v>36</v>
      </c>
      <c r="E188" t="s">
        <v>36</v>
      </c>
      <c r="F188">
        <v>22</v>
      </c>
      <c r="G188" t="s">
        <v>1005</v>
      </c>
      <c r="H188" t="s">
        <v>1006</v>
      </c>
      <c r="I188" t="s">
        <v>690</v>
      </c>
      <c r="J188" t="s">
        <v>925</v>
      </c>
    </row>
    <row r="189" spans="1:10" x14ac:dyDescent="0.3">
      <c r="A189">
        <v>188</v>
      </c>
      <c r="B189" t="s">
        <v>523</v>
      </c>
      <c r="C189" t="s">
        <v>416</v>
      </c>
      <c r="D189" t="s">
        <v>47</v>
      </c>
      <c r="E189" t="s">
        <v>47</v>
      </c>
      <c r="F189">
        <v>21</v>
      </c>
      <c r="G189" t="s">
        <v>1007</v>
      </c>
      <c r="H189" t="s">
        <v>1008</v>
      </c>
      <c r="I189" t="s">
        <v>718</v>
      </c>
      <c r="J189" t="s">
        <v>925</v>
      </c>
    </row>
    <row r="190" spans="1:10" x14ac:dyDescent="0.3">
      <c r="A190">
        <v>189</v>
      </c>
      <c r="B190" t="s">
        <v>524</v>
      </c>
      <c r="C190" t="s">
        <v>416</v>
      </c>
      <c r="D190" t="s">
        <v>36</v>
      </c>
      <c r="E190" t="s">
        <v>36</v>
      </c>
      <c r="F190">
        <v>20</v>
      </c>
      <c r="G190" t="s">
        <v>1009</v>
      </c>
      <c r="H190" t="s">
        <v>1010</v>
      </c>
      <c r="I190" t="s">
        <v>759</v>
      </c>
      <c r="J190" t="s">
        <v>925</v>
      </c>
    </row>
    <row r="191" spans="1:10" x14ac:dyDescent="0.3">
      <c r="A191">
        <v>190</v>
      </c>
      <c r="B191" t="s">
        <v>525</v>
      </c>
      <c r="C191" t="s">
        <v>416</v>
      </c>
      <c r="D191" t="s">
        <v>46</v>
      </c>
      <c r="E191" t="s">
        <v>36</v>
      </c>
      <c r="F191">
        <v>21</v>
      </c>
      <c r="G191" t="s">
        <v>1011</v>
      </c>
      <c r="H191" t="s">
        <v>1012</v>
      </c>
      <c r="I191" t="s">
        <v>718</v>
      </c>
      <c r="J191" t="s">
        <v>925</v>
      </c>
    </row>
    <row r="192" spans="1:10" x14ac:dyDescent="0.3">
      <c r="A192">
        <v>191</v>
      </c>
      <c r="B192" t="s">
        <v>526</v>
      </c>
      <c r="C192" t="s">
        <v>416</v>
      </c>
      <c r="D192" t="s">
        <v>36</v>
      </c>
      <c r="E192" t="s">
        <v>36</v>
      </c>
      <c r="F192">
        <v>20</v>
      </c>
      <c r="G192" t="s">
        <v>1013</v>
      </c>
      <c r="H192" t="s">
        <v>1014</v>
      </c>
      <c r="I192" t="s">
        <v>759</v>
      </c>
      <c r="J192" t="s">
        <v>925</v>
      </c>
    </row>
    <row r="193" spans="1:10" x14ac:dyDescent="0.3">
      <c r="A193">
        <v>192</v>
      </c>
      <c r="B193" t="s">
        <v>527</v>
      </c>
      <c r="C193" t="s">
        <v>416</v>
      </c>
      <c r="D193" t="s">
        <v>36</v>
      </c>
      <c r="E193" t="s">
        <v>36</v>
      </c>
      <c r="F193">
        <v>18</v>
      </c>
      <c r="G193" t="s">
        <v>1015</v>
      </c>
      <c r="H193" t="s">
        <v>1016</v>
      </c>
      <c r="I193" t="s">
        <v>625</v>
      </c>
      <c r="J193" t="s">
        <v>925</v>
      </c>
    </row>
    <row r="194" spans="1:10" x14ac:dyDescent="0.3">
      <c r="A194">
        <v>193</v>
      </c>
      <c r="B194" t="s">
        <v>528</v>
      </c>
      <c r="C194" t="s">
        <v>416</v>
      </c>
      <c r="D194" t="s">
        <v>47</v>
      </c>
      <c r="E194" t="s">
        <v>47</v>
      </c>
      <c r="F194">
        <v>21</v>
      </c>
      <c r="G194" t="s">
        <v>716</v>
      </c>
      <c r="H194" t="s">
        <v>913</v>
      </c>
      <c r="I194" t="s">
        <v>718</v>
      </c>
      <c r="J194" t="s">
        <v>925</v>
      </c>
    </row>
    <row r="195" spans="1:10" x14ac:dyDescent="0.3">
      <c r="A195">
        <v>194</v>
      </c>
      <c r="B195" t="s">
        <v>529</v>
      </c>
      <c r="C195" t="s">
        <v>416</v>
      </c>
      <c r="D195" t="s">
        <v>36</v>
      </c>
      <c r="E195" t="s">
        <v>36</v>
      </c>
      <c r="F195">
        <v>20</v>
      </c>
      <c r="G195" t="s">
        <v>1017</v>
      </c>
      <c r="H195" t="s">
        <v>1018</v>
      </c>
      <c r="I195" t="s">
        <v>759</v>
      </c>
      <c r="J195" t="s">
        <v>925</v>
      </c>
    </row>
    <row r="196" spans="1:10" x14ac:dyDescent="0.3">
      <c r="A196">
        <v>195</v>
      </c>
      <c r="B196" t="s">
        <v>530</v>
      </c>
      <c r="C196" t="s">
        <v>416</v>
      </c>
      <c r="D196" t="s">
        <v>47</v>
      </c>
      <c r="E196" t="s">
        <v>47</v>
      </c>
      <c r="F196">
        <v>22</v>
      </c>
      <c r="G196" t="s">
        <v>1019</v>
      </c>
      <c r="H196" t="s">
        <v>1020</v>
      </c>
      <c r="I196" t="s">
        <v>690</v>
      </c>
      <c r="J196" t="s">
        <v>925</v>
      </c>
    </row>
    <row r="197" spans="1:10" x14ac:dyDescent="0.3">
      <c r="A197">
        <v>196</v>
      </c>
      <c r="B197" t="s">
        <v>531</v>
      </c>
      <c r="C197" t="s">
        <v>416</v>
      </c>
      <c r="D197" t="s">
        <v>36</v>
      </c>
      <c r="E197" t="s">
        <v>36</v>
      </c>
      <c r="F197">
        <v>19</v>
      </c>
      <c r="G197" t="s">
        <v>1021</v>
      </c>
      <c r="H197" t="s">
        <v>1022</v>
      </c>
      <c r="I197" t="s">
        <v>729</v>
      </c>
      <c r="J197" t="s">
        <v>925</v>
      </c>
    </row>
    <row r="198" spans="1:10" x14ac:dyDescent="0.3">
      <c r="A198">
        <v>197</v>
      </c>
      <c r="B198" t="s">
        <v>532</v>
      </c>
      <c r="C198" t="s">
        <v>416</v>
      </c>
      <c r="D198" t="s">
        <v>36</v>
      </c>
      <c r="E198" t="s">
        <v>36</v>
      </c>
      <c r="F198">
        <v>20</v>
      </c>
      <c r="G198" t="s">
        <v>1023</v>
      </c>
      <c r="H198" t="s">
        <v>1024</v>
      </c>
      <c r="I198" t="s">
        <v>759</v>
      </c>
      <c r="J198" t="s">
        <v>925</v>
      </c>
    </row>
    <row r="199" spans="1:10" x14ac:dyDescent="0.3">
      <c r="A199">
        <v>198</v>
      </c>
      <c r="B199" t="s">
        <v>533</v>
      </c>
      <c r="C199" t="s">
        <v>416</v>
      </c>
      <c r="D199" t="s">
        <v>46</v>
      </c>
      <c r="E199" t="s">
        <v>47</v>
      </c>
      <c r="F199">
        <v>20</v>
      </c>
      <c r="G199" t="s">
        <v>1025</v>
      </c>
      <c r="H199" t="s">
        <v>1026</v>
      </c>
      <c r="I199" t="s">
        <v>759</v>
      </c>
      <c r="J199" t="s">
        <v>925</v>
      </c>
    </row>
    <row r="200" spans="1:10" x14ac:dyDescent="0.3">
      <c r="A200">
        <v>199</v>
      </c>
      <c r="B200" t="s">
        <v>534</v>
      </c>
      <c r="C200" t="s">
        <v>416</v>
      </c>
      <c r="D200" t="s">
        <v>36</v>
      </c>
      <c r="E200" t="s">
        <v>36</v>
      </c>
      <c r="F200">
        <v>19</v>
      </c>
      <c r="G200" t="s">
        <v>1027</v>
      </c>
      <c r="H200" t="s">
        <v>1028</v>
      </c>
      <c r="I200" t="s">
        <v>729</v>
      </c>
      <c r="J200" t="s">
        <v>925</v>
      </c>
    </row>
    <row r="201" spans="1:10" x14ac:dyDescent="0.3">
      <c r="A201">
        <v>200</v>
      </c>
      <c r="B201" t="s">
        <v>535</v>
      </c>
      <c r="C201" t="s">
        <v>416</v>
      </c>
      <c r="D201" t="s">
        <v>36</v>
      </c>
      <c r="E201" t="s">
        <v>36</v>
      </c>
      <c r="F201">
        <v>21</v>
      </c>
      <c r="G201" t="s">
        <v>1029</v>
      </c>
      <c r="H201" t="s">
        <v>1030</v>
      </c>
      <c r="I201" t="s">
        <v>718</v>
      </c>
      <c r="J201" t="s">
        <v>925</v>
      </c>
    </row>
    <row r="202" spans="1:10" x14ac:dyDescent="0.3">
      <c r="A202">
        <v>201</v>
      </c>
      <c r="B202" t="s">
        <v>536</v>
      </c>
      <c r="C202" t="s">
        <v>416</v>
      </c>
      <c r="D202" t="s">
        <v>36</v>
      </c>
      <c r="E202" t="s">
        <v>36</v>
      </c>
      <c r="F202">
        <v>20</v>
      </c>
      <c r="G202" t="s">
        <v>1031</v>
      </c>
      <c r="H202" t="s">
        <v>1032</v>
      </c>
      <c r="I202" t="s">
        <v>759</v>
      </c>
      <c r="J202" t="s">
        <v>925</v>
      </c>
    </row>
    <row r="203" spans="1:10" x14ac:dyDescent="0.3">
      <c r="A203">
        <v>202</v>
      </c>
      <c r="B203" t="s">
        <v>537</v>
      </c>
      <c r="C203" t="s">
        <v>416</v>
      </c>
      <c r="D203" t="s">
        <v>36</v>
      </c>
      <c r="E203" t="s">
        <v>36</v>
      </c>
      <c r="F203">
        <v>21</v>
      </c>
      <c r="G203" t="s">
        <v>1033</v>
      </c>
      <c r="H203" t="s">
        <v>1034</v>
      </c>
      <c r="I203" t="s">
        <v>718</v>
      </c>
      <c r="J203" t="s">
        <v>925</v>
      </c>
    </row>
    <row r="204" spans="1:10" x14ac:dyDescent="0.3">
      <c r="A204">
        <v>203</v>
      </c>
      <c r="B204" t="s">
        <v>538</v>
      </c>
      <c r="C204" t="s">
        <v>416</v>
      </c>
      <c r="D204" t="s">
        <v>36</v>
      </c>
      <c r="E204" t="s">
        <v>36</v>
      </c>
      <c r="F204">
        <v>22</v>
      </c>
      <c r="G204" t="s">
        <v>725</v>
      </c>
      <c r="H204" t="s">
        <v>1035</v>
      </c>
      <c r="I204" t="s">
        <v>690</v>
      </c>
      <c r="J204" t="s">
        <v>925</v>
      </c>
    </row>
    <row r="205" spans="1:10" x14ac:dyDescent="0.3">
      <c r="A205">
        <v>204</v>
      </c>
      <c r="B205" t="s">
        <v>539</v>
      </c>
      <c r="C205" t="s">
        <v>416</v>
      </c>
      <c r="D205" t="s">
        <v>46</v>
      </c>
      <c r="E205" t="s">
        <v>47</v>
      </c>
      <c r="F205">
        <v>21</v>
      </c>
      <c r="G205" t="s">
        <v>1036</v>
      </c>
      <c r="H205" t="s">
        <v>874</v>
      </c>
      <c r="I205" t="s">
        <v>718</v>
      </c>
      <c r="J205" t="s">
        <v>925</v>
      </c>
    </row>
    <row r="206" spans="1:10" x14ac:dyDescent="0.3">
      <c r="A206">
        <v>205</v>
      </c>
      <c r="B206" t="s">
        <v>540</v>
      </c>
      <c r="C206" t="s">
        <v>416</v>
      </c>
      <c r="D206" t="s">
        <v>46</v>
      </c>
      <c r="E206" t="s">
        <v>47</v>
      </c>
      <c r="F206">
        <v>18</v>
      </c>
      <c r="G206" t="s">
        <v>1037</v>
      </c>
      <c r="H206" t="s">
        <v>1038</v>
      </c>
      <c r="I206" t="s">
        <v>625</v>
      </c>
      <c r="J206" t="s">
        <v>925</v>
      </c>
    </row>
    <row r="207" spans="1:10" x14ac:dyDescent="0.3">
      <c r="A207">
        <v>206</v>
      </c>
      <c r="B207" t="s">
        <v>541</v>
      </c>
      <c r="C207" t="s">
        <v>416</v>
      </c>
      <c r="D207" t="s">
        <v>47</v>
      </c>
      <c r="E207" t="s">
        <v>47</v>
      </c>
      <c r="F207">
        <v>19</v>
      </c>
      <c r="G207" t="s">
        <v>1039</v>
      </c>
      <c r="H207" t="s">
        <v>1040</v>
      </c>
      <c r="I207" t="s">
        <v>729</v>
      </c>
      <c r="J207" t="s">
        <v>925</v>
      </c>
    </row>
    <row r="208" spans="1:10" x14ac:dyDescent="0.3">
      <c r="A208">
        <v>207</v>
      </c>
      <c r="B208" t="s">
        <v>542</v>
      </c>
      <c r="C208" t="s">
        <v>416</v>
      </c>
      <c r="D208" t="s">
        <v>36</v>
      </c>
      <c r="E208" t="s">
        <v>36</v>
      </c>
      <c r="F208">
        <v>19</v>
      </c>
      <c r="G208" t="s">
        <v>1041</v>
      </c>
      <c r="H208" t="s">
        <v>1042</v>
      </c>
      <c r="I208" t="s">
        <v>729</v>
      </c>
      <c r="J208" t="s">
        <v>925</v>
      </c>
    </row>
    <row r="209" spans="1:10" x14ac:dyDescent="0.3">
      <c r="A209">
        <v>208</v>
      </c>
      <c r="B209" t="s">
        <v>543</v>
      </c>
      <c r="C209" t="s">
        <v>416</v>
      </c>
      <c r="D209" t="s">
        <v>36</v>
      </c>
      <c r="E209" t="s">
        <v>36</v>
      </c>
      <c r="F209">
        <v>22</v>
      </c>
      <c r="G209" t="s">
        <v>1043</v>
      </c>
      <c r="H209" t="s">
        <v>1044</v>
      </c>
      <c r="I209" t="s">
        <v>690</v>
      </c>
      <c r="J209" t="s">
        <v>925</v>
      </c>
    </row>
    <row r="210" spans="1:10" x14ac:dyDescent="0.3">
      <c r="A210">
        <v>209</v>
      </c>
      <c r="B210" t="s">
        <v>544</v>
      </c>
      <c r="C210" t="s">
        <v>416</v>
      </c>
      <c r="D210" t="s">
        <v>36</v>
      </c>
      <c r="E210" t="s">
        <v>36</v>
      </c>
      <c r="F210">
        <v>21</v>
      </c>
      <c r="G210" t="s">
        <v>867</v>
      </c>
      <c r="H210" t="s">
        <v>1045</v>
      </c>
      <c r="I210" t="s">
        <v>718</v>
      </c>
      <c r="J210" t="s">
        <v>925</v>
      </c>
    </row>
    <row r="211" spans="1:10" x14ac:dyDescent="0.3">
      <c r="A211">
        <v>210</v>
      </c>
      <c r="B211" t="s">
        <v>545</v>
      </c>
      <c r="C211" t="s">
        <v>416</v>
      </c>
      <c r="D211" t="s">
        <v>47</v>
      </c>
      <c r="E211" t="s">
        <v>47</v>
      </c>
      <c r="F211">
        <v>18</v>
      </c>
      <c r="G211" t="s">
        <v>1046</v>
      </c>
      <c r="H211" t="s">
        <v>1047</v>
      </c>
      <c r="I211" t="s">
        <v>625</v>
      </c>
      <c r="J211" t="s">
        <v>925</v>
      </c>
    </row>
    <row r="212" spans="1:10" x14ac:dyDescent="0.3">
      <c r="A212">
        <v>211</v>
      </c>
      <c r="B212" t="s">
        <v>546</v>
      </c>
      <c r="C212" t="s">
        <v>416</v>
      </c>
      <c r="D212" t="s">
        <v>36</v>
      </c>
      <c r="E212" t="s">
        <v>36</v>
      </c>
      <c r="F212">
        <v>18</v>
      </c>
      <c r="G212" t="s">
        <v>1048</v>
      </c>
      <c r="H212" t="s">
        <v>1049</v>
      </c>
      <c r="I212" t="s">
        <v>625</v>
      </c>
      <c r="J212" t="s">
        <v>925</v>
      </c>
    </row>
    <row r="213" spans="1:10" x14ac:dyDescent="0.3">
      <c r="A213">
        <v>212</v>
      </c>
      <c r="B213" t="s">
        <v>547</v>
      </c>
      <c r="C213" t="s">
        <v>416</v>
      </c>
      <c r="D213" t="s">
        <v>47</v>
      </c>
      <c r="E213" t="s">
        <v>47</v>
      </c>
      <c r="F213">
        <v>20</v>
      </c>
      <c r="G213" t="s">
        <v>1050</v>
      </c>
      <c r="H213" t="s">
        <v>1051</v>
      </c>
      <c r="I213" t="s">
        <v>759</v>
      </c>
      <c r="J213" t="s">
        <v>925</v>
      </c>
    </row>
    <row r="214" spans="1:10" x14ac:dyDescent="0.3">
      <c r="A214">
        <v>213</v>
      </c>
      <c r="B214" t="s">
        <v>548</v>
      </c>
      <c r="C214" t="s">
        <v>416</v>
      </c>
      <c r="D214" t="s">
        <v>36</v>
      </c>
      <c r="E214" t="s">
        <v>36</v>
      </c>
      <c r="F214">
        <v>19</v>
      </c>
      <c r="G214" t="s">
        <v>1052</v>
      </c>
      <c r="H214" t="s">
        <v>1053</v>
      </c>
      <c r="I214" t="s">
        <v>729</v>
      </c>
      <c r="J214" t="s">
        <v>925</v>
      </c>
    </row>
    <row r="215" spans="1:10" x14ac:dyDescent="0.3">
      <c r="A215">
        <v>214</v>
      </c>
      <c r="B215" t="s">
        <v>549</v>
      </c>
      <c r="C215" t="s">
        <v>416</v>
      </c>
      <c r="D215" t="s">
        <v>47</v>
      </c>
      <c r="E215" t="s">
        <v>47</v>
      </c>
      <c r="F215">
        <v>20</v>
      </c>
      <c r="G215" t="s">
        <v>1054</v>
      </c>
      <c r="H215" t="s">
        <v>1055</v>
      </c>
      <c r="I215" t="s">
        <v>759</v>
      </c>
      <c r="J215" t="s">
        <v>925</v>
      </c>
    </row>
    <row r="216" spans="1:10" x14ac:dyDescent="0.3">
      <c r="A216">
        <v>215</v>
      </c>
      <c r="B216" t="s">
        <v>550</v>
      </c>
      <c r="C216" t="s">
        <v>416</v>
      </c>
      <c r="D216" t="s">
        <v>47</v>
      </c>
      <c r="E216" t="s">
        <v>47</v>
      </c>
      <c r="F216">
        <v>22</v>
      </c>
      <c r="G216" t="s">
        <v>1056</v>
      </c>
      <c r="H216" t="s">
        <v>1057</v>
      </c>
      <c r="I216" t="s">
        <v>690</v>
      </c>
      <c r="J216" t="s">
        <v>925</v>
      </c>
    </row>
    <row r="217" spans="1:10" x14ac:dyDescent="0.3">
      <c r="A217">
        <v>216</v>
      </c>
      <c r="B217" t="s">
        <v>551</v>
      </c>
      <c r="C217" t="s">
        <v>416</v>
      </c>
      <c r="D217" t="s">
        <v>36</v>
      </c>
      <c r="E217" t="s">
        <v>36</v>
      </c>
      <c r="F217">
        <v>22</v>
      </c>
      <c r="G217" t="s">
        <v>1058</v>
      </c>
      <c r="H217" t="s">
        <v>1059</v>
      </c>
      <c r="I217" t="s">
        <v>690</v>
      </c>
      <c r="J217" t="s">
        <v>925</v>
      </c>
    </row>
    <row r="218" spans="1:10" x14ac:dyDescent="0.3">
      <c r="A218">
        <v>217</v>
      </c>
      <c r="B218" t="s">
        <v>552</v>
      </c>
      <c r="C218" t="s">
        <v>416</v>
      </c>
      <c r="D218" t="s">
        <v>36</v>
      </c>
      <c r="E218" t="s">
        <v>36</v>
      </c>
      <c r="F218">
        <v>21</v>
      </c>
      <c r="G218" t="s">
        <v>1060</v>
      </c>
      <c r="H218" t="s">
        <v>1061</v>
      </c>
      <c r="I218" t="s">
        <v>718</v>
      </c>
      <c r="J218" t="s">
        <v>925</v>
      </c>
    </row>
    <row r="219" spans="1:10" x14ac:dyDescent="0.3">
      <c r="A219">
        <v>218</v>
      </c>
      <c r="B219" t="s">
        <v>553</v>
      </c>
      <c r="C219" t="s">
        <v>416</v>
      </c>
      <c r="D219" t="s">
        <v>47</v>
      </c>
      <c r="E219" t="s">
        <v>47</v>
      </c>
      <c r="F219">
        <v>19</v>
      </c>
      <c r="G219" t="s">
        <v>1062</v>
      </c>
      <c r="H219" t="s">
        <v>1063</v>
      </c>
      <c r="I219" t="s">
        <v>729</v>
      </c>
      <c r="J219" t="s">
        <v>925</v>
      </c>
    </row>
    <row r="220" spans="1:10" x14ac:dyDescent="0.3">
      <c r="A220">
        <v>219</v>
      </c>
      <c r="B220" t="s">
        <v>554</v>
      </c>
      <c r="C220" t="s">
        <v>416</v>
      </c>
      <c r="D220" t="s">
        <v>46</v>
      </c>
      <c r="E220" t="s">
        <v>47</v>
      </c>
      <c r="F220">
        <v>19</v>
      </c>
      <c r="G220" t="s">
        <v>1064</v>
      </c>
      <c r="H220" t="s">
        <v>1065</v>
      </c>
      <c r="I220" t="s">
        <v>729</v>
      </c>
      <c r="J220" t="s">
        <v>925</v>
      </c>
    </row>
    <row r="221" spans="1:10" x14ac:dyDescent="0.3">
      <c r="A221">
        <v>220</v>
      </c>
      <c r="B221" t="s">
        <v>555</v>
      </c>
      <c r="C221" t="s">
        <v>416</v>
      </c>
      <c r="D221" t="s">
        <v>47</v>
      </c>
      <c r="E221" t="s">
        <v>47</v>
      </c>
      <c r="F221">
        <v>20</v>
      </c>
      <c r="G221" t="s">
        <v>1066</v>
      </c>
      <c r="H221" t="s">
        <v>1067</v>
      </c>
      <c r="I221" t="s">
        <v>759</v>
      </c>
      <c r="J221" t="s">
        <v>925</v>
      </c>
    </row>
    <row r="222" spans="1:10" x14ac:dyDescent="0.3">
      <c r="A222">
        <v>221</v>
      </c>
      <c r="B222" t="s">
        <v>556</v>
      </c>
      <c r="C222" t="s">
        <v>416</v>
      </c>
      <c r="D222" t="s">
        <v>47</v>
      </c>
      <c r="E222" t="s">
        <v>47</v>
      </c>
      <c r="F222">
        <v>20</v>
      </c>
      <c r="G222" t="s">
        <v>1068</v>
      </c>
      <c r="H222" t="s">
        <v>1069</v>
      </c>
      <c r="I222" t="s">
        <v>759</v>
      </c>
      <c r="J222" t="s">
        <v>925</v>
      </c>
    </row>
    <row r="223" spans="1:10" x14ac:dyDescent="0.3">
      <c r="A223">
        <v>222</v>
      </c>
      <c r="B223" t="s">
        <v>154</v>
      </c>
      <c r="C223" t="s">
        <v>416</v>
      </c>
      <c r="D223" t="s">
        <v>36</v>
      </c>
      <c r="E223" t="s">
        <v>36</v>
      </c>
      <c r="F223">
        <v>20</v>
      </c>
      <c r="G223" t="s">
        <v>1070</v>
      </c>
      <c r="H223" t="s">
        <v>1071</v>
      </c>
      <c r="I223" t="s">
        <v>759</v>
      </c>
      <c r="J223" t="s">
        <v>925</v>
      </c>
    </row>
    <row r="224" spans="1:10" x14ac:dyDescent="0.3">
      <c r="A224">
        <v>223</v>
      </c>
      <c r="B224" t="s">
        <v>557</v>
      </c>
      <c r="C224" t="s">
        <v>416</v>
      </c>
      <c r="D224" t="s">
        <v>36</v>
      </c>
      <c r="E224" t="s">
        <v>36</v>
      </c>
      <c r="F224">
        <v>19</v>
      </c>
      <c r="G224" t="s">
        <v>1072</v>
      </c>
      <c r="H224" t="s">
        <v>1073</v>
      </c>
      <c r="I224" t="s">
        <v>729</v>
      </c>
      <c r="J224" t="s">
        <v>925</v>
      </c>
    </row>
    <row r="225" spans="1:10" x14ac:dyDescent="0.3">
      <c r="A225">
        <v>224</v>
      </c>
      <c r="B225" t="s">
        <v>558</v>
      </c>
      <c r="C225" t="s">
        <v>416</v>
      </c>
      <c r="D225" t="s">
        <v>46</v>
      </c>
      <c r="E225" t="s">
        <v>36</v>
      </c>
      <c r="F225">
        <v>19</v>
      </c>
      <c r="G225" t="s">
        <v>1074</v>
      </c>
      <c r="H225" t="s">
        <v>1075</v>
      </c>
      <c r="I225" t="s">
        <v>729</v>
      </c>
      <c r="J225" t="s">
        <v>925</v>
      </c>
    </row>
    <row r="226" spans="1:10" x14ac:dyDescent="0.3">
      <c r="A226">
        <v>225</v>
      </c>
      <c r="B226" t="s">
        <v>559</v>
      </c>
      <c r="C226" t="s">
        <v>416</v>
      </c>
      <c r="D226" t="s">
        <v>36</v>
      </c>
      <c r="E226" t="s">
        <v>36</v>
      </c>
      <c r="F226">
        <v>18</v>
      </c>
      <c r="G226" t="s">
        <v>1076</v>
      </c>
      <c r="H226" t="s">
        <v>1077</v>
      </c>
      <c r="I226" t="s">
        <v>625</v>
      </c>
      <c r="J226" t="s">
        <v>925</v>
      </c>
    </row>
    <row r="227" spans="1:10" x14ac:dyDescent="0.3">
      <c r="A227">
        <v>226</v>
      </c>
      <c r="B227" t="s">
        <v>560</v>
      </c>
      <c r="C227" t="s">
        <v>416</v>
      </c>
      <c r="D227" t="s">
        <v>36</v>
      </c>
      <c r="E227" t="s">
        <v>36</v>
      </c>
      <c r="F227">
        <v>22</v>
      </c>
      <c r="G227" t="s">
        <v>1078</v>
      </c>
      <c r="H227" t="s">
        <v>1079</v>
      </c>
      <c r="I227" t="s">
        <v>690</v>
      </c>
      <c r="J227" t="s">
        <v>925</v>
      </c>
    </row>
    <row r="228" spans="1:10" x14ac:dyDescent="0.3">
      <c r="A228">
        <v>227</v>
      </c>
      <c r="B228" t="s">
        <v>125</v>
      </c>
      <c r="C228" t="s">
        <v>64</v>
      </c>
      <c r="D228" t="s">
        <v>47</v>
      </c>
      <c r="E228" t="s">
        <v>36</v>
      </c>
      <c r="F228">
        <v>21</v>
      </c>
      <c r="G228" t="s">
        <v>1080</v>
      </c>
      <c r="H228" t="s">
        <v>1081</v>
      </c>
      <c r="I228" t="s">
        <v>718</v>
      </c>
      <c r="J228" t="s">
        <v>925</v>
      </c>
    </row>
    <row r="229" spans="1:10" x14ac:dyDescent="0.3">
      <c r="A229">
        <v>228</v>
      </c>
      <c r="B229" t="s">
        <v>127</v>
      </c>
      <c r="C229" t="s">
        <v>64</v>
      </c>
      <c r="D229" t="s">
        <v>36</v>
      </c>
      <c r="E229" t="s">
        <v>36</v>
      </c>
      <c r="F229">
        <v>21</v>
      </c>
      <c r="G229" t="s">
        <v>1082</v>
      </c>
      <c r="H229" t="s">
        <v>1083</v>
      </c>
      <c r="I229" t="s">
        <v>718</v>
      </c>
      <c r="J229" t="s">
        <v>925</v>
      </c>
    </row>
    <row r="230" spans="1:10" x14ac:dyDescent="0.3">
      <c r="A230">
        <v>229</v>
      </c>
      <c r="B230" t="s">
        <v>128</v>
      </c>
      <c r="C230" t="s">
        <v>64</v>
      </c>
      <c r="D230" t="s">
        <v>36</v>
      </c>
      <c r="E230" t="s">
        <v>36</v>
      </c>
      <c r="F230">
        <v>21</v>
      </c>
      <c r="G230" t="s">
        <v>1084</v>
      </c>
      <c r="H230" t="s">
        <v>1085</v>
      </c>
      <c r="I230" t="s">
        <v>718</v>
      </c>
      <c r="J230" t="s">
        <v>925</v>
      </c>
    </row>
    <row r="231" spans="1:10" x14ac:dyDescent="0.3">
      <c r="A231">
        <v>230</v>
      </c>
      <c r="B231" t="s">
        <v>129</v>
      </c>
      <c r="C231" t="s">
        <v>64</v>
      </c>
      <c r="D231" t="s">
        <v>36</v>
      </c>
      <c r="E231" t="s">
        <v>36</v>
      </c>
      <c r="F231">
        <v>22</v>
      </c>
      <c r="G231" t="s">
        <v>1086</v>
      </c>
      <c r="H231" t="s">
        <v>1087</v>
      </c>
      <c r="I231" t="s">
        <v>690</v>
      </c>
      <c r="J231" t="s">
        <v>925</v>
      </c>
    </row>
    <row r="232" spans="1:10" x14ac:dyDescent="0.3">
      <c r="A232">
        <v>231</v>
      </c>
      <c r="B232" t="s">
        <v>130</v>
      </c>
      <c r="C232" t="s">
        <v>64</v>
      </c>
      <c r="D232" t="s">
        <v>36</v>
      </c>
      <c r="E232" t="s">
        <v>36</v>
      </c>
      <c r="F232">
        <v>21</v>
      </c>
      <c r="G232" t="s">
        <v>1088</v>
      </c>
      <c r="H232" t="s">
        <v>1089</v>
      </c>
      <c r="I232" t="s">
        <v>718</v>
      </c>
      <c r="J232" t="s">
        <v>925</v>
      </c>
    </row>
    <row r="233" spans="1:10" x14ac:dyDescent="0.3">
      <c r="A233">
        <v>232</v>
      </c>
      <c r="B233" t="s">
        <v>131</v>
      </c>
      <c r="C233" t="s">
        <v>64</v>
      </c>
      <c r="D233" t="s">
        <v>36</v>
      </c>
      <c r="E233" t="s">
        <v>36</v>
      </c>
      <c r="F233">
        <v>19</v>
      </c>
      <c r="G233" t="s">
        <v>1090</v>
      </c>
      <c r="H233" t="s">
        <v>1091</v>
      </c>
      <c r="I233" t="s">
        <v>729</v>
      </c>
      <c r="J233" t="s">
        <v>925</v>
      </c>
    </row>
    <row r="234" spans="1:10" x14ac:dyDescent="0.3">
      <c r="A234">
        <v>233</v>
      </c>
      <c r="B234" t="s">
        <v>132</v>
      </c>
      <c r="C234" t="s">
        <v>64</v>
      </c>
      <c r="D234" t="s">
        <v>36</v>
      </c>
      <c r="E234" t="s">
        <v>36</v>
      </c>
      <c r="F234">
        <v>19</v>
      </c>
      <c r="G234" t="s">
        <v>1092</v>
      </c>
      <c r="H234" t="s">
        <v>1093</v>
      </c>
      <c r="I234" t="s">
        <v>729</v>
      </c>
      <c r="J234" t="s">
        <v>925</v>
      </c>
    </row>
    <row r="235" spans="1:10" x14ac:dyDescent="0.3">
      <c r="A235">
        <v>234</v>
      </c>
      <c r="B235" t="s">
        <v>133</v>
      </c>
      <c r="C235" t="s">
        <v>64</v>
      </c>
      <c r="D235" t="s">
        <v>36</v>
      </c>
      <c r="E235" t="s">
        <v>36</v>
      </c>
      <c r="F235">
        <v>20</v>
      </c>
      <c r="G235" t="s">
        <v>1094</v>
      </c>
      <c r="H235" t="s">
        <v>1095</v>
      </c>
      <c r="I235" t="s">
        <v>759</v>
      </c>
      <c r="J235" t="s">
        <v>925</v>
      </c>
    </row>
    <row r="236" spans="1:10" x14ac:dyDescent="0.3">
      <c r="A236">
        <v>235</v>
      </c>
      <c r="B236" t="s">
        <v>134</v>
      </c>
      <c r="C236" t="s">
        <v>64</v>
      </c>
      <c r="D236" t="s">
        <v>36</v>
      </c>
      <c r="E236" t="s">
        <v>36</v>
      </c>
      <c r="F236">
        <v>21</v>
      </c>
      <c r="G236" t="s">
        <v>1096</v>
      </c>
      <c r="H236" t="s">
        <v>1097</v>
      </c>
      <c r="I236" t="s">
        <v>718</v>
      </c>
      <c r="J236" t="s">
        <v>925</v>
      </c>
    </row>
    <row r="237" spans="1:10" x14ac:dyDescent="0.3">
      <c r="A237">
        <v>236</v>
      </c>
      <c r="B237" t="s">
        <v>135</v>
      </c>
      <c r="C237" t="s">
        <v>64</v>
      </c>
      <c r="D237" t="s">
        <v>36</v>
      </c>
      <c r="E237" t="s">
        <v>36</v>
      </c>
      <c r="F237">
        <v>19</v>
      </c>
      <c r="G237" t="s">
        <v>1098</v>
      </c>
      <c r="H237" t="s">
        <v>1099</v>
      </c>
      <c r="I237" t="s">
        <v>729</v>
      </c>
      <c r="J237" t="s">
        <v>925</v>
      </c>
    </row>
    <row r="238" spans="1:10" x14ac:dyDescent="0.3">
      <c r="A238">
        <v>237</v>
      </c>
      <c r="B238" t="s">
        <v>136</v>
      </c>
      <c r="C238" t="s">
        <v>64</v>
      </c>
      <c r="D238" t="s">
        <v>47</v>
      </c>
      <c r="E238" t="s">
        <v>36</v>
      </c>
      <c r="F238">
        <v>18</v>
      </c>
      <c r="G238" t="s">
        <v>1100</v>
      </c>
      <c r="H238" t="s">
        <v>1101</v>
      </c>
      <c r="I238" t="s">
        <v>625</v>
      </c>
      <c r="J238" t="s">
        <v>925</v>
      </c>
    </row>
    <row r="239" spans="1:10" x14ac:dyDescent="0.3">
      <c r="A239">
        <v>238</v>
      </c>
      <c r="B239" t="s">
        <v>137</v>
      </c>
      <c r="C239" t="s">
        <v>64</v>
      </c>
      <c r="D239" t="s">
        <v>36</v>
      </c>
      <c r="E239" t="s">
        <v>36</v>
      </c>
      <c r="F239">
        <v>18</v>
      </c>
      <c r="G239" t="s">
        <v>1102</v>
      </c>
      <c r="H239" t="s">
        <v>1103</v>
      </c>
      <c r="I239" t="s">
        <v>625</v>
      </c>
      <c r="J239" t="s">
        <v>925</v>
      </c>
    </row>
    <row r="240" spans="1:10" x14ac:dyDescent="0.3">
      <c r="A240">
        <v>239</v>
      </c>
      <c r="B240" t="s">
        <v>138</v>
      </c>
      <c r="C240" t="s">
        <v>42</v>
      </c>
      <c r="D240" t="s">
        <v>36</v>
      </c>
      <c r="E240" t="s">
        <v>36</v>
      </c>
      <c r="F240">
        <v>22</v>
      </c>
      <c r="G240" t="s">
        <v>1104</v>
      </c>
      <c r="H240" t="s">
        <v>1105</v>
      </c>
      <c r="I240" t="s">
        <v>690</v>
      </c>
      <c r="J240" t="s">
        <v>925</v>
      </c>
    </row>
    <row r="241" spans="1:10" x14ac:dyDescent="0.3">
      <c r="A241">
        <v>240</v>
      </c>
      <c r="B241" t="s">
        <v>139</v>
      </c>
      <c r="C241" t="s">
        <v>42</v>
      </c>
      <c r="D241" t="s">
        <v>47</v>
      </c>
      <c r="E241" t="s">
        <v>47</v>
      </c>
      <c r="F241">
        <v>20</v>
      </c>
      <c r="G241" t="s">
        <v>1106</v>
      </c>
      <c r="H241" t="s">
        <v>1107</v>
      </c>
      <c r="I241" t="s">
        <v>759</v>
      </c>
      <c r="J241" t="s">
        <v>925</v>
      </c>
    </row>
    <row r="242" spans="1:10" x14ac:dyDescent="0.3">
      <c r="A242">
        <v>241</v>
      </c>
      <c r="B242" t="s">
        <v>140</v>
      </c>
      <c r="C242" t="s">
        <v>42</v>
      </c>
      <c r="D242" t="s">
        <v>36</v>
      </c>
      <c r="E242" t="s">
        <v>36</v>
      </c>
      <c r="F242">
        <v>20</v>
      </c>
      <c r="G242" t="s">
        <v>1108</v>
      </c>
      <c r="H242" t="s">
        <v>1109</v>
      </c>
      <c r="I242" t="s">
        <v>759</v>
      </c>
      <c r="J242" t="s">
        <v>925</v>
      </c>
    </row>
    <row r="243" spans="1:10" x14ac:dyDescent="0.3">
      <c r="A243">
        <v>242</v>
      </c>
      <c r="B243" t="s">
        <v>141</v>
      </c>
      <c r="C243" t="s">
        <v>49</v>
      </c>
      <c r="D243" t="s">
        <v>36</v>
      </c>
      <c r="E243" t="s">
        <v>36</v>
      </c>
      <c r="F243">
        <v>19</v>
      </c>
      <c r="G243" t="s">
        <v>1110</v>
      </c>
      <c r="H243" t="s">
        <v>1111</v>
      </c>
      <c r="I243" t="s">
        <v>729</v>
      </c>
      <c r="J243" t="s">
        <v>925</v>
      </c>
    </row>
    <row r="244" spans="1:10" x14ac:dyDescent="0.3">
      <c r="A244">
        <v>243</v>
      </c>
      <c r="B244" t="s">
        <v>142</v>
      </c>
      <c r="C244" t="s">
        <v>49</v>
      </c>
      <c r="D244" t="s">
        <v>36</v>
      </c>
      <c r="E244" t="s">
        <v>36</v>
      </c>
      <c r="F244">
        <v>20</v>
      </c>
      <c r="G244" t="s">
        <v>1112</v>
      </c>
      <c r="H244" t="s">
        <v>1113</v>
      </c>
      <c r="I244" t="s">
        <v>759</v>
      </c>
      <c r="J244" t="s">
        <v>925</v>
      </c>
    </row>
    <row r="245" spans="1:10" x14ac:dyDescent="0.3">
      <c r="A245">
        <v>244</v>
      </c>
      <c r="B245" t="s">
        <v>143</v>
      </c>
      <c r="C245" t="s">
        <v>49</v>
      </c>
      <c r="D245" t="s">
        <v>46</v>
      </c>
      <c r="E245" t="s">
        <v>36</v>
      </c>
      <c r="F245">
        <v>22</v>
      </c>
      <c r="G245" t="s">
        <v>1114</v>
      </c>
      <c r="H245" t="s">
        <v>1115</v>
      </c>
      <c r="I245" t="s">
        <v>690</v>
      </c>
      <c r="J245" t="s">
        <v>925</v>
      </c>
    </row>
    <row r="246" spans="1:10" x14ac:dyDescent="0.3">
      <c r="A246">
        <v>245</v>
      </c>
      <c r="B246" t="s">
        <v>144</v>
      </c>
      <c r="C246" t="s">
        <v>49</v>
      </c>
      <c r="D246" t="s">
        <v>36</v>
      </c>
      <c r="E246" t="s">
        <v>36</v>
      </c>
      <c r="F246">
        <v>19</v>
      </c>
      <c r="G246" t="s">
        <v>1116</v>
      </c>
      <c r="H246" t="s">
        <v>1117</v>
      </c>
      <c r="I246" t="s">
        <v>729</v>
      </c>
      <c r="J246" t="s">
        <v>925</v>
      </c>
    </row>
    <row r="247" spans="1:10" x14ac:dyDescent="0.3">
      <c r="A247">
        <v>246</v>
      </c>
      <c r="B247" t="s">
        <v>145</v>
      </c>
      <c r="C247" t="s">
        <v>49</v>
      </c>
      <c r="D247" t="s">
        <v>36</v>
      </c>
      <c r="E247" t="s">
        <v>36</v>
      </c>
      <c r="F247">
        <v>18</v>
      </c>
      <c r="G247" t="s">
        <v>1118</v>
      </c>
      <c r="H247" t="s">
        <v>641</v>
      </c>
      <c r="I247" t="s">
        <v>625</v>
      </c>
      <c r="J247" t="s">
        <v>925</v>
      </c>
    </row>
    <row r="248" spans="1:10" x14ac:dyDescent="0.3">
      <c r="A248">
        <v>247</v>
      </c>
      <c r="B248" t="s">
        <v>146</v>
      </c>
      <c r="C248" t="s">
        <v>49</v>
      </c>
      <c r="D248" t="s">
        <v>36</v>
      </c>
      <c r="E248" t="s">
        <v>36</v>
      </c>
      <c r="F248">
        <v>22</v>
      </c>
      <c r="G248" t="s">
        <v>1119</v>
      </c>
      <c r="H248" t="s">
        <v>1120</v>
      </c>
      <c r="I248" t="s">
        <v>690</v>
      </c>
      <c r="J248" t="s">
        <v>925</v>
      </c>
    </row>
    <row r="249" spans="1:10" x14ac:dyDescent="0.3">
      <c r="A249">
        <v>248</v>
      </c>
      <c r="B249" t="s">
        <v>147</v>
      </c>
      <c r="C249" t="s">
        <v>49</v>
      </c>
      <c r="D249" t="s">
        <v>36</v>
      </c>
      <c r="E249" t="s">
        <v>36</v>
      </c>
      <c r="F249">
        <v>19</v>
      </c>
      <c r="G249" t="s">
        <v>1121</v>
      </c>
      <c r="H249" t="s">
        <v>1122</v>
      </c>
      <c r="I249" t="s">
        <v>729</v>
      </c>
      <c r="J249" t="s">
        <v>925</v>
      </c>
    </row>
    <row r="250" spans="1:10" x14ac:dyDescent="0.3">
      <c r="A250">
        <v>249</v>
      </c>
      <c r="B250" t="s">
        <v>148</v>
      </c>
      <c r="C250" t="s">
        <v>49</v>
      </c>
      <c r="D250" t="s">
        <v>36</v>
      </c>
      <c r="E250" t="s">
        <v>36</v>
      </c>
      <c r="F250">
        <v>19</v>
      </c>
      <c r="G250" t="s">
        <v>1123</v>
      </c>
      <c r="H250" t="s">
        <v>1124</v>
      </c>
      <c r="I250" t="s">
        <v>729</v>
      </c>
      <c r="J250" t="s">
        <v>925</v>
      </c>
    </row>
    <row r="251" spans="1:10" x14ac:dyDescent="0.3">
      <c r="A251">
        <v>250</v>
      </c>
      <c r="B251" t="s">
        <v>149</v>
      </c>
      <c r="C251" t="s">
        <v>49</v>
      </c>
      <c r="D251" t="s">
        <v>36</v>
      </c>
      <c r="E251" t="s">
        <v>36</v>
      </c>
      <c r="F251">
        <v>18</v>
      </c>
      <c r="G251" t="s">
        <v>1125</v>
      </c>
      <c r="H251" t="s">
        <v>1126</v>
      </c>
      <c r="I251" t="s">
        <v>625</v>
      </c>
      <c r="J251" t="s">
        <v>925</v>
      </c>
    </row>
    <row r="252" spans="1:10" x14ac:dyDescent="0.3">
      <c r="A252">
        <v>251</v>
      </c>
      <c r="B252" t="s">
        <v>150</v>
      </c>
      <c r="C252" t="s">
        <v>49</v>
      </c>
      <c r="D252" t="s">
        <v>47</v>
      </c>
      <c r="E252" t="s">
        <v>36</v>
      </c>
      <c r="F252">
        <v>18</v>
      </c>
      <c r="G252" t="s">
        <v>1127</v>
      </c>
      <c r="H252" t="s">
        <v>1128</v>
      </c>
      <c r="I252" t="s">
        <v>625</v>
      </c>
      <c r="J252" t="s">
        <v>925</v>
      </c>
    </row>
    <row r="253" spans="1:10" x14ac:dyDescent="0.3">
      <c r="A253">
        <v>252</v>
      </c>
      <c r="B253" t="s">
        <v>151</v>
      </c>
      <c r="C253" t="s">
        <v>49</v>
      </c>
      <c r="D253" t="s">
        <v>46</v>
      </c>
      <c r="E253" t="s">
        <v>36</v>
      </c>
      <c r="F253">
        <v>22</v>
      </c>
      <c r="G253" t="s">
        <v>1129</v>
      </c>
      <c r="H253" t="s">
        <v>1130</v>
      </c>
      <c r="I253" t="s">
        <v>690</v>
      </c>
      <c r="J253" t="s">
        <v>925</v>
      </c>
    </row>
    <row r="254" spans="1:10" x14ac:dyDescent="0.3">
      <c r="A254">
        <v>253</v>
      </c>
      <c r="B254" t="s">
        <v>152</v>
      </c>
      <c r="C254" t="s">
        <v>49</v>
      </c>
      <c r="D254" t="s">
        <v>36</v>
      </c>
      <c r="E254" t="s">
        <v>36</v>
      </c>
      <c r="F254">
        <v>20</v>
      </c>
      <c r="G254" t="s">
        <v>1131</v>
      </c>
      <c r="H254" t="s">
        <v>1132</v>
      </c>
      <c r="I254" t="s">
        <v>759</v>
      </c>
      <c r="J254" t="s">
        <v>925</v>
      </c>
    </row>
    <row r="255" spans="1:10" x14ac:dyDescent="0.3">
      <c r="A255">
        <v>254</v>
      </c>
      <c r="B255" t="s">
        <v>153</v>
      </c>
      <c r="C255" t="s">
        <v>49</v>
      </c>
      <c r="D255" t="s">
        <v>36</v>
      </c>
      <c r="E255" t="s">
        <v>36</v>
      </c>
      <c r="F255">
        <v>21</v>
      </c>
      <c r="G255" t="s">
        <v>867</v>
      </c>
      <c r="H255" t="s">
        <v>1133</v>
      </c>
      <c r="I255" t="s">
        <v>718</v>
      </c>
      <c r="J255" t="s">
        <v>925</v>
      </c>
    </row>
    <row r="256" spans="1:10" x14ac:dyDescent="0.3">
      <c r="A256">
        <v>255</v>
      </c>
      <c r="B256" t="s">
        <v>154</v>
      </c>
      <c r="C256" t="s">
        <v>35</v>
      </c>
      <c r="D256" t="s">
        <v>46</v>
      </c>
      <c r="E256" t="s">
        <v>36</v>
      </c>
      <c r="F256">
        <v>18</v>
      </c>
      <c r="G256" t="s">
        <v>1134</v>
      </c>
      <c r="H256" t="s">
        <v>1135</v>
      </c>
      <c r="I256" t="s">
        <v>625</v>
      </c>
      <c r="J256" t="s">
        <v>925</v>
      </c>
    </row>
    <row r="257" spans="1:10" x14ac:dyDescent="0.3">
      <c r="A257">
        <v>256</v>
      </c>
      <c r="B257" t="s">
        <v>155</v>
      </c>
      <c r="C257" t="s">
        <v>35</v>
      </c>
      <c r="D257" t="s">
        <v>36</v>
      </c>
      <c r="E257" t="s">
        <v>36</v>
      </c>
      <c r="F257">
        <v>18</v>
      </c>
      <c r="G257" t="s">
        <v>1136</v>
      </c>
      <c r="H257" t="s">
        <v>1137</v>
      </c>
      <c r="I257" t="s">
        <v>625</v>
      </c>
      <c r="J257" t="s">
        <v>925</v>
      </c>
    </row>
    <row r="258" spans="1:10" x14ac:dyDescent="0.3">
      <c r="A258">
        <v>257</v>
      </c>
      <c r="B258" t="s">
        <v>156</v>
      </c>
      <c r="C258" t="s">
        <v>35</v>
      </c>
      <c r="D258" t="s">
        <v>36</v>
      </c>
      <c r="E258" t="s">
        <v>36</v>
      </c>
      <c r="F258">
        <v>22</v>
      </c>
      <c r="G258" t="s">
        <v>1138</v>
      </c>
      <c r="H258" t="s">
        <v>1139</v>
      </c>
      <c r="I258" t="s">
        <v>690</v>
      </c>
      <c r="J258" t="s">
        <v>925</v>
      </c>
    </row>
    <row r="259" spans="1:10" x14ac:dyDescent="0.3">
      <c r="A259">
        <v>258</v>
      </c>
      <c r="B259" t="s">
        <v>157</v>
      </c>
      <c r="C259" t="s">
        <v>35</v>
      </c>
      <c r="D259" t="s">
        <v>36</v>
      </c>
      <c r="E259" t="s">
        <v>36</v>
      </c>
      <c r="F259">
        <v>19</v>
      </c>
      <c r="G259" t="s">
        <v>1140</v>
      </c>
      <c r="H259" t="s">
        <v>1141</v>
      </c>
      <c r="I259" t="s">
        <v>729</v>
      </c>
      <c r="J259" t="s">
        <v>925</v>
      </c>
    </row>
    <row r="260" spans="1:10" x14ac:dyDescent="0.3">
      <c r="A260">
        <v>259</v>
      </c>
      <c r="B260" t="s">
        <v>158</v>
      </c>
      <c r="C260" t="s">
        <v>35</v>
      </c>
      <c r="D260" t="s">
        <v>36</v>
      </c>
      <c r="E260" t="s">
        <v>36</v>
      </c>
      <c r="F260">
        <v>22</v>
      </c>
      <c r="G260" t="s">
        <v>1142</v>
      </c>
      <c r="H260" t="s">
        <v>973</v>
      </c>
      <c r="I260" t="s">
        <v>690</v>
      </c>
      <c r="J260" t="s">
        <v>925</v>
      </c>
    </row>
    <row r="261" spans="1:10" x14ac:dyDescent="0.3">
      <c r="A261">
        <v>260</v>
      </c>
      <c r="B261" t="s">
        <v>159</v>
      </c>
      <c r="C261" t="s">
        <v>35</v>
      </c>
      <c r="D261" t="s">
        <v>36</v>
      </c>
      <c r="E261" t="s">
        <v>36</v>
      </c>
      <c r="F261">
        <v>19</v>
      </c>
      <c r="G261" t="s">
        <v>667</v>
      </c>
      <c r="H261" t="s">
        <v>1143</v>
      </c>
      <c r="I261" t="s">
        <v>729</v>
      </c>
      <c r="J261" t="s">
        <v>925</v>
      </c>
    </row>
    <row r="262" spans="1:10" x14ac:dyDescent="0.3">
      <c r="A262">
        <v>261</v>
      </c>
      <c r="B262" t="s">
        <v>160</v>
      </c>
      <c r="C262" t="s">
        <v>35</v>
      </c>
      <c r="D262" t="s">
        <v>47</v>
      </c>
      <c r="E262" t="s">
        <v>36</v>
      </c>
      <c r="F262">
        <v>19</v>
      </c>
      <c r="G262" t="s">
        <v>1144</v>
      </c>
      <c r="H262" t="s">
        <v>906</v>
      </c>
      <c r="I262" t="s">
        <v>729</v>
      </c>
      <c r="J262" t="s">
        <v>925</v>
      </c>
    </row>
    <row r="263" spans="1:10" x14ac:dyDescent="0.3">
      <c r="A263">
        <v>262</v>
      </c>
      <c r="B263" t="s">
        <v>161</v>
      </c>
      <c r="C263" t="s">
        <v>35</v>
      </c>
      <c r="D263" t="s">
        <v>47</v>
      </c>
      <c r="E263" t="s">
        <v>36</v>
      </c>
      <c r="F263">
        <v>22</v>
      </c>
      <c r="G263" t="s">
        <v>1145</v>
      </c>
      <c r="H263" t="s">
        <v>1146</v>
      </c>
      <c r="I263" t="s">
        <v>690</v>
      </c>
      <c r="J263" t="s">
        <v>925</v>
      </c>
    </row>
    <row r="264" spans="1:10" x14ac:dyDescent="0.3">
      <c r="A264">
        <v>263</v>
      </c>
      <c r="B264" t="s">
        <v>162</v>
      </c>
      <c r="C264" t="s">
        <v>35</v>
      </c>
      <c r="D264" t="s">
        <v>36</v>
      </c>
      <c r="E264" t="s">
        <v>36</v>
      </c>
      <c r="F264">
        <v>18</v>
      </c>
      <c r="G264" t="s">
        <v>1147</v>
      </c>
      <c r="H264" t="s">
        <v>1148</v>
      </c>
      <c r="I264" t="s">
        <v>625</v>
      </c>
      <c r="J264" t="s">
        <v>925</v>
      </c>
    </row>
    <row r="265" spans="1:10" x14ac:dyDescent="0.3">
      <c r="A265">
        <v>264</v>
      </c>
      <c r="B265" t="s">
        <v>163</v>
      </c>
      <c r="C265" t="s">
        <v>35</v>
      </c>
      <c r="D265" t="s">
        <v>36</v>
      </c>
      <c r="E265" t="s">
        <v>36</v>
      </c>
      <c r="F265">
        <v>22</v>
      </c>
      <c r="G265" t="s">
        <v>1149</v>
      </c>
      <c r="H265" t="s">
        <v>1150</v>
      </c>
      <c r="I265" t="s">
        <v>690</v>
      </c>
      <c r="J265" t="s">
        <v>925</v>
      </c>
    </row>
    <row r="266" spans="1:10" x14ac:dyDescent="0.3">
      <c r="A266">
        <v>265</v>
      </c>
      <c r="B266" t="s">
        <v>164</v>
      </c>
      <c r="C266" t="s">
        <v>35</v>
      </c>
      <c r="D266" t="s">
        <v>36</v>
      </c>
      <c r="E266" t="s">
        <v>36</v>
      </c>
      <c r="F266">
        <v>18</v>
      </c>
      <c r="G266" t="s">
        <v>1151</v>
      </c>
      <c r="H266" t="s">
        <v>1152</v>
      </c>
      <c r="I266" t="s">
        <v>625</v>
      </c>
      <c r="J266" t="s">
        <v>925</v>
      </c>
    </row>
    <row r="267" spans="1:10" x14ac:dyDescent="0.3">
      <c r="A267">
        <v>266</v>
      </c>
      <c r="B267" t="s">
        <v>165</v>
      </c>
      <c r="C267" t="s">
        <v>35</v>
      </c>
      <c r="D267" t="s">
        <v>36</v>
      </c>
      <c r="E267" t="s">
        <v>36</v>
      </c>
      <c r="F267">
        <v>21</v>
      </c>
      <c r="G267" t="s">
        <v>1153</v>
      </c>
      <c r="H267" t="s">
        <v>1154</v>
      </c>
      <c r="I267" t="s">
        <v>718</v>
      </c>
      <c r="J267" t="s">
        <v>925</v>
      </c>
    </row>
    <row r="268" spans="1:10" x14ac:dyDescent="0.3">
      <c r="A268">
        <v>267</v>
      </c>
      <c r="B268" t="s">
        <v>166</v>
      </c>
      <c r="C268" t="s">
        <v>38</v>
      </c>
      <c r="D268" t="s">
        <v>36</v>
      </c>
      <c r="E268" t="s">
        <v>36</v>
      </c>
      <c r="F268">
        <v>18</v>
      </c>
      <c r="G268" t="s">
        <v>1155</v>
      </c>
      <c r="H268" t="s">
        <v>1156</v>
      </c>
      <c r="I268" t="s">
        <v>625</v>
      </c>
      <c r="J268" t="s">
        <v>925</v>
      </c>
    </row>
    <row r="269" spans="1:10" x14ac:dyDescent="0.3">
      <c r="A269">
        <v>268</v>
      </c>
      <c r="B269" t="s">
        <v>167</v>
      </c>
      <c r="C269" t="s">
        <v>38</v>
      </c>
      <c r="D269" t="s">
        <v>46</v>
      </c>
      <c r="E269" t="s">
        <v>36</v>
      </c>
      <c r="F269">
        <v>18</v>
      </c>
      <c r="G269" t="s">
        <v>1157</v>
      </c>
      <c r="H269" t="s">
        <v>1158</v>
      </c>
      <c r="I269" t="s">
        <v>625</v>
      </c>
      <c r="J269" t="s">
        <v>925</v>
      </c>
    </row>
    <row r="270" spans="1:10" x14ac:dyDescent="0.3">
      <c r="A270">
        <v>269</v>
      </c>
      <c r="B270" t="s">
        <v>168</v>
      </c>
      <c r="C270" t="s">
        <v>38</v>
      </c>
      <c r="D270" t="s">
        <v>36</v>
      </c>
      <c r="E270" t="s">
        <v>36</v>
      </c>
      <c r="F270">
        <v>21</v>
      </c>
      <c r="G270" t="s">
        <v>1159</v>
      </c>
      <c r="H270" t="s">
        <v>1160</v>
      </c>
      <c r="I270" t="s">
        <v>718</v>
      </c>
      <c r="J270" t="s">
        <v>925</v>
      </c>
    </row>
    <row r="271" spans="1:10" x14ac:dyDescent="0.3">
      <c r="A271">
        <v>270</v>
      </c>
      <c r="B271" t="s">
        <v>169</v>
      </c>
      <c r="C271" t="s">
        <v>38</v>
      </c>
      <c r="D271" t="s">
        <v>46</v>
      </c>
      <c r="E271" t="s">
        <v>36</v>
      </c>
      <c r="F271">
        <v>21</v>
      </c>
      <c r="G271" t="s">
        <v>1161</v>
      </c>
      <c r="H271" t="s">
        <v>1162</v>
      </c>
      <c r="I271" t="s">
        <v>718</v>
      </c>
      <c r="J271" t="s">
        <v>925</v>
      </c>
    </row>
    <row r="272" spans="1:10" x14ac:dyDescent="0.3">
      <c r="A272">
        <v>271</v>
      </c>
      <c r="B272" t="s">
        <v>170</v>
      </c>
      <c r="C272" t="s">
        <v>38</v>
      </c>
      <c r="D272" t="s">
        <v>36</v>
      </c>
      <c r="E272" t="s">
        <v>36</v>
      </c>
      <c r="F272">
        <v>21</v>
      </c>
      <c r="G272" t="s">
        <v>1163</v>
      </c>
      <c r="H272" t="s">
        <v>1164</v>
      </c>
      <c r="I272" t="s">
        <v>718</v>
      </c>
      <c r="J272" t="s">
        <v>925</v>
      </c>
    </row>
    <row r="273" spans="1:10" x14ac:dyDescent="0.3">
      <c r="A273">
        <v>272</v>
      </c>
      <c r="B273" t="s">
        <v>171</v>
      </c>
      <c r="C273" t="s">
        <v>38</v>
      </c>
      <c r="D273" t="s">
        <v>36</v>
      </c>
      <c r="E273" t="s">
        <v>36</v>
      </c>
      <c r="F273">
        <v>22</v>
      </c>
      <c r="G273" t="s">
        <v>1165</v>
      </c>
      <c r="H273" t="s">
        <v>1166</v>
      </c>
      <c r="I273" t="s">
        <v>690</v>
      </c>
      <c r="J273" t="s">
        <v>925</v>
      </c>
    </row>
    <row r="274" spans="1:10" x14ac:dyDescent="0.3">
      <c r="A274">
        <v>273</v>
      </c>
      <c r="B274" t="s">
        <v>172</v>
      </c>
      <c r="C274" t="s">
        <v>38</v>
      </c>
      <c r="D274" t="s">
        <v>36</v>
      </c>
      <c r="E274" t="s">
        <v>36</v>
      </c>
      <c r="F274">
        <v>19</v>
      </c>
      <c r="G274" t="s">
        <v>1167</v>
      </c>
      <c r="H274" t="s">
        <v>1168</v>
      </c>
      <c r="I274" t="s">
        <v>729</v>
      </c>
      <c r="J274" t="s">
        <v>925</v>
      </c>
    </row>
    <row r="275" spans="1:10" x14ac:dyDescent="0.3">
      <c r="A275">
        <v>274</v>
      </c>
      <c r="B275" t="s">
        <v>173</v>
      </c>
      <c r="C275" t="s">
        <v>38</v>
      </c>
      <c r="D275" t="s">
        <v>36</v>
      </c>
      <c r="E275" t="s">
        <v>36</v>
      </c>
      <c r="F275">
        <v>22</v>
      </c>
      <c r="G275" t="s">
        <v>1169</v>
      </c>
      <c r="H275" t="s">
        <v>1170</v>
      </c>
      <c r="I275" t="s">
        <v>690</v>
      </c>
      <c r="J275" t="s">
        <v>925</v>
      </c>
    </row>
    <row r="276" spans="1:10" x14ac:dyDescent="0.3">
      <c r="A276">
        <v>275</v>
      </c>
      <c r="B276" t="s">
        <v>174</v>
      </c>
      <c r="C276" t="s">
        <v>38</v>
      </c>
      <c r="D276" t="s">
        <v>46</v>
      </c>
      <c r="E276" t="s">
        <v>36</v>
      </c>
      <c r="F276">
        <v>21</v>
      </c>
      <c r="G276" t="s">
        <v>1171</v>
      </c>
      <c r="H276" t="s">
        <v>1172</v>
      </c>
      <c r="I276" t="s">
        <v>718</v>
      </c>
      <c r="J276" t="s">
        <v>925</v>
      </c>
    </row>
    <row r="277" spans="1:10" x14ac:dyDescent="0.3">
      <c r="A277">
        <v>276</v>
      </c>
      <c r="B277" t="s">
        <v>175</v>
      </c>
      <c r="C277" t="s">
        <v>38</v>
      </c>
      <c r="D277" t="s">
        <v>36</v>
      </c>
      <c r="E277" t="s">
        <v>36</v>
      </c>
      <c r="F277">
        <v>18</v>
      </c>
      <c r="G277" t="s">
        <v>1173</v>
      </c>
      <c r="H277" t="s">
        <v>1174</v>
      </c>
      <c r="I277" t="s">
        <v>625</v>
      </c>
      <c r="J277" t="s">
        <v>925</v>
      </c>
    </row>
    <row r="278" spans="1:10" x14ac:dyDescent="0.3">
      <c r="A278">
        <v>277</v>
      </c>
      <c r="B278" t="s">
        <v>176</v>
      </c>
      <c r="C278" t="s">
        <v>38</v>
      </c>
      <c r="D278" t="s">
        <v>36</v>
      </c>
      <c r="E278" t="s">
        <v>36</v>
      </c>
      <c r="F278">
        <v>19</v>
      </c>
      <c r="G278" t="s">
        <v>1175</v>
      </c>
      <c r="H278" t="s">
        <v>1176</v>
      </c>
      <c r="I278" t="s">
        <v>729</v>
      </c>
      <c r="J278" t="s">
        <v>925</v>
      </c>
    </row>
    <row r="279" spans="1:10" x14ac:dyDescent="0.3">
      <c r="A279">
        <v>278</v>
      </c>
      <c r="B279" t="s">
        <v>177</v>
      </c>
      <c r="C279" t="s">
        <v>38</v>
      </c>
      <c r="D279" t="s">
        <v>36</v>
      </c>
      <c r="E279" t="s">
        <v>36</v>
      </c>
      <c r="F279">
        <v>22</v>
      </c>
      <c r="G279" t="s">
        <v>1177</v>
      </c>
      <c r="H279" t="s">
        <v>1178</v>
      </c>
      <c r="I279" t="s">
        <v>690</v>
      </c>
      <c r="J279" t="s">
        <v>925</v>
      </c>
    </row>
    <row r="280" spans="1:10" x14ac:dyDescent="0.3">
      <c r="A280">
        <v>279</v>
      </c>
      <c r="B280" t="s">
        <v>178</v>
      </c>
      <c r="C280" t="s">
        <v>38</v>
      </c>
      <c r="D280" t="s">
        <v>36</v>
      </c>
      <c r="E280" t="s">
        <v>36</v>
      </c>
      <c r="F280">
        <v>21</v>
      </c>
      <c r="G280" t="s">
        <v>1179</v>
      </c>
      <c r="H280" t="s">
        <v>1180</v>
      </c>
      <c r="I280" t="s">
        <v>718</v>
      </c>
      <c r="J280" t="s">
        <v>925</v>
      </c>
    </row>
    <row r="281" spans="1:10" x14ac:dyDescent="0.3">
      <c r="A281">
        <v>280</v>
      </c>
      <c r="B281" t="s">
        <v>179</v>
      </c>
      <c r="C281" t="s">
        <v>38</v>
      </c>
      <c r="D281" t="s">
        <v>36</v>
      </c>
      <c r="E281" t="s">
        <v>36</v>
      </c>
      <c r="F281">
        <v>22</v>
      </c>
      <c r="G281" t="s">
        <v>867</v>
      </c>
      <c r="H281" t="s">
        <v>1181</v>
      </c>
      <c r="I281" t="s">
        <v>690</v>
      </c>
      <c r="J281" t="s">
        <v>925</v>
      </c>
    </row>
    <row r="282" spans="1:10" x14ac:dyDescent="0.3">
      <c r="A282">
        <v>281</v>
      </c>
      <c r="B282" t="s">
        <v>180</v>
      </c>
      <c r="C282" t="s">
        <v>38</v>
      </c>
      <c r="D282" t="s">
        <v>36</v>
      </c>
      <c r="E282" t="s">
        <v>36</v>
      </c>
      <c r="F282">
        <v>19</v>
      </c>
      <c r="G282" t="s">
        <v>1182</v>
      </c>
      <c r="H282" t="s">
        <v>1022</v>
      </c>
      <c r="I282" t="s">
        <v>729</v>
      </c>
      <c r="J282" t="s">
        <v>925</v>
      </c>
    </row>
    <row r="283" spans="1:10" x14ac:dyDescent="0.3">
      <c r="A283">
        <v>282</v>
      </c>
      <c r="B283" t="s">
        <v>181</v>
      </c>
      <c r="C283" t="s">
        <v>38</v>
      </c>
      <c r="D283" t="s">
        <v>36</v>
      </c>
      <c r="E283" t="s">
        <v>36</v>
      </c>
      <c r="F283">
        <v>19</v>
      </c>
      <c r="G283" t="s">
        <v>1183</v>
      </c>
      <c r="H283" t="s">
        <v>1184</v>
      </c>
      <c r="I283" t="s">
        <v>729</v>
      </c>
      <c r="J283" t="s">
        <v>925</v>
      </c>
    </row>
    <row r="284" spans="1:10" x14ac:dyDescent="0.3">
      <c r="A284">
        <v>283</v>
      </c>
      <c r="B284" t="s">
        <v>182</v>
      </c>
      <c r="C284" t="s">
        <v>38</v>
      </c>
      <c r="D284" t="s">
        <v>47</v>
      </c>
      <c r="E284" t="s">
        <v>36</v>
      </c>
      <c r="F284">
        <v>21</v>
      </c>
      <c r="G284" t="s">
        <v>1185</v>
      </c>
      <c r="H284" t="s">
        <v>1186</v>
      </c>
      <c r="I284" t="s">
        <v>718</v>
      </c>
      <c r="J284" t="s">
        <v>925</v>
      </c>
    </row>
    <row r="285" spans="1:10" x14ac:dyDescent="0.3">
      <c r="A285">
        <v>284</v>
      </c>
      <c r="B285" t="s">
        <v>183</v>
      </c>
      <c r="C285" t="s">
        <v>38</v>
      </c>
      <c r="D285" t="s">
        <v>36</v>
      </c>
      <c r="E285" t="s">
        <v>36</v>
      </c>
      <c r="F285">
        <v>18</v>
      </c>
      <c r="G285" t="s">
        <v>1187</v>
      </c>
      <c r="H285" t="s">
        <v>1188</v>
      </c>
      <c r="I285" t="s">
        <v>625</v>
      </c>
      <c r="J285" t="s">
        <v>925</v>
      </c>
    </row>
    <row r="286" spans="1:10" x14ac:dyDescent="0.3">
      <c r="A286">
        <v>285</v>
      </c>
      <c r="B286" t="s">
        <v>184</v>
      </c>
      <c r="C286" t="s">
        <v>38</v>
      </c>
      <c r="D286" t="s">
        <v>36</v>
      </c>
      <c r="E286" t="s">
        <v>36</v>
      </c>
      <c r="F286">
        <v>22</v>
      </c>
      <c r="G286" t="s">
        <v>1189</v>
      </c>
      <c r="H286" t="s">
        <v>1160</v>
      </c>
      <c r="I286" t="s">
        <v>690</v>
      </c>
      <c r="J286" t="s">
        <v>925</v>
      </c>
    </row>
    <row r="287" spans="1:10" x14ac:dyDescent="0.3">
      <c r="A287">
        <v>286</v>
      </c>
      <c r="B287" t="s">
        <v>185</v>
      </c>
      <c r="C287" t="s">
        <v>45</v>
      </c>
      <c r="D287" t="s">
        <v>36</v>
      </c>
      <c r="E287" t="s">
        <v>36</v>
      </c>
      <c r="F287">
        <v>18</v>
      </c>
      <c r="G287" t="s">
        <v>1190</v>
      </c>
      <c r="H287" t="s">
        <v>1191</v>
      </c>
      <c r="I287" t="s">
        <v>625</v>
      </c>
      <c r="J287" t="s">
        <v>925</v>
      </c>
    </row>
    <row r="288" spans="1:10" x14ac:dyDescent="0.3">
      <c r="A288">
        <v>287</v>
      </c>
      <c r="B288" t="s">
        <v>186</v>
      </c>
      <c r="C288" t="s">
        <v>45</v>
      </c>
      <c r="D288" t="s">
        <v>47</v>
      </c>
      <c r="E288" t="s">
        <v>47</v>
      </c>
      <c r="F288">
        <v>22</v>
      </c>
      <c r="G288" t="s">
        <v>1192</v>
      </c>
      <c r="H288" t="s">
        <v>1193</v>
      </c>
      <c r="I288" t="s">
        <v>690</v>
      </c>
      <c r="J288" t="s">
        <v>925</v>
      </c>
    </row>
    <row r="289" spans="1:10" x14ac:dyDescent="0.3">
      <c r="A289">
        <v>288</v>
      </c>
      <c r="B289" t="s">
        <v>187</v>
      </c>
      <c r="C289" t="s">
        <v>45</v>
      </c>
      <c r="D289" t="s">
        <v>47</v>
      </c>
      <c r="E289" t="s">
        <v>47</v>
      </c>
      <c r="F289">
        <v>22</v>
      </c>
      <c r="G289" t="s">
        <v>1194</v>
      </c>
      <c r="H289" t="s">
        <v>1195</v>
      </c>
      <c r="I289" t="s">
        <v>690</v>
      </c>
      <c r="J289" t="s">
        <v>925</v>
      </c>
    </row>
    <row r="290" spans="1:10" x14ac:dyDescent="0.3">
      <c r="A290">
        <v>289</v>
      </c>
      <c r="B290" t="s">
        <v>188</v>
      </c>
      <c r="C290" t="s">
        <v>45</v>
      </c>
      <c r="D290" t="s">
        <v>36</v>
      </c>
      <c r="E290" t="s">
        <v>36</v>
      </c>
      <c r="F290">
        <v>21</v>
      </c>
      <c r="G290" t="s">
        <v>1196</v>
      </c>
      <c r="H290" t="s">
        <v>1197</v>
      </c>
      <c r="I290" t="s">
        <v>718</v>
      </c>
      <c r="J290" t="s">
        <v>925</v>
      </c>
    </row>
    <row r="291" spans="1:10" x14ac:dyDescent="0.3">
      <c r="A291">
        <v>290</v>
      </c>
      <c r="B291" t="s">
        <v>189</v>
      </c>
      <c r="C291" t="s">
        <v>45</v>
      </c>
      <c r="D291" t="s">
        <v>36</v>
      </c>
      <c r="E291" t="s">
        <v>36</v>
      </c>
      <c r="F291">
        <v>18</v>
      </c>
      <c r="G291" t="s">
        <v>1198</v>
      </c>
      <c r="H291" t="s">
        <v>1199</v>
      </c>
      <c r="I291" t="s">
        <v>625</v>
      </c>
      <c r="J291" t="s">
        <v>925</v>
      </c>
    </row>
    <row r="292" spans="1:10" x14ac:dyDescent="0.3">
      <c r="A292">
        <v>291</v>
      </c>
      <c r="B292" t="s">
        <v>190</v>
      </c>
      <c r="C292" t="s">
        <v>45</v>
      </c>
      <c r="D292" t="s">
        <v>46</v>
      </c>
      <c r="E292" t="s">
        <v>47</v>
      </c>
      <c r="F292">
        <v>21</v>
      </c>
      <c r="G292" t="s">
        <v>1200</v>
      </c>
      <c r="H292" t="s">
        <v>1201</v>
      </c>
      <c r="I292" t="s">
        <v>718</v>
      </c>
      <c r="J292" t="s">
        <v>925</v>
      </c>
    </row>
    <row r="293" spans="1:10" x14ac:dyDescent="0.3">
      <c r="A293">
        <v>292</v>
      </c>
      <c r="B293" t="s">
        <v>191</v>
      </c>
      <c r="C293" t="s">
        <v>73</v>
      </c>
      <c r="D293" t="s">
        <v>36</v>
      </c>
      <c r="E293" t="s">
        <v>36</v>
      </c>
      <c r="F293">
        <v>18</v>
      </c>
      <c r="G293" t="s">
        <v>1202</v>
      </c>
      <c r="H293" t="s">
        <v>1203</v>
      </c>
      <c r="I293" t="s">
        <v>625</v>
      </c>
      <c r="J293" t="s">
        <v>925</v>
      </c>
    </row>
    <row r="294" spans="1:10" x14ac:dyDescent="0.3">
      <c r="A294">
        <v>293</v>
      </c>
      <c r="B294" t="s">
        <v>192</v>
      </c>
      <c r="C294" t="s">
        <v>73</v>
      </c>
      <c r="D294" t="s">
        <v>47</v>
      </c>
      <c r="E294" t="s">
        <v>47</v>
      </c>
      <c r="F294">
        <v>18</v>
      </c>
      <c r="G294" t="s">
        <v>1204</v>
      </c>
      <c r="H294" t="s">
        <v>1205</v>
      </c>
      <c r="I294" t="s">
        <v>625</v>
      </c>
      <c r="J294" t="s">
        <v>925</v>
      </c>
    </row>
    <row r="295" spans="1:10" x14ac:dyDescent="0.3">
      <c r="A295">
        <v>294</v>
      </c>
      <c r="B295" t="s">
        <v>193</v>
      </c>
      <c r="C295" t="s">
        <v>73</v>
      </c>
      <c r="D295" t="s">
        <v>46</v>
      </c>
      <c r="E295" t="s">
        <v>47</v>
      </c>
      <c r="F295">
        <v>22</v>
      </c>
      <c r="G295" t="s">
        <v>1206</v>
      </c>
      <c r="H295" t="s">
        <v>1008</v>
      </c>
      <c r="I295" t="s">
        <v>690</v>
      </c>
      <c r="J295" t="s">
        <v>925</v>
      </c>
    </row>
    <row r="296" spans="1:10" x14ac:dyDescent="0.3">
      <c r="A296">
        <v>295</v>
      </c>
      <c r="B296" t="s">
        <v>194</v>
      </c>
      <c r="C296" t="s">
        <v>73</v>
      </c>
      <c r="D296" t="s">
        <v>36</v>
      </c>
      <c r="E296" t="s">
        <v>36</v>
      </c>
      <c r="F296">
        <v>19</v>
      </c>
      <c r="G296" t="s">
        <v>1207</v>
      </c>
      <c r="H296" t="s">
        <v>1208</v>
      </c>
      <c r="I296" t="s">
        <v>729</v>
      </c>
      <c r="J296" t="s">
        <v>925</v>
      </c>
    </row>
    <row r="297" spans="1:10" x14ac:dyDescent="0.3">
      <c r="A297">
        <v>296</v>
      </c>
      <c r="B297" t="s">
        <v>195</v>
      </c>
      <c r="C297" t="s">
        <v>73</v>
      </c>
      <c r="D297" t="s">
        <v>36</v>
      </c>
      <c r="E297" t="s">
        <v>36</v>
      </c>
      <c r="F297">
        <v>22</v>
      </c>
      <c r="G297" t="s">
        <v>1209</v>
      </c>
      <c r="H297" t="s">
        <v>1210</v>
      </c>
      <c r="I297" t="s">
        <v>690</v>
      </c>
      <c r="J297" t="s">
        <v>925</v>
      </c>
    </row>
    <row r="298" spans="1:10" x14ac:dyDescent="0.3">
      <c r="A298">
        <v>297</v>
      </c>
      <c r="B298" t="s">
        <v>196</v>
      </c>
      <c r="C298" t="s">
        <v>73</v>
      </c>
      <c r="D298" t="s">
        <v>36</v>
      </c>
      <c r="E298" t="s">
        <v>36</v>
      </c>
      <c r="F298">
        <v>20</v>
      </c>
      <c r="G298" t="s">
        <v>1211</v>
      </c>
      <c r="H298" t="s">
        <v>1212</v>
      </c>
      <c r="I298" t="s">
        <v>759</v>
      </c>
      <c r="J298" t="s">
        <v>925</v>
      </c>
    </row>
    <row r="299" spans="1:10" x14ac:dyDescent="0.3">
      <c r="A299">
        <v>298</v>
      </c>
      <c r="B299" t="s">
        <v>197</v>
      </c>
      <c r="C299" t="s">
        <v>73</v>
      </c>
      <c r="D299" t="s">
        <v>36</v>
      </c>
      <c r="E299" t="s">
        <v>36</v>
      </c>
      <c r="F299">
        <v>20</v>
      </c>
      <c r="G299" t="s">
        <v>1213</v>
      </c>
      <c r="H299" t="s">
        <v>1214</v>
      </c>
      <c r="I299" t="s">
        <v>759</v>
      </c>
      <c r="J299" t="s">
        <v>925</v>
      </c>
    </row>
    <row r="300" spans="1:10" x14ac:dyDescent="0.3">
      <c r="A300">
        <v>299</v>
      </c>
      <c r="B300" t="s">
        <v>198</v>
      </c>
      <c r="C300" t="s">
        <v>73</v>
      </c>
      <c r="D300" t="s">
        <v>36</v>
      </c>
      <c r="E300" t="s">
        <v>36</v>
      </c>
      <c r="F300">
        <v>22</v>
      </c>
      <c r="G300" t="s">
        <v>1215</v>
      </c>
      <c r="H300" t="s">
        <v>913</v>
      </c>
      <c r="I300" t="s">
        <v>690</v>
      </c>
      <c r="J300" t="s">
        <v>925</v>
      </c>
    </row>
    <row r="301" spans="1:10" x14ac:dyDescent="0.3">
      <c r="A301">
        <v>300</v>
      </c>
      <c r="B301" t="s">
        <v>199</v>
      </c>
      <c r="C301" t="s">
        <v>73</v>
      </c>
      <c r="D301" t="s">
        <v>36</v>
      </c>
      <c r="E301" t="s">
        <v>36</v>
      </c>
      <c r="F301">
        <v>19</v>
      </c>
      <c r="G301" t="s">
        <v>1216</v>
      </c>
      <c r="H301" t="s">
        <v>1093</v>
      </c>
      <c r="I301" t="s">
        <v>729</v>
      </c>
      <c r="J301" t="s">
        <v>925</v>
      </c>
    </row>
    <row r="302" spans="1:10" x14ac:dyDescent="0.3">
      <c r="A302">
        <v>301</v>
      </c>
      <c r="B302" t="s">
        <v>200</v>
      </c>
      <c r="C302" t="s">
        <v>73</v>
      </c>
      <c r="D302" t="s">
        <v>47</v>
      </c>
      <c r="E302" t="s">
        <v>47</v>
      </c>
      <c r="F302">
        <v>22</v>
      </c>
      <c r="G302" t="s">
        <v>1217</v>
      </c>
      <c r="H302" t="s">
        <v>1218</v>
      </c>
      <c r="I302" t="s">
        <v>690</v>
      </c>
      <c r="J302" t="s">
        <v>925</v>
      </c>
    </row>
    <row r="303" spans="1:10" x14ac:dyDescent="0.3">
      <c r="A303">
        <v>302</v>
      </c>
      <c r="B303" t="s">
        <v>201</v>
      </c>
      <c r="C303" t="s">
        <v>73</v>
      </c>
      <c r="D303" t="s">
        <v>46</v>
      </c>
      <c r="E303" t="s">
        <v>36</v>
      </c>
      <c r="F303">
        <v>22</v>
      </c>
      <c r="G303" t="s">
        <v>1219</v>
      </c>
      <c r="H303" t="s">
        <v>1220</v>
      </c>
      <c r="I303" t="s">
        <v>690</v>
      </c>
      <c r="J303" t="s">
        <v>925</v>
      </c>
    </row>
    <row r="304" spans="1:10" x14ac:dyDescent="0.3">
      <c r="A304">
        <v>303</v>
      </c>
      <c r="B304" t="s">
        <v>202</v>
      </c>
      <c r="C304" t="s">
        <v>40</v>
      </c>
      <c r="D304" t="s">
        <v>46</v>
      </c>
      <c r="E304" t="s">
        <v>36</v>
      </c>
      <c r="F304">
        <v>18</v>
      </c>
      <c r="G304" t="s">
        <v>1221</v>
      </c>
      <c r="H304" t="s">
        <v>1222</v>
      </c>
      <c r="I304" t="s">
        <v>625</v>
      </c>
      <c r="J304" t="s">
        <v>925</v>
      </c>
    </row>
    <row r="305" spans="1:10" x14ac:dyDescent="0.3">
      <c r="A305">
        <v>304</v>
      </c>
      <c r="B305" t="s">
        <v>203</v>
      </c>
      <c r="C305" t="s">
        <v>40</v>
      </c>
      <c r="D305" t="s">
        <v>36</v>
      </c>
      <c r="E305" t="s">
        <v>36</v>
      </c>
      <c r="F305">
        <v>19</v>
      </c>
      <c r="G305" t="s">
        <v>1223</v>
      </c>
      <c r="H305" t="s">
        <v>1224</v>
      </c>
      <c r="I305" t="s">
        <v>729</v>
      </c>
      <c r="J305" t="s">
        <v>925</v>
      </c>
    </row>
    <row r="306" spans="1:10" x14ac:dyDescent="0.3">
      <c r="A306">
        <v>305</v>
      </c>
      <c r="B306" t="s">
        <v>204</v>
      </c>
      <c r="C306" t="s">
        <v>40</v>
      </c>
      <c r="D306" t="s">
        <v>36</v>
      </c>
      <c r="E306" t="s">
        <v>36</v>
      </c>
      <c r="F306">
        <v>20</v>
      </c>
      <c r="G306" t="s">
        <v>1225</v>
      </c>
      <c r="H306" t="s">
        <v>1226</v>
      </c>
      <c r="I306" t="s">
        <v>759</v>
      </c>
      <c r="J306" t="s">
        <v>925</v>
      </c>
    </row>
    <row r="307" spans="1:10" x14ac:dyDescent="0.3">
      <c r="A307">
        <v>306</v>
      </c>
      <c r="B307" t="s">
        <v>205</v>
      </c>
      <c r="C307" t="s">
        <v>40</v>
      </c>
      <c r="D307" t="s">
        <v>36</v>
      </c>
      <c r="E307" t="s">
        <v>36</v>
      </c>
      <c r="F307">
        <v>20</v>
      </c>
      <c r="G307" t="s">
        <v>1227</v>
      </c>
      <c r="H307" t="s">
        <v>1228</v>
      </c>
      <c r="I307" t="s">
        <v>759</v>
      </c>
      <c r="J307" t="s">
        <v>925</v>
      </c>
    </row>
    <row r="308" spans="1:10" x14ac:dyDescent="0.3">
      <c r="A308">
        <v>307</v>
      </c>
      <c r="B308" t="s">
        <v>206</v>
      </c>
      <c r="C308" t="s">
        <v>40</v>
      </c>
      <c r="D308" t="s">
        <v>46</v>
      </c>
      <c r="E308" t="s">
        <v>36</v>
      </c>
      <c r="F308">
        <v>20</v>
      </c>
      <c r="G308" t="s">
        <v>1229</v>
      </c>
      <c r="H308" t="s">
        <v>1230</v>
      </c>
      <c r="I308" t="s">
        <v>759</v>
      </c>
      <c r="J308" t="s">
        <v>925</v>
      </c>
    </row>
    <row r="309" spans="1:10" x14ac:dyDescent="0.3">
      <c r="A309">
        <v>308</v>
      </c>
      <c r="B309" t="s">
        <v>207</v>
      </c>
      <c r="C309" t="s">
        <v>40</v>
      </c>
      <c r="D309" t="s">
        <v>36</v>
      </c>
      <c r="E309" t="s">
        <v>36</v>
      </c>
      <c r="F309">
        <v>22</v>
      </c>
      <c r="G309" t="s">
        <v>1231</v>
      </c>
      <c r="H309" t="s">
        <v>1232</v>
      </c>
      <c r="I309" t="s">
        <v>690</v>
      </c>
      <c r="J309" t="s">
        <v>925</v>
      </c>
    </row>
    <row r="310" spans="1:10" x14ac:dyDescent="0.3">
      <c r="A310">
        <v>309</v>
      </c>
      <c r="B310" t="s">
        <v>208</v>
      </c>
      <c r="C310" t="s">
        <v>40</v>
      </c>
      <c r="D310" t="s">
        <v>36</v>
      </c>
      <c r="E310" t="s">
        <v>36</v>
      </c>
      <c r="F310">
        <v>18</v>
      </c>
      <c r="G310" t="s">
        <v>1233</v>
      </c>
      <c r="H310" t="s">
        <v>1234</v>
      </c>
      <c r="I310" t="s">
        <v>625</v>
      </c>
      <c r="J310" t="s">
        <v>925</v>
      </c>
    </row>
    <row r="311" spans="1:10" x14ac:dyDescent="0.3">
      <c r="A311">
        <v>310</v>
      </c>
      <c r="B311" t="s">
        <v>209</v>
      </c>
      <c r="C311" t="s">
        <v>126</v>
      </c>
      <c r="D311" t="s">
        <v>126</v>
      </c>
      <c r="E311" t="s">
        <v>126</v>
      </c>
      <c r="F311" t="s">
        <v>126</v>
      </c>
      <c r="G311" t="s">
        <v>1235</v>
      </c>
      <c r="H311" t="s">
        <v>1235</v>
      </c>
      <c r="I311" t="s">
        <v>126</v>
      </c>
      <c r="J311" t="s">
        <v>925</v>
      </c>
    </row>
    <row r="312" spans="1:10" x14ac:dyDescent="0.3">
      <c r="A312">
        <v>311</v>
      </c>
      <c r="B312" t="s">
        <v>210</v>
      </c>
      <c r="C312" t="s">
        <v>126</v>
      </c>
      <c r="D312" t="s">
        <v>126</v>
      </c>
      <c r="E312" t="s">
        <v>126</v>
      </c>
      <c r="F312" t="s">
        <v>126</v>
      </c>
      <c r="G312" t="s">
        <v>1235</v>
      </c>
      <c r="H312" t="s">
        <v>1235</v>
      </c>
      <c r="I312" t="s">
        <v>126</v>
      </c>
      <c r="J312" t="s">
        <v>925</v>
      </c>
    </row>
    <row r="313" spans="1:10" x14ac:dyDescent="0.3">
      <c r="A313">
        <v>312</v>
      </c>
      <c r="B313" t="s">
        <v>211</v>
      </c>
      <c r="C313" t="s">
        <v>126</v>
      </c>
      <c r="D313" t="s">
        <v>126</v>
      </c>
      <c r="E313" t="s">
        <v>126</v>
      </c>
      <c r="F313" t="s">
        <v>126</v>
      </c>
      <c r="G313" t="s">
        <v>1235</v>
      </c>
      <c r="H313" t="s">
        <v>1235</v>
      </c>
      <c r="I313" t="s">
        <v>126</v>
      </c>
      <c r="J313" t="s">
        <v>925</v>
      </c>
    </row>
    <row r="314" spans="1:10" x14ac:dyDescent="0.3">
      <c r="A314">
        <v>313</v>
      </c>
      <c r="B314" t="s">
        <v>212</v>
      </c>
      <c r="C314" t="s">
        <v>126</v>
      </c>
      <c r="D314" t="s">
        <v>126</v>
      </c>
      <c r="E314" t="s">
        <v>126</v>
      </c>
      <c r="F314" t="s">
        <v>126</v>
      </c>
      <c r="G314" t="s">
        <v>1235</v>
      </c>
      <c r="H314" t="s">
        <v>1235</v>
      </c>
      <c r="I314" t="s">
        <v>126</v>
      </c>
      <c r="J314" t="s">
        <v>925</v>
      </c>
    </row>
    <row r="315" spans="1:10" x14ac:dyDescent="0.3">
      <c r="A315">
        <v>314</v>
      </c>
      <c r="B315" t="s">
        <v>213</v>
      </c>
      <c r="C315" t="s">
        <v>126</v>
      </c>
      <c r="D315" t="s">
        <v>126</v>
      </c>
      <c r="E315" t="s">
        <v>126</v>
      </c>
      <c r="F315" t="s">
        <v>126</v>
      </c>
      <c r="G315" t="s">
        <v>1235</v>
      </c>
      <c r="H315" t="s">
        <v>1235</v>
      </c>
      <c r="I315" t="s">
        <v>126</v>
      </c>
      <c r="J315" t="s">
        <v>925</v>
      </c>
    </row>
    <row r="316" spans="1:10" x14ac:dyDescent="0.3">
      <c r="A316">
        <v>315</v>
      </c>
      <c r="B316" t="s">
        <v>214</v>
      </c>
      <c r="C316" t="s">
        <v>126</v>
      </c>
      <c r="D316" t="s">
        <v>126</v>
      </c>
      <c r="E316" t="s">
        <v>126</v>
      </c>
      <c r="F316" t="s">
        <v>126</v>
      </c>
      <c r="G316" t="s">
        <v>1235</v>
      </c>
      <c r="H316" t="s">
        <v>1235</v>
      </c>
      <c r="I316" t="s">
        <v>126</v>
      </c>
      <c r="J316" t="s">
        <v>925</v>
      </c>
    </row>
    <row r="317" spans="1:10" x14ac:dyDescent="0.3">
      <c r="A317">
        <v>316</v>
      </c>
      <c r="B317" t="s">
        <v>215</v>
      </c>
      <c r="C317" t="s">
        <v>126</v>
      </c>
      <c r="D317" t="s">
        <v>126</v>
      </c>
      <c r="E317" t="s">
        <v>126</v>
      </c>
      <c r="F317" t="s">
        <v>126</v>
      </c>
      <c r="G317" t="s">
        <v>1235</v>
      </c>
      <c r="H317" t="s">
        <v>1235</v>
      </c>
      <c r="I317" t="s">
        <v>126</v>
      </c>
      <c r="J317" t="s">
        <v>925</v>
      </c>
    </row>
    <row r="318" spans="1:10" x14ac:dyDescent="0.3">
      <c r="A318">
        <v>317</v>
      </c>
      <c r="B318" t="s">
        <v>216</v>
      </c>
      <c r="C318" t="s">
        <v>126</v>
      </c>
      <c r="D318" t="s">
        <v>126</v>
      </c>
      <c r="E318" t="s">
        <v>126</v>
      </c>
      <c r="F318" t="s">
        <v>126</v>
      </c>
      <c r="G318" t="s">
        <v>1235</v>
      </c>
      <c r="H318" t="s">
        <v>1235</v>
      </c>
      <c r="I318" t="s">
        <v>126</v>
      </c>
      <c r="J318" t="s">
        <v>925</v>
      </c>
    </row>
    <row r="319" spans="1:10" x14ac:dyDescent="0.3">
      <c r="A319">
        <v>318</v>
      </c>
      <c r="B319" t="s">
        <v>217</v>
      </c>
      <c r="C319" t="s">
        <v>126</v>
      </c>
      <c r="D319" t="s">
        <v>126</v>
      </c>
      <c r="E319" t="s">
        <v>126</v>
      </c>
      <c r="F319" t="s">
        <v>126</v>
      </c>
      <c r="G319" t="s">
        <v>1235</v>
      </c>
      <c r="H319" t="s">
        <v>1235</v>
      </c>
      <c r="I319" t="s">
        <v>126</v>
      </c>
      <c r="J319" t="s">
        <v>925</v>
      </c>
    </row>
    <row r="320" spans="1:10" x14ac:dyDescent="0.3">
      <c r="A320">
        <v>319</v>
      </c>
      <c r="B320" t="s">
        <v>218</v>
      </c>
      <c r="C320" t="s">
        <v>126</v>
      </c>
      <c r="D320" t="s">
        <v>126</v>
      </c>
      <c r="E320" t="s">
        <v>126</v>
      </c>
      <c r="F320" t="s">
        <v>126</v>
      </c>
      <c r="G320" t="s">
        <v>1235</v>
      </c>
      <c r="H320" t="s">
        <v>1235</v>
      </c>
      <c r="I320" t="s">
        <v>126</v>
      </c>
      <c r="J320" t="s">
        <v>925</v>
      </c>
    </row>
    <row r="321" spans="1:10" x14ac:dyDescent="0.3">
      <c r="A321">
        <v>320</v>
      </c>
      <c r="B321" t="s">
        <v>219</v>
      </c>
      <c r="C321" t="s">
        <v>126</v>
      </c>
      <c r="D321" t="s">
        <v>126</v>
      </c>
      <c r="E321" t="s">
        <v>126</v>
      </c>
      <c r="F321" t="s">
        <v>126</v>
      </c>
      <c r="G321" t="s">
        <v>1235</v>
      </c>
      <c r="H321" t="s">
        <v>1235</v>
      </c>
      <c r="I321" t="s">
        <v>126</v>
      </c>
      <c r="J321" t="s">
        <v>925</v>
      </c>
    </row>
    <row r="322" spans="1:10" x14ac:dyDescent="0.3">
      <c r="A322">
        <v>321</v>
      </c>
      <c r="B322" t="s">
        <v>220</v>
      </c>
      <c r="C322" t="s">
        <v>126</v>
      </c>
      <c r="D322" t="s">
        <v>126</v>
      </c>
      <c r="E322" t="s">
        <v>126</v>
      </c>
      <c r="F322" t="s">
        <v>126</v>
      </c>
      <c r="G322" t="s">
        <v>1235</v>
      </c>
      <c r="H322" t="s">
        <v>1235</v>
      </c>
      <c r="I322" t="s">
        <v>126</v>
      </c>
      <c r="J322" t="s">
        <v>925</v>
      </c>
    </row>
    <row r="323" spans="1:10" x14ac:dyDescent="0.3">
      <c r="A323">
        <v>322</v>
      </c>
      <c r="B323" t="s">
        <v>221</v>
      </c>
      <c r="C323" t="s">
        <v>126</v>
      </c>
      <c r="D323" t="s">
        <v>126</v>
      </c>
      <c r="E323" t="s">
        <v>126</v>
      </c>
      <c r="F323" t="s">
        <v>126</v>
      </c>
      <c r="G323" t="s">
        <v>1235</v>
      </c>
      <c r="H323" t="s">
        <v>1235</v>
      </c>
      <c r="I323" t="s">
        <v>126</v>
      </c>
      <c r="J323" t="s">
        <v>925</v>
      </c>
    </row>
    <row r="324" spans="1:10" x14ac:dyDescent="0.3">
      <c r="A324">
        <v>323</v>
      </c>
      <c r="B324" t="s">
        <v>222</v>
      </c>
      <c r="C324" t="s">
        <v>126</v>
      </c>
      <c r="D324" t="s">
        <v>126</v>
      </c>
      <c r="E324" t="s">
        <v>126</v>
      </c>
      <c r="F324" t="s">
        <v>126</v>
      </c>
      <c r="G324" t="s">
        <v>1235</v>
      </c>
      <c r="H324" t="s">
        <v>1235</v>
      </c>
      <c r="I324" t="s">
        <v>126</v>
      </c>
      <c r="J324" t="s">
        <v>925</v>
      </c>
    </row>
    <row r="325" spans="1:10" x14ac:dyDescent="0.3">
      <c r="A325">
        <v>324</v>
      </c>
      <c r="B325" t="s">
        <v>223</v>
      </c>
      <c r="C325" t="s">
        <v>126</v>
      </c>
      <c r="D325" t="s">
        <v>126</v>
      </c>
      <c r="E325" t="s">
        <v>126</v>
      </c>
      <c r="F325" t="s">
        <v>126</v>
      </c>
      <c r="G325" t="s">
        <v>1235</v>
      </c>
      <c r="H325" t="s">
        <v>1235</v>
      </c>
      <c r="I325" t="s">
        <v>126</v>
      </c>
      <c r="J325" t="s">
        <v>925</v>
      </c>
    </row>
    <row r="326" spans="1:10" x14ac:dyDescent="0.3">
      <c r="A326">
        <v>325</v>
      </c>
      <c r="B326" t="s">
        <v>224</v>
      </c>
      <c r="C326" t="s">
        <v>126</v>
      </c>
      <c r="D326" t="s">
        <v>126</v>
      </c>
      <c r="E326" t="s">
        <v>126</v>
      </c>
      <c r="F326" t="s">
        <v>126</v>
      </c>
      <c r="G326" t="s">
        <v>1235</v>
      </c>
      <c r="H326" t="s">
        <v>1235</v>
      </c>
      <c r="I326" t="s">
        <v>126</v>
      </c>
      <c r="J326" t="s">
        <v>925</v>
      </c>
    </row>
    <row r="327" spans="1:10" x14ac:dyDescent="0.3">
      <c r="A327">
        <v>326</v>
      </c>
      <c r="B327" t="s">
        <v>225</v>
      </c>
      <c r="C327" t="s">
        <v>126</v>
      </c>
      <c r="D327" t="s">
        <v>126</v>
      </c>
      <c r="E327" t="s">
        <v>126</v>
      </c>
      <c r="F327" t="s">
        <v>126</v>
      </c>
      <c r="G327" t="s">
        <v>1235</v>
      </c>
      <c r="H327" t="s">
        <v>1235</v>
      </c>
      <c r="I327" t="s">
        <v>126</v>
      </c>
      <c r="J327" t="s">
        <v>925</v>
      </c>
    </row>
    <row r="328" spans="1:10" x14ac:dyDescent="0.3">
      <c r="A328">
        <v>327</v>
      </c>
      <c r="B328" t="s">
        <v>226</v>
      </c>
      <c r="C328" t="s">
        <v>126</v>
      </c>
      <c r="D328" t="s">
        <v>126</v>
      </c>
      <c r="E328" t="s">
        <v>126</v>
      </c>
      <c r="F328" t="s">
        <v>126</v>
      </c>
      <c r="G328" t="s">
        <v>1235</v>
      </c>
      <c r="H328" t="s">
        <v>1235</v>
      </c>
      <c r="I328" t="s">
        <v>126</v>
      </c>
      <c r="J328" t="s">
        <v>925</v>
      </c>
    </row>
    <row r="329" spans="1:10" x14ac:dyDescent="0.3">
      <c r="A329">
        <v>328</v>
      </c>
      <c r="B329" t="s">
        <v>227</v>
      </c>
      <c r="C329" t="s">
        <v>126</v>
      </c>
      <c r="D329" t="s">
        <v>126</v>
      </c>
      <c r="E329" t="s">
        <v>126</v>
      </c>
      <c r="F329" t="s">
        <v>126</v>
      </c>
      <c r="G329" t="s">
        <v>1235</v>
      </c>
      <c r="H329" t="s">
        <v>1235</v>
      </c>
      <c r="I329" t="s">
        <v>126</v>
      </c>
      <c r="J329" t="s">
        <v>925</v>
      </c>
    </row>
    <row r="330" spans="1:10" x14ac:dyDescent="0.3">
      <c r="A330">
        <v>329</v>
      </c>
      <c r="B330" t="s">
        <v>228</v>
      </c>
      <c r="C330" t="s">
        <v>126</v>
      </c>
      <c r="D330" t="s">
        <v>126</v>
      </c>
      <c r="E330" t="s">
        <v>126</v>
      </c>
      <c r="F330" t="s">
        <v>126</v>
      </c>
      <c r="G330" t="s">
        <v>1235</v>
      </c>
      <c r="H330" t="s">
        <v>1235</v>
      </c>
      <c r="I330" t="s">
        <v>126</v>
      </c>
      <c r="J330" t="s">
        <v>925</v>
      </c>
    </row>
    <row r="331" spans="1:10" x14ac:dyDescent="0.3">
      <c r="A331">
        <v>330</v>
      </c>
      <c r="B331" t="s">
        <v>229</v>
      </c>
      <c r="C331" t="s">
        <v>126</v>
      </c>
      <c r="D331" t="s">
        <v>126</v>
      </c>
      <c r="E331" t="s">
        <v>126</v>
      </c>
      <c r="F331" t="s">
        <v>126</v>
      </c>
      <c r="G331" t="s">
        <v>1235</v>
      </c>
      <c r="H331" t="s">
        <v>1235</v>
      </c>
      <c r="I331" t="s">
        <v>126</v>
      </c>
      <c r="J331" t="s">
        <v>925</v>
      </c>
    </row>
    <row r="332" spans="1:10" x14ac:dyDescent="0.3">
      <c r="A332">
        <v>331</v>
      </c>
      <c r="B332" t="s">
        <v>230</v>
      </c>
      <c r="C332" t="s">
        <v>126</v>
      </c>
      <c r="D332" t="s">
        <v>126</v>
      </c>
      <c r="E332" t="s">
        <v>126</v>
      </c>
      <c r="F332" t="s">
        <v>126</v>
      </c>
      <c r="G332" t="s">
        <v>1235</v>
      </c>
      <c r="H332" t="s">
        <v>1235</v>
      </c>
      <c r="I332" t="s">
        <v>126</v>
      </c>
      <c r="J332" t="s">
        <v>925</v>
      </c>
    </row>
    <row r="333" spans="1:10" x14ac:dyDescent="0.3">
      <c r="A333">
        <v>332</v>
      </c>
      <c r="B333" t="s">
        <v>231</v>
      </c>
      <c r="C333" t="s">
        <v>126</v>
      </c>
      <c r="D333" t="s">
        <v>126</v>
      </c>
      <c r="E333" t="s">
        <v>126</v>
      </c>
      <c r="F333" t="s">
        <v>126</v>
      </c>
      <c r="G333" t="s">
        <v>1235</v>
      </c>
      <c r="H333" t="s">
        <v>1235</v>
      </c>
      <c r="I333" t="s">
        <v>126</v>
      </c>
      <c r="J333" t="s">
        <v>925</v>
      </c>
    </row>
    <row r="334" spans="1:10" x14ac:dyDescent="0.3">
      <c r="A334">
        <v>333</v>
      </c>
      <c r="B334" t="s">
        <v>232</v>
      </c>
      <c r="C334" t="s">
        <v>126</v>
      </c>
      <c r="D334" t="s">
        <v>126</v>
      </c>
      <c r="E334" t="s">
        <v>126</v>
      </c>
      <c r="F334" t="s">
        <v>126</v>
      </c>
      <c r="G334" t="s">
        <v>1235</v>
      </c>
      <c r="H334" t="s">
        <v>1235</v>
      </c>
      <c r="I334" t="s">
        <v>126</v>
      </c>
      <c r="J334" t="s">
        <v>925</v>
      </c>
    </row>
    <row r="335" spans="1:10" x14ac:dyDescent="0.3">
      <c r="A335">
        <v>334</v>
      </c>
      <c r="B335" t="s">
        <v>233</v>
      </c>
      <c r="C335" t="s">
        <v>126</v>
      </c>
      <c r="D335" t="s">
        <v>126</v>
      </c>
      <c r="E335" t="s">
        <v>126</v>
      </c>
      <c r="F335" t="s">
        <v>126</v>
      </c>
      <c r="G335" t="s">
        <v>1235</v>
      </c>
      <c r="H335" t="s">
        <v>1235</v>
      </c>
      <c r="I335" t="s">
        <v>126</v>
      </c>
      <c r="J335" t="s">
        <v>925</v>
      </c>
    </row>
    <row r="336" spans="1:10" x14ac:dyDescent="0.3">
      <c r="A336">
        <v>335</v>
      </c>
      <c r="B336" t="s">
        <v>234</v>
      </c>
      <c r="C336" t="s">
        <v>126</v>
      </c>
      <c r="D336" t="s">
        <v>126</v>
      </c>
      <c r="E336" t="s">
        <v>126</v>
      </c>
      <c r="F336" t="s">
        <v>126</v>
      </c>
      <c r="G336" t="s">
        <v>1235</v>
      </c>
      <c r="H336" t="s">
        <v>1235</v>
      </c>
      <c r="I336" t="s">
        <v>126</v>
      </c>
      <c r="J336" t="s">
        <v>925</v>
      </c>
    </row>
    <row r="337" spans="1:10" x14ac:dyDescent="0.3">
      <c r="A337">
        <v>336</v>
      </c>
      <c r="B337" t="s">
        <v>235</v>
      </c>
      <c r="C337" t="s">
        <v>126</v>
      </c>
      <c r="D337" t="s">
        <v>126</v>
      </c>
      <c r="E337" t="s">
        <v>126</v>
      </c>
      <c r="F337" t="s">
        <v>126</v>
      </c>
      <c r="G337" t="s">
        <v>1235</v>
      </c>
      <c r="H337" t="s">
        <v>1235</v>
      </c>
      <c r="I337" t="s">
        <v>126</v>
      </c>
      <c r="J337" t="s">
        <v>925</v>
      </c>
    </row>
    <row r="338" spans="1:10" x14ac:dyDescent="0.3">
      <c r="A338">
        <v>337</v>
      </c>
      <c r="B338" t="s">
        <v>236</v>
      </c>
      <c r="C338" t="s">
        <v>126</v>
      </c>
      <c r="D338" t="s">
        <v>126</v>
      </c>
      <c r="E338" t="s">
        <v>126</v>
      </c>
      <c r="F338" t="s">
        <v>126</v>
      </c>
      <c r="G338" t="s">
        <v>1235</v>
      </c>
      <c r="H338" t="s">
        <v>1235</v>
      </c>
      <c r="I338" t="s">
        <v>126</v>
      </c>
      <c r="J338" t="s">
        <v>925</v>
      </c>
    </row>
    <row r="339" spans="1:10" x14ac:dyDescent="0.3">
      <c r="A339">
        <v>338</v>
      </c>
      <c r="B339" t="s">
        <v>237</v>
      </c>
      <c r="C339" t="s">
        <v>126</v>
      </c>
      <c r="D339" t="s">
        <v>126</v>
      </c>
      <c r="E339" t="s">
        <v>126</v>
      </c>
      <c r="F339" t="s">
        <v>126</v>
      </c>
      <c r="G339" t="s">
        <v>1235</v>
      </c>
      <c r="H339" t="s">
        <v>1235</v>
      </c>
      <c r="I339" t="s">
        <v>126</v>
      </c>
      <c r="J339" t="s">
        <v>925</v>
      </c>
    </row>
    <row r="340" spans="1:10" x14ac:dyDescent="0.3">
      <c r="A340">
        <v>339</v>
      </c>
      <c r="B340" t="s">
        <v>238</v>
      </c>
      <c r="C340" t="s">
        <v>126</v>
      </c>
      <c r="D340" t="s">
        <v>126</v>
      </c>
      <c r="E340" t="s">
        <v>126</v>
      </c>
      <c r="F340" t="s">
        <v>126</v>
      </c>
      <c r="G340" t="s">
        <v>1235</v>
      </c>
      <c r="H340" t="s">
        <v>1235</v>
      </c>
      <c r="I340" t="s">
        <v>126</v>
      </c>
      <c r="J340" t="s">
        <v>925</v>
      </c>
    </row>
    <row r="341" spans="1:10" x14ac:dyDescent="0.3">
      <c r="A341">
        <v>340</v>
      </c>
      <c r="B341" t="s">
        <v>239</v>
      </c>
      <c r="C341" t="s">
        <v>126</v>
      </c>
      <c r="D341" t="s">
        <v>126</v>
      </c>
      <c r="E341" t="s">
        <v>126</v>
      </c>
      <c r="F341" t="s">
        <v>126</v>
      </c>
      <c r="G341" t="s">
        <v>1235</v>
      </c>
      <c r="H341" t="s">
        <v>1235</v>
      </c>
      <c r="I341" t="s">
        <v>126</v>
      </c>
      <c r="J341" t="s">
        <v>925</v>
      </c>
    </row>
    <row r="342" spans="1:10" x14ac:dyDescent="0.3">
      <c r="A342">
        <v>341</v>
      </c>
      <c r="B342" t="s">
        <v>240</v>
      </c>
      <c r="C342" t="s">
        <v>126</v>
      </c>
      <c r="D342" t="s">
        <v>126</v>
      </c>
      <c r="E342" t="s">
        <v>126</v>
      </c>
      <c r="F342" t="s">
        <v>126</v>
      </c>
      <c r="G342" t="s">
        <v>1235</v>
      </c>
      <c r="H342" t="s">
        <v>1235</v>
      </c>
      <c r="I342" t="s">
        <v>126</v>
      </c>
      <c r="J342" t="s">
        <v>925</v>
      </c>
    </row>
    <row r="343" spans="1:10" x14ac:dyDescent="0.3">
      <c r="A343">
        <v>342</v>
      </c>
      <c r="B343" t="s">
        <v>241</v>
      </c>
      <c r="C343" t="s">
        <v>126</v>
      </c>
      <c r="D343" t="s">
        <v>126</v>
      </c>
      <c r="E343" t="s">
        <v>126</v>
      </c>
      <c r="F343" t="s">
        <v>126</v>
      </c>
      <c r="G343" t="s">
        <v>1235</v>
      </c>
      <c r="H343" t="s">
        <v>1235</v>
      </c>
      <c r="I343" t="s">
        <v>126</v>
      </c>
      <c r="J343" t="s">
        <v>925</v>
      </c>
    </row>
    <row r="344" spans="1:10" x14ac:dyDescent="0.3">
      <c r="A344">
        <v>343</v>
      </c>
      <c r="B344" t="s">
        <v>242</v>
      </c>
      <c r="C344" t="s">
        <v>126</v>
      </c>
      <c r="D344" t="s">
        <v>126</v>
      </c>
      <c r="E344" t="s">
        <v>126</v>
      </c>
      <c r="F344" t="s">
        <v>126</v>
      </c>
      <c r="G344" t="s">
        <v>1235</v>
      </c>
      <c r="H344" t="s">
        <v>1235</v>
      </c>
      <c r="I344" t="s">
        <v>126</v>
      </c>
      <c r="J344" t="s">
        <v>925</v>
      </c>
    </row>
    <row r="345" spans="1:10" x14ac:dyDescent="0.3">
      <c r="A345">
        <v>344</v>
      </c>
      <c r="B345" t="s">
        <v>243</v>
      </c>
      <c r="C345" t="s">
        <v>126</v>
      </c>
      <c r="D345" t="s">
        <v>126</v>
      </c>
      <c r="E345" t="s">
        <v>126</v>
      </c>
      <c r="F345" t="s">
        <v>126</v>
      </c>
      <c r="G345" t="s">
        <v>1235</v>
      </c>
      <c r="H345" t="s">
        <v>1235</v>
      </c>
      <c r="I345" t="s">
        <v>126</v>
      </c>
      <c r="J345" t="s">
        <v>925</v>
      </c>
    </row>
    <row r="346" spans="1:10" x14ac:dyDescent="0.3">
      <c r="A346">
        <v>345</v>
      </c>
      <c r="B346" t="s">
        <v>244</v>
      </c>
      <c r="C346" t="s">
        <v>126</v>
      </c>
      <c r="D346" t="s">
        <v>126</v>
      </c>
      <c r="E346" t="s">
        <v>126</v>
      </c>
      <c r="F346" t="s">
        <v>126</v>
      </c>
      <c r="G346" t="s">
        <v>1235</v>
      </c>
      <c r="H346" t="s">
        <v>1235</v>
      </c>
      <c r="I346" t="s">
        <v>126</v>
      </c>
      <c r="J346" t="s">
        <v>925</v>
      </c>
    </row>
    <row r="347" spans="1:10" x14ac:dyDescent="0.3">
      <c r="A347">
        <v>346</v>
      </c>
      <c r="B347" t="s">
        <v>245</v>
      </c>
      <c r="C347" t="s">
        <v>126</v>
      </c>
      <c r="D347" t="s">
        <v>126</v>
      </c>
      <c r="E347" t="s">
        <v>126</v>
      </c>
      <c r="F347" t="s">
        <v>126</v>
      </c>
      <c r="G347" t="s">
        <v>1235</v>
      </c>
      <c r="H347" t="s">
        <v>1235</v>
      </c>
      <c r="I347" t="s">
        <v>126</v>
      </c>
      <c r="J347" t="s">
        <v>925</v>
      </c>
    </row>
    <row r="348" spans="1:10" x14ac:dyDescent="0.3">
      <c r="A348">
        <v>347</v>
      </c>
      <c r="B348" t="s">
        <v>246</v>
      </c>
      <c r="C348" t="s">
        <v>126</v>
      </c>
      <c r="D348" t="s">
        <v>126</v>
      </c>
      <c r="E348" t="s">
        <v>126</v>
      </c>
      <c r="F348" t="s">
        <v>126</v>
      </c>
      <c r="G348" t="s">
        <v>1235</v>
      </c>
      <c r="H348" t="s">
        <v>1235</v>
      </c>
      <c r="I348" t="s">
        <v>126</v>
      </c>
      <c r="J348" t="s">
        <v>925</v>
      </c>
    </row>
    <row r="349" spans="1:10" x14ac:dyDescent="0.3">
      <c r="A349">
        <v>348</v>
      </c>
      <c r="B349" t="s">
        <v>247</v>
      </c>
      <c r="C349" t="s">
        <v>126</v>
      </c>
      <c r="D349" t="s">
        <v>126</v>
      </c>
      <c r="E349" t="s">
        <v>126</v>
      </c>
      <c r="F349" t="s">
        <v>126</v>
      </c>
      <c r="G349" t="s">
        <v>1235</v>
      </c>
      <c r="H349" t="s">
        <v>1235</v>
      </c>
      <c r="I349" t="s">
        <v>126</v>
      </c>
      <c r="J349" t="s">
        <v>925</v>
      </c>
    </row>
    <row r="350" spans="1:10" x14ac:dyDescent="0.3">
      <c r="A350">
        <v>349</v>
      </c>
      <c r="B350" t="s">
        <v>248</v>
      </c>
      <c r="C350" t="s">
        <v>126</v>
      </c>
      <c r="D350" t="s">
        <v>126</v>
      </c>
      <c r="E350" t="s">
        <v>126</v>
      </c>
      <c r="F350" t="s">
        <v>126</v>
      </c>
      <c r="G350" t="s">
        <v>1235</v>
      </c>
      <c r="H350" t="s">
        <v>1235</v>
      </c>
      <c r="I350" t="s">
        <v>126</v>
      </c>
      <c r="J350" t="s">
        <v>925</v>
      </c>
    </row>
    <row r="351" spans="1:10" x14ac:dyDescent="0.3">
      <c r="A351">
        <v>350</v>
      </c>
      <c r="B351" t="s">
        <v>249</v>
      </c>
      <c r="C351" t="s">
        <v>126</v>
      </c>
      <c r="D351" t="s">
        <v>126</v>
      </c>
      <c r="E351" t="s">
        <v>126</v>
      </c>
      <c r="F351" t="s">
        <v>126</v>
      </c>
      <c r="G351" t="s">
        <v>1235</v>
      </c>
      <c r="H351" t="s">
        <v>1235</v>
      </c>
      <c r="I351" t="s">
        <v>126</v>
      </c>
      <c r="J351" t="s">
        <v>925</v>
      </c>
    </row>
    <row r="352" spans="1:10" x14ac:dyDescent="0.3">
      <c r="A352">
        <v>351</v>
      </c>
      <c r="B352" t="s">
        <v>250</v>
      </c>
      <c r="C352" t="s">
        <v>126</v>
      </c>
      <c r="D352" t="s">
        <v>126</v>
      </c>
      <c r="E352" t="s">
        <v>126</v>
      </c>
      <c r="F352" t="s">
        <v>126</v>
      </c>
      <c r="G352" t="s">
        <v>1235</v>
      </c>
      <c r="H352" t="s">
        <v>1235</v>
      </c>
      <c r="I352" t="s">
        <v>126</v>
      </c>
      <c r="J352" t="s">
        <v>925</v>
      </c>
    </row>
    <row r="353" spans="1:10" x14ac:dyDescent="0.3">
      <c r="A353">
        <v>352</v>
      </c>
      <c r="B353" t="s">
        <v>251</v>
      </c>
      <c r="C353" t="s">
        <v>126</v>
      </c>
      <c r="D353" t="s">
        <v>126</v>
      </c>
      <c r="E353" t="s">
        <v>126</v>
      </c>
      <c r="F353" t="s">
        <v>126</v>
      </c>
      <c r="G353" t="s">
        <v>1235</v>
      </c>
      <c r="H353" t="s">
        <v>1235</v>
      </c>
      <c r="I353" t="s">
        <v>126</v>
      </c>
      <c r="J353" t="s">
        <v>925</v>
      </c>
    </row>
    <row r="354" spans="1:10" x14ac:dyDescent="0.3">
      <c r="A354">
        <v>353</v>
      </c>
      <c r="B354" t="s">
        <v>252</v>
      </c>
      <c r="C354" t="s">
        <v>126</v>
      </c>
      <c r="D354" t="s">
        <v>126</v>
      </c>
      <c r="E354" t="s">
        <v>126</v>
      </c>
      <c r="F354" t="s">
        <v>126</v>
      </c>
      <c r="G354" t="s">
        <v>1235</v>
      </c>
      <c r="H354" t="s">
        <v>1235</v>
      </c>
      <c r="I354" t="s">
        <v>126</v>
      </c>
      <c r="J354" t="s">
        <v>925</v>
      </c>
    </row>
    <row r="355" spans="1:10" x14ac:dyDescent="0.3">
      <c r="A355">
        <v>354</v>
      </c>
      <c r="B355" t="s">
        <v>253</v>
      </c>
      <c r="C355" t="s">
        <v>126</v>
      </c>
      <c r="D355" t="s">
        <v>126</v>
      </c>
      <c r="E355" t="s">
        <v>126</v>
      </c>
      <c r="F355" t="s">
        <v>126</v>
      </c>
      <c r="G355" t="s">
        <v>1235</v>
      </c>
      <c r="H355" t="s">
        <v>1235</v>
      </c>
      <c r="I355" t="s">
        <v>126</v>
      </c>
      <c r="J355" t="s">
        <v>925</v>
      </c>
    </row>
    <row r="356" spans="1:10" x14ac:dyDescent="0.3">
      <c r="A356">
        <v>355</v>
      </c>
      <c r="B356" t="s">
        <v>254</v>
      </c>
      <c r="C356" t="s">
        <v>126</v>
      </c>
      <c r="D356" t="s">
        <v>126</v>
      </c>
      <c r="E356" t="s">
        <v>126</v>
      </c>
      <c r="F356" t="s">
        <v>126</v>
      </c>
      <c r="G356" t="s">
        <v>1235</v>
      </c>
      <c r="H356" t="s">
        <v>1235</v>
      </c>
      <c r="I356" t="s">
        <v>126</v>
      </c>
      <c r="J356" t="s">
        <v>925</v>
      </c>
    </row>
    <row r="357" spans="1:10" x14ac:dyDescent="0.3">
      <c r="A357">
        <v>356</v>
      </c>
      <c r="B357" t="s">
        <v>255</v>
      </c>
      <c r="C357" t="s">
        <v>126</v>
      </c>
      <c r="D357" t="s">
        <v>126</v>
      </c>
      <c r="E357" t="s">
        <v>126</v>
      </c>
      <c r="F357" t="s">
        <v>126</v>
      </c>
      <c r="G357" t="s">
        <v>1235</v>
      </c>
      <c r="H357" t="s">
        <v>1235</v>
      </c>
      <c r="I357" t="s">
        <v>126</v>
      </c>
      <c r="J357" t="s">
        <v>925</v>
      </c>
    </row>
    <row r="358" spans="1:10" x14ac:dyDescent="0.3">
      <c r="A358">
        <v>357</v>
      </c>
      <c r="B358" t="s">
        <v>256</v>
      </c>
      <c r="C358" t="s">
        <v>126</v>
      </c>
      <c r="D358" t="s">
        <v>126</v>
      </c>
      <c r="E358" t="s">
        <v>126</v>
      </c>
      <c r="F358" t="s">
        <v>126</v>
      </c>
      <c r="G358" t="s">
        <v>1235</v>
      </c>
      <c r="H358" t="s">
        <v>1235</v>
      </c>
      <c r="I358" t="s">
        <v>126</v>
      </c>
      <c r="J358" t="s">
        <v>925</v>
      </c>
    </row>
    <row r="359" spans="1:10" x14ac:dyDescent="0.3">
      <c r="A359">
        <v>358</v>
      </c>
      <c r="B359" t="s">
        <v>257</v>
      </c>
      <c r="C359" t="s">
        <v>126</v>
      </c>
      <c r="D359" t="s">
        <v>126</v>
      </c>
      <c r="E359" t="s">
        <v>126</v>
      </c>
      <c r="F359" t="s">
        <v>126</v>
      </c>
      <c r="G359" t="s">
        <v>1235</v>
      </c>
      <c r="H359" t="s">
        <v>1235</v>
      </c>
      <c r="I359" t="s">
        <v>126</v>
      </c>
      <c r="J359" t="s">
        <v>925</v>
      </c>
    </row>
    <row r="360" spans="1:10" x14ac:dyDescent="0.3">
      <c r="A360">
        <v>359</v>
      </c>
      <c r="B360" t="s">
        <v>258</v>
      </c>
      <c r="C360" t="s">
        <v>126</v>
      </c>
      <c r="D360" t="s">
        <v>126</v>
      </c>
      <c r="E360" t="s">
        <v>126</v>
      </c>
      <c r="F360" t="s">
        <v>126</v>
      </c>
      <c r="G360" t="s">
        <v>1235</v>
      </c>
      <c r="H360" t="s">
        <v>1235</v>
      </c>
      <c r="I360" t="s">
        <v>126</v>
      </c>
      <c r="J360" t="s">
        <v>925</v>
      </c>
    </row>
    <row r="361" spans="1:10" x14ac:dyDescent="0.3">
      <c r="A361">
        <v>360</v>
      </c>
      <c r="B361" t="s">
        <v>259</v>
      </c>
      <c r="C361" t="s">
        <v>126</v>
      </c>
      <c r="D361" t="s">
        <v>126</v>
      </c>
      <c r="E361" t="s">
        <v>126</v>
      </c>
      <c r="F361" t="s">
        <v>126</v>
      </c>
      <c r="G361" t="s">
        <v>1235</v>
      </c>
      <c r="H361" t="s">
        <v>1235</v>
      </c>
      <c r="I361" t="s">
        <v>126</v>
      </c>
      <c r="J361" t="s">
        <v>925</v>
      </c>
    </row>
    <row r="362" spans="1:10" x14ac:dyDescent="0.3">
      <c r="A362">
        <v>361</v>
      </c>
      <c r="B362" t="s">
        <v>260</v>
      </c>
      <c r="C362" t="s">
        <v>126</v>
      </c>
      <c r="D362" t="s">
        <v>126</v>
      </c>
      <c r="E362" t="s">
        <v>126</v>
      </c>
      <c r="F362" t="s">
        <v>126</v>
      </c>
      <c r="G362" t="s">
        <v>1235</v>
      </c>
      <c r="H362" t="s">
        <v>1235</v>
      </c>
      <c r="I362" t="s">
        <v>126</v>
      </c>
      <c r="J362" t="s">
        <v>925</v>
      </c>
    </row>
    <row r="363" spans="1:10" x14ac:dyDescent="0.3">
      <c r="A363">
        <v>362</v>
      </c>
      <c r="B363" t="s">
        <v>261</v>
      </c>
      <c r="C363" t="s">
        <v>126</v>
      </c>
      <c r="D363" t="s">
        <v>126</v>
      </c>
      <c r="E363" t="s">
        <v>126</v>
      </c>
      <c r="F363" t="s">
        <v>126</v>
      </c>
      <c r="G363" t="s">
        <v>1235</v>
      </c>
      <c r="H363" t="s">
        <v>1235</v>
      </c>
      <c r="I363" t="s">
        <v>126</v>
      </c>
      <c r="J363" t="s">
        <v>925</v>
      </c>
    </row>
    <row r="364" spans="1:10" x14ac:dyDescent="0.3">
      <c r="A364">
        <v>363</v>
      </c>
      <c r="B364" t="s">
        <v>262</v>
      </c>
      <c r="C364" t="s">
        <v>126</v>
      </c>
      <c r="D364" t="s">
        <v>126</v>
      </c>
      <c r="E364" t="s">
        <v>126</v>
      </c>
      <c r="F364" t="s">
        <v>126</v>
      </c>
      <c r="G364" t="s">
        <v>1235</v>
      </c>
      <c r="H364" t="s">
        <v>1235</v>
      </c>
      <c r="I364" t="s">
        <v>126</v>
      </c>
      <c r="J364" t="s">
        <v>925</v>
      </c>
    </row>
    <row r="365" spans="1:10" x14ac:dyDescent="0.3">
      <c r="A365">
        <v>364</v>
      </c>
      <c r="B365" t="s">
        <v>263</v>
      </c>
      <c r="C365" t="s">
        <v>126</v>
      </c>
      <c r="D365" t="s">
        <v>126</v>
      </c>
      <c r="E365" t="s">
        <v>126</v>
      </c>
      <c r="F365" t="s">
        <v>126</v>
      </c>
      <c r="G365" t="s">
        <v>1235</v>
      </c>
      <c r="H365" t="s">
        <v>1235</v>
      </c>
      <c r="I365" t="s">
        <v>126</v>
      </c>
      <c r="J365" t="s">
        <v>925</v>
      </c>
    </row>
    <row r="366" spans="1:10" x14ac:dyDescent="0.3">
      <c r="A366">
        <v>365</v>
      </c>
      <c r="B366" t="s">
        <v>264</v>
      </c>
      <c r="C366" t="s">
        <v>126</v>
      </c>
      <c r="D366" t="s">
        <v>126</v>
      </c>
      <c r="E366" t="s">
        <v>126</v>
      </c>
      <c r="F366" t="s">
        <v>126</v>
      </c>
      <c r="G366" t="s">
        <v>1235</v>
      </c>
      <c r="H366" t="s">
        <v>1235</v>
      </c>
      <c r="I366" t="s">
        <v>126</v>
      </c>
      <c r="J366" t="s">
        <v>925</v>
      </c>
    </row>
    <row r="367" spans="1:10" x14ac:dyDescent="0.3">
      <c r="A367">
        <v>366</v>
      </c>
      <c r="B367" t="s">
        <v>265</v>
      </c>
      <c r="C367" t="s">
        <v>126</v>
      </c>
      <c r="D367" t="s">
        <v>126</v>
      </c>
      <c r="E367" t="s">
        <v>126</v>
      </c>
      <c r="F367" t="s">
        <v>126</v>
      </c>
      <c r="G367" t="s">
        <v>1235</v>
      </c>
      <c r="H367" t="s">
        <v>1235</v>
      </c>
      <c r="I367" t="s">
        <v>126</v>
      </c>
      <c r="J367" t="s">
        <v>925</v>
      </c>
    </row>
    <row r="368" spans="1:10" x14ac:dyDescent="0.3">
      <c r="A368">
        <v>367</v>
      </c>
      <c r="B368" t="s">
        <v>266</v>
      </c>
      <c r="C368" t="s">
        <v>126</v>
      </c>
      <c r="D368" t="s">
        <v>126</v>
      </c>
      <c r="E368" t="s">
        <v>126</v>
      </c>
      <c r="F368" t="s">
        <v>126</v>
      </c>
      <c r="G368" t="s">
        <v>1235</v>
      </c>
      <c r="H368" t="s">
        <v>1235</v>
      </c>
      <c r="I368" t="s">
        <v>126</v>
      </c>
      <c r="J368" t="s">
        <v>925</v>
      </c>
    </row>
    <row r="369" spans="1:10" x14ac:dyDescent="0.3">
      <c r="A369">
        <v>368</v>
      </c>
      <c r="B369" t="s">
        <v>267</v>
      </c>
      <c r="C369" t="s">
        <v>126</v>
      </c>
      <c r="D369" t="s">
        <v>126</v>
      </c>
      <c r="E369" t="s">
        <v>126</v>
      </c>
      <c r="F369" t="s">
        <v>126</v>
      </c>
      <c r="G369" t="s">
        <v>1235</v>
      </c>
      <c r="H369" t="s">
        <v>1235</v>
      </c>
      <c r="I369" t="s">
        <v>126</v>
      </c>
      <c r="J369" t="s">
        <v>925</v>
      </c>
    </row>
    <row r="370" spans="1:10" x14ac:dyDescent="0.3">
      <c r="A370">
        <v>369</v>
      </c>
      <c r="B370" t="s">
        <v>268</v>
      </c>
      <c r="C370" t="s">
        <v>126</v>
      </c>
      <c r="D370" t="s">
        <v>126</v>
      </c>
      <c r="E370" t="s">
        <v>126</v>
      </c>
      <c r="F370" t="s">
        <v>126</v>
      </c>
      <c r="G370" t="s">
        <v>1235</v>
      </c>
      <c r="H370" t="s">
        <v>1235</v>
      </c>
      <c r="I370" t="s">
        <v>126</v>
      </c>
      <c r="J370" t="s">
        <v>925</v>
      </c>
    </row>
    <row r="371" spans="1:10" x14ac:dyDescent="0.3">
      <c r="A371">
        <v>370</v>
      </c>
      <c r="B371" t="s">
        <v>269</v>
      </c>
      <c r="C371" t="s">
        <v>126</v>
      </c>
      <c r="D371" t="s">
        <v>126</v>
      </c>
      <c r="E371" t="s">
        <v>126</v>
      </c>
      <c r="F371" t="s">
        <v>126</v>
      </c>
      <c r="G371" t="s">
        <v>1235</v>
      </c>
      <c r="H371" t="s">
        <v>1235</v>
      </c>
      <c r="I371" t="s">
        <v>126</v>
      </c>
      <c r="J371" t="s">
        <v>925</v>
      </c>
    </row>
    <row r="372" spans="1:10" x14ac:dyDescent="0.3">
      <c r="A372">
        <v>371</v>
      </c>
      <c r="B372" t="s">
        <v>270</v>
      </c>
      <c r="C372" t="s">
        <v>126</v>
      </c>
      <c r="D372" t="s">
        <v>126</v>
      </c>
      <c r="E372" t="s">
        <v>126</v>
      </c>
      <c r="F372" t="s">
        <v>126</v>
      </c>
      <c r="G372" t="s">
        <v>1235</v>
      </c>
      <c r="H372" t="s">
        <v>1235</v>
      </c>
      <c r="I372" t="s">
        <v>126</v>
      </c>
      <c r="J372" t="s">
        <v>925</v>
      </c>
    </row>
    <row r="373" spans="1:10" x14ac:dyDescent="0.3">
      <c r="A373">
        <v>372</v>
      </c>
      <c r="B373" t="s">
        <v>271</v>
      </c>
      <c r="C373" t="s">
        <v>126</v>
      </c>
      <c r="D373" t="s">
        <v>126</v>
      </c>
      <c r="E373" t="s">
        <v>126</v>
      </c>
      <c r="F373" t="s">
        <v>126</v>
      </c>
      <c r="G373" t="s">
        <v>1235</v>
      </c>
      <c r="H373" t="s">
        <v>1235</v>
      </c>
      <c r="I373" t="s">
        <v>126</v>
      </c>
      <c r="J373" t="s">
        <v>925</v>
      </c>
    </row>
    <row r="374" spans="1:10" x14ac:dyDescent="0.3">
      <c r="A374">
        <v>373</v>
      </c>
      <c r="B374" t="s">
        <v>272</v>
      </c>
      <c r="C374" t="s">
        <v>126</v>
      </c>
      <c r="D374" t="s">
        <v>126</v>
      </c>
      <c r="E374" t="s">
        <v>126</v>
      </c>
      <c r="F374" t="s">
        <v>126</v>
      </c>
      <c r="G374" t="s">
        <v>1235</v>
      </c>
      <c r="H374" t="s">
        <v>1235</v>
      </c>
      <c r="I374" t="s">
        <v>126</v>
      </c>
      <c r="J374" t="s">
        <v>925</v>
      </c>
    </row>
    <row r="375" spans="1:10" x14ac:dyDescent="0.3">
      <c r="A375">
        <v>374</v>
      </c>
      <c r="B375" t="s">
        <v>273</v>
      </c>
      <c r="C375" t="s">
        <v>126</v>
      </c>
      <c r="D375" t="s">
        <v>126</v>
      </c>
      <c r="E375" t="s">
        <v>126</v>
      </c>
      <c r="F375" t="s">
        <v>126</v>
      </c>
      <c r="G375" t="s">
        <v>1235</v>
      </c>
      <c r="H375" t="s">
        <v>1235</v>
      </c>
      <c r="I375" t="s">
        <v>126</v>
      </c>
      <c r="J375" t="s">
        <v>925</v>
      </c>
    </row>
    <row r="376" spans="1:10" x14ac:dyDescent="0.3">
      <c r="A376">
        <v>375</v>
      </c>
      <c r="B376" t="s">
        <v>274</v>
      </c>
      <c r="C376" t="s">
        <v>126</v>
      </c>
      <c r="D376" t="s">
        <v>126</v>
      </c>
      <c r="E376" t="s">
        <v>126</v>
      </c>
      <c r="F376" t="s">
        <v>126</v>
      </c>
      <c r="G376" t="s">
        <v>1235</v>
      </c>
      <c r="H376" t="s">
        <v>1235</v>
      </c>
      <c r="I376" t="s">
        <v>126</v>
      </c>
      <c r="J376" t="s">
        <v>925</v>
      </c>
    </row>
    <row r="377" spans="1:10" x14ac:dyDescent="0.3">
      <c r="A377">
        <v>376</v>
      </c>
      <c r="B377" t="s">
        <v>275</v>
      </c>
      <c r="C377" t="s">
        <v>126</v>
      </c>
      <c r="D377" t="s">
        <v>126</v>
      </c>
      <c r="E377" t="s">
        <v>126</v>
      </c>
      <c r="F377" t="s">
        <v>126</v>
      </c>
      <c r="G377" t="s">
        <v>1235</v>
      </c>
      <c r="H377" t="s">
        <v>1235</v>
      </c>
      <c r="I377" t="s">
        <v>126</v>
      </c>
      <c r="J377" t="s">
        <v>925</v>
      </c>
    </row>
    <row r="378" spans="1:10" x14ac:dyDescent="0.3">
      <c r="A378">
        <v>377</v>
      </c>
      <c r="B378" t="s">
        <v>276</v>
      </c>
      <c r="C378" t="s">
        <v>126</v>
      </c>
      <c r="D378" t="s">
        <v>126</v>
      </c>
      <c r="E378" t="s">
        <v>126</v>
      </c>
      <c r="F378" t="s">
        <v>126</v>
      </c>
      <c r="G378" t="s">
        <v>1235</v>
      </c>
      <c r="H378" t="s">
        <v>1235</v>
      </c>
      <c r="I378" t="s">
        <v>126</v>
      </c>
      <c r="J378" t="s">
        <v>925</v>
      </c>
    </row>
    <row r="379" spans="1:10" x14ac:dyDescent="0.3">
      <c r="A379">
        <v>378</v>
      </c>
      <c r="B379" t="s">
        <v>277</v>
      </c>
      <c r="C379" t="s">
        <v>126</v>
      </c>
      <c r="D379" t="s">
        <v>126</v>
      </c>
      <c r="E379" t="s">
        <v>126</v>
      </c>
      <c r="F379" t="s">
        <v>126</v>
      </c>
      <c r="G379" t="s">
        <v>1235</v>
      </c>
      <c r="H379" t="s">
        <v>1235</v>
      </c>
      <c r="I379" t="s">
        <v>126</v>
      </c>
      <c r="J379" t="s">
        <v>925</v>
      </c>
    </row>
    <row r="380" spans="1:10" x14ac:dyDescent="0.3">
      <c r="A380">
        <v>379</v>
      </c>
      <c r="B380" t="s">
        <v>278</v>
      </c>
      <c r="C380" t="s">
        <v>126</v>
      </c>
      <c r="D380" t="s">
        <v>126</v>
      </c>
      <c r="E380" t="s">
        <v>126</v>
      </c>
      <c r="F380" t="s">
        <v>126</v>
      </c>
      <c r="G380" t="s">
        <v>1235</v>
      </c>
      <c r="H380" t="s">
        <v>1235</v>
      </c>
      <c r="I380" t="s">
        <v>126</v>
      </c>
      <c r="J380" t="s">
        <v>925</v>
      </c>
    </row>
    <row r="381" spans="1:10" x14ac:dyDescent="0.3">
      <c r="A381">
        <v>380</v>
      </c>
      <c r="B381" t="s">
        <v>279</v>
      </c>
      <c r="C381" t="s">
        <v>126</v>
      </c>
      <c r="D381" t="s">
        <v>126</v>
      </c>
      <c r="E381" t="s">
        <v>126</v>
      </c>
      <c r="F381" t="s">
        <v>126</v>
      </c>
      <c r="G381" t="s">
        <v>1235</v>
      </c>
      <c r="H381" t="s">
        <v>1235</v>
      </c>
      <c r="I381" t="s">
        <v>126</v>
      </c>
      <c r="J381" t="s">
        <v>925</v>
      </c>
    </row>
    <row r="382" spans="1:10" x14ac:dyDescent="0.3">
      <c r="A382">
        <v>381</v>
      </c>
      <c r="B382" t="s">
        <v>280</v>
      </c>
      <c r="C382" t="s">
        <v>126</v>
      </c>
      <c r="D382" t="s">
        <v>126</v>
      </c>
      <c r="E382" t="s">
        <v>126</v>
      </c>
      <c r="F382" t="s">
        <v>126</v>
      </c>
      <c r="G382" t="s">
        <v>1235</v>
      </c>
      <c r="H382" t="s">
        <v>1235</v>
      </c>
      <c r="I382" t="s">
        <v>126</v>
      </c>
      <c r="J382" t="s">
        <v>925</v>
      </c>
    </row>
    <row r="383" spans="1:10" x14ac:dyDescent="0.3">
      <c r="A383">
        <v>382</v>
      </c>
      <c r="B383" t="s">
        <v>281</v>
      </c>
      <c r="C383" t="s">
        <v>126</v>
      </c>
      <c r="D383" t="s">
        <v>126</v>
      </c>
      <c r="E383" t="s">
        <v>126</v>
      </c>
      <c r="F383" t="s">
        <v>126</v>
      </c>
      <c r="G383" t="s">
        <v>1235</v>
      </c>
      <c r="H383" t="s">
        <v>1235</v>
      </c>
      <c r="I383" t="s">
        <v>126</v>
      </c>
      <c r="J383" t="s">
        <v>925</v>
      </c>
    </row>
    <row r="384" spans="1:10" x14ac:dyDescent="0.3">
      <c r="A384">
        <v>383</v>
      </c>
      <c r="B384" t="s">
        <v>282</v>
      </c>
      <c r="C384" t="s">
        <v>126</v>
      </c>
      <c r="D384" t="s">
        <v>126</v>
      </c>
      <c r="E384" t="s">
        <v>126</v>
      </c>
      <c r="F384" t="s">
        <v>126</v>
      </c>
      <c r="G384" t="s">
        <v>1235</v>
      </c>
      <c r="H384" t="s">
        <v>1235</v>
      </c>
      <c r="I384" t="s">
        <v>126</v>
      </c>
      <c r="J384" t="s">
        <v>925</v>
      </c>
    </row>
    <row r="385" spans="1:10" x14ac:dyDescent="0.3">
      <c r="A385">
        <v>384</v>
      </c>
      <c r="B385" t="s">
        <v>283</v>
      </c>
      <c r="C385" t="s">
        <v>126</v>
      </c>
      <c r="D385" t="s">
        <v>126</v>
      </c>
      <c r="E385" t="s">
        <v>126</v>
      </c>
      <c r="F385" t="s">
        <v>126</v>
      </c>
      <c r="G385" t="s">
        <v>1235</v>
      </c>
      <c r="H385" t="s">
        <v>1235</v>
      </c>
      <c r="I385" t="s">
        <v>126</v>
      </c>
      <c r="J385" t="s">
        <v>925</v>
      </c>
    </row>
    <row r="386" spans="1:10" x14ac:dyDescent="0.3">
      <c r="A386">
        <v>385</v>
      </c>
      <c r="B386" t="s">
        <v>284</v>
      </c>
      <c r="C386" t="s">
        <v>126</v>
      </c>
      <c r="D386" t="s">
        <v>126</v>
      </c>
      <c r="E386" t="s">
        <v>126</v>
      </c>
      <c r="F386" t="s">
        <v>126</v>
      </c>
      <c r="G386" t="s">
        <v>1235</v>
      </c>
      <c r="H386" t="s">
        <v>1235</v>
      </c>
      <c r="I386" t="s">
        <v>126</v>
      </c>
      <c r="J386" t="s">
        <v>925</v>
      </c>
    </row>
    <row r="387" spans="1:10" x14ac:dyDescent="0.3">
      <c r="A387">
        <v>386</v>
      </c>
      <c r="B387" t="s">
        <v>285</v>
      </c>
      <c r="C387" t="s">
        <v>126</v>
      </c>
      <c r="D387" t="s">
        <v>126</v>
      </c>
      <c r="E387" t="s">
        <v>126</v>
      </c>
      <c r="F387" t="s">
        <v>126</v>
      </c>
      <c r="G387" t="s">
        <v>1235</v>
      </c>
      <c r="H387" t="s">
        <v>1235</v>
      </c>
      <c r="I387" t="s">
        <v>126</v>
      </c>
      <c r="J387" t="s">
        <v>925</v>
      </c>
    </row>
    <row r="388" spans="1:10" x14ac:dyDescent="0.3">
      <c r="A388">
        <v>387</v>
      </c>
      <c r="B388" t="s">
        <v>286</v>
      </c>
      <c r="C388" t="s">
        <v>126</v>
      </c>
      <c r="D388" t="s">
        <v>126</v>
      </c>
      <c r="E388" t="s">
        <v>126</v>
      </c>
      <c r="F388" t="s">
        <v>126</v>
      </c>
      <c r="G388" t="s">
        <v>1235</v>
      </c>
      <c r="H388" t="s">
        <v>1235</v>
      </c>
      <c r="I388" t="s">
        <v>126</v>
      </c>
      <c r="J388" t="s">
        <v>925</v>
      </c>
    </row>
    <row r="389" spans="1:10" x14ac:dyDescent="0.3">
      <c r="A389">
        <v>388</v>
      </c>
      <c r="B389" t="s">
        <v>287</v>
      </c>
      <c r="C389" t="s">
        <v>126</v>
      </c>
      <c r="D389" t="s">
        <v>126</v>
      </c>
      <c r="E389" t="s">
        <v>126</v>
      </c>
      <c r="F389" t="s">
        <v>126</v>
      </c>
      <c r="G389" t="s">
        <v>1235</v>
      </c>
      <c r="H389" t="s">
        <v>1235</v>
      </c>
      <c r="I389" t="s">
        <v>126</v>
      </c>
      <c r="J389" t="s">
        <v>925</v>
      </c>
    </row>
    <row r="390" spans="1:10" x14ac:dyDescent="0.3">
      <c r="A390">
        <v>389</v>
      </c>
      <c r="B390" t="s">
        <v>288</v>
      </c>
      <c r="C390" t="s">
        <v>126</v>
      </c>
      <c r="D390" t="s">
        <v>126</v>
      </c>
      <c r="E390" t="s">
        <v>126</v>
      </c>
      <c r="F390" t="s">
        <v>126</v>
      </c>
      <c r="G390" t="s">
        <v>1235</v>
      </c>
      <c r="H390" t="s">
        <v>1235</v>
      </c>
      <c r="I390" t="s">
        <v>126</v>
      </c>
      <c r="J390" t="s">
        <v>925</v>
      </c>
    </row>
    <row r="391" spans="1:10" x14ac:dyDescent="0.3">
      <c r="A391">
        <v>390</v>
      </c>
      <c r="B391" t="s">
        <v>289</v>
      </c>
      <c r="C391" t="s">
        <v>126</v>
      </c>
      <c r="D391" t="s">
        <v>126</v>
      </c>
      <c r="E391" t="s">
        <v>126</v>
      </c>
      <c r="F391" t="s">
        <v>126</v>
      </c>
      <c r="G391" t="s">
        <v>1235</v>
      </c>
      <c r="H391" t="s">
        <v>1235</v>
      </c>
      <c r="I391" t="s">
        <v>126</v>
      </c>
      <c r="J391" t="s">
        <v>925</v>
      </c>
    </row>
    <row r="392" spans="1:10" x14ac:dyDescent="0.3">
      <c r="A392">
        <v>391</v>
      </c>
      <c r="B392" t="s">
        <v>290</v>
      </c>
      <c r="C392" t="s">
        <v>126</v>
      </c>
      <c r="D392" t="s">
        <v>126</v>
      </c>
      <c r="E392" t="s">
        <v>126</v>
      </c>
      <c r="F392" t="s">
        <v>126</v>
      </c>
      <c r="G392" t="s">
        <v>1235</v>
      </c>
      <c r="H392" t="s">
        <v>1235</v>
      </c>
      <c r="I392" t="s">
        <v>126</v>
      </c>
      <c r="J392" t="s">
        <v>925</v>
      </c>
    </row>
    <row r="393" spans="1:10" x14ac:dyDescent="0.3">
      <c r="A393">
        <v>392</v>
      </c>
      <c r="B393" t="s">
        <v>291</v>
      </c>
      <c r="C393" t="s">
        <v>126</v>
      </c>
      <c r="D393" t="s">
        <v>126</v>
      </c>
      <c r="E393" t="s">
        <v>126</v>
      </c>
      <c r="F393" t="s">
        <v>126</v>
      </c>
      <c r="G393" t="s">
        <v>1235</v>
      </c>
      <c r="H393" t="s">
        <v>1235</v>
      </c>
      <c r="I393" t="s">
        <v>126</v>
      </c>
      <c r="J393" t="s">
        <v>925</v>
      </c>
    </row>
    <row r="394" spans="1:10" x14ac:dyDescent="0.3">
      <c r="A394">
        <v>393</v>
      </c>
      <c r="B394" t="s">
        <v>292</v>
      </c>
      <c r="C394" t="s">
        <v>126</v>
      </c>
      <c r="D394" t="s">
        <v>126</v>
      </c>
      <c r="E394" t="s">
        <v>126</v>
      </c>
      <c r="F394" t="s">
        <v>126</v>
      </c>
      <c r="G394" t="s">
        <v>1235</v>
      </c>
      <c r="H394" t="s">
        <v>1235</v>
      </c>
      <c r="I394" t="s">
        <v>126</v>
      </c>
      <c r="J394" t="s">
        <v>925</v>
      </c>
    </row>
    <row r="395" spans="1:10" x14ac:dyDescent="0.3">
      <c r="A395">
        <v>394</v>
      </c>
      <c r="B395" t="s">
        <v>293</v>
      </c>
      <c r="C395" t="s">
        <v>126</v>
      </c>
      <c r="D395" t="s">
        <v>126</v>
      </c>
      <c r="E395" t="s">
        <v>126</v>
      </c>
      <c r="F395" t="s">
        <v>126</v>
      </c>
      <c r="G395" t="s">
        <v>1235</v>
      </c>
      <c r="H395" t="s">
        <v>1235</v>
      </c>
      <c r="I395" t="s">
        <v>126</v>
      </c>
      <c r="J395" t="s">
        <v>925</v>
      </c>
    </row>
    <row r="396" spans="1:10" x14ac:dyDescent="0.3">
      <c r="A396">
        <v>395</v>
      </c>
      <c r="B396" t="s">
        <v>294</v>
      </c>
      <c r="C396" t="s">
        <v>126</v>
      </c>
      <c r="D396" t="s">
        <v>126</v>
      </c>
      <c r="E396" t="s">
        <v>126</v>
      </c>
      <c r="F396" t="s">
        <v>126</v>
      </c>
      <c r="G396" t="s">
        <v>1235</v>
      </c>
      <c r="H396" t="s">
        <v>1235</v>
      </c>
      <c r="I396" t="s">
        <v>126</v>
      </c>
      <c r="J396" t="s">
        <v>925</v>
      </c>
    </row>
    <row r="397" spans="1:10" x14ac:dyDescent="0.3">
      <c r="A397">
        <v>396</v>
      </c>
      <c r="B397" t="s">
        <v>295</v>
      </c>
      <c r="C397" t="s">
        <v>126</v>
      </c>
      <c r="D397" t="s">
        <v>126</v>
      </c>
      <c r="E397" t="s">
        <v>126</v>
      </c>
      <c r="F397" t="s">
        <v>126</v>
      </c>
      <c r="G397" t="s">
        <v>1235</v>
      </c>
      <c r="H397" t="s">
        <v>1235</v>
      </c>
      <c r="I397" t="s">
        <v>126</v>
      </c>
      <c r="J397" t="s">
        <v>925</v>
      </c>
    </row>
    <row r="398" spans="1:10" x14ac:dyDescent="0.3">
      <c r="A398">
        <v>397</v>
      </c>
      <c r="B398" t="s">
        <v>296</v>
      </c>
      <c r="C398" t="s">
        <v>126</v>
      </c>
      <c r="D398" t="s">
        <v>126</v>
      </c>
      <c r="E398" t="s">
        <v>126</v>
      </c>
      <c r="F398" t="s">
        <v>126</v>
      </c>
      <c r="G398" t="s">
        <v>1235</v>
      </c>
      <c r="H398" t="s">
        <v>1235</v>
      </c>
      <c r="I398" t="s">
        <v>126</v>
      </c>
      <c r="J398" t="s">
        <v>925</v>
      </c>
    </row>
    <row r="399" spans="1:10" x14ac:dyDescent="0.3">
      <c r="A399">
        <v>398</v>
      </c>
      <c r="B399" t="s">
        <v>297</v>
      </c>
      <c r="C399" t="s">
        <v>126</v>
      </c>
      <c r="D399" t="s">
        <v>126</v>
      </c>
      <c r="E399" t="s">
        <v>126</v>
      </c>
      <c r="F399" t="s">
        <v>126</v>
      </c>
      <c r="G399" t="s">
        <v>1235</v>
      </c>
      <c r="H399" t="s">
        <v>1235</v>
      </c>
      <c r="I399" t="s">
        <v>126</v>
      </c>
      <c r="J399" t="s">
        <v>925</v>
      </c>
    </row>
    <row r="400" spans="1:10" x14ac:dyDescent="0.3">
      <c r="A400">
        <v>399</v>
      </c>
      <c r="B400" t="s">
        <v>298</v>
      </c>
      <c r="C400" t="s">
        <v>126</v>
      </c>
      <c r="D400" t="s">
        <v>126</v>
      </c>
      <c r="E400" t="s">
        <v>126</v>
      </c>
      <c r="F400" t="s">
        <v>126</v>
      </c>
      <c r="G400" t="s">
        <v>1235</v>
      </c>
      <c r="H400" t="s">
        <v>1235</v>
      </c>
      <c r="I400" t="s">
        <v>126</v>
      </c>
      <c r="J400" t="s">
        <v>925</v>
      </c>
    </row>
    <row r="401" spans="1:10" x14ac:dyDescent="0.3">
      <c r="A401">
        <v>400</v>
      </c>
      <c r="B401" t="s">
        <v>299</v>
      </c>
      <c r="C401" t="s">
        <v>126</v>
      </c>
      <c r="D401" t="s">
        <v>126</v>
      </c>
      <c r="E401" t="s">
        <v>126</v>
      </c>
      <c r="F401" t="s">
        <v>126</v>
      </c>
      <c r="G401" t="s">
        <v>1235</v>
      </c>
      <c r="H401" t="s">
        <v>1235</v>
      </c>
      <c r="I401" t="s">
        <v>126</v>
      </c>
      <c r="J401" t="s">
        <v>925</v>
      </c>
    </row>
    <row r="402" spans="1:10" x14ac:dyDescent="0.3">
      <c r="A402">
        <v>401</v>
      </c>
      <c r="B402" t="s">
        <v>300</v>
      </c>
      <c r="C402" t="s">
        <v>126</v>
      </c>
      <c r="D402" t="s">
        <v>126</v>
      </c>
      <c r="E402" t="s">
        <v>126</v>
      </c>
      <c r="F402" t="s">
        <v>126</v>
      </c>
      <c r="G402" t="s">
        <v>1235</v>
      </c>
      <c r="H402" t="s">
        <v>1235</v>
      </c>
      <c r="I402" t="s">
        <v>126</v>
      </c>
      <c r="J402" t="s">
        <v>925</v>
      </c>
    </row>
    <row r="403" spans="1:10" x14ac:dyDescent="0.3">
      <c r="A403">
        <v>402</v>
      </c>
      <c r="B403" t="s">
        <v>301</v>
      </c>
      <c r="C403" t="s">
        <v>126</v>
      </c>
      <c r="D403" t="s">
        <v>126</v>
      </c>
      <c r="E403" t="s">
        <v>126</v>
      </c>
      <c r="F403" t="s">
        <v>126</v>
      </c>
      <c r="G403" t="s">
        <v>1235</v>
      </c>
      <c r="H403" t="s">
        <v>1235</v>
      </c>
      <c r="I403" t="s">
        <v>126</v>
      </c>
      <c r="J403" t="s">
        <v>925</v>
      </c>
    </row>
    <row r="404" spans="1:10" x14ac:dyDescent="0.3">
      <c r="A404">
        <v>403</v>
      </c>
      <c r="B404" t="s">
        <v>302</v>
      </c>
      <c r="C404" t="s">
        <v>126</v>
      </c>
      <c r="D404" t="s">
        <v>126</v>
      </c>
      <c r="E404" t="s">
        <v>126</v>
      </c>
      <c r="F404" t="s">
        <v>126</v>
      </c>
      <c r="G404" t="s">
        <v>1235</v>
      </c>
      <c r="H404" t="s">
        <v>1235</v>
      </c>
      <c r="I404" t="s">
        <v>126</v>
      </c>
      <c r="J404" t="s">
        <v>925</v>
      </c>
    </row>
    <row r="405" spans="1:10" x14ac:dyDescent="0.3">
      <c r="A405">
        <v>404</v>
      </c>
      <c r="B405" t="s">
        <v>303</v>
      </c>
      <c r="C405" t="s">
        <v>126</v>
      </c>
      <c r="D405" t="s">
        <v>126</v>
      </c>
      <c r="E405" t="s">
        <v>126</v>
      </c>
      <c r="F405" t="s">
        <v>126</v>
      </c>
      <c r="G405" t="s">
        <v>1235</v>
      </c>
      <c r="H405" t="s">
        <v>1235</v>
      </c>
      <c r="I405" t="s">
        <v>126</v>
      </c>
      <c r="J405" t="s">
        <v>925</v>
      </c>
    </row>
    <row r="406" spans="1:10" x14ac:dyDescent="0.3">
      <c r="A406">
        <v>405</v>
      </c>
      <c r="B406" t="s">
        <v>304</v>
      </c>
      <c r="C406" t="s">
        <v>126</v>
      </c>
      <c r="D406" t="s">
        <v>126</v>
      </c>
      <c r="E406" t="s">
        <v>126</v>
      </c>
      <c r="F406" t="s">
        <v>126</v>
      </c>
      <c r="G406" t="s">
        <v>1235</v>
      </c>
      <c r="H406" t="s">
        <v>1235</v>
      </c>
      <c r="I406" t="s">
        <v>126</v>
      </c>
      <c r="J406" t="s">
        <v>925</v>
      </c>
    </row>
    <row r="407" spans="1:10" x14ac:dyDescent="0.3">
      <c r="A407">
        <v>406</v>
      </c>
      <c r="B407" t="s">
        <v>305</v>
      </c>
      <c r="C407" t="s">
        <v>126</v>
      </c>
      <c r="D407" t="s">
        <v>126</v>
      </c>
      <c r="E407" t="s">
        <v>126</v>
      </c>
      <c r="F407" t="s">
        <v>126</v>
      </c>
      <c r="G407" t="s">
        <v>1235</v>
      </c>
      <c r="H407" t="s">
        <v>1235</v>
      </c>
      <c r="I407" t="s">
        <v>126</v>
      </c>
      <c r="J407" t="s">
        <v>925</v>
      </c>
    </row>
    <row r="408" spans="1:10" x14ac:dyDescent="0.3">
      <c r="A408">
        <v>407</v>
      </c>
      <c r="B408" t="s">
        <v>306</v>
      </c>
      <c r="C408" t="s">
        <v>126</v>
      </c>
      <c r="D408" t="s">
        <v>126</v>
      </c>
      <c r="E408" t="s">
        <v>126</v>
      </c>
      <c r="F408" t="s">
        <v>126</v>
      </c>
      <c r="G408" t="s">
        <v>1235</v>
      </c>
      <c r="H408" t="s">
        <v>1235</v>
      </c>
      <c r="I408" t="s">
        <v>126</v>
      </c>
      <c r="J408" t="s">
        <v>925</v>
      </c>
    </row>
    <row r="409" spans="1:10" x14ac:dyDescent="0.3">
      <c r="A409">
        <v>408</v>
      </c>
      <c r="B409" t="s">
        <v>307</v>
      </c>
      <c r="C409" t="s">
        <v>126</v>
      </c>
      <c r="D409" t="s">
        <v>126</v>
      </c>
      <c r="E409" t="s">
        <v>126</v>
      </c>
      <c r="F409" t="s">
        <v>126</v>
      </c>
      <c r="G409" t="s">
        <v>1235</v>
      </c>
      <c r="H409" t="s">
        <v>1235</v>
      </c>
      <c r="I409" t="s">
        <v>126</v>
      </c>
      <c r="J409" t="s">
        <v>925</v>
      </c>
    </row>
    <row r="410" spans="1:10" x14ac:dyDescent="0.3">
      <c r="A410">
        <v>409</v>
      </c>
      <c r="B410" t="s">
        <v>308</v>
      </c>
      <c r="C410" t="s">
        <v>126</v>
      </c>
      <c r="D410" t="s">
        <v>126</v>
      </c>
      <c r="E410" t="s">
        <v>126</v>
      </c>
      <c r="F410" t="s">
        <v>126</v>
      </c>
      <c r="G410" t="s">
        <v>1235</v>
      </c>
      <c r="H410" t="s">
        <v>1235</v>
      </c>
      <c r="I410" t="s">
        <v>126</v>
      </c>
      <c r="J410" t="s">
        <v>925</v>
      </c>
    </row>
    <row r="411" spans="1:10" x14ac:dyDescent="0.3">
      <c r="A411">
        <v>410</v>
      </c>
      <c r="B411" t="s">
        <v>309</v>
      </c>
      <c r="C411" t="s">
        <v>126</v>
      </c>
      <c r="D411" t="s">
        <v>126</v>
      </c>
      <c r="E411" t="s">
        <v>126</v>
      </c>
      <c r="F411" t="s">
        <v>126</v>
      </c>
      <c r="G411" t="s">
        <v>1235</v>
      </c>
      <c r="H411" t="s">
        <v>1235</v>
      </c>
      <c r="I411" t="s">
        <v>126</v>
      </c>
      <c r="J411" t="s">
        <v>925</v>
      </c>
    </row>
    <row r="412" spans="1:10" x14ac:dyDescent="0.3">
      <c r="A412">
        <v>411</v>
      </c>
      <c r="B412" t="s">
        <v>310</v>
      </c>
      <c r="C412" t="s">
        <v>126</v>
      </c>
      <c r="D412" t="s">
        <v>126</v>
      </c>
      <c r="E412" t="s">
        <v>126</v>
      </c>
      <c r="F412" t="s">
        <v>126</v>
      </c>
      <c r="G412" t="s">
        <v>1235</v>
      </c>
      <c r="H412" t="s">
        <v>1235</v>
      </c>
      <c r="I412" t="s">
        <v>126</v>
      </c>
      <c r="J412" t="s">
        <v>925</v>
      </c>
    </row>
    <row r="413" spans="1:10" x14ac:dyDescent="0.3">
      <c r="A413">
        <v>412</v>
      </c>
      <c r="B413" t="s">
        <v>311</v>
      </c>
      <c r="C413" t="s">
        <v>126</v>
      </c>
      <c r="D413" t="s">
        <v>126</v>
      </c>
      <c r="E413" t="s">
        <v>126</v>
      </c>
      <c r="F413" t="s">
        <v>126</v>
      </c>
      <c r="G413" t="s">
        <v>1235</v>
      </c>
      <c r="H413" t="s">
        <v>1235</v>
      </c>
      <c r="I413" t="s">
        <v>126</v>
      </c>
      <c r="J413" t="s">
        <v>925</v>
      </c>
    </row>
    <row r="414" spans="1:10" x14ac:dyDescent="0.3">
      <c r="A414">
        <v>413</v>
      </c>
      <c r="B414" t="s">
        <v>312</v>
      </c>
      <c r="C414" t="s">
        <v>126</v>
      </c>
      <c r="D414" t="s">
        <v>126</v>
      </c>
      <c r="E414" t="s">
        <v>126</v>
      </c>
      <c r="F414" t="s">
        <v>126</v>
      </c>
      <c r="G414" t="s">
        <v>1235</v>
      </c>
      <c r="H414" t="s">
        <v>1235</v>
      </c>
      <c r="I414" t="s">
        <v>126</v>
      </c>
      <c r="J414" t="s">
        <v>925</v>
      </c>
    </row>
    <row r="415" spans="1:10" x14ac:dyDescent="0.3">
      <c r="A415">
        <v>414</v>
      </c>
      <c r="B415" t="s">
        <v>313</v>
      </c>
      <c r="C415" t="s">
        <v>126</v>
      </c>
      <c r="D415" t="s">
        <v>126</v>
      </c>
      <c r="E415" t="s">
        <v>126</v>
      </c>
      <c r="F415" t="s">
        <v>126</v>
      </c>
      <c r="G415" t="s">
        <v>1235</v>
      </c>
      <c r="H415" t="s">
        <v>1235</v>
      </c>
      <c r="I415" t="s">
        <v>126</v>
      </c>
      <c r="J415" t="s">
        <v>925</v>
      </c>
    </row>
    <row r="416" spans="1:10" x14ac:dyDescent="0.3">
      <c r="A416">
        <v>415</v>
      </c>
      <c r="B416" t="s">
        <v>314</v>
      </c>
      <c r="C416" t="s">
        <v>126</v>
      </c>
      <c r="D416" t="s">
        <v>126</v>
      </c>
      <c r="E416" t="s">
        <v>126</v>
      </c>
      <c r="F416" t="s">
        <v>126</v>
      </c>
      <c r="G416" t="s">
        <v>1235</v>
      </c>
      <c r="H416" t="s">
        <v>1235</v>
      </c>
      <c r="I416" t="s">
        <v>126</v>
      </c>
      <c r="J416" t="s">
        <v>925</v>
      </c>
    </row>
    <row r="417" spans="1:10" x14ac:dyDescent="0.3">
      <c r="A417">
        <v>416</v>
      </c>
      <c r="B417" t="s">
        <v>315</v>
      </c>
      <c r="C417" t="s">
        <v>126</v>
      </c>
      <c r="D417" t="s">
        <v>126</v>
      </c>
      <c r="E417" t="s">
        <v>126</v>
      </c>
      <c r="F417" t="s">
        <v>126</v>
      </c>
      <c r="G417" t="s">
        <v>1235</v>
      </c>
      <c r="H417" t="s">
        <v>1235</v>
      </c>
      <c r="I417" t="s">
        <v>126</v>
      </c>
      <c r="J417" t="s">
        <v>925</v>
      </c>
    </row>
    <row r="418" spans="1:10" x14ac:dyDescent="0.3">
      <c r="A418">
        <v>417</v>
      </c>
      <c r="B418" t="s">
        <v>316</v>
      </c>
      <c r="C418" t="s">
        <v>126</v>
      </c>
      <c r="D418" t="s">
        <v>126</v>
      </c>
      <c r="E418" t="s">
        <v>126</v>
      </c>
      <c r="F418" t="s">
        <v>126</v>
      </c>
      <c r="G418" t="s">
        <v>1235</v>
      </c>
      <c r="H418" t="s">
        <v>1235</v>
      </c>
      <c r="I418" t="s">
        <v>126</v>
      </c>
      <c r="J418" t="s">
        <v>925</v>
      </c>
    </row>
    <row r="419" spans="1:10" x14ac:dyDescent="0.3">
      <c r="A419">
        <v>418</v>
      </c>
      <c r="B419" t="s">
        <v>317</v>
      </c>
      <c r="C419" t="s">
        <v>126</v>
      </c>
      <c r="D419" t="s">
        <v>126</v>
      </c>
      <c r="E419" t="s">
        <v>126</v>
      </c>
      <c r="F419" t="s">
        <v>126</v>
      </c>
      <c r="G419" t="s">
        <v>1235</v>
      </c>
      <c r="H419" t="s">
        <v>1235</v>
      </c>
      <c r="I419" t="s">
        <v>126</v>
      </c>
      <c r="J419" t="s">
        <v>925</v>
      </c>
    </row>
    <row r="420" spans="1:10" x14ac:dyDescent="0.3">
      <c r="A420">
        <v>419</v>
      </c>
      <c r="B420" t="s">
        <v>318</v>
      </c>
      <c r="C420" t="s">
        <v>126</v>
      </c>
      <c r="D420" t="s">
        <v>126</v>
      </c>
      <c r="E420" t="s">
        <v>126</v>
      </c>
      <c r="F420" t="s">
        <v>126</v>
      </c>
      <c r="G420" t="s">
        <v>1235</v>
      </c>
      <c r="H420" t="s">
        <v>1235</v>
      </c>
      <c r="I420" t="s">
        <v>126</v>
      </c>
      <c r="J420" t="s">
        <v>925</v>
      </c>
    </row>
    <row r="421" spans="1:10" x14ac:dyDescent="0.3">
      <c r="A421">
        <v>420</v>
      </c>
      <c r="B421" t="s">
        <v>319</v>
      </c>
      <c r="C421" t="s">
        <v>126</v>
      </c>
      <c r="D421" t="s">
        <v>126</v>
      </c>
      <c r="E421" t="s">
        <v>126</v>
      </c>
      <c r="F421" t="s">
        <v>126</v>
      </c>
      <c r="G421" t="s">
        <v>1235</v>
      </c>
      <c r="H421" t="s">
        <v>1235</v>
      </c>
      <c r="I421" t="s">
        <v>126</v>
      </c>
      <c r="J421" t="s">
        <v>925</v>
      </c>
    </row>
    <row r="422" spans="1:10" x14ac:dyDescent="0.3">
      <c r="A422">
        <v>421</v>
      </c>
      <c r="B422" t="s">
        <v>320</v>
      </c>
      <c r="C422" t="s">
        <v>126</v>
      </c>
      <c r="D422" t="s">
        <v>126</v>
      </c>
      <c r="E422" t="s">
        <v>126</v>
      </c>
      <c r="F422" t="s">
        <v>126</v>
      </c>
      <c r="G422" t="s">
        <v>1235</v>
      </c>
      <c r="H422" t="s">
        <v>1235</v>
      </c>
      <c r="I422" t="s">
        <v>126</v>
      </c>
      <c r="J422" t="s">
        <v>925</v>
      </c>
    </row>
    <row r="423" spans="1:10" x14ac:dyDescent="0.3">
      <c r="A423">
        <v>422</v>
      </c>
      <c r="B423" t="s">
        <v>321</v>
      </c>
      <c r="C423" t="s">
        <v>126</v>
      </c>
      <c r="D423" t="s">
        <v>126</v>
      </c>
      <c r="E423" t="s">
        <v>126</v>
      </c>
      <c r="F423" t="s">
        <v>126</v>
      </c>
      <c r="G423" t="s">
        <v>1235</v>
      </c>
      <c r="H423" t="s">
        <v>1235</v>
      </c>
      <c r="I423" t="s">
        <v>126</v>
      </c>
      <c r="J423" t="s">
        <v>925</v>
      </c>
    </row>
    <row r="424" spans="1:10" x14ac:dyDescent="0.3">
      <c r="A424">
        <v>423</v>
      </c>
      <c r="B424" t="s">
        <v>322</v>
      </c>
      <c r="C424" t="s">
        <v>126</v>
      </c>
      <c r="D424" t="s">
        <v>126</v>
      </c>
      <c r="E424" t="s">
        <v>126</v>
      </c>
      <c r="F424" t="s">
        <v>126</v>
      </c>
      <c r="G424" t="s">
        <v>1235</v>
      </c>
      <c r="H424" t="s">
        <v>1235</v>
      </c>
      <c r="I424" t="s">
        <v>126</v>
      </c>
      <c r="J424" t="s">
        <v>925</v>
      </c>
    </row>
    <row r="425" spans="1:10" x14ac:dyDescent="0.3">
      <c r="A425">
        <v>424</v>
      </c>
      <c r="B425" t="s">
        <v>323</v>
      </c>
      <c r="C425" t="s">
        <v>126</v>
      </c>
      <c r="D425" t="s">
        <v>126</v>
      </c>
      <c r="E425" t="s">
        <v>126</v>
      </c>
      <c r="F425" t="s">
        <v>126</v>
      </c>
      <c r="G425" t="s">
        <v>1235</v>
      </c>
      <c r="H425" t="s">
        <v>1235</v>
      </c>
      <c r="I425" t="s">
        <v>126</v>
      </c>
      <c r="J425" t="s">
        <v>925</v>
      </c>
    </row>
    <row r="426" spans="1:10" x14ac:dyDescent="0.3">
      <c r="A426">
        <v>425</v>
      </c>
      <c r="B426" t="s">
        <v>324</v>
      </c>
      <c r="C426" t="s">
        <v>126</v>
      </c>
      <c r="D426" t="s">
        <v>126</v>
      </c>
      <c r="E426" t="s">
        <v>126</v>
      </c>
      <c r="F426" t="s">
        <v>126</v>
      </c>
      <c r="G426" t="s">
        <v>1235</v>
      </c>
      <c r="H426" t="s">
        <v>1235</v>
      </c>
      <c r="I426" t="s">
        <v>126</v>
      </c>
      <c r="J426" t="s">
        <v>925</v>
      </c>
    </row>
    <row r="427" spans="1:10" x14ac:dyDescent="0.3">
      <c r="A427">
        <v>426</v>
      </c>
      <c r="B427" t="s">
        <v>325</v>
      </c>
      <c r="C427" t="s">
        <v>126</v>
      </c>
      <c r="D427" t="s">
        <v>126</v>
      </c>
      <c r="E427" t="s">
        <v>126</v>
      </c>
      <c r="F427" t="s">
        <v>126</v>
      </c>
      <c r="G427" t="s">
        <v>1235</v>
      </c>
      <c r="H427" t="s">
        <v>1235</v>
      </c>
      <c r="I427" t="s">
        <v>126</v>
      </c>
      <c r="J427" t="s">
        <v>925</v>
      </c>
    </row>
    <row r="428" spans="1:10" x14ac:dyDescent="0.3">
      <c r="A428">
        <v>427</v>
      </c>
      <c r="B428" t="s">
        <v>326</v>
      </c>
      <c r="C428" t="s">
        <v>126</v>
      </c>
      <c r="D428" t="s">
        <v>126</v>
      </c>
      <c r="E428" t="s">
        <v>126</v>
      </c>
      <c r="F428" t="s">
        <v>126</v>
      </c>
      <c r="G428" t="s">
        <v>1235</v>
      </c>
      <c r="H428" t="s">
        <v>1235</v>
      </c>
      <c r="I428" t="s">
        <v>126</v>
      </c>
      <c r="J428" t="s">
        <v>925</v>
      </c>
    </row>
    <row r="429" spans="1:10" x14ac:dyDescent="0.3">
      <c r="A429">
        <v>428</v>
      </c>
      <c r="B429" t="s">
        <v>327</v>
      </c>
      <c r="C429" t="s">
        <v>126</v>
      </c>
      <c r="D429" t="s">
        <v>126</v>
      </c>
      <c r="E429" t="s">
        <v>126</v>
      </c>
      <c r="F429" t="s">
        <v>126</v>
      </c>
      <c r="G429" t="s">
        <v>1235</v>
      </c>
      <c r="H429" t="s">
        <v>1235</v>
      </c>
      <c r="I429" t="s">
        <v>126</v>
      </c>
      <c r="J429" t="s">
        <v>925</v>
      </c>
    </row>
    <row r="430" spans="1:10" x14ac:dyDescent="0.3">
      <c r="A430">
        <v>429</v>
      </c>
      <c r="B430" t="s">
        <v>328</v>
      </c>
      <c r="C430" t="s">
        <v>126</v>
      </c>
      <c r="D430" t="s">
        <v>126</v>
      </c>
      <c r="E430" t="s">
        <v>126</v>
      </c>
      <c r="F430" t="s">
        <v>126</v>
      </c>
      <c r="G430" t="s">
        <v>1235</v>
      </c>
      <c r="H430" t="s">
        <v>1235</v>
      </c>
      <c r="I430" t="s">
        <v>126</v>
      </c>
      <c r="J430" t="s">
        <v>925</v>
      </c>
    </row>
    <row r="431" spans="1:10" x14ac:dyDescent="0.3">
      <c r="A431">
        <v>430</v>
      </c>
      <c r="B431" t="s">
        <v>329</v>
      </c>
      <c r="C431" t="s">
        <v>126</v>
      </c>
      <c r="D431" t="s">
        <v>126</v>
      </c>
      <c r="E431" t="s">
        <v>126</v>
      </c>
      <c r="F431" t="s">
        <v>126</v>
      </c>
      <c r="G431" t="s">
        <v>1235</v>
      </c>
      <c r="H431" t="s">
        <v>1235</v>
      </c>
      <c r="I431" t="s">
        <v>126</v>
      </c>
      <c r="J431" t="s">
        <v>925</v>
      </c>
    </row>
    <row r="432" spans="1:10" x14ac:dyDescent="0.3">
      <c r="A432">
        <v>431</v>
      </c>
      <c r="B432" t="s">
        <v>330</v>
      </c>
      <c r="C432" t="s">
        <v>126</v>
      </c>
      <c r="D432" t="s">
        <v>126</v>
      </c>
      <c r="E432" t="s">
        <v>126</v>
      </c>
      <c r="F432" t="s">
        <v>126</v>
      </c>
      <c r="G432" t="s">
        <v>1235</v>
      </c>
      <c r="H432" t="s">
        <v>1235</v>
      </c>
      <c r="I432" t="s">
        <v>126</v>
      </c>
      <c r="J432" t="s">
        <v>925</v>
      </c>
    </row>
    <row r="433" spans="1:10" x14ac:dyDescent="0.3">
      <c r="A433">
        <v>432</v>
      </c>
      <c r="B433" t="s">
        <v>331</v>
      </c>
      <c r="C433" t="s">
        <v>126</v>
      </c>
      <c r="D433" t="s">
        <v>126</v>
      </c>
      <c r="E433" t="s">
        <v>126</v>
      </c>
      <c r="F433" t="s">
        <v>126</v>
      </c>
      <c r="G433" t="s">
        <v>1235</v>
      </c>
      <c r="H433" t="s">
        <v>1235</v>
      </c>
      <c r="I433" t="s">
        <v>126</v>
      </c>
      <c r="J433" t="s">
        <v>925</v>
      </c>
    </row>
    <row r="434" spans="1:10" x14ac:dyDescent="0.3">
      <c r="A434">
        <v>433</v>
      </c>
      <c r="B434" t="s">
        <v>332</v>
      </c>
      <c r="C434" t="s">
        <v>126</v>
      </c>
      <c r="D434" t="s">
        <v>126</v>
      </c>
      <c r="E434" t="s">
        <v>126</v>
      </c>
      <c r="F434" t="s">
        <v>126</v>
      </c>
      <c r="G434" t="s">
        <v>1235</v>
      </c>
      <c r="H434" t="s">
        <v>1235</v>
      </c>
      <c r="I434" t="s">
        <v>126</v>
      </c>
      <c r="J434" t="s">
        <v>925</v>
      </c>
    </row>
    <row r="435" spans="1:10" x14ac:dyDescent="0.3">
      <c r="A435">
        <v>434</v>
      </c>
      <c r="B435" t="s">
        <v>333</v>
      </c>
      <c r="C435" t="s">
        <v>126</v>
      </c>
      <c r="D435" t="s">
        <v>126</v>
      </c>
      <c r="E435" t="s">
        <v>126</v>
      </c>
      <c r="F435" t="s">
        <v>126</v>
      </c>
      <c r="G435" t="s">
        <v>1235</v>
      </c>
      <c r="H435" t="s">
        <v>1235</v>
      </c>
      <c r="I435" t="s">
        <v>126</v>
      </c>
      <c r="J435" t="s">
        <v>925</v>
      </c>
    </row>
    <row r="436" spans="1:10" x14ac:dyDescent="0.3">
      <c r="A436">
        <v>435</v>
      </c>
      <c r="B436" t="s">
        <v>334</v>
      </c>
      <c r="C436" t="s">
        <v>126</v>
      </c>
      <c r="D436" t="s">
        <v>126</v>
      </c>
      <c r="E436" t="s">
        <v>126</v>
      </c>
      <c r="F436" t="s">
        <v>126</v>
      </c>
      <c r="G436" t="s">
        <v>1235</v>
      </c>
      <c r="H436" t="s">
        <v>1235</v>
      </c>
      <c r="I436" t="s">
        <v>126</v>
      </c>
      <c r="J436" t="s">
        <v>925</v>
      </c>
    </row>
    <row r="437" spans="1:10" x14ac:dyDescent="0.3">
      <c r="A437">
        <v>436</v>
      </c>
      <c r="B437" t="s">
        <v>335</v>
      </c>
      <c r="C437" t="s">
        <v>126</v>
      </c>
      <c r="D437" t="s">
        <v>126</v>
      </c>
      <c r="E437" t="s">
        <v>126</v>
      </c>
      <c r="F437" t="s">
        <v>126</v>
      </c>
      <c r="G437" t="s">
        <v>1235</v>
      </c>
      <c r="H437" t="s">
        <v>1235</v>
      </c>
      <c r="I437" t="s">
        <v>126</v>
      </c>
      <c r="J437" t="s">
        <v>925</v>
      </c>
    </row>
    <row r="438" spans="1:10" x14ac:dyDescent="0.3">
      <c r="A438">
        <v>437</v>
      </c>
      <c r="B438" t="s">
        <v>336</v>
      </c>
      <c r="C438" t="s">
        <v>126</v>
      </c>
      <c r="D438" t="s">
        <v>126</v>
      </c>
      <c r="E438" t="s">
        <v>126</v>
      </c>
      <c r="F438" t="s">
        <v>126</v>
      </c>
      <c r="G438" t="s">
        <v>1235</v>
      </c>
      <c r="H438" t="s">
        <v>1235</v>
      </c>
      <c r="I438" t="s">
        <v>126</v>
      </c>
      <c r="J438" t="s">
        <v>925</v>
      </c>
    </row>
    <row r="439" spans="1:10" x14ac:dyDescent="0.3">
      <c r="A439">
        <v>438</v>
      </c>
      <c r="B439" t="s">
        <v>337</v>
      </c>
      <c r="C439" t="s">
        <v>126</v>
      </c>
      <c r="D439" t="s">
        <v>126</v>
      </c>
      <c r="E439" t="s">
        <v>126</v>
      </c>
      <c r="F439" t="s">
        <v>126</v>
      </c>
      <c r="G439" t="s">
        <v>1235</v>
      </c>
      <c r="H439" t="s">
        <v>1235</v>
      </c>
      <c r="I439" t="s">
        <v>126</v>
      </c>
      <c r="J439" t="s">
        <v>925</v>
      </c>
    </row>
    <row r="440" spans="1:10" x14ac:dyDescent="0.3">
      <c r="A440">
        <v>439</v>
      </c>
      <c r="B440" t="s">
        <v>338</v>
      </c>
      <c r="C440" t="s">
        <v>126</v>
      </c>
      <c r="D440" t="s">
        <v>126</v>
      </c>
      <c r="E440" t="s">
        <v>126</v>
      </c>
      <c r="F440" t="s">
        <v>126</v>
      </c>
      <c r="G440" t="s">
        <v>1235</v>
      </c>
      <c r="H440" t="s">
        <v>1235</v>
      </c>
      <c r="I440" t="s">
        <v>126</v>
      </c>
      <c r="J440" t="s">
        <v>925</v>
      </c>
    </row>
    <row r="441" spans="1:10" x14ac:dyDescent="0.3">
      <c r="A441">
        <v>440</v>
      </c>
      <c r="B441" t="s">
        <v>339</v>
      </c>
      <c r="C441" t="s">
        <v>126</v>
      </c>
      <c r="D441" t="s">
        <v>126</v>
      </c>
      <c r="E441" t="s">
        <v>126</v>
      </c>
      <c r="F441" t="s">
        <v>126</v>
      </c>
      <c r="G441" t="s">
        <v>1235</v>
      </c>
      <c r="H441" t="s">
        <v>1235</v>
      </c>
      <c r="I441" t="s">
        <v>126</v>
      </c>
      <c r="J441" t="s">
        <v>925</v>
      </c>
    </row>
    <row r="442" spans="1:10" x14ac:dyDescent="0.3">
      <c r="A442">
        <v>441</v>
      </c>
      <c r="B442" t="s">
        <v>340</v>
      </c>
      <c r="C442" t="s">
        <v>126</v>
      </c>
      <c r="D442" t="s">
        <v>126</v>
      </c>
      <c r="E442" t="s">
        <v>126</v>
      </c>
      <c r="F442" t="s">
        <v>126</v>
      </c>
      <c r="G442" t="s">
        <v>1235</v>
      </c>
      <c r="H442" t="s">
        <v>1235</v>
      </c>
      <c r="I442" t="s">
        <v>126</v>
      </c>
      <c r="J442" t="s">
        <v>925</v>
      </c>
    </row>
    <row r="443" spans="1:10" x14ac:dyDescent="0.3">
      <c r="A443">
        <v>442</v>
      </c>
      <c r="B443" t="s">
        <v>341</v>
      </c>
      <c r="C443" t="s">
        <v>126</v>
      </c>
      <c r="D443" t="s">
        <v>126</v>
      </c>
      <c r="E443" t="s">
        <v>126</v>
      </c>
      <c r="F443" t="s">
        <v>126</v>
      </c>
      <c r="G443" t="s">
        <v>1235</v>
      </c>
      <c r="H443" t="s">
        <v>1235</v>
      </c>
      <c r="I443" t="s">
        <v>126</v>
      </c>
      <c r="J443" t="s">
        <v>925</v>
      </c>
    </row>
    <row r="444" spans="1:10" x14ac:dyDescent="0.3">
      <c r="A444">
        <v>443</v>
      </c>
      <c r="B444" t="s">
        <v>342</v>
      </c>
      <c r="C444" t="s">
        <v>126</v>
      </c>
      <c r="D444" t="s">
        <v>126</v>
      </c>
      <c r="E444" t="s">
        <v>126</v>
      </c>
      <c r="F444" t="s">
        <v>126</v>
      </c>
      <c r="G444" t="s">
        <v>1235</v>
      </c>
      <c r="H444" t="s">
        <v>1235</v>
      </c>
      <c r="I444" t="s">
        <v>126</v>
      </c>
      <c r="J444" t="s">
        <v>925</v>
      </c>
    </row>
    <row r="445" spans="1:10" x14ac:dyDescent="0.3">
      <c r="A445">
        <v>444</v>
      </c>
      <c r="B445" t="s">
        <v>343</v>
      </c>
      <c r="C445" t="s">
        <v>126</v>
      </c>
      <c r="D445" t="s">
        <v>126</v>
      </c>
      <c r="E445" t="s">
        <v>126</v>
      </c>
      <c r="F445" t="s">
        <v>126</v>
      </c>
      <c r="G445" t="s">
        <v>1235</v>
      </c>
      <c r="H445" t="s">
        <v>1235</v>
      </c>
      <c r="I445" t="s">
        <v>126</v>
      </c>
      <c r="J445" t="s">
        <v>925</v>
      </c>
    </row>
    <row r="446" spans="1:10" x14ac:dyDescent="0.3">
      <c r="A446">
        <v>445</v>
      </c>
      <c r="B446" t="s">
        <v>344</v>
      </c>
      <c r="C446" t="s">
        <v>126</v>
      </c>
      <c r="D446" t="s">
        <v>126</v>
      </c>
      <c r="E446" t="s">
        <v>126</v>
      </c>
      <c r="F446" t="s">
        <v>126</v>
      </c>
      <c r="G446" t="s">
        <v>1235</v>
      </c>
      <c r="H446" t="s">
        <v>1235</v>
      </c>
      <c r="I446" t="s">
        <v>126</v>
      </c>
      <c r="J446" t="s">
        <v>925</v>
      </c>
    </row>
    <row r="447" spans="1:10" x14ac:dyDescent="0.3">
      <c r="A447">
        <v>446</v>
      </c>
      <c r="B447" t="s">
        <v>345</v>
      </c>
      <c r="C447" t="s">
        <v>126</v>
      </c>
      <c r="D447" t="s">
        <v>126</v>
      </c>
      <c r="E447" t="s">
        <v>126</v>
      </c>
      <c r="F447" t="s">
        <v>126</v>
      </c>
      <c r="G447" t="s">
        <v>1235</v>
      </c>
      <c r="H447" t="s">
        <v>1235</v>
      </c>
      <c r="I447" t="s">
        <v>126</v>
      </c>
      <c r="J447" t="s">
        <v>925</v>
      </c>
    </row>
    <row r="448" spans="1:10" x14ac:dyDescent="0.3">
      <c r="A448">
        <v>447</v>
      </c>
      <c r="B448" t="s">
        <v>346</v>
      </c>
      <c r="C448" t="s">
        <v>126</v>
      </c>
      <c r="D448" t="s">
        <v>126</v>
      </c>
      <c r="E448" t="s">
        <v>126</v>
      </c>
      <c r="F448" t="s">
        <v>126</v>
      </c>
      <c r="G448" t="s">
        <v>1235</v>
      </c>
      <c r="H448" t="s">
        <v>1235</v>
      </c>
      <c r="I448" t="s">
        <v>126</v>
      </c>
      <c r="J448" t="s">
        <v>925</v>
      </c>
    </row>
    <row r="449" spans="1:10" x14ac:dyDescent="0.3">
      <c r="A449">
        <v>448</v>
      </c>
      <c r="B449" t="s">
        <v>347</v>
      </c>
      <c r="C449" t="s">
        <v>126</v>
      </c>
      <c r="D449" t="s">
        <v>126</v>
      </c>
      <c r="E449" t="s">
        <v>126</v>
      </c>
      <c r="F449" t="s">
        <v>126</v>
      </c>
      <c r="G449" t="s">
        <v>1235</v>
      </c>
      <c r="H449" t="s">
        <v>1235</v>
      </c>
      <c r="I449" t="s">
        <v>126</v>
      </c>
      <c r="J449" t="s">
        <v>925</v>
      </c>
    </row>
    <row r="450" spans="1:10" x14ac:dyDescent="0.3">
      <c r="A450">
        <v>449</v>
      </c>
      <c r="B450" t="s">
        <v>348</v>
      </c>
      <c r="C450" t="s">
        <v>126</v>
      </c>
      <c r="D450" t="s">
        <v>126</v>
      </c>
      <c r="E450" t="s">
        <v>126</v>
      </c>
      <c r="F450" t="s">
        <v>126</v>
      </c>
      <c r="G450" t="s">
        <v>1235</v>
      </c>
      <c r="H450" t="s">
        <v>1235</v>
      </c>
      <c r="I450" t="s">
        <v>126</v>
      </c>
      <c r="J450" t="s">
        <v>925</v>
      </c>
    </row>
    <row r="451" spans="1:10" x14ac:dyDescent="0.3">
      <c r="A451">
        <v>450</v>
      </c>
      <c r="B451" t="s">
        <v>349</v>
      </c>
      <c r="C451" t="s">
        <v>126</v>
      </c>
      <c r="D451" t="s">
        <v>126</v>
      </c>
      <c r="E451" t="s">
        <v>126</v>
      </c>
      <c r="F451" t="s">
        <v>126</v>
      </c>
      <c r="G451" t="s">
        <v>1235</v>
      </c>
      <c r="H451" t="s">
        <v>1235</v>
      </c>
      <c r="I451" t="s">
        <v>126</v>
      </c>
      <c r="J451" t="s">
        <v>925</v>
      </c>
    </row>
    <row r="452" spans="1:10" x14ac:dyDescent="0.3">
      <c r="A452">
        <v>451</v>
      </c>
      <c r="B452" t="s">
        <v>350</v>
      </c>
      <c r="C452" t="s">
        <v>126</v>
      </c>
      <c r="D452" t="s">
        <v>126</v>
      </c>
      <c r="E452" t="s">
        <v>126</v>
      </c>
      <c r="F452" t="s">
        <v>126</v>
      </c>
      <c r="G452" t="s">
        <v>1235</v>
      </c>
      <c r="H452" t="s">
        <v>1235</v>
      </c>
      <c r="I452" t="s">
        <v>126</v>
      </c>
      <c r="J452" t="s">
        <v>925</v>
      </c>
    </row>
    <row r="453" spans="1:10" x14ac:dyDescent="0.3">
      <c r="A453">
        <v>452</v>
      </c>
      <c r="B453" t="s">
        <v>351</v>
      </c>
      <c r="C453" t="s">
        <v>126</v>
      </c>
      <c r="D453" t="s">
        <v>126</v>
      </c>
      <c r="E453" t="s">
        <v>126</v>
      </c>
      <c r="F453" t="s">
        <v>126</v>
      </c>
      <c r="G453" t="s">
        <v>1235</v>
      </c>
      <c r="H453" t="s">
        <v>1235</v>
      </c>
      <c r="I453" t="s">
        <v>126</v>
      </c>
      <c r="J453" t="s">
        <v>925</v>
      </c>
    </row>
    <row r="454" spans="1:10" x14ac:dyDescent="0.3">
      <c r="A454">
        <v>453</v>
      </c>
      <c r="B454" t="s">
        <v>352</v>
      </c>
      <c r="C454" t="s">
        <v>126</v>
      </c>
      <c r="D454" t="s">
        <v>126</v>
      </c>
      <c r="E454" t="s">
        <v>126</v>
      </c>
      <c r="F454" t="s">
        <v>126</v>
      </c>
      <c r="G454" t="s">
        <v>1235</v>
      </c>
      <c r="H454" t="s">
        <v>1235</v>
      </c>
      <c r="I454" t="s">
        <v>126</v>
      </c>
      <c r="J454" t="s">
        <v>925</v>
      </c>
    </row>
    <row r="455" spans="1:10" x14ac:dyDescent="0.3">
      <c r="A455">
        <v>454</v>
      </c>
      <c r="B455" t="s">
        <v>353</v>
      </c>
      <c r="C455" t="s">
        <v>126</v>
      </c>
      <c r="D455" t="s">
        <v>126</v>
      </c>
      <c r="E455" t="s">
        <v>126</v>
      </c>
      <c r="F455" t="s">
        <v>126</v>
      </c>
      <c r="G455" t="s">
        <v>1235</v>
      </c>
      <c r="H455" t="s">
        <v>1235</v>
      </c>
      <c r="I455" t="s">
        <v>126</v>
      </c>
      <c r="J455" t="s">
        <v>925</v>
      </c>
    </row>
    <row r="456" spans="1:10" x14ac:dyDescent="0.3">
      <c r="A456">
        <v>455</v>
      </c>
      <c r="B456" t="s">
        <v>354</v>
      </c>
      <c r="C456" t="s">
        <v>126</v>
      </c>
      <c r="D456" t="s">
        <v>126</v>
      </c>
      <c r="E456" t="s">
        <v>126</v>
      </c>
      <c r="F456" t="s">
        <v>126</v>
      </c>
      <c r="G456" t="s">
        <v>1235</v>
      </c>
      <c r="H456" t="s">
        <v>1235</v>
      </c>
      <c r="I456" t="s">
        <v>126</v>
      </c>
      <c r="J456" t="s">
        <v>925</v>
      </c>
    </row>
    <row r="457" spans="1:10" x14ac:dyDescent="0.3">
      <c r="A457">
        <v>456</v>
      </c>
      <c r="B457" t="s">
        <v>355</v>
      </c>
      <c r="C457" t="s">
        <v>126</v>
      </c>
      <c r="D457" t="s">
        <v>126</v>
      </c>
      <c r="E457" t="s">
        <v>126</v>
      </c>
      <c r="F457" t="s">
        <v>126</v>
      </c>
      <c r="G457" t="s">
        <v>1235</v>
      </c>
      <c r="H457" t="s">
        <v>1235</v>
      </c>
      <c r="I457" t="s">
        <v>126</v>
      </c>
      <c r="J457" t="s">
        <v>925</v>
      </c>
    </row>
    <row r="458" spans="1:10" x14ac:dyDescent="0.3">
      <c r="A458">
        <v>457</v>
      </c>
      <c r="B458" t="s">
        <v>356</v>
      </c>
      <c r="C458" t="s">
        <v>126</v>
      </c>
      <c r="D458" t="s">
        <v>126</v>
      </c>
      <c r="E458" t="s">
        <v>126</v>
      </c>
      <c r="F458" t="s">
        <v>126</v>
      </c>
      <c r="G458" t="s">
        <v>1235</v>
      </c>
      <c r="H458" t="s">
        <v>1235</v>
      </c>
      <c r="I458" t="s">
        <v>126</v>
      </c>
      <c r="J458" t="s">
        <v>925</v>
      </c>
    </row>
    <row r="459" spans="1:10" x14ac:dyDescent="0.3">
      <c r="A459">
        <v>458</v>
      </c>
      <c r="B459" t="s">
        <v>357</v>
      </c>
      <c r="C459" t="s">
        <v>126</v>
      </c>
      <c r="D459" t="s">
        <v>126</v>
      </c>
      <c r="E459" t="s">
        <v>126</v>
      </c>
      <c r="F459" t="s">
        <v>126</v>
      </c>
      <c r="G459" t="s">
        <v>1235</v>
      </c>
      <c r="H459" t="s">
        <v>1235</v>
      </c>
      <c r="I459" t="s">
        <v>126</v>
      </c>
      <c r="J459" t="s">
        <v>925</v>
      </c>
    </row>
    <row r="460" spans="1:10" x14ac:dyDescent="0.3">
      <c r="A460">
        <v>459</v>
      </c>
      <c r="B460" t="s">
        <v>358</v>
      </c>
      <c r="C460" t="s">
        <v>126</v>
      </c>
      <c r="D460" t="s">
        <v>126</v>
      </c>
      <c r="E460" t="s">
        <v>126</v>
      </c>
      <c r="F460" t="s">
        <v>126</v>
      </c>
      <c r="G460" t="s">
        <v>1235</v>
      </c>
      <c r="H460" t="s">
        <v>1235</v>
      </c>
      <c r="I460" t="s">
        <v>126</v>
      </c>
      <c r="J460" t="s">
        <v>925</v>
      </c>
    </row>
    <row r="461" spans="1:10" x14ac:dyDescent="0.3">
      <c r="A461">
        <v>460</v>
      </c>
      <c r="B461" t="s">
        <v>359</v>
      </c>
      <c r="C461" t="s">
        <v>126</v>
      </c>
      <c r="D461" t="s">
        <v>126</v>
      </c>
      <c r="E461" t="s">
        <v>126</v>
      </c>
      <c r="F461" t="s">
        <v>126</v>
      </c>
      <c r="G461" t="s">
        <v>1235</v>
      </c>
      <c r="H461" t="s">
        <v>1235</v>
      </c>
      <c r="I461" t="s">
        <v>126</v>
      </c>
      <c r="J461" t="s">
        <v>925</v>
      </c>
    </row>
    <row r="462" spans="1:10" x14ac:dyDescent="0.3">
      <c r="A462">
        <v>461</v>
      </c>
      <c r="B462" t="s">
        <v>360</v>
      </c>
      <c r="C462" t="s">
        <v>126</v>
      </c>
      <c r="D462" t="s">
        <v>126</v>
      </c>
      <c r="E462" t="s">
        <v>126</v>
      </c>
      <c r="F462" t="s">
        <v>126</v>
      </c>
      <c r="G462" t="s">
        <v>1235</v>
      </c>
      <c r="H462" t="s">
        <v>1235</v>
      </c>
      <c r="I462" t="s">
        <v>126</v>
      </c>
      <c r="J462" t="s">
        <v>925</v>
      </c>
    </row>
    <row r="463" spans="1:10" x14ac:dyDescent="0.3">
      <c r="A463">
        <v>462</v>
      </c>
      <c r="B463" t="s">
        <v>361</v>
      </c>
      <c r="C463" t="s">
        <v>126</v>
      </c>
      <c r="D463" t="s">
        <v>126</v>
      </c>
      <c r="E463" t="s">
        <v>126</v>
      </c>
      <c r="F463" t="s">
        <v>126</v>
      </c>
      <c r="G463" t="s">
        <v>1235</v>
      </c>
      <c r="H463" t="s">
        <v>1235</v>
      </c>
      <c r="I463" t="s">
        <v>126</v>
      </c>
      <c r="J463" t="s">
        <v>925</v>
      </c>
    </row>
    <row r="464" spans="1:10" x14ac:dyDescent="0.3">
      <c r="A464">
        <v>463</v>
      </c>
      <c r="B464" t="s">
        <v>362</v>
      </c>
      <c r="C464" t="s">
        <v>126</v>
      </c>
      <c r="D464" t="s">
        <v>126</v>
      </c>
      <c r="E464" t="s">
        <v>126</v>
      </c>
      <c r="F464" t="s">
        <v>126</v>
      </c>
      <c r="G464" t="s">
        <v>1235</v>
      </c>
      <c r="H464" t="s">
        <v>1235</v>
      </c>
      <c r="I464" t="s">
        <v>126</v>
      </c>
      <c r="J464" t="s">
        <v>925</v>
      </c>
    </row>
    <row r="465" spans="1:10" x14ac:dyDescent="0.3">
      <c r="A465">
        <v>464</v>
      </c>
      <c r="B465" t="s">
        <v>363</v>
      </c>
      <c r="C465" t="s">
        <v>126</v>
      </c>
      <c r="D465" t="s">
        <v>126</v>
      </c>
      <c r="E465" t="s">
        <v>126</v>
      </c>
      <c r="F465" t="s">
        <v>126</v>
      </c>
      <c r="G465" t="s">
        <v>1235</v>
      </c>
      <c r="H465" t="s">
        <v>1235</v>
      </c>
      <c r="I465" t="s">
        <v>126</v>
      </c>
      <c r="J465" t="s">
        <v>925</v>
      </c>
    </row>
    <row r="466" spans="1:10" x14ac:dyDescent="0.3">
      <c r="A466">
        <v>465</v>
      </c>
      <c r="B466" t="s">
        <v>364</v>
      </c>
      <c r="C466" t="s">
        <v>126</v>
      </c>
      <c r="D466" t="s">
        <v>126</v>
      </c>
      <c r="E466" t="s">
        <v>126</v>
      </c>
      <c r="F466" t="s">
        <v>126</v>
      </c>
      <c r="G466" t="s">
        <v>1235</v>
      </c>
      <c r="H466" t="s">
        <v>1235</v>
      </c>
      <c r="I466" t="s">
        <v>126</v>
      </c>
      <c r="J466" t="s">
        <v>925</v>
      </c>
    </row>
    <row r="467" spans="1:10" x14ac:dyDescent="0.3">
      <c r="A467">
        <v>466</v>
      </c>
      <c r="B467" t="s">
        <v>365</v>
      </c>
      <c r="C467" t="s">
        <v>126</v>
      </c>
      <c r="D467" t="s">
        <v>126</v>
      </c>
      <c r="E467" t="s">
        <v>126</v>
      </c>
      <c r="F467" t="s">
        <v>126</v>
      </c>
      <c r="G467" t="s">
        <v>1235</v>
      </c>
      <c r="H467" t="s">
        <v>1235</v>
      </c>
      <c r="I467" t="s">
        <v>126</v>
      </c>
      <c r="J467" t="s">
        <v>925</v>
      </c>
    </row>
    <row r="468" spans="1:10" x14ac:dyDescent="0.3">
      <c r="A468">
        <v>467</v>
      </c>
      <c r="B468" t="s">
        <v>366</v>
      </c>
      <c r="C468" t="s">
        <v>126</v>
      </c>
      <c r="D468" t="s">
        <v>126</v>
      </c>
      <c r="E468" t="s">
        <v>126</v>
      </c>
      <c r="F468" t="s">
        <v>126</v>
      </c>
      <c r="G468" t="s">
        <v>1235</v>
      </c>
      <c r="H468" t="s">
        <v>1235</v>
      </c>
      <c r="I468" t="s">
        <v>126</v>
      </c>
      <c r="J468" t="s">
        <v>925</v>
      </c>
    </row>
    <row r="469" spans="1:10" x14ac:dyDescent="0.3">
      <c r="A469">
        <v>468</v>
      </c>
      <c r="B469" t="s">
        <v>367</v>
      </c>
      <c r="C469" t="s">
        <v>126</v>
      </c>
      <c r="D469" t="s">
        <v>126</v>
      </c>
      <c r="E469" t="s">
        <v>126</v>
      </c>
      <c r="F469" t="s">
        <v>126</v>
      </c>
      <c r="G469" t="s">
        <v>1235</v>
      </c>
      <c r="H469" t="s">
        <v>1235</v>
      </c>
      <c r="I469" t="s">
        <v>126</v>
      </c>
      <c r="J469" t="s">
        <v>925</v>
      </c>
    </row>
    <row r="470" spans="1:10" x14ac:dyDescent="0.3">
      <c r="A470">
        <v>469</v>
      </c>
      <c r="B470" t="s">
        <v>368</v>
      </c>
      <c r="C470" t="s">
        <v>126</v>
      </c>
      <c r="D470" t="s">
        <v>126</v>
      </c>
      <c r="E470" t="s">
        <v>126</v>
      </c>
      <c r="F470" t="s">
        <v>126</v>
      </c>
      <c r="G470" t="s">
        <v>1235</v>
      </c>
      <c r="H470" t="s">
        <v>1235</v>
      </c>
      <c r="I470" t="s">
        <v>126</v>
      </c>
      <c r="J470" t="s">
        <v>925</v>
      </c>
    </row>
    <row r="471" spans="1:10" x14ac:dyDescent="0.3">
      <c r="A471">
        <v>470</v>
      </c>
      <c r="B471" t="s">
        <v>369</v>
      </c>
      <c r="C471" t="s">
        <v>126</v>
      </c>
      <c r="D471" t="s">
        <v>126</v>
      </c>
      <c r="E471" t="s">
        <v>126</v>
      </c>
      <c r="F471" t="s">
        <v>126</v>
      </c>
      <c r="G471" t="s">
        <v>1235</v>
      </c>
      <c r="H471" t="s">
        <v>1235</v>
      </c>
      <c r="I471" t="s">
        <v>126</v>
      </c>
      <c r="J471" t="s">
        <v>925</v>
      </c>
    </row>
    <row r="472" spans="1:10" x14ac:dyDescent="0.3">
      <c r="A472">
        <v>471</v>
      </c>
      <c r="B472" t="s">
        <v>370</v>
      </c>
      <c r="C472" t="s">
        <v>126</v>
      </c>
      <c r="D472" t="s">
        <v>126</v>
      </c>
      <c r="E472" t="s">
        <v>126</v>
      </c>
      <c r="F472" t="s">
        <v>126</v>
      </c>
      <c r="G472" t="s">
        <v>1235</v>
      </c>
      <c r="H472" t="s">
        <v>1235</v>
      </c>
      <c r="I472" t="s">
        <v>126</v>
      </c>
      <c r="J472" t="s">
        <v>925</v>
      </c>
    </row>
    <row r="473" spans="1:10" x14ac:dyDescent="0.3">
      <c r="A473">
        <v>472</v>
      </c>
      <c r="B473" t="s">
        <v>371</v>
      </c>
      <c r="C473" t="s">
        <v>126</v>
      </c>
      <c r="D473" t="s">
        <v>126</v>
      </c>
      <c r="E473" t="s">
        <v>126</v>
      </c>
      <c r="F473" t="s">
        <v>126</v>
      </c>
      <c r="G473" t="s">
        <v>1235</v>
      </c>
      <c r="H473" t="s">
        <v>1235</v>
      </c>
      <c r="I473" t="s">
        <v>126</v>
      </c>
      <c r="J473" t="s">
        <v>925</v>
      </c>
    </row>
    <row r="474" spans="1:10" x14ac:dyDescent="0.3">
      <c r="A474">
        <v>473</v>
      </c>
      <c r="B474" t="s">
        <v>372</v>
      </c>
      <c r="C474" t="s">
        <v>126</v>
      </c>
      <c r="D474" t="s">
        <v>126</v>
      </c>
      <c r="E474" t="s">
        <v>126</v>
      </c>
      <c r="F474" t="s">
        <v>126</v>
      </c>
      <c r="G474" t="s">
        <v>1235</v>
      </c>
      <c r="H474" t="s">
        <v>1235</v>
      </c>
      <c r="I474" t="s">
        <v>126</v>
      </c>
      <c r="J474" t="s">
        <v>925</v>
      </c>
    </row>
    <row r="475" spans="1:10" x14ac:dyDescent="0.3">
      <c r="A475">
        <v>474</v>
      </c>
      <c r="B475" t="s">
        <v>373</v>
      </c>
      <c r="C475" t="s">
        <v>126</v>
      </c>
      <c r="D475" t="s">
        <v>126</v>
      </c>
      <c r="E475" t="s">
        <v>126</v>
      </c>
      <c r="F475" t="s">
        <v>126</v>
      </c>
      <c r="G475" t="s">
        <v>1235</v>
      </c>
      <c r="H475" t="s">
        <v>1235</v>
      </c>
      <c r="I475" t="s">
        <v>126</v>
      </c>
      <c r="J475" t="s">
        <v>925</v>
      </c>
    </row>
    <row r="476" spans="1:10" x14ac:dyDescent="0.3">
      <c r="A476">
        <v>475</v>
      </c>
      <c r="B476" t="s">
        <v>374</v>
      </c>
      <c r="C476" t="s">
        <v>126</v>
      </c>
      <c r="D476" t="s">
        <v>126</v>
      </c>
      <c r="E476" t="s">
        <v>126</v>
      </c>
      <c r="F476" t="s">
        <v>126</v>
      </c>
      <c r="G476" t="s">
        <v>1235</v>
      </c>
      <c r="H476" t="s">
        <v>1235</v>
      </c>
      <c r="I476" t="s">
        <v>126</v>
      </c>
      <c r="J476" t="s">
        <v>925</v>
      </c>
    </row>
    <row r="477" spans="1:10" x14ac:dyDescent="0.3">
      <c r="A477">
        <v>476</v>
      </c>
      <c r="B477" t="s">
        <v>375</v>
      </c>
      <c r="C477" t="s">
        <v>126</v>
      </c>
      <c r="D477" t="s">
        <v>126</v>
      </c>
      <c r="E477" t="s">
        <v>126</v>
      </c>
      <c r="F477" t="s">
        <v>126</v>
      </c>
      <c r="G477" t="s">
        <v>1235</v>
      </c>
      <c r="H477" t="s">
        <v>1235</v>
      </c>
      <c r="I477" t="s">
        <v>126</v>
      </c>
      <c r="J477" t="s">
        <v>925</v>
      </c>
    </row>
    <row r="478" spans="1:10" x14ac:dyDescent="0.3">
      <c r="A478">
        <v>477</v>
      </c>
      <c r="B478" t="s">
        <v>376</v>
      </c>
      <c r="C478" t="s">
        <v>126</v>
      </c>
      <c r="D478" t="s">
        <v>126</v>
      </c>
      <c r="E478" t="s">
        <v>126</v>
      </c>
      <c r="F478" t="s">
        <v>126</v>
      </c>
      <c r="G478" t="s">
        <v>1235</v>
      </c>
      <c r="H478" t="s">
        <v>1235</v>
      </c>
      <c r="I478" t="s">
        <v>126</v>
      </c>
      <c r="J478" t="s">
        <v>925</v>
      </c>
    </row>
    <row r="479" spans="1:10" x14ac:dyDescent="0.3">
      <c r="A479">
        <v>478</v>
      </c>
      <c r="B479" t="s">
        <v>377</v>
      </c>
      <c r="C479" t="s">
        <v>126</v>
      </c>
      <c r="D479" t="s">
        <v>126</v>
      </c>
      <c r="E479" t="s">
        <v>126</v>
      </c>
      <c r="F479" t="s">
        <v>126</v>
      </c>
      <c r="G479" t="s">
        <v>1235</v>
      </c>
      <c r="H479" t="s">
        <v>1235</v>
      </c>
      <c r="I479" t="s">
        <v>126</v>
      </c>
      <c r="J479" t="s">
        <v>925</v>
      </c>
    </row>
    <row r="480" spans="1:10" x14ac:dyDescent="0.3">
      <c r="A480">
        <v>479</v>
      </c>
      <c r="B480" t="s">
        <v>378</v>
      </c>
      <c r="C480" t="s">
        <v>126</v>
      </c>
      <c r="D480" t="s">
        <v>126</v>
      </c>
      <c r="E480" t="s">
        <v>126</v>
      </c>
      <c r="F480" t="s">
        <v>126</v>
      </c>
      <c r="G480" t="s">
        <v>1235</v>
      </c>
      <c r="H480" t="s">
        <v>1235</v>
      </c>
      <c r="I480" t="s">
        <v>126</v>
      </c>
      <c r="J480" t="s">
        <v>925</v>
      </c>
    </row>
    <row r="481" spans="1:10" x14ac:dyDescent="0.3">
      <c r="A481">
        <v>480</v>
      </c>
      <c r="B481" t="s">
        <v>379</v>
      </c>
      <c r="C481" t="s">
        <v>126</v>
      </c>
      <c r="D481" t="s">
        <v>126</v>
      </c>
      <c r="E481" t="s">
        <v>126</v>
      </c>
      <c r="F481" t="s">
        <v>126</v>
      </c>
      <c r="G481" t="s">
        <v>1235</v>
      </c>
      <c r="H481" t="s">
        <v>1235</v>
      </c>
      <c r="I481" t="s">
        <v>126</v>
      </c>
      <c r="J481" t="s">
        <v>925</v>
      </c>
    </row>
    <row r="482" spans="1:10" x14ac:dyDescent="0.3">
      <c r="A482">
        <v>481</v>
      </c>
      <c r="B482" t="s">
        <v>380</v>
      </c>
      <c r="C482" t="s">
        <v>126</v>
      </c>
      <c r="D482" t="s">
        <v>126</v>
      </c>
      <c r="E482" t="s">
        <v>126</v>
      </c>
      <c r="F482" t="s">
        <v>126</v>
      </c>
      <c r="G482" t="s">
        <v>1235</v>
      </c>
      <c r="H482" t="s">
        <v>1235</v>
      </c>
      <c r="I482" t="s">
        <v>126</v>
      </c>
      <c r="J482" t="s">
        <v>925</v>
      </c>
    </row>
    <row r="483" spans="1:10" x14ac:dyDescent="0.3">
      <c r="A483">
        <v>482</v>
      </c>
      <c r="B483" t="s">
        <v>381</v>
      </c>
      <c r="C483" t="s">
        <v>126</v>
      </c>
      <c r="D483" t="s">
        <v>126</v>
      </c>
      <c r="E483" t="s">
        <v>126</v>
      </c>
      <c r="F483" t="s">
        <v>126</v>
      </c>
      <c r="G483" t="s">
        <v>1235</v>
      </c>
      <c r="H483" t="s">
        <v>1235</v>
      </c>
      <c r="I483" t="s">
        <v>126</v>
      </c>
      <c r="J483" t="s">
        <v>925</v>
      </c>
    </row>
    <row r="484" spans="1:10" x14ac:dyDescent="0.3">
      <c r="A484">
        <v>483</v>
      </c>
      <c r="B484" t="s">
        <v>382</v>
      </c>
      <c r="C484" t="s">
        <v>126</v>
      </c>
      <c r="D484" t="s">
        <v>126</v>
      </c>
      <c r="E484" t="s">
        <v>126</v>
      </c>
      <c r="F484" t="s">
        <v>126</v>
      </c>
      <c r="G484" t="s">
        <v>1235</v>
      </c>
      <c r="H484" t="s">
        <v>1235</v>
      </c>
      <c r="I484" t="s">
        <v>126</v>
      </c>
      <c r="J484" t="s">
        <v>925</v>
      </c>
    </row>
    <row r="485" spans="1:10" x14ac:dyDescent="0.3">
      <c r="A485">
        <v>484</v>
      </c>
      <c r="B485" t="s">
        <v>383</v>
      </c>
      <c r="C485" t="s">
        <v>126</v>
      </c>
      <c r="D485" t="s">
        <v>126</v>
      </c>
      <c r="E485" t="s">
        <v>126</v>
      </c>
      <c r="F485" t="s">
        <v>126</v>
      </c>
      <c r="G485" t="s">
        <v>1235</v>
      </c>
      <c r="H485" t="s">
        <v>1235</v>
      </c>
      <c r="I485" t="s">
        <v>126</v>
      </c>
      <c r="J485" t="s">
        <v>925</v>
      </c>
    </row>
    <row r="486" spans="1:10" x14ac:dyDescent="0.3">
      <c r="A486">
        <v>485</v>
      </c>
      <c r="B486" t="s">
        <v>384</v>
      </c>
      <c r="C486" t="s">
        <v>126</v>
      </c>
      <c r="D486" t="s">
        <v>126</v>
      </c>
      <c r="E486" t="s">
        <v>126</v>
      </c>
      <c r="F486" t="s">
        <v>126</v>
      </c>
      <c r="G486" t="s">
        <v>1235</v>
      </c>
      <c r="H486" t="s">
        <v>1235</v>
      </c>
      <c r="I486" t="s">
        <v>126</v>
      </c>
      <c r="J486" t="s">
        <v>925</v>
      </c>
    </row>
    <row r="487" spans="1:10" x14ac:dyDescent="0.3">
      <c r="A487">
        <v>486</v>
      </c>
      <c r="B487" t="s">
        <v>385</v>
      </c>
      <c r="C487" t="s">
        <v>126</v>
      </c>
      <c r="D487" t="s">
        <v>126</v>
      </c>
      <c r="E487" t="s">
        <v>126</v>
      </c>
      <c r="F487" t="s">
        <v>126</v>
      </c>
      <c r="G487" t="s">
        <v>1235</v>
      </c>
      <c r="H487" t="s">
        <v>1235</v>
      </c>
      <c r="I487" t="s">
        <v>126</v>
      </c>
      <c r="J487" t="s">
        <v>925</v>
      </c>
    </row>
    <row r="488" spans="1:10" x14ac:dyDescent="0.3">
      <c r="A488">
        <v>487</v>
      </c>
      <c r="B488" t="s">
        <v>386</v>
      </c>
      <c r="C488" t="s">
        <v>126</v>
      </c>
      <c r="D488" t="s">
        <v>126</v>
      </c>
      <c r="E488" t="s">
        <v>126</v>
      </c>
      <c r="F488" t="s">
        <v>126</v>
      </c>
      <c r="G488" t="s">
        <v>1235</v>
      </c>
      <c r="H488" t="s">
        <v>1235</v>
      </c>
      <c r="I488" t="s">
        <v>126</v>
      </c>
      <c r="J488" t="s">
        <v>925</v>
      </c>
    </row>
    <row r="489" spans="1:10" x14ac:dyDescent="0.3">
      <c r="A489">
        <v>488</v>
      </c>
      <c r="B489" t="s">
        <v>387</v>
      </c>
      <c r="C489" t="s">
        <v>126</v>
      </c>
      <c r="D489" t="s">
        <v>126</v>
      </c>
      <c r="E489" t="s">
        <v>126</v>
      </c>
      <c r="F489" t="s">
        <v>126</v>
      </c>
      <c r="G489" t="s">
        <v>1235</v>
      </c>
      <c r="H489" t="s">
        <v>1235</v>
      </c>
      <c r="I489" t="s">
        <v>126</v>
      </c>
      <c r="J489" t="s">
        <v>925</v>
      </c>
    </row>
    <row r="490" spans="1:10" x14ac:dyDescent="0.3">
      <c r="A490">
        <v>489</v>
      </c>
      <c r="B490" t="s">
        <v>388</v>
      </c>
      <c r="C490" t="s">
        <v>126</v>
      </c>
      <c r="D490" t="s">
        <v>126</v>
      </c>
      <c r="E490" t="s">
        <v>126</v>
      </c>
      <c r="F490" t="s">
        <v>126</v>
      </c>
      <c r="G490" t="s">
        <v>1235</v>
      </c>
      <c r="H490" t="s">
        <v>1235</v>
      </c>
      <c r="I490" t="s">
        <v>126</v>
      </c>
      <c r="J490" t="s">
        <v>925</v>
      </c>
    </row>
    <row r="491" spans="1:10" x14ac:dyDescent="0.3">
      <c r="A491">
        <v>490</v>
      </c>
      <c r="B491" t="s">
        <v>389</v>
      </c>
      <c r="C491" t="s">
        <v>126</v>
      </c>
      <c r="D491" t="s">
        <v>126</v>
      </c>
      <c r="E491" t="s">
        <v>126</v>
      </c>
      <c r="F491" t="s">
        <v>126</v>
      </c>
      <c r="G491" t="s">
        <v>1235</v>
      </c>
      <c r="H491" t="s">
        <v>1235</v>
      </c>
      <c r="I491" t="s">
        <v>126</v>
      </c>
      <c r="J491" t="s">
        <v>925</v>
      </c>
    </row>
    <row r="492" spans="1:10" x14ac:dyDescent="0.3">
      <c r="A492">
        <v>491</v>
      </c>
      <c r="B492" t="s">
        <v>390</v>
      </c>
      <c r="C492" t="s">
        <v>126</v>
      </c>
      <c r="D492" t="s">
        <v>126</v>
      </c>
      <c r="E492" t="s">
        <v>126</v>
      </c>
      <c r="F492" t="s">
        <v>126</v>
      </c>
      <c r="G492" t="s">
        <v>1235</v>
      </c>
      <c r="H492" t="s">
        <v>1235</v>
      </c>
      <c r="I492" t="s">
        <v>126</v>
      </c>
      <c r="J492" t="s">
        <v>925</v>
      </c>
    </row>
    <row r="493" spans="1:10" x14ac:dyDescent="0.3">
      <c r="A493">
        <v>492</v>
      </c>
      <c r="B493" t="s">
        <v>391</v>
      </c>
      <c r="C493" t="s">
        <v>126</v>
      </c>
      <c r="D493" t="s">
        <v>126</v>
      </c>
      <c r="E493" t="s">
        <v>126</v>
      </c>
      <c r="F493" t="s">
        <v>126</v>
      </c>
      <c r="G493" t="s">
        <v>1235</v>
      </c>
      <c r="H493" t="s">
        <v>1235</v>
      </c>
      <c r="I493" t="s">
        <v>126</v>
      </c>
      <c r="J493" t="s">
        <v>925</v>
      </c>
    </row>
    <row r="494" spans="1:10" x14ac:dyDescent="0.3">
      <c r="A494">
        <v>493</v>
      </c>
      <c r="B494" t="s">
        <v>392</v>
      </c>
      <c r="C494" t="s">
        <v>126</v>
      </c>
      <c r="D494" t="s">
        <v>126</v>
      </c>
      <c r="E494" t="s">
        <v>126</v>
      </c>
      <c r="F494" t="s">
        <v>126</v>
      </c>
      <c r="G494" t="s">
        <v>1235</v>
      </c>
      <c r="H494" t="s">
        <v>1235</v>
      </c>
      <c r="I494" t="s">
        <v>126</v>
      </c>
      <c r="J494" t="s">
        <v>925</v>
      </c>
    </row>
    <row r="495" spans="1:10" x14ac:dyDescent="0.3">
      <c r="A495">
        <v>494</v>
      </c>
      <c r="B495" t="s">
        <v>393</v>
      </c>
      <c r="C495" t="s">
        <v>126</v>
      </c>
      <c r="D495" t="s">
        <v>126</v>
      </c>
      <c r="E495" t="s">
        <v>126</v>
      </c>
      <c r="F495" t="s">
        <v>126</v>
      </c>
      <c r="G495" t="s">
        <v>1235</v>
      </c>
      <c r="H495" t="s">
        <v>1235</v>
      </c>
      <c r="I495" t="s">
        <v>126</v>
      </c>
      <c r="J495" t="s">
        <v>925</v>
      </c>
    </row>
    <row r="496" spans="1:10" x14ac:dyDescent="0.3">
      <c r="A496">
        <v>495</v>
      </c>
      <c r="B496" t="s">
        <v>394</v>
      </c>
      <c r="C496" t="s">
        <v>126</v>
      </c>
      <c r="D496" t="s">
        <v>126</v>
      </c>
      <c r="E496" t="s">
        <v>126</v>
      </c>
      <c r="F496" t="s">
        <v>126</v>
      </c>
      <c r="G496" t="s">
        <v>1235</v>
      </c>
      <c r="H496" t="s">
        <v>1235</v>
      </c>
      <c r="I496" t="s">
        <v>126</v>
      </c>
      <c r="J496" t="s">
        <v>925</v>
      </c>
    </row>
    <row r="497" spans="1:10" x14ac:dyDescent="0.3">
      <c r="A497">
        <v>496</v>
      </c>
      <c r="B497" t="s">
        <v>395</v>
      </c>
      <c r="C497" t="s">
        <v>126</v>
      </c>
      <c r="D497" t="s">
        <v>126</v>
      </c>
      <c r="E497" t="s">
        <v>126</v>
      </c>
      <c r="F497" t="s">
        <v>126</v>
      </c>
      <c r="G497" t="s">
        <v>1235</v>
      </c>
      <c r="H497" t="s">
        <v>1235</v>
      </c>
      <c r="I497" t="s">
        <v>126</v>
      </c>
      <c r="J497" t="s">
        <v>925</v>
      </c>
    </row>
    <row r="498" spans="1:10" x14ac:dyDescent="0.3">
      <c r="A498">
        <v>497</v>
      </c>
      <c r="B498" t="s">
        <v>396</v>
      </c>
      <c r="C498" t="s">
        <v>126</v>
      </c>
      <c r="D498" t="s">
        <v>126</v>
      </c>
      <c r="E498" t="s">
        <v>126</v>
      </c>
      <c r="F498" t="s">
        <v>126</v>
      </c>
      <c r="G498" t="s">
        <v>1235</v>
      </c>
      <c r="H498" t="s">
        <v>1235</v>
      </c>
      <c r="I498" t="s">
        <v>126</v>
      </c>
      <c r="J498" t="s">
        <v>925</v>
      </c>
    </row>
    <row r="499" spans="1:10" x14ac:dyDescent="0.3">
      <c r="A499">
        <v>498</v>
      </c>
      <c r="B499" t="s">
        <v>397</v>
      </c>
      <c r="C499" t="s">
        <v>126</v>
      </c>
      <c r="D499" t="s">
        <v>126</v>
      </c>
      <c r="E499" t="s">
        <v>126</v>
      </c>
      <c r="F499" t="s">
        <v>126</v>
      </c>
      <c r="G499" t="s">
        <v>1235</v>
      </c>
      <c r="H499" t="s">
        <v>1235</v>
      </c>
      <c r="I499" t="s">
        <v>126</v>
      </c>
      <c r="J499" t="s">
        <v>925</v>
      </c>
    </row>
    <row r="500" spans="1:10" x14ac:dyDescent="0.3">
      <c r="A500">
        <v>499</v>
      </c>
      <c r="B500" t="s">
        <v>398</v>
      </c>
      <c r="C500" t="s">
        <v>126</v>
      </c>
      <c r="D500" t="s">
        <v>126</v>
      </c>
      <c r="E500" t="s">
        <v>126</v>
      </c>
      <c r="F500" t="s">
        <v>126</v>
      </c>
      <c r="G500" t="s">
        <v>1235</v>
      </c>
      <c r="H500" t="s">
        <v>1235</v>
      </c>
      <c r="I500" t="s">
        <v>126</v>
      </c>
      <c r="J500" t="s">
        <v>925</v>
      </c>
    </row>
    <row r="501" spans="1:10" x14ac:dyDescent="0.3">
      <c r="A501">
        <v>500</v>
      </c>
      <c r="B501" t="s">
        <v>399</v>
      </c>
      <c r="C501" t="s">
        <v>126</v>
      </c>
      <c r="D501" t="s">
        <v>126</v>
      </c>
      <c r="E501" t="s">
        <v>126</v>
      </c>
      <c r="F501" t="s">
        <v>126</v>
      </c>
      <c r="G501" t="s">
        <v>1235</v>
      </c>
      <c r="H501" t="s">
        <v>1235</v>
      </c>
      <c r="I501" t="s">
        <v>126</v>
      </c>
      <c r="J501" t="s">
        <v>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7"/>
  <sheetViews>
    <sheetView workbookViewId="0">
      <selection activeCell="F4" sqref="F4"/>
    </sheetView>
  </sheetViews>
  <sheetFormatPr defaultRowHeight="14.4" x14ac:dyDescent="0.3"/>
  <cols>
    <col min="6" max="6" width="20.5546875" bestFit="1" customWidth="1"/>
  </cols>
  <sheetData>
    <row r="1" spans="1:10" x14ac:dyDescent="0.3">
      <c r="A1" t="s">
        <v>1236</v>
      </c>
      <c r="B1" t="s">
        <v>1</v>
      </c>
      <c r="C1" t="s">
        <v>1237</v>
      </c>
      <c r="D1" t="s">
        <v>1238</v>
      </c>
      <c r="E1" t="s">
        <v>1239</v>
      </c>
      <c r="F1" t="s">
        <v>3</v>
      </c>
      <c r="G1" t="s">
        <v>4</v>
      </c>
      <c r="H1" t="s">
        <v>1240</v>
      </c>
      <c r="I1" t="s">
        <v>1241</v>
      </c>
      <c r="J1" t="s">
        <v>622</v>
      </c>
    </row>
    <row r="2" spans="1:10" x14ac:dyDescent="0.3">
      <c r="A2">
        <f t="shared" ref="A2:A33" si="0">B2*D2*E2</f>
        <v>75.250026854431681</v>
      </c>
      <c r="B2">
        <f>Hitters!A7</f>
        <v>75.250026854431681</v>
      </c>
      <c r="C2">
        <v>88</v>
      </c>
      <c r="D2">
        <v>1</v>
      </c>
      <c r="E2">
        <v>1</v>
      </c>
      <c r="F2" t="s">
        <v>34</v>
      </c>
      <c r="G2" t="s">
        <v>35</v>
      </c>
      <c r="H2" t="s">
        <v>1242</v>
      </c>
      <c r="I2" t="s">
        <v>1243</v>
      </c>
      <c r="J2" t="s">
        <v>626</v>
      </c>
    </row>
    <row r="3" spans="1:10" x14ac:dyDescent="0.3">
      <c r="A3">
        <f t="shared" si="0"/>
        <v>75.184030195036598</v>
      </c>
      <c r="B3">
        <f>Hitters!A8</f>
        <v>83.537811327818446</v>
      </c>
      <c r="C3">
        <v>89</v>
      </c>
      <c r="D3">
        <v>1</v>
      </c>
      <c r="E3">
        <v>0.9</v>
      </c>
      <c r="F3" t="s">
        <v>37</v>
      </c>
      <c r="G3" t="s">
        <v>38</v>
      </c>
      <c r="H3" t="s">
        <v>1242</v>
      </c>
      <c r="I3" t="s">
        <v>1243</v>
      </c>
      <c r="J3" t="s">
        <v>629</v>
      </c>
    </row>
    <row r="4" spans="1:10" x14ac:dyDescent="0.3">
      <c r="A4">
        <f t="shared" si="0"/>
        <v>70.476503664681644</v>
      </c>
      <c r="B4">
        <f>Pitchers!A6</f>
        <v>70.476503664681644</v>
      </c>
      <c r="C4">
        <v>77</v>
      </c>
      <c r="D4">
        <v>1</v>
      </c>
      <c r="E4">
        <v>1</v>
      </c>
      <c r="F4" t="s">
        <v>415</v>
      </c>
      <c r="G4" t="s">
        <v>416</v>
      </c>
      <c r="H4" t="s">
        <v>1244</v>
      </c>
      <c r="I4" t="s">
        <v>1243</v>
      </c>
      <c r="J4" t="s">
        <v>626</v>
      </c>
    </row>
    <row r="5" spans="1:10" x14ac:dyDescent="0.3">
      <c r="A5">
        <f t="shared" si="0"/>
        <v>69.832542819499324</v>
      </c>
      <c r="B5">
        <f>Hitters!A9</f>
        <v>69.832542819499324</v>
      </c>
      <c r="C5">
        <v>81</v>
      </c>
      <c r="D5">
        <v>1</v>
      </c>
      <c r="E5">
        <v>1</v>
      </c>
      <c r="F5" t="s">
        <v>39</v>
      </c>
      <c r="G5" t="s">
        <v>40</v>
      </c>
      <c r="H5" t="s">
        <v>1242</v>
      </c>
      <c r="I5" t="s">
        <v>1243</v>
      </c>
      <c r="J5" t="s">
        <v>632</v>
      </c>
    </row>
    <row r="6" spans="1:10" x14ac:dyDescent="0.3">
      <c r="A6">
        <f t="shared" si="0"/>
        <v>69.566417773705908</v>
      </c>
      <c r="B6">
        <f>Pitchers!A7</f>
        <v>69.566417773705908</v>
      </c>
      <c r="C6">
        <v>71</v>
      </c>
      <c r="D6">
        <v>1</v>
      </c>
      <c r="E6">
        <v>1</v>
      </c>
      <c r="F6" t="s">
        <v>417</v>
      </c>
      <c r="G6" t="s">
        <v>416</v>
      </c>
      <c r="H6" t="s">
        <v>1244</v>
      </c>
      <c r="I6" t="s">
        <v>1243</v>
      </c>
      <c r="J6" t="s">
        <v>639</v>
      </c>
    </row>
    <row r="7" spans="1:10" x14ac:dyDescent="0.3">
      <c r="A7">
        <f t="shared" si="0"/>
        <v>68.441104844251029</v>
      </c>
      <c r="B7">
        <f>Pitchers!A8</f>
        <v>68.441104844251029</v>
      </c>
      <c r="C7">
        <v>69</v>
      </c>
      <c r="D7">
        <v>1</v>
      </c>
      <c r="E7">
        <v>1</v>
      </c>
      <c r="F7" t="s">
        <v>418</v>
      </c>
      <c r="G7" t="s">
        <v>416</v>
      </c>
      <c r="H7" t="s">
        <v>1244</v>
      </c>
      <c r="I7" t="s">
        <v>1243</v>
      </c>
      <c r="J7" t="s">
        <v>626</v>
      </c>
    </row>
    <row r="8" spans="1:10" x14ac:dyDescent="0.3">
      <c r="A8">
        <f t="shared" si="0"/>
        <v>67.41768403925208</v>
      </c>
      <c r="B8">
        <f>Hitters!A10</f>
        <v>67.41768403925208</v>
      </c>
      <c r="C8">
        <v>74</v>
      </c>
      <c r="D8">
        <v>1</v>
      </c>
      <c r="E8">
        <v>1</v>
      </c>
      <c r="F8" t="s">
        <v>41</v>
      </c>
      <c r="G8" t="s">
        <v>42</v>
      </c>
      <c r="H8" t="s">
        <v>1242</v>
      </c>
      <c r="I8" t="s">
        <v>1243</v>
      </c>
      <c r="J8" t="s">
        <v>626</v>
      </c>
    </row>
    <row r="9" spans="1:10" x14ac:dyDescent="0.3">
      <c r="A9">
        <f t="shared" si="0"/>
        <v>67.386698121850642</v>
      </c>
      <c r="B9">
        <f>Pitchers!A9</f>
        <v>74.874109024278496</v>
      </c>
      <c r="C9">
        <v>70</v>
      </c>
      <c r="D9">
        <v>1</v>
      </c>
      <c r="E9">
        <v>0.9</v>
      </c>
      <c r="F9" t="s">
        <v>419</v>
      </c>
      <c r="G9" t="s">
        <v>416</v>
      </c>
      <c r="H9" t="s">
        <v>1244</v>
      </c>
      <c r="I9" t="s">
        <v>1243</v>
      </c>
      <c r="J9" t="s">
        <v>629</v>
      </c>
    </row>
    <row r="10" spans="1:10" x14ac:dyDescent="0.3">
      <c r="A10">
        <f t="shared" si="0"/>
        <v>67.057084440372563</v>
      </c>
      <c r="B10">
        <f>Pitchers!A10</f>
        <v>67.057084440372563</v>
      </c>
      <c r="C10">
        <v>71</v>
      </c>
      <c r="D10">
        <v>1</v>
      </c>
      <c r="E10">
        <v>1</v>
      </c>
      <c r="F10" t="s">
        <v>420</v>
      </c>
      <c r="G10" t="s">
        <v>416</v>
      </c>
      <c r="H10" t="s">
        <v>1244</v>
      </c>
      <c r="I10" t="s">
        <v>1243</v>
      </c>
      <c r="J10" t="s">
        <v>626</v>
      </c>
    </row>
    <row r="11" spans="1:10" x14ac:dyDescent="0.3">
      <c r="A11">
        <f t="shared" si="0"/>
        <v>66.8769201062658</v>
      </c>
      <c r="B11">
        <f>Hitters!A11</f>
        <v>74.307689006961994</v>
      </c>
      <c r="C11">
        <v>80</v>
      </c>
      <c r="D11">
        <v>1</v>
      </c>
      <c r="E11">
        <v>0.9</v>
      </c>
      <c r="F11" t="s">
        <v>43</v>
      </c>
      <c r="G11" t="s">
        <v>35</v>
      </c>
      <c r="H11" t="s">
        <v>1242</v>
      </c>
      <c r="I11" t="s">
        <v>1243</v>
      </c>
      <c r="J11" t="s">
        <v>629</v>
      </c>
    </row>
    <row r="12" spans="1:10" x14ac:dyDescent="0.3">
      <c r="A12">
        <f t="shared" si="0"/>
        <v>64.462091158955559</v>
      </c>
      <c r="B12">
        <f>Pitchers!A11</f>
        <v>64.462091158955559</v>
      </c>
      <c r="C12">
        <v>69</v>
      </c>
      <c r="D12">
        <v>1</v>
      </c>
      <c r="E12">
        <v>1</v>
      </c>
      <c r="F12" t="s">
        <v>421</v>
      </c>
      <c r="G12" t="s">
        <v>416</v>
      </c>
      <c r="H12" t="s">
        <v>1244</v>
      </c>
      <c r="I12" t="s">
        <v>1243</v>
      </c>
      <c r="J12" t="s">
        <v>626</v>
      </c>
    </row>
    <row r="13" spans="1:10" x14ac:dyDescent="0.3">
      <c r="A13">
        <f t="shared" si="0"/>
        <v>63.931150564807005</v>
      </c>
      <c r="B13">
        <f>Hitters!A12</f>
        <v>63.931150564807005</v>
      </c>
      <c r="C13">
        <v>73</v>
      </c>
      <c r="D13">
        <v>1</v>
      </c>
      <c r="E13">
        <v>1</v>
      </c>
      <c r="F13" t="s">
        <v>44</v>
      </c>
      <c r="G13" t="s">
        <v>45</v>
      </c>
      <c r="H13" t="s">
        <v>1242</v>
      </c>
      <c r="I13" t="s">
        <v>1243</v>
      </c>
      <c r="J13" t="s">
        <v>626</v>
      </c>
    </row>
    <row r="14" spans="1:10" x14ac:dyDescent="0.3">
      <c r="A14">
        <f t="shared" si="0"/>
        <v>63.420023906321568</v>
      </c>
      <c r="B14">
        <f>Pitchers!A13</f>
        <v>63.420023906321568</v>
      </c>
      <c r="C14">
        <v>68</v>
      </c>
      <c r="D14">
        <v>1</v>
      </c>
      <c r="E14">
        <v>1</v>
      </c>
      <c r="F14" t="s">
        <v>423</v>
      </c>
      <c r="G14" t="s">
        <v>416</v>
      </c>
      <c r="H14" t="s">
        <v>1244</v>
      </c>
      <c r="I14" t="s">
        <v>1243</v>
      </c>
      <c r="J14" t="s">
        <v>632</v>
      </c>
    </row>
    <row r="15" spans="1:10" x14ac:dyDescent="0.3">
      <c r="A15">
        <f t="shared" si="0"/>
        <v>63.340404260192379</v>
      </c>
      <c r="B15">
        <f>Pitchers!A12</f>
        <v>63.340404260192379</v>
      </c>
      <c r="C15">
        <v>66</v>
      </c>
      <c r="D15">
        <v>1</v>
      </c>
      <c r="E15">
        <v>1</v>
      </c>
      <c r="F15" t="s">
        <v>422</v>
      </c>
      <c r="G15" t="s">
        <v>416</v>
      </c>
      <c r="H15" t="s">
        <v>1244</v>
      </c>
      <c r="I15" t="s">
        <v>1243</v>
      </c>
      <c r="J15" t="s">
        <v>626</v>
      </c>
    </row>
    <row r="16" spans="1:10" x14ac:dyDescent="0.3">
      <c r="A16">
        <f t="shared" si="0"/>
        <v>62.680296766668818</v>
      </c>
      <c r="B16">
        <f>Hitters!A13</f>
        <v>62.680296766668818</v>
      </c>
      <c r="C16">
        <v>80</v>
      </c>
      <c r="D16">
        <v>1</v>
      </c>
      <c r="E16">
        <v>1</v>
      </c>
      <c r="F16" t="s">
        <v>48</v>
      </c>
      <c r="G16" t="s">
        <v>49</v>
      </c>
      <c r="H16" t="s">
        <v>1242</v>
      </c>
      <c r="I16" t="s">
        <v>1243</v>
      </c>
      <c r="J16" t="s">
        <v>626</v>
      </c>
    </row>
    <row r="17" spans="1:10" x14ac:dyDescent="0.3">
      <c r="A17">
        <f t="shared" si="0"/>
        <v>61.737476446575506</v>
      </c>
      <c r="B17">
        <f>Hitters!A14</f>
        <v>68.597196051750558</v>
      </c>
      <c r="C17">
        <v>73</v>
      </c>
      <c r="D17">
        <v>1</v>
      </c>
      <c r="E17">
        <v>0.9</v>
      </c>
      <c r="F17" t="s">
        <v>50</v>
      </c>
      <c r="G17" t="s">
        <v>38</v>
      </c>
      <c r="H17" t="s">
        <v>1242</v>
      </c>
      <c r="I17" t="s">
        <v>1243</v>
      </c>
      <c r="J17" t="s">
        <v>629</v>
      </c>
    </row>
    <row r="18" spans="1:10" x14ac:dyDescent="0.3">
      <c r="A18">
        <f t="shared" si="0"/>
        <v>60.439092133019415</v>
      </c>
      <c r="B18">
        <f>Hitters!A15</f>
        <v>60.439092133019415</v>
      </c>
      <c r="C18">
        <v>74</v>
      </c>
      <c r="D18">
        <v>1</v>
      </c>
      <c r="E18">
        <v>1</v>
      </c>
      <c r="F18" t="s">
        <v>51</v>
      </c>
      <c r="G18" t="s">
        <v>45</v>
      </c>
      <c r="H18" t="s">
        <v>1242</v>
      </c>
      <c r="I18" t="s">
        <v>1243</v>
      </c>
      <c r="J18" t="s">
        <v>626</v>
      </c>
    </row>
    <row r="19" spans="1:10" x14ac:dyDescent="0.3">
      <c r="A19">
        <f t="shared" si="0"/>
        <v>60.171612000259181</v>
      </c>
      <c r="B19">
        <f>Hitters!A16</f>
        <v>66.857346666954641</v>
      </c>
      <c r="C19">
        <v>61</v>
      </c>
      <c r="D19">
        <v>1</v>
      </c>
      <c r="E19">
        <v>0.9</v>
      </c>
      <c r="F19" t="s">
        <v>52</v>
      </c>
      <c r="G19" t="s">
        <v>49</v>
      </c>
      <c r="H19" t="s">
        <v>1242</v>
      </c>
      <c r="I19" t="s">
        <v>1243</v>
      </c>
      <c r="J19" t="s">
        <v>639</v>
      </c>
    </row>
    <row r="20" spans="1:10" x14ac:dyDescent="0.3">
      <c r="A20">
        <f t="shared" si="0"/>
        <v>58.405511076553118</v>
      </c>
      <c r="B20">
        <f>Hitters!A17</f>
        <v>73.006888845691392</v>
      </c>
      <c r="C20">
        <v>85</v>
      </c>
      <c r="D20">
        <v>1</v>
      </c>
      <c r="E20">
        <v>0.8</v>
      </c>
      <c r="F20" t="s">
        <v>53</v>
      </c>
      <c r="G20" t="s">
        <v>49</v>
      </c>
      <c r="H20" t="s">
        <v>1242</v>
      </c>
      <c r="I20" t="s">
        <v>1243</v>
      </c>
      <c r="J20" t="s">
        <v>666</v>
      </c>
    </row>
    <row r="21" spans="1:10" x14ac:dyDescent="0.3">
      <c r="A21">
        <f t="shared" si="0"/>
        <v>58.245667659184605</v>
      </c>
      <c r="B21">
        <f>Pitchers!A14</f>
        <v>58.245667659184605</v>
      </c>
      <c r="C21">
        <v>68</v>
      </c>
      <c r="D21">
        <v>1</v>
      </c>
      <c r="E21">
        <v>1</v>
      </c>
      <c r="F21" t="s">
        <v>424</v>
      </c>
      <c r="G21" t="s">
        <v>416</v>
      </c>
      <c r="H21" t="s">
        <v>1244</v>
      </c>
      <c r="I21" t="s">
        <v>1243</v>
      </c>
      <c r="J21" t="s">
        <v>626</v>
      </c>
    </row>
    <row r="22" spans="1:10" x14ac:dyDescent="0.3">
      <c r="A22">
        <f t="shared" si="0"/>
        <v>57.828152771415482</v>
      </c>
      <c r="B22">
        <f>Pitchers!A15</f>
        <v>57.828152771415482</v>
      </c>
      <c r="C22">
        <v>60</v>
      </c>
      <c r="D22">
        <v>1</v>
      </c>
      <c r="E22">
        <v>1</v>
      </c>
      <c r="F22" t="s">
        <v>425</v>
      </c>
      <c r="G22" t="s">
        <v>416</v>
      </c>
      <c r="H22" t="s">
        <v>1244</v>
      </c>
      <c r="I22" t="s">
        <v>1243</v>
      </c>
      <c r="J22" t="s">
        <v>626</v>
      </c>
    </row>
    <row r="23" spans="1:10" x14ac:dyDescent="0.3">
      <c r="A23">
        <f t="shared" si="0"/>
        <v>55.804694413846228</v>
      </c>
      <c r="B23">
        <f>Hitters!A18</f>
        <v>55.804694413846228</v>
      </c>
      <c r="C23">
        <v>67</v>
      </c>
      <c r="D23">
        <v>1</v>
      </c>
      <c r="E23">
        <v>1</v>
      </c>
      <c r="F23" t="s">
        <v>54</v>
      </c>
      <c r="G23" t="s">
        <v>38</v>
      </c>
      <c r="H23" t="s">
        <v>1242</v>
      </c>
      <c r="I23" t="s">
        <v>1243</v>
      </c>
      <c r="J23" t="s">
        <v>626</v>
      </c>
    </row>
    <row r="24" spans="1:10" x14ac:dyDescent="0.3">
      <c r="A24">
        <f t="shared" si="0"/>
        <v>55.454912690698862</v>
      </c>
      <c r="B24">
        <f>Hitters!A19</f>
        <v>69.318640863373574</v>
      </c>
      <c r="C24">
        <v>76</v>
      </c>
      <c r="D24">
        <v>1</v>
      </c>
      <c r="E24">
        <v>0.8</v>
      </c>
      <c r="F24" t="s">
        <v>55</v>
      </c>
      <c r="G24" t="s">
        <v>38</v>
      </c>
      <c r="H24" t="s">
        <v>1242</v>
      </c>
      <c r="I24" t="s">
        <v>1243</v>
      </c>
      <c r="J24" t="s">
        <v>675</v>
      </c>
    </row>
    <row r="25" spans="1:10" x14ac:dyDescent="0.3">
      <c r="A25">
        <f t="shared" si="0"/>
        <v>54.418215512214076</v>
      </c>
      <c r="B25">
        <f>Hitters!A20</f>
        <v>60.464683902460081</v>
      </c>
      <c r="C25">
        <v>72</v>
      </c>
      <c r="D25">
        <v>1</v>
      </c>
      <c r="E25">
        <v>0.9</v>
      </c>
      <c r="F25" t="s">
        <v>56</v>
      </c>
      <c r="G25" t="s">
        <v>57</v>
      </c>
      <c r="H25" t="s">
        <v>1242</v>
      </c>
      <c r="I25" t="s">
        <v>1243</v>
      </c>
      <c r="J25" t="s">
        <v>629</v>
      </c>
    </row>
    <row r="26" spans="1:10" x14ac:dyDescent="0.3">
      <c r="A26">
        <f t="shared" si="0"/>
        <v>54.24004276550248</v>
      </c>
      <c r="B26">
        <f>Hitters!A21</f>
        <v>54.24004276550248</v>
      </c>
      <c r="C26">
        <v>61</v>
      </c>
      <c r="D26">
        <v>1</v>
      </c>
      <c r="E26">
        <v>1</v>
      </c>
      <c r="F26" t="s">
        <v>58</v>
      </c>
      <c r="G26" t="s">
        <v>35</v>
      </c>
      <c r="H26" t="s">
        <v>1242</v>
      </c>
      <c r="I26" t="s">
        <v>1243</v>
      </c>
      <c r="J26" t="s">
        <v>626</v>
      </c>
    </row>
    <row r="27" spans="1:10" x14ac:dyDescent="0.3">
      <c r="A27">
        <f t="shared" si="0"/>
        <v>53.84671547981597</v>
      </c>
      <c r="B27">
        <f>Hitters!A22</f>
        <v>53.84671547981597</v>
      </c>
      <c r="C27">
        <v>61</v>
      </c>
      <c r="D27">
        <v>1</v>
      </c>
      <c r="E27">
        <v>1</v>
      </c>
      <c r="F27" t="s">
        <v>59</v>
      </c>
      <c r="G27" t="s">
        <v>38</v>
      </c>
      <c r="H27" t="s">
        <v>1242</v>
      </c>
      <c r="I27" t="s">
        <v>1243</v>
      </c>
      <c r="J27" t="s">
        <v>626</v>
      </c>
    </row>
    <row r="28" spans="1:10" x14ac:dyDescent="0.3">
      <c r="A28">
        <f t="shared" si="0"/>
        <v>53.009115895556562</v>
      </c>
      <c r="B28">
        <f>Pitchers!A16</f>
        <v>53.009115895556562</v>
      </c>
      <c r="C28">
        <v>65</v>
      </c>
      <c r="D28">
        <v>1</v>
      </c>
      <c r="E28">
        <v>1</v>
      </c>
      <c r="F28" t="s">
        <v>426</v>
      </c>
      <c r="G28" t="s">
        <v>416</v>
      </c>
      <c r="H28" t="s">
        <v>1244</v>
      </c>
      <c r="I28" t="s">
        <v>1243</v>
      </c>
      <c r="J28" t="s">
        <v>626</v>
      </c>
    </row>
    <row r="29" spans="1:10" x14ac:dyDescent="0.3">
      <c r="A29">
        <f t="shared" si="0"/>
        <v>52.672664125085873</v>
      </c>
      <c r="B29">
        <f>Pitchers!A17</f>
        <v>68.317333495571816</v>
      </c>
      <c r="C29">
        <v>66</v>
      </c>
      <c r="D29">
        <v>0.77100000000000002</v>
      </c>
      <c r="E29">
        <v>1</v>
      </c>
      <c r="F29" t="s">
        <v>427</v>
      </c>
      <c r="G29" t="s">
        <v>416</v>
      </c>
      <c r="H29" t="s">
        <v>1244</v>
      </c>
      <c r="I29" t="s">
        <v>1245</v>
      </c>
      <c r="J29" t="s">
        <v>626</v>
      </c>
    </row>
    <row r="30" spans="1:10" x14ac:dyDescent="0.3">
      <c r="A30">
        <f t="shared" si="0"/>
        <v>51.825509619789273</v>
      </c>
      <c r="B30">
        <f>Pitchers!A18</f>
        <v>51.825509619789273</v>
      </c>
      <c r="C30">
        <v>58</v>
      </c>
      <c r="D30">
        <v>1</v>
      </c>
      <c r="E30">
        <v>1</v>
      </c>
      <c r="F30" t="s">
        <v>428</v>
      </c>
      <c r="G30" t="s">
        <v>416</v>
      </c>
      <c r="H30" t="s">
        <v>1244</v>
      </c>
      <c r="I30" t="s">
        <v>1243</v>
      </c>
      <c r="J30" t="s">
        <v>626</v>
      </c>
    </row>
    <row r="31" spans="1:10" x14ac:dyDescent="0.3">
      <c r="A31">
        <f t="shared" si="0"/>
        <v>51.812048064393032</v>
      </c>
      <c r="B31">
        <f>Hitters!A23</f>
        <v>51.812048064393032</v>
      </c>
      <c r="C31">
        <v>66</v>
      </c>
      <c r="D31">
        <v>1</v>
      </c>
      <c r="E31">
        <v>1</v>
      </c>
      <c r="F31" t="s">
        <v>60</v>
      </c>
      <c r="G31" t="s">
        <v>38</v>
      </c>
      <c r="H31" t="s">
        <v>1242</v>
      </c>
      <c r="I31" t="s">
        <v>1243</v>
      </c>
      <c r="J31" t="s">
        <v>626</v>
      </c>
    </row>
    <row r="32" spans="1:10" x14ac:dyDescent="0.3">
      <c r="A32">
        <f t="shared" si="0"/>
        <v>51.714382600056148</v>
      </c>
      <c r="B32">
        <f>Hitters!A24</f>
        <v>51.714382600056148</v>
      </c>
      <c r="C32">
        <v>58</v>
      </c>
      <c r="D32">
        <v>1</v>
      </c>
      <c r="E32">
        <v>1</v>
      </c>
      <c r="F32" t="s">
        <v>61</v>
      </c>
      <c r="G32" t="s">
        <v>40</v>
      </c>
      <c r="H32" t="s">
        <v>1242</v>
      </c>
      <c r="I32" t="s">
        <v>1243</v>
      </c>
      <c r="J32" t="s">
        <v>626</v>
      </c>
    </row>
    <row r="33" spans="1:10" x14ac:dyDescent="0.3">
      <c r="A33">
        <f t="shared" si="0"/>
        <v>51.360099060925322</v>
      </c>
      <c r="B33">
        <f>Pitchers!A19</f>
        <v>73.371570087036176</v>
      </c>
      <c r="C33">
        <v>74</v>
      </c>
      <c r="D33">
        <v>1</v>
      </c>
      <c r="E33">
        <v>0.7</v>
      </c>
      <c r="F33" t="s">
        <v>429</v>
      </c>
      <c r="G33" t="s">
        <v>416</v>
      </c>
      <c r="H33" t="s">
        <v>1244</v>
      </c>
      <c r="I33" t="s">
        <v>1243</v>
      </c>
      <c r="J33" t="s">
        <v>695</v>
      </c>
    </row>
    <row r="34" spans="1:10" x14ac:dyDescent="0.3">
      <c r="A34">
        <f t="shared" ref="A34:A65" si="1">B34*D34*E34</f>
        <v>51.188506642235453</v>
      </c>
      <c r="B34">
        <f>Pitchers!A20</f>
        <v>51.188506642235453</v>
      </c>
      <c r="C34">
        <v>64</v>
      </c>
      <c r="D34">
        <v>1</v>
      </c>
      <c r="E34">
        <v>1</v>
      </c>
      <c r="F34" t="s">
        <v>430</v>
      </c>
      <c r="G34" t="s">
        <v>416</v>
      </c>
      <c r="H34" t="s">
        <v>1244</v>
      </c>
      <c r="I34" t="s">
        <v>1243</v>
      </c>
      <c r="J34" t="s">
        <v>626</v>
      </c>
    </row>
    <row r="35" spans="1:10" x14ac:dyDescent="0.3">
      <c r="A35">
        <f t="shared" si="1"/>
        <v>49.184994961062749</v>
      </c>
      <c r="B35">
        <f>Pitchers!A21</f>
        <v>61.481243701328431</v>
      </c>
      <c r="C35">
        <v>71</v>
      </c>
      <c r="D35">
        <v>1</v>
      </c>
      <c r="E35">
        <v>0.8</v>
      </c>
      <c r="F35" t="s">
        <v>431</v>
      </c>
      <c r="G35" t="s">
        <v>416</v>
      </c>
      <c r="H35" t="s">
        <v>1244</v>
      </c>
      <c r="I35" t="s">
        <v>1243</v>
      </c>
      <c r="J35" t="s">
        <v>675</v>
      </c>
    </row>
    <row r="36" spans="1:10" x14ac:dyDescent="0.3">
      <c r="A36">
        <f t="shared" si="1"/>
        <v>49.043613147045356</v>
      </c>
      <c r="B36">
        <f>Pitchers!A22</f>
        <v>49.043613147045356</v>
      </c>
      <c r="C36">
        <v>58</v>
      </c>
      <c r="D36">
        <v>1</v>
      </c>
      <c r="E36">
        <v>1</v>
      </c>
      <c r="F36" t="s">
        <v>432</v>
      </c>
      <c r="G36" t="s">
        <v>416</v>
      </c>
      <c r="H36" t="s">
        <v>1244</v>
      </c>
      <c r="I36" t="s">
        <v>1243</v>
      </c>
      <c r="J36" t="s">
        <v>626</v>
      </c>
    </row>
    <row r="37" spans="1:10" x14ac:dyDescent="0.3">
      <c r="A37">
        <f t="shared" si="1"/>
        <v>48.97570774163993</v>
      </c>
      <c r="B37">
        <f>Pitchers!A23</f>
        <v>48.97570774163993</v>
      </c>
      <c r="C37">
        <v>58</v>
      </c>
      <c r="D37">
        <v>1</v>
      </c>
      <c r="E37">
        <v>1</v>
      </c>
      <c r="F37" t="s">
        <v>433</v>
      </c>
      <c r="G37" t="s">
        <v>416</v>
      </c>
      <c r="H37" t="s">
        <v>1244</v>
      </c>
      <c r="I37" t="s">
        <v>1243</v>
      </c>
      <c r="J37" t="s">
        <v>626</v>
      </c>
    </row>
    <row r="38" spans="1:10" x14ac:dyDescent="0.3">
      <c r="A38">
        <f t="shared" si="1"/>
        <v>48.345808188801762</v>
      </c>
      <c r="B38">
        <f>Hitters!A25</f>
        <v>48.345808188801762</v>
      </c>
      <c r="C38">
        <v>56</v>
      </c>
      <c r="D38">
        <v>1</v>
      </c>
      <c r="E38">
        <v>1</v>
      </c>
      <c r="F38" t="s">
        <v>62</v>
      </c>
      <c r="G38" t="s">
        <v>57</v>
      </c>
      <c r="H38" t="s">
        <v>1242</v>
      </c>
      <c r="I38" t="s">
        <v>1243</v>
      </c>
      <c r="J38" t="s">
        <v>626</v>
      </c>
    </row>
    <row r="39" spans="1:10" x14ac:dyDescent="0.3">
      <c r="A39">
        <f t="shared" si="1"/>
        <v>48.301433004312536</v>
      </c>
      <c r="B39">
        <f>Hitters!A26</f>
        <v>48.301433004312536</v>
      </c>
      <c r="C39">
        <v>64</v>
      </c>
      <c r="D39">
        <v>1</v>
      </c>
      <c r="E39">
        <v>1</v>
      </c>
      <c r="F39" t="s">
        <v>63</v>
      </c>
      <c r="G39" t="s">
        <v>64</v>
      </c>
      <c r="H39" t="s">
        <v>1242</v>
      </c>
      <c r="I39" t="s">
        <v>1243</v>
      </c>
      <c r="J39" t="s">
        <v>626</v>
      </c>
    </row>
    <row r="40" spans="1:10" x14ac:dyDescent="0.3">
      <c r="A40">
        <f t="shared" si="1"/>
        <v>48.298891433806681</v>
      </c>
      <c r="B40">
        <f>Pitchers!A24</f>
        <v>48.298891433806681</v>
      </c>
      <c r="C40">
        <v>60</v>
      </c>
      <c r="D40">
        <v>1</v>
      </c>
      <c r="E40">
        <v>1</v>
      </c>
      <c r="F40" t="s">
        <v>434</v>
      </c>
      <c r="G40" t="s">
        <v>416</v>
      </c>
      <c r="H40" t="s">
        <v>1244</v>
      </c>
      <c r="I40" t="s">
        <v>1243</v>
      </c>
      <c r="J40" t="s">
        <v>626</v>
      </c>
    </row>
    <row r="41" spans="1:10" x14ac:dyDescent="0.3">
      <c r="A41">
        <f t="shared" si="1"/>
        <v>48.033574209803021</v>
      </c>
      <c r="B41">
        <f>Pitchers!A26</f>
        <v>48.033574209803021</v>
      </c>
      <c r="C41">
        <v>58</v>
      </c>
      <c r="D41">
        <v>1</v>
      </c>
      <c r="E41">
        <v>1</v>
      </c>
      <c r="F41" t="s">
        <v>436</v>
      </c>
      <c r="G41" t="s">
        <v>416</v>
      </c>
      <c r="H41" t="s">
        <v>1244</v>
      </c>
      <c r="I41" t="s">
        <v>1243</v>
      </c>
      <c r="J41" t="s">
        <v>626</v>
      </c>
    </row>
    <row r="42" spans="1:10" x14ac:dyDescent="0.3">
      <c r="A42">
        <f t="shared" si="1"/>
        <v>47.845069655932079</v>
      </c>
      <c r="B42">
        <f>Hitters!A27</f>
        <v>47.845069655932079</v>
      </c>
      <c r="C42">
        <v>57</v>
      </c>
      <c r="D42">
        <v>1</v>
      </c>
      <c r="E42">
        <v>1</v>
      </c>
      <c r="F42" t="s">
        <v>65</v>
      </c>
      <c r="G42" t="s">
        <v>49</v>
      </c>
      <c r="H42" t="s">
        <v>1242</v>
      </c>
      <c r="I42" t="s">
        <v>1243</v>
      </c>
      <c r="J42" t="s">
        <v>626</v>
      </c>
    </row>
    <row r="43" spans="1:10" x14ac:dyDescent="0.3">
      <c r="A43">
        <f t="shared" si="1"/>
        <v>47.78330158318753</v>
      </c>
      <c r="B43">
        <f>Hitters!A28</f>
        <v>47.78330158318753</v>
      </c>
      <c r="C43">
        <v>53</v>
      </c>
      <c r="D43">
        <v>1</v>
      </c>
      <c r="E43">
        <v>1</v>
      </c>
      <c r="F43" t="s">
        <v>66</v>
      </c>
      <c r="G43" t="s">
        <v>40</v>
      </c>
      <c r="H43" t="s">
        <v>1242</v>
      </c>
      <c r="I43" t="s">
        <v>1243</v>
      </c>
      <c r="J43" t="s">
        <v>626</v>
      </c>
    </row>
    <row r="44" spans="1:10" x14ac:dyDescent="0.3">
      <c r="A44">
        <f t="shared" si="1"/>
        <v>47.623922354557941</v>
      </c>
      <c r="B44">
        <f>Pitchers!A25</f>
        <v>47.623922354557941</v>
      </c>
      <c r="C44">
        <v>53</v>
      </c>
      <c r="D44">
        <v>1</v>
      </c>
      <c r="E44">
        <v>1</v>
      </c>
      <c r="F44" t="s">
        <v>435</v>
      </c>
      <c r="G44" t="s">
        <v>416</v>
      </c>
      <c r="H44" t="s">
        <v>1244</v>
      </c>
      <c r="I44" t="s">
        <v>1243</v>
      </c>
      <c r="J44" t="s">
        <v>626</v>
      </c>
    </row>
    <row r="45" spans="1:10" x14ac:dyDescent="0.3">
      <c r="A45">
        <f t="shared" si="1"/>
        <v>47.536678682044958</v>
      </c>
      <c r="B45">
        <f>Hitters!A29</f>
        <v>61.655873776971411</v>
      </c>
      <c r="C45">
        <v>76</v>
      </c>
      <c r="D45">
        <v>0.77100000000000002</v>
      </c>
      <c r="E45">
        <v>1</v>
      </c>
      <c r="F45" t="s">
        <v>67</v>
      </c>
      <c r="G45" t="s">
        <v>42</v>
      </c>
      <c r="H45" t="s">
        <v>1242</v>
      </c>
      <c r="I45" t="s">
        <v>1245</v>
      </c>
      <c r="J45" t="s">
        <v>626</v>
      </c>
    </row>
    <row r="46" spans="1:10" x14ac:dyDescent="0.3">
      <c r="A46">
        <f t="shared" si="1"/>
        <v>46.326175654333774</v>
      </c>
      <c r="B46">
        <f>Hitters!A30</f>
        <v>60.085830939473112</v>
      </c>
      <c r="C46">
        <v>67</v>
      </c>
      <c r="D46">
        <v>0.77100000000000002</v>
      </c>
      <c r="E46">
        <v>1</v>
      </c>
      <c r="F46" t="s">
        <v>68</v>
      </c>
      <c r="G46" t="s">
        <v>45</v>
      </c>
      <c r="H46" t="s">
        <v>1242</v>
      </c>
      <c r="I46" t="s">
        <v>1245</v>
      </c>
      <c r="J46" t="s">
        <v>626</v>
      </c>
    </row>
    <row r="47" spans="1:10" x14ac:dyDescent="0.3">
      <c r="A47">
        <f t="shared" si="1"/>
        <v>46.245559322033891</v>
      </c>
      <c r="B47">
        <f>Pitchers!A27</f>
        <v>57.806949152542359</v>
      </c>
      <c r="C47">
        <v>60</v>
      </c>
      <c r="D47">
        <v>1</v>
      </c>
      <c r="E47">
        <v>0.8</v>
      </c>
      <c r="F47" t="s">
        <v>437</v>
      </c>
      <c r="G47" t="s">
        <v>416</v>
      </c>
      <c r="H47" t="s">
        <v>1244</v>
      </c>
      <c r="I47" t="s">
        <v>1243</v>
      </c>
      <c r="J47" t="s">
        <v>666</v>
      </c>
    </row>
    <row r="48" spans="1:10" x14ac:dyDescent="0.3">
      <c r="A48">
        <f t="shared" si="1"/>
        <v>45.863593022167493</v>
      </c>
      <c r="B48">
        <f>Hitters!A31</f>
        <v>45.863593022167493</v>
      </c>
      <c r="C48">
        <v>60</v>
      </c>
      <c r="D48">
        <v>1</v>
      </c>
      <c r="E48">
        <v>1</v>
      </c>
      <c r="F48" t="s">
        <v>69</v>
      </c>
      <c r="G48" t="s">
        <v>49</v>
      </c>
      <c r="H48" t="s">
        <v>1242</v>
      </c>
      <c r="I48" t="s">
        <v>1243</v>
      </c>
      <c r="J48" t="s">
        <v>626</v>
      </c>
    </row>
    <row r="49" spans="1:10" x14ac:dyDescent="0.3">
      <c r="A49">
        <f t="shared" si="1"/>
        <v>45.86311360513055</v>
      </c>
      <c r="B49">
        <f>Pitchers!A29</f>
        <v>50.95901511681172</v>
      </c>
      <c r="C49">
        <v>64</v>
      </c>
      <c r="D49">
        <v>1</v>
      </c>
      <c r="E49">
        <v>0.9</v>
      </c>
      <c r="F49" t="s">
        <v>439</v>
      </c>
      <c r="G49" t="s">
        <v>416</v>
      </c>
      <c r="H49" t="s">
        <v>1244</v>
      </c>
      <c r="I49" t="s">
        <v>1243</v>
      </c>
      <c r="J49" t="s">
        <v>629</v>
      </c>
    </row>
    <row r="50" spans="1:10" x14ac:dyDescent="0.3">
      <c r="A50">
        <f t="shared" si="1"/>
        <v>45.78139548098946</v>
      </c>
      <c r="B50">
        <f>Pitchers!A28</f>
        <v>59.379241868987627</v>
      </c>
      <c r="C50">
        <v>67</v>
      </c>
      <c r="D50">
        <v>0.77100000000000002</v>
      </c>
      <c r="E50">
        <v>1</v>
      </c>
      <c r="F50" t="s">
        <v>438</v>
      </c>
      <c r="G50" t="s">
        <v>416</v>
      </c>
      <c r="H50" t="s">
        <v>1244</v>
      </c>
      <c r="I50" t="s">
        <v>1245</v>
      </c>
      <c r="J50" t="s">
        <v>626</v>
      </c>
    </row>
    <row r="51" spans="1:10" x14ac:dyDescent="0.3">
      <c r="A51">
        <f t="shared" si="1"/>
        <v>45.067564131928528</v>
      </c>
      <c r="B51">
        <f>Pitchers!A30</f>
        <v>45.067564131928528</v>
      </c>
      <c r="C51">
        <v>55</v>
      </c>
      <c r="D51">
        <v>1</v>
      </c>
      <c r="E51">
        <v>1</v>
      </c>
      <c r="F51" t="s">
        <v>440</v>
      </c>
      <c r="G51" t="s">
        <v>416</v>
      </c>
      <c r="H51" t="s">
        <v>1244</v>
      </c>
      <c r="I51" t="s">
        <v>1243</v>
      </c>
      <c r="J51" t="s">
        <v>626</v>
      </c>
    </row>
    <row r="52" spans="1:10" x14ac:dyDescent="0.3">
      <c r="A52">
        <f t="shared" si="1"/>
        <v>44.605689418231798</v>
      </c>
      <c r="B52">
        <f>Pitchers!A31</f>
        <v>44.605689418231798</v>
      </c>
      <c r="C52">
        <v>52</v>
      </c>
      <c r="D52">
        <v>1</v>
      </c>
      <c r="E52">
        <v>1</v>
      </c>
      <c r="F52" t="s">
        <v>441</v>
      </c>
      <c r="G52" t="s">
        <v>416</v>
      </c>
      <c r="H52" t="s">
        <v>1244</v>
      </c>
      <c r="I52" t="s">
        <v>1243</v>
      </c>
      <c r="J52" t="s">
        <v>626</v>
      </c>
    </row>
    <row r="53" spans="1:10" x14ac:dyDescent="0.3">
      <c r="A53">
        <f t="shared" si="1"/>
        <v>42.821038467353496</v>
      </c>
      <c r="B53">
        <f>Hitters!A32</f>
        <v>42.821038467353496</v>
      </c>
      <c r="C53">
        <v>54</v>
      </c>
      <c r="D53">
        <v>1</v>
      </c>
      <c r="E53">
        <v>1</v>
      </c>
      <c r="F53" t="s">
        <v>70</v>
      </c>
      <c r="G53" t="s">
        <v>42</v>
      </c>
      <c r="H53" t="s">
        <v>1242</v>
      </c>
      <c r="I53" t="s">
        <v>1243</v>
      </c>
      <c r="J53" t="s">
        <v>626</v>
      </c>
    </row>
    <row r="54" spans="1:10" x14ac:dyDescent="0.3">
      <c r="A54">
        <f t="shared" si="1"/>
        <v>42.542102267521756</v>
      </c>
      <c r="B54">
        <f>Pitchers!A32</f>
        <v>47.269002519468614</v>
      </c>
      <c r="C54">
        <v>60</v>
      </c>
      <c r="D54">
        <v>1</v>
      </c>
      <c r="E54">
        <v>0.9</v>
      </c>
      <c r="F54" t="s">
        <v>442</v>
      </c>
      <c r="G54" t="s">
        <v>416</v>
      </c>
      <c r="H54" t="s">
        <v>1244</v>
      </c>
      <c r="I54" t="s">
        <v>1243</v>
      </c>
      <c r="J54" t="s">
        <v>629</v>
      </c>
    </row>
    <row r="55" spans="1:10" x14ac:dyDescent="0.3">
      <c r="A55">
        <f t="shared" si="1"/>
        <v>42.168468277599622</v>
      </c>
      <c r="B55">
        <f>Pitchers!A33</f>
        <v>46.853853641777356</v>
      </c>
      <c r="C55">
        <v>55</v>
      </c>
      <c r="D55">
        <v>1</v>
      </c>
      <c r="E55">
        <v>0.9</v>
      </c>
      <c r="F55" t="s">
        <v>443</v>
      </c>
      <c r="G55" t="s">
        <v>416</v>
      </c>
      <c r="H55" t="s">
        <v>1244</v>
      </c>
      <c r="I55" t="s">
        <v>1243</v>
      </c>
      <c r="J55" t="s">
        <v>629</v>
      </c>
    </row>
    <row r="56" spans="1:10" x14ac:dyDescent="0.3">
      <c r="A56">
        <f t="shared" si="1"/>
        <v>41.65158039395326</v>
      </c>
      <c r="B56">
        <f>Pitchers!A34</f>
        <v>41.65158039395326</v>
      </c>
      <c r="C56">
        <v>53</v>
      </c>
      <c r="D56">
        <v>1</v>
      </c>
      <c r="E56">
        <v>1</v>
      </c>
      <c r="F56" t="s">
        <v>444</v>
      </c>
      <c r="G56" t="s">
        <v>416</v>
      </c>
      <c r="H56" t="s">
        <v>1244</v>
      </c>
      <c r="I56" t="s">
        <v>1243</v>
      </c>
      <c r="J56" t="s">
        <v>626</v>
      </c>
    </row>
    <row r="57" spans="1:10" x14ac:dyDescent="0.3">
      <c r="A57">
        <f t="shared" si="1"/>
        <v>41.301461749885476</v>
      </c>
      <c r="B57">
        <f>Pitchers!A35</f>
        <v>45.890513055428308</v>
      </c>
      <c r="C57">
        <v>59</v>
      </c>
      <c r="D57">
        <v>1</v>
      </c>
      <c r="E57">
        <v>0.9</v>
      </c>
      <c r="F57" t="s">
        <v>445</v>
      </c>
      <c r="G57" t="s">
        <v>416</v>
      </c>
      <c r="H57" t="s">
        <v>1244</v>
      </c>
      <c r="I57" t="s">
        <v>1243</v>
      </c>
      <c r="J57" t="s">
        <v>639</v>
      </c>
    </row>
    <row r="58" spans="1:10" x14ac:dyDescent="0.3">
      <c r="A58">
        <f t="shared" si="1"/>
        <v>40.991415824553364</v>
      </c>
      <c r="B58">
        <f>Pitchers!A36</f>
        <v>53.166557489693076</v>
      </c>
      <c r="C58">
        <v>56</v>
      </c>
      <c r="D58">
        <v>0.77100000000000002</v>
      </c>
      <c r="E58">
        <v>1</v>
      </c>
      <c r="F58" t="s">
        <v>446</v>
      </c>
      <c r="G58" t="s">
        <v>416</v>
      </c>
      <c r="H58" t="s">
        <v>1244</v>
      </c>
      <c r="I58" t="s">
        <v>1245</v>
      </c>
      <c r="J58" t="s">
        <v>626</v>
      </c>
    </row>
    <row r="59" spans="1:10" x14ac:dyDescent="0.3">
      <c r="A59">
        <f t="shared" si="1"/>
        <v>40.975238376206818</v>
      </c>
      <c r="B59">
        <f>Hitters!A33</f>
        <v>53.145575066416107</v>
      </c>
      <c r="C59">
        <v>67</v>
      </c>
      <c r="D59">
        <v>0.77100000000000002</v>
      </c>
      <c r="E59">
        <v>1</v>
      </c>
      <c r="F59" t="s">
        <v>71</v>
      </c>
      <c r="G59" t="s">
        <v>40</v>
      </c>
      <c r="H59" t="s">
        <v>1242</v>
      </c>
      <c r="I59" t="s">
        <v>1245</v>
      </c>
      <c r="J59" t="s">
        <v>626</v>
      </c>
    </row>
    <row r="60" spans="1:10" x14ac:dyDescent="0.3">
      <c r="A60">
        <f t="shared" si="1"/>
        <v>40.55892722171324</v>
      </c>
      <c r="B60">
        <f>Pitchers!A37</f>
        <v>45.065474690792492</v>
      </c>
      <c r="C60">
        <v>51</v>
      </c>
      <c r="D60">
        <v>1</v>
      </c>
      <c r="E60">
        <v>0.9</v>
      </c>
      <c r="F60" t="s">
        <v>447</v>
      </c>
      <c r="G60" t="s">
        <v>416</v>
      </c>
      <c r="H60" t="s">
        <v>1244</v>
      </c>
      <c r="I60" t="s">
        <v>1243</v>
      </c>
      <c r="J60" t="s">
        <v>629</v>
      </c>
    </row>
    <row r="61" spans="1:10" x14ac:dyDescent="0.3">
      <c r="A61">
        <f t="shared" si="1"/>
        <v>40.556357420980291</v>
      </c>
      <c r="B61">
        <f>Pitchers!A38</f>
        <v>57.937653458543281</v>
      </c>
      <c r="C61">
        <v>69</v>
      </c>
      <c r="D61">
        <v>1</v>
      </c>
      <c r="E61">
        <v>0.7</v>
      </c>
      <c r="F61" t="s">
        <v>448</v>
      </c>
      <c r="G61" t="s">
        <v>416</v>
      </c>
      <c r="H61" t="s">
        <v>1244</v>
      </c>
      <c r="I61" t="s">
        <v>1243</v>
      </c>
      <c r="J61" t="s">
        <v>695</v>
      </c>
    </row>
    <row r="62" spans="1:10" x14ac:dyDescent="0.3">
      <c r="A62">
        <f t="shared" si="1"/>
        <v>40.43992930012886</v>
      </c>
      <c r="B62">
        <f>Hitters!A34</f>
        <v>40.43992930012886</v>
      </c>
      <c r="C62">
        <v>58</v>
      </c>
      <c r="D62">
        <v>1</v>
      </c>
      <c r="E62">
        <v>1</v>
      </c>
      <c r="F62" t="s">
        <v>72</v>
      </c>
      <c r="G62" t="s">
        <v>73</v>
      </c>
      <c r="H62" t="s">
        <v>1242</v>
      </c>
      <c r="I62" t="s">
        <v>1243</v>
      </c>
      <c r="J62" t="s">
        <v>626</v>
      </c>
    </row>
    <row r="63" spans="1:10" x14ac:dyDescent="0.3">
      <c r="A63">
        <f t="shared" si="1"/>
        <v>40.418847203323317</v>
      </c>
      <c r="B63">
        <f>Hitters!A35</f>
        <v>40.418847203323317</v>
      </c>
      <c r="C63">
        <v>56</v>
      </c>
      <c r="D63">
        <v>1</v>
      </c>
      <c r="E63">
        <v>1</v>
      </c>
      <c r="F63" t="s">
        <v>74</v>
      </c>
      <c r="G63" t="s">
        <v>38</v>
      </c>
      <c r="H63" t="s">
        <v>1242</v>
      </c>
      <c r="I63" t="s">
        <v>1243</v>
      </c>
      <c r="J63" t="s">
        <v>626</v>
      </c>
    </row>
    <row r="64" spans="1:10" x14ac:dyDescent="0.3">
      <c r="A64">
        <f t="shared" si="1"/>
        <v>39.949601244087333</v>
      </c>
      <c r="B64">
        <f>Hitters!A36</f>
        <v>44.3884458267637</v>
      </c>
      <c r="C64">
        <v>56</v>
      </c>
      <c r="D64">
        <v>1</v>
      </c>
      <c r="E64">
        <v>0.9</v>
      </c>
      <c r="F64" t="s">
        <v>75</v>
      </c>
      <c r="G64" t="s">
        <v>45</v>
      </c>
      <c r="H64" t="s">
        <v>1242</v>
      </c>
      <c r="I64" t="s">
        <v>1243</v>
      </c>
      <c r="J64" t="s">
        <v>629</v>
      </c>
    </row>
    <row r="65" spans="1:10" x14ac:dyDescent="0.3">
      <c r="A65">
        <f t="shared" si="1"/>
        <v>39.912316030691699</v>
      </c>
      <c r="B65">
        <f>Pitchers!A39</f>
        <v>51.766946862116342</v>
      </c>
      <c r="C65">
        <v>53</v>
      </c>
      <c r="D65">
        <v>0.77100000000000002</v>
      </c>
      <c r="E65">
        <v>1</v>
      </c>
      <c r="F65" t="s">
        <v>449</v>
      </c>
      <c r="G65" t="s">
        <v>416</v>
      </c>
      <c r="H65" t="s">
        <v>1244</v>
      </c>
      <c r="I65" t="s">
        <v>1245</v>
      </c>
      <c r="J65" t="s">
        <v>626</v>
      </c>
    </row>
    <row r="66" spans="1:10" x14ac:dyDescent="0.3">
      <c r="A66">
        <f t="shared" ref="A66:A97" si="2">B66*D66*E66</f>
        <v>39.812983145784273</v>
      </c>
      <c r="B66">
        <f>Hitters!A37</f>
        <v>39.812983145784273</v>
      </c>
      <c r="C66">
        <v>45</v>
      </c>
      <c r="D66">
        <v>1</v>
      </c>
      <c r="E66">
        <v>1</v>
      </c>
      <c r="F66" t="s">
        <v>76</v>
      </c>
      <c r="G66" t="s">
        <v>57</v>
      </c>
      <c r="H66" t="s">
        <v>1242</v>
      </c>
      <c r="I66" t="s">
        <v>1243</v>
      </c>
      <c r="J66" t="s">
        <v>626</v>
      </c>
    </row>
    <row r="67" spans="1:10" x14ac:dyDescent="0.3">
      <c r="A67">
        <f t="shared" si="2"/>
        <v>39.718165979106814</v>
      </c>
      <c r="B67">
        <f>Hitters!A38</f>
        <v>39.718165979106814</v>
      </c>
      <c r="C67">
        <v>53</v>
      </c>
      <c r="D67">
        <v>1</v>
      </c>
      <c r="E67">
        <v>1</v>
      </c>
      <c r="F67" t="s">
        <v>77</v>
      </c>
      <c r="G67" t="s">
        <v>38</v>
      </c>
      <c r="H67" t="s">
        <v>1242</v>
      </c>
      <c r="I67" t="s">
        <v>1243</v>
      </c>
      <c r="J67" t="s">
        <v>626</v>
      </c>
    </row>
    <row r="68" spans="1:10" x14ac:dyDescent="0.3">
      <c r="A68">
        <f t="shared" si="2"/>
        <v>38.980859485806022</v>
      </c>
      <c r="B68">
        <f>Hitters!A39</f>
        <v>38.980859485806022</v>
      </c>
      <c r="C68">
        <v>54</v>
      </c>
      <c r="D68">
        <v>1</v>
      </c>
      <c r="E68">
        <v>1</v>
      </c>
      <c r="F68" t="s">
        <v>78</v>
      </c>
      <c r="G68" t="s">
        <v>49</v>
      </c>
      <c r="H68" t="s">
        <v>1242</v>
      </c>
      <c r="I68" t="s">
        <v>1243</v>
      </c>
      <c r="J68" t="s">
        <v>626</v>
      </c>
    </row>
    <row r="69" spans="1:10" x14ac:dyDescent="0.3">
      <c r="A69">
        <f t="shared" si="2"/>
        <v>38.890562949523748</v>
      </c>
      <c r="B69">
        <f>Hitters!A40</f>
        <v>43.211736610581937</v>
      </c>
      <c r="C69">
        <v>54</v>
      </c>
      <c r="D69">
        <v>1</v>
      </c>
      <c r="E69">
        <v>0.9</v>
      </c>
      <c r="F69" t="s">
        <v>79</v>
      </c>
      <c r="G69" t="s">
        <v>57</v>
      </c>
      <c r="H69" t="s">
        <v>1242</v>
      </c>
      <c r="I69" t="s">
        <v>1243</v>
      </c>
      <c r="J69" t="s">
        <v>629</v>
      </c>
    </row>
    <row r="70" spans="1:10" x14ac:dyDescent="0.3">
      <c r="A70">
        <f t="shared" si="2"/>
        <v>38.845449361757268</v>
      </c>
      <c r="B70">
        <f>Hitters!A41</f>
        <v>43.161610401952515</v>
      </c>
      <c r="C70">
        <v>57</v>
      </c>
      <c r="D70">
        <v>1</v>
      </c>
      <c r="E70">
        <v>0.9</v>
      </c>
      <c r="F70" t="s">
        <v>80</v>
      </c>
      <c r="G70" t="s">
        <v>40</v>
      </c>
      <c r="H70" t="s">
        <v>1242</v>
      </c>
      <c r="I70" t="s">
        <v>1243</v>
      </c>
      <c r="J70" t="s">
        <v>629</v>
      </c>
    </row>
    <row r="71" spans="1:10" x14ac:dyDescent="0.3">
      <c r="A71">
        <f t="shared" si="2"/>
        <v>38.844867635730068</v>
      </c>
      <c r="B71">
        <f>Hitters!A42</f>
        <v>38.844867635730068</v>
      </c>
      <c r="C71">
        <v>46</v>
      </c>
      <c r="D71">
        <v>1</v>
      </c>
      <c r="E71">
        <v>1</v>
      </c>
      <c r="F71" t="s">
        <v>81</v>
      </c>
      <c r="G71" t="s">
        <v>57</v>
      </c>
      <c r="H71" t="s">
        <v>1242</v>
      </c>
      <c r="I71" t="s">
        <v>1243</v>
      </c>
      <c r="J71" t="s">
        <v>626</v>
      </c>
    </row>
    <row r="72" spans="1:10" x14ac:dyDescent="0.3">
      <c r="A72">
        <f t="shared" si="2"/>
        <v>38.756671319034965</v>
      </c>
      <c r="B72">
        <f>Hitters!A43</f>
        <v>50.268056185518759</v>
      </c>
      <c r="C72">
        <v>65</v>
      </c>
      <c r="D72">
        <v>0.77100000000000002</v>
      </c>
      <c r="E72">
        <v>1</v>
      </c>
      <c r="F72" t="s">
        <v>82</v>
      </c>
      <c r="G72" t="s">
        <v>57</v>
      </c>
      <c r="H72" t="s">
        <v>1242</v>
      </c>
      <c r="I72" t="s">
        <v>1245</v>
      </c>
      <c r="J72" t="s">
        <v>626</v>
      </c>
    </row>
    <row r="73" spans="1:10" x14ac:dyDescent="0.3">
      <c r="A73">
        <f t="shared" si="2"/>
        <v>38.680191250572591</v>
      </c>
      <c r="B73">
        <f>Pitchers!A40</f>
        <v>38.680191250572591</v>
      </c>
      <c r="C73">
        <v>50</v>
      </c>
      <c r="D73">
        <v>1</v>
      </c>
      <c r="E73">
        <v>1</v>
      </c>
      <c r="F73" t="s">
        <v>450</v>
      </c>
      <c r="G73" t="s">
        <v>416</v>
      </c>
      <c r="H73" t="s">
        <v>1244</v>
      </c>
      <c r="I73" t="s">
        <v>1243</v>
      </c>
      <c r="J73" t="s">
        <v>626</v>
      </c>
    </row>
    <row r="74" spans="1:10" x14ac:dyDescent="0.3">
      <c r="A74">
        <f t="shared" si="2"/>
        <v>38.670322901142562</v>
      </c>
      <c r="B74">
        <f>Hitters!A44</f>
        <v>38.670322901142562</v>
      </c>
      <c r="C74">
        <v>49</v>
      </c>
      <c r="D74">
        <v>1</v>
      </c>
      <c r="E74">
        <v>1</v>
      </c>
      <c r="F74" t="s">
        <v>83</v>
      </c>
      <c r="G74" t="s">
        <v>45</v>
      </c>
      <c r="H74" t="s">
        <v>1242</v>
      </c>
      <c r="I74" t="s">
        <v>1243</v>
      </c>
      <c r="J74" t="s">
        <v>626</v>
      </c>
    </row>
    <row r="75" spans="1:10" x14ac:dyDescent="0.3">
      <c r="A75">
        <f t="shared" si="2"/>
        <v>38.597770842876777</v>
      </c>
      <c r="B75">
        <f>Pitchers!A41</f>
        <v>42.88641204764086</v>
      </c>
      <c r="C75">
        <v>53</v>
      </c>
      <c r="D75">
        <v>1</v>
      </c>
      <c r="E75">
        <v>0.9</v>
      </c>
      <c r="F75" t="s">
        <v>451</v>
      </c>
      <c r="G75" t="s">
        <v>416</v>
      </c>
      <c r="H75" t="s">
        <v>1244</v>
      </c>
      <c r="I75" t="s">
        <v>1243</v>
      </c>
      <c r="J75" t="s">
        <v>629</v>
      </c>
    </row>
    <row r="76" spans="1:10" x14ac:dyDescent="0.3">
      <c r="A76">
        <f t="shared" si="2"/>
        <v>38.101313289703867</v>
      </c>
      <c r="B76">
        <f>Hitters!A45</f>
        <v>42.334792544115409</v>
      </c>
      <c r="C76">
        <v>55</v>
      </c>
      <c r="D76">
        <v>1</v>
      </c>
      <c r="E76">
        <v>0.9</v>
      </c>
      <c r="F76" t="s">
        <v>84</v>
      </c>
      <c r="G76" t="s">
        <v>40</v>
      </c>
      <c r="H76" t="s">
        <v>1242</v>
      </c>
      <c r="I76" t="s">
        <v>1243</v>
      </c>
      <c r="J76" t="s">
        <v>629</v>
      </c>
    </row>
    <row r="77" spans="1:10" x14ac:dyDescent="0.3">
      <c r="A77">
        <f t="shared" si="2"/>
        <v>38.059600567326868</v>
      </c>
      <c r="B77">
        <f>Hitters!A46</f>
        <v>38.059600567326868</v>
      </c>
      <c r="C77">
        <v>52</v>
      </c>
      <c r="D77">
        <v>1</v>
      </c>
      <c r="E77">
        <v>1</v>
      </c>
      <c r="F77" t="s">
        <v>85</v>
      </c>
      <c r="G77" t="s">
        <v>42</v>
      </c>
      <c r="H77" t="s">
        <v>1242</v>
      </c>
      <c r="I77" t="s">
        <v>1243</v>
      </c>
      <c r="J77" t="s">
        <v>626</v>
      </c>
    </row>
    <row r="78" spans="1:10" x14ac:dyDescent="0.3">
      <c r="A78">
        <f t="shared" si="2"/>
        <v>37.876639524251779</v>
      </c>
      <c r="B78">
        <f>Hitters!A47</f>
        <v>37.876639524251779</v>
      </c>
      <c r="C78">
        <v>53</v>
      </c>
      <c r="D78">
        <v>1</v>
      </c>
      <c r="E78">
        <v>1</v>
      </c>
      <c r="F78" t="s">
        <v>86</v>
      </c>
      <c r="G78" t="s">
        <v>42</v>
      </c>
      <c r="H78" t="s">
        <v>1242</v>
      </c>
      <c r="I78" t="s">
        <v>1243</v>
      </c>
      <c r="J78" t="s">
        <v>626</v>
      </c>
    </row>
    <row r="79" spans="1:10" x14ac:dyDescent="0.3">
      <c r="A79">
        <f t="shared" si="2"/>
        <v>37.53339715987174</v>
      </c>
      <c r="B79">
        <f>Pitchers!A42</f>
        <v>46.916746449839671</v>
      </c>
      <c r="C79">
        <v>57</v>
      </c>
      <c r="D79">
        <v>1</v>
      </c>
      <c r="E79">
        <v>0.8</v>
      </c>
      <c r="F79" t="s">
        <v>452</v>
      </c>
      <c r="G79" t="s">
        <v>416</v>
      </c>
      <c r="H79" t="s">
        <v>1244</v>
      </c>
      <c r="I79" t="s">
        <v>1243</v>
      </c>
      <c r="J79" t="s">
        <v>675</v>
      </c>
    </row>
    <row r="80" spans="1:10" x14ac:dyDescent="0.3">
      <c r="A80">
        <f t="shared" si="2"/>
        <v>37.485204993128718</v>
      </c>
      <c r="B80">
        <f>Pitchers!A43</f>
        <v>37.485204993128718</v>
      </c>
      <c r="C80">
        <v>49</v>
      </c>
      <c r="D80">
        <v>1</v>
      </c>
      <c r="E80">
        <v>1</v>
      </c>
      <c r="F80" t="s">
        <v>453</v>
      </c>
      <c r="G80" t="s">
        <v>416</v>
      </c>
      <c r="H80" t="s">
        <v>1244</v>
      </c>
      <c r="I80" t="s">
        <v>1243</v>
      </c>
      <c r="J80" t="s">
        <v>626</v>
      </c>
    </row>
    <row r="81" spans="1:10" x14ac:dyDescent="0.3">
      <c r="A81">
        <f t="shared" si="2"/>
        <v>37.471364478714428</v>
      </c>
      <c r="B81">
        <f>Hitters!A48</f>
        <v>41.634849420793806</v>
      </c>
      <c r="C81">
        <v>53</v>
      </c>
      <c r="D81">
        <v>1</v>
      </c>
      <c r="E81">
        <v>0.9</v>
      </c>
      <c r="F81" t="s">
        <v>87</v>
      </c>
      <c r="G81" t="s">
        <v>42</v>
      </c>
      <c r="H81" t="s">
        <v>1242</v>
      </c>
      <c r="I81" t="s">
        <v>1243</v>
      </c>
      <c r="J81" t="s">
        <v>629</v>
      </c>
    </row>
    <row r="82" spans="1:10" x14ac:dyDescent="0.3">
      <c r="A82">
        <f t="shared" si="2"/>
        <v>37.334177124055934</v>
      </c>
      <c r="B82">
        <f>Hitters!A49</f>
        <v>37.334177124055934</v>
      </c>
      <c r="C82">
        <v>51</v>
      </c>
      <c r="D82">
        <v>1</v>
      </c>
      <c r="E82">
        <v>1</v>
      </c>
      <c r="F82" t="s">
        <v>88</v>
      </c>
      <c r="G82" t="s">
        <v>57</v>
      </c>
      <c r="H82" t="s">
        <v>1242</v>
      </c>
      <c r="I82" t="s">
        <v>1243</v>
      </c>
      <c r="J82" t="s">
        <v>626</v>
      </c>
    </row>
    <row r="83" spans="1:10" x14ac:dyDescent="0.3">
      <c r="A83">
        <f t="shared" si="2"/>
        <v>37.291018666972057</v>
      </c>
      <c r="B83">
        <f>Pitchers!A45</f>
        <v>41.434465185524509</v>
      </c>
      <c r="C83">
        <v>49</v>
      </c>
      <c r="D83">
        <v>1</v>
      </c>
      <c r="E83">
        <v>0.9</v>
      </c>
      <c r="F83" t="s">
        <v>455</v>
      </c>
      <c r="G83" t="s">
        <v>416</v>
      </c>
      <c r="H83" t="s">
        <v>1244</v>
      </c>
      <c r="I83" t="s">
        <v>1243</v>
      </c>
      <c r="J83" t="s">
        <v>629</v>
      </c>
    </row>
    <row r="84" spans="1:10" x14ac:dyDescent="0.3">
      <c r="A84">
        <f t="shared" si="2"/>
        <v>37.116350209723734</v>
      </c>
      <c r="B84">
        <f>Hitters!A50</f>
        <v>48.140532048928321</v>
      </c>
      <c r="C84">
        <v>56</v>
      </c>
      <c r="D84">
        <v>0.77100000000000002</v>
      </c>
      <c r="E84">
        <v>1</v>
      </c>
      <c r="F84" t="s">
        <v>89</v>
      </c>
      <c r="G84" t="s">
        <v>57</v>
      </c>
      <c r="H84" t="s">
        <v>1242</v>
      </c>
      <c r="I84" t="s">
        <v>1245</v>
      </c>
      <c r="J84" t="s">
        <v>626</v>
      </c>
    </row>
    <row r="85" spans="1:10" x14ac:dyDescent="0.3">
      <c r="A85">
        <f t="shared" si="2"/>
        <v>37.113239807604209</v>
      </c>
      <c r="B85">
        <f>Pitchers!A44</f>
        <v>37.113239807604209</v>
      </c>
      <c r="C85">
        <v>41</v>
      </c>
      <c r="D85">
        <v>1</v>
      </c>
      <c r="E85">
        <v>1</v>
      </c>
      <c r="F85" t="s">
        <v>454</v>
      </c>
      <c r="G85" t="s">
        <v>416</v>
      </c>
      <c r="H85" t="s">
        <v>1244</v>
      </c>
      <c r="I85" t="s">
        <v>1243</v>
      </c>
      <c r="J85" t="s">
        <v>626</v>
      </c>
    </row>
    <row r="86" spans="1:10" x14ac:dyDescent="0.3">
      <c r="A86">
        <f t="shared" si="2"/>
        <v>36.821610257960934</v>
      </c>
      <c r="B86">
        <f>Hitters!A51</f>
        <v>36.821610257960934</v>
      </c>
      <c r="C86">
        <v>48</v>
      </c>
      <c r="D86">
        <v>1</v>
      </c>
      <c r="E86">
        <v>1</v>
      </c>
      <c r="F86" t="s">
        <v>90</v>
      </c>
      <c r="G86" t="s">
        <v>42</v>
      </c>
      <c r="H86" t="s">
        <v>1242</v>
      </c>
      <c r="I86" t="s">
        <v>1243</v>
      </c>
      <c r="J86" t="s">
        <v>626</v>
      </c>
    </row>
    <row r="87" spans="1:10" x14ac:dyDescent="0.3">
      <c r="A87">
        <f t="shared" si="2"/>
        <v>36.237747107568907</v>
      </c>
      <c r="B87">
        <f>Hitters!A52</f>
        <v>36.237747107568907</v>
      </c>
      <c r="C87">
        <v>55</v>
      </c>
      <c r="D87">
        <v>1</v>
      </c>
      <c r="E87">
        <v>1</v>
      </c>
      <c r="F87" t="s">
        <v>91</v>
      </c>
      <c r="G87" t="s">
        <v>49</v>
      </c>
      <c r="H87" t="s">
        <v>1242</v>
      </c>
      <c r="I87" t="s">
        <v>1243</v>
      </c>
      <c r="J87" t="s">
        <v>626</v>
      </c>
    </row>
    <row r="88" spans="1:10" x14ac:dyDescent="0.3">
      <c r="A88">
        <f t="shared" si="2"/>
        <v>36.230767979150016</v>
      </c>
      <c r="B88">
        <f>Hitters!A53</f>
        <v>36.230767979150016</v>
      </c>
      <c r="C88">
        <v>57</v>
      </c>
      <c r="D88">
        <v>1</v>
      </c>
      <c r="E88">
        <v>1</v>
      </c>
      <c r="F88" t="s">
        <v>92</v>
      </c>
      <c r="G88" t="s">
        <v>49</v>
      </c>
      <c r="H88" t="s">
        <v>1242</v>
      </c>
      <c r="I88" t="s">
        <v>1243</v>
      </c>
      <c r="J88" t="s">
        <v>626</v>
      </c>
    </row>
    <row r="89" spans="1:10" x14ac:dyDescent="0.3">
      <c r="A89">
        <f t="shared" si="2"/>
        <v>36.13952698762391</v>
      </c>
      <c r="B89">
        <f>Hitters!A54</f>
        <v>36.13952698762391</v>
      </c>
      <c r="C89">
        <v>50</v>
      </c>
      <c r="D89">
        <v>1</v>
      </c>
      <c r="E89">
        <v>1</v>
      </c>
      <c r="F89" t="s">
        <v>93</v>
      </c>
      <c r="G89" t="s">
        <v>45</v>
      </c>
      <c r="H89" t="s">
        <v>1242</v>
      </c>
      <c r="I89" t="s">
        <v>1243</v>
      </c>
      <c r="J89" t="s">
        <v>626</v>
      </c>
    </row>
    <row r="90" spans="1:10" x14ac:dyDescent="0.3">
      <c r="A90">
        <f t="shared" si="2"/>
        <v>35.146493815849745</v>
      </c>
      <c r="B90">
        <f>Pitchers!A46</f>
        <v>35.146493815849745</v>
      </c>
      <c r="C90">
        <v>42</v>
      </c>
      <c r="D90">
        <v>1</v>
      </c>
      <c r="E90">
        <v>1</v>
      </c>
      <c r="F90" t="s">
        <v>456</v>
      </c>
      <c r="G90" t="s">
        <v>416</v>
      </c>
      <c r="H90" t="s">
        <v>1244</v>
      </c>
      <c r="I90" t="s">
        <v>1243</v>
      </c>
      <c r="J90" t="s">
        <v>626</v>
      </c>
    </row>
    <row r="91" spans="1:10" x14ac:dyDescent="0.3">
      <c r="A91">
        <f t="shared" si="2"/>
        <v>34.814066020144416</v>
      </c>
      <c r="B91">
        <f>Hitters!A55</f>
        <v>43.517582525180522</v>
      </c>
      <c r="C91">
        <v>60</v>
      </c>
      <c r="D91">
        <v>1</v>
      </c>
      <c r="E91">
        <v>0.8</v>
      </c>
      <c r="F91" t="s">
        <v>94</v>
      </c>
      <c r="G91" t="s">
        <v>40</v>
      </c>
      <c r="H91" t="s">
        <v>1242</v>
      </c>
      <c r="I91" t="s">
        <v>1243</v>
      </c>
      <c r="J91" t="s">
        <v>812</v>
      </c>
    </row>
    <row r="92" spans="1:10" x14ac:dyDescent="0.3">
      <c r="A92">
        <f t="shared" si="2"/>
        <v>34.277675500458081</v>
      </c>
      <c r="B92">
        <f>Pitchers!A47</f>
        <v>44.458723087494263</v>
      </c>
      <c r="C92">
        <v>56</v>
      </c>
      <c r="D92">
        <v>0.77100000000000002</v>
      </c>
      <c r="E92">
        <v>1</v>
      </c>
      <c r="F92" t="s">
        <v>457</v>
      </c>
      <c r="G92" t="s">
        <v>416</v>
      </c>
      <c r="H92" t="s">
        <v>1244</v>
      </c>
      <c r="I92" t="s">
        <v>1245</v>
      </c>
      <c r="J92" t="s">
        <v>626</v>
      </c>
    </row>
    <row r="93" spans="1:10" x14ac:dyDescent="0.3">
      <c r="A93">
        <f t="shared" si="2"/>
        <v>33.967136610985108</v>
      </c>
      <c r="B93">
        <f>Hitters!A56</f>
        <v>55.069936139729421</v>
      </c>
      <c r="C93">
        <v>66</v>
      </c>
      <c r="D93">
        <v>0.77100000000000002</v>
      </c>
      <c r="E93">
        <v>0.8</v>
      </c>
      <c r="F93" t="s">
        <v>95</v>
      </c>
      <c r="G93" t="s">
        <v>49</v>
      </c>
      <c r="H93" t="s">
        <v>1242</v>
      </c>
      <c r="I93" t="s">
        <v>1245</v>
      </c>
      <c r="J93" t="s">
        <v>815</v>
      </c>
    </row>
    <row r="94" spans="1:10" x14ac:dyDescent="0.3">
      <c r="A94">
        <f t="shared" si="2"/>
        <v>33.964316801420061</v>
      </c>
      <c r="B94">
        <f>Pitchers!A48</f>
        <v>44.052291571232246</v>
      </c>
      <c r="C94">
        <v>61</v>
      </c>
      <c r="D94">
        <v>0.77100000000000002</v>
      </c>
      <c r="E94">
        <v>1</v>
      </c>
      <c r="F94" t="s">
        <v>458</v>
      </c>
      <c r="G94" t="s">
        <v>416</v>
      </c>
      <c r="H94" t="s">
        <v>1244</v>
      </c>
      <c r="I94" t="s">
        <v>1245</v>
      </c>
      <c r="J94" t="s">
        <v>626</v>
      </c>
    </row>
    <row r="95" spans="1:10" x14ac:dyDescent="0.3">
      <c r="A95">
        <f t="shared" si="2"/>
        <v>33.853282180485571</v>
      </c>
      <c r="B95">
        <f>Pitchers!A49</f>
        <v>33.853282180485571</v>
      </c>
      <c r="C95">
        <v>41</v>
      </c>
      <c r="D95">
        <v>1</v>
      </c>
      <c r="E95">
        <v>1</v>
      </c>
      <c r="F95" t="s">
        <v>459</v>
      </c>
      <c r="G95" t="s">
        <v>416</v>
      </c>
      <c r="H95" t="s">
        <v>1244</v>
      </c>
      <c r="I95" t="s">
        <v>1243</v>
      </c>
      <c r="J95" t="s">
        <v>626</v>
      </c>
    </row>
    <row r="96" spans="1:10" x14ac:dyDescent="0.3">
      <c r="A96">
        <f t="shared" si="2"/>
        <v>33.839121363312373</v>
      </c>
      <c r="B96">
        <f>Hitters!A57</f>
        <v>33.839121363312373</v>
      </c>
      <c r="C96">
        <v>44</v>
      </c>
      <c r="D96">
        <v>1</v>
      </c>
      <c r="E96">
        <v>1</v>
      </c>
      <c r="F96" t="s">
        <v>96</v>
      </c>
      <c r="G96" t="s">
        <v>49</v>
      </c>
      <c r="H96" t="s">
        <v>1242</v>
      </c>
      <c r="I96" t="s">
        <v>1243</v>
      </c>
      <c r="J96" t="s">
        <v>626</v>
      </c>
    </row>
    <row r="97" spans="1:10" x14ac:dyDescent="0.3">
      <c r="A97">
        <f t="shared" si="2"/>
        <v>33.580756949394157</v>
      </c>
      <c r="B97">
        <f>Hitters!A58</f>
        <v>37.311952165993503</v>
      </c>
      <c r="C97">
        <v>46</v>
      </c>
      <c r="D97">
        <v>1</v>
      </c>
      <c r="E97">
        <v>0.9</v>
      </c>
      <c r="F97" t="s">
        <v>97</v>
      </c>
      <c r="G97" t="s">
        <v>38</v>
      </c>
      <c r="H97" t="s">
        <v>1242</v>
      </c>
      <c r="I97" t="s">
        <v>1243</v>
      </c>
      <c r="J97" t="s">
        <v>629</v>
      </c>
    </row>
    <row r="98" spans="1:10" x14ac:dyDescent="0.3">
      <c r="A98">
        <f t="shared" ref="A98:A129" si="3">B98*D98*E98</f>
        <v>33.118086639740227</v>
      </c>
      <c r="B98">
        <f>Hitters!A59</f>
        <v>33.118086639740227</v>
      </c>
      <c r="C98">
        <v>45</v>
      </c>
      <c r="D98">
        <v>1</v>
      </c>
      <c r="E98">
        <v>1</v>
      </c>
      <c r="F98" t="s">
        <v>98</v>
      </c>
      <c r="G98" t="s">
        <v>40</v>
      </c>
      <c r="H98" t="s">
        <v>1242</v>
      </c>
      <c r="I98" t="s">
        <v>1243</v>
      </c>
      <c r="J98" t="s">
        <v>626</v>
      </c>
    </row>
    <row r="99" spans="1:10" x14ac:dyDescent="0.3">
      <c r="A99">
        <f t="shared" si="3"/>
        <v>32.994816432320341</v>
      </c>
      <c r="B99">
        <f>Hitters!A60</f>
        <v>36.660907147022598</v>
      </c>
      <c r="C99">
        <v>56</v>
      </c>
      <c r="D99">
        <v>1</v>
      </c>
      <c r="E99">
        <v>0.9</v>
      </c>
      <c r="F99" t="s">
        <v>99</v>
      </c>
      <c r="G99" t="s">
        <v>57</v>
      </c>
      <c r="H99" t="s">
        <v>1242</v>
      </c>
      <c r="I99" t="s">
        <v>1243</v>
      </c>
      <c r="J99" t="s">
        <v>629</v>
      </c>
    </row>
    <row r="100" spans="1:10" x14ac:dyDescent="0.3">
      <c r="A100">
        <f t="shared" si="3"/>
        <v>32.871639733039586</v>
      </c>
      <c r="B100">
        <f>Hitters!A61</f>
        <v>36.524044147821762</v>
      </c>
      <c r="C100">
        <v>49</v>
      </c>
      <c r="D100">
        <v>1</v>
      </c>
      <c r="E100">
        <v>0.9</v>
      </c>
      <c r="F100" t="s">
        <v>100</v>
      </c>
      <c r="G100" t="s">
        <v>49</v>
      </c>
      <c r="H100" t="s">
        <v>1242</v>
      </c>
      <c r="I100" t="s">
        <v>1243</v>
      </c>
      <c r="J100" t="s">
        <v>629</v>
      </c>
    </row>
    <row r="101" spans="1:10" x14ac:dyDescent="0.3">
      <c r="A101">
        <f t="shared" si="3"/>
        <v>32.338546724690787</v>
      </c>
      <c r="B101">
        <f>Pitchers!A50</f>
        <v>32.338546724690787</v>
      </c>
      <c r="C101">
        <v>45</v>
      </c>
      <c r="D101">
        <v>1</v>
      </c>
      <c r="E101">
        <v>1</v>
      </c>
      <c r="F101" t="s">
        <v>460</v>
      </c>
      <c r="G101" t="s">
        <v>416</v>
      </c>
      <c r="H101" t="s">
        <v>1244</v>
      </c>
      <c r="I101" t="s">
        <v>1243</v>
      </c>
      <c r="J101" t="s">
        <v>626</v>
      </c>
    </row>
    <row r="102" spans="1:10" x14ac:dyDescent="0.3">
      <c r="A102">
        <f t="shared" si="3"/>
        <v>31.286740750340176</v>
      </c>
      <c r="B102">
        <f>Hitters!A62</f>
        <v>34.763045278155751</v>
      </c>
      <c r="C102">
        <v>54</v>
      </c>
      <c r="D102">
        <v>1</v>
      </c>
      <c r="E102">
        <v>0.9</v>
      </c>
      <c r="F102" t="s">
        <v>101</v>
      </c>
      <c r="G102" t="s">
        <v>57</v>
      </c>
      <c r="H102" t="s">
        <v>1242</v>
      </c>
      <c r="I102" t="s">
        <v>1243</v>
      </c>
      <c r="J102" t="s">
        <v>639</v>
      </c>
    </row>
    <row r="103" spans="1:10" x14ac:dyDescent="0.3">
      <c r="A103">
        <f t="shared" si="3"/>
        <v>30.971635898610469</v>
      </c>
      <c r="B103">
        <f>Pitchers!A51</f>
        <v>30.971635898610469</v>
      </c>
      <c r="C103">
        <v>39</v>
      </c>
      <c r="D103">
        <v>1</v>
      </c>
      <c r="E103">
        <v>1</v>
      </c>
      <c r="F103" t="s">
        <v>461</v>
      </c>
      <c r="G103" t="s">
        <v>416</v>
      </c>
      <c r="H103" t="s">
        <v>1244</v>
      </c>
      <c r="I103" t="s">
        <v>1243</v>
      </c>
      <c r="J103" t="s">
        <v>626</v>
      </c>
    </row>
    <row r="104" spans="1:10" x14ac:dyDescent="0.3">
      <c r="A104">
        <f t="shared" si="3"/>
        <v>30.850237658120772</v>
      </c>
      <c r="B104">
        <f>Hitters!A63</f>
        <v>30.850237658120772</v>
      </c>
      <c r="C104">
        <v>47</v>
      </c>
      <c r="D104">
        <v>1</v>
      </c>
      <c r="E104">
        <v>1</v>
      </c>
      <c r="F104" t="s">
        <v>102</v>
      </c>
      <c r="G104" t="s">
        <v>64</v>
      </c>
      <c r="H104" t="s">
        <v>1242</v>
      </c>
      <c r="I104" t="s">
        <v>1243</v>
      </c>
      <c r="J104" t="s">
        <v>626</v>
      </c>
    </row>
    <row r="105" spans="1:10" x14ac:dyDescent="0.3">
      <c r="A105">
        <f t="shared" si="3"/>
        <v>30.53945922010994</v>
      </c>
      <c r="B105">
        <f>Pitchers!A52</f>
        <v>39.610193540998623</v>
      </c>
      <c r="C105">
        <v>49</v>
      </c>
      <c r="D105">
        <v>0.77100000000000002</v>
      </c>
      <c r="E105">
        <v>1</v>
      </c>
      <c r="F105" t="s">
        <v>462</v>
      </c>
      <c r="G105" t="s">
        <v>416</v>
      </c>
      <c r="H105" t="s">
        <v>1244</v>
      </c>
      <c r="I105" t="s">
        <v>1245</v>
      </c>
      <c r="J105" t="s">
        <v>626</v>
      </c>
    </row>
    <row r="106" spans="1:10" x14ac:dyDescent="0.3">
      <c r="A106">
        <f t="shared" si="3"/>
        <v>30.25671896369251</v>
      </c>
      <c r="B106">
        <f>Hitters!A64</f>
        <v>39.24347466107978</v>
      </c>
      <c r="C106">
        <v>51</v>
      </c>
      <c r="D106">
        <v>0.77100000000000002</v>
      </c>
      <c r="E106">
        <v>1</v>
      </c>
      <c r="F106" t="s">
        <v>103</v>
      </c>
      <c r="G106" t="s">
        <v>42</v>
      </c>
      <c r="H106" t="s">
        <v>1242</v>
      </c>
      <c r="I106" t="s">
        <v>1245</v>
      </c>
      <c r="J106" t="s">
        <v>626</v>
      </c>
    </row>
    <row r="107" spans="1:10" x14ac:dyDescent="0.3">
      <c r="A107">
        <f t="shared" si="3"/>
        <v>30.229977668346315</v>
      </c>
      <c r="B107">
        <f>Pitchers!A53</f>
        <v>30.229977668346315</v>
      </c>
      <c r="C107">
        <v>45</v>
      </c>
      <c r="D107">
        <v>1</v>
      </c>
      <c r="E107">
        <v>1</v>
      </c>
      <c r="F107" t="s">
        <v>463</v>
      </c>
      <c r="G107" t="s">
        <v>416</v>
      </c>
      <c r="H107" t="s">
        <v>1244</v>
      </c>
      <c r="I107" t="s">
        <v>1243</v>
      </c>
      <c r="J107" t="s">
        <v>626</v>
      </c>
    </row>
    <row r="108" spans="1:10" x14ac:dyDescent="0.3">
      <c r="A108">
        <f t="shared" si="3"/>
        <v>30.218870529961041</v>
      </c>
      <c r="B108">
        <f>Hitters!A65</f>
        <v>30.218870529961041</v>
      </c>
      <c r="C108">
        <v>43</v>
      </c>
      <c r="D108">
        <v>1</v>
      </c>
      <c r="E108">
        <v>1</v>
      </c>
      <c r="F108" t="s">
        <v>104</v>
      </c>
      <c r="G108" t="s">
        <v>57</v>
      </c>
      <c r="H108" t="s">
        <v>1242</v>
      </c>
      <c r="I108" t="s">
        <v>1243</v>
      </c>
      <c r="J108" t="s">
        <v>626</v>
      </c>
    </row>
    <row r="109" spans="1:10" x14ac:dyDescent="0.3">
      <c r="A109">
        <f t="shared" si="3"/>
        <v>30.022547931200812</v>
      </c>
      <c r="B109">
        <f>Hitters!A66</f>
        <v>30.022547931200812</v>
      </c>
      <c r="C109">
        <v>48</v>
      </c>
      <c r="D109">
        <v>1</v>
      </c>
      <c r="E109">
        <v>1</v>
      </c>
      <c r="F109" t="s">
        <v>105</v>
      </c>
      <c r="G109" t="s">
        <v>42</v>
      </c>
      <c r="H109" t="s">
        <v>1242</v>
      </c>
      <c r="I109" t="s">
        <v>1243</v>
      </c>
      <c r="J109" t="s">
        <v>626</v>
      </c>
    </row>
    <row r="110" spans="1:10" x14ac:dyDescent="0.3">
      <c r="A110">
        <f t="shared" si="3"/>
        <v>29.580379065506186</v>
      </c>
      <c r="B110">
        <f>Pitchers!A54</f>
        <v>29.580379065506186</v>
      </c>
      <c r="C110">
        <v>43</v>
      </c>
      <c r="D110">
        <v>1</v>
      </c>
      <c r="E110">
        <v>1</v>
      </c>
      <c r="F110" t="s">
        <v>464</v>
      </c>
      <c r="G110" t="s">
        <v>416</v>
      </c>
      <c r="H110" t="s">
        <v>1244</v>
      </c>
      <c r="I110" t="s">
        <v>1243</v>
      </c>
      <c r="J110" t="s">
        <v>626</v>
      </c>
    </row>
    <row r="111" spans="1:10" x14ac:dyDescent="0.3">
      <c r="A111">
        <f t="shared" si="3"/>
        <v>29.3772470391729</v>
      </c>
      <c r="B111">
        <f>Hitters!A67</f>
        <v>41.967495770247005</v>
      </c>
      <c r="C111">
        <v>57</v>
      </c>
      <c r="D111">
        <v>1</v>
      </c>
      <c r="E111">
        <v>0.7</v>
      </c>
      <c r="F111" t="s">
        <v>106</v>
      </c>
      <c r="G111" t="s">
        <v>40</v>
      </c>
      <c r="H111" t="s">
        <v>1242</v>
      </c>
      <c r="I111" t="s">
        <v>1243</v>
      </c>
      <c r="J111" t="s">
        <v>695</v>
      </c>
    </row>
    <row r="112" spans="1:10" x14ac:dyDescent="0.3">
      <c r="A112">
        <f t="shared" si="3"/>
        <v>29.075094293403566</v>
      </c>
      <c r="B112">
        <f>Pitchers!A55</f>
        <v>37.710887540082446</v>
      </c>
      <c r="C112">
        <v>49</v>
      </c>
      <c r="D112">
        <v>0.77100000000000002</v>
      </c>
      <c r="E112">
        <v>1</v>
      </c>
      <c r="F112" t="s">
        <v>465</v>
      </c>
      <c r="G112" t="s">
        <v>416</v>
      </c>
      <c r="H112" t="s">
        <v>1244</v>
      </c>
      <c r="I112" t="s">
        <v>1245</v>
      </c>
      <c r="J112" t="s">
        <v>626</v>
      </c>
    </row>
    <row r="113" spans="1:10" x14ac:dyDescent="0.3">
      <c r="A113">
        <f t="shared" si="3"/>
        <v>29.064562229565791</v>
      </c>
      <c r="B113">
        <f>Hitters!A68</f>
        <v>29.064562229565791</v>
      </c>
      <c r="C113">
        <v>42</v>
      </c>
      <c r="D113">
        <v>1</v>
      </c>
      <c r="E113">
        <v>1</v>
      </c>
      <c r="F113" t="s">
        <v>107</v>
      </c>
      <c r="G113" t="s">
        <v>57</v>
      </c>
      <c r="H113" t="s">
        <v>1242</v>
      </c>
      <c r="I113" t="s">
        <v>1243</v>
      </c>
      <c r="J113" t="s">
        <v>626</v>
      </c>
    </row>
    <row r="114" spans="1:10" x14ac:dyDescent="0.3">
      <c r="A114">
        <f t="shared" si="3"/>
        <v>28.457353463357734</v>
      </c>
      <c r="B114">
        <f>Hitters!A69</f>
        <v>31.619281625953036</v>
      </c>
      <c r="C114">
        <v>47</v>
      </c>
      <c r="D114">
        <v>1</v>
      </c>
      <c r="E114">
        <v>0.9</v>
      </c>
      <c r="F114" t="s">
        <v>108</v>
      </c>
      <c r="G114" t="s">
        <v>42</v>
      </c>
      <c r="H114" t="s">
        <v>1242</v>
      </c>
      <c r="I114" t="s">
        <v>1243</v>
      </c>
      <c r="J114" t="s">
        <v>629</v>
      </c>
    </row>
    <row r="115" spans="1:10" x14ac:dyDescent="0.3">
      <c r="A115">
        <f t="shared" si="3"/>
        <v>28.365815820356083</v>
      </c>
      <c r="B115">
        <f>Hitters!A70</f>
        <v>28.365815820356083</v>
      </c>
      <c r="C115">
        <v>46</v>
      </c>
      <c r="D115">
        <v>1</v>
      </c>
      <c r="E115">
        <v>1</v>
      </c>
      <c r="F115" t="s">
        <v>109</v>
      </c>
      <c r="G115" t="s">
        <v>45</v>
      </c>
      <c r="H115" t="s">
        <v>1242</v>
      </c>
      <c r="I115" t="s">
        <v>1243</v>
      </c>
      <c r="J115" t="s">
        <v>626</v>
      </c>
    </row>
    <row r="116" spans="1:10" x14ac:dyDescent="0.3">
      <c r="A116">
        <f t="shared" si="3"/>
        <v>28.242484825927622</v>
      </c>
      <c r="B116">
        <f>Pitchers!A56</f>
        <v>28.242484825927622</v>
      </c>
      <c r="C116">
        <v>35</v>
      </c>
      <c r="D116">
        <v>1</v>
      </c>
      <c r="E116">
        <v>1</v>
      </c>
      <c r="F116" t="s">
        <v>466</v>
      </c>
      <c r="G116" t="s">
        <v>416</v>
      </c>
      <c r="H116" t="s">
        <v>1244</v>
      </c>
      <c r="I116" t="s">
        <v>1243</v>
      </c>
      <c r="J116" t="s">
        <v>626</v>
      </c>
    </row>
    <row r="117" spans="1:10" x14ac:dyDescent="0.3">
      <c r="A117">
        <f t="shared" si="3"/>
        <v>28.237662925637498</v>
      </c>
      <c r="B117">
        <f>Pitchers!A57</f>
        <v>28.237662925637498</v>
      </c>
      <c r="C117">
        <v>37</v>
      </c>
      <c r="D117">
        <v>1</v>
      </c>
      <c r="E117">
        <v>1</v>
      </c>
      <c r="F117" t="s">
        <v>467</v>
      </c>
      <c r="G117" t="s">
        <v>416</v>
      </c>
      <c r="H117" t="s">
        <v>1244</v>
      </c>
      <c r="I117" t="s">
        <v>1243</v>
      </c>
      <c r="J117" t="s">
        <v>626</v>
      </c>
    </row>
    <row r="118" spans="1:10" x14ac:dyDescent="0.3">
      <c r="A118">
        <f t="shared" si="3"/>
        <v>28.165293385170308</v>
      </c>
      <c r="B118">
        <f>Hitters!A71</f>
        <v>36.53086042175137</v>
      </c>
      <c r="C118">
        <v>49</v>
      </c>
      <c r="D118">
        <v>0.77100000000000002</v>
      </c>
      <c r="E118">
        <v>1</v>
      </c>
      <c r="F118" t="s">
        <v>110</v>
      </c>
      <c r="G118" t="s">
        <v>57</v>
      </c>
      <c r="H118" t="s">
        <v>1242</v>
      </c>
      <c r="I118" t="s">
        <v>1245</v>
      </c>
      <c r="J118" t="s">
        <v>626</v>
      </c>
    </row>
    <row r="119" spans="1:10" x14ac:dyDescent="0.3">
      <c r="A119">
        <f t="shared" si="3"/>
        <v>28.083248442946925</v>
      </c>
      <c r="B119">
        <f>Hitters!A72</f>
        <v>36.42444674830989</v>
      </c>
      <c r="C119">
        <v>54</v>
      </c>
      <c r="D119">
        <v>0.77100000000000002</v>
      </c>
      <c r="E119">
        <v>1</v>
      </c>
      <c r="F119" t="s">
        <v>111</v>
      </c>
      <c r="G119" t="s">
        <v>57</v>
      </c>
      <c r="H119" t="s">
        <v>1242</v>
      </c>
      <c r="I119" t="s">
        <v>1245</v>
      </c>
      <c r="J119" t="s">
        <v>626</v>
      </c>
    </row>
    <row r="120" spans="1:10" x14ac:dyDescent="0.3">
      <c r="A120">
        <f t="shared" si="3"/>
        <v>28.051191135877659</v>
      </c>
      <c r="B120">
        <f>Hitters!A73</f>
        <v>36.382867880515768</v>
      </c>
      <c r="C120">
        <v>47</v>
      </c>
      <c r="D120">
        <v>0.77100000000000002</v>
      </c>
      <c r="E120">
        <v>1</v>
      </c>
      <c r="F120" t="s">
        <v>112</v>
      </c>
      <c r="G120" t="s">
        <v>57</v>
      </c>
      <c r="H120" t="s">
        <v>1242</v>
      </c>
      <c r="I120" t="s">
        <v>1245</v>
      </c>
      <c r="J120" t="s">
        <v>626</v>
      </c>
    </row>
    <row r="121" spans="1:10" x14ac:dyDescent="0.3">
      <c r="A121">
        <f t="shared" si="3"/>
        <v>27.344409281697946</v>
      </c>
      <c r="B121">
        <f>Hitters!A74</f>
        <v>34.180511602122429</v>
      </c>
      <c r="C121">
        <v>50</v>
      </c>
      <c r="D121">
        <v>1</v>
      </c>
      <c r="E121">
        <v>0.8</v>
      </c>
      <c r="F121" t="s">
        <v>113</v>
      </c>
      <c r="G121" t="s">
        <v>40</v>
      </c>
      <c r="H121" t="s">
        <v>1242</v>
      </c>
      <c r="I121" t="s">
        <v>1243</v>
      </c>
      <c r="J121" t="s">
        <v>675</v>
      </c>
    </row>
    <row r="122" spans="1:10" x14ac:dyDescent="0.3">
      <c r="A122">
        <f t="shared" si="3"/>
        <v>27.327323178470373</v>
      </c>
      <c r="B122">
        <f>Hitters!A75</f>
        <v>35.443998934462222</v>
      </c>
      <c r="C122">
        <v>53</v>
      </c>
      <c r="D122">
        <v>0.77100000000000002</v>
      </c>
      <c r="E122">
        <v>1</v>
      </c>
      <c r="F122" t="s">
        <v>114</v>
      </c>
      <c r="G122" t="s">
        <v>42</v>
      </c>
      <c r="H122" t="s">
        <v>1242</v>
      </c>
      <c r="I122" t="s">
        <v>1245</v>
      </c>
      <c r="J122" t="s">
        <v>626</v>
      </c>
    </row>
    <row r="123" spans="1:10" x14ac:dyDescent="0.3">
      <c r="A123">
        <f t="shared" si="3"/>
        <v>27.096558025011337</v>
      </c>
      <c r="B123">
        <f>Hitters!A76</f>
        <v>27.096558025011337</v>
      </c>
      <c r="C123">
        <v>45</v>
      </c>
      <c r="D123">
        <v>1</v>
      </c>
      <c r="E123">
        <v>1</v>
      </c>
      <c r="F123" t="s">
        <v>115</v>
      </c>
      <c r="G123" t="s">
        <v>57</v>
      </c>
      <c r="H123" t="s">
        <v>1242</v>
      </c>
      <c r="I123" t="s">
        <v>1243</v>
      </c>
      <c r="J123" t="s">
        <v>626</v>
      </c>
    </row>
    <row r="124" spans="1:10" x14ac:dyDescent="0.3">
      <c r="A124">
        <f t="shared" si="3"/>
        <v>27.052316075941157</v>
      </c>
      <c r="B124">
        <f>Hitters!A77</f>
        <v>30.058128973267952</v>
      </c>
      <c r="C124">
        <v>40</v>
      </c>
      <c r="D124">
        <v>1</v>
      </c>
      <c r="E124">
        <v>0.9</v>
      </c>
      <c r="F124" t="s">
        <v>116</v>
      </c>
      <c r="G124" t="s">
        <v>42</v>
      </c>
      <c r="H124" t="s">
        <v>1242</v>
      </c>
      <c r="I124" t="s">
        <v>1243</v>
      </c>
      <c r="J124" t="s">
        <v>629</v>
      </c>
    </row>
    <row r="125" spans="1:10" x14ac:dyDescent="0.3">
      <c r="A125">
        <f t="shared" si="3"/>
        <v>26.408977011742508</v>
      </c>
      <c r="B125">
        <f>Hitters!A78</f>
        <v>26.408977011742508</v>
      </c>
      <c r="C125">
        <v>48</v>
      </c>
      <c r="D125">
        <v>1</v>
      </c>
      <c r="E125">
        <v>1</v>
      </c>
      <c r="F125" t="s">
        <v>117</v>
      </c>
      <c r="G125" t="s">
        <v>57</v>
      </c>
      <c r="H125" t="s">
        <v>1242</v>
      </c>
      <c r="I125" t="s">
        <v>1243</v>
      </c>
      <c r="J125" t="s">
        <v>626</v>
      </c>
    </row>
    <row r="126" spans="1:10" x14ac:dyDescent="0.3">
      <c r="A126">
        <f t="shared" si="3"/>
        <v>25.829406799129632</v>
      </c>
      <c r="B126">
        <f>Pitchers!A58</f>
        <v>33.501176133760872</v>
      </c>
      <c r="C126">
        <v>49</v>
      </c>
      <c r="D126">
        <v>0.77100000000000002</v>
      </c>
      <c r="E126">
        <v>1</v>
      </c>
      <c r="F126" t="s">
        <v>468</v>
      </c>
      <c r="G126" t="s">
        <v>416</v>
      </c>
      <c r="H126" t="s">
        <v>1244</v>
      </c>
      <c r="I126" t="s">
        <v>1245</v>
      </c>
      <c r="J126" t="s">
        <v>626</v>
      </c>
    </row>
    <row r="127" spans="1:10" x14ac:dyDescent="0.3">
      <c r="A127">
        <f t="shared" si="3"/>
        <v>25.458733279890058</v>
      </c>
      <c r="B127">
        <f>Pitchers!A59</f>
        <v>25.458733279890058</v>
      </c>
      <c r="C127">
        <v>38</v>
      </c>
      <c r="D127">
        <v>1</v>
      </c>
      <c r="E127">
        <v>1</v>
      </c>
      <c r="F127" t="s">
        <v>469</v>
      </c>
      <c r="G127" t="s">
        <v>416</v>
      </c>
      <c r="H127" t="s">
        <v>1244</v>
      </c>
      <c r="I127" t="s">
        <v>1243</v>
      </c>
      <c r="J127" t="s">
        <v>626</v>
      </c>
    </row>
    <row r="128" spans="1:10" x14ac:dyDescent="0.3">
      <c r="A128">
        <f t="shared" si="3"/>
        <v>25.04342095221638</v>
      </c>
      <c r="B128">
        <f>Hitters!A79</f>
        <v>25.04342095221638</v>
      </c>
      <c r="C128">
        <v>33</v>
      </c>
      <c r="D128">
        <v>1</v>
      </c>
      <c r="E128">
        <v>1</v>
      </c>
      <c r="F128" t="s">
        <v>118</v>
      </c>
      <c r="G128" t="s">
        <v>57</v>
      </c>
      <c r="H128" t="s">
        <v>1242</v>
      </c>
      <c r="I128" t="s">
        <v>1243</v>
      </c>
      <c r="J128" t="s">
        <v>626</v>
      </c>
    </row>
    <row r="129" spans="1:10" x14ac:dyDescent="0.3">
      <c r="A129">
        <f t="shared" si="3"/>
        <v>24.807955348207656</v>
      </c>
      <c r="B129">
        <f>Hitters!A80</f>
        <v>35.439936211725225</v>
      </c>
      <c r="C129">
        <v>56</v>
      </c>
      <c r="D129">
        <v>1</v>
      </c>
      <c r="E129">
        <v>0.7</v>
      </c>
      <c r="F129" t="s">
        <v>119</v>
      </c>
      <c r="G129" t="s">
        <v>42</v>
      </c>
      <c r="H129" t="s">
        <v>1242</v>
      </c>
      <c r="I129" t="s">
        <v>1243</v>
      </c>
      <c r="J129" t="s">
        <v>695</v>
      </c>
    </row>
    <row r="130" spans="1:10" x14ac:dyDescent="0.3">
      <c r="A130">
        <f t="shared" ref="A130:A161" si="4">B130*D130*E130</f>
        <v>24.398585912992438</v>
      </c>
      <c r="B130">
        <f>Pitchers!A60</f>
        <v>31.64537731905634</v>
      </c>
      <c r="C130">
        <v>40</v>
      </c>
      <c r="D130">
        <v>0.77100000000000002</v>
      </c>
      <c r="E130">
        <v>1</v>
      </c>
      <c r="F130" t="s">
        <v>470</v>
      </c>
      <c r="G130" t="s">
        <v>416</v>
      </c>
      <c r="H130" t="s">
        <v>1244</v>
      </c>
      <c r="I130" t="s">
        <v>1245</v>
      </c>
      <c r="J130" t="s">
        <v>626</v>
      </c>
    </row>
    <row r="131" spans="1:10" x14ac:dyDescent="0.3">
      <c r="A131">
        <f t="shared" si="4"/>
        <v>23.819894238176488</v>
      </c>
      <c r="B131">
        <f>Hitters!A81</f>
        <v>34.028420340252126</v>
      </c>
      <c r="C131">
        <v>49</v>
      </c>
      <c r="D131">
        <v>1</v>
      </c>
      <c r="E131">
        <v>0.7</v>
      </c>
      <c r="F131" t="s">
        <v>120</v>
      </c>
      <c r="G131" t="s">
        <v>57</v>
      </c>
      <c r="H131" t="s">
        <v>1242</v>
      </c>
      <c r="I131" t="s">
        <v>1243</v>
      </c>
      <c r="J131" t="s">
        <v>695</v>
      </c>
    </row>
    <row r="132" spans="1:10" x14ac:dyDescent="0.3">
      <c r="A132">
        <f t="shared" si="4"/>
        <v>23.529278515803934</v>
      </c>
      <c r="B132">
        <f>Pitchers!A61</f>
        <v>23.529278515803934</v>
      </c>
      <c r="C132">
        <v>36</v>
      </c>
      <c r="D132">
        <v>1</v>
      </c>
      <c r="E132">
        <v>1</v>
      </c>
      <c r="F132" t="s">
        <v>471</v>
      </c>
      <c r="G132" t="s">
        <v>416</v>
      </c>
      <c r="H132" t="s">
        <v>1244</v>
      </c>
      <c r="I132" t="s">
        <v>1243</v>
      </c>
      <c r="J132" t="s">
        <v>626</v>
      </c>
    </row>
    <row r="133" spans="1:10" x14ac:dyDescent="0.3">
      <c r="A133">
        <f t="shared" si="4"/>
        <v>23.045612966903345</v>
      </c>
      <c r="B133">
        <f>Pitchers!A62</f>
        <v>29.890548595205374</v>
      </c>
      <c r="C133">
        <v>36</v>
      </c>
      <c r="D133">
        <v>0.77100000000000002</v>
      </c>
      <c r="E133">
        <v>1</v>
      </c>
      <c r="F133" t="s">
        <v>472</v>
      </c>
      <c r="G133" t="s">
        <v>416</v>
      </c>
      <c r="H133" t="s">
        <v>1244</v>
      </c>
      <c r="I133" t="s">
        <v>1245</v>
      </c>
      <c r="J133" t="s">
        <v>626</v>
      </c>
    </row>
    <row r="134" spans="1:10" x14ac:dyDescent="0.3">
      <c r="A134">
        <f t="shared" si="4"/>
        <v>22.934488721858635</v>
      </c>
      <c r="B134">
        <f>Hitters!A82</f>
        <v>22.934488721858635</v>
      </c>
      <c r="C134">
        <v>44</v>
      </c>
      <c r="D134">
        <v>1</v>
      </c>
      <c r="E134">
        <v>1</v>
      </c>
      <c r="F134" t="s">
        <v>121</v>
      </c>
      <c r="G134" t="s">
        <v>57</v>
      </c>
      <c r="H134" t="s">
        <v>1242</v>
      </c>
      <c r="I134" t="s">
        <v>1243</v>
      </c>
      <c r="J134" t="s">
        <v>626</v>
      </c>
    </row>
    <row r="135" spans="1:10" x14ac:dyDescent="0.3">
      <c r="A135">
        <f t="shared" si="4"/>
        <v>22.808995103595969</v>
      </c>
      <c r="B135">
        <f>Pitchers!A63</f>
        <v>42.262358909757211</v>
      </c>
      <c r="C135">
        <v>50</v>
      </c>
      <c r="D135">
        <v>0.77100000000000002</v>
      </c>
      <c r="E135">
        <v>0.7</v>
      </c>
      <c r="F135" t="s">
        <v>473</v>
      </c>
      <c r="G135" t="s">
        <v>416</v>
      </c>
      <c r="H135" t="s">
        <v>1244</v>
      </c>
      <c r="I135" t="s">
        <v>1245</v>
      </c>
      <c r="J135" t="s">
        <v>907</v>
      </c>
    </row>
    <row r="136" spans="1:10" x14ac:dyDescent="0.3">
      <c r="A136">
        <f t="shared" si="4"/>
        <v>22.63476830432127</v>
      </c>
      <c r="B136">
        <f>Pitchers!A64</f>
        <v>22.63476830432127</v>
      </c>
      <c r="C136">
        <v>33</v>
      </c>
      <c r="D136">
        <v>1</v>
      </c>
      <c r="E136">
        <v>1</v>
      </c>
      <c r="F136" t="s">
        <v>474</v>
      </c>
      <c r="G136" t="s">
        <v>416</v>
      </c>
      <c r="H136" t="s">
        <v>1244</v>
      </c>
      <c r="I136" t="s">
        <v>1243</v>
      </c>
      <c r="J136" t="s">
        <v>626</v>
      </c>
    </row>
    <row r="137" spans="1:10" x14ac:dyDescent="0.3">
      <c r="A137">
        <f t="shared" si="4"/>
        <v>22.529005008747482</v>
      </c>
      <c r="B137">
        <f>Hitters!A83</f>
        <v>29.220499362837199</v>
      </c>
      <c r="C137">
        <v>42</v>
      </c>
      <c r="D137">
        <v>0.77100000000000002</v>
      </c>
      <c r="E137">
        <v>1</v>
      </c>
      <c r="F137" t="s">
        <v>122</v>
      </c>
      <c r="G137" t="s">
        <v>42</v>
      </c>
      <c r="H137" t="s">
        <v>1242</v>
      </c>
      <c r="I137" t="s">
        <v>1245</v>
      </c>
      <c r="J137" t="s">
        <v>626</v>
      </c>
    </row>
    <row r="138" spans="1:10" x14ac:dyDescent="0.3">
      <c r="A138">
        <f t="shared" si="4"/>
        <v>22.463992682088865</v>
      </c>
      <c r="B138">
        <f>Pitchers!A65</f>
        <v>29.136177278973882</v>
      </c>
      <c r="C138">
        <v>46</v>
      </c>
      <c r="D138">
        <v>0.77100000000000002</v>
      </c>
      <c r="E138">
        <v>1</v>
      </c>
      <c r="F138" t="s">
        <v>475</v>
      </c>
      <c r="G138" t="s">
        <v>416</v>
      </c>
      <c r="H138" t="s">
        <v>1244</v>
      </c>
      <c r="I138" t="s">
        <v>1245</v>
      </c>
      <c r="J138" t="s">
        <v>626</v>
      </c>
    </row>
    <row r="139" spans="1:10" x14ac:dyDescent="0.3">
      <c r="A139">
        <f t="shared" si="4"/>
        <v>22.408444962814169</v>
      </c>
      <c r="B139">
        <f>Hitters!A84</f>
        <v>22.408444962814169</v>
      </c>
      <c r="C139">
        <v>37</v>
      </c>
      <c r="D139">
        <v>1</v>
      </c>
      <c r="E139">
        <v>1</v>
      </c>
      <c r="F139" t="s">
        <v>123</v>
      </c>
      <c r="G139" t="s">
        <v>57</v>
      </c>
      <c r="H139" t="s">
        <v>1242</v>
      </c>
      <c r="I139" t="s">
        <v>1243</v>
      </c>
      <c r="J139" t="s">
        <v>626</v>
      </c>
    </row>
    <row r="140" spans="1:10" x14ac:dyDescent="0.3">
      <c r="A140">
        <f t="shared" si="4"/>
        <v>21.728834028057719</v>
      </c>
      <c r="B140">
        <f>Pitchers!A66</f>
        <v>31.314071232249198</v>
      </c>
      <c r="C140">
        <v>42</v>
      </c>
      <c r="D140">
        <v>0.77100000000000002</v>
      </c>
      <c r="E140">
        <v>0.9</v>
      </c>
      <c r="F140" t="s">
        <v>476</v>
      </c>
      <c r="G140" t="s">
        <v>416</v>
      </c>
      <c r="H140" t="s">
        <v>1244</v>
      </c>
      <c r="I140" t="s">
        <v>1245</v>
      </c>
      <c r="J140" t="s">
        <v>914</v>
      </c>
    </row>
    <row r="141" spans="1:10" x14ac:dyDescent="0.3">
      <c r="A141">
        <f t="shared" si="4"/>
        <v>21.446478928080619</v>
      </c>
      <c r="B141">
        <f>Pitchers!A67</f>
        <v>21.446478928080619</v>
      </c>
      <c r="C141">
        <v>27</v>
      </c>
      <c r="D141">
        <v>1</v>
      </c>
      <c r="E141">
        <v>1</v>
      </c>
      <c r="F141" t="s">
        <v>477</v>
      </c>
      <c r="G141" t="s">
        <v>416</v>
      </c>
      <c r="H141" t="s">
        <v>1244</v>
      </c>
      <c r="I141" t="s">
        <v>1243</v>
      </c>
      <c r="J141" t="s">
        <v>626</v>
      </c>
    </row>
    <row r="142" spans="1:10" x14ac:dyDescent="0.3">
      <c r="A142">
        <f t="shared" si="4"/>
        <v>21.198195144296836</v>
      </c>
      <c r="B142">
        <f>Pitchers!A68</f>
        <v>21.198195144296836</v>
      </c>
      <c r="C142">
        <v>37</v>
      </c>
      <c r="D142">
        <v>1</v>
      </c>
      <c r="E142">
        <v>1</v>
      </c>
      <c r="F142" t="s">
        <v>478</v>
      </c>
      <c r="G142" t="s">
        <v>416</v>
      </c>
      <c r="H142" t="s">
        <v>1244</v>
      </c>
      <c r="I142" t="s">
        <v>1243</v>
      </c>
      <c r="J142" t="s">
        <v>626</v>
      </c>
    </row>
    <row r="143" spans="1:10" x14ac:dyDescent="0.3">
      <c r="A143">
        <f t="shared" si="4"/>
        <v>20.197354798678145</v>
      </c>
      <c r="B143">
        <f>Hitters!A85</f>
        <v>29.107010806568876</v>
      </c>
      <c r="C143">
        <v>42</v>
      </c>
      <c r="D143">
        <v>0.77100000000000002</v>
      </c>
      <c r="E143">
        <v>0.9</v>
      </c>
      <c r="F143" t="s">
        <v>124</v>
      </c>
      <c r="G143" t="s">
        <v>57</v>
      </c>
      <c r="H143" t="s">
        <v>1242</v>
      </c>
      <c r="I143" t="s">
        <v>1245</v>
      </c>
      <c r="J143" t="s">
        <v>914</v>
      </c>
    </row>
    <row r="144" spans="1:10" x14ac:dyDescent="0.3">
      <c r="A144">
        <f t="shared" si="4"/>
        <v>12.507178195144295</v>
      </c>
      <c r="B144">
        <f>Pitchers!A161</f>
        <v>12.507178195144295</v>
      </c>
      <c r="C144">
        <v>0</v>
      </c>
      <c r="D144">
        <v>1</v>
      </c>
      <c r="E144">
        <v>1</v>
      </c>
      <c r="F144" t="s">
        <v>569</v>
      </c>
      <c r="G144" t="s">
        <v>64</v>
      </c>
      <c r="H144" t="s">
        <v>1244</v>
      </c>
      <c r="I144" t="s">
        <v>1243</v>
      </c>
    </row>
    <row r="145" spans="1:9" x14ac:dyDescent="0.3">
      <c r="A145">
        <f t="shared" si="4"/>
        <v>11.804740036646812</v>
      </c>
      <c r="B145">
        <f>Pitchers!A166</f>
        <v>11.804740036646812</v>
      </c>
      <c r="C145">
        <v>0</v>
      </c>
      <c r="D145">
        <v>1</v>
      </c>
      <c r="E145">
        <v>1</v>
      </c>
      <c r="F145" t="s">
        <v>574</v>
      </c>
      <c r="G145" t="s">
        <v>57</v>
      </c>
      <c r="H145" t="s">
        <v>1244</v>
      </c>
      <c r="I145" t="s">
        <v>1243</v>
      </c>
    </row>
    <row r="146" spans="1:9" x14ac:dyDescent="0.3">
      <c r="A146">
        <f t="shared" si="4"/>
        <v>11.654081539166283</v>
      </c>
      <c r="B146">
        <f>Pitchers!A167</f>
        <v>11.654081539166283</v>
      </c>
      <c r="C146">
        <v>0</v>
      </c>
      <c r="D146">
        <v>1</v>
      </c>
      <c r="E146">
        <v>1</v>
      </c>
      <c r="F146" t="s">
        <v>575</v>
      </c>
      <c r="G146" t="s">
        <v>42</v>
      </c>
      <c r="H146" t="s">
        <v>1244</v>
      </c>
      <c r="I146" t="s">
        <v>1243</v>
      </c>
    </row>
    <row r="147" spans="1:9" x14ac:dyDescent="0.3">
      <c r="A147">
        <f t="shared" si="4"/>
        <v>11.280152313330278</v>
      </c>
      <c r="B147">
        <f>Pitchers!A155</f>
        <v>11.280152313330278</v>
      </c>
      <c r="C147">
        <v>0</v>
      </c>
      <c r="D147">
        <v>1</v>
      </c>
      <c r="E147">
        <v>1</v>
      </c>
      <c r="F147" t="s">
        <v>563</v>
      </c>
      <c r="G147" t="s">
        <v>45</v>
      </c>
      <c r="H147" t="s">
        <v>1244</v>
      </c>
      <c r="I147" t="s">
        <v>1243</v>
      </c>
    </row>
    <row r="148" spans="1:9" x14ac:dyDescent="0.3">
      <c r="A148">
        <f t="shared" si="4"/>
        <v>11.271973202015571</v>
      </c>
      <c r="B148">
        <f>Pitchers!A156</f>
        <v>11.271973202015571</v>
      </c>
      <c r="C148">
        <v>0</v>
      </c>
      <c r="D148">
        <v>1</v>
      </c>
      <c r="E148">
        <v>1</v>
      </c>
      <c r="F148" t="s">
        <v>564</v>
      </c>
      <c r="G148" t="s">
        <v>42</v>
      </c>
      <c r="H148" t="s">
        <v>1244</v>
      </c>
      <c r="I148" t="s">
        <v>1243</v>
      </c>
    </row>
    <row r="149" spans="1:9" x14ac:dyDescent="0.3">
      <c r="A149">
        <f t="shared" si="4"/>
        <v>11.139907237746222</v>
      </c>
      <c r="B149">
        <f>Pitchers!A160</f>
        <v>11.139907237746222</v>
      </c>
      <c r="C149">
        <v>0</v>
      </c>
      <c r="D149">
        <v>1</v>
      </c>
      <c r="E149">
        <v>1</v>
      </c>
      <c r="F149" t="s">
        <v>568</v>
      </c>
      <c r="G149" t="s">
        <v>42</v>
      </c>
      <c r="H149" t="s">
        <v>1244</v>
      </c>
      <c r="I149" t="s">
        <v>1243</v>
      </c>
    </row>
    <row r="150" spans="1:9" x14ac:dyDescent="0.3">
      <c r="A150">
        <f t="shared" si="4"/>
        <v>11.080791342189649</v>
      </c>
      <c r="B150">
        <f>Pitchers!A163</f>
        <v>11.080791342189649</v>
      </c>
      <c r="C150">
        <v>0</v>
      </c>
      <c r="D150">
        <v>1</v>
      </c>
      <c r="E150">
        <v>1</v>
      </c>
      <c r="F150" t="s">
        <v>571</v>
      </c>
      <c r="G150" t="s">
        <v>45</v>
      </c>
      <c r="H150" t="s">
        <v>1244</v>
      </c>
      <c r="I150" t="s">
        <v>1243</v>
      </c>
    </row>
    <row r="151" spans="1:9" x14ac:dyDescent="0.3">
      <c r="A151">
        <f t="shared" si="4"/>
        <v>10.659584287677507</v>
      </c>
      <c r="B151">
        <f>Pitchers!A162</f>
        <v>10.659584287677507</v>
      </c>
      <c r="C151">
        <v>0</v>
      </c>
      <c r="D151">
        <v>1</v>
      </c>
      <c r="E151">
        <v>1</v>
      </c>
      <c r="F151" t="s">
        <v>570</v>
      </c>
      <c r="G151" t="s">
        <v>40</v>
      </c>
      <c r="H151" t="s">
        <v>1244</v>
      </c>
      <c r="I151" t="s">
        <v>1243</v>
      </c>
    </row>
    <row r="152" spans="1:9" x14ac:dyDescent="0.3">
      <c r="A152">
        <f t="shared" si="4"/>
        <v>10.649176591846082</v>
      </c>
      <c r="B152">
        <f>Pitchers!A172</f>
        <v>10.649176591846082</v>
      </c>
      <c r="C152">
        <v>0</v>
      </c>
      <c r="D152">
        <v>1</v>
      </c>
      <c r="E152">
        <v>1</v>
      </c>
      <c r="F152" t="s">
        <v>580</v>
      </c>
      <c r="G152" t="s">
        <v>49</v>
      </c>
      <c r="H152" t="s">
        <v>1244</v>
      </c>
      <c r="I152" t="s">
        <v>1243</v>
      </c>
    </row>
    <row r="153" spans="1:9" x14ac:dyDescent="0.3">
      <c r="A153">
        <f t="shared" si="4"/>
        <v>10.589413650939074</v>
      </c>
      <c r="B153">
        <f>Pitchers!A153</f>
        <v>10.589413650939074</v>
      </c>
      <c r="C153">
        <v>0</v>
      </c>
      <c r="D153">
        <v>1</v>
      </c>
      <c r="E153">
        <v>1</v>
      </c>
      <c r="F153" t="s">
        <v>561</v>
      </c>
      <c r="G153" t="s">
        <v>38</v>
      </c>
      <c r="H153" t="s">
        <v>1244</v>
      </c>
      <c r="I153" t="s">
        <v>1243</v>
      </c>
    </row>
    <row r="154" spans="1:9" x14ac:dyDescent="0.3">
      <c r="A154">
        <f t="shared" si="4"/>
        <v>10.040359596885018</v>
      </c>
      <c r="B154">
        <f>Pitchers!A171</f>
        <v>10.040359596885018</v>
      </c>
      <c r="C154">
        <v>0</v>
      </c>
      <c r="D154">
        <v>1</v>
      </c>
      <c r="E154">
        <v>1</v>
      </c>
      <c r="F154" t="s">
        <v>579</v>
      </c>
      <c r="G154" t="s">
        <v>57</v>
      </c>
      <c r="H154" t="s">
        <v>1244</v>
      </c>
      <c r="I154" t="s">
        <v>1243</v>
      </c>
    </row>
    <row r="155" spans="1:9" x14ac:dyDescent="0.3">
      <c r="A155">
        <f t="shared" si="4"/>
        <v>10.01807031607879</v>
      </c>
      <c r="B155">
        <f>Pitchers!A165</f>
        <v>10.01807031607879</v>
      </c>
      <c r="C155">
        <v>0</v>
      </c>
      <c r="D155">
        <v>1</v>
      </c>
      <c r="E155">
        <v>1</v>
      </c>
      <c r="F155" t="s">
        <v>573</v>
      </c>
      <c r="G155" t="s">
        <v>42</v>
      </c>
      <c r="H155" t="s">
        <v>1244</v>
      </c>
      <c r="I155" t="s">
        <v>1243</v>
      </c>
    </row>
    <row r="156" spans="1:9" x14ac:dyDescent="0.3">
      <c r="A156">
        <f t="shared" si="4"/>
        <v>9.9710684837379748</v>
      </c>
      <c r="B156">
        <f>Pitchers!A168</f>
        <v>9.9710684837379748</v>
      </c>
      <c r="C156">
        <v>0</v>
      </c>
      <c r="D156">
        <v>1</v>
      </c>
      <c r="E156">
        <v>1</v>
      </c>
      <c r="F156" t="s">
        <v>576</v>
      </c>
      <c r="G156" t="s">
        <v>35</v>
      </c>
      <c r="H156" t="s">
        <v>1244</v>
      </c>
      <c r="I156" t="s">
        <v>1243</v>
      </c>
    </row>
    <row r="157" spans="1:9" x14ac:dyDescent="0.3">
      <c r="A157">
        <f t="shared" si="4"/>
        <v>9.8847217132386636</v>
      </c>
      <c r="B157">
        <f>Pitchers!A174</f>
        <v>9.8847217132386636</v>
      </c>
      <c r="C157">
        <v>0</v>
      </c>
      <c r="D157">
        <v>1</v>
      </c>
      <c r="E157">
        <v>1</v>
      </c>
      <c r="F157" t="s">
        <v>582</v>
      </c>
      <c r="G157" t="s">
        <v>42</v>
      </c>
      <c r="H157" t="s">
        <v>1244</v>
      </c>
      <c r="I157" t="s">
        <v>1243</v>
      </c>
    </row>
    <row r="158" spans="1:9" x14ac:dyDescent="0.3">
      <c r="A158">
        <f t="shared" si="4"/>
        <v>9.8844720568025632</v>
      </c>
      <c r="B158">
        <f>Pitchers!A177</f>
        <v>9.8844720568025632</v>
      </c>
      <c r="C158">
        <v>0</v>
      </c>
      <c r="D158">
        <v>1</v>
      </c>
      <c r="E158">
        <v>1</v>
      </c>
      <c r="F158" t="s">
        <v>585</v>
      </c>
      <c r="G158" t="s">
        <v>64</v>
      </c>
      <c r="H158" t="s">
        <v>1244</v>
      </c>
      <c r="I158" t="s">
        <v>1243</v>
      </c>
    </row>
    <row r="159" spans="1:9" x14ac:dyDescent="0.3">
      <c r="A159">
        <f t="shared" si="4"/>
        <v>9.872052221713238</v>
      </c>
      <c r="B159">
        <f>Pitchers!A154</f>
        <v>9.872052221713238</v>
      </c>
      <c r="C159">
        <v>0</v>
      </c>
      <c r="D159">
        <v>1</v>
      </c>
      <c r="E159">
        <v>1</v>
      </c>
      <c r="F159" t="s">
        <v>562</v>
      </c>
      <c r="G159" t="s">
        <v>45</v>
      </c>
      <c r="H159" t="s">
        <v>1244</v>
      </c>
      <c r="I159" t="s">
        <v>1243</v>
      </c>
    </row>
    <row r="160" spans="1:9" x14ac:dyDescent="0.3">
      <c r="A160">
        <f t="shared" si="4"/>
        <v>9.8236452130096197</v>
      </c>
      <c r="B160">
        <f>Pitchers!A169</f>
        <v>9.8236452130096197</v>
      </c>
      <c r="C160">
        <v>0</v>
      </c>
      <c r="D160">
        <v>1</v>
      </c>
      <c r="E160">
        <v>1</v>
      </c>
      <c r="F160" t="s">
        <v>577</v>
      </c>
      <c r="G160" t="s">
        <v>40</v>
      </c>
      <c r="H160" t="s">
        <v>1244</v>
      </c>
      <c r="I160" t="s">
        <v>1243</v>
      </c>
    </row>
    <row r="161" spans="1:9" x14ac:dyDescent="0.3">
      <c r="A161">
        <f t="shared" si="4"/>
        <v>9.8013742556115453</v>
      </c>
      <c r="B161">
        <f>Pitchers!A181</f>
        <v>9.8013742556115453</v>
      </c>
      <c r="C161">
        <v>0</v>
      </c>
      <c r="D161">
        <v>1</v>
      </c>
      <c r="E161">
        <v>1</v>
      </c>
      <c r="F161" t="s">
        <v>589</v>
      </c>
      <c r="G161" t="s">
        <v>45</v>
      </c>
      <c r="H161" t="s">
        <v>1244</v>
      </c>
      <c r="I161" t="s">
        <v>1243</v>
      </c>
    </row>
    <row r="162" spans="1:9" x14ac:dyDescent="0.3">
      <c r="A162">
        <f t="shared" ref="A162:A193" si="5">B162*D162*E162</f>
        <v>9.6864166284929016</v>
      </c>
      <c r="B162">
        <f>Pitchers!A176</f>
        <v>9.6864166284929016</v>
      </c>
      <c r="C162">
        <v>0</v>
      </c>
      <c r="D162">
        <v>1</v>
      </c>
      <c r="E162">
        <v>1</v>
      </c>
      <c r="F162" t="s">
        <v>584</v>
      </c>
      <c r="G162" t="s">
        <v>40</v>
      </c>
      <c r="H162" t="s">
        <v>1244</v>
      </c>
      <c r="I162" t="s">
        <v>1243</v>
      </c>
    </row>
    <row r="163" spans="1:9" x14ac:dyDescent="0.3">
      <c r="A163">
        <f t="shared" si="5"/>
        <v>9.5056985799358689</v>
      </c>
      <c r="B163">
        <f>Pitchers!A157</f>
        <v>9.5056985799358689</v>
      </c>
      <c r="C163">
        <v>0</v>
      </c>
      <c r="D163">
        <v>1</v>
      </c>
      <c r="E163">
        <v>1</v>
      </c>
      <c r="F163" t="s">
        <v>565</v>
      </c>
      <c r="G163" t="s">
        <v>57</v>
      </c>
      <c r="H163" t="s">
        <v>1244</v>
      </c>
      <c r="I163" t="s">
        <v>1243</v>
      </c>
    </row>
    <row r="164" spans="1:9" x14ac:dyDescent="0.3">
      <c r="A164">
        <f t="shared" si="5"/>
        <v>9.3918689876316961</v>
      </c>
      <c r="B164">
        <f>Pitchers!A170</f>
        <v>9.3918689876316961</v>
      </c>
      <c r="C164">
        <v>0</v>
      </c>
      <c r="D164">
        <v>1</v>
      </c>
      <c r="E164">
        <v>1</v>
      </c>
      <c r="F164" t="s">
        <v>578</v>
      </c>
      <c r="G164" t="s">
        <v>57</v>
      </c>
      <c r="H164" t="s">
        <v>1244</v>
      </c>
      <c r="I164" t="s">
        <v>1243</v>
      </c>
    </row>
    <row r="165" spans="1:9" x14ac:dyDescent="0.3">
      <c r="A165">
        <f t="shared" si="5"/>
        <v>9.117449610627574</v>
      </c>
      <c r="B165">
        <f>Pitchers!A159</f>
        <v>9.117449610627574</v>
      </c>
      <c r="C165">
        <v>0</v>
      </c>
      <c r="D165">
        <v>1</v>
      </c>
      <c r="E165">
        <v>1</v>
      </c>
      <c r="F165" t="s">
        <v>567</v>
      </c>
      <c r="G165" t="s">
        <v>42</v>
      </c>
      <c r="H165" t="s">
        <v>1244</v>
      </c>
      <c r="I165" t="s">
        <v>1243</v>
      </c>
    </row>
    <row r="166" spans="1:9" x14ac:dyDescent="0.3">
      <c r="A166">
        <f t="shared" si="5"/>
        <v>8.9405680256527713</v>
      </c>
      <c r="B166">
        <f>Pitchers!A175</f>
        <v>8.9405680256527713</v>
      </c>
      <c r="C166">
        <v>0</v>
      </c>
      <c r="D166">
        <v>1</v>
      </c>
      <c r="E166">
        <v>1</v>
      </c>
      <c r="F166" t="s">
        <v>583</v>
      </c>
      <c r="G166" t="s">
        <v>42</v>
      </c>
      <c r="H166" t="s">
        <v>1244</v>
      </c>
      <c r="I166" t="s">
        <v>1243</v>
      </c>
    </row>
    <row r="167" spans="1:9" x14ac:dyDescent="0.3">
      <c r="A167">
        <f t="shared" si="5"/>
        <v>8.4657604214383877</v>
      </c>
      <c r="B167">
        <f>Pitchers!A180</f>
        <v>8.4657604214383877</v>
      </c>
      <c r="C167">
        <v>0</v>
      </c>
      <c r="D167">
        <v>1</v>
      </c>
      <c r="E167">
        <v>1</v>
      </c>
      <c r="F167" t="s">
        <v>588</v>
      </c>
      <c r="G167" t="s">
        <v>64</v>
      </c>
      <c r="H167" t="s">
        <v>1244</v>
      </c>
      <c r="I167" t="s">
        <v>1243</v>
      </c>
    </row>
    <row r="168" spans="1:9" x14ac:dyDescent="0.3">
      <c r="A168">
        <f t="shared" si="5"/>
        <v>8.3755428309665589</v>
      </c>
      <c r="B168">
        <f>Pitchers!A182</f>
        <v>8.3755428309665589</v>
      </c>
      <c r="C168">
        <v>0</v>
      </c>
      <c r="D168">
        <v>1</v>
      </c>
      <c r="E168">
        <v>1</v>
      </c>
      <c r="F168" t="s">
        <v>590</v>
      </c>
      <c r="G168" t="s">
        <v>42</v>
      </c>
      <c r="H168" t="s">
        <v>1244</v>
      </c>
      <c r="I168" t="s">
        <v>1243</v>
      </c>
    </row>
    <row r="169" spans="1:9" x14ac:dyDescent="0.3">
      <c r="A169">
        <f t="shared" si="5"/>
        <v>8.3042201099404469</v>
      </c>
      <c r="B169">
        <f>Pitchers!A183</f>
        <v>8.3042201099404469</v>
      </c>
      <c r="C169">
        <v>0</v>
      </c>
      <c r="D169">
        <v>1</v>
      </c>
      <c r="E169">
        <v>1</v>
      </c>
      <c r="F169" t="s">
        <v>591</v>
      </c>
      <c r="G169" t="s">
        <v>49</v>
      </c>
      <c r="H169" t="s">
        <v>1244</v>
      </c>
      <c r="I169" t="s">
        <v>1243</v>
      </c>
    </row>
    <row r="170" spans="1:9" x14ac:dyDescent="0.3">
      <c r="A170">
        <f t="shared" si="5"/>
        <v>8.1210501603298209</v>
      </c>
      <c r="B170">
        <f>Pitchers!A189</f>
        <v>8.1210501603298209</v>
      </c>
      <c r="C170">
        <v>0</v>
      </c>
      <c r="D170">
        <v>1</v>
      </c>
      <c r="E170">
        <v>1</v>
      </c>
      <c r="F170" t="s">
        <v>597</v>
      </c>
      <c r="G170" t="s">
        <v>45</v>
      </c>
      <c r="H170" t="s">
        <v>1244</v>
      </c>
      <c r="I170" t="s">
        <v>1243</v>
      </c>
    </row>
    <row r="171" spans="1:9" x14ac:dyDescent="0.3">
      <c r="A171">
        <f t="shared" si="5"/>
        <v>7.9006150045808514</v>
      </c>
      <c r="B171">
        <f>Pitchers!A184</f>
        <v>10.247230874942739</v>
      </c>
      <c r="C171">
        <v>0</v>
      </c>
      <c r="D171">
        <v>0.77100000000000002</v>
      </c>
      <c r="E171">
        <v>1</v>
      </c>
      <c r="F171" t="s">
        <v>592</v>
      </c>
      <c r="G171" t="s">
        <v>49</v>
      </c>
      <c r="H171" t="s">
        <v>1244</v>
      </c>
      <c r="I171" t="s">
        <v>1245</v>
      </c>
    </row>
    <row r="172" spans="1:9" x14ac:dyDescent="0.3">
      <c r="A172">
        <f t="shared" si="5"/>
        <v>7.8273419606046728</v>
      </c>
      <c r="B172">
        <f>Pitchers!A186</f>
        <v>7.8273419606046728</v>
      </c>
      <c r="C172">
        <v>0</v>
      </c>
      <c r="D172">
        <v>1</v>
      </c>
      <c r="E172">
        <v>1</v>
      </c>
      <c r="F172" t="s">
        <v>594</v>
      </c>
      <c r="G172" t="s">
        <v>45</v>
      </c>
      <c r="H172" t="s">
        <v>1244</v>
      </c>
      <c r="I172" t="s">
        <v>1243</v>
      </c>
    </row>
    <row r="173" spans="1:9" x14ac:dyDescent="0.3">
      <c r="A173">
        <f t="shared" si="5"/>
        <v>7.7127611085661911</v>
      </c>
      <c r="B173">
        <f>Pitchers!A198</f>
        <v>7.7127611085661911</v>
      </c>
      <c r="C173">
        <v>0</v>
      </c>
      <c r="D173">
        <v>1</v>
      </c>
      <c r="E173">
        <v>1</v>
      </c>
      <c r="F173" t="s">
        <v>606</v>
      </c>
      <c r="G173" t="s">
        <v>57</v>
      </c>
      <c r="H173" t="s">
        <v>1244</v>
      </c>
      <c r="I173" t="s">
        <v>1243</v>
      </c>
    </row>
    <row r="174" spans="1:9" x14ac:dyDescent="0.3">
      <c r="A174">
        <f t="shared" si="5"/>
        <v>7.6464028859367845</v>
      </c>
      <c r="B174">
        <f>Pitchers!A190</f>
        <v>7.6464028859367845</v>
      </c>
      <c r="C174">
        <v>0</v>
      </c>
      <c r="D174">
        <v>1</v>
      </c>
      <c r="E174">
        <v>1</v>
      </c>
      <c r="F174" t="s">
        <v>598</v>
      </c>
      <c r="G174" t="s">
        <v>45</v>
      </c>
      <c r="H174" t="s">
        <v>1244</v>
      </c>
      <c r="I174" t="s">
        <v>1243</v>
      </c>
    </row>
    <row r="175" spans="1:9" x14ac:dyDescent="0.3">
      <c r="A175">
        <f t="shared" si="5"/>
        <v>7.565463105817682</v>
      </c>
      <c r="B175">
        <f>Pitchers!A164</f>
        <v>9.8125332111772785</v>
      </c>
      <c r="C175">
        <v>0</v>
      </c>
      <c r="D175">
        <v>0.77100000000000002</v>
      </c>
      <c r="E175">
        <v>1</v>
      </c>
      <c r="F175" t="s">
        <v>572</v>
      </c>
      <c r="G175" t="s">
        <v>57</v>
      </c>
      <c r="H175" t="s">
        <v>1244</v>
      </c>
      <c r="I175" t="s">
        <v>1245</v>
      </c>
    </row>
    <row r="176" spans="1:9" x14ac:dyDescent="0.3">
      <c r="A176">
        <f t="shared" si="5"/>
        <v>7.4659745762711864</v>
      </c>
      <c r="B176">
        <f>Pitchers!A187</f>
        <v>7.4659745762711864</v>
      </c>
      <c r="C176">
        <v>0</v>
      </c>
      <c r="D176">
        <v>1</v>
      </c>
      <c r="E176">
        <v>1</v>
      </c>
      <c r="F176" t="s">
        <v>595</v>
      </c>
      <c r="G176" t="s">
        <v>49</v>
      </c>
      <c r="H176" t="s">
        <v>1244</v>
      </c>
      <c r="I176" t="s">
        <v>1243</v>
      </c>
    </row>
    <row r="177" spans="1:9" x14ac:dyDescent="0.3">
      <c r="A177">
        <f t="shared" si="5"/>
        <v>7.4485730645900121</v>
      </c>
      <c r="B177">
        <f>Pitchers!A185</f>
        <v>7.4485730645900121</v>
      </c>
      <c r="C177">
        <v>0</v>
      </c>
      <c r="D177">
        <v>1</v>
      </c>
      <c r="E177">
        <v>1</v>
      </c>
      <c r="F177" t="s">
        <v>593</v>
      </c>
      <c r="G177" t="s">
        <v>64</v>
      </c>
      <c r="H177" t="s">
        <v>1244</v>
      </c>
      <c r="I177" t="s">
        <v>1243</v>
      </c>
    </row>
    <row r="178" spans="1:9" x14ac:dyDescent="0.3">
      <c r="A178">
        <f t="shared" si="5"/>
        <v>7.4068483737975246</v>
      </c>
      <c r="B178">
        <f>Pitchers!A188</f>
        <v>7.4068483737975246</v>
      </c>
      <c r="C178">
        <v>0</v>
      </c>
      <c r="D178">
        <v>1</v>
      </c>
      <c r="E178">
        <v>1</v>
      </c>
      <c r="F178" t="s">
        <v>596</v>
      </c>
      <c r="G178" t="s">
        <v>57</v>
      </c>
      <c r="H178" t="s">
        <v>1244</v>
      </c>
      <c r="I178" t="s">
        <v>1243</v>
      </c>
    </row>
    <row r="179" spans="1:9" x14ac:dyDescent="0.3">
      <c r="A179">
        <f t="shared" si="5"/>
        <v>7.2533886852954641</v>
      </c>
      <c r="B179">
        <f>Pitchers!A192</f>
        <v>7.2533886852954641</v>
      </c>
      <c r="C179">
        <v>0</v>
      </c>
      <c r="D179">
        <v>1</v>
      </c>
      <c r="E179">
        <v>1</v>
      </c>
      <c r="F179" t="s">
        <v>600</v>
      </c>
      <c r="G179" t="s">
        <v>57</v>
      </c>
      <c r="H179" t="s">
        <v>1244</v>
      </c>
      <c r="I179" t="s">
        <v>1243</v>
      </c>
    </row>
    <row r="180" spans="1:9" x14ac:dyDescent="0.3">
      <c r="A180">
        <f t="shared" si="5"/>
        <v>7.106121225377918</v>
      </c>
      <c r="B180">
        <f>Pitchers!A193</f>
        <v>9.2167590471827729</v>
      </c>
      <c r="C180">
        <v>0</v>
      </c>
      <c r="D180">
        <v>0.77100000000000002</v>
      </c>
      <c r="E180">
        <v>1</v>
      </c>
      <c r="F180" t="s">
        <v>601</v>
      </c>
      <c r="G180" t="s">
        <v>40</v>
      </c>
      <c r="H180" t="s">
        <v>1244</v>
      </c>
      <c r="I180" t="s">
        <v>1245</v>
      </c>
    </row>
    <row r="181" spans="1:9" x14ac:dyDescent="0.3">
      <c r="A181">
        <f t="shared" si="5"/>
        <v>7.059695373339439</v>
      </c>
      <c r="B181">
        <f>Pitchers!A178</f>
        <v>7.059695373339439</v>
      </c>
      <c r="C181">
        <v>0</v>
      </c>
      <c r="D181">
        <v>1</v>
      </c>
      <c r="E181">
        <v>1</v>
      </c>
      <c r="F181" t="s">
        <v>586</v>
      </c>
      <c r="G181" t="s">
        <v>57</v>
      </c>
      <c r="H181" t="s">
        <v>1244</v>
      </c>
      <c r="I181" t="s">
        <v>1243</v>
      </c>
    </row>
    <row r="182" spans="1:9" x14ac:dyDescent="0.3">
      <c r="A182">
        <f t="shared" si="5"/>
        <v>6.9606951442968379</v>
      </c>
      <c r="B182">
        <f>Pitchers!A191</f>
        <v>6.9606951442968379</v>
      </c>
      <c r="C182">
        <v>0</v>
      </c>
      <c r="D182">
        <v>1</v>
      </c>
      <c r="E182">
        <v>1</v>
      </c>
      <c r="F182" t="s">
        <v>599</v>
      </c>
      <c r="G182" t="s">
        <v>45</v>
      </c>
      <c r="H182" t="s">
        <v>1244</v>
      </c>
      <c r="I182" t="s">
        <v>1243</v>
      </c>
    </row>
    <row r="183" spans="1:9" x14ac:dyDescent="0.3">
      <c r="A183">
        <f t="shared" si="5"/>
        <v>6.836581539166283</v>
      </c>
      <c r="B183">
        <f>Pitchers!A195</f>
        <v>6.836581539166283</v>
      </c>
      <c r="C183">
        <v>0</v>
      </c>
      <c r="D183">
        <v>1</v>
      </c>
      <c r="E183">
        <v>1</v>
      </c>
      <c r="F183" t="s">
        <v>603</v>
      </c>
      <c r="G183" t="s">
        <v>49</v>
      </c>
      <c r="H183" t="s">
        <v>1244</v>
      </c>
      <c r="I183" t="s">
        <v>1243</v>
      </c>
    </row>
    <row r="184" spans="1:9" x14ac:dyDescent="0.3">
      <c r="A184">
        <f t="shared" si="5"/>
        <v>6.7689555657352267</v>
      </c>
      <c r="B184">
        <f>Pitchers!A194</f>
        <v>6.7689555657352267</v>
      </c>
      <c r="C184">
        <v>0</v>
      </c>
      <c r="D184">
        <v>1</v>
      </c>
      <c r="E184">
        <v>1</v>
      </c>
      <c r="F184" t="s">
        <v>602</v>
      </c>
      <c r="G184" t="s">
        <v>45</v>
      </c>
      <c r="H184" t="s">
        <v>1244</v>
      </c>
      <c r="I184" t="s">
        <v>1243</v>
      </c>
    </row>
    <row r="185" spans="1:9" x14ac:dyDescent="0.3">
      <c r="A185">
        <f t="shared" si="5"/>
        <v>6.7098293632615658</v>
      </c>
      <c r="B185">
        <f>Pitchers!A197</f>
        <v>6.7098293632615658</v>
      </c>
      <c r="C185">
        <v>0</v>
      </c>
      <c r="D185">
        <v>1</v>
      </c>
      <c r="E185">
        <v>1</v>
      </c>
      <c r="F185" t="s">
        <v>605</v>
      </c>
      <c r="G185" t="s">
        <v>45</v>
      </c>
      <c r="H185" t="s">
        <v>1244</v>
      </c>
      <c r="I185" t="s">
        <v>1243</v>
      </c>
    </row>
    <row r="186" spans="1:9" x14ac:dyDescent="0.3">
      <c r="A186">
        <f t="shared" si="5"/>
        <v>6.6655038937242317</v>
      </c>
      <c r="B186">
        <f>Pitchers!A196</f>
        <v>6.6655038937242317</v>
      </c>
      <c r="C186">
        <v>0</v>
      </c>
      <c r="D186">
        <v>1</v>
      </c>
      <c r="E186">
        <v>1</v>
      </c>
      <c r="F186" t="s">
        <v>604</v>
      </c>
      <c r="G186" t="s">
        <v>49</v>
      </c>
      <c r="H186" t="s">
        <v>1244</v>
      </c>
      <c r="I186" t="s">
        <v>1243</v>
      </c>
    </row>
    <row r="187" spans="1:9" x14ac:dyDescent="0.3">
      <c r="A187">
        <f t="shared" si="5"/>
        <v>6.4919182317911126</v>
      </c>
      <c r="B187">
        <f>Pitchers!A199</f>
        <v>6.4919182317911126</v>
      </c>
      <c r="C187">
        <v>0</v>
      </c>
      <c r="D187">
        <v>1</v>
      </c>
      <c r="E187">
        <v>1</v>
      </c>
      <c r="F187" t="s">
        <v>607</v>
      </c>
      <c r="G187" t="s">
        <v>45</v>
      </c>
      <c r="H187" t="s">
        <v>1244</v>
      </c>
      <c r="I187" t="s">
        <v>1243</v>
      </c>
    </row>
    <row r="188" spans="1:9" x14ac:dyDescent="0.3">
      <c r="A188">
        <f t="shared" si="5"/>
        <v>6.4138432214841954</v>
      </c>
      <c r="B188">
        <f>Pitchers!A158</f>
        <v>8.318862803481446</v>
      </c>
      <c r="C188">
        <v>0</v>
      </c>
      <c r="D188">
        <v>0.77100000000000002</v>
      </c>
      <c r="E188">
        <v>1</v>
      </c>
      <c r="F188" t="s">
        <v>566</v>
      </c>
      <c r="G188" t="s">
        <v>57</v>
      </c>
      <c r="H188" t="s">
        <v>1244</v>
      </c>
      <c r="I188" t="s">
        <v>1245</v>
      </c>
    </row>
    <row r="189" spans="1:9" x14ac:dyDescent="0.3">
      <c r="A189">
        <f t="shared" si="5"/>
        <v>6.3495205245075583</v>
      </c>
      <c r="B189">
        <f>Pitchers!A173</f>
        <v>8.2354351809436555</v>
      </c>
      <c r="C189">
        <v>0</v>
      </c>
      <c r="D189">
        <v>0.77100000000000002</v>
      </c>
      <c r="E189">
        <v>1</v>
      </c>
      <c r="F189" t="s">
        <v>581</v>
      </c>
      <c r="G189" t="s">
        <v>35</v>
      </c>
      <c r="H189" t="s">
        <v>1244</v>
      </c>
      <c r="I189" t="s">
        <v>1245</v>
      </c>
    </row>
    <row r="190" spans="1:9" x14ac:dyDescent="0.3">
      <c r="A190">
        <f t="shared" si="5"/>
        <v>6.2267991296381124</v>
      </c>
      <c r="B190">
        <f>Pitchers!A200</f>
        <v>6.2267991296381124</v>
      </c>
      <c r="C190">
        <v>0</v>
      </c>
      <c r="D190">
        <v>1</v>
      </c>
      <c r="E190">
        <v>1</v>
      </c>
      <c r="F190" t="s">
        <v>608</v>
      </c>
      <c r="G190" t="s">
        <v>57</v>
      </c>
      <c r="H190" t="s">
        <v>1244</v>
      </c>
      <c r="I190" t="s">
        <v>1243</v>
      </c>
    </row>
    <row r="191" spans="1:9" x14ac:dyDescent="0.3">
      <c r="A191">
        <f t="shared" si="5"/>
        <v>5.5410284012826381</v>
      </c>
      <c r="B191">
        <f>Pitchers!A202</f>
        <v>5.5410284012826381</v>
      </c>
      <c r="C191">
        <v>0</v>
      </c>
      <c r="D191">
        <v>1</v>
      </c>
      <c r="E191">
        <v>1</v>
      </c>
      <c r="F191" t="s">
        <v>610</v>
      </c>
      <c r="G191" t="s">
        <v>45</v>
      </c>
      <c r="H191" t="s">
        <v>1244</v>
      </c>
      <c r="I191" t="s">
        <v>1243</v>
      </c>
    </row>
    <row r="192" spans="1:9" x14ac:dyDescent="0.3">
      <c r="A192">
        <f t="shared" si="5"/>
        <v>5.161267750801648</v>
      </c>
      <c r="B192">
        <f>Pitchers!A201</f>
        <v>5.161267750801648</v>
      </c>
      <c r="C192">
        <v>0</v>
      </c>
      <c r="D192">
        <v>1</v>
      </c>
      <c r="E192">
        <v>1</v>
      </c>
      <c r="F192" t="s">
        <v>609</v>
      </c>
      <c r="G192" t="s">
        <v>42</v>
      </c>
      <c r="H192" t="s">
        <v>1244</v>
      </c>
      <c r="I192" t="s">
        <v>1243</v>
      </c>
    </row>
    <row r="193" spans="1:9" x14ac:dyDescent="0.3">
      <c r="A193">
        <f t="shared" si="5"/>
        <v>4.8386268896014659</v>
      </c>
      <c r="B193">
        <f>Pitchers!A204</f>
        <v>4.8386268896014659</v>
      </c>
      <c r="C193">
        <v>0</v>
      </c>
      <c r="D193">
        <v>1</v>
      </c>
      <c r="E193">
        <v>1</v>
      </c>
      <c r="F193" t="s">
        <v>612</v>
      </c>
      <c r="G193" t="s">
        <v>57</v>
      </c>
      <c r="H193" t="s">
        <v>1244</v>
      </c>
      <c r="I193" t="s">
        <v>1243</v>
      </c>
    </row>
    <row r="194" spans="1:9" x14ac:dyDescent="0.3">
      <c r="A194">
        <f t="shared" ref="A194:A197" si="6">B194*D194*E194</f>
        <v>4.6881470453504344</v>
      </c>
      <c r="B194">
        <f>Pitchers!A203</f>
        <v>4.6881470453504344</v>
      </c>
      <c r="C194">
        <v>0</v>
      </c>
      <c r="D194">
        <v>1</v>
      </c>
      <c r="E194">
        <v>1</v>
      </c>
      <c r="F194" t="s">
        <v>611</v>
      </c>
      <c r="G194" t="s">
        <v>42</v>
      </c>
      <c r="H194" t="s">
        <v>1244</v>
      </c>
      <c r="I194" t="s">
        <v>1243</v>
      </c>
    </row>
    <row r="195" spans="1:9" x14ac:dyDescent="0.3">
      <c r="A195">
        <f t="shared" si="6"/>
        <v>4.0988238662391199</v>
      </c>
      <c r="B195">
        <f>Pitchers!A205</f>
        <v>4.0988238662391199</v>
      </c>
      <c r="C195">
        <v>0</v>
      </c>
      <c r="D195">
        <v>1</v>
      </c>
      <c r="E195">
        <v>1</v>
      </c>
      <c r="F195" t="s">
        <v>613</v>
      </c>
      <c r="G195" t="s">
        <v>45</v>
      </c>
      <c r="H195" t="s">
        <v>1244</v>
      </c>
      <c r="I195" t="s">
        <v>1243</v>
      </c>
    </row>
    <row r="196" spans="1:9" x14ac:dyDescent="0.3">
      <c r="A196">
        <f t="shared" si="6"/>
        <v>4.0881533314246443</v>
      </c>
      <c r="B196">
        <f>Pitchers!A179</f>
        <v>5.3024038021071913</v>
      </c>
      <c r="C196">
        <v>0</v>
      </c>
      <c r="D196">
        <v>0.77100000000000002</v>
      </c>
      <c r="E196">
        <v>1</v>
      </c>
      <c r="F196" t="s">
        <v>587</v>
      </c>
      <c r="G196" t="s">
        <v>57</v>
      </c>
      <c r="H196" t="s">
        <v>1244</v>
      </c>
      <c r="I196" t="s">
        <v>1245</v>
      </c>
    </row>
    <row r="197" spans="1:9" x14ac:dyDescent="0.3">
      <c r="A197">
        <f t="shared" si="6"/>
        <v>2.5859276225377918</v>
      </c>
      <c r="B197">
        <f>Pitchers!A206</f>
        <v>2.5859276225377918</v>
      </c>
      <c r="C197">
        <v>0</v>
      </c>
      <c r="D197">
        <v>1</v>
      </c>
      <c r="E197">
        <v>1</v>
      </c>
      <c r="F197" t="s">
        <v>614</v>
      </c>
      <c r="G197" t="s">
        <v>42</v>
      </c>
      <c r="H197" t="s">
        <v>1244</v>
      </c>
      <c r="I197" t="s">
        <v>1243</v>
      </c>
    </row>
  </sheetData>
  <sortState xmlns:xlrd2="http://schemas.microsoft.com/office/spreadsheetml/2017/richdata2" ref="A1:J197">
    <sortCondition descending="1"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Hitters</vt:lpstr>
      <vt:lpstr>Pitchers</vt:lpstr>
      <vt:lpstr>Algorithm Analysis</vt:lpstr>
      <vt:lpstr>Algorithm</vt:lpstr>
      <vt:lpstr>Background Info</vt:lpstr>
      <vt:lpstr>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Josh Stafford</cp:lastModifiedBy>
  <dcterms:created xsi:type="dcterms:W3CDTF">2010-05-20T16:36:20Z</dcterms:created>
  <dcterms:modified xsi:type="dcterms:W3CDTF">2026-06-15T11:51:01Z</dcterms:modified>
</cp:coreProperties>
</file>