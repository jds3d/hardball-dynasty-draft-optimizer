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828" yWindow="-108" windowWidth="30936" windowHeight="17496" tabRatio="600" firstSheet="0" activeTab="1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Algorithm Analysis" sheetId="3" state="visible" r:id="rId3"/>
    <sheet xmlns:r="http://schemas.openxmlformats.org/officeDocument/2006/relationships" name="Algorithm" sheetId="4" state="visible" r:id="rId4"/>
  </sheets>
  <definedNames>
    <definedName name="_xlnm._FilterDatabase" localSheetId="0" hidden="1">'Hitters'!$A$6:$AM$6</definedName>
    <definedName name="_xlnm._FilterDatabase" localSheetId="1" hidden="1">'Pitchers'!$A$5:$Y$5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Tahoma"/>
      <family val="2"/>
      <b val="1"/>
      <color rgb="FF242022"/>
      <sz val="8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0"/>
      <sz val="11"/>
      <u val="single"/>
    </font>
    <font>
      <name val="Tahoma"/>
      <family val="2"/>
      <b val="1"/>
      <color rgb="FF000000"/>
      <sz val="7"/>
    </font>
    <font>
      <name val="Tahoma"/>
      <family val="2"/>
      <color rgb="FF000000"/>
      <sz val="7"/>
    </font>
    <font>
      <name val="Calibri"/>
      <family val="2"/>
      <b val="1"/>
      <color theme="1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CCBEB8"/>
        <bgColor indexed="64"/>
      </patternFill>
    </fill>
    <fill>
      <patternFill patternType="solid">
        <fgColor rgb="FFDEDDD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8B6AF"/>
        <bgColor indexed="64"/>
      </patternFill>
    </fill>
  </fills>
  <borders count="11">
    <border>
      <left/>
      <right/>
      <top/>
      <bottom/>
      <diagonal/>
    </border>
    <border>
      <left style="medium">
        <color rgb="FFBCA399"/>
      </left>
      <right style="medium">
        <color rgb="FFBCA399"/>
      </right>
      <top style="medium">
        <color rgb="FFBCA399"/>
      </top>
      <bottom style="medium">
        <color rgb="FFBCA399"/>
      </bottom>
      <diagonal/>
    </border>
    <border>
      <left style="medium">
        <color rgb="FFBCA399"/>
      </left>
      <right/>
      <top style="medium">
        <color rgb="FFBCA399"/>
      </top>
      <bottom style="medium">
        <color rgb="FFBCA399"/>
      </bottom>
      <diagonal/>
    </border>
    <border>
      <left/>
      <right/>
      <top style="medium">
        <color rgb="FFBCA399"/>
      </top>
      <bottom style="medium">
        <color rgb="FFBCA399"/>
      </bottom>
      <diagonal/>
    </border>
    <border>
      <left/>
      <right style="medium">
        <color rgb="FFBCA399"/>
      </right>
      <top style="medium">
        <color rgb="FFBCA399"/>
      </top>
      <bottom style="medium">
        <color rgb="FFBCA399"/>
      </bottom>
      <diagonal/>
    </border>
    <border>
      <left style="medium">
        <color rgb="FFBCA399"/>
      </left>
      <right style="medium">
        <color rgb="FFBCA399"/>
      </right>
      <top/>
      <bottom/>
      <diagonal/>
    </border>
    <border>
      <left style="medium">
        <color rgb="FFBCA399"/>
      </left>
      <right/>
      <top/>
      <bottom/>
      <diagonal/>
    </border>
    <border>
      <left/>
      <right/>
      <top/>
      <bottom style="medium">
        <color rgb="FFCCCBC4"/>
      </bottom>
      <diagonal/>
    </border>
    <border>
      <left style="medium">
        <color rgb="FFCCCBC4"/>
      </left>
      <right/>
      <top/>
      <bottom style="medium">
        <color rgb="FFCCCBC4"/>
      </bottom>
      <diagonal/>
    </border>
    <border>
      <left/>
      <right/>
      <top style="medium">
        <color rgb="FFBCA399"/>
      </top>
      <bottom/>
      <diagonal/>
    </border>
    <border>
      <left/>
      <right style="medium">
        <color rgb="FFBCA399"/>
      </right>
      <top style="medium">
        <color rgb="FFBCA399"/>
      </top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1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2" fillId="4" borderId="8" applyAlignment="1" pivotButton="0" quotePrefix="0" xfId="1">
      <alignment horizontal="left" vertical="center"/>
    </xf>
    <xf numFmtId="0" fontId="2" fillId="3" borderId="8" applyAlignment="1" pivotButton="0" quotePrefix="0" xfId="1">
      <alignment horizontal="left" vertical="center"/>
    </xf>
    <xf numFmtId="0" fontId="2" fillId="5" borderId="0" applyAlignment="1" pivotButton="0" quotePrefix="0" xfId="1">
      <alignment horizontal="left" vertical="center"/>
    </xf>
    <xf numFmtId="0" fontId="2" fillId="5" borderId="0" applyAlignment="1" pivotButton="0" quotePrefix="0" xfId="1">
      <alignment horizontal="left" vertical="center" wrapText="1"/>
    </xf>
    <xf numFmtId="0" fontId="2" fillId="5" borderId="0" applyAlignment="1" pivotButton="0" quotePrefix="0" xfId="1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poly"/>
            <order val="3"/>
            <dispRSqr val="0"/>
            <dispEq val="1"/>
            <trendlineLbl>
              <numFmt formatCode="General" sourceLinked="0"/>
            </trendlineLbl>
          </trendline>
          <xVal>
            <numRef>
              <f>'Algorithm Analysis'!$A$1:$A$14</f>
              <numCache>
                <formatCode>General</formatCode>
                <ptCount val="14"/>
                <pt idx="0">
                  <v>0</v>
                </pt>
                <pt idx="1">
                  <v>10</v>
                </pt>
                <pt idx="2">
                  <v>20</v>
                </pt>
                <pt idx="3">
                  <v>22</v>
                </pt>
                <pt idx="4">
                  <v>24</v>
                </pt>
                <pt idx="5">
                  <v>26</v>
                </pt>
                <pt idx="6">
                  <v>30</v>
                </pt>
                <pt idx="7">
                  <v>40</v>
                </pt>
                <pt idx="8">
                  <v>50</v>
                </pt>
                <pt idx="9">
                  <v>60</v>
                </pt>
                <pt idx="10">
                  <v>70</v>
                </pt>
                <pt idx="11">
                  <v>80</v>
                </pt>
                <pt idx="12">
                  <v>90</v>
                </pt>
                <pt idx="13">
                  <v>100</v>
                </pt>
              </numCache>
            </numRef>
          </xVal>
          <yVal>
            <numRef>
              <f>'Algorithm Analysis'!$B$1:$B$14</f>
              <numCache>
                <formatCode>General</formatCode>
                <ptCount val="14"/>
                <pt idx="0">
                  <v>0</v>
                </pt>
                <pt idx="1">
                  <v>0.05</v>
                </pt>
                <pt idx="2">
                  <v>0.1</v>
                </pt>
                <pt idx="3">
                  <v>0.11</v>
                </pt>
                <pt idx="4">
                  <v>0.12</v>
                </pt>
                <pt idx="5">
                  <v>0.13</v>
                </pt>
                <pt idx="6">
                  <v>0.15</v>
                </pt>
                <pt idx="7">
                  <v>0.3</v>
                </pt>
                <pt idx="8">
                  <v>0.45</v>
                </pt>
                <pt idx="9">
                  <v>0.6</v>
                </pt>
                <pt idx="10">
                  <v>0.75</v>
                </pt>
                <pt idx="11">
                  <v>0.85</v>
                </pt>
                <pt idx="12">
                  <v>0.95</v>
                </pt>
                <pt idx="13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29964032"/>
        <axId val="157220864"/>
      </scatterChart>
      <valAx>
        <axId val="22996403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57220864"/>
        <crosses val="autoZero"/>
        <crossBetween val="midCat"/>
      </valAx>
      <valAx>
        <axId val="15722086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9964032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12</col>
      <colOff>200025</colOff>
      <row>11</row>
      <rowOff>76200</rowOff>
    </from>
    <to>
      <col>23</col>
      <colOff>142875</colOff>
      <row>34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hatifsports.com/hbd/Pages/GM/AmateurDraftPlayerPool.aspx" TargetMode="External" Id="rId1"/><Relationship Type="http://schemas.openxmlformats.org/officeDocument/2006/relationships/hyperlink" Target="https://www.whatifsports.com/hbd/Pages/GM/AmateurDraftPlayerPool.aspx" TargetMode="External" Id="rId2"/><Relationship Type="http://schemas.openxmlformats.org/officeDocument/2006/relationships/hyperlink" Target="https://www.whatifsports.com/hbd/Pages/GM/AmateurDraftPlayerPool.aspx" TargetMode="External" Id="rId3"/><Relationship Type="http://schemas.openxmlformats.org/officeDocument/2006/relationships/hyperlink" Target="https://www.whatifsports.com/hbd/Pages/GM/AmateurDraftPlayerPool.aspx" TargetMode="External" Id="rId4"/><Relationship Type="http://schemas.openxmlformats.org/officeDocument/2006/relationships/hyperlink" Target="https://www.whatifsports.com/hbd/Pages/GM/AmateurDraftPlayerPool.aspx" TargetMode="External" Id="rId5"/><Relationship Type="http://schemas.openxmlformats.org/officeDocument/2006/relationships/hyperlink" Target="https://www.whatifsports.com/hbd/Pages/GM/AmateurDraftPlayerPool.aspx" TargetMode="External" Id="rId6"/><Relationship Type="http://schemas.openxmlformats.org/officeDocument/2006/relationships/hyperlink" Target="https://www.whatifsports.com/hbd/Pages/GM/AmateurDraftPlayerPool.aspx" TargetMode="External" Id="rId7"/><Relationship Type="http://schemas.openxmlformats.org/officeDocument/2006/relationships/hyperlink" Target="https://www.whatifsports.com/hbd/Pages/GM/AmateurDraftPlayerPool.aspx" TargetMode="External" Id="rId8"/><Relationship Type="http://schemas.openxmlformats.org/officeDocument/2006/relationships/hyperlink" Target="https://www.whatifsports.com/hbd/Pages/GM/AmateurDraftPlayerPool.aspx" TargetMode="External" Id="rId9"/><Relationship Type="http://schemas.openxmlformats.org/officeDocument/2006/relationships/hyperlink" Target="https://www.whatifsports.com/hbd/Pages/GM/AmateurDraftPlayerPool.aspx" TargetMode="External" Id="rId10"/><Relationship Type="http://schemas.openxmlformats.org/officeDocument/2006/relationships/hyperlink" Target="https://www.whatifsports.com/hbd/Pages/GM/AmateurDraftPlayerPool.aspx" TargetMode="External" Id="rId11"/><Relationship Type="http://schemas.openxmlformats.org/officeDocument/2006/relationships/hyperlink" Target="https://www.whatifsports.com/hbd/Pages/GM/AmateurDraftPlayerPool.aspx" TargetMode="External" Id="rId12"/><Relationship Type="http://schemas.openxmlformats.org/officeDocument/2006/relationships/hyperlink" Target="https://www.whatifsports.com/hbd/Pages/Popups/ProspectProfile.aspx?pid=13631431" TargetMode="External" Id="rId13"/><Relationship Type="http://schemas.openxmlformats.org/officeDocument/2006/relationships/hyperlink" Target="https://www.whatifsports.com/hbd/Pages/Popups/ProspectProfile.aspx?pid=13631431" TargetMode="External" Id="rId14"/><Relationship Type="http://schemas.openxmlformats.org/officeDocument/2006/relationships/hyperlink" Target="https://www.whatifsports.com/hbd/Pages/Popups/ProspectProfile.aspx?pid=13631433" TargetMode="External" Id="rId15"/><Relationship Type="http://schemas.openxmlformats.org/officeDocument/2006/relationships/hyperlink" Target="https://www.whatifsports.com/hbd/Pages/Popups/ProspectProfile.aspx?pid=13631433" TargetMode="External" Id="rId16"/><Relationship Type="http://schemas.openxmlformats.org/officeDocument/2006/relationships/hyperlink" Target="https://www.whatifsports.com/hbd/Pages/Popups/ProspectProfile.aspx?pid=13631497" TargetMode="External" Id="rId17"/><Relationship Type="http://schemas.openxmlformats.org/officeDocument/2006/relationships/hyperlink" Target="https://www.whatifsports.com/hbd/Pages/Popups/ProspectProfile.aspx?pid=13631497" TargetMode="External" Id="rId18"/><Relationship Type="http://schemas.openxmlformats.org/officeDocument/2006/relationships/hyperlink" Target="https://www.whatifsports.com/hbd/Pages/Popups/ProspectProfile.aspx?pid=13631500" TargetMode="External" Id="rId19"/><Relationship Type="http://schemas.openxmlformats.org/officeDocument/2006/relationships/hyperlink" Target="https://www.whatifsports.com/hbd/Pages/Popups/ProspectProfile.aspx?pid=13631500" TargetMode="External" Id="rId20"/><Relationship Type="http://schemas.openxmlformats.org/officeDocument/2006/relationships/hyperlink" Target="https://www.whatifsports.com/hbd/Pages/Popups/ProspectProfile.aspx?pid=13631732" TargetMode="External" Id="rId21"/><Relationship Type="http://schemas.openxmlformats.org/officeDocument/2006/relationships/hyperlink" Target="https://www.whatifsports.com/hbd/Pages/Popups/ProspectProfile.aspx?pid=13631732" TargetMode="External" Id="rId22"/><Relationship Type="http://schemas.openxmlformats.org/officeDocument/2006/relationships/hyperlink" Target="https://www.whatifsports.com/hbd/Pages/Popups/ProspectProfile.aspx?pid=13631506" TargetMode="External" Id="rId23"/><Relationship Type="http://schemas.openxmlformats.org/officeDocument/2006/relationships/hyperlink" Target="https://www.whatifsports.com/hbd/Pages/Popups/ProspectProfile.aspx?pid=13631506" TargetMode="External" Id="rId24"/><Relationship Type="http://schemas.openxmlformats.org/officeDocument/2006/relationships/hyperlink" Target="https://www.whatifsports.com/hbd/Pages/Popups/ProspectProfile.aspx?pid=13631714" TargetMode="External" Id="rId25"/><Relationship Type="http://schemas.openxmlformats.org/officeDocument/2006/relationships/hyperlink" Target="https://www.whatifsports.com/hbd/Pages/Popups/ProspectProfile.aspx?pid=13631714" TargetMode="External" Id="rId26"/><Relationship Type="http://schemas.openxmlformats.org/officeDocument/2006/relationships/hyperlink" Target="https://www.whatifsports.com/hbd/Pages/Popups/ProspectProfile.aspx?pid=13631607" TargetMode="External" Id="rId27"/><Relationship Type="http://schemas.openxmlformats.org/officeDocument/2006/relationships/hyperlink" Target="https://www.whatifsports.com/hbd/Pages/Popups/ProspectProfile.aspx?pid=13631607" TargetMode="External" Id="rId28"/><Relationship Type="http://schemas.openxmlformats.org/officeDocument/2006/relationships/hyperlink" Target="https://www.whatifsports.com/hbd/Pages/Popups/ProspectProfile.aspx?pid=13631505" TargetMode="External" Id="rId29"/><Relationship Type="http://schemas.openxmlformats.org/officeDocument/2006/relationships/hyperlink" Target="https://www.whatifsports.com/hbd/Pages/Popups/ProspectProfile.aspx?pid=13631505" TargetMode="External" Id="rId30"/><Relationship Type="http://schemas.openxmlformats.org/officeDocument/2006/relationships/hyperlink" Target="https://www.whatifsports.com/hbd/Pages/Popups/ProspectProfile.aspx?pid=13631837" TargetMode="External" Id="rId31"/><Relationship Type="http://schemas.openxmlformats.org/officeDocument/2006/relationships/hyperlink" Target="https://www.whatifsports.com/hbd/Pages/Popups/ProspectProfile.aspx?pid=13631837" TargetMode="External" Id="rId32"/><Relationship Type="http://schemas.openxmlformats.org/officeDocument/2006/relationships/hyperlink" Target="https://www.whatifsports.com/hbd/Pages/Popups/ProspectProfile.aspx?pid=13631674" TargetMode="External" Id="rId33"/><Relationship Type="http://schemas.openxmlformats.org/officeDocument/2006/relationships/hyperlink" Target="https://www.whatifsports.com/hbd/Pages/Popups/ProspectProfile.aspx?pid=13631674" TargetMode="External" Id="rId34"/><Relationship Type="http://schemas.openxmlformats.org/officeDocument/2006/relationships/hyperlink" Target="https://www.whatifsports.com/hbd/Pages/Popups/ProspectProfile.aspx?pid=13631677" TargetMode="External" Id="rId35"/><Relationship Type="http://schemas.openxmlformats.org/officeDocument/2006/relationships/hyperlink" Target="https://www.whatifsports.com/hbd/Pages/Popups/ProspectProfile.aspx?pid=13631677" TargetMode="External" Id="rId36"/><Relationship Type="http://schemas.openxmlformats.org/officeDocument/2006/relationships/hyperlink" Target="https://www.whatifsports.com/hbd/Pages/Popups/ProspectProfile.aspx?pid=13631767" TargetMode="External" Id="rId37"/><Relationship Type="http://schemas.openxmlformats.org/officeDocument/2006/relationships/hyperlink" Target="https://www.whatifsports.com/hbd/Pages/Popups/ProspectProfile.aspx?pid=13631767" TargetMode="External" Id="rId38"/><Relationship Type="http://schemas.openxmlformats.org/officeDocument/2006/relationships/hyperlink" Target="https://www.whatifsports.com/hbd/Pages/Popups/ProspectProfile.aspx?pid=13631772" TargetMode="External" Id="rId39"/><Relationship Type="http://schemas.openxmlformats.org/officeDocument/2006/relationships/hyperlink" Target="https://www.whatifsports.com/hbd/Pages/Popups/ProspectProfile.aspx?pid=13631772" TargetMode="External" Id="rId40"/><Relationship Type="http://schemas.openxmlformats.org/officeDocument/2006/relationships/hyperlink" Target="https://www.whatifsports.com/hbd/Pages/Popups/ProspectProfile.aspx?pid=13631605" TargetMode="External" Id="rId41"/><Relationship Type="http://schemas.openxmlformats.org/officeDocument/2006/relationships/hyperlink" Target="https://www.whatifsports.com/hbd/Pages/Popups/ProspectProfile.aspx?pid=13631605" TargetMode="External" Id="rId42"/><Relationship Type="http://schemas.openxmlformats.org/officeDocument/2006/relationships/hyperlink" Target="https://www.whatifsports.com/hbd/Pages/Popups/ProspectProfile.aspx?pid=13631591" TargetMode="External" Id="rId43"/><Relationship Type="http://schemas.openxmlformats.org/officeDocument/2006/relationships/hyperlink" Target="https://www.whatifsports.com/hbd/Pages/Popups/ProspectProfile.aspx?pid=13631591" TargetMode="External" Id="rId44"/><Relationship Type="http://schemas.openxmlformats.org/officeDocument/2006/relationships/hyperlink" Target="https://www.whatifsports.com/hbd/Pages/Popups/ProspectProfile.aspx?pid=13631673" TargetMode="External" Id="rId45"/><Relationship Type="http://schemas.openxmlformats.org/officeDocument/2006/relationships/hyperlink" Target="https://www.whatifsports.com/hbd/Pages/Popups/ProspectProfile.aspx?pid=13631673" TargetMode="External" Id="rId46"/><Relationship Type="http://schemas.openxmlformats.org/officeDocument/2006/relationships/hyperlink" Target="https://www.whatifsports.com/hbd/Pages/Popups/ProspectProfile.aspx?pid=13631672" TargetMode="External" Id="rId47"/><Relationship Type="http://schemas.openxmlformats.org/officeDocument/2006/relationships/hyperlink" Target="https://www.whatifsports.com/hbd/Pages/Popups/ProspectProfile.aspx?pid=13631672" TargetMode="External" Id="rId48"/><Relationship Type="http://schemas.openxmlformats.org/officeDocument/2006/relationships/hyperlink" Target="https://www.whatifsports.com/hbd/Pages/Popups/ProspectProfile.aspx?pid=13631678" TargetMode="External" Id="rId49"/><Relationship Type="http://schemas.openxmlformats.org/officeDocument/2006/relationships/hyperlink" Target="https://www.whatifsports.com/hbd/Pages/Popups/ProspectProfile.aspx?pid=13631678" TargetMode="External" Id="rId50"/><Relationship Type="http://schemas.openxmlformats.org/officeDocument/2006/relationships/hyperlink" Target="https://www.whatifsports.com/hbd/Pages/Popups/ProspectProfile.aspx?pid=13631667" TargetMode="External" Id="rId51"/><Relationship Type="http://schemas.openxmlformats.org/officeDocument/2006/relationships/hyperlink" Target="https://www.whatifsports.com/hbd/Pages/Popups/ProspectProfile.aspx?pid=13631667" TargetMode="External" Id="rId52"/><Relationship Type="http://schemas.openxmlformats.org/officeDocument/2006/relationships/hyperlink" Target="https://www.whatifsports.com/hbd/Pages/Popups/ProspectProfile.aspx?pid=13631429" TargetMode="External" Id="rId53"/><Relationship Type="http://schemas.openxmlformats.org/officeDocument/2006/relationships/hyperlink" Target="https://www.whatifsports.com/hbd/Pages/Popups/ProspectProfile.aspx?pid=13631429" TargetMode="External" Id="rId54"/><Relationship Type="http://schemas.openxmlformats.org/officeDocument/2006/relationships/hyperlink" Target="https://www.whatifsports.com/hbd/Pages/Popups/ProspectProfile.aspx?pid=13631507" TargetMode="External" Id="rId55"/><Relationship Type="http://schemas.openxmlformats.org/officeDocument/2006/relationships/hyperlink" Target="https://www.whatifsports.com/hbd/Pages/Popups/ProspectProfile.aspx?pid=13631507" TargetMode="External" Id="rId56"/><Relationship Type="http://schemas.openxmlformats.org/officeDocument/2006/relationships/hyperlink" Target="https://www.whatifsports.com/hbd/Pages/Popups/ProspectProfile.aspx?pid=13631775" TargetMode="External" Id="rId57"/><Relationship Type="http://schemas.openxmlformats.org/officeDocument/2006/relationships/hyperlink" Target="https://www.whatifsports.com/hbd/Pages/Popups/ProspectProfile.aspx?pid=13631775" TargetMode="External" Id="rId58"/><Relationship Type="http://schemas.openxmlformats.org/officeDocument/2006/relationships/hyperlink" Target="https://www.whatifsports.com/hbd/Pages/Popups/ProspectProfile.aspx?pid=13631585" TargetMode="External" Id="rId59"/><Relationship Type="http://schemas.openxmlformats.org/officeDocument/2006/relationships/hyperlink" Target="https://www.whatifsports.com/hbd/Pages/Popups/ProspectProfile.aspx?pid=13631585" TargetMode="External" Id="rId60"/><Relationship Type="http://schemas.openxmlformats.org/officeDocument/2006/relationships/hyperlink" Target="https://www.whatifsports.com/hbd/Pages/Popups/ProspectProfile.aspx?pid=13631833" TargetMode="External" Id="rId61"/><Relationship Type="http://schemas.openxmlformats.org/officeDocument/2006/relationships/hyperlink" Target="https://www.whatifsports.com/hbd/Pages/Popups/ProspectProfile.aspx?pid=13631833" TargetMode="External" Id="rId62"/><Relationship Type="http://schemas.openxmlformats.org/officeDocument/2006/relationships/hyperlink" Target="https://www.whatifsports.com/hbd/Pages/Popups/ProspectProfile.aspx?pid=13631454" TargetMode="External" Id="rId63"/><Relationship Type="http://schemas.openxmlformats.org/officeDocument/2006/relationships/hyperlink" Target="https://www.whatifsports.com/hbd/Pages/Popups/ProspectProfile.aspx?pid=13631454" TargetMode="External" Id="rId64"/><Relationship Type="http://schemas.openxmlformats.org/officeDocument/2006/relationships/hyperlink" Target="https://www.whatifsports.com/hbd/Pages/Popups/ProspectProfile.aspx?pid=13631551" TargetMode="External" Id="rId65"/><Relationship Type="http://schemas.openxmlformats.org/officeDocument/2006/relationships/hyperlink" Target="https://www.whatifsports.com/hbd/Pages/Popups/ProspectProfile.aspx?pid=13631551" TargetMode="External" Id="rId66"/><Relationship Type="http://schemas.openxmlformats.org/officeDocument/2006/relationships/hyperlink" Target="https://www.whatifsports.com/hbd/Pages/Popups/ProspectProfile.aspx?pid=13631725" TargetMode="External" Id="rId67"/><Relationship Type="http://schemas.openxmlformats.org/officeDocument/2006/relationships/hyperlink" Target="https://www.whatifsports.com/hbd/Pages/Popups/ProspectProfile.aspx?pid=13631725" TargetMode="External" Id="rId68"/><Relationship Type="http://schemas.openxmlformats.org/officeDocument/2006/relationships/hyperlink" Target="https://www.whatifsports.com/hbd/Pages/Popups/ProspectProfile.aspx?pid=13631768" TargetMode="External" Id="rId69"/><Relationship Type="http://schemas.openxmlformats.org/officeDocument/2006/relationships/hyperlink" Target="https://www.whatifsports.com/hbd/Pages/Popups/ProspectProfile.aspx?pid=13631768" TargetMode="External" Id="rId70"/><Relationship Type="http://schemas.openxmlformats.org/officeDocument/2006/relationships/hyperlink" Target="https://www.whatifsports.com/hbd/Pages/Popups/ProspectProfile.aspx?pid=13631617" TargetMode="External" Id="rId71"/><Relationship Type="http://schemas.openxmlformats.org/officeDocument/2006/relationships/hyperlink" Target="https://www.whatifsports.com/hbd/Pages/Popups/ProspectProfile.aspx?pid=13631617" TargetMode="External" Id="rId72"/><Relationship Type="http://schemas.openxmlformats.org/officeDocument/2006/relationships/hyperlink" Target="https://www.whatifsports.com/hbd/Pages/Popups/ProspectProfile.aspx?pid=13631763" TargetMode="External" Id="rId73"/><Relationship Type="http://schemas.openxmlformats.org/officeDocument/2006/relationships/hyperlink" Target="https://www.whatifsports.com/hbd/Pages/Popups/ProspectProfile.aspx?pid=13631763" TargetMode="External" Id="rId74"/><Relationship Type="http://schemas.openxmlformats.org/officeDocument/2006/relationships/hyperlink" Target="https://www.whatifsports.com/hbd/Pages/Popups/ProspectProfile.aspx?pid=13631823" TargetMode="External" Id="rId75"/><Relationship Type="http://schemas.openxmlformats.org/officeDocument/2006/relationships/hyperlink" Target="https://www.whatifsports.com/hbd/Pages/Popups/ProspectProfile.aspx?pid=13631823" TargetMode="External" Id="rId76"/><Relationship Type="http://schemas.openxmlformats.org/officeDocument/2006/relationships/hyperlink" Target="https://www.whatifsports.com/hbd/Pages/Popups/ProspectProfile.aspx?pid=13631730" TargetMode="External" Id="rId77"/><Relationship Type="http://schemas.openxmlformats.org/officeDocument/2006/relationships/hyperlink" Target="https://www.whatifsports.com/hbd/Pages/Popups/ProspectProfile.aspx?pid=13631730" TargetMode="External" Id="rId78"/><Relationship Type="http://schemas.openxmlformats.org/officeDocument/2006/relationships/hyperlink" Target="https://www.whatifsports.com/hbd/Pages/Popups/ProspectProfile.aspx?pid=13631583" TargetMode="External" Id="rId79"/><Relationship Type="http://schemas.openxmlformats.org/officeDocument/2006/relationships/hyperlink" Target="https://www.whatifsports.com/hbd/Pages/Popups/ProspectProfile.aspx?pid=13631583" TargetMode="External" Id="rId80"/><Relationship Type="http://schemas.openxmlformats.org/officeDocument/2006/relationships/hyperlink" Target="https://www.whatifsports.com/hbd/Pages/Popups/ProspectProfile.aspx?pid=13631552" TargetMode="External" Id="rId81"/><Relationship Type="http://schemas.openxmlformats.org/officeDocument/2006/relationships/hyperlink" Target="https://www.whatifsports.com/hbd/Pages/Popups/ProspectProfile.aspx?pid=13631552" TargetMode="External" Id="rId82"/><Relationship Type="http://schemas.openxmlformats.org/officeDocument/2006/relationships/hyperlink" Target="https://www.whatifsports.com/hbd/Pages/Popups/ProspectProfile.aspx?pid=13631818" TargetMode="External" Id="rId83"/><Relationship Type="http://schemas.openxmlformats.org/officeDocument/2006/relationships/hyperlink" Target="https://www.whatifsports.com/hbd/Pages/Popups/ProspectProfile.aspx?pid=13631818" TargetMode="External" Id="rId84"/><Relationship Type="http://schemas.openxmlformats.org/officeDocument/2006/relationships/hyperlink" Target="https://www.whatifsports.com/hbd/Pages/Popups/ProspectProfile.aspx?pid=13631555" TargetMode="External" Id="rId85"/><Relationship Type="http://schemas.openxmlformats.org/officeDocument/2006/relationships/hyperlink" Target="https://www.whatifsports.com/hbd/Pages/Popups/ProspectProfile.aspx?pid=13631555" TargetMode="External" Id="rId86"/><Relationship Type="http://schemas.openxmlformats.org/officeDocument/2006/relationships/hyperlink" Target="https://www.whatifsports.com/hbd/Pages/Popups/ProspectProfile.aspx?pid=13631409" TargetMode="External" Id="rId87"/><Relationship Type="http://schemas.openxmlformats.org/officeDocument/2006/relationships/hyperlink" Target="https://www.whatifsports.com/hbd/Pages/Popups/ProspectProfile.aspx?pid=13631409" TargetMode="External" Id="rId88"/><Relationship Type="http://schemas.openxmlformats.org/officeDocument/2006/relationships/hyperlink" Target="https://www.whatifsports.com/hbd/Pages/Popups/ProspectProfile.aspx?pid=13631601" TargetMode="External" Id="rId89"/><Relationship Type="http://schemas.openxmlformats.org/officeDocument/2006/relationships/hyperlink" Target="https://www.whatifsports.com/hbd/Pages/Popups/ProspectProfile.aspx?pid=13631601" TargetMode="External" Id="rId90"/><Relationship Type="http://schemas.openxmlformats.org/officeDocument/2006/relationships/hyperlink" Target="https://www.whatifsports.com/hbd/Pages/Popups/ProspectProfile.aspx?pid=13631838" TargetMode="External" Id="rId91"/><Relationship Type="http://schemas.openxmlformats.org/officeDocument/2006/relationships/hyperlink" Target="https://www.whatifsports.com/hbd/Pages/Popups/ProspectProfile.aspx?pid=13631838" TargetMode="External" Id="rId92"/><Relationship Type="http://schemas.openxmlformats.org/officeDocument/2006/relationships/hyperlink" Target="https://www.whatifsports.com/hbd/Pages/Popups/ProspectProfile.aspx?pid=13631839" TargetMode="External" Id="rId93"/><Relationship Type="http://schemas.openxmlformats.org/officeDocument/2006/relationships/hyperlink" Target="https://www.whatifsports.com/hbd/Pages/Popups/ProspectProfile.aspx?pid=13631839" TargetMode="External" Id="rId94"/><Relationship Type="http://schemas.openxmlformats.org/officeDocument/2006/relationships/hyperlink" Target="https://www.whatifsports.com/hbd/Pages/Popups/ProspectProfile.aspx?pid=13631701" TargetMode="External" Id="rId95"/><Relationship Type="http://schemas.openxmlformats.org/officeDocument/2006/relationships/hyperlink" Target="https://www.whatifsports.com/hbd/Pages/Popups/ProspectProfile.aspx?pid=13631701" TargetMode="External" Id="rId96"/><Relationship Type="http://schemas.openxmlformats.org/officeDocument/2006/relationships/hyperlink" Target="https://www.whatifsports.com/hbd/Pages/Popups/ProspectProfile.aspx?pid=13631484" TargetMode="External" Id="rId97"/><Relationship Type="http://schemas.openxmlformats.org/officeDocument/2006/relationships/hyperlink" Target="https://www.whatifsports.com/hbd/Pages/Popups/ProspectProfile.aspx?pid=13631484" TargetMode="External" Id="rId98"/><Relationship Type="http://schemas.openxmlformats.org/officeDocument/2006/relationships/hyperlink" Target="https://www.whatifsports.com/hbd/Pages/Popups/ProspectProfile.aspx?pid=13631579" TargetMode="External" Id="rId99"/><Relationship Type="http://schemas.openxmlformats.org/officeDocument/2006/relationships/hyperlink" Target="https://www.whatifsports.com/hbd/Pages/Popups/ProspectProfile.aspx?pid=13631579" TargetMode="External" Id="rId100"/><Relationship Type="http://schemas.openxmlformats.org/officeDocument/2006/relationships/hyperlink" Target="https://www.whatifsports.com/hbd/Pages/Popups/ProspectProfile.aspx?pid=13631541" TargetMode="External" Id="rId101"/><Relationship Type="http://schemas.openxmlformats.org/officeDocument/2006/relationships/hyperlink" Target="https://www.whatifsports.com/hbd/Pages/Popups/ProspectProfile.aspx?pid=13631541" TargetMode="External" Id="rId102"/><Relationship Type="http://schemas.openxmlformats.org/officeDocument/2006/relationships/hyperlink" Target="https://www.whatifsports.com/hbd/Pages/Popups/ProspectProfile.aspx?pid=13631610" TargetMode="External" Id="rId103"/><Relationship Type="http://schemas.openxmlformats.org/officeDocument/2006/relationships/hyperlink" Target="https://www.whatifsports.com/hbd/Pages/Popups/ProspectProfile.aspx?pid=13631610" TargetMode="External" Id="rId104"/><Relationship Type="http://schemas.openxmlformats.org/officeDocument/2006/relationships/hyperlink" Target="https://www.whatifsports.com/hbd/Pages/Popups/ProspectProfile.aspx?pid=13631414" TargetMode="External" Id="rId105"/><Relationship Type="http://schemas.openxmlformats.org/officeDocument/2006/relationships/hyperlink" Target="https://www.whatifsports.com/hbd/Pages/Popups/ProspectProfile.aspx?pid=13631414" TargetMode="External" Id="rId106"/><Relationship Type="http://schemas.openxmlformats.org/officeDocument/2006/relationships/hyperlink" Target="https://www.whatifsports.com/hbd/Pages/Popups/ProspectProfile.aspx?pid=13631567" TargetMode="External" Id="rId107"/><Relationship Type="http://schemas.openxmlformats.org/officeDocument/2006/relationships/hyperlink" Target="https://www.whatifsports.com/hbd/Pages/Popups/ProspectProfile.aspx?pid=13631567" TargetMode="External" Id="rId108"/><Relationship Type="http://schemas.openxmlformats.org/officeDocument/2006/relationships/hyperlink" Target="https://www.whatifsports.com/hbd/Pages/Popups/ProspectProfile.aspx?pid=13631731" TargetMode="External" Id="rId109"/><Relationship Type="http://schemas.openxmlformats.org/officeDocument/2006/relationships/hyperlink" Target="https://www.whatifsports.com/hbd/Pages/Popups/ProspectProfile.aspx?pid=13631731" TargetMode="External" Id="rId110"/><Relationship Type="http://schemas.openxmlformats.org/officeDocument/2006/relationships/hyperlink" Target="https://www.whatifsports.com/hbd/Pages/Popups/ProspectProfile.aspx?pid=13631718" TargetMode="External" Id="rId111"/><Relationship Type="http://schemas.openxmlformats.org/officeDocument/2006/relationships/hyperlink" Target="https://www.whatifsports.com/hbd/Pages/Popups/ProspectProfile.aspx?pid=13631718" TargetMode="External" Id="rId112"/><Relationship Type="http://schemas.openxmlformats.org/officeDocument/2006/relationships/hyperlink" Target="https://www.whatifsports.com/hbd/Pages/Popups/ProspectProfile.aspx?pid=13631699" TargetMode="External" Id="rId113"/><Relationship Type="http://schemas.openxmlformats.org/officeDocument/2006/relationships/hyperlink" Target="https://www.whatifsports.com/hbd/Pages/Popups/ProspectProfile.aspx?pid=13631699" TargetMode="External" Id="rId114"/><Relationship Type="http://schemas.openxmlformats.org/officeDocument/2006/relationships/hyperlink" Target="https://www.whatifsports.com/hbd/Pages/Popups/ProspectProfile.aspx?pid=13631584" TargetMode="External" Id="rId115"/><Relationship Type="http://schemas.openxmlformats.org/officeDocument/2006/relationships/hyperlink" Target="https://www.whatifsports.com/hbd/Pages/Popups/ProspectProfile.aspx?pid=13631584" TargetMode="External" Id="rId116"/><Relationship Type="http://schemas.openxmlformats.org/officeDocument/2006/relationships/hyperlink" Target="https://www.whatifsports.com/hbd/Pages/Popups/ProspectProfile.aspx?pid=13631478" TargetMode="External" Id="rId117"/><Relationship Type="http://schemas.openxmlformats.org/officeDocument/2006/relationships/hyperlink" Target="https://www.whatifsports.com/hbd/Pages/Popups/ProspectProfile.aspx?pid=13631478" TargetMode="External" Id="rId118"/><Relationship Type="http://schemas.openxmlformats.org/officeDocument/2006/relationships/hyperlink" Target="https://www.whatifsports.com/hbd/Pages/Popups/ProspectProfile.aspx?pid=13631437" TargetMode="External" Id="rId119"/><Relationship Type="http://schemas.openxmlformats.org/officeDocument/2006/relationships/hyperlink" Target="https://www.whatifsports.com/hbd/Pages/Popups/ProspectProfile.aspx?pid=13631437" TargetMode="External" Id="rId120"/><Relationship Type="http://schemas.openxmlformats.org/officeDocument/2006/relationships/hyperlink" Target="https://www.whatifsports.com/hbd/Pages/Popups/ProspectProfile.aspx?pid=13631648" TargetMode="External" Id="rId121"/><Relationship Type="http://schemas.openxmlformats.org/officeDocument/2006/relationships/hyperlink" Target="https://www.whatifsports.com/hbd/Pages/Popups/ProspectProfile.aspx?pid=13631648" TargetMode="External" Id="rId122"/><Relationship Type="http://schemas.openxmlformats.org/officeDocument/2006/relationships/hyperlink" Target="https://www.whatifsports.com/hbd/Pages/Popups/ProspectProfile.aspx?pid=13631526" TargetMode="External" Id="rId123"/><Relationship Type="http://schemas.openxmlformats.org/officeDocument/2006/relationships/hyperlink" Target="https://www.whatifsports.com/hbd/Pages/Popups/ProspectProfile.aspx?pid=13631526" TargetMode="External" Id="rId124"/><Relationship Type="http://schemas.openxmlformats.org/officeDocument/2006/relationships/hyperlink" Target="https://www.whatifsports.com/hbd/Pages/Popups/ProspectProfile.aspx?pid=13631468" TargetMode="External" Id="rId125"/><Relationship Type="http://schemas.openxmlformats.org/officeDocument/2006/relationships/hyperlink" Target="https://www.whatifsports.com/hbd/Pages/Popups/ProspectProfile.aspx?pid=13631468" TargetMode="External" Id="rId126"/><Relationship Type="http://schemas.openxmlformats.org/officeDocument/2006/relationships/hyperlink" Target="https://www.whatifsports.com/hbd/Pages/Popups/ProspectProfile.aspx?pid=13631762" TargetMode="External" Id="rId127"/><Relationship Type="http://schemas.openxmlformats.org/officeDocument/2006/relationships/hyperlink" Target="https://www.whatifsports.com/hbd/Pages/Popups/ProspectProfile.aspx?pid=13631762" TargetMode="External" Id="rId128"/><Relationship Type="http://schemas.openxmlformats.org/officeDocument/2006/relationships/hyperlink" Target="https://www.whatifsports.com/hbd/Pages/Popups/ProspectProfile.aspx?pid=13631791" TargetMode="External" Id="rId129"/><Relationship Type="http://schemas.openxmlformats.org/officeDocument/2006/relationships/hyperlink" Target="https://www.whatifsports.com/hbd/Pages/Popups/ProspectProfile.aspx?pid=13631791" TargetMode="External" Id="rId130"/><Relationship Type="http://schemas.openxmlformats.org/officeDocument/2006/relationships/hyperlink" Target="https://www.whatifsports.com/hbd/Pages/Popups/ProspectProfile.aspx?pid=13631835" TargetMode="External" Id="rId131"/><Relationship Type="http://schemas.openxmlformats.org/officeDocument/2006/relationships/hyperlink" Target="https://www.whatifsports.com/hbd/Pages/Popups/ProspectProfile.aspx?pid=13631835" TargetMode="External" Id="rId132"/><Relationship Type="http://schemas.openxmlformats.org/officeDocument/2006/relationships/hyperlink" Target="https://www.whatifsports.com/hbd/Pages/Popups/ProspectProfile.aspx?pid=13631650" TargetMode="External" Id="rId133"/><Relationship Type="http://schemas.openxmlformats.org/officeDocument/2006/relationships/hyperlink" Target="https://www.whatifsports.com/hbd/Pages/Popups/ProspectProfile.aspx?pid=13631650" TargetMode="External" Id="rId134"/><Relationship Type="http://schemas.openxmlformats.org/officeDocument/2006/relationships/hyperlink" Target="https://www.whatifsports.com/hbd/Pages/Popups/ProspectProfile.aspx?pid=13631482" TargetMode="External" Id="rId135"/><Relationship Type="http://schemas.openxmlformats.org/officeDocument/2006/relationships/hyperlink" Target="https://www.whatifsports.com/hbd/Pages/Popups/ProspectProfile.aspx?pid=13631482" TargetMode="External" Id="rId136"/><Relationship Type="http://schemas.openxmlformats.org/officeDocument/2006/relationships/hyperlink" Target="https://www.whatifsports.com/hbd/Pages/Popups/ProspectProfile.aspx?pid=13631814" TargetMode="External" Id="rId137"/><Relationship Type="http://schemas.openxmlformats.org/officeDocument/2006/relationships/hyperlink" Target="https://www.whatifsports.com/hbd/Pages/Popups/ProspectProfile.aspx?pid=13631814" TargetMode="External" Id="rId138"/><Relationship Type="http://schemas.openxmlformats.org/officeDocument/2006/relationships/hyperlink" Target="https://www.whatifsports.com/hbd/Pages/Popups/ProspectProfile.aspx?pid=13631459" TargetMode="External" Id="rId139"/><Relationship Type="http://schemas.openxmlformats.org/officeDocument/2006/relationships/hyperlink" Target="https://www.whatifsports.com/hbd/Pages/Popups/ProspectProfile.aspx?pid=13631459" TargetMode="External" Id="rId140"/><Relationship Type="http://schemas.openxmlformats.org/officeDocument/2006/relationships/hyperlink" Target="https://www.whatifsports.com/hbd/Pages/Popups/ProspectProfile.aspx?pid=13631792" TargetMode="External" Id="rId141"/><Relationship Type="http://schemas.openxmlformats.org/officeDocument/2006/relationships/hyperlink" Target="https://www.whatifsports.com/hbd/Pages/Popups/ProspectProfile.aspx?pid=13631792" TargetMode="External" Id="rId142"/><Relationship Type="http://schemas.openxmlformats.org/officeDocument/2006/relationships/hyperlink" Target="https://www.whatifsports.com/hbd/Pages/Popups/ProspectProfile.aspx?pid=13631635" TargetMode="External" Id="rId143"/><Relationship Type="http://schemas.openxmlformats.org/officeDocument/2006/relationships/hyperlink" Target="https://www.whatifsports.com/hbd/Pages/Popups/ProspectProfile.aspx?pid=13631635" TargetMode="External" Id="rId144"/><Relationship Type="http://schemas.openxmlformats.org/officeDocument/2006/relationships/hyperlink" Target="https://www.whatifsports.com/hbd/Pages/Popups/ProspectProfile.aspx?pid=13631457" TargetMode="External" Id="rId145"/><Relationship Type="http://schemas.openxmlformats.org/officeDocument/2006/relationships/hyperlink" Target="https://www.whatifsports.com/hbd/Pages/Popups/ProspectProfile.aspx?pid=13631457" TargetMode="External" Id="rId146"/><Relationship Type="http://schemas.openxmlformats.org/officeDocument/2006/relationships/hyperlink" Target="https://www.whatifsports.com/hbd/Pages/Popups/ProspectProfile.aspx?pid=13631576" TargetMode="External" Id="rId147"/><Relationship Type="http://schemas.openxmlformats.org/officeDocument/2006/relationships/hyperlink" Target="https://www.whatifsports.com/hbd/Pages/Popups/ProspectProfile.aspx?pid=13631576" TargetMode="External" Id="rId148"/><Relationship Type="http://schemas.openxmlformats.org/officeDocument/2006/relationships/hyperlink" Target="https://www.whatifsports.com/hbd/Pages/Popups/ProspectProfile.aspx?pid=13631391" TargetMode="External" Id="rId149"/><Relationship Type="http://schemas.openxmlformats.org/officeDocument/2006/relationships/hyperlink" Target="https://www.whatifsports.com/hbd/Pages/Popups/ProspectProfile.aspx?pid=13631391" TargetMode="External" Id="rId150"/><Relationship Type="http://schemas.openxmlformats.org/officeDocument/2006/relationships/hyperlink" Target="https://www.whatifsports.com/hbd/Pages/Popups/ProspectProfile.aspx?pid=13631532" TargetMode="External" Id="rId151"/><Relationship Type="http://schemas.openxmlformats.org/officeDocument/2006/relationships/hyperlink" Target="https://www.whatifsports.com/hbd/Pages/Popups/ProspectProfile.aspx?pid=13631532" TargetMode="External" Id="rId152"/><Relationship Type="http://schemas.openxmlformats.org/officeDocument/2006/relationships/hyperlink" Target="https://www.whatifsports.com/hbd/Pages/Popups/ProspectProfile.aspx?pid=13631406" TargetMode="External" Id="rId153"/><Relationship Type="http://schemas.openxmlformats.org/officeDocument/2006/relationships/hyperlink" Target="https://www.whatifsports.com/hbd/Pages/Popups/ProspectProfile.aspx?pid=13631406" TargetMode="External" Id="rId154"/><Relationship Type="http://schemas.openxmlformats.org/officeDocument/2006/relationships/hyperlink" Target="https://www.whatifsports.com/hbd/Pages/Popups/ProspectProfile.aspx?pid=13631514" TargetMode="External" Id="rId155"/><Relationship Type="http://schemas.openxmlformats.org/officeDocument/2006/relationships/hyperlink" Target="https://www.whatifsports.com/hbd/Pages/Popups/ProspectProfile.aspx?pid=13631514" TargetMode="External" Id="rId156"/><Relationship Type="http://schemas.openxmlformats.org/officeDocument/2006/relationships/hyperlink" Target="https://www.whatifsports.com/hbd/Pages/Popups/ProspectProfile.aspx?pid=13631716" TargetMode="External" Id="rId157"/><Relationship Type="http://schemas.openxmlformats.org/officeDocument/2006/relationships/hyperlink" Target="https://www.whatifsports.com/hbd/Pages/Popups/ProspectProfile.aspx?pid=13631716" TargetMode="External" Id="rId158"/><Relationship Type="http://schemas.openxmlformats.org/officeDocument/2006/relationships/hyperlink" Target="https://www.whatifsports.com/hbd/Pages/Popups/ProspectProfile.aspx?pid=13631789" TargetMode="External" Id="rId159"/><Relationship Type="http://schemas.openxmlformats.org/officeDocument/2006/relationships/hyperlink" Target="https://www.whatifsports.com/hbd/Pages/Popups/ProspectProfile.aspx?pid=13631789" TargetMode="External" Id="rId160"/><Relationship Type="http://schemas.openxmlformats.org/officeDocument/2006/relationships/hyperlink" Target="https://www.whatifsports.com/hbd/Pages/Popups/ProspectProfile.aspx?pid=13632078" TargetMode="External" Id="rId161"/><Relationship Type="http://schemas.openxmlformats.org/officeDocument/2006/relationships/hyperlink" Target="https://www.whatifsports.com/hbd/Pages/Popups/ProspectProfile.aspx?pid=13632078" TargetMode="External" Id="rId162"/><Relationship Type="http://schemas.openxmlformats.org/officeDocument/2006/relationships/hyperlink" Target="https://www.whatifsports.com/hbd/Pages/Popups/ProspectProfile.aspx?pid=13631698" TargetMode="External" Id="rId163"/><Relationship Type="http://schemas.openxmlformats.org/officeDocument/2006/relationships/hyperlink" Target="https://www.whatifsports.com/hbd/Pages/Popups/ProspectProfile.aspx?pid=13631698" TargetMode="External" Id="rId164"/><Relationship Type="http://schemas.openxmlformats.org/officeDocument/2006/relationships/hyperlink" Target="https://www.whatifsports.com/hbd/Pages/Popups/ProspectProfile.aspx?pid=13631703" TargetMode="External" Id="rId165"/><Relationship Type="http://schemas.openxmlformats.org/officeDocument/2006/relationships/hyperlink" Target="https://www.whatifsports.com/hbd/Pages/Popups/ProspectProfile.aspx?pid=13631703" TargetMode="External" Id="rId166"/><Relationship Type="http://schemas.openxmlformats.org/officeDocument/2006/relationships/hyperlink" Target="https://www.whatifsports.com/hbd/Pages/Popups/ProspectProfile.aspx?pid=13631565" TargetMode="External" Id="rId167"/><Relationship Type="http://schemas.openxmlformats.org/officeDocument/2006/relationships/hyperlink" Target="https://www.whatifsports.com/hbd/Pages/Popups/ProspectProfile.aspx?pid=13631565" TargetMode="External" Id="rId168"/><Relationship Type="http://schemas.openxmlformats.org/officeDocument/2006/relationships/hyperlink" Target="https://www.whatifsports.com/hbd/Pages/Popups/ProspectProfile.aspx?pid=13631471" TargetMode="External" Id="rId169"/><Relationship Type="http://schemas.openxmlformats.org/officeDocument/2006/relationships/hyperlink" Target="https://www.whatifsports.com/hbd/Pages/Popups/ProspectProfile.aspx?pid=13631471" TargetMode="External" Id="rId170"/><Relationship Type="http://schemas.openxmlformats.org/officeDocument/2006/relationships/hyperlink" Target="https://www.whatifsports.com/hbd/Pages/Popups/ProspectProfile.aspx?pid=13631560" TargetMode="External" Id="rId171"/><Relationship Type="http://schemas.openxmlformats.org/officeDocument/2006/relationships/hyperlink" Target="https://www.whatifsports.com/hbd/Pages/Popups/ProspectProfile.aspx?pid=13631560" TargetMode="External" Id="rId172"/><Relationship Type="http://schemas.openxmlformats.org/officeDocument/2006/relationships/hyperlink" Target="https://www.whatifsports.com/hbd/Pages/Popups/ProspectProfile.aspx?pid=13631636" TargetMode="External" Id="rId173"/><Relationship Type="http://schemas.openxmlformats.org/officeDocument/2006/relationships/hyperlink" Target="https://www.whatifsports.com/hbd/Pages/Popups/ProspectProfile.aspx?pid=13631636" TargetMode="External" Id="rId174"/><Relationship Type="http://schemas.openxmlformats.org/officeDocument/2006/relationships/hyperlink" Target="https://www.whatifsports.com/hbd/Pages/Popups/ProspectProfile.aspx?pid=13631713" TargetMode="External" Id="rId175"/><Relationship Type="http://schemas.openxmlformats.org/officeDocument/2006/relationships/hyperlink" Target="https://www.whatifsports.com/hbd/Pages/Popups/ProspectProfile.aspx?pid=13631713" TargetMode="External" Id="rId176"/><Relationship Type="http://schemas.openxmlformats.org/officeDocument/2006/relationships/hyperlink" Target="https://www.whatifsports.com/hbd/Pages/Popups/ProspectProfile.aspx?pid=13631803" TargetMode="External" Id="rId177"/><Relationship Type="http://schemas.openxmlformats.org/officeDocument/2006/relationships/hyperlink" Target="https://www.whatifsports.com/hbd/Pages/Popups/ProspectProfile.aspx?pid=13631803" TargetMode="External" Id="rId178"/><Relationship Type="http://schemas.openxmlformats.org/officeDocument/2006/relationships/hyperlink" Target="https://www.whatifsports.com/hbd/Pages/Popups/ProspectProfile.aspx?pid=13631453" TargetMode="External" Id="rId179"/><Relationship Type="http://schemas.openxmlformats.org/officeDocument/2006/relationships/hyperlink" Target="https://www.whatifsports.com/hbd/Pages/Popups/ProspectProfile.aspx?pid=13631453" TargetMode="External" Id="rId180"/><Relationship Type="http://schemas.openxmlformats.org/officeDocument/2006/relationships/hyperlink" Target="https://www.whatifsports.com/hbd/Pages/Popups/ProspectProfile.aspx?pid=13631531" TargetMode="External" Id="rId181"/><Relationship Type="http://schemas.openxmlformats.org/officeDocument/2006/relationships/hyperlink" Target="https://www.whatifsports.com/hbd/Pages/Popups/ProspectProfile.aspx?pid=13631531" TargetMode="External" Id="rId182"/><Relationship Type="http://schemas.openxmlformats.org/officeDocument/2006/relationships/hyperlink" Target="https://www.whatifsports.com/hbd/Pages/Popups/ProspectProfile.aspx?pid=13631642" TargetMode="External" Id="rId183"/><Relationship Type="http://schemas.openxmlformats.org/officeDocument/2006/relationships/hyperlink" Target="https://www.whatifsports.com/hbd/Pages/Popups/ProspectProfile.aspx?pid=13631642" TargetMode="External" Id="rId184"/><Relationship Type="http://schemas.openxmlformats.org/officeDocument/2006/relationships/hyperlink" Target="https://www.whatifsports.com/hbd/Pages/Popups/ProspectProfile.aspx?pid=13631752" TargetMode="External" Id="rId185"/><Relationship Type="http://schemas.openxmlformats.org/officeDocument/2006/relationships/hyperlink" Target="https://www.whatifsports.com/hbd/Pages/Popups/ProspectProfile.aspx?pid=13631752" TargetMode="External" Id="rId186"/><Relationship Type="http://schemas.openxmlformats.org/officeDocument/2006/relationships/hyperlink" Target="https://www.whatifsports.com/hbd/Pages/Popups/ProspectProfile.aspx?pid=13631435" TargetMode="External" Id="rId187"/><Relationship Type="http://schemas.openxmlformats.org/officeDocument/2006/relationships/hyperlink" Target="https://www.whatifsports.com/hbd/Pages/Popups/ProspectProfile.aspx?pid=13631435" TargetMode="External" Id="rId188"/><Relationship Type="http://schemas.openxmlformats.org/officeDocument/2006/relationships/hyperlink" Target="https://www.whatifsports.com/hbd/Pages/Popups/ProspectProfile.aspx?pid=13632013" TargetMode="External" Id="rId189"/><Relationship Type="http://schemas.openxmlformats.org/officeDocument/2006/relationships/hyperlink" Target="https://www.whatifsports.com/hbd/Pages/Popups/ProspectProfile.aspx?pid=13632013" TargetMode="External" Id="rId190"/><Relationship Type="http://schemas.openxmlformats.org/officeDocument/2006/relationships/hyperlink" Target="https://www.whatifsports.com/hbd/Pages/Popups/ProspectProfile.aspx?pid=13631448" TargetMode="External" Id="rId191"/><Relationship Type="http://schemas.openxmlformats.org/officeDocument/2006/relationships/hyperlink" Target="https://www.whatifsports.com/hbd/Pages/Popups/ProspectProfile.aspx?pid=13631448" TargetMode="External" Id="rId192"/><Relationship Type="http://schemas.openxmlformats.org/officeDocument/2006/relationships/hyperlink" Target="https://www.whatifsports.com/hbd/Pages/Popups/ProspectProfile.aspx?pid=13631796" TargetMode="External" Id="rId193"/><Relationship Type="http://schemas.openxmlformats.org/officeDocument/2006/relationships/hyperlink" Target="https://www.whatifsports.com/hbd/Pages/Popups/ProspectProfile.aspx?pid=13631796" TargetMode="External" Id="rId194"/><Relationship Type="http://schemas.openxmlformats.org/officeDocument/2006/relationships/hyperlink" Target="https://www.whatifsports.com/hbd/Pages/Popups/ProspectProfile.aspx?pid=13631742" TargetMode="External" Id="rId195"/><Relationship Type="http://schemas.openxmlformats.org/officeDocument/2006/relationships/hyperlink" Target="https://www.whatifsports.com/hbd/Pages/Popups/ProspectProfile.aspx?pid=13631742" TargetMode="External" Id="rId196"/><Relationship Type="http://schemas.openxmlformats.org/officeDocument/2006/relationships/hyperlink" Target="https://www.whatifsports.com/hbd/Pages/Popups/ProspectProfile.aspx?pid=13631442" TargetMode="External" Id="rId197"/><Relationship Type="http://schemas.openxmlformats.org/officeDocument/2006/relationships/hyperlink" Target="https://www.whatifsports.com/hbd/Pages/Popups/ProspectProfile.aspx?pid=13631442" TargetMode="External" Id="rId198"/><Relationship Type="http://schemas.openxmlformats.org/officeDocument/2006/relationships/hyperlink" Target="https://www.whatifsports.com/hbd/Pages/Popups/ProspectProfile.aspx?pid=13631518" TargetMode="External" Id="rId199"/><Relationship Type="http://schemas.openxmlformats.org/officeDocument/2006/relationships/hyperlink" Target="https://www.whatifsports.com/hbd/Pages/Popups/ProspectProfile.aspx?pid=13631518" TargetMode="External" Id="rId200"/><Relationship Type="http://schemas.openxmlformats.org/officeDocument/2006/relationships/hyperlink" Target="https://www.whatifsports.com/hbd/Pages/Popups/ProspectProfile.aspx?pid=13631939" TargetMode="External" Id="rId201"/><Relationship Type="http://schemas.openxmlformats.org/officeDocument/2006/relationships/hyperlink" Target="https://www.whatifsports.com/hbd/Pages/Popups/ProspectProfile.aspx?pid=13631939" TargetMode="External" Id="rId202"/><Relationship Type="http://schemas.openxmlformats.org/officeDocument/2006/relationships/hyperlink" Target="https://www.whatifsports.com/hbd/Pages/Popups/ProspectProfile.aspx?pid=13631849" TargetMode="External" Id="rId203"/><Relationship Type="http://schemas.openxmlformats.org/officeDocument/2006/relationships/hyperlink" Target="https://www.whatifsports.com/hbd/Pages/Popups/ProspectProfile.aspx?pid=13631849" TargetMode="External" Id="rId204"/><Relationship Type="http://schemas.openxmlformats.org/officeDocument/2006/relationships/hyperlink" Target="https://www.whatifsports.com/hbd/Pages/Popups/ProspectProfile.aspx?pid=13631389" TargetMode="External" Id="rId205"/><Relationship Type="http://schemas.openxmlformats.org/officeDocument/2006/relationships/hyperlink" Target="https://www.whatifsports.com/hbd/Pages/Popups/ProspectProfile.aspx?pid=13631389" TargetMode="External" Id="rId206"/><Relationship Type="http://schemas.openxmlformats.org/officeDocument/2006/relationships/hyperlink" Target="https://www.whatifsports.com/hbd/Pages/Popups/ProspectProfile.aspx?pid=13631836" TargetMode="External" Id="rId207"/><Relationship Type="http://schemas.openxmlformats.org/officeDocument/2006/relationships/hyperlink" Target="https://www.whatifsports.com/hbd/Pages/Popups/ProspectProfile.aspx?pid=13631836" TargetMode="External" Id="rId208"/><Relationship Type="http://schemas.openxmlformats.org/officeDocument/2006/relationships/hyperlink" Target="https://www.whatifsports.com/hbd/Pages/Popups/ProspectProfile.aspx?pid=13631630" TargetMode="External" Id="rId209"/><Relationship Type="http://schemas.openxmlformats.org/officeDocument/2006/relationships/hyperlink" Target="https://www.whatifsports.com/hbd/Pages/Popups/ProspectProfile.aspx?pid=13631630" TargetMode="External" Id="rId210"/><Relationship Type="http://schemas.openxmlformats.org/officeDocument/2006/relationships/hyperlink" Target="https://www.whatifsports.com/hbd/Pages/Popups/ProspectProfile.aspx?pid=13632221" TargetMode="External" Id="rId211"/><Relationship Type="http://schemas.openxmlformats.org/officeDocument/2006/relationships/hyperlink" Target="https://www.whatifsports.com/hbd/Pages/Popups/ProspectProfile.aspx?pid=13632221" TargetMode="External" Id="rId212"/><Relationship Type="http://schemas.openxmlformats.org/officeDocument/2006/relationships/hyperlink" Target="https://www.whatifsports.com/hbd/Pages/Popups/ProspectProfile.aspx?pid=13631680" TargetMode="External" Id="rId213"/><Relationship Type="http://schemas.openxmlformats.org/officeDocument/2006/relationships/hyperlink" Target="https://www.whatifsports.com/hbd/Pages/Popups/ProspectProfile.aspx?pid=13631680" TargetMode="External" Id="rId214"/><Relationship Type="http://schemas.openxmlformats.org/officeDocument/2006/relationships/hyperlink" Target="https://www.whatifsports.com/hbd/Pages/Popups/ProspectProfile.aspx?pid=13631916" TargetMode="External" Id="rId215"/><Relationship Type="http://schemas.openxmlformats.org/officeDocument/2006/relationships/hyperlink" Target="https://www.whatifsports.com/hbd/Pages/Popups/ProspectProfile.aspx?pid=13631916" TargetMode="External" Id="rId216"/><Relationship Type="http://schemas.openxmlformats.org/officeDocument/2006/relationships/hyperlink" Target="https://www.whatifsports.com/hbd/Pages/Popups/ProspectProfile.aspx?pid=13632030" TargetMode="External" Id="rId217"/><Relationship Type="http://schemas.openxmlformats.org/officeDocument/2006/relationships/hyperlink" Target="https://www.whatifsports.com/hbd/Pages/Popups/ProspectProfile.aspx?pid=13632030" TargetMode="External" Id="rId218"/><Relationship Type="http://schemas.openxmlformats.org/officeDocument/2006/relationships/hyperlink" Target="https://www.whatifsports.com/hbd/Pages/Popups/ProspectProfile.aspx?pid=13632217" TargetMode="External" Id="rId219"/><Relationship Type="http://schemas.openxmlformats.org/officeDocument/2006/relationships/hyperlink" Target="https://www.whatifsports.com/hbd/Pages/Popups/ProspectProfile.aspx?pid=13632217" TargetMode="External" Id="rId220"/><Relationship Type="http://schemas.openxmlformats.org/officeDocument/2006/relationships/hyperlink" Target="https://www.whatifsports.com/hbd/Pages/Popups/ProspectProfile.aspx?pid=13631780" TargetMode="External" Id="rId221"/><Relationship Type="http://schemas.openxmlformats.org/officeDocument/2006/relationships/hyperlink" Target="https://www.whatifsports.com/hbd/Pages/Popups/ProspectProfile.aspx?pid=13631780" TargetMode="External" Id="rId222"/><Relationship Type="http://schemas.openxmlformats.org/officeDocument/2006/relationships/hyperlink" Target="https://www.whatifsports.com/hbd/Pages/Popups/ProspectProfile.aspx?pid=13632238" TargetMode="External" Id="rId223"/><Relationship Type="http://schemas.openxmlformats.org/officeDocument/2006/relationships/hyperlink" Target="https://www.whatifsports.com/hbd/Pages/Popups/ProspectProfile.aspx?pid=13632238" TargetMode="External" Id="rId224"/><Relationship Type="http://schemas.openxmlformats.org/officeDocument/2006/relationships/hyperlink" Target="https://www.whatifsports.com/hbd/Pages/Popups/ProspectProfile.aspx?pid=13631977" TargetMode="External" Id="rId225"/><Relationship Type="http://schemas.openxmlformats.org/officeDocument/2006/relationships/hyperlink" Target="https://www.whatifsports.com/hbd/Pages/Popups/ProspectProfile.aspx?pid=13631977" TargetMode="External" Id="rId226"/><Relationship Type="http://schemas.openxmlformats.org/officeDocument/2006/relationships/hyperlink" Target="https://www.whatifsports.com/hbd/Pages/Popups/ProspectProfile.aspx?pid=13632207" TargetMode="External" Id="rId227"/><Relationship Type="http://schemas.openxmlformats.org/officeDocument/2006/relationships/hyperlink" Target="https://www.whatifsports.com/hbd/Pages/Popups/ProspectProfile.aspx?pid=13632207" TargetMode="External" Id="rId228"/><Relationship Type="http://schemas.openxmlformats.org/officeDocument/2006/relationships/hyperlink" Target="https://www.whatifsports.com/hbd/Pages/Popups/ProspectProfile.aspx?pid=13632212" TargetMode="External" Id="rId229"/><Relationship Type="http://schemas.openxmlformats.org/officeDocument/2006/relationships/hyperlink" Target="https://www.whatifsports.com/hbd/Pages/Popups/ProspectProfile.aspx?pid=13632212" TargetMode="External" Id="rId230"/><Relationship Type="http://schemas.openxmlformats.org/officeDocument/2006/relationships/hyperlink" Target="https://www.whatifsports.com/hbd/Pages/Popups/ProspectProfile.aspx?pid=13631900" TargetMode="External" Id="rId231"/><Relationship Type="http://schemas.openxmlformats.org/officeDocument/2006/relationships/hyperlink" Target="https://www.whatifsports.com/hbd/Pages/Popups/ProspectProfile.aspx?pid=13631900" TargetMode="External" Id="rId232"/><Relationship Type="http://schemas.openxmlformats.org/officeDocument/2006/relationships/hyperlink" Target="https://www.whatifsports.com/hbd/Pages/Popups/ProspectProfile.aspx?pid=13631516" TargetMode="External" Id="rId233"/><Relationship Type="http://schemas.openxmlformats.org/officeDocument/2006/relationships/hyperlink" Target="https://www.whatifsports.com/hbd/Pages/Popups/ProspectProfile.aspx?pid=13631516" TargetMode="External" Id="rId234"/><Relationship Type="http://schemas.openxmlformats.org/officeDocument/2006/relationships/hyperlink" Target="https://www.whatifsports.com/hbd/Pages/Popups/ProspectProfile.aspx?pid=13632087" TargetMode="External" Id="rId235"/><Relationship Type="http://schemas.openxmlformats.org/officeDocument/2006/relationships/hyperlink" Target="https://www.whatifsports.com/hbd/Pages/Popups/ProspectProfile.aspx?pid=13632087" TargetMode="External" Id="rId236"/><Relationship Type="http://schemas.openxmlformats.org/officeDocument/2006/relationships/hyperlink" Target="https://www.whatifsports.com/hbd/Pages/Popups/ProspectProfile.aspx?pid=13632171" TargetMode="External" Id="rId237"/><Relationship Type="http://schemas.openxmlformats.org/officeDocument/2006/relationships/hyperlink" Target="https://www.whatifsports.com/hbd/Pages/Popups/ProspectProfile.aspx?pid=13632171" TargetMode="External" Id="rId238"/><Relationship Type="http://schemas.openxmlformats.org/officeDocument/2006/relationships/hyperlink" Target="https://www.whatifsports.com/hbd/Pages/Popups/ProspectProfile.aspx?pid=13631808" TargetMode="External" Id="rId239"/><Relationship Type="http://schemas.openxmlformats.org/officeDocument/2006/relationships/hyperlink" Target="https://www.whatifsports.com/hbd/Pages/Popups/ProspectProfile.aspx?pid=13631808" TargetMode="External" Id="rId240"/><Relationship Type="http://schemas.openxmlformats.org/officeDocument/2006/relationships/hyperlink" Target="https://www.whatifsports.com/hbd/Pages/Popups/ProspectProfile.aspx?pid=13632130" TargetMode="External" Id="rId241"/><Relationship Type="http://schemas.openxmlformats.org/officeDocument/2006/relationships/hyperlink" Target="https://www.whatifsports.com/hbd/Pages/Popups/ProspectProfile.aspx?pid=13632130" TargetMode="External" Id="rId242"/><Relationship Type="http://schemas.openxmlformats.org/officeDocument/2006/relationships/hyperlink" Target="https://www.whatifsports.com/hbd/Pages/Popups/ProspectProfile.aspx?pid=13632115" TargetMode="External" Id="rId243"/><Relationship Type="http://schemas.openxmlformats.org/officeDocument/2006/relationships/hyperlink" Target="https://www.whatifsports.com/hbd/Pages/Popups/ProspectProfile.aspx?pid=13632115" TargetMode="External" Id="rId244"/><Relationship Type="http://schemas.openxmlformats.org/officeDocument/2006/relationships/hyperlink" Target="https://www.whatifsports.com/hbd/Pages/Popups/ProspectProfile.aspx?pid=13632123" TargetMode="External" Id="rId245"/><Relationship Type="http://schemas.openxmlformats.org/officeDocument/2006/relationships/hyperlink" Target="https://www.whatifsports.com/hbd/Pages/Popups/ProspectProfile.aspx?pid=13632123" TargetMode="External" Id="rId246"/><Relationship Type="http://schemas.openxmlformats.org/officeDocument/2006/relationships/hyperlink" Target="https://www.whatifsports.com/hbd/Pages/Popups/ProspectProfile.aspx?pid=13632211" TargetMode="External" Id="rId247"/><Relationship Type="http://schemas.openxmlformats.org/officeDocument/2006/relationships/hyperlink" Target="https://www.whatifsports.com/hbd/Pages/Popups/ProspectProfile.aspx?pid=13632211" TargetMode="External" Id="rId248"/><Relationship Type="http://schemas.openxmlformats.org/officeDocument/2006/relationships/hyperlink" Target="https://www.whatifsports.com/hbd/Pages/Popups/ProspectProfile.aspx?pid=13631802" TargetMode="External" Id="rId249"/><Relationship Type="http://schemas.openxmlformats.org/officeDocument/2006/relationships/hyperlink" Target="https://www.whatifsports.com/hbd/Pages/Popups/ProspectProfile.aspx?pid=13631802" TargetMode="External" Id="rId250"/><Relationship Type="http://schemas.openxmlformats.org/officeDocument/2006/relationships/hyperlink" Target="https://www.whatifsports.com/hbd/Pages/Popups/ProspectProfile.aspx?pid=13632224" TargetMode="External" Id="rId251"/><Relationship Type="http://schemas.openxmlformats.org/officeDocument/2006/relationships/hyperlink" Target="https://www.whatifsports.com/hbd/Pages/Popups/ProspectProfile.aspx?pid=13632224" TargetMode="External" Id="rId252"/><Relationship Type="http://schemas.openxmlformats.org/officeDocument/2006/relationships/hyperlink" Target="https://www.whatifsports.com/hbd/Pages/Popups/ProspectProfile.aspx?pid=13632154" TargetMode="External" Id="rId253"/><Relationship Type="http://schemas.openxmlformats.org/officeDocument/2006/relationships/hyperlink" Target="https://www.whatifsports.com/hbd/Pages/Popups/ProspectProfile.aspx?pid=13632154" TargetMode="External" Id="rId254"/><Relationship Type="http://schemas.openxmlformats.org/officeDocument/2006/relationships/hyperlink" Target="https://www.whatifsports.com/hbd/Pages/Popups/ProspectProfile.aspx?pid=13632169" TargetMode="External" Id="rId255"/><Relationship Type="http://schemas.openxmlformats.org/officeDocument/2006/relationships/hyperlink" Target="https://www.whatifsports.com/hbd/Pages/Popups/ProspectProfile.aspx?pid=13632169" TargetMode="External" Id="rId256"/><Relationship Type="http://schemas.openxmlformats.org/officeDocument/2006/relationships/hyperlink" Target="https://www.whatifsports.com/hbd/Pages/Popups/ProspectProfile.aspx?pid=13632164" TargetMode="External" Id="rId257"/><Relationship Type="http://schemas.openxmlformats.org/officeDocument/2006/relationships/hyperlink" Target="https://www.whatifsports.com/hbd/Pages/Popups/ProspectProfile.aspx?pid=13632164" TargetMode="External" Id="rId258"/><Relationship Type="http://schemas.openxmlformats.org/officeDocument/2006/relationships/hyperlink" Target="https://www.whatifsports.com/hbd/Pages/Popups/ProspectProfile.aspx?pid=13632194" TargetMode="External" Id="rId259"/><Relationship Type="http://schemas.openxmlformats.org/officeDocument/2006/relationships/hyperlink" Target="https://www.whatifsports.com/hbd/Pages/Popups/ProspectProfile.aspx?pid=13632194" TargetMode="External" Id="rId260"/><Relationship Type="http://schemas.openxmlformats.org/officeDocument/2006/relationships/hyperlink" Target="https://www.whatifsports.com/hbd/Pages/Popups/ProspectProfile.aspx?pid=13631882" TargetMode="External" Id="rId261"/><Relationship Type="http://schemas.openxmlformats.org/officeDocument/2006/relationships/hyperlink" Target="https://www.whatifsports.com/hbd/Pages/Popups/ProspectProfile.aspx?pid=13631882" TargetMode="External" Id="rId262"/><Relationship Type="http://schemas.openxmlformats.org/officeDocument/2006/relationships/hyperlink" Target="https://www.whatifsports.com/hbd/Pages/Popups/ProspectProfile.aspx?pid=13632104" TargetMode="External" Id="rId263"/><Relationship Type="http://schemas.openxmlformats.org/officeDocument/2006/relationships/hyperlink" Target="https://www.whatifsports.com/hbd/Pages/Popups/ProspectProfile.aspx?pid=13632104" TargetMode="External" Id="rId264"/><Relationship Type="http://schemas.openxmlformats.org/officeDocument/2006/relationships/hyperlink" Target="https://www.whatifsports.com/hbd/Pages/Popups/ProspectProfile.aspx?pid=13632001" TargetMode="External" Id="rId265"/><Relationship Type="http://schemas.openxmlformats.org/officeDocument/2006/relationships/hyperlink" Target="https://www.whatifsports.com/hbd/Pages/Popups/ProspectProfile.aspx?pid=13632001" TargetMode="External" Id="rId266"/><Relationship Type="http://schemas.openxmlformats.org/officeDocument/2006/relationships/hyperlink" Target="https://www.whatifsports.com/hbd/Pages/Popups/ProspectProfile.aspx?pid=13631885" TargetMode="External" Id="rId267"/><Relationship Type="http://schemas.openxmlformats.org/officeDocument/2006/relationships/hyperlink" Target="https://www.whatifsports.com/hbd/Pages/Popups/ProspectProfile.aspx?pid=13631885" TargetMode="External" Id="rId268"/><Relationship Type="http://schemas.openxmlformats.org/officeDocument/2006/relationships/hyperlink" Target="https://www.whatifsports.com/hbd/Pages/Popups/ProspectProfile.aspx?pid=13632048" TargetMode="External" Id="rId269"/><Relationship Type="http://schemas.openxmlformats.org/officeDocument/2006/relationships/hyperlink" Target="https://www.whatifsports.com/hbd/Pages/Popups/ProspectProfile.aspx?pid=13632048" TargetMode="External" Id="rId270"/><Relationship Type="http://schemas.openxmlformats.org/officeDocument/2006/relationships/hyperlink" Target="https://www.whatifsports.com/hbd/Pages/Popups/ProspectProfile.aspx?pid=13631874" TargetMode="External" Id="rId271"/><Relationship Type="http://schemas.openxmlformats.org/officeDocument/2006/relationships/hyperlink" Target="https://www.whatifsports.com/hbd/Pages/Popups/ProspectProfile.aspx?pid=13631874" TargetMode="External" Id="rId272"/><Relationship Type="http://schemas.openxmlformats.org/officeDocument/2006/relationships/hyperlink" Target="https://www.whatifsports.com/hbd/Pages/Popups/ProspectProfile.aspx?pid=13632035" TargetMode="External" Id="rId273"/><Relationship Type="http://schemas.openxmlformats.org/officeDocument/2006/relationships/hyperlink" Target="https://www.whatifsports.com/hbd/Pages/Popups/ProspectProfile.aspx?pid=13632035" TargetMode="External" Id="rId274"/><Relationship Type="http://schemas.openxmlformats.org/officeDocument/2006/relationships/hyperlink" Target="https://www.whatifsports.com/hbd/Pages/Popups/ProspectProfile.aspx?pid=13631989" TargetMode="External" Id="rId275"/><Relationship Type="http://schemas.openxmlformats.org/officeDocument/2006/relationships/hyperlink" Target="https://www.whatifsports.com/hbd/Pages/Popups/ProspectProfile.aspx?pid=13631989" TargetMode="External" Id="rId276"/><Relationship Type="http://schemas.openxmlformats.org/officeDocument/2006/relationships/hyperlink" Target="https://www.whatifsports.com/hbd/Pages/Popups/ProspectProfile.aspx?pid=13632237" TargetMode="External" Id="rId277"/><Relationship Type="http://schemas.openxmlformats.org/officeDocument/2006/relationships/hyperlink" Target="https://www.whatifsports.com/hbd/Pages/Popups/ProspectProfile.aspx?pid=13632237" TargetMode="External" Id="rId278"/><Relationship Type="http://schemas.openxmlformats.org/officeDocument/2006/relationships/hyperlink" Target="https://www.whatifsports.com/hbd/Pages/Popups/ProspectProfile.aspx?pid=13632204" TargetMode="External" Id="rId279"/><Relationship Type="http://schemas.openxmlformats.org/officeDocument/2006/relationships/hyperlink" Target="https://www.whatifsports.com/hbd/Pages/Popups/ProspectProfile.aspx?pid=13632204" TargetMode="External" Id="rId280"/><Relationship Type="http://schemas.openxmlformats.org/officeDocument/2006/relationships/hyperlink" Target="https://www.whatifsports.com/hbd/Pages/Popups/ProspectProfile.aspx?pid=13631877" TargetMode="External" Id="rId281"/><Relationship Type="http://schemas.openxmlformats.org/officeDocument/2006/relationships/hyperlink" Target="https://www.whatifsports.com/hbd/Pages/Popups/ProspectProfile.aspx?pid=13631877" TargetMode="External" Id="rId282"/><Relationship Type="http://schemas.openxmlformats.org/officeDocument/2006/relationships/hyperlink" Target="https://www.whatifsports.com/hbd/Pages/Popups/ProspectProfile.aspx?pid=13632084" TargetMode="External" Id="rId283"/><Relationship Type="http://schemas.openxmlformats.org/officeDocument/2006/relationships/hyperlink" Target="https://www.whatifsports.com/hbd/Pages/Popups/ProspectProfile.aspx?pid=13632084" TargetMode="External" Id="rId284"/><Relationship Type="http://schemas.openxmlformats.org/officeDocument/2006/relationships/hyperlink" Target="https://www.whatifsports.com/hbd/Pages/Popups/ProspectProfile.aspx?pid=13631994" TargetMode="External" Id="rId285"/><Relationship Type="http://schemas.openxmlformats.org/officeDocument/2006/relationships/hyperlink" Target="https://www.whatifsports.com/hbd/Pages/Popups/ProspectProfile.aspx?pid=13631994" TargetMode="External" Id="rId286"/><Relationship Type="http://schemas.openxmlformats.org/officeDocument/2006/relationships/hyperlink" Target="https://www.whatifsports.com/hbd/Pages/Popups/ProspectProfile.aspx?pid=13632075" TargetMode="External" Id="rId287"/><Relationship Type="http://schemas.openxmlformats.org/officeDocument/2006/relationships/hyperlink" Target="https://www.whatifsports.com/hbd/Pages/Popups/ProspectProfile.aspx?pid=13632075" TargetMode="External" Id="rId288"/><Relationship Type="http://schemas.openxmlformats.org/officeDocument/2006/relationships/hyperlink" Target="https://www.whatifsports.com/hbd/Pages/Popups/ProspectProfile.aspx?pid=13632113" TargetMode="External" Id="rId289"/><Relationship Type="http://schemas.openxmlformats.org/officeDocument/2006/relationships/hyperlink" Target="https://www.whatifsports.com/hbd/Pages/Popups/ProspectProfile.aspx?pid=13632113" TargetMode="External" Id="rId290"/><Relationship Type="http://schemas.openxmlformats.org/officeDocument/2006/relationships/hyperlink" Target="https://www.whatifsports.com/hbd/Pages/Popups/ProspectProfile.aspx?pid=13631913" TargetMode="External" Id="rId291"/><Relationship Type="http://schemas.openxmlformats.org/officeDocument/2006/relationships/hyperlink" Target="https://www.whatifsports.com/hbd/Pages/Popups/ProspectProfile.aspx?pid=13631913" TargetMode="External" Id="rId292"/><Relationship Type="http://schemas.openxmlformats.org/officeDocument/2006/relationships/hyperlink" Target="https://www.whatifsports.com/hbd/Pages/Popups/ProspectProfile.aspx?pid=13632229" TargetMode="External" Id="rId293"/><Relationship Type="http://schemas.openxmlformats.org/officeDocument/2006/relationships/hyperlink" Target="https://www.whatifsports.com/hbd/Pages/Popups/ProspectProfile.aspx?pid=13632229" TargetMode="External" Id="rId294"/><Relationship Type="http://schemas.openxmlformats.org/officeDocument/2006/relationships/hyperlink" Target="https://www.whatifsports.com/hbd/Pages/Popups/ProspectProfile.aspx?pid=13631871" TargetMode="External" Id="rId295"/><Relationship Type="http://schemas.openxmlformats.org/officeDocument/2006/relationships/hyperlink" Target="https://www.whatifsports.com/hbd/Pages/Popups/ProspectProfile.aspx?pid=13631871" TargetMode="External" Id="rId296"/><Relationship Type="http://schemas.openxmlformats.org/officeDocument/2006/relationships/hyperlink" Target="https://www.whatifsports.com/hbd/Pages/Popups/ProspectProfile.aspx?pid=13632216" TargetMode="External" Id="rId297"/><Relationship Type="http://schemas.openxmlformats.org/officeDocument/2006/relationships/hyperlink" Target="https://www.whatifsports.com/hbd/Pages/Popups/ProspectProfile.aspx?pid=13632216" TargetMode="External" Id="rId298"/><Relationship Type="http://schemas.openxmlformats.org/officeDocument/2006/relationships/hyperlink" Target="https://www.whatifsports.com/hbd/Pages/Popups/ProspectProfile.aspx?pid=13631963" TargetMode="External" Id="rId299"/><Relationship Type="http://schemas.openxmlformats.org/officeDocument/2006/relationships/hyperlink" Target="https://www.whatifsports.com/hbd/Pages/Popups/ProspectProfile.aspx?pid=13631963" TargetMode="External" Id="rId300"/><Relationship Type="http://schemas.openxmlformats.org/officeDocument/2006/relationships/hyperlink" Target="https://www.whatifsports.com/hbd/Pages/Popups/ProspectProfile.aspx?pid=13632168" TargetMode="External" Id="rId301"/><Relationship Type="http://schemas.openxmlformats.org/officeDocument/2006/relationships/hyperlink" Target="https://www.whatifsports.com/hbd/Pages/Popups/ProspectProfile.aspx?pid=13632168" TargetMode="External" Id="rId302"/><Relationship Type="http://schemas.openxmlformats.org/officeDocument/2006/relationships/hyperlink" Target="https://www.whatifsports.com/hbd/Pages/Popups/ProspectProfile.aspx?pid=13632143" TargetMode="External" Id="rId303"/><Relationship Type="http://schemas.openxmlformats.org/officeDocument/2006/relationships/hyperlink" Target="https://www.whatifsports.com/hbd/Pages/Popups/ProspectProfile.aspx?pid=13632143" TargetMode="External" Id="rId304"/><Relationship Type="http://schemas.openxmlformats.org/officeDocument/2006/relationships/hyperlink" Target="https://www.whatifsports.com/hbd/Pages/Popups/ProspectProfile.aspx?pid=13631972" TargetMode="External" Id="rId305"/><Relationship Type="http://schemas.openxmlformats.org/officeDocument/2006/relationships/hyperlink" Target="https://www.whatifsports.com/hbd/Pages/Popups/ProspectProfile.aspx?pid=13631972" TargetMode="External" Id="rId306"/><Relationship Type="http://schemas.openxmlformats.org/officeDocument/2006/relationships/hyperlink" Target="https://www.whatifsports.com/hbd/Pages/Popups/ProspectProfile.aspx?pid=13631910" TargetMode="External" Id="rId307"/><Relationship Type="http://schemas.openxmlformats.org/officeDocument/2006/relationships/hyperlink" Target="https://www.whatifsports.com/hbd/Pages/Popups/ProspectProfile.aspx?pid=13631910" TargetMode="External" Id="rId308"/><Relationship Type="http://schemas.openxmlformats.org/officeDocument/2006/relationships/hyperlink" Target="https://www.whatifsports.com/hbd/Pages/Popups/ProspectProfile.aspx?pid=13632099" TargetMode="External" Id="rId309"/><Relationship Type="http://schemas.openxmlformats.org/officeDocument/2006/relationships/hyperlink" Target="https://www.whatifsports.com/hbd/Pages/Popups/ProspectProfile.aspx?pid=13632099" TargetMode="External" Id="rId310"/><Relationship Type="http://schemas.openxmlformats.org/officeDocument/2006/relationships/hyperlink" Target="https://www.whatifsports.com/hbd/Pages/Popups/ProspectProfile.aspx?pid=13632107" TargetMode="External" Id="rId311"/><Relationship Type="http://schemas.openxmlformats.org/officeDocument/2006/relationships/hyperlink" Target="https://www.whatifsports.com/hbd/Pages/Popups/ProspectProfile.aspx?pid=13632107" TargetMode="External" Id="rId312"/><Relationship Type="http://schemas.openxmlformats.org/officeDocument/2006/relationships/hyperlink" Target="https://www.whatifsports.com/hbd/Pages/Popups/ProspectProfile.aspx?pid=13631852" TargetMode="External" Id="rId313"/><Relationship Type="http://schemas.openxmlformats.org/officeDocument/2006/relationships/hyperlink" Target="https://www.whatifsports.com/hbd/Pages/Popups/ProspectProfile.aspx?pid=13631852" TargetMode="External" Id="rId314"/><Relationship Type="http://schemas.openxmlformats.org/officeDocument/2006/relationships/hyperlink" Target="https://www.whatifsports.com/hbd/Pages/Popups/ProspectProfile.aspx?pid=13632085" TargetMode="External" Id="rId315"/><Relationship Type="http://schemas.openxmlformats.org/officeDocument/2006/relationships/hyperlink" Target="https://www.whatifsports.com/hbd/Pages/Popups/ProspectProfile.aspx?pid=13632085" TargetMode="External" Id="rId316"/><Relationship Type="http://schemas.openxmlformats.org/officeDocument/2006/relationships/hyperlink" Target="https://www.whatifsports.com/hbd/Pages/Popups/ProspectProfile.aspx?pid=13632233" TargetMode="External" Id="rId317"/><Relationship Type="http://schemas.openxmlformats.org/officeDocument/2006/relationships/hyperlink" Target="https://www.whatifsports.com/hbd/Pages/Popups/ProspectProfile.aspx?pid=13632233" TargetMode="External" Id="rId318"/><Relationship Type="http://schemas.openxmlformats.org/officeDocument/2006/relationships/hyperlink" Target="https://www.whatifsports.com/hbd/Pages/Popups/ProspectProfile.aspx?pid=13631844" TargetMode="External" Id="rId319"/><Relationship Type="http://schemas.openxmlformats.org/officeDocument/2006/relationships/hyperlink" Target="https://www.whatifsports.com/hbd/Pages/Popups/ProspectProfile.aspx?pid=13631844" TargetMode="External" Id="rId320"/><Relationship Type="http://schemas.openxmlformats.org/officeDocument/2006/relationships/hyperlink" Target="https://www.whatifsports.com/hbd/Pages/Popups/ProspectProfile.aspx?pid=13632052" TargetMode="External" Id="rId321"/><Relationship Type="http://schemas.openxmlformats.org/officeDocument/2006/relationships/hyperlink" Target="https://www.whatifsports.com/hbd/Pages/Popups/ProspectProfile.aspx?pid=13632052" TargetMode="External" Id="rId322"/><Relationship Type="http://schemas.openxmlformats.org/officeDocument/2006/relationships/hyperlink" Target="https://www.whatifsports.com/hbd/Pages/Popups/ProspectProfile.aspx?pid=13632066" TargetMode="External" Id="rId323"/><Relationship Type="http://schemas.openxmlformats.org/officeDocument/2006/relationships/hyperlink" Target="https://www.whatifsports.com/hbd/Pages/Popups/ProspectProfile.aspx?pid=13632066" TargetMode="External" Id="rId324"/><Relationship Type="http://schemas.openxmlformats.org/officeDocument/2006/relationships/hyperlink" Target="https://www.whatifsports.com/hbd/Pages/Popups/ProspectProfile.aspx?pid=13631876" TargetMode="External" Id="rId325"/><Relationship Type="http://schemas.openxmlformats.org/officeDocument/2006/relationships/hyperlink" Target="https://www.whatifsports.com/hbd/Pages/Popups/ProspectProfile.aspx?pid=13631876" TargetMode="External" Id="rId326"/><Relationship Type="http://schemas.openxmlformats.org/officeDocument/2006/relationships/hyperlink" Target="https://www.whatifsports.com/hbd/Pages/Popups/ProspectProfile.aspx?pid=13632178" TargetMode="External" Id="rId327"/><Relationship Type="http://schemas.openxmlformats.org/officeDocument/2006/relationships/hyperlink" Target="https://www.whatifsports.com/hbd/Pages/Popups/ProspectProfile.aspx?pid=13632178" TargetMode="External" Id="rId328"/><Relationship Type="http://schemas.openxmlformats.org/officeDocument/2006/relationships/hyperlink" Target="https://www.whatifsports.com/hbd/Pages/Popups/ProspectProfile.aspx?pid=13631945" TargetMode="External" Id="rId329"/><Relationship Type="http://schemas.openxmlformats.org/officeDocument/2006/relationships/hyperlink" Target="https://www.whatifsports.com/hbd/Pages/Popups/ProspectProfile.aspx?pid=13631945" TargetMode="External" Id="rId330"/><Relationship Type="http://schemas.openxmlformats.org/officeDocument/2006/relationships/hyperlink" Target="https://www.whatifsports.com/hbd/Pages/Popups/ProspectProfile.aspx?pid=13632131" TargetMode="External" Id="rId331"/><Relationship Type="http://schemas.openxmlformats.org/officeDocument/2006/relationships/hyperlink" Target="https://www.whatifsports.com/hbd/Pages/Popups/ProspectProfile.aspx?pid=13632131" TargetMode="External" Id="rId332"/><Relationship Type="http://schemas.openxmlformats.org/officeDocument/2006/relationships/hyperlink" Target="https://www.whatifsports.com/hbd/Pages/Popups/ProspectProfile.aspx?pid=13632201" TargetMode="External" Id="rId333"/><Relationship Type="http://schemas.openxmlformats.org/officeDocument/2006/relationships/hyperlink" Target="https://www.whatifsports.com/hbd/Pages/Popups/ProspectProfile.aspx?pid=13632201" TargetMode="External" Id="rId334"/><Relationship Type="http://schemas.openxmlformats.org/officeDocument/2006/relationships/hyperlink" Target="https://www.whatifsports.com/hbd/Pages/Popups/ProspectProfile.aspx?pid=13632071" TargetMode="External" Id="rId335"/><Relationship Type="http://schemas.openxmlformats.org/officeDocument/2006/relationships/hyperlink" Target="https://www.whatifsports.com/hbd/Pages/Popups/ProspectProfile.aspx?pid=13632071" TargetMode="External" Id="rId336"/><Relationship Type="http://schemas.openxmlformats.org/officeDocument/2006/relationships/hyperlink" Target="https://www.whatifsports.com/hbd/Pages/Popups/ProspectProfile.aspx?pid=13632197" TargetMode="External" Id="rId337"/><Relationship Type="http://schemas.openxmlformats.org/officeDocument/2006/relationships/hyperlink" Target="https://www.whatifsports.com/hbd/Pages/Popups/ProspectProfile.aspx?pid=13632197" TargetMode="External" Id="rId338"/><Relationship Type="http://schemas.openxmlformats.org/officeDocument/2006/relationships/hyperlink" Target="https://www.whatifsports.com/hbd/Pages/Popups/ProspectProfile.aspx?pid=13632232" TargetMode="External" Id="rId339"/><Relationship Type="http://schemas.openxmlformats.org/officeDocument/2006/relationships/hyperlink" Target="https://www.whatifsports.com/hbd/Pages/Popups/ProspectProfile.aspx?pid=13632232" TargetMode="External" Id="rId340"/><Relationship Type="http://schemas.openxmlformats.org/officeDocument/2006/relationships/hyperlink" Target="https://www.whatifsports.com/hbd/Pages/Popups/ProspectProfile.aspx?pid=13632223" TargetMode="External" Id="rId341"/><Relationship Type="http://schemas.openxmlformats.org/officeDocument/2006/relationships/hyperlink" Target="https://www.whatifsports.com/hbd/Pages/Popups/ProspectProfile.aspx?pid=13632223" TargetMode="External" Id="rId342"/><Relationship Type="http://schemas.openxmlformats.org/officeDocument/2006/relationships/hyperlink" Target="https://www.whatifsports.com/hbd/Pages/Popups/ProspectProfile.aspx?pid=13631875" TargetMode="External" Id="rId343"/><Relationship Type="http://schemas.openxmlformats.org/officeDocument/2006/relationships/hyperlink" Target="https://www.whatifsports.com/hbd/Pages/Popups/ProspectProfile.aspx?pid=13631875" TargetMode="External" Id="rId344"/><Relationship Type="http://schemas.openxmlformats.org/officeDocument/2006/relationships/hyperlink" Target="https://www.whatifsports.com/hbd/Pages/Popups/ProspectProfile.aspx?pid=13631863" TargetMode="External" Id="rId345"/><Relationship Type="http://schemas.openxmlformats.org/officeDocument/2006/relationships/hyperlink" Target="https://www.whatifsports.com/hbd/Pages/Popups/ProspectProfile.aspx?pid=13631863" TargetMode="External" Id="rId346"/><Relationship Type="http://schemas.openxmlformats.org/officeDocument/2006/relationships/hyperlink" Target="https://www.whatifsports.com/hbd/Pages/Popups/ProspectProfile.aspx?pid=13631896" TargetMode="External" Id="rId347"/><Relationship Type="http://schemas.openxmlformats.org/officeDocument/2006/relationships/hyperlink" Target="https://www.whatifsports.com/hbd/Pages/Popups/ProspectProfile.aspx?pid=13631896" TargetMode="External" Id="rId348"/><Relationship Type="http://schemas.openxmlformats.org/officeDocument/2006/relationships/hyperlink" Target="https://www.whatifsports.com/hbd/Pages/Popups/ProspectProfile.aspx?pid=13632160" TargetMode="External" Id="rId349"/><Relationship Type="http://schemas.openxmlformats.org/officeDocument/2006/relationships/hyperlink" Target="https://www.whatifsports.com/hbd/Pages/Popups/ProspectProfile.aspx?pid=13632160" TargetMode="External" Id="rId350"/><Relationship Type="http://schemas.openxmlformats.org/officeDocument/2006/relationships/hyperlink" Target="https://www.whatifsports.com/hbd/Pages/Popups/ProspectProfile.aspx?pid=13631860" TargetMode="External" Id="rId351"/><Relationship Type="http://schemas.openxmlformats.org/officeDocument/2006/relationships/hyperlink" Target="https://www.whatifsports.com/hbd/Pages/Popups/ProspectProfile.aspx?pid=13631860" TargetMode="External" Id="rId352"/><Relationship Type="http://schemas.openxmlformats.org/officeDocument/2006/relationships/hyperlink" Target="https://www.whatifsports.com/hbd/Pages/Popups/ProspectProfile.aspx?pid=13632208" TargetMode="External" Id="rId353"/><Relationship Type="http://schemas.openxmlformats.org/officeDocument/2006/relationships/hyperlink" Target="https://www.whatifsports.com/hbd/Pages/Popups/ProspectProfile.aspx?pid=13632208" TargetMode="External" Id="rId354"/><Relationship Type="http://schemas.openxmlformats.org/officeDocument/2006/relationships/hyperlink" Target="https://www.whatifsports.com/hbd/Pages/Popups/ProspectProfile.aspx?pid=13632149" TargetMode="External" Id="rId355"/><Relationship Type="http://schemas.openxmlformats.org/officeDocument/2006/relationships/hyperlink" Target="https://www.whatifsports.com/hbd/Pages/Popups/ProspectProfile.aspx?pid=13632149" TargetMode="External" Id="rId356"/><Relationship Type="http://schemas.openxmlformats.org/officeDocument/2006/relationships/hyperlink" Target="https://www.whatifsports.com/hbd/Pages/Popups/ProspectProfile.aspx?pid=13632172" TargetMode="External" Id="rId357"/><Relationship Type="http://schemas.openxmlformats.org/officeDocument/2006/relationships/hyperlink" Target="https://www.whatifsports.com/hbd/Pages/Popups/ProspectProfile.aspx?pid=13632172" TargetMode="External" Id="rId358"/><Relationship Type="http://schemas.openxmlformats.org/officeDocument/2006/relationships/hyperlink" Target="https://www.whatifsports.com/hbd/Pages/Popups/ProspectProfile.aspx?pid=13631991" TargetMode="External" Id="rId359"/><Relationship Type="http://schemas.openxmlformats.org/officeDocument/2006/relationships/hyperlink" Target="https://www.whatifsports.com/hbd/Pages/Popups/ProspectProfile.aspx?pid=13631991" TargetMode="External" Id="rId360"/><Relationship Type="http://schemas.openxmlformats.org/officeDocument/2006/relationships/hyperlink" Target="https://www.whatifsports.com/hbd/Pages/Popups/ProspectProfile.aspx?pid=13631904" TargetMode="External" Id="rId361"/><Relationship Type="http://schemas.openxmlformats.org/officeDocument/2006/relationships/hyperlink" Target="https://www.whatifsports.com/hbd/Pages/Popups/ProspectProfile.aspx?pid=13631904" TargetMode="External" Id="rId362"/><Relationship Type="http://schemas.openxmlformats.org/officeDocument/2006/relationships/hyperlink" Target="https://www.whatifsports.com/hbd/Pages/Popups/ProspectProfile.aspx?pid=13632116" TargetMode="External" Id="rId363"/><Relationship Type="http://schemas.openxmlformats.org/officeDocument/2006/relationships/hyperlink" Target="https://www.whatifsports.com/hbd/Pages/Popups/ProspectProfile.aspx?pid=13632116" TargetMode="External" Id="rId364"/><Relationship Type="http://schemas.openxmlformats.org/officeDocument/2006/relationships/hyperlink" Target="https://www.whatifsports.com/hbd/Pages/Popups/ProspectProfile.aspx?pid=13632213" TargetMode="External" Id="rId365"/><Relationship Type="http://schemas.openxmlformats.org/officeDocument/2006/relationships/hyperlink" Target="https://www.whatifsports.com/hbd/Pages/Popups/ProspectProfile.aspx?pid=13632213" TargetMode="External" Id="rId366"/><Relationship Type="http://schemas.openxmlformats.org/officeDocument/2006/relationships/hyperlink" Target="https://www.whatifsports.com/hbd/Pages/Popups/ProspectProfile.aspx?pid=13632183" TargetMode="External" Id="rId367"/><Relationship Type="http://schemas.openxmlformats.org/officeDocument/2006/relationships/hyperlink" Target="https://www.whatifsports.com/hbd/Pages/Popups/ProspectProfile.aspx?pid=13632183" TargetMode="External" Id="rId368"/><Relationship Type="http://schemas.openxmlformats.org/officeDocument/2006/relationships/hyperlink" Target="https://www.whatifsports.com/hbd/Pages/Popups/ProspectProfile.aspx?pid=13632234" TargetMode="External" Id="rId369"/><Relationship Type="http://schemas.openxmlformats.org/officeDocument/2006/relationships/hyperlink" Target="https://www.whatifsports.com/hbd/Pages/Popups/ProspectProfile.aspx?pid=13632234" TargetMode="External" Id="rId370"/><Relationship Type="http://schemas.openxmlformats.org/officeDocument/2006/relationships/hyperlink" Target="https://www.whatifsports.com/hbd/Pages/Popups/ProspectProfile.aspx?pid=13632029" TargetMode="External" Id="rId371"/><Relationship Type="http://schemas.openxmlformats.org/officeDocument/2006/relationships/hyperlink" Target="https://www.whatifsports.com/hbd/Pages/Popups/ProspectProfile.aspx?pid=13632029" TargetMode="External" Id="rId372"/><Relationship Type="http://schemas.openxmlformats.org/officeDocument/2006/relationships/hyperlink" Target="https://www.whatifsports.com/hbd/Pages/Popups/ProspectProfile.aspx?pid=13631914" TargetMode="External" Id="rId373"/><Relationship Type="http://schemas.openxmlformats.org/officeDocument/2006/relationships/hyperlink" Target="https://www.whatifsports.com/hbd/Pages/Popups/ProspectProfile.aspx?pid=13631914" TargetMode="External" Id="rId374"/><Relationship Type="http://schemas.openxmlformats.org/officeDocument/2006/relationships/hyperlink" Target="https://www.whatifsports.com/hbd/Pages/Popups/ProspectProfile.aspx?pid=13631853" TargetMode="External" Id="rId375"/><Relationship Type="http://schemas.openxmlformats.org/officeDocument/2006/relationships/hyperlink" Target="https://www.whatifsports.com/hbd/Pages/Popups/ProspectProfile.aspx?pid=13631853" TargetMode="External" Id="rId376"/><Relationship Type="http://schemas.openxmlformats.org/officeDocument/2006/relationships/hyperlink" Target="https://www.whatifsports.com/hbd/Pages/Popups/ProspectProfile.aspx?pid=13632186" TargetMode="External" Id="rId377"/><Relationship Type="http://schemas.openxmlformats.org/officeDocument/2006/relationships/hyperlink" Target="https://www.whatifsports.com/hbd/Pages/Popups/ProspectProfile.aspx?pid=13632186" TargetMode="External" Id="rId378"/><Relationship Type="http://schemas.openxmlformats.org/officeDocument/2006/relationships/hyperlink" Target="https://www.whatifsports.com/hbd/Pages/Popups/ProspectProfile.aspx?pid=13632023" TargetMode="External" Id="rId379"/><Relationship Type="http://schemas.openxmlformats.org/officeDocument/2006/relationships/hyperlink" Target="https://www.whatifsports.com/hbd/Pages/Popups/ProspectProfile.aspx?pid=13632023" TargetMode="External" Id="rId380"/><Relationship Type="http://schemas.openxmlformats.org/officeDocument/2006/relationships/hyperlink" Target="https://www.whatifsports.com/hbd/Pages/Popups/ProspectProfile.aspx?pid=13632058" TargetMode="External" Id="rId381"/><Relationship Type="http://schemas.openxmlformats.org/officeDocument/2006/relationships/hyperlink" Target="https://www.whatifsports.com/hbd/Pages/Popups/ProspectProfile.aspx?pid=13632058" TargetMode="External" Id="rId382"/><Relationship Type="http://schemas.openxmlformats.org/officeDocument/2006/relationships/hyperlink" Target="https://www.whatifsports.com/hbd/Pages/Popups/ProspectProfile.aspx?pid=13632199" TargetMode="External" Id="rId383"/><Relationship Type="http://schemas.openxmlformats.org/officeDocument/2006/relationships/hyperlink" Target="https://www.whatifsports.com/hbd/Pages/Popups/ProspectProfile.aspx?pid=13632199" TargetMode="External" Id="rId384"/><Relationship Type="http://schemas.openxmlformats.org/officeDocument/2006/relationships/hyperlink" Target="https://www.whatifsports.com/hbd/Pages/Popups/ProspectProfile.aspx?pid=13632022" TargetMode="External" Id="rId385"/><Relationship Type="http://schemas.openxmlformats.org/officeDocument/2006/relationships/hyperlink" Target="https://www.whatifsports.com/hbd/Pages/Popups/ProspectProfile.aspx?pid=13632022" TargetMode="External" Id="rId386"/><Relationship Type="http://schemas.openxmlformats.org/officeDocument/2006/relationships/hyperlink" Target="https://www.whatifsports.com/hbd/Pages/Popups/ProspectProfile.aspx?pid=13631926" TargetMode="External" Id="rId387"/><Relationship Type="http://schemas.openxmlformats.org/officeDocument/2006/relationships/hyperlink" Target="https://www.whatifsports.com/hbd/Pages/Popups/ProspectProfile.aspx?pid=13631926" TargetMode="External" Id="rId388"/><Relationship Type="http://schemas.openxmlformats.org/officeDocument/2006/relationships/hyperlink" Target="https://www.whatifsports.com/hbd/Pages/Popups/ProspectProfile.aspx?pid=13632206" TargetMode="External" Id="rId389"/><Relationship Type="http://schemas.openxmlformats.org/officeDocument/2006/relationships/hyperlink" Target="https://www.whatifsports.com/hbd/Pages/Popups/ProspectProfile.aspx?pid=13632206" TargetMode="External" Id="rId390"/><Relationship Type="http://schemas.openxmlformats.org/officeDocument/2006/relationships/hyperlink" Target="https://www.whatifsports.com/hbd/Pages/Popups/ProspectProfile.aspx?pid=13632205" TargetMode="External" Id="rId391"/><Relationship Type="http://schemas.openxmlformats.org/officeDocument/2006/relationships/hyperlink" Target="https://www.whatifsports.com/hbd/Pages/Popups/ProspectProfile.aspx?pid=13632205" TargetMode="External" Id="rId392"/><Relationship Type="http://schemas.openxmlformats.org/officeDocument/2006/relationships/hyperlink" Target="https://www.whatifsports.com/hbd/Pages/Popups/ProspectProfile.aspx?pid=13631968" TargetMode="External" Id="rId393"/><Relationship Type="http://schemas.openxmlformats.org/officeDocument/2006/relationships/hyperlink" Target="https://www.whatifsports.com/hbd/Pages/Popups/ProspectProfile.aspx?pid=13631968" TargetMode="External" Id="rId394"/><Relationship Type="http://schemas.openxmlformats.org/officeDocument/2006/relationships/hyperlink" Target="https://www.whatifsports.com/hbd/Pages/Popups/ProspectProfile.aspx?pid=13631952" TargetMode="External" Id="rId395"/><Relationship Type="http://schemas.openxmlformats.org/officeDocument/2006/relationships/hyperlink" Target="https://www.whatifsports.com/hbd/Pages/Popups/ProspectProfile.aspx?pid=13631952" TargetMode="External" Id="rId396"/><Relationship Type="http://schemas.openxmlformats.org/officeDocument/2006/relationships/hyperlink" Target="https://www.whatifsports.com/hbd/Pages/Popups/ProspectProfile.aspx?pid=13632063" TargetMode="External" Id="rId397"/><Relationship Type="http://schemas.openxmlformats.org/officeDocument/2006/relationships/hyperlink" Target="https://www.whatifsports.com/hbd/Pages/Popups/ProspectProfile.aspx?pid=13632063" TargetMode="External" Id="rId398"/><Relationship Type="http://schemas.openxmlformats.org/officeDocument/2006/relationships/hyperlink" Target="https://www.whatifsports.com/hbd/Pages/Popups/ProspectProfile.aspx?pid=13632236" TargetMode="External" Id="rId399"/><Relationship Type="http://schemas.openxmlformats.org/officeDocument/2006/relationships/hyperlink" Target="https://www.whatifsports.com/hbd/Pages/Popups/ProspectProfile.aspx?pid=13632236" TargetMode="External" Id="rId400"/><Relationship Type="http://schemas.openxmlformats.org/officeDocument/2006/relationships/hyperlink" Target="https://www.whatifsports.com/hbd/Pages/Popups/ProspectProfile.aspx?pid=13632019" TargetMode="External" Id="rId401"/><Relationship Type="http://schemas.openxmlformats.org/officeDocument/2006/relationships/hyperlink" Target="https://www.whatifsports.com/hbd/Pages/Popups/ProspectProfile.aspx?pid=13632019" TargetMode="External" Id="rId402"/><Relationship Type="http://schemas.openxmlformats.org/officeDocument/2006/relationships/hyperlink" Target="https://www.whatifsports.com/hbd/Pages/Popups/ProspectProfile.aspx?pid=13631996" TargetMode="External" Id="rId403"/><Relationship Type="http://schemas.openxmlformats.org/officeDocument/2006/relationships/hyperlink" Target="https://www.whatifsports.com/hbd/Pages/Popups/ProspectProfile.aspx?pid=13631996" TargetMode="External" Id="rId404"/><Relationship Type="http://schemas.openxmlformats.org/officeDocument/2006/relationships/hyperlink" Target="https://www.whatifsports.com/hbd/Pages/Popups/ProspectProfile.aspx?pid=13632036" TargetMode="External" Id="rId405"/><Relationship Type="http://schemas.openxmlformats.org/officeDocument/2006/relationships/hyperlink" Target="https://www.whatifsports.com/hbd/Pages/Popups/ProspectProfile.aspx?pid=13632036" TargetMode="External" Id="rId406"/><Relationship Type="http://schemas.openxmlformats.org/officeDocument/2006/relationships/hyperlink" Target="https://www.whatifsports.com/hbd/Pages/Popups/ProspectProfile.aspx?pid=13631946" TargetMode="External" Id="rId407"/><Relationship Type="http://schemas.openxmlformats.org/officeDocument/2006/relationships/hyperlink" Target="https://www.whatifsports.com/hbd/Pages/Popups/ProspectProfile.aspx?pid=13631946" TargetMode="External" Id="rId408"/><Relationship Type="http://schemas.openxmlformats.org/officeDocument/2006/relationships/hyperlink" Target="https://www.whatifsports.com/hbd/Pages/Popups/ProspectProfile.aspx?pid=13632156" TargetMode="External" Id="rId409"/><Relationship Type="http://schemas.openxmlformats.org/officeDocument/2006/relationships/hyperlink" Target="https://www.whatifsports.com/hbd/Pages/Popups/ProspectProfile.aspx?pid=13632156" TargetMode="External" Id="rId410"/><Relationship Type="http://schemas.openxmlformats.org/officeDocument/2006/relationships/hyperlink" Target="https://www.whatifsports.com/hbd/Pages/Popups/ProspectProfile.aspx?pid=13632055" TargetMode="External" Id="rId411"/><Relationship Type="http://schemas.openxmlformats.org/officeDocument/2006/relationships/hyperlink" Target="https://www.whatifsports.com/hbd/Pages/Popups/ProspectProfile.aspx?pid=13632055" TargetMode="External" Id="rId412"/><Relationship Type="http://schemas.openxmlformats.org/officeDocument/2006/relationships/hyperlink" Target="https://www.whatifsports.com/hbd/Pages/Popups/ProspectProfile.aspx?pid=13631908" TargetMode="External" Id="rId413"/><Relationship Type="http://schemas.openxmlformats.org/officeDocument/2006/relationships/hyperlink" Target="https://www.whatifsports.com/hbd/Pages/Popups/ProspectProfile.aspx?pid=13631908" TargetMode="External" Id="rId41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hatifsports.com/hbd/Pages/GM/AmateurDraftPlayerPool.aspx" TargetMode="External" Id="rId1"/><Relationship Type="http://schemas.openxmlformats.org/officeDocument/2006/relationships/hyperlink" Target="https://www.whatifsports.com/hbd/Pages/GM/AmateurDraftPlayerPool.aspx" TargetMode="External" Id="rId2"/><Relationship Type="http://schemas.openxmlformats.org/officeDocument/2006/relationships/hyperlink" Target="https://www.whatifsports.com/hbd/Pages/GM/AmateurDraftPlayerPool.aspx" TargetMode="External" Id="rId3"/><Relationship Type="http://schemas.openxmlformats.org/officeDocument/2006/relationships/hyperlink" Target="https://www.whatifsports.com/hbd/Pages/GM/AmateurDraftPlayerPool.aspx" TargetMode="External" Id="rId4"/><Relationship Type="http://schemas.openxmlformats.org/officeDocument/2006/relationships/hyperlink" Target="https://www.whatifsports.com/hbd/Pages/GM/AmateurDraftPlayerPool.aspx" TargetMode="External" Id="rId5"/><Relationship Type="http://schemas.openxmlformats.org/officeDocument/2006/relationships/hyperlink" Target="https://www.whatifsports.com/hbd/Pages/GM/AmateurDraftPlayerPool.aspx" TargetMode="External" Id="rId6"/><Relationship Type="http://schemas.openxmlformats.org/officeDocument/2006/relationships/hyperlink" Target="https://www.whatifsports.com/hbd/Pages/Popups/ProspectProfile.aspx?pid=13632168" TargetMode="External" Id="rId7"/><Relationship Type="http://schemas.openxmlformats.org/officeDocument/2006/relationships/hyperlink" Target="https://www.whatifsports.com/hbd/Pages/Popups/ProspectProfile.aspx?pid=13632221" TargetMode="External" Id="rId8"/><Relationship Type="http://schemas.openxmlformats.org/officeDocument/2006/relationships/hyperlink" Target="https://www.whatifsports.com/hbd/Pages/Popups/ProspectProfile.aspx?pid=13632238" TargetMode="External" Id="rId9"/><Relationship Type="http://schemas.openxmlformats.org/officeDocument/2006/relationships/hyperlink" Target="https://www.whatifsports.com/hbd/Pages/Popups/ProspectProfile.aspx?pid=13632216" TargetMode="External" Id="rId10"/><Relationship Type="http://schemas.openxmlformats.org/officeDocument/2006/relationships/hyperlink" Target="https://www.whatifsports.com/hbd/Pages/Popups/ProspectProfile.aspx?pid=13632232" TargetMode="External" Id="rId11"/><Relationship Type="http://schemas.openxmlformats.org/officeDocument/2006/relationships/hyperlink" Target="https://www.whatifsports.com/hbd/Pages/Popups/ProspectProfile.aspx?pid=13632233" TargetMode="External" Id="rId12"/><Relationship Type="http://schemas.openxmlformats.org/officeDocument/2006/relationships/hyperlink" Target="https://www.whatifsports.com/hbd/Pages/Popups/ProspectProfile.aspx?pid=13632194" TargetMode="External" Id="rId13"/><Relationship Type="http://schemas.openxmlformats.org/officeDocument/2006/relationships/hyperlink" Target="https://www.whatifsports.com/hbd/Pages/Popups/ProspectProfile.aspx?pid=13632205" TargetMode="External" Id="rId14"/><Relationship Type="http://schemas.openxmlformats.org/officeDocument/2006/relationships/hyperlink" Target="https://www.whatifsports.com/hbd/Pages/Popups/ProspectProfile.aspx?pid=13632207" TargetMode="External" Id="rId15"/><Relationship Type="http://schemas.openxmlformats.org/officeDocument/2006/relationships/hyperlink" Target="https://www.whatifsports.com/hbd/Pages/Popups/ProspectProfile.aspx?pid=13632211" TargetMode="External" Id="rId16"/><Relationship Type="http://schemas.openxmlformats.org/officeDocument/2006/relationships/hyperlink" Target="https://www.whatifsports.com/hbd/Pages/Popups/ProspectProfile.aspx?pid=13632199" TargetMode="External" Id="rId17"/><Relationship Type="http://schemas.openxmlformats.org/officeDocument/2006/relationships/hyperlink" Target="https://www.whatifsports.com/hbd/Pages/Popups/ProspectProfile.aspx?pid=13632178" TargetMode="External" Id="rId18"/><Relationship Type="http://schemas.openxmlformats.org/officeDocument/2006/relationships/hyperlink" Target="https://www.whatifsports.com/hbd/Pages/Popups/ProspectProfile.aspx?pid=13632234" TargetMode="External" Id="rId19"/><Relationship Type="http://schemas.openxmlformats.org/officeDocument/2006/relationships/hyperlink" Target="https://www.whatifsports.com/hbd/Pages/Popups/ProspectProfile.aspx?pid=13632223" TargetMode="External" Id="rId20"/><Relationship Type="http://schemas.openxmlformats.org/officeDocument/2006/relationships/hyperlink" Target="https://www.whatifsports.com/hbd/Pages/Popups/ProspectProfile.aspx?pid=13632217" TargetMode="External" Id="rId21"/><Relationship Type="http://schemas.openxmlformats.org/officeDocument/2006/relationships/hyperlink" Target="https://www.whatifsports.com/hbd/Pages/Popups/ProspectProfile.aspx?pid=13632201" TargetMode="External" Id="rId22"/><Relationship Type="http://schemas.openxmlformats.org/officeDocument/2006/relationships/hyperlink" Target="https://www.whatifsports.com/hbd/Pages/Popups/ProspectProfile.aspx?pid=13632164" TargetMode="External" Id="rId23"/><Relationship Type="http://schemas.openxmlformats.org/officeDocument/2006/relationships/hyperlink" Target="https://www.whatifsports.com/hbd/Pages/Popups/ProspectProfile.aspx?pid=13632171" TargetMode="External" Id="rId24"/><Relationship Type="http://schemas.openxmlformats.org/officeDocument/2006/relationships/hyperlink" Target="https://www.whatifsports.com/hbd/Pages/Popups/ProspectProfile.aspx?pid=13632212" TargetMode="External" Id="rId25"/><Relationship Type="http://schemas.openxmlformats.org/officeDocument/2006/relationships/hyperlink" Target="https://www.whatifsports.com/hbd/Pages/Popups/ProspectProfile.aspx?pid=13632206" TargetMode="External" Id="rId26"/><Relationship Type="http://schemas.openxmlformats.org/officeDocument/2006/relationships/hyperlink" Target="https://www.whatifsports.com/hbd/Pages/Popups/ProspectProfile.aspx?pid=13632071" TargetMode="External" Id="rId27"/><Relationship Type="http://schemas.openxmlformats.org/officeDocument/2006/relationships/hyperlink" Target="https://www.whatifsports.com/hbd/Pages/Popups/ProspectProfile.aspx?pid=13632066" TargetMode="External" Id="rId28"/><Relationship Type="http://schemas.openxmlformats.org/officeDocument/2006/relationships/hyperlink" Target="https://www.whatifsports.com/hbd/Pages/Popups/ProspectProfile.aspx?pid=13632229" TargetMode="External" Id="rId29"/><Relationship Type="http://schemas.openxmlformats.org/officeDocument/2006/relationships/hyperlink" Target="https://www.whatifsports.com/hbd/Pages/Popups/ProspectProfile.aspx?pid=13631900" TargetMode="External" Id="rId30"/><Relationship Type="http://schemas.openxmlformats.org/officeDocument/2006/relationships/hyperlink" Target="https://www.whatifsports.com/hbd/Pages/Popups/ProspectProfile.aspx?pid=13632224" TargetMode="External" Id="rId31"/><Relationship Type="http://schemas.openxmlformats.org/officeDocument/2006/relationships/hyperlink" Target="https://www.whatifsports.com/hbd/Pages/Popups/ProspectProfile.aspx?pid=13632130" TargetMode="External" Id="rId32"/><Relationship Type="http://schemas.openxmlformats.org/officeDocument/2006/relationships/hyperlink" Target="https://www.whatifsports.com/hbd/Pages/Popups/ProspectProfile.aspx?pid=13632169" TargetMode="External" Id="rId33"/><Relationship Type="http://schemas.openxmlformats.org/officeDocument/2006/relationships/hyperlink" Target="https://www.whatifsports.com/hbd/Pages/Popups/ProspectProfile.aspx?pid=13631946" TargetMode="External" Id="rId34"/><Relationship Type="http://schemas.openxmlformats.org/officeDocument/2006/relationships/hyperlink" Target="https://www.whatifsports.com/hbd/Pages/Popups/ProspectProfile.aspx?pid=13632099" TargetMode="External" Id="rId35"/><Relationship Type="http://schemas.openxmlformats.org/officeDocument/2006/relationships/hyperlink" Target="https://www.whatifsports.com/hbd/Pages/Popups/ProspectProfile.aspx?pid=13632172" TargetMode="External" Id="rId36"/><Relationship Type="http://schemas.openxmlformats.org/officeDocument/2006/relationships/hyperlink" Target="https://www.whatifsports.com/hbd/Pages/Popups/ProspectProfile.aspx?pid=13632116" TargetMode="External" Id="rId37"/><Relationship Type="http://schemas.openxmlformats.org/officeDocument/2006/relationships/hyperlink" Target="https://www.whatifsports.com/hbd/Pages/Popups/ProspectProfile.aspx?pid=13632183" TargetMode="External" Id="rId38"/><Relationship Type="http://schemas.openxmlformats.org/officeDocument/2006/relationships/hyperlink" Target="https://www.whatifsports.com/hbd/Pages/Popups/ProspectProfile.aspx?pid=13632036" TargetMode="External" Id="rId39"/><Relationship Type="http://schemas.openxmlformats.org/officeDocument/2006/relationships/hyperlink" Target="https://www.whatifsports.com/hbd/Pages/Popups/ProspectProfile.aspx?pid=13632186" TargetMode="External" Id="rId40"/><Relationship Type="http://schemas.openxmlformats.org/officeDocument/2006/relationships/hyperlink" Target="https://www.whatifsports.com/hbd/Pages/Popups/ProspectProfile.aspx?pid=13632123" TargetMode="External" Id="rId41"/><Relationship Type="http://schemas.openxmlformats.org/officeDocument/2006/relationships/hyperlink" Target="https://www.whatifsports.com/hbd/Pages/Popups/ProspectProfile.aspx?pid=13632143" TargetMode="External" Id="rId42"/><Relationship Type="http://schemas.openxmlformats.org/officeDocument/2006/relationships/hyperlink" Target="https://www.whatifsports.com/hbd/Pages/Popups/ProspectProfile.aspx?pid=13632154" TargetMode="External" Id="rId43"/><Relationship Type="http://schemas.openxmlformats.org/officeDocument/2006/relationships/hyperlink" Target="https://www.whatifsports.com/hbd/Pages/Popups/ProspectProfile.aspx?pid=13632237" TargetMode="External" Id="rId44"/><Relationship Type="http://schemas.openxmlformats.org/officeDocument/2006/relationships/hyperlink" Target="https://www.whatifsports.com/hbd/Pages/Popups/ProspectProfile.aspx?pid=13632035" TargetMode="External" Id="rId45"/><Relationship Type="http://schemas.openxmlformats.org/officeDocument/2006/relationships/hyperlink" Target="https://www.whatifsports.com/hbd/Pages/Popups/ProspectProfile.aspx?pid=13632149" TargetMode="External" Id="rId46"/><Relationship Type="http://schemas.openxmlformats.org/officeDocument/2006/relationships/hyperlink" Target="https://www.whatifsports.com/hbd/Pages/Popups/ProspectProfile.aspx?pid=13632078" TargetMode="External" Id="rId47"/><Relationship Type="http://schemas.openxmlformats.org/officeDocument/2006/relationships/hyperlink" Target="https://www.whatifsports.com/hbd/Pages/Popups/ProspectProfile.aspx?pid=13632087" TargetMode="External" Id="rId48"/><Relationship Type="http://schemas.openxmlformats.org/officeDocument/2006/relationships/hyperlink" Target="https://www.whatifsports.com/hbd/Pages/Popups/ProspectProfile.aspx?pid=13632197" TargetMode="External" Id="rId49"/><Relationship Type="http://schemas.openxmlformats.org/officeDocument/2006/relationships/hyperlink" Target="https://www.whatifsports.com/hbd/Pages/Popups/ProspectProfile.aspx?pid=13632052" TargetMode="External" Id="rId50"/><Relationship Type="http://schemas.openxmlformats.org/officeDocument/2006/relationships/hyperlink" Target="https://www.whatifsports.com/hbd/Pages/Popups/ProspectProfile.aspx?pid=13632030" TargetMode="External" Id="rId51"/><Relationship Type="http://schemas.openxmlformats.org/officeDocument/2006/relationships/hyperlink" Target="https://www.whatifsports.com/hbd/Pages/Popups/ProspectProfile.aspx?pid=13631977" TargetMode="External" Id="rId52"/><Relationship Type="http://schemas.openxmlformats.org/officeDocument/2006/relationships/hyperlink" Target="https://www.whatifsports.com/hbd/Pages/Popups/ProspectProfile.aspx?pid=13631972" TargetMode="External" Id="rId53"/><Relationship Type="http://schemas.openxmlformats.org/officeDocument/2006/relationships/hyperlink" Target="https://www.whatifsports.com/hbd/Pages/Popups/ProspectProfile.aspx?pid=13632160" TargetMode="External" Id="rId54"/><Relationship Type="http://schemas.openxmlformats.org/officeDocument/2006/relationships/hyperlink" Target="https://www.whatifsports.com/hbd/Pages/Popups/ProspectProfile.aspx?pid=13632084" TargetMode="External" Id="rId55"/><Relationship Type="http://schemas.openxmlformats.org/officeDocument/2006/relationships/hyperlink" Target="https://www.whatifsports.com/hbd/Pages/Popups/ProspectProfile.aspx?pid=13631876" TargetMode="External" Id="rId56"/><Relationship Type="http://schemas.openxmlformats.org/officeDocument/2006/relationships/hyperlink" Target="https://www.whatifsports.com/hbd/Pages/Popups/ProspectProfile.aspx?pid=13632208" TargetMode="External" Id="rId57"/><Relationship Type="http://schemas.openxmlformats.org/officeDocument/2006/relationships/hyperlink" Target="https://www.whatifsports.com/hbd/Pages/Popups/ProspectProfile.aspx?pid=13631852" TargetMode="External" Id="rId58"/><Relationship Type="http://schemas.openxmlformats.org/officeDocument/2006/relationships/hyperlink" Target="https://www.whatifsports.com/hbd/Pages/Popups/ProspectProfile.aspx?pid=13631871" TargetMode="External" Id="rId59"/><Relationship Type="http://schemas.openxmlformats.org/officeDocument/2006/relationships/hyperlink" Target="https://www.whatifsports.com/hbd/Pages/Popups/ProspectProfile.aspx?pid=13631904" TargetMode="External" Id="rId60"/><Relationship Type="http://schemas.openxmlformats.org/officeDocument/2006/relationships/hyperlink" Target="https://www.whatifsports.com/hbd/Pages/Popups/ProspectProfile.aspx?pid=13632001" TargetMode="External" Id="rId61"/><Relationship Type="http://schemas.openxmlformats.org/officeDocument/2006/relationships/hyperlink" Target="https://www.whatifsports.com/hbd/Pages/Popups/ProspectProfile.aspx?pid=13631916" TargetMode="External" Id="rId62"/><Relationship Type="http://schemas.openxmlformats.org/officeDocument/2006/relationships/hyperlink" Target="https://www.whatifsports.com/hbd/Pages/Popups/ProspectProfile.aspx?pid=13632075" TargetMode="External" Id="rId63"/><Relationship Type="http://schemas.openxmlformats.org/officeDocument/2006/relationships/hyperlink" Target="https://www.whatifsports.com/hbd/Pages/Popups/ProspectProfile.aspx?pid=13632113" TargetMode="External" Id="rId64"/><Relationship Type="http://schemas.openxmlformats.org/officeDocument/2006/relationships/hyperlink" Target="https://www.whatifsports.com/hbd/Pages/Popups/ProspectProfile.aspx?pid=13632213" TargetMode="External" Id="rId65"/><Relationship Type="http://schemas.openxmlformats.org/officeDocument/2006/relationships/hyperlink" Target="https://www.whatifsports.com/hbd/Pages/Popups/ProspectProfile.aspx?pid=13631926" TargetMode="External" Id="rId66"/><Relationship Type="http://schemas.openxmlformats.org/officeDocument/2006/relationships/hyperlink" Target="https://www.whatifsports.com/hbd/Pages/Popups/ProspectProfile.aspx?pid=13631989" TargetMode="External" Id="rId67"/><Relationship Type="http://schemas.openxmlformats.org/officeDocument/2006/relationships/hyperlink" Target="https://www.whatifsports.com/hbd/Pages/Popups/ProspectProfile.aspx?pid=13632013" TargetMode="External" Id="rId68"/><Relationship Type="http://schemas.openxmlformats.org/officeDocument/2006/relationships/hyperlink" Target="https://www.whatifsports.com/hbd/Pages/Popups/ProspectProfile.aspx?pid=13631896" TargetMode="External" Id="rId69"/><Relationship Type="http://schemas.openxmlformats.org/officeDocument/2006/relationships/hyperlink" Target="https://www.whatifsports.com/hbd/Pages/Popups/ProspectProfile.aspx?pid=13632204" TargetMode="External" Id="rId70"/><Relationship Type="http://schemas.openxmlformats.org/officeDocument/2006/relationships/hyperlink" Target="https://www.whatifsports.com/hbd/Pages/Popups/ProspectProfile.aspx?pid=13632107" TargetMode="External" Id="rId71"/><Relationship Type="http://schemas.openxmlformats.org/officeDocument/2006/relationships/hyperlink" Target="https://www.whatifsports.com/hbd/Pages/Popups/ProspectProfile.aspx?pid=13632019" TargetMode="External" Id="rId72"/><Relationship Type="http://schemas.openxmlformats.org/officeDocument/2006/relationships/hyperlink" Target="https://www.whatifsports.com/hbd/Pages/Popups/ProspectProfile.aspx?pid=13632115" TargetMode="External" Id="rId73"/><Relationship Type="http://schemas.openxmlformats.org/officeDocument/2006/relationships/hyperlink" Target="https://www.whatifsports.com/hbd/Pages/Popups/ProspectProfile.aspx?pid=13631994" TargetMode="External" Id="rId74"/><Relationship Type="http://schemas.openxmlformats.org/officeDocument/2006/relationships/hyperlink" Target="https://www.whatifsports.com/hbd/Pages/Popups/ProspectProfile.aspx?pid=13631952" TargetMode="External" Id="rId75"/><Relationship Type="http://schemas.openxmlformats.org/officeDocument/2006/relationships/hyperlink" Target="https://www.whatifsports.com/hbd/Pages/Popups/ProspectProfile.aspx?pid=13632104" TargetMode="External" Id="rId76"/><Relationship Type="http://schemas.openxmlformats.org/officeDocument/2006/relationships/hyperlink" Target="https://www.whatifsports.com/hbd/Pages/Popups/ProspectProfile.aspx?pid=13631874" TargetMode="External" Id="rId77"/><Relationship Type="http://schemas.openxmlformats.org/officeDocument/2006/relationships/hyperlink" Target="https://www.whatifsports.com/hbd/Pages/Popups/ProspectProfile.aspx?pid=13632063" TargetMode="External" Id="rId78"/><Relationship Type="http://schemas.openxmlformats.org/officeDocument/2006/relationships/hyperlink" Target="https://www.whatifsports.com/hbd/Pages/Popups/ProspectProfile.aspx?pid=13632058" TargetMode="External" Id="rId79"/><Relationship Type="http://schemas.openxmlformats.org/officeDocument/2006/relationships/hyperlink" Target="https://www.whatifsports.com/hbd/Pages/Popups/ProspectProfile.aspx?pid=13631991" TargetMode="External" Id="rId80"/><Relationship Type="http://schemas.openxmlformats.org/officeDocument/2006/relationships/hyperlink" Target="https://www.whatifsports.com/hbd/Pages/Popups/ProspectProfile.aspx?pid=13632055" TargetMode="External" Id="rId81"/><Relationship Type="http://schemas.openxmlformats.org/officeDocument/2006/relationships/hyperlink" Target="https://www.whatifsports.com/hbd/Pages/Popups/ProspectProfile.aspx?pid=13632022" TargetMode="External" Id="rId82"/><Relationship Type="http://schemas.openxmlformats.org/officeDocument/2006/relationships/hyperlink" Target="https://www.whatifsports.com/hbd/Pages/Popups/ProspectProfile.aspx?pid=13632023" TargetMode="External" Id="rId83"/><Relationship Type="http://schemas.openxmlformats.org/officeDocument/2006/relationships/hyperlink" Target="https://www.whatifsports.com/hbd/Pages/Popups/ProspectProfile.aspx?pid=13632131" TargetMode="External" Id="rId84"/><Relationship Type="http://schemas.openxmlformats.org/officeDocument/2006/relationships/hyperlink" Target="https://www.whatifsports.com/hbd/Pages/Popups/ProspectProfile.aspx?pid=13631885" TargetMode="External" Id="rId85"/><Relationship Type="http://schemas.openxmlformats.org/officeDocument/2006/relationships/hyperlink" Target="https://www.whatifsports.com/hbd/Pages/Popups/ProspectProfile.aspx?pid=13632236" TargetMode="External" Id="rId86"/><Relationship Type="http://schemas.openxmlformats.org/officeDocument/2006/relationships/hyperlink" Target="https://www.whatifsports.com/hbd/Pages/Popups/ProspectProfile.aspx?pid=13632048" TargetMode="External" Id="rId87"/><Relationship Type="http://schemas.openxmlformats.org/officeDocument/2006/relationships/hyperlink" Target="https://www.whatifsports.com/hbd/Pages/Popups/ProspectProfile.aspx?pid=13632029" TargetMode="External" Id="rId88"/><Relationship Type="http://schemas.openxmlformats.org/officeDocument/2006/relationships/hyperlink" Target="https://www.whatifsports.com/hbd/Pages/Popups/ProspectProfile.aspx?pid=13632085" TargetMode="External" Id="rId89"/><Relationship Type="http://schemas.openxmlformats.org/officeDocument/2006/relationships/hyperlink" Target="https://www.whatifsports.com/hbd/Pages/Popups/ProspectProfile.aspx?pid=13631910" TargetMode="External" Id="rId90"/><Relationship Type="http://schemas.openxmlformats.org/officeDocument/2006/relationships/hyperlink" Target="https://www.whatifsports.com/hbd/Pages/Popups/ProspectProfile.aspx?pid=13631875" TargetMode="External" Id="rId91"/><Relationship Type="http://schemas.openxmlformats.org/officeDocument/2006/relationships/hyperlink" Target="https://www.whatifsports.com/hbd/Pages/Popups/ProspectProfile.aspx?pid=13631877" TargetMode="External" Id="rId92"/><Relationship Type="http://schemas.openxmlformats.org/officeDocument/2006/relationships/hyperlink" Target="https://www.whatifsports.com/hbd/Pages/Popups/ProspectProfile.aspx?pid=13631968" TargetMode="External" Id="rId93"/><Relationship Type="http://schemas.openxmlformats.org/officeDocument/2006/relationships/hyperlink" Target="https://www.whatifsports.com/hbd/Pages/Popups/ProspectProfile.aspx?pid=13631996" TargetMode="External" Id="rId94"/><Relationship Type="http://schemas.openxmlformats.org/officeDocument/2006/relationships/hyperlink" Target="https://www.whatifsports.com/hbd/Pages/Popups/ProspectProfile.aspx?pid=13631914" TargetMode="External" Id="rId95"/><Relationship Type="http://schemas.openxmlformats.org/officeDocument/2006/relationships/hyperlink" Target="https://www.whatifsports.com/hbd/Pages/Popups/ProspectProfile.aspx?pid=13631882" TargetMode="External" Id="rId96"/><Relationship Type="http://schemas.openxmlformats.org/officeDocument/2006/relationships/hyperlink" Target="https://www.whatifsports.com/hbd/Pages/Popups/ProspectProfile.aspx?pid=13632156" TargetMode="External" Id="rId97"/><Relationship Type="http://schemas.openxmlformats.org/officeDocument/2006/relationships/hyperlink" Target="https://www.whatifsports.com/hbd/Pages/Popups/ProspectProfile.aspx?pid=13631844" TargetMode="External" Id="rId98"/><Relationship Type="http://schemas.openxmlformats.org/officeDocument/2006/relationships/hyperlink" Target="https://www.whatifsports.com/hbd/Pages/Popups/ProspectProfile.aspx?pid=13631963" TargetMode="External" Id="rId99"/><Relationship Type="http://schemas.openxmlformats.org/officeDocument/2006/relationships/hyperlink" Target="https://www.whatifsports.com/hbd/Pages/Popups/ProspectProfile.aspx?pid=13631849" TargetMode="External" Id="rId100"/><Relationship Type="http://schemas.openxmlformats.org/officeDocument/2006/relationships/hyperlink" Target="https://www.whatifsports.com/hbd/Pages/Popups/ProspectProfile.aspx?pid=13631913" TargetMode="External" Id="rId101"/><Relationship Type="http://schemas.openxmlformats.org/officeDocument/2006/relationships/hyperlink" Target="https://www.whatifsports.com/hbd/Pages/Popups/ProspectProfile.aspx?pid=13631945" TargetMode="External" Id="rId102"/><Relationship Type="http://schemas.openxmlformats.org/officeDocument/2006/relationships/hyperlink" Target="https://www.whatifsports.com/hbd/Pages/Popups/ProspectProfile.aspx?pid=13631863" TargetMode="External" Id="rId103"/><Relationship Type="http://schemas.openxmlformats.org/officeDocument/2006/relationships/hyperlink" Target="https://www.whatifsports.com/hbd/Pages/Popups/ProspectProfile.aspx?pid=13631939" TargetMode="External" Id="rId104"/><Relationship Type="http://schemas.openxmlformats.org/officeDocument/2006/relationships/hyperlink" Target="https://www.whatifsports.com/hbd/Pages/Popups/ProspectProfile.aspx?pid=13631860" TargetMode="External" Id="rId105"/><Relationship Type="http://schemas.openxmlformats.org/officeDocument/2006/relationships/hyperlink" Target="https://www.whatifsports.com/hbd/Pages/Popups/ProspectProfile.aspx?pid=13631853" TargetMode="External" Id="rId106"/><Relationship Type="http://schemas.openxmlformats.org/officeDocument/2006/relationships/hyperlink" Target="https://www.whatifsports.com/hbd/Pages/Popups/ProspectProfile.aspx?pid=13631908" TargetMode="External" Id="rId107"/><Relationship Type="http://schemas.openxmlformats.org/officeDocument/2006/relationships/hyperlink" Target="https://www.whatifsports.com/hbd/Pages/Popups/ProspectProfile.aspx?pid=13631576" TargetMode="External" Id="rId108"/><Relationship Type="http://schemas.openxmlformats.org/officeDocument/2006/relationships/hyperlink" Target="https://www.whatifsports.com/hbd/Pages/Popups/ProspectProfile.aspx?pid=13631526" TargetMode="External" Id="rId109"/><Relationship Type="http://schemas.openxmlformats.org/officeDocument/2006/relationships/hyperlink" Target="https://www.whatifsports.com/hbd/Pages/Popups/ProspectProfile.aspx?pid=13631732" TargetMode="External" Id="rId110"/><Relationship Type="http://schemas.openxmlformats.org/officeDocument/2006/relationships/hyperlink" Target="https://www.whatifsports.com/hbd/Pages/Popups/ProspectProfile.aspx?pid=13631636" TargetMode="External" Id="rId111"/><Relationship Type="http://schemas.openxmlformats.org/officeDocument/2006/relationships/hyperlink" Target="https://www.whatifsports.com/hbd/Pages/Popups/ProspectProfile.aspx?pid=13631678" TargetMode="External" Id="rId112"/><Relationship Type="http://schemas.openxmlformats.org/officeDocument/2006/relationships/hyperlink" Target="https://www.whatifsports.com/hbd/Pages/Popups/ProspectProfile.aspx?pid=13631448" TargetMode="External" Id="rId113"/><Relationship Type="http://schemas.openxmlformats.org/officeDocument/2006/relationships/hyperlink" Target="https://www.whatifsports.com/hbd/Pages/Popups/ProspectProfile.aspx?pid=13631567" TargetMode="External" Id="rId114"/><Relationship Type="http://schemas.openxmlformats.org/officeDocument/2006/relationships/hyperlink" Target="https://www.whatifsports.com/hbd/Pages/Popups/ProspectProfile.aspx?pid=13631672" TargetMode="External" Id="rId115"/><Relationship Type="http://schemas.openxmlformats.org/officeDocument/2006/relationships/hyperlink" Target="https://www.whatifsports.com/hbd/Pages/Popups/ProspectProfile.aspx?pid=13631585" TargetMode="External" Id="rId116"/><Relationship Type="http://schemas.openxmlformats.org/officeDocument/2006/relationships/hyperlink" Target="https://www.whatifsports.com/hbd/Pages/Popups/ProspectProfile.aspx?pid=13631514" TargetMode="External" Id="rId117"/><Relationship Type="http://schemas.openxmlformats.org/officeDocument/2006/relationships/hyperlink" Target="https://www.whatifsports.com/hbd/Pages/Popups/ProspectProfile.aspx?pid=13631431" TargetMode="External" Id="rId118"/><Relationship Type="http://schemas.openxmlformats.org/officeDocument/2006/relationships/hyperlink" Target="https://www.whatifsports.com/hbd/Pages/Popups/ProspectProfile.aspx?pid=13631674" TargetMode="External" Id="rId119"/><Relationship Type="http://schemas.openxmlformats.org/officeDocument/2006/relationships/hyperlink" Target="https://www.whatifsports.com/hbd/Pages/Popups/ProspectProfile.aspx?pid=13631409" TargetMode="External" Id="rId120"/><Relationship Type="http://schemas.openxmlformats.org/officeDocument/2006/relationships/hyperlink" Target="https://www.whatifsports.com/hbd/Pages/Popups/ProspectProfile.aspx?pid=13631391" TargetMode="External" Id="rId121"/><Relationship Type="http://schemas.openxmlformats.org/officeDocument/2006/relationships/hyperlink" Target="https://www.whatifsports.com/hbd/Pages/Popups/ProspectProfile.aspx?pid=13631791" TargetMode="External" Id="rId122"/><Relationship Type="http://schemas.openxmlformats.org/officeDocument/2006/relationships/hyperlink" Target="https://www.whatifsports.com/hbd/Pages/Popups/ProspectProfile.aspx?pid=13631677" TargetMode="External" Id="rId123"/><Relationship Type="http://schemas.openxmlformats.org/officeDocument/2006/relationships/hyperlink" Target="https://www.whatifsports.com/hbd/Pages/Popups/ProspectProfile.aspx?pid=13631814" TargetMode="External" Id="rId124"/><Relationship Type="http://schemas.openxmlformats.org/officeDocument/2006/relationships/hyperlink" Target="https://www.whatifsports.com/hbd/Pages/Popups/ProspectProfile.aspx?pid=13631698" TargetMode="External" Id="rId125"/><Relationship Type="http://schemas.openxmlformats.org/officeDocument/2006/relationships/hyperlink" Target="https://www.whatifsports.com/hbd/Pages/Popups/ProspectProfile.aspx?pid=13631579" TargetMode="External" Id="rId126"/><Relationship Type="http://schemas.openxmlformats.org/officeDocument/2006/relationships/hyperlink" Target="https://www.whatifsports.com/hbd/Pages/Popups/ProspectProfile.aspx?pid=13631635" TargetMode="External" Id="rId127"/><Relationship Type="http://schemas.openxmlformats.org/officeDocument/2006/relationships/hyperlink" Target="https://www.whatifsports.com/hbd/Pages/Popups/ProspectProfile.aspx?pid=13631584" TargetMode="External" Id="rId128"/><Relationship Type="http://schemas.openxmlformats.org/officeDocument/2006/relationships/hyperlink" Target="https://www.whatifsports.com/hbd/Pages/Popups/ProspectProfile.aspx?pid=13631565" TargetMode="External" Id="rId129"/><Relationship Type="http://schemas.openxmlformats.org/officeDocument/2006/relationships/hyperlink" Target="https://www.whatifsports.com/hbd/Pages/Popups/ProspectProfile.aspx?pid=13631506" TargetMode="External" Id="rId130"/><Relationship Type="http://schemas.openxmlformats.org/officeDocument/2006/relationships/hyperlink" Target="https://www.whatifsports.com/hbd/Pages/Popups/ProspectProfile.aspx?pid=13631789" TargetMode="External" Id="rId131"/><Relationship Type="http://schemas.openxmlformats.org/officeDocument/2006/relationships/hyperlink" Target="https://www.whatifsports.com/hbd/Pages/Popups/ProspectProfile.aspx?pid=13631505" TargetMode="External" Id="rId132"/><Relationship Type="http://schemas.openxmlformats.org/officeDocument/2006/relationships/hyperlink" Target="https://www.whatifsports.com/hbd/Pages/Popups/ProspectProfile.aspx?pid=13631433" TargetMode="External" Id="rId133"/><Relationship Type="http://schemas.openxmlformats.org/officeDocument/2006/relationships/hyperlink" Target="https://www.whatifsports.com/hbd/Pages/Popups/ProspectProfile.aspx?pid=13631531" TargetMode="External" Id="rId134"/><Relationship Type="http://schemas.openxmlformats.org/officeDocument/2006/relationships/hyperlink" Target="https://www.whatifsports.com/hbd/Pages/Popups/ProspectProfile.aspx?pid=13631552" TargetMode="External" Id="rId135"/><Relationship Type="http://schemas.openxmlformats.org/officeDocument/2006/relationships/hyperlink" Target="https://www.whatifsports.com/hbd/Pages/Popups/ProspectProfile.aspx?pid=13631500" TargetMode="External" Id="rId136"/><Relationship Type="http://schemas.openxmlformats.org/officeDocument/2006/relationships/hyperlink" Target="https://www.whatifsports.com/hbd/Pages/Popups/ProspectProfile.aspx?pid=13631839" TargetMode="External" Id="rId137"/><Relationship Type="http://schemas.openxmlformats.org/officeDocument/2006/relationships/hyperlink" Target="https://www.whatifsports.com/hbd/Pages/Popups/ProspectProfile.aspx?pid=13631591" TargetMode="External" Id="rId138"/><Relationship Type="http://schemas.openxmlformats.org/officeDocument/2006/relationships/hyperlink" Target="https://www.whatifsports.com/hbd/Pages/Popups/ProspectProfile.aspx?pid=13631459" TargetMode="External" Id="rId139"/><Relationship Type="http://schemas.openxmlformats.org/officeDocument/2006/relationships/hyperlink" Target="https://www.whatifsports.com/hbd/Pages/Popups/ProspectProfile.aspx?pid=13631716" TargetMode="External" Id="rId140"/><Relationship Type="http://schemas.openxmlformats.org/officeDocument/2006/relationships/hyperlink" Target="https://www.whatifsports.com/hbd/Pages/Popups/ProspectProfile.aspx?pid=13631406" TargetMode="External" Id="rId141"/><Relationship Type="http://schemas.openxmlformats.org/officeDocument/2006/relationships/hyperlink" Target="https://www.whatifsports.com/hbd/Pages/Popups/ProspectProfile.aspx?pid=13631701" TargetMode="External" Id="rId142"/><Relationship Type="http://schemas.openxmlformats.org/officeDocument/2006/relationships/hyperlink" Target="https://www.whatifsports.com/hbd/Pages/Popups/ProspectProfile.aspx?pid=13631607" TargetMode="External" Id="rId143"/><Relationship Type="http://schemas.openxmlformats.org/officeDocument/2006/relationships/hyperlink" Target="https://www.whatifsports.com/hbd/Pages/Popups/ProspectProfile.aspx?pid=13631583" TargetMode="External" Id="rId144"/><Relationship Type="http://schemas.openxmlformats.org/officeDocument/2006/relationships/hyperlink" Target="https://www.whatifsports.com/hbd/Pages/Popups/ProspectProfile.aspx?pid=13631838" TargetMode="External" Id="rId145"/><Relationship Type="http://schemas.openxmlformats.org/officeDocument/2006/relationships/hyperlink" Target="https://www.whatifsports.com/hbd/Pages/Popups/ProspectProfile.aspx?pid=13631835" TargetMode="External" Id="rId146"/><Relationship Type="http://schemas.openxmlformats.org/officeDocument/2006/relationships/hyperlink" Target="https://www.whatifsports.com/hbd/Pages/Popups/ProspectProfile.aspx?pid=13631601" TargetMode="External" Id="rId147"/><Relationship Type="http://schemas.openxmlformats.org/officeDocument/2006/relationships/hyperlink" Target="https://www.whatifsports.com/hbd/Pages/Popups/ProspectProfile.aspx?pid=13631617" TargetMode="External" Id="rId148"/><Relationship Type="http://schemas.openxmlformats.org/officeDocument/2006/relationships/hyperlink" Target="https://www.whatifsports.com/hbd/Pages/Popups/ProspectProfile.aspx?pid=13631833" TargetMode="External" Id="rId149"/><Relationship Type="http://schemas.openxmlformats.org/officeDocument/2006/relationships/hyperlink" Target="https://www.whatifsports.com/hbd/Pages/Popups/ProspectProfile.aspx?pid=13631792" TargetMode="External" Id="rId150"/><Relationship Type="http://schemas.openxmlformats.org/officeDocument/2006/relationships/hyperlink" Target="https://www.whatifsports.com/hbd/Pages/Popups/ProspectProfile.aspx?pid=13631507" TargetMode="External" Id="rId151"/><Relationship Type="http://schemas.openxmlformats.org/officeDocument/2006/relationships/hyperlink" Target="https://www.whatifsports.com/hbd/Pages/Popups/ProspectProfile.aspx?pid=13631454" TargetMode="External" Id="rId152"/><Relationship Type="http://schemas.openxmlformats.org/officeDocument/2006/relationships/hyperlink" Target="https://www.whatifsports.com/hbd/Pages/Popups/ProspectProfile.aspx?pid=13631730" TargetMode="External" Id="rId153"/><Relationship Type="http://schemas.openxmlformats.org/officeDocument/2006/relationships/hyperlink" Target="https://www.whatifsports.com/hbd/Pages/Popups/ProspectProfile.aspx?pid=13631605" TargetMode="External" Id="rId154"/><Relationship Type="http://schemas.openxmlformats.org/officeDocument/2006/relationships/hyperlink" Target="https://www.whatifsports.com/hbd/Pages/Popups/ProspectProfile.aspx?pid=13631642" TargetMode="External" Id="rId155"/><Relationship Type="http://schemas.openxmlformats.org/officeDocument/2006/relationships/hyperlink" Target="https://www.whatifsports.com/hbd/Pages/Popups/ProspectProfile.aspx?pid=13631699" TargetMode="External" Id="rId156"/><Relationship Type="http://schemas.openxmlformats.org/officeDocument/2006/relationships/hyperlink" Target="https://www.whatifsports.com/hbd/Pages/Popups/ProspectProfile.aspx?pid=13631518" TargetMode="External" Id="rId157"/><Relationship Type="http://schemas.openxmlformats.org/officeDocument/2006/relationships/hyperlink" Target="https://www.whatifsports.com/hbd/Pages/Popups/ProspectProfile.aspx?pid=13631752" TargetMode="External" Id="rId158"/><Relationship Type="http://schemas.openxmlformats.org/officeDocument/2006/relationships/hyperlink" Target="https://www.whatifsports.com/hbd/Pages/Popups/ProspectProfile.aspx?pid=13631818" TargetMode="External" Id="rId159"/><Relationship Type="http://schemas.openxmlformats.org/officeDocument/2006/relationships/hyperlink" Target="https://www.whatifsports.com/hbd/Pages/Popups/ProspectProfile.aspx?pid=13631767" TargetMode="External" Id="rId160"/><Relationship Type="http://schemas.openxmlformats.org/officeDocument/2006/relationships/hyperlink" Target="https://www.whatifsports.com/hbd/Pages/Popups/ProspectProfile.aspx?pid=13631630" TargetMode="External" Id="rId161"/><Relationship Type="http://schemas.openxmlformats.org/officeDocument/2006/relationships/hyperlink" Target="https://www.whatifsports.com/hbd/Pages/Popups/ProspectProfile.aspx?pid=13631836" TargetMode="External" Id="rId162"/><Relationship Type="http://schemas.openxmlformats.org/officeDocument/2006/relationships/hyperlink" Target="https://www.whatifsports.com/hbd/Pages/Popups/ProspectProfile.aspx?pid=13631429" TargetMode="External" Id="rId163"/><Relationship Type="http://schemas.openxmlformats.org/officeDocument/2006/relationships/hyperlink" Target="https://www.whatifsports.com/hbd/Pages/Popups/ProspectProfile.aspx?pid=13631680" TargetMode="External" Id="rId164"/><Relationship Type="http://schemas.openxmlformats.org/officeDocument/2006/relationships/hyperlink" Target="https://www.whatifsports.com/hbd/Pages/Popups/ProspectProfile.aspx?pid=13631532" TargetMode="External" Id="rId165"/><Relationship Type="http://schemas.openxmlformats.org/officeDocument/2006/relationships/hyperlink" Target="https://www.whatifsports.com/hbd/Pages/Popups/ProspectProfile.aspx?pid=13631768" TargetMode="External" Id="rId166"/><Relationship Type="http://schemas.openxmlformats.org/officeDocument/2006/relationships/hyperlink" Target="https://www.whatifsports.com/hbd/Pages/Popups/ProspectProfile.aspx?pid=13631802" TargetMode="External" Id="rId167"/><Relationship Type="http://schemas.openxmlformats.org/officeDocument/2006/relationships/hyperlink" Target="https://www.whatifsports.com/hbd/Pages/Popups/ProspectProfile.aspx?pid=13631389" TargetMode="External" Id="rId168"/><Relationship Type="http://schemas.openxmlformats.org/officeDocument/2006/relationships/hyperlink" Target="https://www.whatifsports.com/hbd/Pages/Popups/ProspectProfile.aspx?pid=13631667" TargetMode="External" Id="rId169"/><Relationship Type="http://schemas.openxmlformats.org/officeDocument/2006/relationships/hyperlink" Target="https://www.whatifsports.com/hbd/Pages/Popups/ProspectProfile.aspx?pid=13631560" TargetMode="External" Id="rId170"/><Relationship Type="http://schemas.openxmlformats.org/officeDocument/2006/relationships/hyperlink" Target="https://www.whatifsports.com/hbd/Pages/Popups/ProspectProfile.aspx?pid=13631763" TargetMode="External" Id="rId171"/><Relationship Type="http://schemas.openxmlformats.org/officeDocument/2006/relationships/hyperlink" Target="https://www.whatifsports.com/hbd/Pages/Popups/ProspectProfile.aspx?pid=13631780" TargetMode="External" Id="rId172"/><Relationship Type="http://schemas.openxmlformats.org/officeDocument/2006/relationships/hyperlink" Target="https://www.whatifsports.com/hbd/Pages/Popups/ProspectProfile.aspx?pid=13631471" TargetMode="External" Id="rId173"/><Relationship Type="http://schemas.openxmlformats.org/officeDocument/2006/relationships/hyperlink" Target="https://www.whatifsports.com/hbd/Pages/Popups/ProspectProfile.aspx?pid=13631497" TargetMode="External" Id="rId174"/><Relationship Type="http://schemas.openxmlformats.org/officeDocument/2006/relationships/hyperlink" Target="https://www.whatifsports.com/hbd/Pages/Popups/ProspectProfile.aspx?pid=13631414" TargetMode="External" Id="rId175"/><Relationship Type="http://schemas.openxmlformats.org/officeDocument/2006/relationships/hyperlink" Target="https://www.whatifsports.com/hbd/Pages/Popups/ProspectProfile.aspx?pid=13631442" TargetMode="External" Id="rId176"/><Relationship Type="http://schemas.openxmlformats.org/officeDocument/2006/relationships/hyperlink" Target="https://www.whatifsports.com/hbd/Pages/Popups/ProspectProfile.aspx?pid=13631650" TargetMode="External" Id="rId177"/><Relationship Type="http://schemas.openxmlformats.org/officeDocument/2006/relationships/hyperlink" Target="https://www.whatifsports.com/hbd/Pages/Popups/ProspectProfile.aspx?pid=13631808" TargetMode="External" Id="rId178"/><Relationship Type="http://schemas.openxmlformats.org/officeDocument/2006/relationships/hyperlink" Target="https://www.whatifsports.com/hbd/Pages/Popups/ProspectProfile.aspx?pid=13631762" TargetMode="External" Id="rId179"/><Relationship Type="http://schemas.openxmlformats.org/officeDocument/2006/relationships/hyperlink" Target="https://www.whatifsports.com/hbd/Pages/Popups/ProspectProfile.aspx?pid=13631648" TargetMode="External" Id="rId180"/><Relationship Type="http://schemas.openxmlformats.org/officeDocument/2006/relationships/hyperlink" Target="https://www.whatifsports.com/hbd/Pages/Popups/ProspectProfile.aspx?pid=13631796" TargetMode="External" Id="rId181"/><Relationship Type="http://schemas.openxmlformats.org/officeDocument/2006/relationships/hyperlink" Target="https://www.whatifsports.com/hbd/Pages/Popups/ProspectProfile.aspx?pid=13631468" TargetMode="External" Id="rId182"/><Relationship Type="http://schemas.openxmlformats.org/officeDocument/2006/relationships/hyperlink" Target="https://www.whatifsports.com/hbd/Pages/Popups/ProspectProfile.aspx?pid=13631718" TargetMode="External" Id="rId183"/><Relationship Type="http://schemas.openxmlformats.org/officeDocument/2006/relationships/hyperlink" Target="https://www.whatifsports.com/hbd/Pages/Popups/ProspectProfile.aspx?pid=13631673" TargetMode="External" Id="rId184"/><Relationship Type="http://schemas.openxmlformats.org/officeDocument/2006/relationships/hyperlink" Target="https://www.whatifsports.com/hbd/Pages/Popups/ProspectProfile.aspx?pid=13631610" TargetMode="External" Id="rId185"/><Relationship Type="http://schemas.openxmlformats.org/officeDocument/2006/relationships/hyperlink" Target="https://www.whatifsports.com/hbd/Pages/Popups/ProspectProfile.aspx?pid=13631837" TargetMode="External" Id="rId186"/><Relationship Type="http://schemas.openxmlformats.org/officeDocument/2006/relationships/hyperlink" Target="https://www.whatifsports.com/hbd/Pages/Popups/ProspectProfile.aspx?pid=13631725" TargetMode="External" Id="rId187"/><Relationship Type="http://schemas.openxmlformats.org/officeDocument/2006/relationships/hyperlink" Target="https://www.whatifsports.com/hbd/Pages/Popups/ProspectProfile.aspx?pid=13631457" TargetMode="External" Id="rId188"/><Relationship Type="http://schemas.openxmlformats.org/officeDocument/2006/relationships/hyperlink" Target="https://www.whatifsports.com/hbd/Pages/Popups/ProspectProfile.aspx?pid=13631775" TargetMode="External" Id="rId189"/><Relationship Type="http://schemas.openxmlformats.org/officeDocument/2006/relationships/hyperlink" Target="https://www.whatifsports.com/hbd/Pages/Popups/ProspectProfile.aspx?pid=13631551" TargetMode="External" Id="rId190"/><Relationship Type="http://schemas.openxmlformats.org/officeDocument/2006/relationships/hyperlink" Target="https://www.whatifsports.com/hbd/Pages/Popups/ProspectProfile.aspx?pid=13631453" TargetMode="External" Id="rId191"/><Relationship Type="http://schemas.openxmlformats.org/officeDocument/2006/relationships/hyperlink" Target="https://www.whatifsports.com/hbd/Pages/Popups/ProspectProfile.aspx?pid=13631482" TargetMode="External" Id="rId192"/><Relationship Type="http://schemas.openxmlformats.org/officeDocument/2006/relationships/hyperlink" Target="https://www.whatifsports.com/hbd/Pages/Popups/ProspectProfile.aspx?pid=13631516" TargetMode="External" Id="rId193"/><Relationship Type="http://schemas.openxmlformats.org/officeDocument/2006/relationships/hyperlink" Target="https://www.whatifsports.com/hbd/Pages/Popups/ProspectProfile.aspx?pid=13631703" TargetMode="External" Id="rId194"/><Relationship Type="http://schemas.openxmlformats.org/officeDocument/2006/relationships/hyperlink" Target="https://www.whatifsports.com/hbd/Pages/Popups/ProspectProfile.aspx?pid=13631478" TargetMode="External" Id="rId195"/><Relationship Type="http://schemas.openxmlformats.org/officeDocument/2006/relationships/hyperlink" Target="https://www.whatifsports.com/hbd/Pages/Popups/ProspectProfile.aspx?pid=13631731" TargetMode="External" Id="rId196"/><Relationship Type="http://schemas.openxmlformats.org/officeDocument/2006/relationships/hyperlink" Target="https://www.whatifsports.com/hbd/Pages/Popups/ProspectProfile.aspx?pid=13631713" TargetMode="External" Id="rId197"/><Relationship Type="http://schemas.openxmlformats.org/officeDocument/2006/relationships/hyperlink" Target="https://www.whatifsports.com/hbd/Pages/Popups/ProspectProfile.aspx?pid=13631541" TargetMode="External" Id="rId198"/><Relationship Type="http://schemas.openxmlformats.org/officeDocument/2006/relationships/hyperlink" Target="https://www.whatifsports.com/hbd/Pages/Popups/ProspectProfile.aspx?pid=13631803" TargetMode="External" Id="rId199"/><Relationship Type="http://schemas.openxmlformats.org/officeDocument/2006/relationships/hyperlink" Target="https://www.whatifsports.com/hbd/Pages/Popups/ProspectProfile.aspx?pid=13631484" TargetMode="External" Id="rId200"/><Relationship Type="http://schemas.openxmlformats.org/officeDocument/2006/relationships/hyperlink" Target="https://www.whatifsports.com/hbd/Pages/Popups/ProspectProfile.aspx?pid=13631823" TargetMode="External" Id="rId201"/><Relationship Type="http://schemas.openxmlformats.org/officeDocument/2006/relationships/hyperlink" Target="https://www.whatifsports.com/hbd/Pages/Popups/ProspectProfile.aspx?pid=13631772" TargetMode="External" Id="rId202"/><Relationship Type="http://schemas.openxmlformats.org/officeDocument/2006/relationships/hyperlink" Target="https://www.whatifsports.com/hbd/Pages/Popups/ProspectProfile.aspx?pid=13631437" TargetMode="External" Id="rId203"/><Relationship Type="http://schemas.openxmlformats.org/officeDocument/2006/relationships/hyperlink" Target="https://www.whatifsports.com/hbd/Pages/Popups/ProspectProfile.aspx?pid=13631435" TargetMode="External" Id="rId204"/><Relationship Type="http://schemas.openxmlformats.org/officeDocument/2006/relationships/hyperlink" Target="https://www.whatifsports.com/hbd/Pages/Popups/ProspectProfile.aspx?pid=13631742" TargetMode="External" Id="rId205"/><Relationship Type="http://schemas.openxmlformats.org/officeDocument/2006/relationships/hyperlink" Target="https://www.whatifsports.com/hbd/Pages/Popups/ProspectProfile.aspx?pid=13631714" TargetMode="External" Id="rId206"/><Relationship Type="http://schemas.openxmlformats.org/officeDocument/2006/relationships/hyperlink" Target="https://www.whatifsports.com/hbd/Pages/Popups/ProspectProfile.aspx?pid=13631555" TargetMode="External" Id="rId207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6"/>
  <sheetViews>
    <sheetView workbookViewId="0">
      <pane ySplit="6" topLeftCell="A7" activePane="bottomLeft" state="frozen"/>
      <selection activeCell="N1" sqref="N1"/>
      <selection pane="bottomLeft" activeCell="AF2" sqref="AF2"/>
    </sheetView>
  </sheetViews>
  <sheetFormatPr baseColWidth="8" defaultRowHeight="14.4"/>
  <cols>
    <col width="12" bestFit="1" customWidth="1" style="27" min="1" max="1"/>
    <col width="5.33203125" bestFit="1" customWidth="1" style="27" min="2" max="2"/>
    <col width="19" bestFit="1" customWidth="1" style="27" min="3" max="3"/>
    <col width="4.109375" bestFit="1" customWidth="1" style="27" min="4" max="4"/>
    <col width="4.6640625" bestFit="1" customWidth="1" style="27" min="5" max="5"/>
    <col width="7.44140625" bestFit="1" customWidth="1" style="27" min="6" max="6"/>
    <col width="4.109375" bestFit="1" customWidth="1" style="27" min="7" max="7"/>
    <col width="4" bestFit="1" customWidth="1" style="27" min="8" max="12"/>
    <col width="9" bestFit="1" customWidth="1" style="27" min="13" max="13"/>
    <col width="4.6640625" bestFit="1" customWidth="1" style="27" min="14" max="14"/>
    <col width="7.6640625" bestFit="1" customWidth="1" style="27" min="15" max="15"/>
    <col width="5.6640625" bestFit="1" customWidth="1" style="27" min="16" max="16"/>
    <col width="3.5546875" bestFit="1" customWidth="1" style="27" min="17" max="17"/>
    <col width="21.5546875" bestFit="1" customWidth="1" style="27" min="18" max="18"/>
    <col width="3" bestFit="1" customWidth="1" style="27" min="19" max="19"/>
    <col width="2" bestFit="1" customWidth="1" style="27" min="20" max="21"/>
    <col width="2.6640625" bestFit="1" customWidth="1" style="27" min="22" max="22"/>
    <col width="4" bestFit="1" customWidth="1" style="27" min="23" max="25"/>
    <col width="4.109375" bestFit="1" customWidth="1" style="27" min="26" max="26"/>
    <col width="6.44140625" bestFit="1" customWidth="1" style="28" min="27" max="27"/>
    <col width="4" bestFit="1" customWidth="1" style="27" min="28" max="28"/>
    <col width="4.109375" bestFit="1" customWidth="1" style="27" min="29" max="29"/>
    <col width="4" bestFit="1" customWidth="1" style="27" min="30" max="30"/>
    <col width="5.109375" bestFit="1" customWidth="1" style="27" min="31" max="31"/>
    <col width="5.33203125" bestFit="1" customWidth="1" style="27" min="32" max="32"/>
    <col width="5.44140625" bestFit="1" customWidth="1" style="27" min="33" max="33"/>
    <col width="5.6640625" bestFit="1" customWidth="1" style="27" min="34" max="34"/>
    <col width="10" bestFit="1" customWidth="1" style="27" min="35" max="37"/>
    <col width="15.44140625" bestFit="1" customWidth="1" style="27" min="38" max="38"/>
    <col width="17.44140625" bestFit="1" customWidth="1" style="27" min="39" max="39"/>
  </cols>
  <sheetData>
    <row r="1" ht="15" customHeight="1" s="27" thickBot="1">
      <c r="B1" s="2" t="n"/>
      <c r="C1" s="2" t="n"/>
      <c r="D1" s="2" t="n"/>
      <c r="E1" s="2" t="n"/>
      <c r="F1" s="2" t="n"/>
      <c r="G1" s="23" t="n"/>
      <c r="H1" s="23" t="n">
        <v>1.2</v>
      </c>
      <c r="I1" s="23" t="n">
        <v>2</v>
      </c>
      <c r="J1" s="23" t="n">
        <v>1</v>
      </c>
      <c r="K1" s="23" t="n">
        <v>1.2</v>
      </c>
      <c r="L1" s="23" t="n">
        <v>1.6</v>
      </c>
      <c r="M1" s="7" t="n">
        <v>1</v>
      </c>
      <c r="N1" s="7" t="n">
        <v>0.2</v>
      </c>
      <c r="O1" s="23" t="n">
        <v>0.1</v>
      </c>
      <c r="P1" s="23" t="n"/>
      <c r="Q1" s="23" t="n"/>
      <c r="R1" s="23" t="n"/>
      <c r="S1" s="23" t="n"/>
      <c r="T1" s="23" t="n"/>
      <c r="U1" s="23" t="n"/>
      <c r="V1" s="23" t="n"/>
      <c r="W1" s="23" t="n">
        <v>1</v>
      </c>
      <c r="X1" s="23" t="n">
        <v>1</v>
      </c>
      <c r="Y1" s="23" t="n">
        <v>1</v>
      </c>
      <c r="Z1" s="23" t="n">
        <v>1</v>
      </c>
      <c r="AA1" s="23" t="n"/>
      <c r="AB1" s="23" t="n">
        <v>0.8</v>
      </c>
      <c r="AC1" s="23" t="n">
        <v>0.2</v>
      </c>
      <c r="AD1" s="23" t="n">
        <v>1</v>
      </c>
      <c r="AE1" s="23" t="n">
        <v>0.1</v>
      </c>
      <c r="AF1" s="23" t="n">
        <v>0.1</v>
      </c>
      <c r="AG1" s="23" t="n">
        <v>0.1</v>
      </c>
      <c r="AH1" s="23" t="n"/>
      <c r="AI1" s="26" t="inlineStr">
        <is>
          <t>(-2*10^-6)*A1^3+0.00032*A1^2-0.0021*A1</t>
        </is>
      </c>
    </row>
    <row r="2" ht="15" customHeight="1" s="27" thickBot="1">
      <c r="B2" s="2" t="n"/>
      <c r="C2" s="2" t="n"/>
      <c r="D2" s="2" t="n"/>
      <c r="E2" s="2" t="n"/>
      <c r="F2" s="2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>
        <v>0.2</v>
      </c>
      <c r="Y2" s="23" t="n">
        <v>0.5</v>
      </c>
      <c r="Z2" s="23" t="n">
        <v>0.3</v>
      </c>
      <c r="AA2" s="23" t="n">
        <v>1</v>
      </c>
      <c r="AB2" s="23" t="n"/>
      <c r="AC2" s="23" t="n"/>
      <c r="AD2" s="23" t="n"/>
      <c r="AE2" s="23" t="n"/>
      <c r="AF2" s="23" t="n"/>
      <c r="AG2" s="23" t="n"/>
      <c r="AH2" s="23" t="n"/>
    </row>
    <row r="3" ht="15" customHeight="1" s="27" thickBot="1">
      <c r="B3" s="2" t="n"/>
      <c r="C3" s="2" t="n"/>
      <c r="D3" s="2" t="n"/>
      <c r="E3" s="2" t="n"/>
      <c r="F3" s="2" t="n"/>
      <c r="G3" s="23" t="n"/>
      <c r="H3" s="21" t="n">
        <v>2.5</v>
      </c>
      <c r="I3" s="22" t="n"/>
      <c r="J3" s="22" t="n"/>
      <c r="K3" s="22" t="n"/>
      <c r="L3" s="22" t="n"/>
      <c r="M3" s="25" t="n">
        <v>0.6</v>
      </c>
      <c r="N3" s="22" t="n"/>
      <c r="O3" s="24" t="n"/>
      <c r="P3" s="6" t="n"/>
      <c r="Q3" s="6" t="n"/>
      <c r="R3" s="6" t="n"/>
      <c r="S3" s="6" t="n"/>
      <c r="T3" s="6" t="n"/>
      <c r="U3" s="6" t="n"/>
      <c r="V3" s="6" t="n"/>
      <c r="W3" s="23" t="n">
        <v>2</v>
      </c>
      <c r="X3" s="22" t="n"/>
      <c r="Y3" s="22" t="n"/>
      <c r="Z3" s="22" t="n"/>
      <c r="AA3" s="24" t="n"/>
      <c r="AB3" s="23" t="n">
        <v>1</v>
      </c>
      <c r="AC3" s="24" t="n"/>
      <c r="AD3" s="23" t="n">
        <v>0.6</v>
      </c>
      <c r="AE3" s="22" t="n"/>
      <c r="AF3" s="22" t="n"/>
      <c r="AG3" s="24" t="n"/>
      <c r="AH3" s="23" t="n"/>
      <c r="AI3" t="n">
        <v>2.5</v>
      </c>
      <c r="AJ3" t="n">
        <v>0.6</v>
      </c>
      <c r="AK3" t="n">
        <v>2</v>
      </c>
      <c r="AL3" t="n">
        <v>1</v>
      </c>
      <c r="AM3" t="n">
        <v>0.6</v>
      </c>
    </row>
    <row r="4" ht="15" customHeight="1" s="27" thickBot="1">
      <c r="B4" s="2" t="n"/>
      <c r="C4" s="2" t="n"/>
      <c r="D4" s="2" t="n"/>
      <c r="E4" s="2" t="n"/>
      <c r="F4" s="2" t="n"/>
      <c r="G4" s="23" t="n"/>
      <c r="H4" s="21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21" t="n"/>
      <c r="X4" s="6" t="n"/>
      <c r="Y4" s="6" t="n"/>
      <c r="Z4" s="6" t="n"/>
      <c r="AA4" s="6" t="n"/>
      <c r="AB4" s="21" t="n"/>
      <c r="AC4" s="6" t="n"/>
      <c r="AD4" s="6" t="n"/>
      <c r="AE4" s="23" t="n"/>
      <c r="AF4" s="23" t="n"/>
      <c r="AG4" s="23" t="n"/>
      <c r="AH4" s="23" t="n"/>
      <c r="AK4" s="5" t="n"/>
    </row>
    <row r="5" ht="15" customHeight="1" s="27" thickBot="1">
      <c r="A5" s="5" t="n"/>
      <c r="B5" s="2" t="n"/>
      <c r="C5" s="2" t="n"/>
      <c r="D5" s="2" t="n"/>
      <c r="E5" s="2" t="n"/>
      <c r="F5" s="2" t="n"/>
      <c r="G5" s="23" t="n"/>
      <c r="H5" s="21" t="n">
        <v>100</v>
      </c>
      <c r="I5" s="21" t="n">
        <v>100</v>
      </c>
      <c r="J5" s="21" t="n">
        <v>100</v>
      </c>
      <c r="K5" s="21" t="n">
        <v>100</v>
      </c>
      <c r="L5" s="21" t="n">
        <v>100</v>
      </c>
      <c r="M5" s="21" t="n">
        <v>100</v>
      </c>
      <c r="N5" s="21" t="n">
        <v>100</v>
      </c>
      <c r="O5" s="21" t="n">
        <v>100</v>
      </c>
      <c r="P5" s="21" t="n">
        <v>100</v>
      </c>
      <c r="Q5" s="21" t="n"/>
      <c r="R5" s="21" t="n"/>
      <c r="S5" s="21" t="n"/>
      <c r="T5" s="21" t="n"/>
      <c r="U5" s="21" t="n"/>
      <c r="V5" s="21" t="n"/>
      <c r="W5" s="21" t="n">
        <v>100</v>
      </c>
      <c r="X5" s="21" t="n">
        <v>100</v>
      </c>
      <c r="Y5" s="21" t="n">
        <v>100</v>
      </c>
      <c r="Z5" s="21" t="n">
        <v>100</v>
      </c>
      <c r="AA5" s="21" t="n">
        <v>100</v>
      </c>
      <c r="AB5" s="21" t="n">
        <v>100</v>
      </c>
      <c r="AC5" s="21" t="n">
        <v>100</v>
      </c>
      <c r="AD5" s="21" t="n">
        <v>100</v>
      </c>
      <c r="AE5" s="21" t="n">
        <v>100</v>
      </c>
      <c r="AF5" s="21" t="n">
        <v>100</v>
      </c>
      <c r="AG5" s="21" t="n">
        <v>100</v>
      </c>
      <c r="AH5" s="23" t="n"/>
      <c r="AI5" s="5">
        <f>H$1*((-0.000002)*H5^3+0.00032*H5^2+(-0.0021)*H5)+I$1*((-0.000002)*I5^3+0.00032*I5^2+(-0.0021)*I5)+J$1*((-0.000002)*J5^3+0.00032*J5^2+(-0.0021)*J5)+K$1*((-0.000002)*K5^3+0.00032*K5^2+(-0.0021)*K5)+L$1*((-0.000002)*L5^3+0.00032*L5^2+(-0.0021)*L5)</f>
        <v/>
      </c>
      <c r="AJ5" s="5">
        <f>M$1*((-0.000002)*M5^3+0.00032*M5^2+(-0.0021)*M5)+N$1*((-0.000002)*N5^3+0.00032*N5^2+(-0.0021)*N5)+O$1*((-0.000002)*O5^3+0.00032*O5^2+(-0.0021)*O5)</f>
        <v/>
      </c>
      <c r="AK5" s="5">
        <f>IF(AA5&gt;50,W$1*((-0.000002)*W5^3+0.00032*W5^2+(-0.0021)*W5)+X$1*((-0.000002)*X5^3+0.00032*X5^2+(-0.0021)*X5)+Y$1*((-0.000002)*Y5^3+0.00032*Y5^2+(-0.0021)*Y5)+Z$1*((-0.000002)*Z5^3+0.00032*Z5^2+(-0.0021)*Z5),X$2*((-0.000002)*X5^3+0.00032*X5^2+(-0.0021)*X5)+Y$2*((-0.000002)*Y5^3+0.00032*Y5^2+(-0.0021)*Y5)+Z$2*((-0.000002)*Z5^3+0.00032*Z5^2+(-0.0021)*Z5)+AA$2*((-0.000002)*AA5^3+0.00032*AA5^2+(-0.0021)*AA5))</f>
        <v/>
      </c>
      <c r="AL5" s="5">
        <f>AB$1*((-0.000002)*AB5^3+0.00032*AB5^2+(-0.0021)*AB5)+AC$1*((-0.000002)*AC5^3+0.00032*AC5^2+(-0.0021)*AC5)</f>
        <v/>
      </c>
      <c r="AM5" s="5">
        <f>AD$1*((-0.000002)*AD5^3+0.00032*AD5^2+(-0.0021)*AD5)+AE$1*((-0.000002)*AE5^3+0.00032*AE5^2+(-0.0021)*AE5)+AF$1*((-0.000002)*AF5^3+0.00032*AF5^2+(-0.0021)*AF5)+AG$1*((-0.000002)*AG5^3+0.00032*AG5^2+(-0.0021)*AG5)</f>
        <v/>
      </c>
    </row>
    <row r="6" ht="22.95" customHeight="1" s="27">
      <c r="A6" s="20" t="inlineStr">
        <is>
          <t>Overall Projection</t>
        </is>
      </c>
      <c r="B6" s="12" t="inlineStr">
        <is>
          <t>Rnk</t>
        </is>
      </c>
      <c r="C6" s="13" t="inlineStr">
        <is>
          <t>Player</t>
        </is>
      </c>
      <c r="D6" s="14" t="inlineStr">
        <is>
          <t>Pos</t>
        </is>
      </c>
      <c r="E6" s="14" t="inlineStr">
        <is>
          <t>B</t>
        </is>
      </c>
      <c r="F6" s="14" t="inlineStr">
        <is>
          <t>T</t>
        </is>
      </c>
      <c r="G6" s="14" t="inlineStr">
        <is>
          <t>Age</t>
        </is>
      </c>
      <c r="H6" s="15" t="inlineStr">
        <is>
          <t>Contact</t>
        </is>
      </c>
      <c r="I6" s="15" t="inlineStr">
        <is>
          <t>Power</t>
        </is>
      </c>
      <c r="J6" s="15" t="inlineStr">
        <is>
          <t>vs L</t>
        </is>
      </c>
      <c r="K6" s="15" t="inlineStr">
        <is>
          <t>vs R</t>
        </is>
      </c>
      <c r="L6" s="15" t="inlineStr">
        <is>
          <t>Batting Eye</t>
        </is>
      </c>
      <c r="M6" s="15" t="inlineStr">
        <is>
          <t>Baserunning</t>
        </is>
      </c>
      <c r="N6" s="15" t="inlineStr">
        <is>
          <t>Bunt</t>
        </is>
      </c>
      <c r="O6" s="15" t="inlineStr">
        <is>
          <t>Push/Pull</t>
        </is>
      </c>
      <c r="P6" s="15" t="inlineStr">
        <is>
          <t>Overall</t>
        </is>
      </c>
      <c r="Q6" s="12" t="inlineStr">
        <is>
          <t>Rank</t>
        </is>
      </c>
      <c r="R6" s="13" t="inlineStr">
        <is>
          <t>Player</t>
        </is>
      </c>
      <c r="S6" s="14" t="inlineStr">
        <is>
          <t>Pos</t>
        </is>
      </c>
      <c r="T6" s="14" t="inlineStr">
        <is>
          <t>B</t>
        </is>
      </c>
      <c r="U6" s="14" t="inlineStr">
        <is>
          <t>T</t>
        </is>
      </c>
      <c r="V6" s="14" t="inlineStr">
        <is>
          <t>Age</t>
        </is>
      </c>
      <c r="W6" s="15" t="inlineStr">
        <is>
          <t>Range</t>
        </is>
      </c>
      <c r="X6" s="15" t="inlineStr">
        <is>
          <t>Glove</t>
        </is>
      </c>
      <c r="Y6" s="15" t="inlineStr">
        <is>
          <t>Arm Strength</t>
        </is>
      </c>
      <c r="Z6" s="15" t="inlineStr">
        <is>
          <t>Arm Accuracy</t>
        </is>
      </c>
      <c r="AA6" s="15" t="inlineStr">
        <is>
          <t>Pitch Calling</t>
        </is>
      </c>
      <c r="AB6" s="15" t="inlineStr">
        <is>
          <t>Durability</t>
        </is>
      </c>
      <c r="AC6" s="15" t="inlineStr">
        <is>
          <t>Health</t>
        </is>
      </c>
      <c r="AD6" s="15" t="inlineStr">
        <is>
          <t>Speed</t>
        </is>
      </c>
      <c r="AE6" s="15" t="inlineStr">
        <is>
          <t>Patience</t>
        </is>
      </c>
      <c r="AF6" s="15" t="inlineStr">
        <is>
          <t>Temper</t>
        </is>
      </c>
      <c r="AG6" s="15" t="inlineStr">
        <is>
          <t>Makeup</t>
        </is>
      </c>
      <c r="AH6" s="15" t="inlineStr">
        <is>
          <t>Overall</t>
        </is>
      </c>
      <c r="AI6" s="5" t="inlineStr">
        <is>
          <t>hitting</t>
        </is>
      </c>
      <c r="AJ6" s="8" t="inlineStr">
        <is>
          <t>baserunning</t>
        </is>
      </c>
      <c r="AK6" s="5" t="inlineStr">
        <is>
          <t>fielding</t>
        </is>
      </c>
      <c r="AL6" s="5" t="inlineStr">
        <is>
          <t>durability</t>
        </is>
      </c>
      <c r="AM6" s="5" t="inlineStr">
        <is>
          <t>intangibles</t>
        </is>
      </c>
    </row>
    <row r="7" ht="15" customHeight="1" s="27" thickBot="1">
      <c r="A7" s="5">
        <f>(AI7*AI$3+AJ7*AJ$3+AK7*AK$3+AL7*AL$3+AM7*AM$3)*100/(AI$5*AI$3+AJ$5*AJ$3+AK$5*AK$3+AL$5*AL$3+AM$5*AM$3)</f>
        <v/>
      </c>
      <c r="B7" s="16" t="n">
        <v>1</v>
      </c>
      <c r="C7" s="10" t="inlineStr">
        <is>
          <t>Knotts, Kennie</t>
        </is>
      </c>
      <c r="D7" s="17" t="inlineStr">
        <is>
          <t>RF</t>
        </is>
      </c>
      <c r="E7" s="17" t="inlineStr">
        <is>
          <t>S</t>
        </is>
      </c>
      <c r="F7" s="17" t="inlineStr">
        <is>
          <t>R</t>
        </is>
      </c>
      <c r="G7" s="17" t="n">
        <v>18</v>
      </c>
      <c r="H7" s="17" t="n">
        <v>81</v>
      </c>
      <c r="I7" s="17" t="n">
        <v>91</v>
      </c>
      <c r="J7" s="17" t="n">
        <v>95</v>
      </c>
      <c r="K7" s="17" t="n">
        <v>87</v>
      </c>
      <c r="L7" s="17" t="n">
        <v>60</v>
      </c>
      <c r="M7" s="17" t="n">
        <v>71</v>
      </c>
      <c r="N7" s="17" t="n">
        <v>36</v>
      </c>
      <c r="O7" s="17" t="n">
        <v>45</v>
      </c>
      <c r="P7" s="17" t="n">
        <v>88</v>
      </c>
      <c r="Q7" s="16" t="n">
        <v>1</v>
      </c>
      <c r="R7" s="10" t="inlineStr">
        <is>
          <t>Knotts, Kennie</t>
        </is>
      </c>
      <c r="S7" s="17" t="inlineStr">
        <is>
          <t>RF</t>
        </is>
      </c>
      <c r="T7" s="17" t="inlineStr">
        <is>
          <t>S</t>
        </is>
      </c>
      <c r="U7" s="17" t="inlineStr">
        <is>
          <t>R</t>
        </is>
      </c>
      <c r="V7" s="17" t="n">
        <v>18</v>
      </c>
      <c r="W7" s="17" t="n">
        <v>62</v>
      </c>
      <c r="X7" s="17" t="n">
        <v>51</v>
      </c>
      <c r="Y7" s="17" t="n">
        <v>73</v>
      </c>
      <c r="Z7" s="17" t="n">
        <v>70</v>
      </c>
      <c r="AA7" s="17" t="n">
        <v>4</v>
      </c>
      <c r="AB7" s="17" t="n">
        <v>90</v>
      </c>
      <c r="AC7" s="17" t="n">
        <v>59</v>
      </c>
      <c r="AD7" s="17" t="n">
        <v>78</v>
      </c>
      <c r="AE7" s="17" t="n">
        <v>91</v>
      </c>
      <c r="AF7" s="17" t="n">
        <v>29</v>
      </c>
      <c r="AG7" s="17" t="n">
        <v>64</v>
      </c>
      <c r="AH7" s="17" t="n">
        <v>88</v>
      </c>
      <c r="AI7" s="5">
        <f>H$1*((-0.000002)*H7^3+0.00032*H7^2+(-0.0021)*H7)+I$1*((-0.000002)*I7^3+0.00032*I7^2+(-0.0021)*I7)+J$1*((-0.000002)*J7^3+0.00032*J7^2+(-0.0021)*J7)+K$1*((-0.000002)*K7^3+0.00032*K7^2+(-0.0021)*K7)+L$1*((-0.000002)*L7^3+0.00032*L7^2+(-0.0021)*L7)</f>
        <v/>
      </c>
      <c r="AJ7" s="5">
        <f>M$1*((-0.000002)*M7^3+0.00032*M7^2+(-0.0021)*M7)+N$1*((-0.000002)*N7^3+0.00032*N7^2+(-0.0021)*N7)+O$1*((-0.000002)*O7^3+0.00032*O7^2+(-0.0021)*O7)</f>
        <v/>
      </c>
      <c r="AK7" s="5">
        <f>IF(AA7&lt;50,W$1*((-0.000002)*W7^3+0.00032*W7^2+(-0.0021)*W7)+X$1*((-0.000002)*X7^3+0.00032*X7^2+(-0.0021)*X7)+Y$1*((-0.000002)*Y7^3+0.00032*Y7^2+(-0.0021)*Y7)+Z$1*((-0.000002)*Z7^3+0.00032*Z7^2+(-0.0021)*Z7),X$2*((-0.000002)*X7^3+0.00032*X7^2+(-0.0021)*X7)+Y$2*((-0.000002)*Y7^3+0.00032*Y7^2+(-0.0021)*Y7)+Z$2*((-0.000002)*Z7^3+0.00032*Z7^2+(-0.0021)*Z7)+AA$2*((-0.000002)*AA7^3+0.00032*AA7^2+(-0.0021)*AA7))</f>
        <v/>
      </c>
      <c r="AL7" s="5">
        <f>AB$1*((-0.000002)*AB7^3+0.00032*AB7^2+(-0.0021)*AB7)+AC$1*((-0.000002)*AC7^3+0.00032*AC7^2+(-0.0021)*AC7)</f>
        <v/>
      </c>
      <c r="AM7" s="5">
        <f>AD$1*((-0.000002)*AD7^3+0.00032*AD7^2+(-0.0021)*AD7)+AE$1*((-0.000002)*AE7^3+0.00032*AE7^2+(-0.0021)*AE7)+AF$1*((-0.000002)*AF7^3+0.00032*AF7^2+(-0.0021)*AF7)+AG$1*((-0.000002)*AG7^3+0.00032*AG7^2+(-0.0021)*AG7)</f>
        <v/>
      </c>
    </row>
    <row r="8" ht="15" customHeight="1" s="27" thickBot="1">
      <c r="A8" s="5">
        <f>(AI8*AI$3+AJ8*AJ$3+AK8*AK$3+AL8*AL$3+AM8*AM$3)*100/(AI$5*AI$3+AJ$5*AJ$3+AK$5*AK$3+AL$5*AL$3+AM$5*AM$3)</f>
        <v/>
      </c>
      <c r="B8" s="18" t="n">
        <v>10</v>
      </c>
      <c r="C8" s="11" t="inlineStr">
        <is>
          <t>Henley, Chris</t>
        </is>
      </c>
      <c r="D8" s="19" t="inlineStr">
        <is>
          <t>RF</t>
        </is>
      </c>
      <c r="E8" s="19" t="inlineStr">
        <is>
          <t>S</t>
        </is>
      </c>
      <c r="F8" s="19" t="inlineStr">
        <is>
          <t>L</t>
        </is>
      </c>
      <c r="G8" s="19" t="n">
        <v>18</v>
      </c>
      <c r="H8" s="19" t="n">
        <v>62</v>
      </c>
      <c r="I8" s="19" t="n">
        <v>75</v>
      </c>
      <c r="J8" s="19" t="n">
        <v>68</v>
      </c>
      <c r="K8" s="19" t="n">
        <v>94</v>
      </c>
      <c r="L8" s="19" t="n">
        <v>72</v>
      </c>
      <c r="M8" s="19" t="n">
        <v>81</v>
      </c>
      <c r="N8" s="19" t="n">
        <v>0</v>
      </c>
      <c r="O8" s="19" t="n">
        <v>56</v>
      </c>
      <c r="P8" s="19" t="n">
        <v>77</v>
      </c>
      <c r="Q8" s="18" t="n">
        <v>10</v>
      </c>
      <c r="R8" s="11" t="inlineStr">
        <is>
          <t>Henley, Chris</t>
        </is>
      </c>
      <c r="S8" s="19" t="inlineStr">
        <is>
          <t>RF</t>
        </is>
      </c>
      <c r="T8" s="19" t="inlineStr">
        <is>
          <t>S</t>
        </is>
      </c>
      <c r="U8" s="19" t="inlineStr">
        <is>
          <t>L</t>
        </is>
      </c>
      <c r="V8" s="19" t="n">
        <v>18</v>
      </c>
      <c r="W8" s="19" t="n">
        <v>64</v>
      </c>
      <c r="X8" s="19" t="n">
        <v>46</v>
      </c>
      <c r="Y8" s="19" t="n">
        <v>63</v>
      </c>
      <c r="Z8" s="19" t="n">
        <v>73</v>
      </c>
      <c r="AA8" s="19" t="n">
        <v>19</v>
      </c>
      <c r="AB8" s="19" t="n">
        <v>81</v>
      </c>
      <c r="AC8" s="19" t="n">
        <v>54</v>
      </c>
      <c r="AD8" s="19" t="n">
        <v>57</v>
      </c>
      <c r="AE8" s="19" t="n">
        <v>31</v>
      </c>
      <c r="AF8" s="19" t="n">
        <v>23</v>
      </c>
      <c r="AG8" s="19" t="n">
        <v>72</v>
      </c>
      <c r="AH8" s="19" t="n">
        <v>77</v>
      </c>
      <c r="AI8" s="5">
        <f>H$1*((-0.000002)*H8^3+0.00032*H8^2+(-0.0021)*H8)+I$1*((-0.000002)*I8^3+0.00032*I8^2+(-0.0021)*I8)+J$1*((-0.000002)*J8^3+0.00032*J8^2+(-0.0021)*J8)+K$1*((-0.000002)*K8^3+0.00032*K8^2+(-0.0021)*K8)+L$1*((-0.000002)*L8^3+0.00032*L8^2+(-0.0021)*L8)</f>
        <v/>
      </c>
      <c r="AJ8" s="5">
        <f>M$1*((-0.000002)*M8^3+0.00032*M8^2+(-0.0021)*M8)+N$1*((-0.000002)*N8^3+0.00032*N8^2+(-0.0021)*N8)+O$1*((-0.000002)*O8^3+0.00032*O8^2+(-0.0021)*O8)</f>
        <v/>
      </c>
      <c r="AK8" s="5">
        <f>IF(AA8&lt;50,W$1*((-0.000002)*W8^3+0.00032*W8^2+(-0.0021)*W8)+X$1*((-0.000002)*X8^3+0.00032*X8^2+(-0.0021)*X8)+Y$1*((-0.000002)*Y8^3+0.00032*Y8^2+(-0.0021)*Y8)+Z$1*((-0.000002)*Z8^3+0.00032*Z8^2+(-0.0021)*Z8),X$2*((-0.000002)*X8^3+0.00032*X8^2+(-0.0021)*X8)+Y$2*((-0.000002)*Y8^3+0.00032*Y8^2+(-0.0021)*Y8)+Z$2*((-0.000002)*Z8^3+0.00032*Z8^2+(-0.0021)*Z8)+AA$2*((-0.000002)*AA8^3+0.00032*AA8^2+(-0.0021)*AA8))</f>
        <v/>
      </c>
      <c r="AL8" s="5">
        <f>AB$1*((-0.000002)*AB8^3+0.00032*AB8^2+(-0.0021)*AB8)+AC$1*((-0.000002)*AC8^3+0.00032*AC8^2+(-0.0021)*AC8)</f>
        <v/>
      </c>
      <c r="AM8" s="5">
        <f>AD$1*((-0.000002)*AD8^3+0.00032*AD8^2+(-0.0021)*AD8)+AE$1*((-0.000002)*AE8^3+0.00032*AE8^2+(-0.0021)*AE8)+AF$1*((-0.000002)*AF8^3+0.00032*AF8^2+(-0.0021)*AF8)+AG$1*((-0.000002)*AG8^3+0.00032*AG8^2+(-0.0021)*AG8)</f>
        <v/>
      </c>
    </row>
    <row r="9" ht="15" customHeight="1" s="27" thickBot="1">
      <c r="A9" s="5">
        <f>(AI9*AI$3+AJ9*AJ$3+AK9*AK$3+AL9*AL$3+AM9*AM$3)*100/(AI$5*AI$3+AJ$5*AJ$3+AK$5*AK$3+AL$5*AL$3+AM$5*AM$3)</f>
        <v/>
      </c>
      <c r="B9" s="18" t="n">
        <v>48</v>
      </c>
      <c r="C9" s="11" t="inlineStr">
        <is>
          <t>Wall, Stew</t>
        </is>
      </c>
      <c r="D9" s="19" t="inlineStr">
        <is>
          <t>3B</t>
        </is>
      </c>
      <c r="E9" s="19" t="inlineStr">
        <is>
          <t>R</t>
        </is>
      </c>
      <c r="F9" s="19" t="inlineStr">
        <is>
          <t>R</t>
        </is>
      </c>
      <c r="G9" s="19" t="n">
        <v>21</v>
      </c>
      <c r="H9" s="19" t="n">
        <v>84</v>
      </c>
      <c r="I9" s="19" t="n">
        <v>78</v>
      </c>
      <c r="J9" s="19" t="n">
        <v>63</v>
      </c>
      <c r="K9" s="19" t="n">
        <v>56</v>
      </c>
      <c r="L9" s="19" t="n">
        <v>53</v>
      </c>
      <c r="M9" s="19" t="n">
        <v>16</v>
      </c>
      <c r="N9" s="19" t="n">
        <v>42</v>
      </c>
      <c r="O9" s="19" t="n">
        <v>62</v>
      </c>
      <c r="P9" s="19" t="n">
        <v>83</v>
      </c>
      <c r="Q9" s="18" t="n">
        <v>48</v>
      </c>
      <c r="R9" s="11" t="inlineStr">
        <is>
          <t>Wall, Stew</t>
        </is>
      </c>
      <c r="S9" s="19" t="inlineStr">
        <is>
          <t>3B</t>
        </is>
      </c>
      <c r="T9" s="19" t="inlineStr">
        <is>
          <t>R</t>
        </is>
      </c>
      <c r="U9" s="19" t="inlineStr">
        <is>
          <t>R</t>
        </is>
      </c>
      <c r="V9" s="19" t="n">
        <v>21</v>
      </c>
      <c r="W9" s="19" t="n">
        <v>100</v>
      </c>
      <c r="X9" s="19" t="n">
        <v>58</v>
      </c>
      <c r="Y9" s="19" t="n">
        <v>64</v>
      </c>
      <c r="Z9" s="19" t="n">
        <v>79</v>
      </c>
      <c r="AA9" s="19" t="n">
        <v>1</v>
      </c>
      <c r="AB9" s="19" t="n">
        <v>100</v>
      </c>
      <c r="AC9" s="19" t="n">
        <v>75</v>
      </c>
      <c r="AD9" s="19" t="n">
        <v>82</v>
      </c>
      <c r="AE9" s="19" t="n">
        <v>41</v>
      </c>
      <c r="AF9" s="19" t="n">
        <v>40</v>
      </c>
      <c r="AG9" s="19" t="n">
        <v>100</v>
      </c>
      <c r="AH9" s="19" t="n">
        <v>83</v>
      </c>
      <c r="AI9" s="5">
        <f>H$1*((-0.000002)*H9^3+0.00032*H9^2+(-0.0021)*H9)+I$1*((-0.000002)*I9^3+0.00032*I9^2+(-0.0021)*I9)+J$1*((-0.000002)*J9^3+0.00032*J9^2+(-0.0021)*J9)+K$1*((-0.000002)*K9^3+0.00032*K9^2+(-0.0021)*K9)+L$1*((-0.000002)*L9^3+0.00032*L9^2+(-0.0021)*L9)</f>
        <v/>
      </c>
      <c r="AJ9" s="5">
        <f>M$1*((-0.000002)*M9^3+0.00032*M9^2+(-0.0021)*M9)+N$1*((-0.000002)*N9^3+0.00032*N9^2+(-0.0021)*N9)+O$1*((-0.000002)*O9^3+0.00032*O9^2+(-0.0021)*O9)</f>
        <v/>
      </c>
      <c r="AK9" s="5">
        <f>IF(AA9&lt;50,W$1*((-0.000002)*W9^3+0.00032*W9^2+(-0.0021)*W9)+X$1*((-0.000002)*X9^3+0.00032*X9^2+(-0.0021)*X9)+Y$1*((-0.000002)*Y9^3+0.00032*Y9^2+(-0.0021)*Y9)+Z$1*((-0.000002)*Z9^3+0.00032*Z9^2+(-0.0021)*Z9),X$2*((-0.000002)*X9^3+0.00032*X9^2+(-0.0021)*X9)+Y$2*((-0.000002)*Y9^3+0.00032*Y9^2+(-0.0021)*Y9)+Z$2*((-0.000002)*Z9^3+0.00032*Z9^2+(-0.0021)*Z9)+AA$2*((-0.000002)*AA9^3+0.00032*AA9^2+(-0.0021)*AA9))</f>
        <v/>
      </c>
      <c r="AL9" s="5">
        <f>AB$1*((-0.000002)*AB9^3+0.00032*AB9^2+(-0.0021)*AB9)+AC$1*((-0.000002)*AC9^3+0.00032*AC9^2+(-0.0021)*AC9)</f>
        <v/>
      </c>
      <c r="AM9" s="5">
        <f>AD$1*((-0.000002)*AD9^3+0.00032*AD9^2+(-0.0021)*AD9)+AE$1*((-0.000002)*AE9^3+0.00032*AE9^2+(-0.0021)*AE9)+AF$1*((-0.000002)*AF9^3+0.00032*AF9^2+(-0.0021)*AF9)+AG$1*((-0.000002)*AG9^3+0.00032*AG9^2+(-0.0021)*AG9)</f>
        <v/>
      </c>
    </row>
    <row r="10" ht="15" customHeight="1" s="27" thickBot="1">
      <c r="A10" s="5">
        <f>(AI10*AI$3+AJ10*AJ$3+AK10*AK$3+AL10*AL$3+AM10*AM$3)*100/(AI$5*AI$3+AJ$5*AJ$3+AK$5*AK$3+AL$5*AL$3+AM$5*AM$3)</f>
        <v/>
      </c>
      <c r="B10" s="18" t="n">
        <v>4</v>
      </c>
      <c r="C10" s="11" t="inlineStr">
        <is>
          <t>Workman, Hub</t>
        </is>
      </c>
      <c r="D10" s="19" t="inlineStr">
        <is>
          <t>2B</t>
        </is>
      </c>
      <c r="E10" s="19" t="inlineStr">
        <is>
          <t>R</t>
        </is>
      </c>
      <c r="F10" s="19" t="inlineStr">
        <is>
          <t>R</t>
        </is>
      </c>
      <c r="G10" s="19" t="n">
        <v>18</v>
      </c>
      <c r="H10" s="19" t="n">
        <v>79</v>
      </c>
      <c r="I10" s="19" t="n">
        <v>68</v>
      </c>
      <c r="J10" s="19" t="n">
        <v>42</v>
      </c>
      <c r="K10" s="19" t="n">
        <v>53</v>
      </c>
      <c r="L10" s="19" t="n">
        <v>62</v>
      </c>
      <c r="M10" s="19" t="n">
        <v>74</v>
      </c>
      <c r="N10" s="19" t="n">
        <v>100</v>
      </c>
      <c r="O10" s="19" t="n">
        <v>38</v>
      </c>
      <c r="P10" s="19" t="n">
        <v>83</v>
      </c>
      <c r="Q10" s="18" t="n">
        <v>4</v>
      </c>
      <c r="R10" s="11" t="inlineStr">
        <is>
          <t>Workman, Hub</t>
        </is>
      </c>
      <c r="S10" s="19" t="inlineStr">
        <is>
          <t>2B</t>
        </is>
      </c>
      <c r="T10" s="19" t="inlineStr">
        <is>
          <t>R</t>
        </is>
      </c>
      <c r="U10" s="19" t="inlineStr">
        <is>
          <t>R</t>
        </is>
      </c>
      <c r="V10" s="19" t="n">
        <v>18</v>
      </c>
      <c r="W10" s="19" t="n">
        <v>96</v>
      </c>
      <c r="X10" s="19" t="n">
        <v>73</v>
      </c>
      <c r="Y10" s="19" t="n">
        <v>54</v>
      </c>
      <c r="Z10" s="19" t="n">
        <v>67</v>
      </c>
      <c r="AA10" s="19" t="n">
        <v>24</v>
      </c>
      <c r="AB10" s="19" t="n">
        <v>90</v>
      </c>
      <c r="AC10" s="19" t="n">
        <v>61</v>
      </c>
      <c r="AD10" s="19" t="n">
        <v>91</v>
      </c>
      <c r="AE10" s="19" t="n">
        <v>76</v>
      </c>
      <c r="AF10" s="19" t="n">
        <v>35</v>
      </c>
      <c r="AG10" s="19" t="n">
        <v>100</v>
      </c>
      <c r="AH10" s="19" t="n">
        <v>83</v>
      </c>
      <c r="AI10" s="5">
        <f>H$1*((-0.000002)*H10^3+0.00032*H10^2+(-0.0021)*H10)+I$1*((-0.000002)*I10^3+0.00032*I10^2+(-0.0021)*I10)+J$1*((-0.000002)*J10^3+0.00032*J10^2+(-0.0021)*J10)+K$1*((-0.000002)*K10^3+0.00032*K10^2+(-0.0021)*K10)+L$1*((-0.000002)*L10^3+0.00032*L10^2+(-0.0021)*L10)</f>
        <v/>
      </c>
      <c r="AJ10" s="5">
        <f>M$1*((-0.000002)*M10^3+0.00032*M10^2+(-0.0021)*M10)+N$1*((-0.000002)*N10^3+0.00032*N10^2+(-0.0021)*N10)+O$1*((-0.000002)*O10^3+0.00032*O10^2+(-0.0021)*O10)</f>
        <v/>
      </c>
      <c r="AK10" s="5">
        <f>IF(AA10&lt;50,W$1*((-0.000002)*W10^3+0.00032*W10^2+(-0.0021)*W10)+X$1*((-0.000002)*X10^3+0.00032*X10^2+(-0.0021)*X10)+Y$1*((-0.000002)*Y10^3+0.00032*Y10^2+(-0.0021)*Y10)+Z$1*((-0.000002)*Z10^3+0.00032*Z10^2+(-0.0021)*Z10),X$2*((-0.000002)*X10^3+0.00032*X10^2+(-0.0021)*X10)+Y$2*((-0.000002)*Y10^3+0.00032*Y10^2+(-0.0021)*Y10)+Z$2*((-0.000002)*Z10^3+0.00032*Z10^2+(-0.0021)*Z10)+AA$2*((-0.000002)*AA10^3+0.00032*AA10^2+(-0.0021)*AA10))</f>
        <v/>
      </c>
      <c r="AL10" s="5">
        <f>AB$1*((-0.000002)*AB10^3+0.00032*AB10^2+(-0.0021)*AB10)+AC$1*((-0.000002)*AC10^3+0.00032*AC10^2+(-0.0021)*AC10)</f>
        <v/>
      </c>
      <c r="AM10" s="5">
        <f>AD$1*((-0.000002)*AD10^3+0.00032*AD10^2+(-0.0021)*AD10)+AE$1*((-0.000002)*AE10^3+0.00032*AE10^2+(-0.0021)*AE10)+AF$1*((-0.000002)*AF10^3+0.00032*AF10^2+(-0.0021)*AF10)+AG$1*((-0.000002)*AG10^3+0.00032*AG10^2+(-0.0021)*AG10)</f>
        <v/>
      </c>
    </row>
    <row r="11" ht="15" customHeight="1" s="27" thickBot="1">
      <c r="A11" s="5">
        <f>(AI11*AI$3+AJ11*AJ$3+AK11*AK$3+AL11*AL$3+AM11*AM$3)*100/(AI$5*AI$3+AJ$5*AJ$3+AK$5*AK$3+AL$5*AL$3+AM$5*AM$3)</f>
        <v/>
      </c>
      <c r="B11" s="16" t="n">
        <v>5</v>
      </c>
      <c r="C11" s="10" t="inlineStr">
        <is>
          <t>Trujillo, Bob</t>
        </is>
      </c>
      <c r="D11" s="17" t="inlineStr">
        <is>
          <t>LF</t>
        </is>
      </c>
      <c r="E11" s="17" t="inlineStr">
        <is>
          <t>R</t>
        </is>
      </c>
      <c r="F11" s="17" t="inlineStr">
        <is>
          <t>R</t>
        </is>
      </c>
      <c r="G11" s="17" t="n">
        <v>18</v>
      </c>
      <c r="H11" s="17" t="n">
        <v>65</v>
      </c>
      <c r="I11" s="17" t="n">
        <v>57</v>
      </c>
      <c r="J11" s="17" t="n">
        <v>75</v>
      </c>
      <c r="K11" s="17" t="n">
        <v>63</v>
      </c>
      <c r="L11" s="17" t="n">
        <v>80</v>
      </c>
      <c r="M11" s="17" t="n">
        <v>55</v>
      </c>
      <c r="N11" s="17" t="n">
        <v>38</v>
      </c>
      <c r="O11" s="17" t="n">
        <v>36</v>
      </c>
      <c r="P11" s="17" t="n">
        <v>81</v>
      </c>
      <c r="Q11" s="16" t="n">
        <v>5</v>
      </c>
      <c r="R11" s="10" t="inlineStr">
        <is>
          <t>Trujillo, Bob</t>
        </is>
      </c>
      <c r="S11" s="17" t="inlineStr">
        <is>
          <t>LF</t>
        </is>
      </c>
      <c r="T11" s="17" t="inlineStr">
        <is>
          <t>R</t>
        </is>
      </c>
      <c r="U11" s="17" t="inlineStr">
        <is>
          <t>R</t>
        </is>
      </c>
      <c r="V11" s="17" t="n">
        <v>18</v>
      </c>
      <c r="W11" s="17" t="n">
        <v>75</v>
      </c>
      <c r="X11" s="17" t="n">
        <v>70</v>
      </c>
      <c r="Y11" s="17" t="n">
        <v>46</v>
      </c>
      <c r="Z11" s="17" t="n">
        <v>51</v>
      </c>
      <c r="AA11" s="17" t="n">
        <v>28</v>
      </c>
      <c r="AB11" s="17" t="n">
        <v>90</v>
      </c>
      <c r="AC11" s="17" t="n">
        <v>100</v>
      </c>
      <c r="AD11" s="17" t="n">
        <v>65</v>
      </c>
      <c r="AE11" s="17" t="n">
        <v>82</v>
      </c>
      <c r="AF11" s="17" t="n">
        <v>83</v>
      </c>
      <c r="AG11" s="17" t="n">
        <v>96</v>
      </c>
      <c r="AH11" s="17" t="n">
        <v>81</v>
      </c>
      <c r="AI11" s="5">
        <f>H$1*((-0.000002)*H11^3+0.00032*H11^2+(-0.0021)*H11)+I$1*((-0.000002)*I11^3+0.00032*I11^2+(-0.0021)*I11)+J$1*((-0.000002)*J11^3+0.00032*J11^2+(-0.0021)*J11)+K$1*((-0.000002)*K11^3+0.00032*K11^2+(-0.0021)*K11)+L$1*((-0.000002)*L11^3+0.00032*L11^2+(-0.0021)*L11)</f>
        <v/>
      </c>
      <c r="AJ11" s="5">
        <f>M$1*((-0.000002)*M11^3+0.00032*M11^2+(-0.0021)*M11)+N$1*((-0.000002)*N11^3+0.00032*N11^2+(-0.0021)*N11)+O$1*((-0.000002)*O11^3+0.00032*O11^2+(-0.0021)*O11)</f>
        <v/>
      </c>
      <c r="AK11" s="5">
        <f>IF(AA11&lt;50,W$1*((-0.000002)*W11^3+0.00032*W11^2+(-0.0021)*W11)+X$1*((-0.000002)*X11^3+0.00032*X11^2+(-0.0021)*X11)+Y$1*((-0.000002)*Y11^3+0.00032*Y11^2+(-0.0021)*Y11)+Z$1*((-0.000002)*Z11^3+0.00032*Z11^2+(-0.0021)*Z11),X$2*((-0.000002)*X11^3+0.00032*X11^2+(-0.0021)*X11)+Y$2*((-0.000002)*Y11^3+0.00032*Y11^2+(-0.0021)*Y11)+Z$2*((-0.000002)*Z11^3+0.00032*Z11^2+(-0.0021)*Z11)+AA$2*((-0.000002)*AA11^3+0.00032*AA11^2+(-0.0021)*AA11))</f>
        <v/>
      </c>
      <c r="AL11" s="5">
        <f>AB$1*((-0.000002)*AB11^3+0.00032*AB11^2+(-0.0021)*AB11)+AC$1*((-0.000002)*AC11^3+0.00032*AC11^2+(-0.0021)*AC11)</f>
        <v/>
      </c>
      <c r="AM11" s="5">
        <f>AD$1*((-0.000002)*AD11^3+0.00032*AD11^2+(-0.0021)*AD11)+AE$1*((-0.000002)*AE11^3+0.00032*AE11^2+(-0.0021)*AE11)+AF$1*((-0.000002)*AF11^3+0.00032*AF11^2+(-0.0021)*AF11)+AG$1*((-0.000002)*AG11^3+0.00032*AG11^2+(-0.0021)*AG11)</f>
        <v/>
      </c>
    </row>
    <row r="12" ht="15" customHeight="1" s="27" thickBot="1">
      <c r="A12" s="5">
        <f>(AI12*AI$3+AJ12*AJ$3+AK12*AK$3+AL12*AL$3+AM12*AM$3)*100/(AI$5*AI$3+AJ$5*AJ$3+AK$5*AK$3+AL$5*AL$3+AM$5*AM$3)</f>
        <v/>
      </c>
      <c r="B12" s="18" t="n">
        <v>8</v>
      </c>
      <c r="C12" s="11" t="inlineStr">
        <is>
          <t>Yount, Phillip</t>
        </is>
      </c>
      <c r="D12" s="19" t="inlineStr">
        <is>
          <t>2B</t>
        </is>
      </c>
      <c r="E12" s="19" t="inlineStr">
        <is>
          <t>R</t>
        </is>
      </c>
      <c r="F12" s="19" t="inlineStr">
        <is>
          <t>R</t>
        </is>
      </c>
      <c r="G12" s="19" t="n">
        <v>18</v>
      </c>
      <c r="H12" s="19" t="n">
        <v>68</v>
      </c>
      <c r="I12" s="19" t="n">
        <v>35</v>
      </c>
      <c r="J12" s="19" t="n">
        <v>55</v>
      </c>
      <c r="K12" s="19" t="n">
        <v>83</v>
      </c>
      <c r="L12" s="19" t="n">
        <v>76</v>
      </c>
      <c r="M12" s="19" t="n">
        <v>71</v>
      </c>
      <c r="N12" s="19" t="n">
        <v>69</v>
      </c>
      <c r="O12" s="19" t="n">
        <v>41</v>
      </c>
      <c r="P12" s="19" t="n">
        <v>78</v>
      </c>
      <c r="Q12" s="18" t="n">
        <v>8</v>
      </c>
      <c r="R12" s="11" t="inlineStr">
        <is>
          <t>Yount, Phillip</t>
        </is>
      </c>
      <c r="S12" s="19" t="inlineStr">
        <is>
          <t>2B</t>
        </is>
      </c>
      <c r="T12" s="19" t="inlineStr">
        <is>
          <t>R</t>
        </is>
      </c>
      <c r="U12" s="19" t="inlineStr">
        <is>
          <t>R</t>
        </is>
      </c>
      <c r="V12" s="19" t="n">
        <v>18</v>
      </c>
      <c r="W12" s="19" t="n">
        <v>80</v>
      </c>
      <c r="X12" s="19" t="n">
        <v>87</v>
      </c>
      <c r="Y12" s="19" t="n">
        <v>53</v>
      </c>
      <c r="Z12" s="19" t="n">
        <v>68</v>
      </c>
      <c r="AA12" s="19" t="n">
        <v>20</v>
      </c>
      <c r="AB12" s="19" t="n">
        <v>96</v>
      </c>
      <c r="AC12" s="19" t="n">
        <v>72</v>
      </c>
      <c r="AD12" s="19" t="n">
        <v>65</v>
      </c>
      <c r="AE12" s="19" t="n">
        <v>59</v>
      </c>
      <c r="AF12" s="19" t="n">
        <v>100</v>
      </c>
      <c r="AG12" s="19" t="n">
        <v>32</v>
      </c>
      <c r="AH12" s="19" t="n">
        <v>78</v>
      </c>
      <c r="AI12" s="5">
        <f>H$1*((-0.000002)*H12^3+0.00032*H12^2+(-0.0021)*H12)+I$1*((-0.000002)*I12^3+0.00032*I12^2+(-0.0021)*I12)+J$1*((-0.000002)*J12^3+0.00032*J12^2+(-0.0021)*J12)+K$1*((-0.000002)*K12^3+0.00032*K12^2+(-0.0021)*K12)+L$1*((-0.000002)*L12^3+0.00032*L12^2+(-0.0021)*L12)</f>
        <v/>
      </c>
      <c r="AJ12" s="5">
        <f>M$1*((-0.000002)*M12^3+0.00032*M12^2+(-0.0021)*M12)+N$1*((-0.000002)*N12^3+0.00032*N12^2+(-0.0021)*N12)+O$1*((-0.000002)*O12^3+0.00032*O12^2+(-0.0021)*O12)</f>
        <v/>
      </c>
      <c r="AK12" s="5">
        <f>IF(AA12&lt;50,W$1*((-0.000002)*W12^3+0.00032*W12^2+(-0.0021)*W12)+X$1*((-0.000002)*X12^3+0.00032*X12^2+(-0.0021)*X12)+Y$1*((-0.000002)*Y12^3+0.00032*Y12^2+(-0.0021)*Y12)+Z$1*((-0.000002)*Z12^3+0.00032*Z12^2+(-0.0021)*Z12),X$2*((-0.000002)*X12^3+0.00032*X12^2+(-0.0021)*X12)+Y$2*((-0.000002)*Y12^3+0.00032*Y12^2+(-0.0021)*Y12)+Z$2*((-0.000002)*Z12^3+0.00032*Z12^2+(-0.0021)*Z12)+AA$2*((-0.000002)*AA12^3+0.00032*AA12^2+(-0.0021)*AA12))</f>
        <v/>
      </c>
      <c r="AL12" s="5">
        <f>AB$1*((-0.000002)*AB12^3+0.00032*AB12^2+(-0.0021)*AB12)+AC$1*((-0.000002)*AC12^3+0.00032*AC12^2+(-0.0021)*AC12)</f>
        <v/>
      </c>
      <c r="AM12" s="5">
        <f>AD$1*((-0.000002)*AD12^3+0.00032*AD12^2+(-0.0021)*AD12)+AE$1*((-0.000002)*AE12^3+0.00032*AE12^2+(-0.0021)*AE12)+AF$1*((-0.000002)*AF12^3+0.00032*AF12^2+(-0.0021)*AF12)+AG$1*((-0.000002)*AG12^3+0.00032*AG12^2+(-0.0021)*AG12)</f>
        <v/>
      </c>
    </row>
    <row r="13" ht="15" customHeight="1" s="27" thickBot="1">
      <c r="A13" s="5">
        <f>(AI13*AI$3+AJ13*AJ$3+AK13*AK$3+AL13*AL$3+AM13*AM$3)*100/(AI$5*AI$3+AJ$5*AJ$3+AK$5*AK$3+AL$5*AL$3+AM$5*AM$3)</f>
        <v/>
      </c>
      <c r="B13" s="16" t="n">
        <v>13</v>
      </c>
      <c r="C13" s="10" t="inlineStr">
        <is>
          <t>Phillips, Brian</t>
        </is>
      </c>
      <c r="D13" s="17" t="inlineStr">
        <is>
          <t>LF</t>
        </is>
      </c>
      <c r="E13" s="17" t="inlineStr">
        <is>
          <t>R</t>
        </is>
      </c>
      <c r="F13" s="17" t="inlineStr">
        <is>
          <t>R</t>
        </is>
      </c>
      <c r="G13" s="17" t="n">
        <v>18</v>
      </c>
      <c r="H13" s="17" t="n">
        <v>67</v>
      </c>
      <c r="I13" s="17" t="n">
        <v>62</v>
      </c>
      <c r="J13" s="17" t="n">
        <v>59</v>
      </c>
      <c r="K13" s="17" t="n">
        <v>55</v>
      </c>
      <c r="L13" s="17" t="n">
        <v>73</v>
      </c>
      <c r="M13" s="17" t="n">
        <v>51</v>
      </c>
      <c r="N13" s="17" t="n">
        <v>54</v>
      </c>
      <c r="O13" s="17" t="n">
        <v>53</v>
      </c>
      <c r="P13" s="17" t="n">
        <v>74</v>
      </c>
      <c r="Q13" s="16" t="n">
        <v>13</v>
      </c>
      <c r="R13" s="10" t="inlineStr">
        <is>
          <t>Phillips, Brian</t>
        </is>
      </c>
      <c r="S13" s="17" t="inlineStr">
        <is>
          <t>LF</t>
        </is>
      </c>
      <c r="T13" s="17" t="inlineStr">
        <is>
          <t>R</t>
        </is>
      </c>
      <c r="U13" s="17" t="inlineStr">
        <is>
          <t>R</t>
        </is>
      </c>
      <c r="V13" s="17" t="n">
        <v>18</v>
      </c>
      <c r="W13" s="17" t="n">
        <v>65</v>
      </c>
      <c r="X13" s="17" t="n">
        <v>57</v>
      </c>
      <c r="Y13" s="17" t="n">
        <v>55</v>
      </c>
      <c r="Z13" s="17" t="n">
        <v>65</v>
      </c>
      <c r="AA13" s="17" t="n">
        <v>20</v>
      </c>
      <c r="AB13" s="17" t="n">
        <v>89</v>
      </c>
      <c r="AC13" s="17" t="n">
        <v>45</v>
      </c>
      <c r="AD13" s="17" t="n">
        <v>69</v>
      </c>
      <c r="AE13" s="17" t="n">
        <v>72</v>
      </c>
      <c r="AF13" s="17" t="n">
        <v>0</v>
      </c>
      <c r="AG13" s="17" t="n">
        <v>88</v>
      </c>
      <c r="AH13" s="17" t="n">
        <v>74</v>
      </c>
      <c r="AI13" s="5">
        <f>H$1*((-0.000002)*H13^3+0.00032*H13^2+(-0.0021)*H13)+I$1*((-0.000002)*I13^3+0.00032*I13^2+(-0.0021)*I13)+J$1*((-0.000002)*J13^3+0.00032*J13^2+(-0.0021)*J13)+K$1*((-0.000002)*K13^3+0.00032*K13^2+(-0.0021)*K13)+L$1*((-0.000002)*L13^3+0.00032*L13^2+(-0.0021)*L13)</f>
        <v/>
      </c>
      <c r="AJ13" s="5">
        <f>M$1*((-0.000002)*M13^3+0.00032*M13^2+(-0.0021)*M13)+N$1*((-0.000002)*N13^3+0.00032*N13^2+(-0.0021)*N13)+O$1*((-0.000002)*O13^3+0.00032*O13^2+(-0.0021)*O13)</f>
        <v/>
      </c>
      <c r="AK13" s="5">
        <f>IF(AA13&lt;50,W$1*((-0.000002)*W13^3+0.00032*W13^2+(-0.0021)*W13)+X$1*((-0.000002)*X13^3+0.00032*X13^2+(-0.0021)*X13)+Y$1*((-0.000002)*Y13^3+0.00032*Y13^2+(-0.0021)*Y13)+Z$1*((-0.000002)*Z13^3+0.00032*Z13^2+(-0.0021)*Z13),X$2*((-0.000002)*X13^3+0.00032*X13^2+(-0.0021)*X13)+Y$2*((-0.000002)*Y13^3+0.00032*Y13^2+(-0.0021)*Y13)+Z$2*((-0.000002)*Z13^3+0.00032*Z13^2+(-0.0021)*Z13)+AA$2*((-0.000002)*AA13^3+0.00032*AA13^2+(-0.0021)*AA13))</f>
        <v/>
      </c>
      <c r="AL13" s="5">
        <f>AB$1*((-0.000002)*AB13^3+0.00032*AB13^2+(-0.0021)*AB13)+AC$1*((-0.000002)*AC13^3+0.00032*AC13^2+(-0.0021)*AC13)</f>
        <v/>
      </c>
      <c r="AM13" s="5">
        <f>AD$1*((-0.000002)*AD13^3+0.00032*AD13^2+(-0.0021)*AD13)+AE$1*((-0.000002)*AE13^3+0.00032*AE13^2+(-0.0021)*AE13)+AF$1*((-0.000002)*AF13^3+0.00032*AF13^2+(-0.0021)*AF13)+AG$1*((-0.000002)*AG13^3+0.00032*AG13^2+(-0.0021)*AG13)</f>
        <v/>
      </c>
    </row>
    <row r="14" ht="15" customHeight="1" s="27" thickBot="1">
      <c r="A14" s="5">
        <f>(AI14*AI$3+AJ14*AJ$3+AK14*AK$3+AL14*AL$3+AM14*AM$3)*100/(AI$5*AI$3+AJ$5*AJ$3+AK$5*AK$3+AL$5*AL$3+AM$5*AM$3)</f>
        <v/>
      </c>
      <c r="B14" s="18" t="n">
        <v>18</v>
      </c>
      <c r="C14" s="11" t="inlineStr">
        <is>
          <t>Chang, Calvin</t>
        </is>
      </c>
      <c r="D14" s="19" t="inlineStr">
        <is>
          <t>SS</t>
        </is>
      </c>
      <c r="E14" s="19" t="inlineStr">
        <is>
          <t>R</t>
        </is>
      </c>
      <c r="F14" s="19" t="inlineStr">
        <is>
          <t>R</t>
        </is>
      </c>
      <c r="G14" s="19" t="n">
        <v>18</v>
      </c>
      <c r="H14" s="19" t="n">
        <v>37</v>
      </c>
      <c r="I14" s="19" t="n">
        <v>67</v>
      </c>
      <c r="J14" s="19" t="n">
        <v>43</v>
      </c>
      <c r="K14" s="19" t="n">
        <v>33</v>
      </c>
      <c r="L14" s="19" t="n">
        <v>65</v>
      </c>
      <c r="M14" s="19" t="n">
        <v>52</v>
      </c>
      <c r="N14" s="19" t="n">
        <v>74</v>
      </c>
      <c r="O14" s="19" t="n">
        <v>42</v>
      </c>
      <c r="P14" s="19" t="n">
        <v>72</v>
      </c>
      <c r="Q14" s="18" t="n">
        <v>18</v>
      </c>
      <c r="R14" s="11" t="inlineStr">
        <is>
          <t>Chang, Calvin</t>
        </is>
      </c>
      <c r="S14" s="19" t="inlineStr">
        <is>
          <t>SS</t>
        </is>
      </c>
      <c r="T14" s="19" t="inlineStr">
        <is>
          <t>R</t>
        </is>
      </c>
      <c r="U14" s="19" t="inlineStr">
        <is>
          <t>R</t>
        </is>
      </c>
      <c r="V14" s="19" t="n">
        <v>18</v>
      </c>
      <c r="W14" s="19" t="n">
        <v>78</v>
      </c>
      <c r="X14" s="19" t="n">
        <v>77</v>
      </c>
      <c r="Y14" s="19" t="n">
        <v>79</v>
      </c>
      <c r="Z14" s="19" t="n">
        <v>85</v>
      </c>
      <c r="AA14" s="19" t="n">
        <v>19</v>
      </c>
      <c r="AB14" s="19" t="n">
        <v>100</v>
      </c>
      <c r="AC14" s="19" t="n">
        <v>90</v>
      </c>
      <c r="AD14" s="19" t="n">
        <v>51</v>
      </c>
      <c r="AE14" s="19" t="n">
        <v>42</v>
      </c>
      <c r="AF14" s="19" t="n">
        <v>2</v>
      </c>
      <c r="AG14" s="19" t="n">
        <v>28</v>
      </c>
      <c r="AH14" s="19" t="n">
        <v>72</v>
      </c>
      <c r="AI14" s="5">
        <f>H$1*((-0.000002)*H14^3+0.00032*H14^2+(-0.0021)*H14)+I$1*((-0.000002)*I14^3+0.00032*I14^2+(-0.0021)*I14)+J$1*((-0.000002)*J14^3+0.00032*J14^2+(-0.0021)*J14)+K$1*((-0.000002)*K14^3+0.00032*K14^2+(-0.0021)*K14)+L$1*((-0.000002)*L14^3+0.00032*L14^2+(-0.0021)*L14)</f>
        <v/>
      </c>
      <c r="AJ14" s="5">
        <f>M$1*((-0.000002)*M14^3+0.00032*M14^2+(-0.0021)*M14)+N$1*((-0.000002)*N14^3+0.00032*N14^2+(-0.0021)*N14)+O$1*((-0.000002)*O14^3+0.00032*O14^2+(-0.0021)*O14)</f>
        <v/>
      </c>
      <c r="AK14" s="5">
        <f>IF(AA14&lt;50,W$1*((-0.000002)*W14^3+0.00032*W14^2+(-0.0021)*W14)+X$1*((-0.000002)*X14^3+0.00032*X14^2+(-0.0021)*X14)+Y$1*((-0.000002)*Y14^3+0.00032*Y14^2+(-0.0021)*Y14)+Z$1*((-0.000002)*Z14^3+0.00032*Z14^2+(-0.0021)*Z14),X$2*((-0.000002)*X14^3+0.00032*X14^2+(-0.0021)*X14)+Y$2*((-0.000002)*Y14^3+0.00032*Y14^2+(-0.0021)*Y14)+Z$2*((-0.000002)*Z14^3+0.00032*Z14^2+(-0.0021)*Z14)+AA$2*((-0.000002)*AA14^3+0.00032*AA14^2+(-0.0021)*AA14))</f>
        <v/>
      </c>
      <c r="AL14" s="5">
        <f>AB$1*((-0.000002)*AB14^3+0.00032*AB14^2+(-0.0021)*AB14)+AC$1*((-0.000002)*AC14^3+0.00032*AC14^2+(-0.0021)*AC14)</f>
        <v/>
      </c>
      <c r="AM14" s="5">
        <f>AD$1*((-0.000002)*AD14^3+0.00032*AD14^2+(-0.0021)*AD14)+AE$1*((-0.000002)*AE14^3+0.00032*AE14^2+(-0.0021)*AE14)+AF$1*((-0.000002)*AF14^3+0.00032*AF14^2+(-0.0021)*AF14)+AG$1*((-0.000002)*AG14^3+0.00032*AG14^2+(-0.0021)*AG14)</f>
        <v/>
      </c>
    </row>
    <row r="15" ht="15" customHeight="1" s="27" thickBot="1">
      <c r="A15" s="5">
        <f>(AI15*AI$3+AJ15*AJ$3+AK15*AK$3+AL15*AL$3+AM15*AM$3)*100/(AI$5*AI$3+AJ$5*AJ$3+AK$5*AK$3+AL$5*AL$3+AM$5*AM$3)</f>
        <v/>
      </c>
      <c r="B15" s="16" t="n">
        <v>15</v>
      </c>
      <c r="C15" s="10" t="inlineStr">
        <is>
          <t>Romero, Sam</t>
        </is>
      </c>
      <c r="D15" s="17" t="inlineStr">
        <is>
          <t>C</t>
        </is>
      </c>
      <c r="E15" s="17" t="inlineStr">
        <is>
          <t>R</t>
        </is>
      </c>
      <c r="F15" s="17" t="inlineStr">
        <is>
          <t>R</t>
        </is>
      </c>
      <c r="G15" s="17" t="n">
        <v>20</v>
      </c>
      <c r="H15" s="17" t="n">
        <v>85</v>
      </c>
      <c r="I15" s="17" t="n">
        <v>3</v>
      </c>
      <c r="J15" s="17" t="n">
        <v>43</v>
      </c>
      <c r="K15" s="17" t="n">
        <v>53</v>
      </c>
      <c r="L15" s="17" t="n">
        <v>74</v>
      </c>
      <c r="M15" s="17" t="n">
        <v>100</v>
      </c>
      <c r="N15" s="17" t="n">
        <v>82</v>
      </c>
      <c r="O15" s="17" t="n">
        <v>53</v>
      </c>
      <c r="P15" s="17" t="n">
        <v>82</v>
      </c>
      <c r="Q15" s="16" t="n">
        <v>15</v>
      </c>
      <c r="R15" s="10" t="inlineStr">
        <is>
          <t>Romero, Sam</t>
        </is>
      </c>
      <c r="S15" s="17" t="inlineStr">
        <is>
          <t>C</t>
        </is>
      </c>
      <c r="T15" s="17" t="inlineStr">
        <is>
          <t>R</t>
        </is>
      </c>
      <c r="U15" s="17" t="inlineStr">
        <is>
          <t>R</t>
        </is>
      </c>
      <c r="V15" s="17" t="n">
        <v>20</v>
      </c>
      <c r="W15" s="17" t="n">
        <v>100</v>
      </c>
      <c r="X15" s="17" t="n">
        <v>84</v>
      </c>
      <c r="Y15" s="17" t="n">
        <v>65</v>
      </c>
      <c r="Z15" s="17" t="n">
        <v>73</v>
      </c>
      <c r="AA15" s="17" t="n">
        <v>44</v>
      </c>
      <c r="AB15" s="17" t="n">
        <v>98</v>
      </c>
      <c r="AC15" s="17" t="n">
        <v>97</v>
      </c>
      <c r="AD15" s="17" t="n">
        <v>94</v>
      </c>
      <c r="AE15" s="17" t="n">
        <v>79</v>
      </c>
      <c r="AF15" s="17" t="n">
        <v>58</v>
      </c>
      <c r="AG15" s="17" t="n">
        <v>51</v>
      </c>
      <c r="AH15" s="17" t="n">
        <v>82</v>
      </c>
      <c r="AI15" s="5">
        <f>H$1*((-0.000002)*H15^3+0.00032*H15^2+(-0.0021)*H15)+I$1*((-0.000002)*I15^3+0.00032*I15^2+(-0.0021)*I15)+J$1*((-0.000002)*J15^3+0.00032*J15^2+(-0.0021)*J15)+K$1*((-0.000002)*K15^3+0.00032*K15^2+(-0.0021)*K15)+L$1*((-0.000002)*L15^3+0.00032*L15^2+(-0.0021)*L15)</f>
        <v/>
      </c>
      <c r="AJ15" s="5">
        <f>M$1*((-0.000002)*M15^3+0.00032*M15^2+(-0.0021)*M15)+N$1*((-0.000002)*N15^3+0.00032*N15^2+(-0.0021)*N15)+O$1*((-0.000002)*O15^3+0.00032*O15^2+(-0.0021)*O15)</f>
        <v/>
      </c>
      <c r="AK15" s="5">
        <f>IF(AA15&lt;50,W$1*((-0.000002)*W15^3+0.00032*W15^2+(-0.0021)*W15)+X$1*((-0.000002)*X15^3+0.00032*X15^2+(-0.0021)*X15)+Y$1*((-0.000002)*Y15^3+0.00032*Y15^2+(-0.0021)*Y15)+Z$1*((-0.000002)*Z15^3+0.00032*Z15^2+(-0.0021)*Z15),X$2*((-0.000002)*X15^3+0.00032*X15^2+(-0.0021)*X15)+Y$2*((-0.000002)*Y15^3+0.00032*Y15^2+(-0.0021)*Y15)+Z$2*((-0.000002)*Z15^3+0.00032*Z15^2+(-0.0021)*Z15)+AA$2*((-0.000002)*AA15^3+0.00032*AA15^2+(-0.0021)*AA15))</f>
        <v/>
      </c>
      <c r="AL15" s="5">
        <f>AB$1*((-0.000002)*AB15^3+0.00032*AB15^2+(-0.0021)*AB15)+AC$1*((-0.000002)*AC15^3+0.00032*AC15^2+(-0.0021)*AC15)</f>
        <v/>
      </c>
      <c r="AM15" s="5">
        <f>AD$1*((-0.000002)*AD15^3+0.00032*AD15^2+(-0.0021)*AD15)+AE$1*((-0.000002)*AE15^3+0.00032*AE15^2+(-0.0021)*AE15)+AF$1*((-0.000002)*AF15^3+0.00032*AF15^2+(-0.0021)*AF15)+AG$1*((-0.000002)*AG15^3+0.00032*AG15^2+(-0.0021)*AG15)</f>
        <v/>
      </c>
    </row>
    <row r="16" ht="15" customHeight="1" s="27" thickBot="1">
      <c r="A16" s="5">
        <f>(AI16*AI$3+AJ16*AJ$3+AK16*AK$3+AL16*AL$3+AM16*AM$3)*100/(AI$5*AI$3+AJ$5*AJ$3+AK$5*AK$3+AL$5*AL$3+AM$5*AM$3)</f>
        <v/>
      </c>
      <c r="B16" s="18" t="n">
        <v>2</v>
      </c>
      <c r="C16" s="11" t="inlineStr">
        <is>
          <t>Burkett, Red</t>
        </is>
      </c>
      <c r="D16" s="19" t="inlineStr">
        <is>
          <t>C</t>
        </is>
      </c>
      <c r="E16" s="19" t="inlineStr">
        <is>
          <t>R</t>
        </is>
      </c>
      <c r="F16" s="19" t="inlineStr">
        <is>
          <t>R</t>
        </is>
      </c>
      <c r="G16" s="19" t="n">
        <v>18</v>
      </c>
      <c r="H16" s="19" t="n">
        <v>89</v>
      </c>
      <c r="I16" s="19" t="n">
        <v>67</v>
      </c>
      <c r="J16" s="19" t="n">
        <v>67</v>
      </c>
      <c r="K16" s="19" t="n">
        <v>75</v>
      </c>
      <c r="L16" s="19" t="n">
        <v>82</v>
      </c>
      <c r="M16" s="19" t="n">
        <v>39</v>
      </c>
      <c r="N16" s="19" t="n">
        <v>31</v>
      </c>
      <c r="O16" s="19" t="n">
        <v>57</v>
      </c>
      <c r="P16" s="19" t="n">
        <v>80</v>
      </c>
      <c r="Q16" s="18" t="n">
        <v>2</v>
      </c>
      <c r="R16" s="11" t="inlineStr">
        <is>
          <t>Burkett, Red</t>
        </is>
      </c>
      <c r="S16" s="19" t="inlineStr">
        <is>
          <t>C</t>
        </is>
      </c>
      <c r="T16" s="19" t="inlineStr">
        <is>
          <t>R</t>
        </is>
      </c>
      <c r="U16" s="19" t="inlineStr">
        <is>
          <t>R</t>
        </is>
      </c>
      <c r="V16" s="19" t="n">
        <v>18</v>
      </c>
      <c r="W16" s="19" t="n">
        <v>23</v>
      </c>
      <c r="X16" s="19" t="n">
        <v>34</v>
      </c>
      <c r="Y16" s="19" t="n">
        <v>78</v>
      </c>
      <c r="Z16" s="19" t="n">
        <v>84</v>
      </c>
      <c r="AA16" s="19" t="n">
        <v>51</v>
      </c>
      <c r="AB16" s="19" t="n">
        <v>100</v>
      </c>
      <c r="AC16" s="19" t="n">
        <v>55</v>
      </c>
      <c r="AD16" s="19" t="n">
        <v>23</v>
      </c>
      <c r="AE16" s="19" t="n">
        <v>73</v>
      </c>
      <c r="AF16" s="19" t="n">
        <v>74</v>
      </c>
      <c r="AG16" s="19" t="n">
        <v>85</v>
      </c>
      <c r="AH16" s="19" t="n">
        <v>80</v>
      </c>
      <c r="AI16" s="5">
        <f>H$1*((-0.000002)*H16^3+0.00032*H16^2+(-0.0021)*H16)+I$1*((-0.000002)*I16^3+0.00032*I16^2+(-0.0021)*I16)+J$1*((-0.000002)*J16^3+0.00032*J16^2+(-0.0021)*J16)+K$1*((-0.000002)*K16^3+0.00032*K16^2+(-0.0021)*K16)+L$1*((-0.000002)*L16^3+0.00032*L16^2+(-0.0021)*L16)</f>
        <v/>
      </c>
      <c r="AJ16" s="5">
        <f>M$1*((-0.000002)*M16^3+0.00032*M16^2+(-0.0021)*M16)+N$1*((-0.000002)*N16^3+0.00032*N16^2+(-0.0021)*N16)+O$1*((-0.000002)*O16^3+0.00032*O16^2+(-0.0021)*O16)</f>
        <v/>
      </c>
      <c r="AK16" s="5">
        <f>IF(AA16&lt;50,W$1*((-0.000002)*W16^3+0.00032*W16^2+(-0.0021)*W16)+X$1*((-0.000002)*X16^3+0.00032*X16^2+(-0.0021)*X16)+Y$1*((-0.000002)*Y16^3+0.00032*Y16^2+(-0.0021)*Y16)+Z$1*((-0.000002)*Z16^3+0.00032*Z16^2+(-0.0021)*Z16),X$2*((-0.000002)*X16^3+0.00032*X16^2+(-0.0021)*X16)+Y$2*((-0.000002)*Y16^3+0.00032*Y16^2+(-0.0021)*Y16)+Z$2*((-0.000002)*Z16^3+0.00032*Z16^2+(-0.0021)*Z16)+AA$2*((-0.000002)*AA16^3+0.00032*AA16^2+(-0.0021)*AA16))</f>
        <v/>
      </c>
      <c r="AL16" s="5">
        <f>AB$1*((-0.000002)*AB16^3+0.00032*AB16^2+(-0.0021)*AB16)+AC$1*((-0.000002)*AC16^3+0.00032*AC16^2+(-0.0021)*AC16)</f>
        <v/>
      </c>
      <c r="AM16" s="5">
        <f>AD$1*((-0.000002)*AD16^3+0.00032*AD16^2+(-0.0021)*AD16)+AE$1*((-0.000002)*AE16^3+0.00032*AE16^2+(-0.0021)*AE16)+AF$1*((-0.000002)*AF16^3+0.00032*AF16^2+(-0.0021)*AF16)+AG$1*((-0.000002)*AG16^3+0.00032*AG16^2+(-0.0021)*AG16)</f>
        <v/>
      </c>
    </row>
    <row r="17" ht="15" customHeight="1" s="27" thickBot="1">
      <c r="A17" s="5">
        <f>(AI17*AI$3+AJ17*AJ$3+AK17*AK$3+AL17*AL$3+AM17*AM$3)*100/(AI$5*AI$3+AJ$5*AJ$3+AK$5*AK$3+AL$5*AL$3+AM$5*AM$3)</f>
        <v/>
      </c>
      <c r="B17" s="16" t="n">
        <v>47</v>
      </c>
      <c r="C17" s="10" t="inlineStr">
        <is>
          <t>Tapies, Matty</t>
        </is>
      </c>
      <c r="D17" s="17" t="inlineStr">
        <is>
          <t>3B</t>
        </is>
      </c>
      <c r="E17" s="17" t="inlineStr">
        <is>
          <t>R</t>
        </is>
      </c>
      <c r="F17" s="17" t="inlineStr">
        <is>
          <t>R</t>
        </is>
      </c>
      <c r="G17" s="17" t="n">
        <v>18</v>
      </c>
      <c r="H17" s="17" t="n">
        <v>19</v>
      </c>
      <c r="I17" s="17" t="n">
        <v>96</v>
      </c>
      <c r="J17" s="17" t="n">
        <v>33</v>
      </c>
      <c r="K17" s="17" t="n">
        <v>66</v>
      </c>
      <c r="L17" s="17" t="n">
        <v>60</v>
      </c>
      <c r="M17" s="17" t="n">
        <v>46</v>
      </c>
      <c r="N17" s="17" t="n">
        <v>12</v>
      </c>
      <c r="O17" s="17" t="n">
        <v>38</v>
      </c>
      <c r="P17" s="17" t="n">
        <v>62</v>
      </c>
      <c r="Q17" s="16" t="n">
        <v>47</v>
      </c>
      <c r="R17" s="10" t="inlineStr">
        <is>
          <t>Tapies, Matty</t>
        </is>
      </c>
      <c r="S17" s="17" t="inlineStr">
        <is>
          <t>3B</t>
        </is>
      </c>
      <c r="T17" s="17" t="inlineStr">
        <is>
          <t>R</t>
        </is>
      </c>
      <c r="U17" s="17" t="inlineStr">
        <is>
          <t>R</t>
        </is>
      </c>
      <c r="V17" s="17" t="n">
        <v>18</v>
      </c>
      <c r="W17" s="17" t="n">
        <v>61</v>
      </c>
      <c r="X17" s="17" t="n">
        <v>67</v>
      </c>
      <c r="Y17" s="17" t="n">
        <v>71</v>
      </c>
      <c r="Z17" s="17" t="n">
        <v>73</v>
      </c>
      <c r="AA17" s="17" t="n">
        <v>9</v>
      </c>
      <c r="AB17" s="17" t="n">
        <v>76</v>
      </c>
      <c r="AC17" s="17" t="n">
        <v>63</v>
      </c>
      <c r="AD17" s="17" t="n">
        <v>31</v>
      </c>
      <c r="AE17" s="17" t="n">
        <v>66</v>
      </c>
      <c r="AF17" s="17" t="n">
        <v>64</v>
      </c>
      <c r="AG17" s="17" t="n">
        <v>44</v>
      </c>
      <c r="AH17" s="17" t="n">
        <v>62</v>
      </c>
      <c r="AI17" s="5">
        <f>H$1*((-0.000002)*H17^3+0.00032*H17^2+(-0.0021)*H17)+I$1*((-0.000002)*I17^3+0.00032*I17^2+(-0.0021)*I17)+J$1*((-0.000002)*J17^3+0.00032*J17^2+(-0.0021)*J17)+K$1*((-0.000002)*K17^3+0.00032*K17^2+(-0.0021)*K17)+L$1*((-0.000002)*L17^3+0.00032*L17^2+(-0.0021)*L17)</f>
        <v/>
      </c>
      <c r="AJ17" s="5">
        <f>M$1*((-0.000002)*M17^3+0.00032*M17^2+(-0.0021)*M17)+N$1*((-0.000002)*N17^3+0.00032*N17^2+(-0.0021)*N17)+O$1*((-0.000002)*O17^3+0.00032*O17^2+(-0.0021)*O17)</f>
        <v/>
      </c>
      <c r="AK17" s="5">
        <f>IF(AA17&lt;50,W$1*((-0.000002)*W17^3+0.00032*W17^2+(-0.0021)*W17)+X$1*((-0.000002)*X17^3+0.00032*X17^2+(-0.0021)*X17)+Y$1*((-0.000002)*Y17^3+0.00032*Y17^2+(-0.0021)*Y17)+Z$1*((-0.000002)*Z17^3+0.00032*Z17^2+(-0.0021)*Z17),X$2*((-0.000002)*X17^3+0.00032*X17^2+(-0.0021)*X17)+Y$2*((-0.000002)*Y17^3+0.00032*Y17^2+(-0.0021)*Y17)+Z$2*((-0.000002)*Z17^3+0.00032*Z17^2+(-0.0021)*Z17)+AA$2*((-0.000002)*AA17^3+0.00032*AA17^2+(-0.0021)*AA17))</f>
        <v/>
      </c>
      <c r="AL17" s="5">
        <f>AB$1*((-0.000002)*AB17^3+0.00032*AB17^2+(-0.0021)*AB17)+AC$1*((-0.000002)*AC17^3+0.00032*AC17^2+(-0.0021)*AC17)</f>
        <v/>
      </c>
      <c r="AM17" s="5">
        <f>AD$1*((-0.000002)*AD17^3+0.00032*AD17^2+(-0.0021)*AD17)+AE$1*((-0.000002)*AE17^3+0.00032*AE17^2+(-0.0021)*AE17)+AF$1*((-0.000002)*AF17^3+0.00032*AF17^2+(-0.0021)*AF17)+AG$1*((-0.000002)*AG17^3+0.00032*AG17^2+(-0.0021)*AG17)</f>
        <v/>
      </c>
    </row>
    <row r="18" ht="15" customHeight="1" s="27" thickBot="1">
      <c r="A18" s="5">
        <f>(AI18*AI$3+AJ18*AJ$3+AK18*AK$3+AL18*AL$3+AM18*AM$3)*100/(AI$5*AI$3+AJ$5*AJ$3+AK$5*AK$3+AL$5*AL$3+AM$5*AM$3)</f>
        <v/>
      </c>
      <c r="B18" s="16" t="n">
        <v>21</v>
      </c>
      <c r="C18" s="10" t="inlineStr">
        <is>
          <t>Lewis, Joe</t>
        </is>
      </c>
      <c r="D18" s="17" t="inlineStr">
        <is>
          <t>SS</t>
        </is>
      </c>
      <c r="E18" s="17" t="inlineStr">
        <is>
          <t>R</t>
        </is>
      </c>
      <c r="F18" s="17" t="inlineStr">
        <is>
          <t>R</t>
        </is>
      </c>
      <c r="G18" s="17" t="n">
        <v>18</v>
      </c>
      <c r="H18" s="17" t="n">
        <v>40</v>
      </c>
      <c r="I18" s="17" t="n">
        <v>87</v>
      </c>
      <c r="J18" s="17" t="n">
        <v>44</v>
      </c>
      <c r="K18" s="17" t="n">
        <v>49</v>
      </c>
      <c r="L18" s="17" t="n">
        <v>45</v>
      </c>
      <c r="M18" s="17" t="n">
        <v>36</v>
      </c>
      <c r="N18" s="17" t="n">
        <v>21</v>
      </c>
      <c r="O18" s="17" t="n">
        <v>69</v>
      </c>
      <c r="P18" s="17" t="n">
        <v>70</v>
      </c>
      <c r="Q18" s="16" t="n">
        <v>21</v>
      </c>
      <c r="R18" s="10" t="inlineStr">
        <is>
          <t>Lewis, Joe</t>
        </is>
      </c>
      <c r="S18" s="17" t="inlineStr">
        <is>
          <t>SS</t>
        </is>
      </c>
      <c r="T18" s="17" t="inlineStr">
        <is>
          <t>R</t>
        </is>
      </c>
      <c r="U18" s="17" t="inlineStr">
        <is>
          <t>R</t>
        </is>
      </c>
      <c r="V18" s="17" t="n">
        <v>18</v>
      </c>
      <c r="W18" s="17" t="n">
        <v>67</v>
      </c>
      <c r="X18" s="17" t="n">
        <v>74</v>
      </c>
      <c r="Y18" s="17" t="n">
        <v>77</v>
      </c>
      <c r="Z18" s="17" t="n">
        <v>77</v>
      </c>
      <c r="AA18" s="17" t="n">
        <v>8</v>
      </c>
      <c r="AB18" s="17" t="n">
        <v>96</v>
      </c>
      <c r="AC18" s="17" t="n">
        <v>100</v>
      </c>
      <c r="AD18" s="17" t="n">
        <v>33</v>
      </c>
      <c r="AE18" s="17" t="n">
        <v>53</v>
      </c>
      <c r="AF18" s="17" t="n">
        <v>58</v>
      </c>
      <c r="AG18" s="17" t="n">
        <v>72</v>
      </c>
      <c r="AH18" s="17" t="n">
        <v>70</v>
      </c>
      <c r="AI18" s="5">
        <f>H$1*((-0.000002)*H18^3+0.00032*H18^2+(-0.0021)*H18)+I$1*((-0.000002)*I18^3+0.00032*I18^2+(-0.0021)*I18)+J$1*((-0.000002)*J18^3+0.00032*J18^2+(-0.0021)*J18)+K$1*((-0.000002)*K18^3+0.00032*K18^2+(-0.0021)*K18)+L$1*((-0.000002)*L18^3+0.00032*L18^2+(-0.0021)*L18)</f>
        <v/>
      </c>
      <c r="AJ18" s="5">
        <f>M$1*((-0.000002)*M18^3+0.00032*M18^2+(-0.0021)*M18)+N$1*((-0.000002)*N18^3+0.00032*N18^2+(-0.0021)*N18)+O$1*((-0.000002)*O18^3+0.00032*O18^2+(-0.0021)*O18)</f>
        <v/>
      </c>
      <c r="AK18" s="5">
        <f>IF(AA18&lt;50,W$1*((-0.000002)*W18^3+0.00032*W18^2+(-0.0021)*W18)+X$1*((-0.000002)*X18^3+0.00032*X18^2+(-0.0021)*X18)+Y$1*((-0.000002)*Y18^3+0.00032*Y18^2+(-0.0021)*Y18)+Z$1*((-0.000002)*Z18^3+0.00032*Z18^2+(-0.0021)*Z18),X$2*((-0.000002)*X18^3+0.00032*X18^2+(-0.0021)*X18)+Y$2*((-0.000002)*Y18^3+0.00032*Y18^2+(-0.0021)*Y18)+Z$2*((-0.000002)*Z18^3+0.00032*Z18^2+(-0.0021)*Z18)+AA$2*((-0.000002)*AA18^3+0.00032*AA18^2+(-0.0021)*AA18))</f>
        <v/>
      </c>
      <c r="AL18" s="5">
        <f>AB$1*((-0.000002)*AB18^3+0.00032*AB18^2+(-0.0021)*AB18)+AC$1*((-0.000002)*AC18^3+0.00032*AC18^2+(-0.0021)*AC18)</f>
        <v/>
      </c>
      <c r="AM18" s="5">
        <f>AD$1*((-0.000002)*AD18^3+0.00032*AD18^2+(-0.0021)*AD18)+AE$1*((-0.000002)*AE18^3+0.00032*AE18^2+(-0.0021)*AE18)+AF$1*((-0.000002)*AF18^3+0.00032*AF18^2+(-0.0021)*AF18)+AG$1*((-0.000002)*AG18^3+0.00032*AG18^2+(-0.0021)*AG18)</f>
        <v/>
      </c>
    </row>
    <row r="19" ht="15" customHeight="1" s="27" thickBot="1">
      <c r="A19" s="5">
        <f>(AI19*AI$3+AJ19*AJ$3+AK19*AK$3+AL19*AL$3+AM19*AM$3)*100/(AI$5*AI$3+AJ$5*AJ$3+AK$5*AK$3+AL$5*AL$3+AM$5*AM$3)</f>
        <v/>
      </c>
      <c r="B19" s="16" t="n">
        <v>27</v>
      </c>
      <c r="C19" s="10" t="inlineStr">
        <is>
          <t>Bittle, Tommie</t>
        </is>
      </c>
      <c r="D19" s="17" t="inlineStr">
        <is>
          <t>1B</t>
        </is>
      </c>
      <c r="E19" s="17" t="inlineStr">
        <is>
          <t>R</t>
        </is>
      </c>
      <c r="F19" s="17" t="inlineStr">
        <is>
          <t>R</t>
        </is>
      </c>
      <c r="G19" s="17" t="n">
        <v>18</v>
      </c>
      <c r="H19" s="17" t="n">
        <v>68</v>
      </c>
      <c r="I19" s="17" t="n">
        <v>69</v>
      </c>
      <c r="J19" s="17" t="n">
        <v>63</v>
      </c>
      <c r="K19" s="17" t="n">
        <v>64</v>
      </c>
      <c r="L19" s="17" t="n">
        <v>84</v>
      </c>
      <c r="M19" s="17" t="n">
        <v>29</v>
      </c>
      <c r="N19" s="17" t="n">
        <v>42</v>
      </c>
      <c r="O19" s="17" t="n">
        <v>28</v>
      </c>
      <c r="P19" s="17" t="n">
        <v>68</v>
      </c>
      <c r="Q19" s="16" t="n">
        <v>27</v>
      </c>
      <c r="R19" s="10" t="inlineStr">
        <is>
          <t>Bittle, Tommie</t>
        </is>
      </c>
      <c r="S19" s="17" t="inlineStr">
        <is>
          <t>1B</t>
        </is>
      </c>
      <c r="T19" s="17" t="inlineStr">
        <is>
          <t>R</t>
        </is>
      </c>
      <c r="U19" s="17" t="inlineStr">
        <is>
          <t>R</t>
        </is>
      </c>
      <c r="V19" s="17" t="n">
        <v>18</v>
      </c>
      <c r="W19" s="17" t="n">
        <v>40</v>
      </c>
      <c r="X19" s="17" t="n">
        <v>45</v>
      </c>
      <c r="Y19" s="17" t="n">
        <v>38</v>
      </c>
      <c r="Z19" s="17" t="n">
        <v>35</v>
      </c>
      <c r="AA19" s="17" t="n">
        <v>14</v>
      </c>
      <c r="AB19" s="17" t="n">
        <v>85</v>
      </c>
      <c r="AC19" s="17" t="n">
        <v>95</v>
      </c>
      <c r="AD19" s="17" t="n">
        <v>25</v>
      </c>
      <c r="AE19" s="17" t="n">
        <v>53</v>
      </c>
      <c r="AF19" s="17" t="n">
        <v>43</v>
      </c>
      <c r="AG19" s="17" t="n">
        <v>54</v>
      </c>
      <c r="AH19" s="17" t="n">
        <v>68</v>
      </c>
      <c r="AI19" s="5">
        <f>H$1*((-0.000002)*H19^3+0.00032*H19^2+(-0.0021)*H19)+I$1*((-0.000002)*I19^3+0.00032*I19^2+(-0.0021)*I19)+J$1*((-0.000002)*J19^3+0.00032*J19^2+(-0.0021)*J19)+K$1*((-0.000002)*K19^3+0.00032*K19^2+(-0.0021)*K19)+L$1*((-0.000002)*L19^3+0.00032*L19^2+(-0.0021)*L19)</f>
        <v/>
      </c>
      <c r="AJ19" s="5">
        <f>M$1*((-0.000002)*M19^3+0.00032*M19^2+(-0.0021)*M19)+N$1*((-0.000002)*N19^3+0.00032*N19^2+(-0.0021)*N19)+O$1*((-0.000002)*O19^3+0.00032*O19^2+(-0.0021)*O19)</f>
        <v/>
      </c>
      <c r="AK19" s="5">
        <f>IF(AA19&lt;50,W$1*((-0.000002)*W19^3+0.00032*W19^2+(-0.0021)*W19)+X$1*((-0.000002)*X19^3+0.00032*X19^2+(-0.0021)*X19)+Y$1*((-0.000002)*Y19^3+0.00032*Y19^2+(-0.0021)*Y19)+Z$1*((-0.000002)*Z19^3+0.00032*Z19^2+(-0.0021)*Z19),X$2*((-0.000002)*X19^3+0.00032*X19^2+(-0.0021)*X19)+Y$2*((-0.000002)*Y19^3+0.00032*Y19^2+(-0.0021)*Y19)+Z$2*((-0.000002)*Z19^3+0.00032*Z19^2+(-0.0021)*Z19)+AA$2*((-0.000002)*AA19^3+0.00032*AA19^2+(-0.0021)*AA19))</f>
        <v/>
      </c>
      <c r="AL19" s="5">
        <f>AB$1*((-0.000002)*AB19^3+0.00032*AB19^2+(-0.0021)*AB19)+AC$1*((-0.000002)*AC19^3+0.00032*AC19^2+(-0.0021)*AC19)</f>
        <v/>
      </c>
      <c r="AM19" s="5">
        <f>AD$1*((-0.000002)*AD19^3+0.00032*AD19^2+(-0.0021)*AD19)+AE$1*((-0.000002)*AE19^3+0.00032*AE19^2+(-0.0021)*AE19)+AF$1*((-0.000002)*AF19^3+0.00032*AF19^2+(-0.0021)*AF19)+AG$1*((-0.000002)*AG19^3+0.00032*AG19^2+(-0.0021)*AG19)</f>
        <v/>
      </c>
    </row>
    <row r="20" ht="15" customHeight="1" s="27" thickBot="1">
      <c r="A20" s="5">
        <f>(AI20*AI$3+AJ20*AJ$3+AK20*AK$3+AL20*AL$3+AM20*AM$3)*100/(AI$5*AI$3+AJ$5*AJ$3+AK$5*AK$3+AL$5*AL$3+AM$5*AM$3)</f>
        <v/>
      </c>
      <c r="B20" s="18" t="n">
        <v>12</v>
      </c>
      <c r="C20" s="11" t="inlineStr">
        <is>
          <t>Schneider, Jim</t>
        </is>
      </c>
      <c r="D20" s="19" t="inlineStr">
        <is>
          <t>1B</t>
        </is>
      </c>
      <c r="E20" s="19" t="inlineStr">
        <is>
          <t>R</t>
        </is>
      </c>
      <c r="F20" s="19" t="inlineStr">
        <is>
          <t>R</t>
        </is>
      </c>
      <c r="G20" s="19" t="n">
        <v>18</v>
      </c>
      <c r="H20" s="19" t="n">
        <v>78</v>
      </c>
      <c r="I20" s="19" t="n">
        <v>61</v>
      </c>
      <c r="J20" s="19" t="n">
        <v>94</v>
      </c>
      <c r="K20" s="19" t="n">
        <v>66</v>
      </c>
      <c r="L20" s="19" t="n">
        <v>75</v>
      </c>
      <c r="M20" s="19" t="n">
        <v>41</v>
      </c>
      <c r="N20" s="19" t="n">
        <v>14</v>
      </c>
      <c r="O20" s="19" t="n">
        <v>59</v>
      </c>
      <c r="P20" s="19" t="n">
        <v>74</v>
      </c>
      <c r="Q20" s="18" t="n">
        <v>12</v>
      </c>
      <c r="R20" s="11" t="inlineStr">
        <is>
          <t>Schneider, Jim</t>
        </is>
      </c>
      <c r="S20" s="19" t="inlineStr">
        <is>
          <t>1B</t>
        </is>
      </c>
      <c r="T20" s="19" t="inlineStr">
        <is>
          <t>R</t>
        </is>
      </c>
      <c r="U20" s="19" t="inlineStr">
        <is>
          <t>R</t>
        </is>
      </c>
      <c r="V20" s="19" t="n">
        <v>18</v>
      </c>
      <c r="W20" s="19" t="n">
        <v>44</v>
      </c>
      <c r="X20" s="19" t="n">
        <v>39</v>
      </c>
      <c r="Y20" s="19" t="n">
        <v>32</v>
      </c>
      <c r="Z20" s="19" t="n">
        <v>37</v>
      </c>
      <c r="AA20" s="19" t="n">
        <v>37</v>
      </c>
      <c r="AB20" s="19" t="n">
        <v>95</v>
      </c>
      <c r="AC20" s="19" t="n">
        <v>70</v>
      </c>
      <c r="AD20" s="19" t="n">
        <v>38</v>
      </c>
      <c r="AE20" s="19" t="n">
        <v>58</v>
      </c>
      <c r="AF20" s="19" t="n">
        <v>76</v>
      </c>
      <c r="AG20" s="19" t="n">
        <v>83</v>
      </c>
      <c r="AH20" s="19" t="n">
        <v>74</v>
      </c>
      <c r="AI20" s="5">
        <f>H$1*((-0.000002)*H20^3+0.00032*H20^2+(-0.0021)*H20)+I$1*((-0.000002)*I20^3+0.00032*I20^2+(-0.0021)*I20)+J$1*((-0.000002)*J20^3+0.00032*J20^2+(-0.0021)*J20)+K$1*((-0.000002)*K20^3+0.00032*K20^2+(-0.0021)*K20)+L$1*((-0.000002)*L20^3+0.00032*L20^2+(-0.0021)*L20)</f>
        <v/>
      </c>
      <c r="AJ20" s="5">
        <f>M$1*((-0.000002)*M20^3+0.00032*M20^2+(-0.0021)*M20)+N$1*((-0.000002)*N20^3+0.00032*N20^2+(-0.0021)*N20)+O$1*((-0.000002)*O20^3+0.00032*O20^2+(-0.0021)*O20)</f>
        <v/>
      </c>
      <c r="AK20" s="5">
        <f>IF(AA20&lt;50,W$1*((-0.000002)*W20^3+0.00032*W20^2+(-0.0021)*W20)+X$1*((-0.000002)*X20^3+0.00032*X20^2+(-0.0021)*X20)+Y$1*((-0.000002)*Y20^3+0.00032*Y20^2+(-0.0021)*Y20)+Z$1*((-0.000002)*Z20^3+0.00032*Z20^2+(-0.0021)*Z20),X$2*((-0.000002)*X20^3+0.00032*X20^2+(-0.0021)*X20)+Y$2*((-0.000002)*Y20^3+0.00032*Y20^2+(-0.0021)*Y20)+Z$2*((-0.000002)*Z20^3+0.00032*Z20^2+(-0.0021)*Z20)+AA$2*((-0.000002)*AA20^3+0.00032*AA20^2+(-0.0021)*AA20))</f>
        <v/>
      </c>
      <c r="AL20" s="5">
        <f>AB$1*((-0.000002)*AB20^3+0.00032*AB20^2+(-0.0021)*AB20)+AC$1*((-0.000002)*AC20^3+0.00032*AC20^2+(-0.0021)*AC20)</f>
        <v/>
      </c>
      <c r="AM20" s="5">
        <f>AD$1*((-0.000002)*AD20^3+0.00032*AD20^2+(-0.0021)*AD20)+AE$1*((-0.000002)*AE20^3+0.00032*AE20^2+(-0.0021)*AE20)+AF$1*((-0.000002)*AF20^3+0.00032*AF20^2+(-0.0021)*AF20)+AG$1*((-0.000002)*AG20^3+0.00032*AG20^2+(-0.0021)*AG20)</f>
        <v/>
      </c>
    </row>
    <row r="21" ht="15" customHeight="1" s="27" thickBot="1">
      <c r="A21" s="5">
        <f>(AI21*AI$3+AJ21*AJ$3+AK21*AK$3+AL21*AL$3+AM21*AM$3)*100/(AI$5*AI$3+AJ$5*AJ$3+AK$5*AK$3+AL$5*AL$3+AM$5*AM$3)</f>
        <v/>
      </c>
      <c r="B21" s="18" t="n">
        <v>34</v>
      </c>
      <c r="C21" s="11" t="inlineStr">
        <is>
          <t>Carson, Eric</t>
        </is>
      </c>
      <c r="D21" s="19" t="inlineStr">
        <is>
          <t>SS</t>
        </is>
      </c>
      <c r="E21" s="19" t="inlineStr">
        <is>
          <t>R</t>
        </is>
      </c>
      <c r="F21" s="19" t="inlineStr">
        <is>
          <t>R</t>
        </is>
      </c>
      <c r="G21" s="19" t="n">
        <v>18</v>
      </c>
      <c r="H21" s="19" t="n">
        <v>53</v>
      </c>
      <c r="I21" s="19" t="n">
        <v>52</v>
      </c>
      <c r="J21" s="19" t="n">
        <v>36</v>
      </c>
      <c r="K21" s="19" t="n">
        <v>22</v>
      </c>
      <c r="L21" s="19" t="n">
        <v>54</v>
      </c>
      <c r="M21" s="19" t="n">
        <v>64</v>
      </c>
      <c r="N21" s="19" t="n">
        <v>32</v>
      </c>
      <c r="O21" s="19" t="n">
        <v>49</v>
      </c>
      <c r="P21" s="19" t="n">
        <v>66</v>
      </c>
      <c r="Q21" s="18" t="n">
        <v>34</v>
      </c>
      <c r="R21" s="11" t="inlineStr">
        <is>
          <t>Carson, Eric</t>
        </is>
      </c>
      <c r="S21" s="19" t="inlineStr">
        <is>
          <t>SS</t>
        </is>
      </c>
      <c r="T21" s="19" t="inlineStr">
        <is>
          <t>R</t>
        </is>
      </c>
      <c r="U21" s="19" t="inlineStr">
        <is>
          <t>R</t>
        </is>
      </c>
      <c r="V21" s="19" t="n">
        <v>18</v>
      </c>
      <c r="W21" s="19" t="n">
        <v>76</v>
      </c>
      <c r="X21" s="19" t="n">
        <v>72</v>
      </c>
      <c r="Y21" s="19" t="n">
        <v>78</v>
      </c>
      <c r="Z21" s="19" t="n">
        <v>84</v>
      </c>
      <c r="AA21" s="19" t="n">
        <v>4</v>
      </c>
      <c r="AB21" s="19" t="n">
        <v>84</v>
      </c>
      <c r="AC21" s="19" t="n">
        <v>69</v>
      </c>
      <c r="AD21" s="19" t="n">
        <v>87</v>
      </c>
      <c r="AE21" s="19" t="n">
        <v>89</v>
      </c>
      <c r="AF21" s="19" t="n">
        <v>70</v>
      </c>
      <c r="AG21" s="19" t="n">
        <v>45</v>
      </c>
      <c r="AH21" s="19" t="n">
        <v>66</v>
      </c>
      <c r="AI21" s="5">
        <f>H$1*((-0.000002)*H21^3+0.00032*H21^2+(-0.0021)*H21)+I$1*((-0.000002)*I21^3+0.00032*I21^2+(-0.0021)*I21)+J$1*((-0.000002)*J21^3+0.00032*J21^2+(-0.0021)*J21)+K$1*((-0.000002)*K21^3+0.00032*K21^2+(-0.0021)*K21)+L$1*((-0.000002)*L21^3+0.00032*L21^2+(-0.0021)*L21)</f>
        <v/>
      </c>
      <c r="AJ21" s="5">
        <f>M$1*((-0.000002)*M21^3+0.00032*M21^2+(-0.0021)*M21)+N$1*((-0.000002)*N21^3+0.00032*N21^2+(-0.0021)*N21)+O$1*((-0.000002)*O21^3+0.00032*O21^2+(-0.0021)*O21)</f>
        <v/>
      </c>
      <c r="AK21" s="5">
        <f>IF(AA21&lt;50,W$1*((-0.000002)*W21^3+0.00032*W21^2+(-0.0021)*W21)+X$1*((-0.000002)*X21^3+0.00032*X21^2+(-0.0021)*X21)+Y$1*((-0.000002)*Y21^3+0.00032*Y21^2+(-0.0021)*Y21)+Z$1*((-0.000002)*Z21^3+0.00032*Z21^2+(-0.0021)*Z21),X$2*((-0.000002)*X21^3+0.00032*X21^2+(-0.0021)*X21)+Y$2*((-0.000002)*Y21^3+0.00032*Y21^2+(-0.0021)*Y21)+Z$2*((-0.000002)*Z21^3+0.00032*Z21^2+(-0.0021)*Z21)+AA$2*((-0.000002)*AA21^3+0.00032*AA21^2+(-0.0021)*AA21))</f>
        <v/>
      </c>
      <c r="AL21" s="5">
        <f>AB$1*((-0.000002)*AB21^3+0.00032*AB21^2+(-0.0021)*AB21)+AC$1*((-0.000002)*AC21^3+0.00032*AC21^2+(-0.0021)*AC21)</f>
        <v/>
      </c>
      <c r="AM21" s="5">
        <f>AD$1*((-0.000002)*AD21^3+0.00032*AD21^2+(-0.0021)*AD21)+AE$1*((-0.000002)*AE21^3+0.00032*AE21^2+(-0.0021)*AE21)+AF$1*((-0.000002)*AF21^3+0.00032*AF21^2+(-0.0021)*AF21)+AG$1*((-0.000002)*AG21^3+0.00032*AG21^2+(-0.0021)*AG21)</f>
        <v/>
      </c>
    </row>
    <row r="22" ht="15" customHeight="1" s="27" thickBot="1">
      <c r="A22" s="5">
        <f>(AI22*AI$3+AJ22*AJ$3+AK22*AK$3+AL22*AL$3+AM22*AM$3)*100/(AI$5*AI$3+AJ$5*AJ$3+AK$5*AK$3+AL$5*AL$3+AM$5*AM$3)</f>
        <v/>
      </c>
      <c r="B22" s="18" t="n">
        <v>28</v>
      </c>
      <c r="C22" s="11" t="inlineStr">
        <is>
          <t>Seager, Sean</t>
        </is>
      </c>
      <c r="D22" s="19" t="inlineStr">
        <is>
          <t>2B</t>
        </is>
      </c>
      <c r="E22" s="19" t="inlineStr">
        <is>
          <t>S</t>
        </is>
      </c>
      <c r="F22" s="19" t="inlineStr">
        <is>
          <t>R</t>
        </is>
      </c>
      <c r="G22" s="19" t="n">
        <v>18</v>
      </c>
      <c r="H22" s="19" t="n">
        <v>44</v>
      </c>
      <c r="I22" s="19" t="n">
        <v>63</v>
      </c>
      <c r="J22" s="19" t="n">
        <v>49</v>
      </c>
      <c r="K22" s="19" t="n">
        <v>62</v>
      </c>
      <c r="L22" s="19" t="n">
        <v>45</v>
      </c>
      <c r="M22" s="19" t="n">
        <v>52</v>
      </c>
      <c r="N22" s="19" t="n">
        <v>53</v>
      </c>
      <c r="O22" s="19" t="n">
        <v>38</v>
      </c>
      <c r="P22" s="19" t="n">
        <v>68</v>
      </c>
      <c r="Q22" s="18" t="n">
        <v>28</v>
      </c>
      <c r="R22" s="11" t="inlineStr">
        <is>
          <t>Seager, Sean</t>
        </is>
      </c>
      <c r="S22" s="19" t="inlineStr">
        <is>
          <t>2B</t>
        </is>
      </c>
      <c r="T22" s="19" t="inlineStr">
        <is>
          <t>S</t>
        </is>
      </c>
      <c r="U22" s="19" t="inlineStr">
        <is>
          <t>R</t>
        </is>
      </c>
      <c r="V22" s="19" t="n">
        <v>18</v>
      </c>
      <c r="W22" s="19" t="n">
        <v>64</v>
      </c>
      <c r="X22" s="19" t="n">
        <v>69</v>
      </c>
      <c r="Y22" s="19" t="n">
        <v>66</v>
      </c>
      <c r="Z22" s="19" t="n">
        <v>76</v>
      </c>
      <c r="AA22" s="19" t="n">
        <v>11</v>
      </c>
      <c r="AB22" s="19" t="n">
        <v>83</v>
      </c>
      <c r="AC22" s="19" t="n">
        <v>86</v>
      </c>
      <c r="AD22" s="19" t="n">
        <v>61</v>
      </c>
      <c r="AE22" s="19" t="n">
        <v>29</v>
      </c>
      <c r="AF22" s="19" t="n">
        <v>65</v>
      </c>
      <c r="AG22" s="19" t="n">
        <v>80</v>
      </c>
      <c r="AH22" s="19" t="n">
        <v>68</v>
      </c>
      <c r="AI22" s="5">
        <f>H$1*((-0.000002)*H22^3+0.00032*H22^2+(-0.0021)*H22)+I$1*((-0.000002)*I22^3+0.00032*I22^2+(-0.0021)*I22)+J$1*((-0.000002)*J22^3+0.00032*J22^2+(-0.0021)*J22)+K$1*((-0.000002)*K22^3+0.00032*K22^2+(-0.0021)*K22)+L$1*((-0.000002)*L22^3+0.00032*L22^2+(-0.0021)*L22)</f>
        <v/>
      </c>
      <c r="AJ22" s="5">
        <f>M$1*((-0.000002)*M22^3+0.00032*M22^2+(-0.0021)*M22)+N$1*((-0.000002)*N22^3+0.00032*N22^2+(-0.0021)*N22)+O$1*((-0.000002)*O22^3+0.00032*O22^2+(-0.0021)*O22)</f>
        <v/>
      </c>
      <c r="AK22" s="5">
        <f>IF(AA22&lt;50,W$1*((-0.000002)*W22^3+0.00032*W22^2+(-0.0021)*W22)+X$1*((-0.000002)*X22^3+0.00032*X22^2+(-0.0021)*X22)+Y$1*((-0.000002)*Y22^3+0.00032*Y22^2+(-0.0021)*Y22)+Z$1*((-0.000002)*Z22^3+0.00032*Z22^2+(-0.0021)*Z22),X$2*((-0.000002)*X22^3+0.00032*X22^2+(-0.0021)*X22)+Y$2*((-0.000002)*Y22^3+0.00032*Y22^2+(-0.0021)*Y22)+Z$2*((-0.000002)*Z22^3+0.00032*Z22^2+(-0.0021)*Z22)+AA$2*((-0.000002)*AA22^3+0.00032*AA22^2+(-0.0021)*AA22))</f>
        <v/>
      </c>
      <c r="AL22" s="5">
        <f>AB$1*((-0.000002)*AB22^3+0.00032*AB22^2+(-0.0021)*AB22)+AC$1*((-0.000002)*AC22^3+0.00032*AC22^2+(-0.0021)*AC22)</f>
        <v/>
      </c>
      <c r="AM22" s="5">
        <f>AD$1*((-0.000002)*AD22^3+0.00032*AD22^2+(-0.0021)*AD22)+AE$1*((-0.000002)*AE22^3+0.00032*AE22^2+(-0.0021)*AE22)+AF$1*((-0.000002)*AF22^3+0.00032*AF22^2+(-0.0021)*AF22)+AG$1*((-0.000002)*AG22^3+0.00032*AG22^2+(-0.0021)*AG22)</f>
        <v/>
      </c>
    </row>
    <row r="23" ht="15" customHeight="1" s="27" thickBot="1">
      <c r="A23" s="5">
        <f>(AI23*AI$3+AJ23*AJ$3+AK23*AK$3+AL23*AL$3+AM23*AM$3)*100/(AI$5*AI$3+AJ$5*AJ$3+AK$5*AK$3+AL$5*AL$3+AM$5*AM$3)</f>
        <v/>
      </c>
      <c r="B23" s="16" t="n">
        <v>43</v>
      </c>
      <c r="C23" s="10" t="inlineStr">
        <is>
          <t>Castro, David</t>
        </is>
      </c>
      <c r="D23" s="17" t="inlineStr">
        <is>
          <t>2B</t>
        </is>
      </c>
      <c r="E23" s="17" t="inlineStr">
        <is>
          <t>R</t>
        </is>
      </c>
      <c r="F23" s="17" t="inlineStr">
        <is>
          <t>R</t>
        </is>
      </c>
      <c r="G23" s="17" t="n">
        <v>18</v>
      </c>
      <c r="H23" s="17" t="n">
        <v>24</v>
      </c>
      <c r="I23" s="17" t="n">
        <v>100</v>
      </c>
      <c r="J23" s="17" t="n">
        <v>42</v>
      </c>
      <c r="K23" s="17" t="n">
        <v>48</v>
      </c>
      <c r="L23" s="17" t="n">
        <v>38</v>
      </c>
      <c r="M23" s="17" t="n">
        <v>26</v>
      </c>
      <c r="N23" s="17" t="n">
        <v>10</v>
      </c>
      <c r="O23" s="17" t="n">
        <v>31</v>
      </c>
      <c r="P23" s="17" t="n">
        <v>63</v>
      </c>
      <c r="Q23" s="16" t="n">
        <v>43</v>
      </c>
      <c r="R23" s="10" t="inlineStr">
        <is>
          <t>Castro, David</t>
        </is>
      </c>
      <c r="S23" s="17" t="inlineStr">
        <is>
          <t>2B</t>
        </is>
      </c>
      <c r="T23" s="17" t="inlineStr">
        <is>
          <t>R</t>
        </is>
      </c>
      <c r="U23" s="17" t="inlineStr">
        <is>
          <t>R</t>
        </is>
      </c>
      <c r="V23" s="17" t="n">
        <v>18</v>
      </c>
      <c r="W23" s="17" t="n">
        <v>64</v>
      </c>
      <c r="X23" s="17" t="n">
        <v>67</v>
      </c>
      <c r="Y23" s="17" t="n">
        <v>70</v>
      </c>
      <c r="Z23" s="17" t="n">
        <v>72</v>
      </c>
      <c r="AA23" s="17" t="n">
        <v>20</v>
      </c>
      <c r="AB23" s="17" t="n">
        <v>73</v>
      </c>
      <c r="AC23" s="17" t="n">
        <v>86</v>
      </c>
      <c r="AD23" s="17" t="n">
        <v>77</v>
      </c>
      <c r="AE23" s="17" t="n">
        <v>64</v>
      </c>
      <c r="AF23" s="17" t="n">
        <v>61</v>
      </c>
      <c r="AG23" s="17" t="n">
        <v>54</v>
      </c>
      <c r="AH23" s="17" t="n">
        <v>63</v>
      </c>
      <c r="AI23" s="5">
        <f>H$1*((-0.000002)*H23^3+0.00032*H23^2+(-0.0021)*H23)+I$1*((-0.000002)*I23^3+0.00032*I23^2+(-0.0021)*I23)+J$1*((-0.000002)*J23^3+0.00032*J23^2+(-0.0021)*J23)+K$1*((-0.000002)*K23^3+0.00032*K23^2+(-0.0021)*K23)+L$1*((-0.000002)*L23^3+0.00032*L23^2+(-0.0021)*L23)</f>
        <v/>
      </c>
      <c r="AJ23" s="5">
        <f>M$1*((-0.000002)*M23^3+0.00032*M23^2+(-0.0021)*M23)+N$1*((-0.000002)*N23^3+0.00032*N23^2+(-0.0021)*N23)+O$1*((-0.000002)*O23^3+0.00032*O23^2+(-0.0021)*O23)</f>
        <v/>
      </c>
      <c r="AK23" s="5">
        <f>IF(AA23&lt;50,W$1*((-0.000002)*W23^3+0.00032*W23^2+(-0.0021)*W23)+X$1*((-0.000002)*X23^3+0.00032*X23^2+(-0.0021)*X23)+Y$1*((-0.000002)*Y23^3+0.00032*Y23^2+(-0.0021)*Y23)+Z$1*((-0.000002)*Z23^3+0.00032*Z23^2+(-0.0021)*Z23),X$2*((-0.000002)*X23^3+0.00032*X23^2+(-0.0021)*X23)+Y$2*((-0.000002)*Y23^3+0.00032*Y23^2+(-0.0021)*Y23)+Z$2*((-0.000002)*Z23^3+0.00032*Z23^2+(-0.0021)*Z23)+AA$2*((-0.000002)*AA23^3+0.00032*AA23^2+(-0.0021)*AA23))</f>
        <v/>
      </c>
      <c r="AL23" s="5">
        <f>AB$1*((-0.000002)*AB23^3+0.00032*AB23^2+(-0.0021)*AB23)+AC$1*((-0.000002)*AC23^3+0.00032*AC23^2+(-0.0021)*AC23)</f>
        <v/>
      </c>
      <c r="AM23" s="5">
        <f>AD$1*((-0.000002)*AD23^3+0.00032*AD23^2+(-0.0021)*AD23)+AE$1*((-0.000002)*AE23^3+0.00032*AE23^2+(-0.0021)*AE23)+AF$1*((-0.000002)*AF23^3+0.00032*AF23^2+(-0.0021)*AF23)+AG$1*((-0.000002)*AG23^3+0.00032*AG23^2+(-0.0021)*AG23)</f>
        <v/>
      </c>
    </row>
    <row r="24" ht="15" customHeight="1" s="27" thickBot="1">
      <c r="A24" s="5">
        <f>(AI24*AI$3+AJ24*AJ$3+AK24*AK$3+AL24*AL$3+AM24*AM$3)*100/(AI$5*AI$3+AJ$5*AJ$3+AK$5*AK$3+AL$5*AL$3+AM$5*AM$3)</f>
        <v/>
      </c>
      <c r="B24" s="18" t="n">
        <v>30</v>
      </c>
      <c r="C24" s="11" t="inlineStr">
        <is>
          <t>Brewington, Beamer</t>
        </is>
      </c>
      <c r="D24" s="19" t="inlineStr">
        <is>
          <t>2B</t>
        </is>
      </c>
      <c r="E24" s="19" t="inlineStr">
        <is>
          <t>R</t>
        </is>
      </c>
      <c r="F24" s="19" t="inlineStr">
        <is>
          <t>R</t>
        </is>
      </c>
      <c r="G24" s="19" t="n">
        <v>18</v>
      </c>
      <c r="H24" s="19" t="n">
        <v>31</v>
      </c>
      <c r="I24" s="19" t="n">
        <v>55</v>
      </c>
      <c r="J24" s="19" t="n">
        <v>74</v>
      </c>
      <c r="K24" s="19" t="n">
        <v>72</v>
      </c>
      <c r="L24" s="19" t="n">
        <v>51</v>
      </c>
      <c r="M24" s="19" t="n">
        <v>53</v>
      </c>
      <c r="N24" s="19" t="n">
        <v>46</v>
      </c>
      <c r="O24" s="19" t="n">
        <v>45</v>
      </c>
      <c r="P24" s="19" t="n">
        <v>67</v>
      </c>
      <c r="Q24" s="18" t="n">
        <v>30</v>
      </c>
      <c r="R24" s="11" t="inlineStr">
        <is>
          <t>Brewington, Beamer</t>
        </is>
      </c>
      <c r="S24" s="19" t="inlineStr">
        <is>
          <t>2B</t>
        </is>
      </c>
      <c r="T24" s="19" t="inlineStr">
        <is>
          <t>R</t>
        </is>
      </c>
      <c r="U24" s="19" t="inlineStr">
        <is>
          <t>R</t>
        </is>
      </c>
      <c r="V24" s="19" t="n">
        <v>18</v>
      </c>
      <c r="W24" s="19" t="n">
        <v>64</v>
      </c>
      <c r="X24" s="19" t="n">
        <v>66</v>
      </c>
      <c r="Y24" s="19" t="n">
        <v>66</v>
      </c>
      <c r="Z24" s="19" t="n">
        <v>64</v>
      </c>
      <c r="AA24" s="19" t="n">
        <v>5</v>
      </c>
      <c r="AB24" s="19" t="n">
        <v>84</v>
      </c>
      <c r="AC24" s="19" t="n">
        <v>98</v>
      </c>
      <c r="AD24" s="19" t="n">
        <v>45</v>
      </c>
      <c r="AE24" s="19" t="n">
        <v>75</v>
      </c>
      <c r="AF24" s="19" t="n">
        <v>65</v>
      </c>
      <c r="AG24" s="19" t="n">
        <v>91</v>
      </c>
      <c r="AH24" s="19" t="n">
        <v>67</v>
      </c>
      <c r="AI24" s="5">
        <f>H$1*((-0.000002)*H24^3+0.00032*H24^2+(-0.0021)*H24)+I$1*((-0.000002)*I24^3+0.00032*I24^2+(-0.0021)*I24)+J$1*((-0.000002)*J24^3+0.00032*J24^2+(-0.0021)*J24)+K$1*((-0.000002)*K24^3+0.00032*K24^2+(-0.0021)*K24)+L$1*((-0.000002)*L24^3+0.00032*L24^2+(-0.0021)*L24)</f>
        <v/>
      </c>
      <c r="AJ24" s="5">
        <f>M$1*((-0.000002)*M24^3+0.00032*M24^2+(-0.0021)*M24)+N$1*((-0.000002)*N24^3+0.00032*N24^2+(-0.0021)*N24)+O$1*((-0.000002)*O24^3+0.00032*O24^2+(-0.0021)*O24)</f>
        <v/>
      </c>
      <c r="AK24" s="5">
        <f>IF(AA24&lt;50,W$1*((-0.000002)*W24^3+0.00032*W24^2+(-0.0021)*W24)+X$1*((-0.000002)*X24^3+0.00032*X24^2+(-0.0021)*X24)+Y$1*((-0.000002)*Y24^3+0.00032*Y24^2+(-0.0021)*Y24)+Z$1*((-0.000002)*Z24^3+0.00032*Z24^2+(-0.0021)*Z24),X$2*((-0.000002)*X24^3+0.00032*X24^2+(-0.0021)*X24)+Y$2*((-0.000002)*Y24^3+0.00032*Y24^2+(-0.0021)*Y24)+Z$2*((-0.000002)*Z24^3+0.00032*Z24^2+(-0.0021)*Z24)+AA$2*((-0.000002)*AA24^3+0.00032*AA24^2+(-0.0021)*AA24))</f>
        <v/>
      </c>
      <c r="AL24" s="5">
        <f>AB$1*((-0.000002)*AB24^3+0.00032*AB24^2+(-0.0021)*AB24)+AC$1*((-0.000002)*AC24^3+0.00032*AC24^2+(-0.0021)*AC24)</f>
        <v/>
      </c>
      <c r="AM24" s="5">
        <f>AD$1*((-0.000002)*AD24^3+0.00032*AD24^2+(-0.0021)*AD24)+AE$1*((-0.000002)*AE24^3+0.00032*AE24^2+(-0.0021)*AE24)+AF$1*((-0.000002)*AF24^3+0.00032*AF24^2+(-0.0021)*AF24)+AG$1*((-0.000002)*AG24^3+0.00032*AG24^2+(-0.0021)*AG24)</f>
        <v/>
      </c>
    </row>
    <row r="25" ht="15" customHeight="1" s="27" thickBot="1">
      <c r="A25" s="5">
        <f>(AI25*AI$3+AJ25*AJ$3+AK25*AK$3+AL25*AL$3+AM25*AM$3)*100/(AI$5*AI$3+AJ$5*AJ$3+AK$5*AK$3+AL$5*AL$3+AM$5*AM$3)</f>
        <v/>
      </c>
      <c r="B25" s="18" t="n">
        <v>36</v>
      </c>
      <c r="C25" s="11" t="inlineStr">
        <is>
          <t>Griffiths, Eddie</t>
        </is>
      </c>
      <c r="D25" s="19" t="inlineStr">
        <is>
          <t>2B</t>
        </is>
      </c>
      <c r="E25" s="19" t="inlineStr">
        <is>
          <t>L</t>
        </is>
      </c>
      <c r="F25" s="19" t="inlineStr">
        <is>
          <t>R</t>
        </is>
      </c>
      <c r="G25" s="19" t="n">
        <v>18</v>
      </c>
      <c r="H25" s="19" t="n">
        <v>54</v>
      </c>
      <c r="I25" s="19" t="n">
        <v>64</v>
      </c>
      <c r="J25" s="19" t="n">
        <v>56</v>
      </c>
      <c r="K25" s="19" t="n">
        <v>59</v>
      </c>
      <c r="L25" s="19" t="n">
        <v>41</v>
      </c>
      <c r="M25" s="19" t="n">
        <v>72</v>
      </c>
      <c r="N25" s="19" t="n">
        <v>38</v>
      </c>
      <c r="O25" s="19" t="n">
        <v>48</v>
      </c>
      <c r="P25" s="19" t="n">
        <v>65</v>
      </c>
      <c r="Q25" s="18" t="n">
        <v>36</v>
      </c>
      <c r="R25" s="11" t="inlineStr">
        <is>
          <t>Griffiths, Eddie</t>
        </is>
      </c>
      <c r="S25" s="19" t="inlineStr">
        <is>
          <t>2B</t>
        </is>
      </c>
      <c r="T25" s="19" t="inlineStr">
        <is>
          <t>L</t>
        </is>
      </c>
      <c r="U25" s="19" t="inlineStr">
        <is>
          <t>R</t>
        </is>
      </c>
      <c r="V25" s="19" t="n">
        <v>18</v>
      </c>
      <c r="W25" s="19" t="n">
        <v>72</v>
      </c>
      <c r="X25" s="19" t="n">
        <v>61</v>
      </c>
      <c r="Y25" s="19" t="n">
        <v>67</v>
      </c>
      <c r="Z25" s="19" t="n">
        <v>65</v>
      </c>
      <c r="AA25" s="19" t="n">
        <v>15</v>
      </c>
      <c r="AB25" s="19" t="n">
        <v>84</v>
      </c>
      <c r="AC25" s="19" t="n">
        <v>47</v>
      </c>
      <c r="AD25" s="19" t="n">
        <v>36</v>
      </c>
      <c r="AE25" s="19" t="n">
        <v>94</v>
      </c>
      <c r="AF25" s="19" t="n">
        <v>79</v>
      </c>
      <c r="AG25" s="19" t="n">
        <v>61</v>
      </c>
      <c r="AH25" s="19" t="n">
        <v>65</v>
      </c>
      <c r="AI25" s="5">
        <f>H$1*((-0.000002)*H25^3+0.00032*H25^2+(-0.0021)*H25)+I$1*((-0.000002)*I25^3+0.00032*I25^2+(-0.0021)*I25)+J$1*((-0.000002)*J25^3+0.00032*J25^2+(-0.0021)*J25)+K$1*((-0.000002)*K25^3+0.00032*K25^2+(-0.0021)*K25)+L$1*((-0.000002)*L25^3+0.00032*L25^2+(-0.0021)*L25)</f>
        <v/>
      </c>
      <c r="AJ25" s="5">
        <f>M$1*((-0.000002)*M25^3+0.00032*M25^2+(-0.0021)*M25)+N$1*((-0.000002)*N25^3+0.00032*N25^2+(-0.0021)*N25)+O$1*((-0.000002)*O25^3+0.00032*O25^2+(-0.0021)*O25)</f>
        <v/>
      </c>
      <c r="AK25" s="5">
        <f>IF(AA25&lt;50,W$1*((-0.000002)*W25^3+0.00032*W25^2+(-0.0021)*W25)+X$1*((-0.000002)*X25^3+0.00032*X25^2+(-0.0021)*X25)+Y$1*((-0.000002)*Y25^3+0.00032*Y25^2+(-0.0021)*Y25)+Z$1*((-0.000002)*Z25^3+0.00032*Z25^2+(-0.0021)*Z25),X$2*((-0.000002)*X25^3+0.00032*X25^2+(-0.0021)*X25)+Y$2*((-0.000002)*Y25^3+0.00032*Y25^2+(-0.0021)*Y25)+Z$2*((-0.000002)*Z25^3+0.00032*Z25^2+(-0.0021)*Z25)+AA$2*((-0.000002)*AA25^3+0.00032*AA25^2+(-0.0021)*AA25))</f>
        <v/>
      </c>
      <c r="AL25" s="5">
        <f>AB$1*((-0.000002)*AB25^3+0.00032*AB25^2+(-0.0021)*AB25)+AC$1*((-0.000002)*AC25^3+0.00032*AC25^2+(-0.0021)*AC25)</f>
        <v/>
      </c>
      <c r="AM25" s="5">
        <f>AD$1*((-0.000002)*AD25^3+0.00032*AD25^2+(-0.0021)*AD25)+AE$1*((-0.000002)*AE25^3+0.00032*AE25^2+(-0.0021)*AE25)+AF$1*((-0.000002)*AF25^3+0.00032*AF25^2+(-0.0021)*AF25)+AG$1*((-0.000002)*AG25^3+0.00032*AG25^2+(-0.0021)*AG25)</f>
        <v/>
      </c>
    </row>
    <row r="26" ht="15" customHeight="1" s="27" thickBot="1">
      <c r="A26" s="5">
        <f>(AI26*AI$3+AJ26*AJ$3+AK26*AK$3+AL26*AL$3+AM26*AM$3)*100/(AI$5*AI$3+AJ$5*AJ$3+AK$5*AK$3+AL$5*AL$3+AM$5*AM$3)</f>
        <v/>
      </c>
      <c r="B26" s="18" t="n">
        <v>72</v>
      </c>
      <c r="C26" s="11" t="inlineStr">
        <is>
          <t>Brooks, Jody</t>
        </is>
      </c>
      <c r="D26" s="19" t="inlineStr">
        <is>
          <t>3B</t>
        </is>
      </c>
      <c r="E26" s="19" t="inlineStr">
        <is>
          <t>R</t>
        </is>
      </c>
      <c r="F26" s="19" t="inlineStr">
        <is>
          <t>R</t>
        </is>
      </c>
      <c r="G26" s="19" t="n">
        <v>18</v>
      </c>
      <c r="H26" s="19" t="n">
        <v>6</v>
      </c>
      <c r="I26" s="19" t="n">
        <v>87</v>
      </c>
      <c r="J26" s="19" t="n">
        <v>56</v>
      </c>
      <c r="K26" s="19" t="n">
        <v>29</v>
      </c>
      <c r="L26" s="19" t="n">
        <v>45</v>
      </c>
      <c r="M26" s="19" t="n">
        <v>45</v>
      </c>
      <c r="N26" s="19" t="n">
        <v>15</v>
      </c>
      <c r="O26" s="19" t="n">
        <v>19</v>
      </c>
      <c r="P26" s="19" t="n">
        <v>57</v>
      </c>
      <c r="Q26" s="18" t="n">
        <v>72</v>
      </c>
      <c r="R26" s="11" t="inlineStr">
        <is>
          <t>Brooks, Jody</t>
        </is>
      </c>
      <c r="S26" s="19" t="inlineStr">
        <is>
          <t>3B</t>
        </is>
      </c>
      <c r="T26" s="19" t="inlineStr">
        <is>
          <t>R</t>
        </is>
      </c>
      <c r="U26" s="19" t="inlineStr">
        <is>
          <t>R</t>
        </is>
      </c>
      <c r="V26" s="19" t="n">
        <v>18</v>
      </c>
      <c r="W26" s="19" t="n">
        <v>62</v>
      </c>
      <c r="X26" s="19" t="n">
        <v>72</v>
      </c>
      <c r="Y26" s="19" t="n">
        <v>68</v>
      </c>
      <c r="Z26" s="19" t="n">
        <v>70</v>
      </c>
      <c r="AA26" s="19" t="n">
        <v>14</v>
      </c>
      <c r="AB26" s="19" t="n">
        <v>79</v>
      </c>
      <c r="AC26" s="19" t="n">
        <v>68</v>
      </c>
      <c r="AD26" s="19" t="n">
        <v>27</v>
      </c>
      <c r="AE26" s="19" t="n">
        <v>80</v>
      </c>
      <c r="AF26" s="19" t="n">
        <v>70</v>
      </c>
      <c r="AG26" s="19" t="n">
        <v>62</v>
      </c>
      <c r="AH26" s="19" t="n">
        <v>57</v>
      </c>
      <c r="AI26" s="5">
        <f>H$1*((-0.000002)*H26^3+0.00032*H26^2+(-0.0021)*H26)+I$1*((-0.000002)*I26^3+0.00032*I26^2+(-0.0021)*I26)+J$1*((-0.000002)*J26^3+0.00032*J26^2+(-0.0021)*J26)+K$1*((-0.000002)*K26^3+0.00032*K26^2+(-0.0021)*K26)+L$1*((-0.000002)*L26^3+0.00032*L26^2+(-0.0021)*L26)</f>
        <v/>
      </c>
      <c r="AJ26" s="5">
        <f>M$1*((-0.000002)*M26^3+0.00032*M26^2+(-0.0021)*M26)+N$1*((-0.000002)*N26^3+0.00032*N26^2+(-0.0021)*N26)+O$1*((-0.000002)*O26^3+0.00032*O26^2+(-0.0021)*O26)</f>
        <v/>
      </c>
      <c r="AK26" s="5">
        <f>IF(AA26&lt;50,W$1*((-0.000002)*W26^3+0.00032*W26^2+(-0.0021)*W26)+X$1*((-0.000002)*X26^3+0.00032*X26^2+(-0.0021)*X26)+Y$1*((-0.000002)*Y26^3+0.00032*Y26^2+(-0.0021)*Y26)+Z$1*((-0.000002)*Z26^3+0.00032*Z26^2+(-0.0021)*Z26),X$2*((-0.000002)*X26^3+0.00032*X26^2+(-0.0021)*X26)+Y$2*((-0.000002)*Y26^3+0.00032*Y26^2+(-0.0021)*Y26)+Z$2*((-0.000002)*Z26^3+0.00032*Z26^2+(-0.0021)*Z26)+AA$2*((-0.000002)*AA26^3+0.00032*AA26^2+(-0.0021)*AA26))</f>
        <v/>
      </c>
      <c r="AL26" s="5">
        <f>AB$1*((-0.000002)*AB26^3+0.00032*AB26^2+(-0.0021)*AB26)+AC$1*((-0.000002)*AC26^3+0.00032*AC26^2+(-0.0021)*AC26)</f>
        <v/>
      </c>
      <c r="AM26" s="5">
        <f>AD$1*((-0.000002)*AD26^3+0.00032*AD26^2+(-0.0021)*AD26)+AE$1*((-0.000002)*AE26^3+0.00032*AE26^2+(-0.0021)*AE26)+AF$1*((-0.000002)*AF26^3+0.00032*AF26^2+(-0.0021)*AF26)+AG$1*((-0.000002)*AG26^3+0.00032*AG26^2+(-0.0021)*AG26)</f>
        <v/>
      </c>
    </row>
    <row r="27" ht="15" customHeight="1" s="27" thickBot="1">
      <c r="A27" s="5">
        <f>(AI27*AI$3+AJ27*AJ$3+AK27*AK$3+AL27*AL$3+AM27*AM$3)*100/(AI$5*AI$3+AJ$5*AJ$3+AK$5*AK$3+AL$5*AL$3+AM$5*AM$3)</f>
        <v/>
      </c>
      <c r="B27" s="16" t="n">
        <v>49</v>
      </c>
      <c r="C27" s="10" t="inlineStr">
        <is>
          <t>Rodriguez, Arquimedes</t>
        </is>
      </c>
      <c r="D27" s="17" t="inlineStr">
        <is>
          <t>RF</t>
        </is>
      </c>
      <c r="E27" s="17" t="inlineStr">
        <is>
          <t>S</t>
        </is>
      </c>
      <c r="F27" s="17" t="inlineStr">
        <is>
          <t>L</t>
        </is>
      </c>
      <c r="G27" s="17" t="n">
        <v>18</v>
      </c>
      <c r="H27" s="17" t="n">
        <v>56</v>
      </c>
      <c r="I27" s="17" t="n">
        <v>53</v>
      </c>
      <c r="J27" s="17" t="n">
        <v>83</v>
      </c>
      <c r="K27" s="17" t="n">
        <v>46</v>
      </c>
      <c r="L27" s="17" t="n">
        <v>45</v>
      </c>
      <c r="M27" s="17" t="n">
        <v>73</v>
      </c>
      <c r="N27" s="17" t="n">
        <v>34</v>
      </c>
      <c r="O27" s="17" t="n">
        <v>50</v>
      </c>
      <c r="P27" s="17" t="n">
        <v>62</v>
      </c>
      <c r="Q27" s="16" t="n">
        <v>49</v>
      </c>
      <c r="R27" s="10" t="inlineStr">
        <is>
          <t>Rodriguez, Arquimedes</t>
        </is>
      </c>
      <c r="S27" s="17" t="inlineStr">
        <is>
          <t>RF</t>
        </is>
      </c>
      <c r="T27" s="17" t="inlineStr">
        <is>
          <t>S</t>
        </is>
      </c>
      <c r="U27" s="17" t="inlineStr">
        <is>
          <t>L</t>
        </is>
      </c>
      <c r="V27" s="17" t="n">
        <v>18</v>
      </c>
      <c r="W27" s="17" t="n">
        <v>66</v>
      </c>
      <c r="X27" s="17" t="n">
        <v>57</v>
      </c>
      <c r="Y27" s="17" t="n">
        <v>74</v>
      </c>
      <c r="Z27" s="17" t="n">
        <v>59</v>
      </c>
      <c r="AA27" s="17" t="n">
        <v>4</v>
      </c>
      <c r="AB27" s="17" t="n">
        <v>75</v>
      </c>
      <c r="AC27" s="17" t="n">
        <v>74</v>
      </c>
      <c r="AD27" s="17" t="n">
        <v>36</v>
      </c>
      <c r="AE27" s="17" t="n">
        <v>63</v>
      </c>
      <c r="AF27" s="17" t="n">
        <v>50</v>
      </c>
      <c r="AG27" s="17" t="n">
        <v>39</v>
      </c>
      <c r="AH27" s="17" t="n">
        <v>62</v>
      </c>
      <c r="AI27" s="5">
        <f>H$1*((-0.000002)*H27^3+0.00032*H27^2+(-0.0021)*H27)+I$1*((-0.000002)*I27^3+0.00032*I27^2+(-0.0021)*I27)+J$1*((-0.000002)*J27^3+0.00032*J27^2+(-0.0021)*J27)+K$1*((-0.000002)*K27^3+0.00032*K27^2+(-0.0021)*K27)+L$1*((-0.000002)*L27^3+0.00032*L27^2+(-0.0021)*L27)</f>
        <v/>
      </c>
      <c r="AJ27" s="5">
        <f>M$1*((-0.000002)*M27^3+0.00032*M27^2+(-0.0021)*M27)+N$1*((-0.000002)*N27^3+0.00032*N27^2+(-0.0021)*N27)+O$1*((-0.000002)*O27^3+0.00032*O27^2+(-0.0021)*O27)</f>
        <v/>
      </c>
      <c r="AK27" s="5">
        <f>IF(AA27&lt;50,W$1*((-0.000002)*W27^3+0.00032*W27^2+(-0.0021)*W27)+X$1*((-0.000002)*X27^3+0.00032*X27^2+(-0.0021)*X27)+Y$1*((-0.000002)*Y27^3+0.00032*Y27^2+(-0.0021)*Y27)+Z$1*((-0.000002)*Z27^3+0.00032*Z27^2+(-0.0021)*Z27),X$2*((-0.000002)*X27^3+0.00032*X27^2+(-0.0021)*X27)+Y$2*((-0.000002)*Y27^3+0.00032*Y27^2+(-0.0021)*Y27)+Z$2*((-0.000002)*Z27^3+0.00032*Z27^2+(-0.0021)*Z27)+AA$2*((-0.000002)*AA27^3+0.00032*AA27^2+(-0.0021)*AA27))</f>
        <v/>
      </c>
      <c r="AL27" s="5">
        <f>AB$1*((-0.000002)*AB27^3+0.00032*AB27^2+(-0.0021)*AB27)+AC$1*((-0.000002)*AC27^3+0.00032*AC27^2+(-0.0021)*AC27)</f>
        <v/>
      </c>
      <c r="AM27" s="5">
        <f>AD$1*((-0.000002)*AD27^3+0.00032*AD27^2+(-0.0021)*AD27)+AE$1*((-0.000002)*AE27^3+0.00032*AE27^2+(-0.0021)*AE27)+AF$1*((-0.000002)*AF27^3+0.00032*AF27^2+(-0.0021)*AF27)+AG$1*((-0.000002)*AG27^3+0.00032*AG27^2+(-0.0021)*AG27)</f>
        <v/>
      </c>
    </row>
    <row r="28" ht="15" customHeight="1" s="27" thickBot="1">
      <c r="A28" s="5">
        <f>(AI28*AI$3+AJ28*AJ$3+AK28*AK$3+AL28*AL$3+AM28*AM$3)*100/(AI$5*AI$3+AJ$5*AJ$3+AK$5*AK$3+AL$5*AL$3+AM$5*AM$3)</f>
        <v/>
      </c>
      <c r="B28" s="18" t="n">
        <v>32</v>
      </c>
      <c r="C28" s="11" t="inlineStr">
        <is>
          <t>Lockwood, Lou</t>
        </is>
      </c>
      <c r="D28" s="19" t="inlineStr">
        <is>
          <t>2B</t>
        </is>
      </c>
      <c r="E28" s="19" t="inlineStr">
        <is>
          <t>S</t>
        </is>
      </c>
      <c r="F28" s="19" t="inlineStr">
        <is>
          <t>R</t>
        </is>
      </c>
      <c r="G28" s="19" t="n">
        <v>18</v>
      </c>
      <c r="H28" s="19" t="n">
        <v>6</v>
      </c>
      <c r="I28" s="19" t="n">
        <v>7</v>
      </c>
      <c r="J28" s="19" t="n">
        <v>39</v>
      </c>
      <c r="K28" s="19" t="n">
        <v>87</v>
      </c>
      <c r="L28" s="19" t="n">
        <v>68</v>
      </c>
      <c r="M28" s="19" t="n">
        <v>86</v>
      </c>
      <c r="N28" s="19" t="n">
        <v>100</v>
      </c>
      <c r="O28" s="19" t="n">
        <v>67</v>
      </c>
      <c r="P28" s="19" t="n">
        <v>67</v>
      </c>
      <c r="Q28" s="18" t="n">
        <v>32</v>
      </c>
      <c r="R28" s="11" t="inlineStr">
        <is>
          <t>Lockwood, Lou</t>
        </is>
      </c>
      <c r="S28" s="19" t="inlineStr">
        <is>
          <t>2B</t>
        </is>
      </c>
      <c r="T28" s="19" t="inlineStr">
        <is>
          <t>S</t>
        </is>
      </c>
      <c r="U28" s="19" t="inlineStr">
        <is>
          <t>R</t>
        </is>
      </c>
      <c r="V28" s="19" t="n">
        <v>18</v>
      </c>
      <c r="W28" s="19" t="n">
        <v>90</v>
      </c>
      <c r="X28" s="19" t="n">
        <v>86</v>
      </c>
      <c r="Y28" s="19" t="n">
        <v>64</v>
      </c>
      <c r="Z28" s="19" t="n">
        <v>59</v>
      </c>
      <c r="AA28" s="19" t="n">
        <v>30</v>
      </c>
      <c r="AB28" s="19" t="n">
        <v>86</v>
      </c>
      <c r="AC28" s="19" t="n">
        <v>79</v>
      </c>
      <c r="AD28" s="19" t="n">
        <v>91</v>
      </c>
      <c r="AE28" s="19" t="n">
        <v>92</v>
      </c>
      <c r="AF28" s="19" t="n">
        <v>28</v>
      </c>
      <c r="AG28" s="19" t="n">
        <v>82</v>
      </c>
      <c r="AH28" s="19" t="n">
        <v>67</v>
      </c>
      <c r="AI28" s="5">
        <f>H$1*((-0.000002)*H28^3+0.00032*H28^2+(-0.0021)*H28)+I$1*((-0.000002)*I28^3+0.00032*I28^2+(-0.0021)*I28)+J$1*((-0.000002)*J28^3+0.00032*J28^2+(-0.0021)*J28)+K$1*((-0.000002)*K28^3+0.00032*K28^2+(-0.0021)*K28)+L$1*((-0.000002)*L28^3+0.00032*L28^2+(-0.0021)*L28)</f>
        <v/>
      </c>
      <c r="AJ28" s="5">
        <f>M$1*((-0.000002)*M28^3+0.00032*M28^2+(-0.0021)*M28)+N$1*((-0.000002)*N28^3+0.00032*N28^2+(-0.0021)*N28)+O$1*((-0.000002)*O28^3+0.00032*O28^2+(-0.0021)*O28)</f>
        <v/>
      </c>
      <c r="AK28" s="5">
        <f>IF(AA28&lt;50,W$1*((-0.000002)*W28^3+0.00032*W28^2+(-0.0021)*W28)+X$1*((-0.000002)*X28^3+0.00032*X28^2+(-0.0021)*X28)+Y$1*((-0.000002)*Y28^3+0.00032*Y28^2+(-0.0021)*Y28)+Z$1*((-0.000002)*Z28^3+0.00032*Z28^2+(-0.0021)*Z28),X$2*((-0.000002)*X28^3+0.00032*X28^2+(-0.0021)*X28)+Y$2*((-0.000002)*Y28^3+0.00032*Y28^2+(-0.0021)*Y28)+Z$2*((-0.000002)*Z28^3+0.00032*Z28^2+(-0.0021)*Z28)+AA$2*((-0.000002)*AA28^3+0.00032*AA28^2+(-0.0021)*AA28))</f>
        <v/>
      </c>
      <c r="AL28" s="5">
        <f>AB$1*((-0.000002)*AB28^3+0.00032*AB28^2+(-0.0021)*AB28)+AC$1*((-0.000002)*AC28^3+0.00032*AC28^2+(-0.0021)*AC28)</f>
        <v/>
      </c>
      <c r="AM28" s="5">
        <f>AD$1*((-0.000002)*AD28^3+0.00032*AD28^2+(-0.0021)*AD28)+AE$1*((-0.000002)*AE28^3+0.00032*AE28^2+(-0.0021)*AE28)+AF$1*((-0.000002)*AF28^3+0.00032*AF28^2+(-0.0021)*AF28)+AG$1*((-0.000002)*AG28^3+0.00032*AG28^2+(-0.0021)*AG28)</f>
        <v/>
      </c>
    </row>
    <row r="29" ht="15" customHeight="1" s="27" thickBot="1">
      <c r="A29" s="5">
        <f>(AI29*AI$3+AJ29*AJ$3+AK29*AK$3+AL29*AL$3+AM29*AM$3)*100/(AI$5*AI$3+AJ$5*AJ$3+AK$5*AK$3+AL$5*AL$3+AM$5*AM$3)</f>
        <v/>
      </c>
      <c r="B29" s="18" t="n">
        <v>182</v>
      </c>
      <c r="C29" s="11" t="inlineStr">
        <is>
          <t>Yoshii, Del</t>
        </is>
      </c>
      <c r="D29" s="19" t="inlineStr">
        <is>
          <t>DH</t>
        </is>
      </c>
      <c r="E29" s="19" t="inlineStr">
        <is>
          <t>S</t>
        </is>
      </c>
      <c r="F29" s="19" t="inlineStr">
        <is>
          <t>R</t>
        </is>
      </c>
      <c r="G29" s="19" t="n">
        <v>18</v>
      </c>
      <c r="H29" s="19" t="n">
        <v>0</v>
      </c>
      <c r="I29" s="19" t="n">
        <v>100</v>
      </c>
      <c r="J29" s="19" t="n">
        <v>51</v>
      </c>
      <c r="K29" s="19" t="n">
        <v>44</v>
      </c>
      <c r="L29" s="19" t="n">
        <v>99</v>
      </c>
      <c r="M29" s="19" t="n">
        <v>31</v>
      </c>
      <c r="N29" s="19" t="n">
        <v>42</v>
      </c>
      <c r="O29" s="19" t="n">
        <v>28</v>
      </c>
      <c r="P29" s="19" t="n">
        <v>62</v>
      </c>
      <c r="Q29" s="18" t="n">
        <v>182</v>
      </c>
      <c r="R29" s="11" t="inlineStr">
        <is>
          <t>Yoshii, Del</t>
        </is>
      </c>
      <c r="S29" s="19" t="inlineStr">
        <is>
          <t>DH</t>
        </is>
      </c>
      <c r="T29" s="19" t="inlineStr">
        <is>
          <t>S</t>
        </is>
      </c>
      <c r="U29" s="19" t="inlineStr">
        <is>
          <t>R</t>
        </is>
      </c>
      <c r="V29" s="19" t="n">
        <v>18</v>
      </c>
      <c r="W29" s="19" t="n">
        <v>36</v>
      </c>
      <c r="X29" s="19" t="n">
        <v>26</v>
      </c>
      <c r="Y29" s="19" t="n">
        <v>19</v>
      </c>
      <c r="Z29" s="19" t="n">
        <v>34</v>
      </c>
      <c r="AA29" s="19" t="n">
        <v>30</v>
      </c>
      <c r="AB29" s="19" t="n">
        <v>100</v>
      </c>
      <c r="AC29" s="19" t="n">
        <v>99</v>
      </c>
      <c r="AD29" s="19" t="n">
        <v>1</v>
      </c>
      <c r="AE29" s="19" t="n">
        <v>92</v>
      </c>
      <c r="AF29" s="19" t="n">
        <v>100</v>
      </c>
      <c r="AG29" s="19" t="n">
        <v>57</v>
      </c>
      <c r="AH29" s="19" t="n">
        <v>62</v>
      </c>
      <c r="AI29" s="5">
        <f>H$1*((-0.000002)*H29^3+0.00032*H29^2+(-0.0021)*H29)+I$1*((-0.000002)*I29^3+0.00032*I29^2+(-0.0021)*I29)+J$1*((-0.000002)*J29^3+0.00032*J29^2+(-0.0021)*J29)+K$1*((-0.000002)*K29^3+0.00032*K29^2+(-0.0021)*K29)+L$1*((-0.000002)*L29^3+0.00032*L29^2+(-0.0021)*L29)</f>
        <v/>
      </c>
      <c r="AJ29" s="5">
        <f>M$1*((-0.000002)*M29^3+0.00032*M29^2+(-0.0021)*M29)+N$1*((-0.000002)*N29^3+0.00032*N29^2+(-0.0021)*N29)+O$1*((-0.000002)*O29^3+0.00032*O29^2+(-0.0021)*O29)</f>
        <v/>
      </c>
      <c r="AK29" s="5">
        <f>IF(AA29&lt;50,W$1*((-0.000002)*W29^3+0.00032*W29^2+(-0.0021)*W29)+X$1*((-0.000002)*X29^3+0.00032*X29^2+(-0.0021)*X29)+Y$1*((-0.000002)*Y29^3+0.00032*Y29^2+(-0.0021)*Y29)+Z$1*((-0.000002)*Z29^3+0.00032*Z29^2+(-0.0021)*Z29),X$2*((-0.000002)*X29^3+0.00032*X29^2+(-0.0021)*X29)+Y$2*((-0.000002)*Y29^3+0.00032*Y29^2+(-0.0021)*Y29)+Z$2*((-0.000002)*Z29^3+0.00032*Z29^2+(-0.0021)*Z29)+AA$2*((-0.000002)*AA29^3+0.00032*AA29^2+(-0.0021)*AA29))</f>
        <v/>
      </c>
      <c r="AL29" s="5">
        <f>AB$1*((-0.000002)*AB29^3+0.00032*AB29^2+(-0.0021)*AB29)+AC$1*((-0.000002)*AC29^3+0.00032*AC29^2+(-0.0021)*AC29)</f>
        <v/>
      </c>
      <c r="AM29" s="5">
        <f>AD$1*((-0.000002)*AD29^3+0.00032*AD29^2+(-0.0021)*AD29)+AE$1*((-0.000002)*AE29^3+0.00032*AE29^2+(-0.0021)*AE29)+AF$1*((-0.000002)*AF29^3+0.00032*AF29^2+(-0.0021)*AF29)+AG$1*((-0.000002)*AG29^3+0.00032*AG29^2+(-0.0021)*AG29)</f>
        <v/>
      </c>
    </row>
    <row r="30" ht="15" customHeight="1" s="27" thickBot="1">
      <c r="A30" s="5">
        <f>(AI30*AI$3+AJ30*AJ$3+AK30*AK$3+AL30*AL$3+AM30*AM$3)*100/(AI$5*AI$3+AJ$5*AJ$3+AK$5*AK$3+AL$5*AL$3+AM$5*AM$3)</f>
        <v/>
      </c>
      <c r="B30" s="18" t="n">
        <v>68</v>
      </c>
      <c r="C30" s="11" t="inlineStr">
        <is>
          <t>Frieri, Omar</t>
        </is>
      </c>
      <c r="D30" s="19" t="inlineStr">
        <is>
          <t>C</t>
        </is>
      </c>
      <c r="E30" s="19" t="inlineStr">
        <is>
          <t>R</t>
        </is>
      </c>
      <c r="F30" s="19" t="inlineStr">
        <is>
          <t>R</t>
        </is>
      </c>
      <c r="G30" s="19" t="n">
        <v>20</v>
      </c>
      <c r="H30" s="19" t="n">
        <v>62</v>
      </c>
      <c r="I30" s="19" t="n">
        <v>34</v>
      </c>
      <c r="J30" s="19" t="n">
        <v>28</v>
      </c>
      <c r="K30" s="19" t="n">
        <v>0</v>
      </c>
      <c r="L30" s="19" t="n">
        <v>39</v>
      </c>
      <c r="M30" s="19" t="n">
        <v>96</v>
      </c>
      <c r="N30" s="19" t="n">
        <v>58</v>
      </c>
      <c r="O30" s="19" t="n">
        <v>89</v>
      </c>
      <c r="P30" s="19" t="n">
        <v>66</v>
      </c>
      <c r="Q30" s="18" t="n">
        <v>68</v>
      </c>
      <c r="R30" s="11" t="inlineStr">
        <is>
          <t>Frieri, Omar</t>
        </is>
      </c>
      <c r="S30" s="19" t="inlineStr">
        <is>
          <t>C</t>
        </is>
      </c>
      <c r="T30" s="19" t="inlineStr">
        <is>
          <t>R</t>
        </is>
      </c>
      <c r="U30" s="19" t="inlineStr">
        <is>
          <t>R</t>
        </is>
      </c>
      <c r="V30" s="19" t="n">
        <v>20</v>
      </c>
      <c r="W30" s="19" t="n">
        <v>100</v>
      </c>
      <c r="X30" s="19" t="n">
        <v>80</v>
      </c>
      <c r="Y30" s="19" t="n">
        <v>95</v>
      </c>
      <c r="Z30" s="19" t="n">
        <v>100</v>
      </c>
      <c r="AA30" s="19" t="n">
        <v>40</v>
      </c>
      <c r="AB30" s="19" t="n">
        <v>83</v>
      </c>
      <c r="AC30" s="19" t="n">
        <v>100</v>
      </c>
      <c r="AD30" s="19" t="n">
        <v>57</v>
      </c>
      <c r="AE30" s="19" t="n">
        <v>45</v>
      </c>
      <c r="AF30" s="19" t="n">
        <v>23</v>
      </c>
      <c r="AG30" s="19" t="n">
        <v>41</v>
      </c>
      <c r="AH30" s="19" t="n">
        <v>66</v>
      </c>
      <c r="AI30" s="5">
        <f>H$1*((-0.000002)*H30^3+0.00032*H30^2+(-0.0021)*H30)+I$1*((-0.000002)*I30^3+0.00032*I30^2+(-0.0021)*I30)+J$1*((-0.000002)*J30^3+0.00032*J30^2+(-0.0021)*J30)+K$1*((-0.000002)*K30^3+0.00032*K30^2+(-0.0021)*K30)+L$1*((-0.000002)*L30^3+0.00032*L30^2+(-0.0021)*L30)</f>
        <v/>
      </c>
      <c r="AJ30" s="5">
        <f>M$1*((-0.000002)*M30^3+0.00032*M30^2+(-0.0021)*M30)+N$1*((-0.000002)*N30^3+0.00032*N30^2+(-0.0021)*N30)+O$1*((-0.000002)*O30^3+0.00032*O30^2+(-0.0021)*O30)</f>
        <v/>
      </c>
      <c r="AK30" s="5">
        <f>IF(AA30&lt;50,W$1*((-0.000002)*W30^3+0.00032*W30^2+(-0.0021)*W30)+X$1*((-0.000002)*X30^3+0.00032*X30^2+(-0.0021)*X30)+Y$1*((-0.000002)*Y30^3+0.00032*Y30^2+(-0.0021)*Y30)+Z$1*((-0.000002)*Z30^3+0.00032*Z30^2+(-0.0021)*Z30),X$2*((-0.000002)*X30^3+0.00032*X30^2+(-0.0021)*X30)+Y$2*((-0.000002)*Y30^3+0.00032*Y30^2+(-0.0021)*Y30)+Z$2*((-0.000002)*Z30^3+0.00032*Z30^2+(-0.0021)*Z30)+AA$2*((-0.000002)*AA30^3+0.00032*AA30^2+(-0.0021)*AA30))</f>
        <v/>
      </c>
      <c r="AL30" s="5">
        <f>AB$1*((-0.000002)*AB30^3+0.00032*AB30^2+(-0.0021)*AB30)+AC$1*((-0.000002)*AC30^3+0.00032*AC30^2+(-0.0021)*AC30)</f>
        <v/>
      </c>
      <c r="AM30" s="5">
        <f>AD$1*((-0.000002)*AD30^3+0.00032*AD30^2+(-0.0021)*AD30)+AE$1*((-0.000002)*AE30^3+0.00032*AE30^2+(-0.0021)*AE30)+AF$1*((-0.000002)*AF30^3+0.00032*AF30^2+(-0.0021)*AF30)+AG$1*((-0.000002)*AG30^3+0.00032*AG30^2+(-0.0021)*AG30)</f>
        <v/>
      </c>
    </row>
    <row r="31" ht="15" customHeight="1" s="27" thickBot="1">
      <c r="A31" s="5">
        <f>(AI31*AI$3+AJ31*AJ$3+AK31*AK$3+AL31*AL$3+AM31*AM$3)*100/(AI$5*AI$3+AJ$5*AJ$3+AK$5*AK$3+AL$5*AL$3+AM$5*AM$3)</f>
        <v/>
      </c>
      <c r="B31" s="18" t="n">
        <v>42</v>
      </c>
      <c r="C31" s="11" t="inlineStr">
        <is>
          <t>Butler, Allen</t>
        </is>
      </c>
      <c r="D31" s="19" t="inlineStr">
        <is>
          <t>C</t>
        </is>
      </c>
      <c r="E31" s="19" t="inlineStr">
        <is>
          <t>R</t>
        </is>
      </c>
      <c r="F31" s="19" t="inlineStr">
        <is>
          <t>R</t>
        </is>
      </c>
      <c r="G31" s="19" t="n">
        <v>18</v>
      </c>
      <c r="H31" s="19" t="n">
        <v>44</v>
      </c>
      <c r="I31" s="19" t="n">
        <v>60</v>
      </c>
      <c r="J31" s="19" t="n">
        <v>74</v>
      </c>
      <c r="K31" s="19" t="n">
        <v>16</v>
      </c>
      <c r="L31" s="19" t="n">
        <v>88</v>
      </c>
      <c r="M31" s="19" t="n">
        <v>42</v>
      </c>
      <c r="N31" s="19" t="n">
        <v>50</v>
      </c>
      <c r="O31" s="19" t="n">
        <v>20</v>
      </c>
      <c r="P31" s="19" t="n">
        <v>61</v>
      </c>
      <c r="Q31" s="18" t="n">
        <v>42</v>
      </c>
      <c r="R31" s="11" t="inlineStr">
        <is>
          <t>Butler, Allen</t>
        </is>
      </c>
      <c r="S31" s="19" t="inlineStr">
        <is>
          <t>C</t>
        </is>
      </c>
      <c r="T31" s="19" t="inlineStr">
        <is>
          <t>R</t>
        </is>
      </c>
      <c r="U31" s="19" t="inlineStr">
        <is>
          <t>R</t>
        </is>
      </c>
      <c r="V31" s="19" t="n">
        <v>18</v>
      </c>
      <c r="W31" s="19" t="n">
        <v>9</v>
      </c>
      <c r="X31" s="19" t="n">
        <v>15</v>
      </c>
      <c r="Y31" s="19" t="n">
        <v>69</v>
      </c>
      <c r="Z31" s="19" t="n">
        <v>84</v>
      </c>
      <c r="AA31" s="19" t="n">
        <v>61</v>
      </c>
      <c r="AB31" s="19" t="n">
        <v>79</v>
      </c>
      <c r="AC31" s="19" t="n">
        <v>99</v>
      </c>
      <c r="AD31" s="19" t="n">
        <v>4</v>
      </c>
      <c r="AE31" s="19" t="n">
        <v>70</v>
      </c>
      <c r="AF31" s="19" t="n">
        <v>27</v>
      </c>
      <c r="AG31" s="19" t="n">
        <v>63</v>
      </c>
      <c r="AH31" s="19" t="n">
        <v>61</v>
      </c>
      <c r="AI31" s="5">
        <f>H$1*((-0.000002)*H31^3+0.00032*H31^2+(-0.0021)*H31)+I$1*((-0.000002)*I31^3+0.00032*I31^2+(-0.0021)*I31)+J$1*((-0.000002)*J31^3+0.00032*J31^2+(-0.0021)*J31)+K$1*((-0.000002)*K31^3+0.00032*K31^2+(-0.0021)*K31)+L$1*((-0.000002)*L31^3+0.00032*L31^2+(-0.0021)*L31)</f>
        <v/>
      </c>
      <c r="AJ31" s="5">
        <f>M$1*((-0.000002)*M31^3+0.00032*M31^2+(-0.0021)*M31)+N$1*((-0.000002)*N31^3+0.00032*N31^2+(-0.0021)*N31)+O$1*((-0.000002)*O31^3+0.00032*O31^2+(-0.0021)*O31)</f>
        <v/>
      </c>
      <c r="AK31" s="5">
        <f>IF(AA31&lt;50,W$1*((-0.000002)*W31^3+0.00032*W31^2+(-0.0021)*W31)+X$1*((-0.000002)*X31^3+0.00032*X31^2+(-0.0021)*X31)+Y$1*((-0.000002)*Y31^3+0.00032*Y31^2+(-0.0021)*Y31)+Z$1*((-0.000002)*Z31^3+0.00032*Z31^2+(-0.0021)*Z31),X$2*((-0.000002)*X31^3+0.00032*X31^2+(-0.0021)*X31)+Y$2*((-0.000002)*Y31^3+0.00032*Y31^2+(-0.0021)*Y31)+Z$2*((-0.000002)*Z31^3+0.00032*Z31^2+(-0.0021)*Z31)+AA$2*((-0.000002)*AA31^3+0.00032*AA31^2+(-0.0021)*AA31))</f>
        <v/>
      </c>
      <c r="AL31" s="5">
        <f>AB$1*((-0.000002)*AB31^3+0.00032*AB31^2+(-0.0021)*AB31)+AC$1*((-0.000002)*AC31^3+0.00032*AC31^2+(-0.0021)*AC31)</f>
        <v/>
      </c>
      <c r="AM31" s="5">
        <f>AD$1*((-0.000002)*AD31^3+0.00032*AD31^2+(-0.0021)*AD31)+AE$1*((-0.000002)*AE31^3+0.00032*AE31^2+(-0.0021)*AE31)+AF$1*((-0.000002)*AF31^3+0.00032*AF31^2+(-0.0021)*AF31)+AG$1*((-0.000002)*AG31^3+0.00032*AG31^2+(-0.0021)*AG31)</f>
        <v/>
      </c>
    </row>
    <row r="32" ht="15" customHeight="1" s="27" thickBot="1">
      <c r="A32" s="5">
        <f>(AI32*AI$3+AJ32*AJ$3+AK32*AK$3+AL32*AL$3+AM32*AM$3)*100/(AI$5*AI$3+AJ$5*AJ$3+AK$5*AK$3+AL$5*AL$3+AM$5*AM$3)</f>
        <v/>
      </c>
      <c r="B32" s="18" t="n">
        <v>44</v>
      </c>
      <c r="C32" s="11" t="inlineStr">
        <is>
          <t>Medica, Kirt</t>
        </is>
      </c>
      <c r="D32" s="19" t="inlineStr">
        <is>
          <t>2B</t>
        </is>
      </c>
      <c r="E32" s="19" t="inlineStr">
        <is>
          <t>R</t>
        </is>
      </c>
      <c r="F32" s="19" t="inlineStr">
        <is>
          <t>R</t>
        </is>
      </c>
      <c r="G32" s="19" t="n">
        <v>18</v>
      </c>
      <c r="H32" s="19" t="n">
        <v>59</v>
      </c>
      <c r="I32" s="19" t="n">
        <v>46</v>
      </c>
      <c r="J32" s="19" t="n">
        <v>21</v>
      </c>
      <c r="K32" s="19" t="n">
        <v>32</v>
      </c>
      <c r="L32" s="19" t="n">
        <v>56</v>
      </c>
      <c r="M32" s="19" t="n">
        <v>73</v>
      </c>
      <c r="N32" s="19" t="n">
        <v>29</v>
      </c>
      <c r="O32" s="19" t="n">
        <v>76</v>
      </c>
      <c r="P32" s="19" t="n">
        <v>63</v>
      </c>
      <c r="Q32" s="18" t="n">
        <v>44</v>
      </c>
      <c r="R32" s="11" t="inlineStr">
        <is>
          <t>Medica, Kirt</t>
        </is>
      </c>
      <c r="S32" s="19" t="inlineStr">
        <is>
          <t>2B</t>
        </is>
      </c>
      <c r="T32" s="19" t="inlineStr">
        <is>
          <t>R</t>
        </is>
      </c>
      <c r="U32" s="19" t="inlineStr">
        <is>
          <t>R</t>
        </is>
      </c>
      <c r="V32" s="19" t="n">
        <v>18</v>
      </c>
      <c r="W32" s="19" t="n">
        <v>71</v>
      </c>
      <c r="X32" s="19" t="n">
        <v>66</v>
      </c>
      <c r="Y32" s="19" t="n">
        <v>46</v>
      </c>
      <c r="Z32" s="19" t="n">
        <v>63</v>
      </c>
      <c r="AA32" s="19" t="n">
        <v>17</v>
      </c>
      <c r="AB32" s="19" t="n">
        <v>77</v>
      </c>
      <c r="AC32" s="19" t="n">
        <v>88</v>
      </c>
      <c r="AD32" s="19" t="n">
        <v>69</v>
      </c>
      <c r="AE32" s="19" t="n">
        <v>74</v>
      </c>
      <c r="AF32" s="19" t="n">
        <v>14</v>
      </c>
      <c r="AG32" s="19" t="n">
        <v>97</v>
      </c>
      <c r="AH32" s="19" t="n">
        <v>63</v>
      </c>
      <c r="AI32" s="5">
        <f>H$1*((-0.000002)*H32^3+0.00032*H32^2+(-0.0021)*H32)+I$1*((-0.000002)*I32^3+0.00032*I32^2+(-0.0021)*I32)+J$1*((-0.000002)*J32^3+0.00032*J32^2+(-0.0021)*J32)+K$1*((-0.000002)*K32^3+0.00032*K32^2+(-0.0021)*K32)+L$1*((-0.000002)*L32^3+0.00032*L32^2+(-0.0021)*L32)</f>
        <v/>
      </c>
      <c r="AJ32" s="5">
        <f>M$1*((-0.000002)*M32^3+0.00032*M32^2+(-0.0021)*M32)+N$1*((-0.000002)*N32^3+0.00032*N32^2+(-0.0021)*N32)+O$1*((-0.000002)*O32^3+0.00032*O32^2+(-0.0021)*O32)</f>
        <v/>
      </c>
      <c r="AK32" s="5">
        <f>IF(AA32&lt;50,W$1*((-0.000002)*W32^3+0.00032*W32^2+(-0.0021)*W32)+X$1*((-0.000002)*X32^3+0.00032*X32^2+(-0.0021)*X32)+Y$1*((-0.000002)*Y32^3+0.00032*Y32^2+(-0.0021)*Y32)+Z$1*((-0.000002)*Z32^3+0.00032*Z32^2+(-0.0021)*Z32),X$2*((-0.000002)*X32^3+0.00032*X32^2+(-0.0021)*X32)+Y$2*((-0.000002)*Y32^3+0.00032*Y32^2+(-0.0021)*Y32)+Z$2*((-0.000002)*Z32^3+0.00032*Z32^2+(-0.0021)*Z32)+AA$2*((-0.000002)*AA32^3+0.00032*AA32^2+(-0.0021)*AA32))</f>
        <v/>
      </c>
      <c r="AL32" s="5">
        <f>AB$1*((-0.000002)*AB32^3+0.00032*AB32^2+(-0.0021)*AB32)+AC$1*((-0.000002)*AC32^3+0.00032*AC32^2+(-0.0021)*AC32)</f>
        <v/>
      </c>
      <c r="AM32" s="5">
        <f>AD$1*((-0.000002)*AD32^3+0.00032*AD32^2+(-0.0021)*AD32)+AE$1*((-0.000002)*AE32^3+0.00032*AE32^2+(-0.0021)*AE32)+AF$1*((-0.000002)*AF32^3+0.00032*AF32^2+(-0.0021)*AF32)+AG$1*((-0.000002)*AG32^3+0.00032*AG32^2+(-0.0021)*AG32)</f>
        <v/>
      </c>
    </row>
    <row r="33" ht="15" customHeight="1" s="27" thickBot="1">
      <c r="A33" s="5">
        <f>(AI33*AI$3+AJ33*AJ$3+AK33*AK$3+AL33*AL$3+AM33*AM$3)*100/(AI$5*AI$3+AJ$5*AJ$3+AK$5*AK$3+AL$5*AL$3+AM$5*AM$3)</f>
        <v/>
      </c>
      <c r="B33" s="18" t="n">
        <v>26</v>
      </c>
      <c r="C33" s="11" t="inlineStr">
        <is>
          <t>Dawkins, Marvin</t>
        </is>
      </c>
      <c r="D33" s="19" t="inlineStr">
        <is>
          <t>LF</t>
        </is>
      </c>
      <c r="E33" s="19" t="inlineStr">
        <is>
          <t>S</t>
        </is>
      </c>
      <c r="F33" s="19" t="inlineStr">
        <is>
          <t>L</t>
        </is>
      </c>
      <c r="G33" s="19" t="n">
        <v>18</v>
      </c>
      <c r="H33" s="19" t="n">
        <v>48</v>
      </c>
      <c r="I33" s="19" t="n">
        <v>43</v>
      </c>
      <c r="J33" s="19" t="n">
        <v>66</v>
      </c>
      <c r="K33" s="19" t="n">
        <v>56</v>
      </c>
      <c r="L33" s="19" t="n">
        <v>44</v>
      </c>
      <c r="M33" s="19" t="n">
        <v>69</v>
      </c>
      <c r="N33" s="19" t="n">
        <v>73</v>
      </c>
      <c r="O33" s="19" t="n">
        <v>43</v>
      </c>
      <c r="P33" s="19" t="n">
        <v>69</v>
      </c>
      <c r="Q33" s="18" t="n">
        <v>26</v>
      </c>
      <c r="R33" s="11" t="inlineStr">
        <is>
          <t>Dawkins, Marvin</t>
        </is>
      </c>
      <c r="S33" s="19" t="inlineStr">
        <is>
          <t>LF</t>
        </is>
      </c>
      <c r="T33" s="19" t="inlineStr">
        <is>
          <t>S</t>
        </is>
      </c>
      <c r="U33" s="19" t="inlineStr">
        <is>
          <t>L</t>
        </is>
      </c>
      <c r="V33" s="19" t="n">
        <v>18</v>
      </c>
      <c r="W33" s="19" t="n">
        <v>56</v>
      </c>
      <c r="X33" s="19" t="n">
        <v>66</v>
      </c>
      <c r="Y33" s="19" t="n">
        <v>52</v>
      </c>
      <c r="Z33" s="19" t="n">
        <v>60</v>
      </c>
      <c r="AA33" s="19" t="n">
        <v>2</v>
      </c>
      <c r="AB33" s="19" t="n">
        <v>93</v>
      </c>
      <c r="AC33" s="19" t="n">
        <v>71</v>
      </c>
      <c r="AD33" s="19" t="n">
        <v>83</v>
      </c>
      <c r="AE33" s="19" t="n">
        <v>41</v>
      </c>
      <c r="AF33" s="19" t="n">
        <v>40</v>
      </c>
      <c r="AG33" s="19" t="n">
        <v>100</v>
      </c>
      <c r="AH33" s="19" t="n">
        <v>69</v>
      </c>
      <c r="AI33" s="5">
        <f>H$1*((-0.000002)*H33^3+0.00032*H33^2+(-0.0021)*H33)+I$1*((-0.000002)*I33^3+0.00032*I33^2+(-0.0021)*I33)+J$1*((-0.000002)*J33^3+0.00032*J33^2+(-0.0021)*J33)+K$1*((-0.000002)*K33^3+0.00032*K33^2+(-0.0021)*K33)+L$1*((-0.000002)*L33^3+0.00032*L33^2+(-0.0021)*L33)</f>
        <v/>
      </c>
      <c r="AJ33" s="5">
        <f>M$1*((-0.000002)*M33^3+0.00032*M33^2+(-0.0021)*M33)+N$1*((-0.000002)*N33^3+0.00032*N33^2+(-0.0021)*N33)+O$1*((-0.000002)*O33^3+0.00032*O33^2+(-0.0021)*O33)</f>
        <v/>
      </c>
      <c r="AK33" s="5">
        <f>IF(AA33&lt;50,W$1*((-0.000002)*W33^3+0.00032*W33^2+(-0.0021)*W33)+X$1*((-0.000002)*X33^3+0.00032*X33^2+(-0.0021)*X33)+Y$1*((-0.000002)*Y33^3+0.00032*Y33^2+(-0.0021)*Y33)+Z$1*((-0.000002)*Z33^3+0.00032*Z33^2+(-0.0021)*Z33),X$2*((-0.000002)*X33^3+0.00032*X33^2+(-0.0021)*X33)+Y$2*((-0.000002)*Y33^3+0.00032*Y33^2+(-0.0021)*Y33)+Z$2*((-0.000002)*Z33^3+0.00032*Z33^2+(-0.0021)*Z33)+AA$2*((-0.000002)*AA33^3+0.00032*AA33^2+(-0.0021)*AA33))</f>
        <v/>
      </c>
      <c r="AL33" s="5">
        <f>AB$1*((-0.000002)*AB33^3+0.00032*AB33^2+(-0.0021)*AB33)+AC$1*((-0.000002)*AC33^3+0.00032*AC33^2+(-0.0021)*AC33)</f>
        <v/>
      </c>
      <c r="AM33" s="5">
        <f>AD$1*((-0.000002)*AD33^3+0.00032*AD33^2+(-0.0021)*AD33)+AE$1*((-0.000002)*AE33^3+0.00032*AE33^2+(-0.0021)*AE33)+AF$1*((-0.000002)*AF33^3+0.00032*AF33^2+(-0.0021)*AF33)+AG$1*((-0.000002)*AG33^3+0.00032*AG33^2+(-0.0021)*AG33)</f>
        <v/>
      </c>
    </row>
    <row r="34" ht="15" customHeight="1" s="27" thickBot="1">
      <c r="A34" s="5">
        <f>(AI34*AI$3+AJ34*AJ$3+AK34*AK$3+AL34*AL$3+AM34*AM$3)*100/(AI$5*AI$3+AJ$5*AJ$3+AK$5*AK$3+AL$5*AL$3+AM$5*AM$3)</f>
        <v/>
      </c>
      <c r="B34" s="18" t="n">
        <v>56</v>
      </c>
      <c r="C34" s="11" t="inlineStr">
        <is>
          <t>Bergesen, Pete</t>
        </is>
      </c>
      <c r="D34" s="19" t="inlineStr">
        <is>
          <t>LF</t>
        </is>
      </c>
      <c r="E34" s="19" t="inlineStr">
        <is>
          <t>R</t>
        </is>
      </c>
      <c r="F34" s="19" t="inlineStr">
        <is>
          <t>R</t>
        </is>
      </c>
      <c r="G34" s="19" t="n">
        <v>18</v>
      </c>
      <c r="H34" s="19" t="n">
        <v>54</v>
      </c>
      <c r="I34" s="19" t="n">
        <v>9</v>
      </c>
      <c r="J34" s="19" t="n">
        <v>59</v>
      </c>
      <c r="K34" s="19" t="n">
        <v>58</v>
      </c>
      <c r="L34" s="19" t="n">
        <v>73</v>
      </c>
      <c r="M34" s="19" t="n">
        <v>45</v>
      </c>
      <c r="N34" s="19" t="n">
        <v>92</v>
      </c>
      <c r="O34" s="19" t="n">
        <v>36</v>
      </c>
      <c r="P34" s="19" t="n">
        <v>61</v>
      </c>
      <c r="Q34" s="18" t="n">
        <v>56</v>
      </c>
      <c r="R34" s="11" t="inlineStr">
        <is>
          <t>Bergesen, Pete</t>
        </is>
      </c>
      <c r="S34" s="19" t="inlineStr">
        <is>
          <t>LF</t>
        </is>
      </c>
      <c r="T34" s="19" t="inlineStr">
        <is>
          <t>R</t>
        </is>
      </c>
      <c r="U34" s="19" t="inlineStr">
        <is>
          <t>R</t>
        </is>
      </c>
      <c r="V34" s="19" t="n">
        <v>18</v>
      </c>
      <c r="W34" s="19" t="n">
        <v>66</v>
      </c>
      <c r="X34" s="19" t="n">
        <v>57</v>
      </c>
      <c r="Y34" s="19" t="n">
        <v>43</v>
      </c>
      <c r="Z34" s="19" t="n">
        <v>54</v>
      </c>
      <c r="AA34" s="19" t="n">
        <v>0</v>
      </c>
      <c r="AB34" s="19" t="n">
        <v>89</v>
      </c>
      <c r="AC34" s="19" t="n">
        <v>89</v>
      </c>
      <c r="AD34" s="19" t="n">
        <v>45</v>
      </c>
      <c r="AE34" s="19" t="n">
        <v>77</v>
      </c>
      <c r="AF34" s="19" t="n">
        <v>31</v>
      </c>
      <c r="AG34" s="19" t="n">
        <v>41</v>
      </c>
      <c r="AH34" s="19" t="n">
        <v>61</v>
      </c>
      <c r="AI34" s="5">
        <f>H$1*((-0.000002)*H34^3+0.00032*H34^2+(-0.0021)*H34)+I$1*((-0.000002)*I34^3+0.00032*I34^2+(-0.0021)*I34)+J$1*((-0.000002)*J34^3+0.00032*J34^2+(-0.0021)*J34)+K$1*((-0.000002)*K34^3+0.00032*K34^2+(-0.0021)*K34)+L$1*((-0.000002)*L34^3+0.00032*L34^2+(-0.0021)*L34)</f>
        <v/>
      </c>
      <c r="AJ34" s="5">
        <f>M$1*((-0.000002)*M34^3+0.00032*M34^2+(-0.0021)*M34)+N$1*((-0.000002)*N34^3+0.00032*N34^2+(-0.0021)*N34)+O$1*((-0.000002)*O34^3+0.00032*O34^2+(-0.0021)*O34)</f>
        <v/>
      </c>
      <c r="AK34" s="5">
        <f>IF(AA34&lt;50,W$1*((-0.000002)*W34^3+0.00032*W34^2+(-0.0021)*W34)+X$1*((-0.000002)*X34^3+0.00032*X34^2+(-0.0021)*X34)+Y$1*((-0.000002)*Y34^3+0.00032*Y34^2+(-0.0021)*Y34)+Z$1*((-0.000002)*Z34^3+0.00032*Z34^2+(-0.0021)*Z34),X$2*((-0.000002)*X34^3+0.00032*X34^2+(-0.0021)*X34)+Y$2*((-0.000002)*Y34^3+0.00032*Y34^2+(-0.0021)*Y34)+Z$2*((-0.000002)*Z34^3+0.00032*Z34^2+(-0.0021)*Z34)+AA$2*((-0.000002)*AA34^3+0.00032*AA34^2+(-0.0021)*AA34))</f>
        <v/>
      </c>
      <c r="AL34" s="5">
        <f>AB$1*((-0.000002)*AB34^3+0.00032*AB34^2+(-0.0021)*AB34)+AC$1*((-0.000002)*AC34^3+0.00032*AC34^2+(-0.0021)*AC34)</f>
        <v/>
      </c>
      <c r="AM34" s="5">
        <f>AD$1*((-0.000002)*AD34^3+0.00032*AD34^2+(-0.0021)*AD34)+AE$1*((-0.000002)*AE34^3+0.00032*AE34^2+(-0.0021)*AE34)+AF$1*((-0.000002)*AF34^3+0.00032*AF34^2+(-0.0021)*AF34)+AG$1*((-0.000002)*AG34^3+0.00032*AG34^2+(-0.0021)*AG34)</f>
        <v/>
      </c>
    </row>
    <row r="35" ht="15" customHeight="1" s="27" thickBot="1">
      <c r="A35" s="5">
        <f>(AI35*AI$3+AJ35*AJ$3+AK35*AK$3+AL35*AL$3+AM35*AM$3)*100/(AI$5*AI$3+AJ$5*AJ$3+AK$5*AK$3+AL$5*AL$3+AM$5*AM$3)</f>
        <v/>
      </c>
      <c r="B35" s="16" t="n">
        <v>55</v>
      </c>
      <c r="C35" s="10" t="inlineStr">
        <is>
          <t>Cruz, Dilson</t>
        </is>
      </c>
      <c r="D35" s="17" t="inlineStr">
        <is>
          <t>1B</t>
        </is>
      </c>
      <c r="E35" s="17" t="inlineStr">
        <is>
          <t>L</t>
        </is>
      </c>
      <c r="F35" s="17" t="inlineStr">
        <is>
          <t>L</t>
        </is>
      </c>
      <c r="G35" s="17" t="n">
        <v>18</v>
      </c>
      <c r="H35" s="17" t="n">
        <v>67</v>
      </c>
      <c r="I35" s="17" t="n">
        <v>68</v>
      </c>
      <c r="J35" s="17" t="n">
        <v>45</v>
      </c>
      <c r="K35" s="17" t="n">
        <v>59</v>
      </c>
      <c r="L35" s="17" t="n">
        <v>51</v>
      </c>
      <c r="M35" s="17" t="n">
        <v>45</v>
      </c>
      <c r="N35" s="17" t="n">
        <v>2</v>
      </c>
      <c r="O35" s="17" t="n">
        <v>34</v>
      </c>
      <c r="P35" s="17" t="n">
        <v>61</v>
      </c>
      <c r="Q35" s="16" t="n">
        <v>55</v>
      </c>
      <c r="R35" s="10" t="inlineStr">
        <is>
          <t>Cruz, Dilson</t>
        </is>
      </c>
      <c r="S35" s="17" t="inlineStr">
        <is>
          <t>1B</t>
        </is>
      </c>
      <c r="T35" s="17" t="inlineStr">
        <is>
          <t>L</t>
        </is>
      </c>
      <c r="U35" s="17" t="inlineStr">
        <is>
          <t>L</t>
        </is>
      </c>
      <c r="V35" s="17" t="n">
        <v>18</v>
      </c>
      <c r="W35" s="17" t="n">
        <v>37</v>
      </c>
      <c r="X35" s="17" t="n">
        <v>50</v>
      </c>
      <c r="Y35" s="17" t="n">
        <v>32</v>
      </c>
      <c r="Z35" s="17" t="n">
        <v>36</v>
      </c>
      <c r="AA35" s="17" t="n">
        <v>0</v>
      </c>
      <c r="AB35" s="17" t="n">
        <v>85</v>
      </c>
      <c r="AC35" s="17" t="n">
        <v>80</v>
      </c>
      <c r="AD35" s="17" t="n">
        <v>30</v>
      </c>
      <c r="AE35" s="17" t="n">
        <v>67</v>
      </c>
      <c r="AF35" s="17" t="n">
        <v>89</v>
      </c>
      <c r="AG35" s="17" t="n">
        <v>87</v>
      </c>
      <c r="AH35" s="17" t="n">
        <v>61</v>
      </c>
      <c r="AI35" s="5">
        <f>H$1*((-0.000002)*H35^3+0.00032*H35^2+(-0.0021)*H35)+I$1*((-0.000002)*I35^3+0.00032*I35^2+(-0.0021)*I35)+J$1*((-0.000002)*J35^3+0.00032*J35^2+(-0.0021)*J35)+K$1*((-0.000002)*K35^3+0.00032*K35^2+(-0.0021)*K35)+L$1*((-0.000002)*L35^3+0.00032*L35^2+(-0.0021)*L35)</f>
        <v/>
      </c>
      <c r="AJ35" s="5">
        <f>M$1*((-0.000002)*M35^3+0.00032*M35^2+(-0.0021)*M35)+N$1*((-0.000002)*N35^3+0.00032*N35^2+(-0.0021)*N35)+O$1*((-0.000002)*O35^3+0.00032*O35^2+(-0.0021)*O35)</f>
        <v/>
      </c>
      <c r="AK35" s="5">
        <f>IF(AA35&lt;50,W$1*((-0.000002)*W35^3+0.00032*W35^2+(-0.0021)*W35)+X$1*((-0.000002)*X35^3+0.00032*X35^2+(-0.0021)*X35)+Y$1*((-0.000002)*Y35^3+0.00032*Y35^2+(-0.0021)*Y35)+Z$1*((-0.000002)*Z35^3+0.00032*Z35^2+(-0.0021)*Z35),X$2*((-0.000002)*X35^3+0.00032*X35^2+(-0.0021)*X35)+Y$2*((-0.000002)*Y35^3+0.00032*Y35^2+(-0.0021)*Y35)+Z$2*((-0.000002)*Z35^3+0.00032*Z35^2+(-0.0021)*Z35)+AA$2*((-0.000002)*AA35^3+0.00032*AA35^2+(-0.0021)*AA35))</f>
        <v/>
      </c>
      <c r="AL35" s="5">
        <f>AB$1*((-0.000002)*AB35^3+0.00032*AB35^2+(-0.0021)*AB35)+AC$1*((-0.000002)*AC35^3+0.00032*AC35^2+(-0.0021)*AC35)</f>
        <v/>
      </c>
      <c r="AM35" s="5">
        <f>AD$1*((-0.000002)*AD35^3+0.00032*AD35^2+(-0.0021)*AD35)+AE$1*((-0.000002)*AE35^3+0.00032*AE35^2+(-0.0021)*AE35)+AF$1*((-0.000002)*AF35^3+0.00032*AF35^2+(-0.0021)*AF35)+AG$1*((-0.000002)*AG35^3+0.00032*AG35^2+(-0.0021)*AG35)</f>
        <v/>
      </c>
    </row>
    <row r="36" ht="15" customHeight="1" s="27" thickBot="1">
      <c r="A36" s="5">
        <f>(AI36*AI$3+AJ36*AJ$3+AK36*AK$3+AL36*AL$3+AM36*AM$3)*100/(AI$5*AI$3+AJ$5*AJ$3+AK$5*AK$3+AL$5*AL$3+AM$5*AM$3)</f>
        <v/>
      </c>
      <c r="B36" s="16" t="n">
        <v>31</v>
      </c>
      <c r="C36" s="10" t="inlineStr">
        <is>
          <t>Turnbow, Flash</t>
        </is>
      </c>
      <c r="D36" s="17" t="inlineStr">
        <is>
          <t>SS</t>
        </is>
      </c>
      <c r="E36" s="17" t="inlineStr">
        <is>
          <t>R</t>
        </is>
      </c>
      <c r="F36" s="17" t="inlineStr">
        <is>
          <t>R</t>
        </is>
      </c>
      <c r="G36" s="17" t="n">
        <v>18</v>
      </c>
      <c r="H36" s="17" t="n">
        <v>41</v>
      </c>
      <c r="I36" s="17" t="n">
        <v>34</v>
      </c>
      <c r="J36" s="17" t="n">
        <v>18</v>
      </c>
      <c r="K36" s="17" t="n">
        <v>54</v>
      </c>
      <c r="L36" s="17" t="n">
        <v>23</v>
      </c>
      <c r="M36" s="17" t="n">
        <v>78</v>
      </c>
      <c r="N36" s="17" t="n">
        <v>77</v>
      </c>
      <c r="O36" s="17" t="n">
        <v>28</v>
      </c>
      <c r="P36" s="17" t="n">
        <v>67</v>
      </c>
      <c r="Q36" s="16" t="n">
        <v>31</v>
      </c>
      <c r="R36" s="10" t="inlineStr">
        <is>
          <t>Turnbow, Flash</t>
        </is>
      </c>
      <c r="S36" s="17" t="inlineStr">
        <is>
          <t>SS</t>
        </is>
      </c>
      <c r="T36" s="17" t="inlineStr">
        <is>
          <t>R</t>
        </is>
      </c>
      <c r="U36" s="17" t="inlineStr">
        <is>
          <t>R</t>
        </is>
      </c>
      <c r="V36" s="17" t="n">
        <v>18</v>
      </c>
      <c r="W36" s="17" t="n">
        <v>93</v>
      </c>
      <c r="X36" s="17" t="n">
        <v>93</v>
      </c>
      <c r="Y36" s="17" t="n">
        <v>90</v>
      </c>
      <c r="Z36" s="17" t="n">
        <v>96</v>
      </c>
      <c r="AA36" s="17" t="n">
        <v>39</v>
      </c>
      <c r="AB36" s="17" t="n">
        <v>93</v>
      </c>
      <c r="AC36" s="17" t="n">
        <v>60</v>
      </c>
      <c r="AD36" s="17" t="n">
        <v>64</v>
      </c>
      <c r="AE36" s="17" t="n">
        <v>61</v>
      </c>
      <c r="AF36" s="17" t="n">
        <v>59</v>
      </c>
      <c r="AG36" s="17" t="n">
        <v>83</v>
      </c>
      <c r="AH36" s="17" t="n">
        <v>67</v>
      </c>
      <c r="AI36" s="5">
        <f>H$1*((-0.000002)*H36^3+0.00032*H36^2+(-0.0021)*H36)+I$1*((-0.000002)*I36^3+0.00032*I36^2+(-0.0021)*I36)+J$1*((-0.000002)*J36^3+0.00032*J36^2+(-0.0021)*J36)+K$1*((-0.000002)*K36^3+0.00032*K36^2+(-0.0021)*K36)+L$1*((-0.000002)*L36^3+0.00032*L36^2+(-0.0021)*L36)</f>
        <v/>
      </c>
      <c r="AJ36" s="5">
        <f>M$1*((-0.000002)*M36^3+0.00032*M36^2+(-0.0021)*M36)+N$1*((-0.000002)*N36^3+0.00032*N36^2+(-0.0021)*N36)+O$1*((-0.000002)*O36^3+0.00032*O36^2+(-0.0021)*O36)</f>
        <v/>
      </c>
      <c r="AK36" s="5">
        <f>IF(AA36&lt;50,W$1*((-0.000002)*W36^3+0.00032*W36^2+(-0.0021)*W36)+X$1*((-0.000002)*X36^3+0.00032*X36^2+(-0.0021)*X36)+Y$1*((-0.000002)*Y36^3+0.00032*Y36^2+(-0.0021)*Y36)+Z$1*((-0.000002)*Z36^3+0.00032*Z36^2+(-0.0021)*Z36),X$2*((-0.000002)*X36^3+0.00032*X36^2+(-0.0021)*X36)+Y$2*((-0.000002)*Y36^3+0.00032*Y36^2+(-0.0021)*Y36)+Z$2*((-0.000002)*Z36^3+0.00032*Z36^2+(-0.0021)*Z36)+AA$2*((-0.000002)*AA36^3+0.00032*AA36^2+(-0.0021)*AA36))</f>
        <v/>
      </c>
      <c r="AL36" s="5">
        <f>AB$1*((-0.000002)*AB36^3+0.00032*AB36^2+(-0.0021)*AB36)+AC$1*((-0.000002)*AC36^3+0.00032*AC36^2+(-0.0021)*AC36)</f>
        <v/>
      </c>
      <c r="AM36" s="5">
        <f>AD$1*((-0.000002)*AD36^3+0.00032*AD36^2+(-0.0021)*AD36)+AE$1*((-0.000002)*AE36^3+0.00032*AE36^2+(-0.0021)*AE36)+AF$1*((-0.000002)*AF36^3+0.00032*AF36^2+(-0.0021)*AF36)+AG$1*((-0.000002)*AG36^3+0.00032*AG36^2+(-0.0021)*AG36)</f>
        <v/>
      </c>
    </row>
    <row r="37" ht="15" customHeight="1" s="27" thickBot="1">
      <c r="A37" s="5">
        <f>(AI37*AI$3+AJ37*AJ$3+AK37*AK$3+AL37*AL$3+AM37*AM$3)*100/(AI$5*AI$3+AJ$5*AJ$3+AK$5*AK$3+AL$5*AL$3+AM$5*AM$3)</f>
        <v/>
      </c>
      <c r="B37" s="18" t="n">
        <v>190</v>
      </c>
      <c r="C37" s="11" t="inlineStr">
        <is>
          <t>Taylor, Freddy</t>
        </is>
      </c>
      <c r="D37" s="19" t="inlineStr">
        <is>
          <t>DH</t>
        </is>
      </c>
      <c r="E37" s="19" t="inlineStr">
        <is>
          <t>L</t>
        </is>
      </c>
      <c r="F37" s="19" t="inlineStr">
        <is>
          <t>L</t>
        </is>
      </c>
      <c r="G37" s="19" t="n">
        <v>18</v>
      </c>
      <c r="H37" s="19" t="n">
        <v>58</v>
      </c>
      <c r="I37" s="19" t="n">
        <v>77</v>
      </c>
      <c r="J37" s="19" t="n">
        <v>52</v>
      </c>
      <c r="K37" s="19" t="n">
        <v>49</v>
      </c>
      <c r="L37" s="19" t="n">
        <v>58</v>
      </c>
      <c r="M37" s="19" t="n">
        <v>17</v>
      </c>
      <c r="N37" s="19" t="n">
        <v>55</v>
      </c>
      <c r="O37" s="19" t="n">
        <v>61</v>
      </c>
      <c r="P37" s="19" t="n">
        <v>58</v>
      </c>
      <c r="Q37" s="18" t="n">
        <v>190</v>
      </c>
      <c r="R37" s="11" t="inlineStr">
        <is>
          <t>Taylor, Freddy</t>
        </is>
      </c>
      <c r="S37" s="19" t="inlineStr">
        <is>
          <t>DH</t>
        </is>
      </c>
      <c r="T37" s="19" t="inlineStr">
        <is>
          <t>L</t>
        </is>
      </c>
      <c r="U37" s="19" t="inlineStr">
        <is>
          <t>L</t>
        </is>
      </c>
      <c r="V37" s="19" t="n">
        <v>18</v>
      </c>
      <c r="W37" s="19" t="n">
        <v>42</v>
      </c>
      <c r="X37" s="19" t="n">
        <v>29</v>
      </c>
      <c r="Y37" s="19" t="n">
        <v>23</v>
      </c>
      <c r="Z37" s="19" t="n">
        <v>40</v>
      </c>
      <c r="AA37" s="19" t="n">
        <v>9</v>
      </c>
      <c r="AB37" s="19" t="n">
        <v>80</v>
      </c>
      <c r="AC37" s="19" t="n">
        <v>66</v>
      </c>
      <c r="AD37" s="19" t="n">
        <v>28</v>
      </c>
      <c r="AE37" s="19" t="n">
        <v>76</v>
      </c>
      <c r="AF37" s="19" t="n">
        <v>7</v>
      </c>
      <c r="AG37" s="19" t="n">
        <v>100</v>
      </c>
      <c r="AH37" s="19" t="n">
        <v>58</v>
      </c>
      <c r="AI37" s="5">
        <f>H$1*((-0.000002)*H37^3+0.00032*H37^2+(-0.0021)*H37)+I$1*((-0.000002)*I37^3+0.00032*I37^2+(-0.0021)*I37)+J$1*((-0.000002)*J37^3+0.00032*J37^2+(-0.0021)*J37)+K$1*((-0.000002)*K37^3+0.00032*K37^2+(-0.0021)*K37)+L$1*((-0.000002)*L37^3+0.00032*L37^2+(-0.0021)*L37)</f>
        <v/>
      </c>
      <c r="AJ37" s="5">
        <f>M$1*((-0.000002)*M37^3+0.00032*M37^2+(-0.0021)*M37)+N$1*((-0.000002)*N37^3+0.00032*N37^2+(-0.0021)*N37)+O$1*((-0.000002)*O37^3+0.00032*O37^2+(-0.0021)*O37)</f>
        <v/>
      </c>
      <c r="AK37" s="5">
        <f>IF(AA37&lt;50,W$1*((-0.000002)*W37^3+0.00032*W37^2+(-0.0021)*W37)+X$1*((-0.000002)*X37^3+0.00032*X37^2+(-0.0021)*X37)+Y$1*((-0.000002)*Y37^3+0.00032*Y37^2+(-0.0021)*Y37)+Z$1*((-0.000002)*Z37^3+0.00032*Z37^2+(-0.0021)*Z37),X$2*((-0.000002)*X37^3+0.00032*X37^2+(-0.0021)*X37)+Y$2*((-0.000002)*Y37^3+0.00032*Y37^2+(-0.0021)*Y37)+Z$2*((-0.000002)*Z37^3+0.00032*Z37^2+(-0.0021)*Z37)+AA$2*((-0.000002)*AA37^3+0.00032*AA37^2+(-0.0021)*AA37))</f>
        <v/>
      </c>
      <c r="AL37" s="5">
        <f>AB$1*((-0.000002)*AB37^3+0.00032*AB37^2+(-0.0021)*AB37)+AC$1*((-0.000002)*AC37^3+0.00032*AC37^2+(-0.0021)*AC37)</f>
        <v/>
      </c>
      <c r="AM37" s="5">
        <f>AD$1*((-0.000002)*AD37^3+0.00032*AD37^2+(-0.0021)*AD37)+AE$1*((-0.000002)*AE37^3+0.00032*AE37^2+(-0.0021)*AE37)+AF$1*((-0.000002)*AF37^3+0.00032*AF37^2+(-0.0021)*AF37)+AG$1*((-0.000002)*AG37^3+0.00032*AG37^2+(-0.0021)*AG37)</f>
        <v/>
      </c>
    </row>
    <row r="38" ht="15" customHeight="1" s="27" thickBot="1">
      <c r="A38" s="5">
        <f>(AI38*AI$3+AJ38*AJ$3+AK38*AK$3+AL38*AL$3+AM38*AM$3)*100/(AI$5*AI$3+AJ$5*AJ$3+AK$5*AK$3+AL$5*AL$3+AM$5*AM$3)</f>
        <v/>
      </c>
      <c r="B38" s="16" t="n">
        <v>183</v>
      </c>
      <c r="C38" s="10" t="inlineStr">
        <is>
          <t>Bullinger, Woodie</t>
        </is>
      </c>
      <c r="D38" s="17" t="inlineStr">
        <is>
          <t>DH</t>
        </is>
      </c>
      <c r="E38" s="17" t="inlineStr">
        <is>
          <t>R</t>
        </is>
      </c>
      <c r="F38" s="17" t="inlineStr">
        <is>
          <t>R</t>
        </is>
      </c>
      <c r="G38" s="17" t="n">
        <v>18</v>
      </c>
      <c r="H38" s="17" t="n">
        <v>57</v>
      </c>
      <c r="I38" s="17" t="n">
        <v>65</v>
      </c>
      <c r="J38" s="17" t="n">
        <v>41</v>
      </c>
      <c r="K38" s="17" t="n">
        <v>50</v>
      </c>
      <c r="L38" s="17" t="n">
        <v>59</v>
      </c>
      <c r="M38" s="17" t="n">
        <v>62</v>
      </c>
      <c r="N38" s="17" t="n">
        <v>24</v>
      </c>
      <c r="O38" s="17" t="n">
        <v>15</v>
      </c>
      <c r="P38" s="17" t="n">
        <v>60</v>
      </c>
      <c r="Q38" s="16" t="n">
        <v>183</v>
      </c>
      <c r="R38" s="10" t="inlineStr">
        <is>
          <t>Bullinger, Woodie</t>
        </is>
      </c>
      <c r="S38" s="17" t="inlineStr">
        <is>
          <t>DH</t>
        </is>
      </c>
      <c r="T38" s="17" t="inlineStr">
        <is>
          <t>R</t>
        </is>
      </c>
      <c r="U38" s="17" t="inlineStr">
        <is>
          <t>R</t>
        </is>
      </c>
      <c r="V38" s="17" t="n">
        <v>18</v>
      </c>
      <c r="W38" s="17" t="n">
        <v>5</v>
      </c>
      <c r="X38" s="17" t="n">
        <v>13</v>
      </c>
      <c r="Y38" s="17" t="n">
        <v>57</v>
      </c>
      <c r="Z38" s="17" t="n">
        <v>63</v>
      </c>
      <c r="AA38" s="17" t="n">
        <v>49</v>
      </c>
      <c r="AB38" s="17" t="n">
        <v>77</v>
      </c>
      <c r="AC38" s="17" t="n">
        <v>94</v>
      </c>
      <c r="AD38" s="17" t="n">
        <v>31</v>
      </c>
      <c r="AE38" s="17" t="n">
        <v>77</v>
      </c>
      <c r="AF38" s="17" t="n">
        <v>38</v>
      </c>
      <c r="AG38" s="17" t="n">
        <v>96</v>
      </c>
      <c r="AH38" s="17" t="n">
        <v>60</v>
      </c>
      <c r="AI38" s="5">
        <f>H$1*((-0.000002)*H38^3+0.00032*H38^2+(-0.0021)*H38)+I$1*((-0.000002)*I38^3+0.00032*I38^2+(-0.0021)*I38)+J$1*((-0.000002)*J38^3+0.00032*J38^2+(-0.0021)*J38)+K$1*((-0.000002)*K38^3+0.00032*K38^2+(-0.0021)*K38)+L$1*((-0.000002)*L38^3+0.00032*L38^2+(-0.0021)*L38)</f>
        <v/>
      </c>
      <c r="AJ38" s="5">
        <f>M$1*((-0.000002)*M38^3+0.00032*M38^2+(-0.0021)*M38)+N$1*((-0.000002)*N38^3+0.00032*N38^2+(-0.0021)*N38)+O$1*((-0.000002)*O38^3+0.00032*O38^2+(-0.0021)*O38)</f>
        <v/>
      </c>
      <c r="AK38" s="5">
        <f>IF(AA38&lt;50,W$1*((-0.000002)*W38^3+0.00032*W38^2+(-0.0021)*W38)+X$1*((-0.000002)*X38^3+0.00032*X38^2+(-0.0021)*X38)+Y$1*((-0.000002)*Y38^3+0.00032*Y38^2+(-0.0021)*Y38)+Z$1*((-0.000002)*Z38^3+0.00032*Z38^2+(-0.0021)*Z38),X$2*((-0.000002)*X38^3+0.00032*X38^2+(-0.0021)*X38)+Y$2*((-0.000002)*Y38^3+0.00032*Y38^2+(-0.0021)*Y38)+Z$2*((-0.000002)*Z38^3+0.00032*Z38^2+(-0.0021)*Z38)+AA$2*((-0.000002)*AA38^3+0.00032*AA38^2+(-0.0021)*AA38))</f>
        <v/>
      </c>
      <c r="AL38" s="5">
        <f>AB$1*((-0.000002)*AB38^3+0.00032*AB38^2+(-0.0021)*AB38)+AC$1*((-0.000002)*AC38^3+0.00032*AC38^2+(-0.0021)*AC38)</f>
        <v/>
      </c>
      <c r="AM38" s="5">
        <f>AD$1*((-0.000002)*AD38^3+0.00032*AD38^2+(-0.0021)*AD38)+AE$1*((-0.000002)*AE38^3+0.00032*AE38^2+(-0.0021)*AE38)+AF$1*((-0.000002)*AF38^3+0.00032*AF38^2+(-0.0021)*AF38)+AG$1*((-0.000002)*AG38^3+0.00032*AG38^2+(-0.0021)*AG38)</f>
        <v/>
      </c>
    </row>
    <row r="39" ht="15" customHeight="1" s="27" thickBot="1">
      <c r="A39" s="5">
        <f>(AI39*AI$3+AJ39*AJ$3+AK39*AK$3+AL39*AL$3+AM39*AM$3)*100/(AI$5*AI$3+AJ$5*AJ$3+AK$5*AK$3+AL$5*AL$3+AM$5*AM$3)</f>
        <v/>
      </c>
      <c r="B39" s="18" t="n">
        <v>40</v>
      </c>
      <c r="C39" s="11" t="inlineStr">
        <is>
          <t>Hague, Jecksson</t>
        </is>
      </c>
      <c r="D39" s="19" t="inlineStr">
        <is>
          <t>2B</t>
        </is>
      </c>
      <c r="E39" s="19" t="inlineStr">
        <is>
          <t>R</t>
        </is>
      </c>
      <c r="F39" s="19" t="inlineStr">
        <is>
          <t>R</t>
        </is>
      </c>
      <c r="G39" s="19" t="n">
        <v>18</v>
      </c>
      <c r="H39" s="19" t="n">
        <v>85</v>
      </c>
      <c r="I39" s="19" t="n">
        <v>19</v>
      </c>
      <c r="J39" s="19" t="n">
        <v>45</v>
      </c>
      <c r="K39" s="19" t="n">
        <v>50</v>
      </c>
      <c r="L39" s="19" t="n">
        <v>36</v>
      </c>
      <c r="M39" s="19" t="n">
        <v>97</v>
      </c>
      <c r="N39" s="19" t="n">
        <v>89</v>
      </c>
      <c r="O39" s="19" t="n">
        <v>37</v>
      </c>
      <c r="P39" s="19" t="n">
        <v>64</v>
      </c>
      <c r="Q39" s="18" t="n">
        <v>40</v>
      </c>
      <c r="R39" s="11" t="inlineStr">
        <is>
          <t>Hague, Jecksson</t>
        </is>
      </c>
      <c r="S39" s="19" t="inlineStr">
        <is>
          <t>2B</t>
        </is>
      </c>
      <c r="T39" s="19" t="inlineStr">
        <is>
          <t>R</t>
        </is>
      </c>
      <c r="U39" s="19" t="inlineStr">
        <is>
          <t>R</t>
        </is>
      </c>
      <c r="V39" s="19" t="n">
        <v>18</v>
      </c>
      <c r="W39" s="19" t="n">
        <v>94</v>
      </c>
      <c r="X39" s="19" t="n">
        <v>70</v>
      </c>
      <c r="Y39" s="19" t="n">
        <v>47</v>
      </c>
      <c r="Z39" s="19" t="n">
        <v>65</v>
      </c>
      <c r="AA39" s="19" t="n">
        <v>6</v>
      </c>
      <c r="AB39" s="19" t="n">
        <v>69</v>
      </c>
      <c r="AC39" s="19" t="n">
        <v>85</v>
      </c>
      <c r="AD39" s="19" t="n">
        <v>90</v>
      </c>
      <c r="AE39" s="19" t="n">
        <v>62</v>
      </c>
      <c r="AF39" s="19" t="n">
        <v>27</v>
      </c>
      <c r="AG39" s="19" t="n">
        <v>55</v>
      </c>
      <c r="AH39" s="19" t="n">
        <v>64</v>
      </c>
      <c r="AI39" s="5">
        <f>H$1*((-0.000002)*H39^3+0.00032*H39^2+(-0.0021)*H39)+I$1*((-0.000002)*I39^3+0.00032*I39^2+(-0.0021)*I39)+J$1*((-0.000002)*J39^3+0.00032*J39^2+(-0.0021)*J39)+K$1*((-0.000002)*K39^3+0.00032*K39^2+(-0.0021)*K39)+L$1*((-0.000002)*L39^3+0.00032*L39^2+(-0.0021)*L39)</f>
        <v/>
      </c>
      <c r="AJ39" s="5">
        <f>M$1*((-0.000002)*M39^3+0.00032*M39^2+(-0.0021)*M39)+N$1*((-0.000002)*N39^3+0.00032*N39^2+(-0.0021)*N39)+O$1*((-0.000002)*O39^3+0.00032*O39^2+(-0.0021)*O39)</f>
        <v/>
      </c>
      <c r="AK39" s="5">
        <f>IF(AA39&lt;50,W$1*((-0.000002)*W39^3+0.00032*W39^2+(-0.0021)*W39)+X$1*((-0.000002)*X39^3+0.00032*X39^2+(-0.0021)*X39)+Y$1*((-0.000002)*Y39^3+0.00032*Y39^2+(-0.0021)*Y39)+Z$1*((-0.000002)*Z39^3+0.00032*Z39^2+(-0.0021)*Z39),X$2*((-0.000002)*X39^3+0.00032*X39^2+(-0.0021)*X39)+Y$2*((-0.000002)*Y39^3+0.00032*Y39^2+(-0.0021)*Y39)+Z$2*((-0.000002)*Z39^3+0.00032*Z39^2+(-0.0021)*Z39)+AA$2*((-0.000002)*AA39^3+0.00032*AA39^2+(-0.0021)*AA39))</f>
        <v/>
      </c>
      <c r="AL39" s="5">
        <f>AB$1*((-0.000002)*AB39^3+0.00032*AB39^2+(-0.0021)*AB39)+AC$1*((-0.000002)*AC39^3+0.00032*AC39^2+(-0.0021)*AC39)</f>
        <v/>
      </c>
      <c r="AM39" s="5">
        <f>AD$1*((-0.000002)*AD39^3+0.00032*AD39^2+(-0.0021)*AD39)+AE$1*((-0.000002)*AE39^3+0.00032*AE39^2+(-0.0021)*AE39)+AF$1*((-0.000002)*AF39^3+0.00032*AF39^2+(-0.0021)*AF39)+AG$1*((-0.000002)*AG39^3+0.00032*AG39^2+(-0.0021)*AG39)</f>
        <v/>
      </c>
    </row>
    <row r="40" ht="15" customHeight="1" s="27" thickBot="1">
      <c r="A40" s="5">
        <f>(AI40*AI$3+AJ40*AJ$3+AK40*AK$3+AL40*AL$3+AM40*AM$3)*100/(AI$5*AI$3+AJ$5*AJ$3+AK$5*AK$3+AL$5*AL$3+AM$5*AM$3)</f>
        <v/>
      </c>
      <c r="B40" s="16" t="n">
        <v>85</v>
      </c>
      <c r="C40" s="10" t="inlineStr">
        <is>
          <t>Lee, Jerry</t>
        </is>
      </c>
      <c r="D40" s="17" t="inlineStr">
        <is>
          <t>2B</t>
        </is>
      </c>
      <c r="E40" s="17" t="inlineStr">
        <is>
          <t>R</t>
        </is>
      </c>
      <c r="F40" s="17" t="inlineStr">
        <is>
          <t>R</t>
        </is>
      </c>
      <c r="G40" s="17" t="n">
        <v>18</v>
      </c>
      <c r="H40" s="17" t="n">
        <v>39</v>
      </c>
      <c r="I40" s="17" t="n">
        <v>60</v>
      </c>
      <c r="J40" s="17" t="n">
        <v>6</v>
      </c>
      <c r="K40" s="17" t="n">
        <v>0</v>
      </c>
      <c r="L40" s="17" t="n">
        <v>40</v>
      </c>
      <c r="M40" s="17" t="n">
        <v>46</v>
      </c>
      <c r="N40" s="17" t="n">
        <v>62</v>
      </c>
      <c r="O40" s="17" t="n">
        <v>59</v>
      </c>
      <c r="P40" s="17" t="n">
        <v>54</v>
      </c>
      <c r="Q40" s="16" t="n">
        <v>85</v>
      </c>
      <c r="R40" s="10" t="inlineStr">
        <is>
          <t>Lee, Jerry</t>
        </is>
      </c>
      <c r="S40" s="17" t="inlineStr">
        <is>
          <t>2B</t>
        </is>
      </c>
      <c r="T40" s="17" t="inlineStr">
        <is>
          <t>R</t>
        </is>
      </c>
      <c r="U40" s="17" t="inlineStr">
        <is>
          <t>R</t>
        </is>
      </c>
      <c r="V40" s="17" t="n">
        <v>18</v>
      </c>
      <c r="W40" s="17" t="n">
        <v>70</v>
      </c>
      <c r="X40" s="17" t="n">
        <v>63</v>
      </c>
      <c r="Y40" s="17" t="n">
        <v>79</v>
      </c>
      <c r="Z40" s="17" t="n">
        <v>80</v>
      </c>
      <c r="AA40" s="17" t="n">
        <v>10</v>
      </c>
      <c r="AB40" s="17" t="n">
        <v>98</v>
      </c>
      <c r="AC40" s="17" t="n">
        <v>92</v>
      </c>
      <c r="AD40" s="17" t="n">
        <v>8</v>
      </c>
      <c r="AE40" s="17" t="n">
        <v>67</v>
      </c>
      <c r="AF40" s="17" t="n">
        <v>38</v>
      </c>
      <c r="AG40" s="17" t="n">
        <v>66</v>
      </c>
      <c r="AH40" s="17" t="n">
        <v>54</v>
      </c>
      <c r="AI40" s="5">
        <f>H$1*((-0.000002)*H40^3+0.00032*H40^2+(-0.0021)*H40)+I$1*((-0.000002)*I40^3+0.00032*I40^2+(-0.0021)*I40)+J$1*((-0.000002)*J40^3+0.00032*J40^2+(-0.0021)*J40)+K$1*((-0.000002)*K40^3+0.00032*K40^2+(-0.0021)*K40)+L$1*((-0.000002)*L40^3+0.00032*L40^2+(-0.0021)*L40)</f>
        <v/>
      </c>
      <c r="AJ40" s="5">
        <f>M$1*((-0.000002)*M40^3+0.00032*M40^2+(-0.0021)*M40)+N$1*((-0.000002)*N40^3+0.00032*N40^2+(-0.0021)*N40)+O$1*((-0.000002)*O40^3+0.00032*O40^2+(-0.0021)*O40)</f>
        <v/>
      </c>
      <c r="AK40" s="5">
        <f>IF(AA40&lt;50,W$1*((-0.000002)*W40^3+0.00032*W40^2+(-0.0021)*W40)+X$1*((-0.000002)*X40^3+0.00032*X40^2+(-0.0021)*X40)+Y$1*((-0.000002)*Y40^3+0.00032*Y40^2+(-0.0021)*Y40)+Z$1*((-0.000002)*Z40^3+0.00032*Z40^2+(-0.0021)*Z40),X$2*((-0.000002)*X40^3+0.00032*X40^2+(-0.0021)*X40)+Y$2*((-0.000002)*Y40^3+0.00032*Y40^2+(-0.0021)*Y40)+Z$2*((-0.000002)*Z40^3+0.00032*Z40^2+(-0.0021)*Z40)+AA$2*((-0.000002)*AA40^3+0.00032*AA40^2+(-0.0021)*AA40))</f>
        <v/>
      </c>
      <c r="AL40" s="5">
        <f>AB$1*((-0.000002)*AB40^3+0.00032*AB40^2+(-0.0021)*AB40)+AC$1*((-0.000002)*AC40^3+0.00032*AC40^2+(-0.0021)*AC40)</f>
        <v/>
      </c>
      <c r="AM40" s="5">
        <f>AD$1*((-0.000002)*AD40^3+0.00032*AD40^2+(-0.0021)*AD40)+AE$1*((-0.000002)*AE40^3+0.00032*AE40^2+(-0.0021)*AE40)+AF$1*((-0.000002)*AF40^3+0.00032*AF40^2+(-0.0021)*AF40)+AG$1*((-0.000002)*AG40^3+0.00032*AG40^2+(-0.0021)*AG40)</f>
        <v/>
      </c>
    </row>
    <row r="41" ht="15" customHeight="1" s="27" thickBot="1">
      <c r="A41" s="5">
        <f>(AI41*AI$3+AJ41*AJ$3+AK41*AK$3+AL41*AL$3+AM41*AM$3)*100/(AI$5*AI$3+AJ$5*AJ$3+AK$5*AK$3+AL$5*AL$3+AM$5*AM$3)</f>
        <v/>
      </c>
      <c r="B41" s="18" t="n">
        <v>60</v>
      </c>
      <c r="C41" s="11" t="inlineStr">
        <is>
          <t>Rivers, Denny</t>
        </is>
      </c>
      <c r="D41" s="19" t="inlineStr">
        <is>
          <t>LF</t>
        </is>
      </c>
      <c r="E41" s="19" t="inlineStr">
        <is>
          <t>S</t>
        </is>
      </c>
      <c r="F41" s="19" t="inlineStr">
        <is>
          <t>R</t>
        </is>
      </c>
      <c r="G41" s="19" t="n">
        <v>18</v>
      </c>
      <c r="H41" s="19" t="n">
        <v>46</v>
      </c>
      <c r="I41" s="19" t="n">
        <v>88</v>
      </c>
      <c r="J41" s="19" t="n">
        <v>42</v>
      </c>
      <c r="K41" s="19" t="n">
        <v>27</v>
      </c>
      <c r="L41" s="19" t="n">
        <v>41</v>
      </c>
      <c r="M41" s="19" t="n">
        <v>58</v>
      </c>
      <c r="N41" s="19" t="n">
        <v>25</v>
      </c>
      <c r="O41" s="19" t="n">
        <v>47</v>
      </c>
      <c r="P41" s="19" t="n">
        <v>60</v>
      </c>
      <c r="Q41" s="18" t="n">
        <v>60</v>
      </c>
      <c r="R41" s="11" t="inlineStr">
        <is>
          <t>Rivers, Denny</t>
        </is>
      </c>
      <c r="S41" s="19" t="inlineStr">
        <is>
          <t>LF</t>
        </is>
      </c>
      <c r="T41" s="19" t="inlineStr">
        <is>
          <t>S</t>
        </is>
      </c>
      <c r="U41" s="19" t="inlineStr">
        <is>
          <t>R</t>
        </is>
      </c>
      <c r="V41" s="19" t="n">
        <v>18</v>
      </c>
      <c r="W41" s="19" t="n">
        <v>53</v>
      </c>
      <c r="X41" s="19" t="n">
        <v>48</v>
      </c>
      <c r="Y41" s="19" t="n">
        <v>41</v>
      </c>
      <c r="Z41" s="19" t="n">
        <v>49</v>
      </c>
      <c r="AA41" s="19" t="n">
        <v>26</v>
      </c>
      <c r="AB41" s="19" t="n">
        <v>86</v>
      </c>
      <c r="AC41" s="19" t="n">
        <v>98</v>
      </c>
      <c r="AD41" s="19" t="n">
        <v>36</v>
      </c>
      <c r="AE41" s="19" t="n">
        <v>46</v>
      </c>
      <c r="AF41" s="19" t="n">
        <v>81</v>
      </c>
      <c r="AG41" s="19" t="n">
        <v>18</v>
      </c>
      <c r="AH41" s="19" t="n">
        <v>60</v>
      </c>
      <c r="AI41" s="5">
        <f>H$1*((-0.000002)*H41^3+0.00032*H41^2+(-0.0021)*H41)+I$1*((-0.000002)*I41^3+0.00032*I41^2+(-0.0021)*I41)+J$1*((-0.000002)*J41^3+0.00032*J41^2+(-0.0021)*J41)+K$1*((-0.000002)*K41^3+0.00032*K41^2+(-0.0021)*K41)+L$1*((-0.000002)*L41^3+0.00032*L41^2+(-0.0021)*L41)</f>
        <v/>
      </c>
      <c r="AJ41" s="5">
        <f>M$1*((-0.000002)*M41^3+0.00032*M41^2+(-0.0021)*M41)+N$1*((-0.000002)*N41^3+0.00032*N41^2+(-0.0021)*N41)+O$1*((-0.000002)*O41^3+0.00032*O41^2+(-0.0021)*O41)</f>
        <v/>
      </c>
      <c r="AK41" s="5">
        <f>IF(AA41&lt;50,W$1*((-0.000002)*W41^3+0.00032*W41^2+(-0.0021)*W41)+X$1*((-0.000002)*X41^3+0.00032*X41^2+(-0.0021)*X41)+Y$1*((-0.000002)*Y41^3+0.00032*Y41^2+(-0.0021)*Y41)+Z$1*((-0.000002)*Z41^3+0.00032*Z41^2+(-0.0021)*Z41),X$2*((-0.000002)*X41^3+0.00032*X41^2+(-0.0021)*X41)+Y$2*((-0.000002)*Y41^3+0.00032*Y41^2+(-0.0021)*Y41)+Z$2*((-0.000002)*Z41^3+0.00032*Z41^2+(-0.0021)*Z41)+AA$2*((-0.000002)*AA41^3+0.00032*AA41^2+(-0.0021)*AA41))</f>
        <v/>
      </c>
      <c r="AL41" s="5">
        <f>AB$1*((-0.000002)*AB41^3+0.00032*AB41^2+(-0.0021)*AB41)+AC$1*((-0.000002)*AC41^3+0.00032*AC41^2+(-0.0021)*AC41)</f>
        <v/>
      </c>
      <c r="AM41" s="5">
        <f>AD$1*((-0.000002)*AD41^3+0.00032*AD41^2+(-0.0021)*AD41)+AE$1*((-0.000002)*AE41^3+0.00032*AE41^2+(-0.0021)*AE41)+AF$1*((-0.000002)*AF41^3+0.00032*AF41^2+(-0.0021)*AF41)+AG$1*((-0.000002)*AG41^3+0.00032*AG41^2+(-0.0021)*AG41)</f>
        <v/>
      </c>
    </row>
    <row r="42" ht="15" customHeight="1" s="27" thickBot="1">
      <c r="A42" s="5">
        <f>(AI42*AI$3+AJ42*AJ$3+AK42*AK$3+AL42*AL$3+AM42*AM$3)*100/(AI$5*AI$3+AJ$5*AJ$3+AK$5*AK$3+AL$5*AL$3+AM$5*AM$3)</f>
        <v/>
      </c>
      <c r="B42" s="18" t="n">
        <v>184</v>
      </c>
      <c r="C42" s="11" t="inlineStr">
        <is>
          <t>Amaro, Alving</t>
        </is>
      </c>
      <c r="D42" s="19" t="inlineStr">
        <is>
          <t>DH</t>
        </is>
      </c>
      <c r="E42" s="19" t="inlineStr">
        <is>
          <t>R</t>
        </is>
      </c>
      <c r="F42" s="19" t="inlineStr">
        <is>
          <t>R</t>
        </is>
      </c>
      <c r="G42" s="19" t="n">
        <v>22</v>
      </c>
      <c r="H42" s="19" t="n">
        <v>71</v>
      </c>
      <c r="I42" s="19" t="n">
        <v>18</v>
      </c>
      <c r="J42" s="19" t="n">
        <v>84</v>
      </c>
      <c r="K42" s="19" t="n">
        <v>31</v>
      </c>
      <c r="L42" s="19" t="n">
        <v>49</v>
      </c>
      <c r="M42" s="19" t="n">
        <v>64</v>
      </c>
      <c r="N42" s="19" t="n">
        <v>59</v>
      </c>
      <c r="O42" s="19" t="n">
        <v>16</v>
      </c>
      <c r="P42" s="19" t="n">
        <v>59</v>
      </c>
      <c r="Q42" s="18" t="n">
        <v>184</v>
      </c>
      <c r="R42" s="11" t="inlineStr">
        <is>
          <t>Amaro, Alving</t>
        </is>
      </c>
      <c r="S42" s="19" t="inlineStr">
        <is>
          <t>DH</t>
        </is>
      </c>
      <c r="T42" s="19" t="inlineStr">
        <is>
          <t>R</t>
        </is>
      </c>
      <c r="U42" s="19" t="inlineStr">
        <is>
          <t>R</t>
        </is>
      </c>
      <c r="V42" s="19" t="n">
        <v>22</v>
      </c>
      <c r="W42" s="19" t="n">
        <v>0</v>
      </c>
      <c r="X42" s="19" t="n">
        <v>56</v>
      </c>
      <c r="Y42" s="19" t="n">
        <v>94</v>
      </c>
      <c r="Z42" s="19" t="n">
        <v>93</v>
      </c>
      <c r="AA42" s="19" t="n">
        <v>41</v>
      </c>
      <c r="AB42" s="19" t="n">
        <v>91</v>
      </c>
      <c r="AC42" s="19" t="n">
        <v>35</v>
      </c>
      <c r="AD42" s="19" t="n">
        <v>7</v>
      </c>
      <c r="AE42" s="19" t="n">
        <v>100</v>
      </c>
      <c r="AF42" s="19" t="n">
        <v>7</v>
      </c>
      <c r="AG42" s="19" t="n">
        <v>51</v>
      </c>
      <c r="AH42" s="19" t="n">
        <v>59</v>
      </c>
      <c r="AI42" s="5">
        <f>H$1*((-0.000002)*H42^3+0.00032*H42^2+(-0.0021)*H42)+I$1*((-0.000002)*I42^3+0.00032*I42^2+(-0.0021)*I42)+J$1*((-0.000002)*J42^3+0.00032*J42^2+(-0.0021)*J42)+K$1*((-0.000002)*K42^3+0.00032*K42^2+(-0.0021)*K42)+L$1*((-0.000002)*L42^3+0.00032*L42^2+(-0.0021)*L42)</f>
        <v/>
      </c>
      <c r="AJ42" s="5">
        <f>M$1*((-0.000002)*M42^3+0.00032*M42^2+(-0.0021)*M42)+N$1*((-0.000002)*N42^3+0.00032*N42^2+(-0.0021)*N42)+O$1*((-0.000002)*O42^3+0.00032*O42^2+(-0.0021)*O42)</f>
        <v/>
      </c>
      <c r="AK42" s="5">
        <f>IF(AA42&lt;50,W$1*((-0.000002)*W42^3+0.00032*W42^2+(-0.0021)*W42)+X$1*((-0.000002)*X42^3+0.00032*X42^2+(-0.0021)*X42)+Y$1*((-0.000002)*Y42^3+0.00032*Y42^2+(-0.0021)*Y42)+Z$1*((-0.000002)*Z42^3+0.00032*Z42^2+(-0.0021)*Z42),X$2*((-0.000002)*X42^3+0.00032*X42^2+(-0.0021)*X42)+Y$2*((-0.000002)*Y42^3+0.00032*Y42^2+(-0.0021)*Y42)+Z$2*((-0.000002)*Z42^3+0.00032*Z42^2+(-0.0021)*Z42)+AA$2*((-0.000002)*AA42^3+0.00032*AA42^2+(-0.0021)*AA42))</f>
        <v/>
      </c>
      <c r="AL42" s="5">
        <f>AB$1*((-0.000002)*AB42^3+0.00032*AB42^2+(-0.0021)*AB42)+AC$1*((-0.000002)*AC42^3+0.00032*AC42^2+(-0.0021)*AC42)</f>
        <v/>
      </c>
      <c r="AM42" s="5">
        <f>AD$1*((-0.000002)*AD42^3+0.00032*AD42^2+(-0.0021)*AD42)+AE$1*((-0.000002)*AE42^3+0.00032*AE42^2+(-0.0021)*AE42)+AF$1*((-0.000002)*AF42^3+0.00032*AF42^2+(-0.0021)*AF42)+AG$1*((-0.000002)*AG42^3+0.00032*AG42^2+(-0.0021)*AG42)</f>
        <v/>
      </c>
    </row>
    <row r="43" ht="15" customHeight="1" s="27" thickBot="1">
      <c r="A43" s="5">
        <f>(AI43*AI$3+AJ43*AJ$3+AK43*AK$3+AL43*AL$3+AM43*AM$3)*100/(AI$5*AI$3+AJ$5*AJ$3+AK$5*AK$3+AL$5*AL$3+AM$5*AM$3)</f>
        <v/>
      </c>
      <c r="B43" s="16" t="n">
        <v>91</v>
      </c>
      <c r="C43" s="10" t="inlineStr">
        <is>
          <t>Woodall, Timothy</t>
        </is>
      </c>
      <c r="D43" s="17" t="inlineStr">
        <is>
          <t>1B</t>
        </is>
      </c>
      <c r="E43" s="17" t="inlineStr">
        <is>
          <t>L</t>
        </is>
      </c>
      <c r="F43" s="17" t="inlineStr">
        <is>
          <t>L</t>
        </is>
      </c>
      <c r="G43" s="17" t="n">
        <v>18</v>
      </c>
      <c r="H43" s="17" t="n">
        <v>21</v>
      </c>
      <c r="I43" s="17" t="n">
        <v>88</v>
      </c>
      <c r="J43" s="17" t="n">
        <v>18</v>
      </c>
      <c r="K43" s="17" t="n">
        <v>41</v>
      </c>
      <c r="L43" s="17" t="n">
        <v>50</v>
      </c>
      <c r="M43" s="17" t="n">
        <v>18</v>
      </c>
      <c r="N43" s="17" t="n">
        <v>23</v>
      </c>
      <c r="O43" s="17" t="n">
        <v>38</v>
      </c>
      <c r="P43" s="17" t="n">
        <v>53</v>
      </c>
      <c r="Q43" s="16" t="n">
        <v>91</v>
      </c>
      <c r="R43" s="10" t="inlineStr">
        <is>
          <t>Woodall, Timothy</t>
        </is>
      </c>
      <c r="S43" s="17" t="inlineStr">
        <is>
          <t>1B</t>
        </is>
      </c>
      <c r="T43" s="17" t="inlineStr">
        <is>
          <t>L</t>
        </is>
      </c>
      <c r="U43" s="17" t="inlineStr">
        <is>
          <t>L</t>
        </is>
      </c>
      <c r="V43" s="17" t="n">
        <v>18</v>
      </c>
      <c r="W43" s="17" t="n">
        <v>47</v>
      </c>
      <c r="X43" s="17" t="n">
        <v>42</v>
      </c>
      <c r="Y43" s="17" t="n">
        <v>40</v>
      </c>
      <c r="Z43" s="17" t="n">
        <v>56</v>
      </c>
      <c r="AA43" s="17" t="n">
        <v>29</v>
      </c>
      <c r="AB43" s="17" t="n">
        <v>86</v>
      </c>
      <c r="AC43" s="17" t="n">
        <v>99</v>
      </c>
      <c r="AD43" s="17" t="n">
        <v>3</v>
      </c>
      <c r="AE43" s="17" t="n">
        <v>42</v>
      </c>
      <c r="AF43" s="17" t="n">
        <v>75</v>
      </c>
      <c r="AG43" s="17" t="n">
        <v>67</v>
      </c>
      <c r="AH43" s="17" t="n">
        <v>53</v>
      </c>
      <c r="AI43" s="5">
        <f>H$1*((-0.000002)*H43^3+0.00032*H43^2+(-0.0021)*H43)+I$1*((-0.000002)*I43^3+0.00032*I43^2+(-0.0021)*I43)+J$1*((-0.000002)*J43^3+0.00032*J43^2+(-0.0021)*J43)+K$1*((-0.000002)*K43^3+0.00032*K43^2+(-0.0021)*K43)+L$1*((-0.000002)*L43^3+0.00032*L43^2+(-0.0021)*L43)</f>
        <v/>
      </c>
      <c r="AJ43" s="5">
        <f>M$1*((-0.000002)*M43^3+0.00032*M43^2+(-0.0021)*M43)+N$1*((-0.000002)*N43^3+0.00032*N43^2+(-0.0021)*N43)+O$1*((-0.000002)*O43^3+0.00032*O43^2+(-0.0021)*O43)</f>
        <v/>
      </c>
      <c r="AK43" s="5">
        <f>IF(AA43&lt;50,W$1*((-0.000002)*W43^3+0.00032*W43^2+(-0.0021)*W43)+X$1*((-0.000002)*X43^3+0.00032*X43^2+(-0.0021)*X43)+Y$1*((-0.000002)*Y43^3+0.00032*Y43^2+(-0.0021)*Y43)+Z$1*((-0.000002)*Z43^3+0.00032*Z43^2+(-0.0021)*Z43),X$2*((-0.000002)*X43^3+0.00032*X43^2+(-0.0021)*X43)+Y$2*((-0.000002)*Y43^3+0.00032*Y43^2+(-0.0021)*Y43)+Z$2*((-0.000002)*Z43^3+0.00032*Z43^2+(-0.0021)*Z43)+AA$2*((-0.000002)*AA43^3+0.00032*AA43^2+(-0.0021)*AA43))</f>
        <v/>
      </c>
      <c r="AL43" s="5">
        <f>AB$1*((-0.000002)*AB43^3+0.00032*AB43^2+(-0.0021)*AB43)+AC$1*((-0.000002)*AC43^3+0.00032*AC43^2+(-0.0021)*AC43)</f>
        <v/>
      </c>
      <c r="AM43" s="5">
        <f>AD$1*((-0.000002)*AD43^3+0.00032*AD43^2+(-0.0021)*AD43)+AE$1*((-0.000002)*AE43^3+0.00032*AE43^2+(-0.0021)*AE43)+AF$1*((-0.000002)*AF43^3+0.00032*AF43^2+(-0.0021)*AF43)+AG$1*((-0.000002)*AG43^3+0.00032*AG43^2+(-0.0021)*AG43)</f>
        <v/>
      </c>
    </row>
    <row r="44" ht="15" customHeight="1" s="27" thickBot="1">
      <c r="A44" s="5">
        <f>(AI44*AI$3+AJ44*AJ$3+AK44*AK$3+AL44*AL$3+AM44*AM$3)*100/(AI$5*AI$3+AJ$5*AJ$3+AK$5*AK$3+AL$5*AL$3+AM$5*AM$3)</f>
        <v/>
      </c>
      <c r="B44" s="16" t="n">
        <v>69</v>
      </c>
      <c r="C44" s="10" t="inlineStr">
        <is>
          <t>Chen, Pat</t>
        </is>
      </c>
      <c r="D44" s="17" t="inlineStr">
        <is>
          <t>RF</t>
        </is>
      </c>
      <c r="E44" s="17" t="inlineStr">
        <is>
          <t>R</t>
        </is>
      </c>
      <c r="F44" s="17" t="inlineStr">
        <is>
          <t>R</t>
        </is>
      </c>
      <c r="G44" s="17" t="n">
        <v>18</v>
      </c>
      <c r="H44" s="17" t="n">
        <v>27</v>
      </c>
      <c r="I44" s="17" t="n">
        <v>45</v>
      </c>
      <c r="J44" s="17" t="n">
        <v>33</v>
      </c>
      <c r="K44" s="17" t="n">
        <v>65</v>
      </c>
      <c r="L44" s="17" t="n">
        <v>43</v>
      </c>
      <c r="M44" s="17" t="n">
        <v>75</v>
      </c>
      <c r="N44" s="17" t="n">
        <v>92</v>
      </c>
      <c r="O44" s="17" t="n">
        <v>21</v>
      </c>
      <c r="P44" s="17" t="n">
        <v>58</v>
      </c>
      <c r="Q44" s="16" t="n">
        <v>69</v>
      </c>
      <c r="R44" s="10" t="inlineStr">
        <is>
          <t>Chen, Pat</t>
        </is>
      </c>
      <c r="S44" s="17" t="inlineStr">
        <is>
          <t>RF</t>
        </is>
      </c>
      <c r="T44" s="17" t="inlineStr">
        <is>
          <t>R</t>
        </is>
      </c>
      <c r="U44" s="17" t="inlineStr">
        <is>
          <t>R</t>
        </is>
      </c>
      <c r="V44" s="17" t="n">
        <v>18</v>
      </c>
      <c r="W44" s="17" t="n">
        <v>59</v>
      </c>
      <c r="X44" s="17" t="n">
        <v>56</v>
      </c>
      <c r="Y44" s="17" t="n">
        <v>68</v>
      </c>
      <c r="Z44" s="17" t="n">
        <v>55</v>
      </c>
      <c r="AA44" s="17" t="n">
        <v>16</v>
      </c>
      <c r="AB44" s="17" t="n">
        <v>77</v>
      </c>
      <c r="AC44" s="17" t="n">
        <v>53</v>
      </c>
      <c r="AD44" s="17" t="n">
        <v>64</v>
      </c>
      <c r="AE44" s="17" t="n">
        <v>34</v>
      </c>
      <c r="AF44" s="17" t="n">
        <v>40</v>
      </c>
      <c r="AG44" s="17" t="n">
        <v>91</v>
      </c>
      <c r="AH44" s="17" t="n">
        <v>58</v>
      </c>
      <c r="AI44" s="5">
        <f>H$1*((-0.000002)*H44^3+0.00032*H44^2+(-0.0021)*H44)+I$1*((-0.000002)*I44^3+0.00032*I44^2+(-0.0021)*I44)+J$1*((-0.000002)*J44^3+0.00032*J44^2+(-0.0021)*J44)+K$1*((-0.000002)*K44^3+0.00032*K44^2+(-0.0021)*K44)+L$1*((-0.000002)*L44^3+0.00032*L44^2+(-0.0021)*L44)</f>
        <v/>
      </c>
      <c r="AJ44" s="5">
        <f>M$1*((-0.000002)*M44^3+0.00032*M44^2+(-0.0021)*M44)+N$1*((-0.000002)*N44^3+0.00032*N44^2+(-0.0021)*N44)+O$1*((-0.000002)*O44^3+0.00032*O44^2+(-0.0021)*O44)</f>
        <v/>
      </c>
      <c r="AK44" s="5">
        <f>IF(AA44&lt;50,W$1*((-0.000002)*W44^3+0.00032*W44^2+(-0.0021)*W44)+X$1*((-0.000002)*X44^3+0.00032*X44^2+(-0.0021)*X44)+Y$1*((-0.000002)*Y44^3+0.00032*Y44^2+(-0.0021)*Y44)+Z$1*((-0.000002)*Z44^3+0.00032*Z44^2+(-0.0021)*Z44),X$2*((-0.000002)*X44^3+0.00032*X44^2+(-0.0021)*X44)+Y$2*((-0.000002)*Y44^3+0.00032*Y44^2+(-0.0021)*Y44)+Z$2*((-0.000002)*Z44^3+0.00032*Z44^2+(-0.0021)*Z44)+AA$2*((-0.000002)*AA44^3+0.00032*AA44^2+(-0.0021)*AA44))</f>
        <v/>
      </c>
      <c r="AL44" s="5">
        <f>AB$1*((-0.000002)*AB44^3+0.00032*AB44^2+(-0.0021)*AB44)+AC$1*((-0.000002)*AC44^3+0.00032*AC44^2+(-0.0021)*AC44)</f>
        <v/>
      </c>
      <c r="AM44" s="5">
        <f>AD$1*((-0.000002)*AD44^3+0.00032*AD44^2+(-0.0021)*AD44)+AE$1*((-0.000002)*AE44^3+0.00032*AE44^2+(-0.0021)*AE44)+AF$1*((-0.000002)*AF44^3+0.00032*AF44^2+(-0.0021)*AF44)+AG$1*((-0.000002)*AG44^3+0.00032*AG44^2+(-0.0021)*AG44)</f>
        <v/>
      </c>
    </row>
    <row r="45" ht="15" customHeight="1" s="27" thickBot="1">
      <c r="A45" s="5">
        <f>(AI45*AI$3+AJ45*AJ$3+AK45*AK$3+AL45*AL$3+AM45*AM$3)*100/(AI$5*AI$3+AJ$5*AJ$3+AK$5*AK$3+AL$5*AL$3+AM$5*AM$3)</f>
        <v/>
      </c>
      <c r="B45" s="16" t="n">
        <v>161</v>
      </c>
      <c r="C45" s="10" t="inlineStr">
        <is>
          <t>Carlson, Jon</t>
        </is>
      </c>
      <c r="D45" s="17" t="inlineStr">
        <is>
          <t>2B</t>
        </is>
      </c>
      <c r="E45" s="17" t="inlineStr">
        <is>
          <t>S</t>
        </is>
      </c>
      <c r="F45" s="17" t="inlineStr">
        <is>
          <t>R</t>
        </is>
      </c>
      <c r="G45" s="17" t="n">
        <v>21</v>
      </c>
      <c r="H45" s="17" t="n">
        <v>31</v>
      </c>
      <c r="I45" s="17" t="n">
        <v>3</v>
      </c>
      <c r="J45" s="17" t="n">
        <v>35</v>
      </c>
      <c r="K45" s="17" t="n">
        <v>54</v>
      </c>
      <c r="L45" s="17" t="n">
        <v>55</v>
      </c>
      <c r="M45" s="17" t="n">
        <v>78</v>
      </c>
      <c r="N45" s="17" t="n">
        <v>12</v>
      </c>
      <c r="O45" s="17" t="n">
        <v>39</v>
      </c>
      <c r="P45" s="17" t="n">
        <v>53</v>
      </c>
      <c r="Q45" s="16" t="n">
        <v>161</v>
      </c>
      <c r="R45" s="10" t="inlineStr">
        <is>
          <t>Carlson, Jon</t>
        </is>
      </c>
      <c r="S45" s="17" t="inlineStr">
        <is>
          <t>2B</t>
        </is>
      </c>
      <c r="T45" s="17" t="inlineStr">
        <is>
          <t>S</t>
        </is>
      </c>
      <c r="U45" s="17" t="inlineStr">
        <is>
          <t>R</t>
        </is>
      </c>
      <c r="V45" s="17" t="n">
        <v>21</v>
      </c>
      <c r="W45" s="17" t="n">
        <v>98</v>
      </c>
      <c r="X45" s="17" t="n">
        <v>65</v>
      </c>
      <c r="Y45" s="17" t="n">
        <v>62</v>
      </c>
      <c r="Z45" s="17" t="n">
        <v>62</v>
      </c>
      <c r="AA45" s="17" t="n">
        <v>29</v>
      </c>
      <c r="AB45" s="17" t="n">
        <v>70</v>
      </c>
      <c r="AC45" s="17" t="n">
        <v>71</v>
      </c>
      <c r="AD45" s="17" t="n">
        <v>60</v>
      </c>
      <c r="AE45" s="17" t="n">
        <v>48</v>
      </c>
      <c r="AF45" s="17" t="n">
        <v>62</v>
      </c>
      <c r="AG45" s="17" t="n">
        <v>69</v>
      </c>
      <c r="AH45" s="17" t="n">
        <v>53</v>
      </c>
      <c r="AI45" s="5">
        <f>H$1*((-0.000002)*H45^3+0.00032*H45^2+(-0.0021)*H45)+I$1*((-0.000002)*I45^3+0.00032*I45^2+(-0.0021)*I45)+J$1*((-0.000002)*J45^3+0.00032*J45^2+(-0.0021)*J45)+K$1*((-0.000002)*K45^3+0.00032*K45^2+(-0.0021)*K45)+L$1*((-0.000002)*L45^3+0.00032*L45^2+(-0.0021)*L45)</f>
        <v/>
      </c>
      <c r="AJ45" s="5">
        <f>M$1*((-0.000002)*M45^3+0.00032*M45^2+(-0.0021)*M45)+N$1*((-0.000002)*N45^3+0.00032*N45^2+(-0.0021)*N45)+O$1*((-0.000002)*O45^3+0.00032*O45^2+(-0.0021)*O45)</f>
        <v/>
      </c>
      <c r="AK45" s="5">
        <f>IF(AA45&lt;50,W$1*((-0.000002)*W45^3+0.00032*W45^2+(-0.0021)*W45)+X$1*((-0.000002)*X45^3+0.00032*X45^2+(-0.0021)*X45)+Y$1*((-0.000002)*Y45^3+0.00032*Y45^2+(-0.0021)*Y45)+Z$1*((-0.000002)*Z45^3+0.00032*Z45^2+(-0.0021)*Z45),X$2*((-0.000002)*X45^3+0.00032*X45^2+(-0.0021)*X45)+Y$2*((-0.000002)*Y45^3+0.00032*Y45^2+(-0.0021)*Y45)+Z$2*((-0.000002)*Z45^3+0.00032*Z45^2+(-0.0021)*Z45)+AA$2*((-0.000002)*AA45^3+0.00032*AA45^2+(-0.0021)*AA45))</f>
        <v/>
      </c>
      <c r="AL45" s="5">
        <f>AB$1*((-0.000002)*AB45^3+0.00032*AB45^2+(-0.0021)*AB45)+AC$1*((-0.000002)*AC45^3+0.00032*AC45^2+(-0.0021)*AC45)</f>
        <v/>
      </c>
      <c r="AM45" s="5">
        <f>AD$1*((-0.000002)*AD45^3+0.00032*AD45^2+(-0.0021)*AD45)+AE$1*((-0.000002)*AE45^3+0.00032*AE45^2+(-0.0021)*AE45)+AF$1*((-0.000002)*AF45^3+0.00032*AF45^2+(-0.0021)*AF45)+AG$1*((-0.000002)*AG45^3+0.00032*AG45^2+(-0.0021)*AG45)</f>
        <v/>
      </c>
    </row>
    <row r="46" ht="15" customHeight="1" s="27" thickBot="1">
      <c r="A46" s="5">
        <f>(AI46*AI$3+AJ46*AJ$3+AK46*AK$3+AL46*AL$3+AM46*AM$3)*100/(AI$5*AI$3+AJ$5*AJ$3+AK$5*AK$3+AL$5*AL$3+AM$5*AM$3)</f>
        <v/>
      </c>
      <c r="B46" s="18" t="n">
        <v>66</v>
      </c>
      <c r="C46" s="11" t="inlineStr">
        <is>
          <t>Rain, Abel</t>
        </is>
      </c>
      <c r="D46" s="19" t="inlineStr">
        <is>
          <t>C</t>
        </is>
      </c>
      <c r="E46" s="19" t="inlineStr">
        <is>
          <t>R</t>
        </is>
      </c>
      <c r="F46" s="19" t="inlineStr">
        <is>
          <t>R</t>
        </is>
      </c>
      <c r="G46" s="19" t="n">
        <v>18</v>
      </c>
      <c r="H46" s="19" t="n">
        <v>44</v>
      </c>
      <c r="I46" s="19" t="n">
        <v>71</v>
      </c>
      <c r="J46" s="19" t="n">
        <v>26</v>
      </c>
      <c r="K46" s="19" t="n">
        <v>63</v>
      </c>
      <c r="L46" s="19" t="n">
        <v>47</v>
      </c>
      <c r="M46" s="19" t="n">
        <v>66</v>
      </c>
      <c r="N46" s="19" t="n">
        <v>52</v>
      </c>
      <c r="O46" s="19" t="n">
        <v>56</v>
      </c>
      <c r="P46" s="19" t="n">
        <v>58</v>
      </c>
      <c r="Q46" s="18" t="n">
        <v>66</v>
      </c>
      <c r="R46" s="11" t="inlineStr">
        <is>
          <t>Rain, Abel</t>
        </is>
      </c>
      <c r="S46" s="19" t="inlineStr">
        <is>
          <t>C</t>
        </is>
      </c>
      <c r="T46" s="19" t="inlineStr">
        <is>
          <t>R</t>
        </is>
      </c>
      <c r="U46" s="19" t="inlineStr">
        <is>
          <t>R</t>
        </is>
      </c>
      <c r="V46" s="19" t="n">
        <v>18</v>
      </c>
      <c r="W46" s="19" t="n">
        <v>10</v>
      </c>
      <c r="X46" s="19" t="n">
        <v>26</v>
      </c>
      <c r="Y46" s="19" t="n">
        <v>66</v>
      </c>
      <c r="Z46" s="19" t="n">
        <v>65</v>
      </c>
      <c r="AA46" s="19" t="n">
        <v>60</v>
      </c>
      <c r="AB46" s="19" t="n">
        <v>75</v>
      </c>
      <c r="AC46" s="19" t="n">
        <v>62</v>
      </c>
      <c r="AD46" s="19" t="n">
        <v>28</v>
      </c>
      <c r="AE46" s="19" t="n">
        <v>71</v>
      </c>
      <c r="AF46" s="19" t="n">
        <v>26</v>
      </c>
      <c r="AG46" s="19" t="n">
        <v>90</v>
      </c>
      <c r="AH46" s="19" t="n">
        <v>58</v>
      </c>
      <c r="AI46" s="5">
        <f>H$1*((-0.000002)*H46^3+0.00032*H46^2+(-0.0021)*H46)+I$1*((-0.000002)*I46^3+0.00032*I46^2+(-0.0021)*I46)+J$1*((-0.000002)*J46^3+0.00032*J46^2+(-0.0021)*J46)+K$1*((-0.000002)*K46^3+0.00032*K46^2+(-0.0021)*K46)+L$1*((-0.000002)*L46^3+0.00032*L46^2+(-0.0021)*L46)</f>
        <v/>
      </c>
      <c r="AJ46" s="5">
        <f>M$1*((-0.000002)*M46^3+0.00032*M46^2+(-0.0021)*M46)+N$1*((-0.000002)*N46^3+0.00032*N46^2+(-0.0021)*N46)+O$1*((-0.000002)*O46^3+0.00032*O46^2+(-0.0021)*O46)</f>
        <v/>
      </c>
      <c r="AK46" s="5">
        <f>IF(AA46&lt;50,W$1*((-0.000002)*W46^3+0.00032*W46^2+(-0.0021)*W46)+X$1*((-0.000002)*X46^3+0.00032*X46^2+(-0.0021)*X46)+Y$1*((-0.000002)*Y46^3+0.00032*Y46^2+(-0.0021)*Y46)+Z$1*((-0.000002)*Z46^3+0.00032*Z46^2+(-0.0021)*Z46),X$2*((-0.000002)*X46^3+0.00032*X46^2+(-0.0021)*X46)+Y$2*((-0.000002)*Y46^3+0.00032*Y46^2+(-0.0021)*Y46)+Z$2*((-0.000002)*Z46^3+0.00032*Z46^2+(-0.0021)*Z46)+AA$2*((-0.000002)*AA46^3+0.00032*AA46^2+(-0.0021)*AA46))</f>
        <v/>
      </c>
      <c r="AL46" s="5">
        <f>AB$1*((-0.000002)*AB46^3+0.00032*AB46^2+(-0.0021)*AB46)+AC$1*((-0.000002)*AC46^3+0.00032*AC46^2+(-0.0021)*AC46)</f>
        <v/>
      </c>
      <c r="AM46" s="5">
        <f>AD$1*((-0.000002)*AD46^3+0.00032*AD46^2+(-0.0021)*AD46)+AE$1*((-0.000002)*AE46^3+0.00032*AE46^2+(-0.0021)*AE46)+AF$1*((-0.000002)*AF46^3+0.00032*AF46^2+(-0.0021)*AF46)+AG$1*((-0.000002)*AG46^3+0.00032*AG46^2+(-0.0021)*AG46)</f>
        <v/>
      </c>
    </row>
    <row r="47" ht="15" customHeight="1" s="27" thickBot="1">
      <c r="A47" s="5">
        <f>(AI47*AI$3+AJ47*AJ$3+AK47*AK$3+AL47*AL$3+AM47*AM$3)*100/(AI$5*AI$3+AJ$5*AJ$3+AK$5*AK$3+AL$5*AL$3+AM$5*AM$3)</f>
        <v/>
      </c>
      <c r="B47" s="16" t="n">
        <v>39</v>
      </c>
      <c r="C47" s="10" t="inlineStr">
        <is>
          <t>Surhoff, Teddy</t>
        </is>
      </c>
      <c r="D47" s="17" t="inlineStr">
        <is>
          <t>C</t>
        </is>
      </c>
      <c r="E47" s="17" t="inlineStr">
        <is>
          <t>R</t>
        </is>
      </c>
      <c r="F47" s="17" t="inlineStr">
        <is>
          <t>R</t>
        </is>
      </c>
      <c r="G47" s="17" t="n">
        <v>18</v>
      </c>
      <c r="H47" s="17" t="n">
        <v>35</v>
      </c>
      <c r="I47" s="17" t="n">
        <v>68</v>
      </c>
      <c r="J47" s="17" t="n">
        <v>35</v>
      </c>
      <c r="K47" s="17" t="n">
        <v>52</v>
      </c>
      <c r="L47" s="17" t="n">
        <v>43</v>
      </c>
      <c r="M47" s="17" t="n">
        <v>52</v>
      </c>
      <c r="N47" s="17" t="n">
        <v>91</v>
      </c>
      <c r="O47" s="17" t="n">
        <v>61</v>
      </c>
      <c r="P47" s="17" t="n">
        <v>57</v>
      </c>
      <c r="Q47" s="16" t="n">
        <v>39</v>
      </c>
      <c r="R47" s="10" t="inlineStr">
        <is>
          <t>Surhoff, Teddy</t>
        </is>
      </c>
      <c r="S47" s="17" t="inlineStr">
        <is>
          <t>C</t>
        </is>
      </c>
      <c r="T47" s="17" t="inlineStr">
        <is>
          <t>R</t>
        </is>
      </c>
      <c r="U47" s="17" t="inlineStr">
        <is>
          <t>R</t>
        </is>
      </c>
      <c r="V47" s="17" t="n">
        <v>18</v>
      </c>
      <c r="W47" s="17" t="n">
        <v>20</v>
      </c>
      <c r="X47" s="17" t="n">
        <v>44</v>
      </c>
      <c r="Y47" s="17" t="n">
        <v>74</v>
      </c>
      <c r="Z47" s="17" t="n">
        <v>73</v>
      </c>
      <c r="AA47" s="17" t="n">
        <v>89</v>
      </c>
      <c r="AB47" s="17" t="n">
        <v>68</v>
      </c>
      <c r="AC47" s="17" t="n">
        <v>63</v>
      </c>
      <c r="AD47" s="17" t="n">
        <v>28</v>
      </c>
      <c r="AE47" s="17" t="n">
        <v>55</v>
      </c>
      <c r="AF47" s="17" t="n">
        <v>23</v>
      </c>
      <c r="AG47" s="17" t="n">
        <v>83</v>
      </c>
      <c r="AH47" s="17" t="n">
        <v>57</v>
      </c>
      <c r="AI47" s="5">
        <f>H$1*((-0.000002)*H47^3+0.00032*H47^2+(-0.0021)*H47)+I$1*((-0.000002)*I47^3+0.00032*I47^2+(-0.0021)*I47)+J$1*((-0.000002)*J47^3+0.00032*J47^2+(-0.0021)*J47)+K$1*((-0.000002)*K47^3+0.00032*K47^2+(-0.0021)*K47)+L$1*((-0.000002)*L47^3+0.00032*L47^2+(-0.0021)*L47)</f>
        <v/>
      </c>
      <c r="AJ47" s="5">
        <f>M$1*((-0.000002)*M47^3+0.00032*M47^2+(-0.0021)*M47)+N$1*((-0.000002)*N47^3+0.00032*N47^2+(-0.0021)*N47)+O$1*((-0.000002)*O47^3+0.00032*O47^2+(-0.0021)*O47)</f>
        <v/>
      </c>
      <c r="AK47" s="5">
        <f>IF(AA47&lt;50,W$1*((-0.000002)*W47^3+0.00032*W47^2+(-0.0021)*W47)+X$1*((-0.000002)*X47^3+0.00032*X47^2+(-0.0021)*X47)+Y$1*((-0.000002)*Y47^3+0.00032*Y47^2+(-0.0021)*Y47)+Z$1*((-0.000002)*Z47^3+0.00032*Z47^2+(-0.0021)*Z47),X$2*((-0.000002)*X47^3+0.00032*X47^2+(-0.0021)*X47)+Y$2*((-0.000002)*Y47^3+0.00032*Y47^2+(-0.0021)*Y47)+Z$2*((-0.000002)*Z47^3+0.00032*Z47^2+(-0.0021)*Z47)+AA$2*((-0.000002)*AA47^3+0.00032*AA47^2+(-0.0021)*AA47))</f>
        <v/>
      </c>
      <c r="AL47" s="5">
        <f>AB$1*((-0.000002)*AB47^3+0.00032*AB47^2+(-0.0021)*AB47)+AC$1*((-0.000002)*AC47^3+0.00032*AC47^2+(-0.0021)*AC47)</f>
        <v/>
      </c>
      <c r="AM47" s="5">
        <f>AD$1*((-0.000002)*AD47^3+0.00032*AD47^2+(-0.0021)*AD47)+AE$1*((-0.000002)*AE47^3+0.00032*AE47^2+(-0.0021)*AE47)+AF$1*((-0.000002)*AF47^3+0.00032*AF47^2+(-0.0021)*AF47)+AG$1*((-0.000002)*AG47^3+0.00032*AG47^2+(-0.0021)*AG47)</f>
        <v/>
      </c>
    </row>
    <row r="48" ht="15" customHeight="1" s="27" thickBot="1">
      <c r="A48" s="5">
        <f>(AI48*AI$3+AJ48*AJ$3+AK48*AK$3+AL48*AL$3+AM48*AM$3)*100/(AI$5*AI$3+AJ$5*AJ$3+AK$5*AK$3+AL$5*AL$3+AM$5*AM$3)</f>
        <v/>
      </c>
      <c r="B48" s="16" t="n">
        <v>57</v>
      </c>
      <c r="C48" s="10" t="inlineStr">
        <is>
          <t>Mitchell, Jacob</t>
        </is>
      </c>
      <c r="D48" s="17" t="inlineStr">
        <is>
          <t>LF</t>
        </is>
      </c>
      <c r="E48" s="17" t="inlineStr">
        <is>
          <t>R</t>
        </is>
      </c>
      <c r="F48" s="17" t="inlineStr">
        <is>
          <t>R</t>
        </is>
      </c>
      <c r="G48" s="17" t="n">
        <v>18</v>
      </c>
      <c r="H48" s="17" t="n">
        <v>59</v>
      </c>
      <c r="I48" s="17" t="n">
        <v>44</v>
      </c>
      <c r="J48" s="17" t="n">
        <v>30</v>
      </c>
      <c r="K48" s="17" t="n">
        <v>33</v>
      </c>
      <c r="L48" s="17" t="n">
        <v>46</v>
      </c>
      <c r="M48" s="17" t="n">
        <v>63</v>
      </c>
      <c r="N48" s="17" t="n">
        <v>64</v>
      </c>
      <c r="O48" s="17" t="n">
        <v>25</v>
      </c>
      <c r="P48" s="17" t="n">
        <v>61</v>
      </c>
      <c r="Q48" s="16" t="n">
        <v>57</v>
      </c>
      <c r="R48" s="10" t="inlineStr">
        <is>
          <t>Mitchell, Jacob</t>
        </is>
      </c>
      <c r="S48" s="17" t="inlineStr">
        <is>
          <t>LF</t>
        </is>
      </c>
      <c r="T48" s="17" t="inlineStr">
        <is>
          <t>R</t>
        </is>
      </c>
      <c r="U48" s="17" t="inlineStr">
        <is>
          <t>R</t>
        </is>
      </c>
      <c r="V48" s="17" t="n">
        <v>18</v>
      </c>
      <c r="W48" s="17" t="n">
        <v>53</v>
      </c>
      <c r="X48" s="17" t="n">
        <v>62</v>
      </c>
      <c r="Y48" s="17" t="n">
        <v>43</v>
      </c>
      <c r="Z48" s="17" t="n">
        <v>57</v>
      </c>
      <c r="AA48" s="17" t="n">
        <v>13</v>
      </c>
      <c r="AB48" s="17" t="n">
        <v>85</v>
      </c>
      <c r="AC48" s="17" t="n">
        <v>100</v>
      </c>
      <c r="AD48" s="17" t="n">
        <v>50</v>
      </c>
      <c r="AE48" s="17" t="n">
        <v>57</v>
      </c>
      <c r="AF48" s="17" t="n">
        <v>58</v>
      </c>
      <c r="AG48" s="17" t="n">
        <v>94</v>
      </c>
      <c r="AH48" s="17" t="n">
        <v>61</v>
      </c>
      <c r="AI48" s="5">
        <f>H$1*((-0.000002)*H48^3+0.00032*H48^2+(-0.0021)*H48)+I$1*((-0.000002)*I48^3+0.00032*I48^2+(-0.0021)*I48)+J$1*((-0.000002)*J48^3+0.00032*J48^2+(-0.0021)*J48)+K$1*((-0.000002)*K48^3+0.00032*K48^2+(-0.0021)*K48)+L$1*((-0.000002)*L48^3+0.00032*L48^2+(-0.0021)*L48)</f>
        <v/>
      </c>
      <c r="AJ48" s="5">
        <f>M$1*((-0.000002)*M48^3+0.00032*M48^2+(-0.0021)*M48)+N$1*((-0.000002)*N48^3+0.00032*N48^2+(-0.0021)*N48)+O$1*((-0.000002)*O48^3+0.00032*O48^2+(-0.0021)*O48)</f>
        <v/>
      </c>
      <c r="AK48" s="5">
        <f>IF(AA48&lt;50,W$1*((-0.000002)*W48^3+0.00032*W48^2+(-0.0021)*W48)+X$1*((-0.000002)*X48^3+0.00032*X48^2+(-0.0021)*X48)+Y$1*((-0.000002)*Y48^3+0.00032*Y48^2+(-0.0021)*Y48)+Z$1*((-0.000002)*Z48^3+0.00032*Z48^2+(-0.0021)*Z48),X$2*((-0.000002)*X48^3+0.00032*X48^2+(-0.0021)*X48)+Y$2*((-0.000002)*Y48^3+0.00032*Y48^2+(-0.0021)*Y48)+Z$2*((-0.000002)*Z48^3+0.00032*Z48^2+(-0.0021)*Z48)+AA$2*((-0.000002)*AA48^3+0.00032*AA48^2+(-0.0021)*AA48))</f>
        <v/>
      </c>
      <c r="AL48" s="5">
        <f>AB$1*((-0.000002)*AB48^3+0.00032*AB48^2+(-0.0021)*AB48)+AC$1*((-0.000002)*AC48^3+0.00032*AC48^2+(-0.0021)*AC48)</f>
        <v/>
      </c>
      <c r="AM48" s="5">
        <f>AD$1*((-0.000002)*AD48^3+0.00032*AD48^2+(-0.0021)*AD48)+AE$1*((-0.000002)*AE48^3+0.00032*AE48^2+(-0.0021)*AE48)+AF$1*((-0.000002)*AF48^3+0.00032*AF48^2+(-0.0021)*AF48)+AG$1*((-0.000002)*AG48^3+0.00032*AG48^2+(-0.0021)*AG48)</f>
        <v/>
      </c>
    </row>
    <row r="49" ht="15" customHeight="1" s="27" thickBot="1">
      <c r="A49" s="5">
        <f>(AI49*AI$3+AJ49*AJ$3+AK49*AK$3+AL49*AL$3+AM49*AM$3)*100/(AI$5*AI$3+AJ$5*AJ$3+AK$5*AK$3+AL$5*AL$3+AM$5*AM$3)</f>
        <v/>
      </c>
      <c r="B49" s="16" t="n">
        <v>73</v>
      </c>
      <c r="C49" s="10" t="inlineStr">
        <is>
          <t>Garza, Hector</t>
        </is>
      </c>
      <c r="D49" s="17" t="inlineStr">
        <is>
          <t>LF</t>
        </is>
      </c>
      <c r="E49" s="17" t="inlineStr">
        <is>
          <t>L</t>
        </is>
      </c>
      <c r="F49" s="17" t="inlineStr">
        <is>
          <t>L</t>
        </is>
      </c>
      <c r="G49" s="17" t="n">
        <v>18</v>
      </c>
      <c r="H49" s="17" t="n">
        <v>37</v>
      </c>
      <c r="I49" s="17" t="n">
        <v>10</v>
      </c>
      <c r="J49" s="17" t="n">
        <v>29</v>
      </c>
      <c r="K49" s="17" t="n">
        <v>50</v>
      </c>
      <c r="L49" s="17" t="n">
        <v>60</v>
      </c>
      <c r="M49" s="17" t="n">
        <v>71</v>
      </c>
      <c r="N49" s="17" t="n">
        <v>77</v>
      </c>
      <c r="O49" s="17" t="n">
        <v>52</v>
      </c>
      <c r="P49" s="17" t="n">
        <v>57</v>
      </c>
      <c r="Q49" s="16" t="n">
        <v>73</v>
      </c>
      <c r="R49" s="10" t="inlineStr">
        <is>
          <t>Garza, Hector</t>
        </is>
      </c>
      <c r="S49" s="17" t="inlineStr">
        <is>
          <t>LF</t>
        </is>
      </c>
      <c r="T49" s="17" t="inlineStr">
        <is>
          <t>L</t>
        </is>
      </c>
      <c r="U49" s="17" t="inlineStr">
        <is>
          <t>L</t>
        </is>
      </c>
      <c r="V49" s="17" t="n">
        <v>18</v>
      </c>
      <c r="W49" s="17" t="n">
        <v>66</v>
      </c>
      <c r="X49" s="17" t="n">
        <v>62</v>
      </c>
      <c r="Y49" s="17" t="n">
        <v>51</v>
      </c>
      <c r="Z49" s="17" t="n">
        <v>59</v>
      </c>
      <c r="AA49" s="17" t="n">
        <v>11</v>
      </c>
      <c r="AB49" s="17" t="n">
        <v>81</v>
      </c>
      <c r="AC49" s="17" t="n">
        <v>95</v>
      </c>
      <c r="AD49" s="17" t="n">
        <v>70</v>
      </c>
      <c r="AE49" s="17" t="n">
        <v>45</v>
      </c>
      <c r="AF49" s="17" t="n">
        <v>38</v>
      </c>
      <c r="AG49" s="17" t="n">
        <v>55</v>
      </c>
      <c r="AH49" s="17" t="n">
        <v>57</v>
      </c>
      <c r="AI49" s="5">
        <f>H$1*((-0.000002)*H49^3+0.00032*H49^2+(-0.0021)*H49)+I$1*((-0.000002)*I49^3+0.00032*I49^2+(-0.0021)*I49)+J$1*((-0.000002)*J49^3+0.00032*J49^2+(-0.0021)*J49)+K$1*((-0.000002)*K49^3+0.00032*K49^2+(-0.0021)*K49)+L$1*((-0.000002)*L49^3+0.00032*L49^2+(-0.0021)*L49)</f>
        <v/>
      </c>
      <c r="AJ49" s="5">
        <f>M$1*((-0.000002)*M49^3+0.00032*M49^2+(-0.0021)*M49)+N$1*((-0.000002)*N49^3+0.00032*N49^2+(-0.0021)*N49)+O$1*((-0.000002)*O49^3+0.00032*O49^2+(-0.0021)*O49)</f>
        <v/>
      </c>
      <c r="AK49" s="5">
        <f>IF(AA49&lt;50,W$1*((-0.000002)*W49^3+0.00032*W49^2+(-0.0021)*W49)+X$1*((-0.000002)*X49^3+0.00032*X49^2+(-0.0021)*X49)+Y$1*((-0.000002)*Y49^3+0.00032*Y49^2+(-0.0021)*Y49)+Z$1*((-0.000002)*Z49^3+0.00032*Z49^2+(-0.0021)*Z49),X$2*((-0.000002)*X49^3+0.00032*X49^2+(-0.0021)*X49)+Y$2*((-0.000002)*Y49^3+0.00032*Y49^2+(-0.0021)*Y49)+Z$2*((-0.000002)*Z49^3+0.00032*Z49^2+(-0.0021)*Z49)+AA$2*((-0.000002)*AA49^3+0.00032*AA49^2+(-0.0021)*AA49))</f>
        <v/>
      </c>
      <c r="AL49" s="5">
        <f>AB$1*((-0.000002)*AB49^3+0.00032*AB49^2+(-0.0021)*AB49)+AC$1*((-0.000002)*AC49^3+0.00032*AC49^2+(-0.0021)*AC49)</f>
        <v/>
      </c>
      <c r="AM49" s="5">
        <f>AD$1*((-0.000002)*AD49^3+0.00032*AD49^2+(-0.0021)*AD49)+AE$1*((-0.000002)*AE49^3+0.00032*AE49^2+(-0.0021)*AE49)+AF$1*((-0.000002)*AF49^3+0.00032*AF49^2+(-0.0021)*AF49)+AG$1*((-0.000002)*AG49^3+0.00032*AG49^2+(-0.0021)*AG49)</f>
        <v/>
      </c>
    </row>
    <row r="50" ht="15" customHeight="1" s="27" thickBot="1">
      <c r="A50" s="5">
        <f>(AI50*AI$3+AJ50*AJ$3+AK50*AK$3+AL50*AL$3+AM50*AM$3)*100/(AI$5*AI$3+AJ$5*AJ$3+AK$5*AK$3+AL$5*AL$3+AM$5*AM$3)</f>
        <v/>
      </c>
      <c r="B50" s="16" t="n">
        <v>59</v>
      </c>
      <c r="C50" s="10" t="inlineStr">
        <is>
          <t>Maduro, Branden</t>
        </is>
      </c>
      <c r="D50" s="17" t="inlineStr">
        <is>
          <t>2B</t>
        </is>
      </c>
      <c r="E50" s="17" t="inlineStr">
        <is>
          <t>L</t>
        </is>
      </c>
      <c r="F50" s="17" t="inlineStr">
        <is>
          <t>R</t>
        </is>
      </c>
      <c r="G50" s="17" t="n">
        <v>18</v>
      </c>
      <c r="H50" s="17" t="n">
        <v>46</v>
      </c>
      <c r="I50" s="17" t="n">
        <v>37</v>
      </c>
      <c r="J50" s="17" t="n">
        <v>20</v>
      </c>
      <c r="K50" s="17" t="n">
        <v>29</v>
      </c>
      <c r="L50" s="17" t="n">
        <v>35</v>
      </c>
      <c r="M50" s="17" t="n">
        <v>79</v>
      </c>
      <c r="N50" s="17" t="n">
        <v>63</v>
      </c>
      <c r="O50" s="17" t="n">
        <v>18</v>
      </c>
      <c r="P50" s="17" t="n">
        <v>60</v>
      </c>
      <c r="Q50" s="16" t="n">
        <v>59</v>
      </c>
      <c r="R50" s="10" t="inlineStr">
        <is>
          <t>Maduro, Branden</t>
        </is>
      </c>
      <c r="S50" s="17" t="inlineStr">
        <is>
          <t>2B</t>
        </is>
      </c>
      <c r="T50" s="17" t="inlineStr">
        <is>
          <t>L</t>
        </is>
      </c>
      <c r="U50" s="17" t="inlineStr">
        <is>
          <t>R</t>
        </is>
      </c>
      <c r="V50" s="17" t="n">
        <v>18</v>
      </c>
      <c r="W50" s="17" t="n">
        <v>66</v>
      </c>
      <c r="X50" s="17" t="n">
        <v>66</v>
      </c>
      <c r="Y50" s="17" t="n">
        <v>75</v>
      </c>
      <c r="Z50" s="17" t="n">
        <v>65</v>
      </c>
      <c r="AA50" s="17" t="n">
        <v>17</v>
      </c>
      <c r="AB50" s="17" t="n">
        <v>95</v>
      </c>
      <c r="AC50" s="17" t="n">
        <v>40</v>
      </c>
      <c r="AD50" s="17" t="n">
        <v>84</v>
      </c>
      <c r="AE50" s="17" t="n">
        <v>50</v>
      </c>
      <c r="AF50" s="17" t="n">
        <v>84</v>
      </c>
      <c r="AG50" s="17" t="n">
        <v>58</v>
      </c>
      <c r="AH50" s="17" t="n">
        <v>60</v>
      </c>
      <c r="AI50" s="5">
        <f>H$1*((-0.000002)*H50^3+0.00032*H50^2+(-0.0021)*H50)+I$1*((-0.000002)*I50^3+0.00032*I50^2+(-0.0021)*I50)+J$1*((-0.000002)*J50^3+0.00032*J50^2+(-0.0021)*J50)+K$1*((-0.000002)*K50^3+0.00032*K50^2+(-0.0021)*K50)+L$1*((-0.000002)*L50^3+0.00032*L50^2+(-0.0021)*L50)</f>
        <v/>
      </c>
      <c r="AJ50" s="5">
        <f>M$1*((-0.000002)*M50^3+0.00032*M50^2+(-0.0021)*M50)+N$1*((-0.000002)*N50^3+0.00032*N50^2+(-0.0021)*N50)+O$1*((-0.000002)*O50^3+0.00032*O50^2+(-0.0021)*O50)</f>
        <v/>
      </c>
      <c r="AK50" s="5">
        <f>IF(AA50&lt;50,W$1*((-0.000002)*W50^3+0.00032*W50^2+(-0.0021)*W50)+X$1*((-0.000002)*X50^3+0.00032*X50^2+(-0.0021)*X50)+Y$1*((-0.000002)*Y50^3+0.00032*Y50^2+(-0.0021)*Y50)+Z$1*((-0.000002)*Z50^3+0.00032*Z50^2+(-0.0021)*Z50),X$2*((-0.000002)*X50^3+0.00032*X50^2+(-0.0021)*X50)+Y$2*((-0.000002)*Y50^3+0.00032*Y50^2+(-0.0021)*Y50)+Z$2*((-0.000002)*Z50^3+0.00032*Z50^2+(-0.0021)*Z50)+AA$2*((-0.000002)*AA50^3+0.00032*AA50^2+(-0.0021)*AA50))</f>
        <v/>
      </c>
      <c r="AL50" s="5">
        <f>AB$1*((-0.000002)*AB50^3+0.00032*AB50^2+(-0.0021)*AB50)+AC$1*((-0.000002)*AC50^3+0.00032*AC50^2+(-0.0021)*AC50)</f>
        <v/>
      </c>
      <c r="AM50" s="5">
        <f>AD$1*((-0.000002)*AD50^3+0.00032*AD50^2+(-0.0021)*AD50)+AE$1*((-0.000002)*AE50^3+0.00032*AE50^2+(-0.0021)*AE50)+AF$1*((-0.000002)*AF50^3+0.00032*AF50^2+(-0.0021)*AF50)+AG$1*((-0.000002)*AG50^3+0.00032*AG50^2+(-0.0021)*AG50)</f>
        <v/>
      </c>
    </row>
    <row r="51" ht="15" customHeight="1" s="27" thickBot="1">
      <c r="A51" s="5">
        <f>(AI51*AI$3+AJ51*AJ$3+AK51*AK$3+AL51*AL$3+AM51*AM$3)*100/(AI$5*AI$3+AJ$5*AJ$3+AK$5*AK$3+AL$5*AL$3+AM$5*AM$3)</f>
        <v/>
      </c>
      <c r="B51" s="18" t="n">
        <v>58</v>
      </c>
      <c r="C51" s="11" t="inlineStr">
        <is>
          <t>Torres, Ed</t>
        </is>
      </c>
      <c r="D51" s="19" t="inlineStr">
        <is>
          <t>LF</t>
        </is>
      </c>
      <c r="E51" s="19" t="inlineStr">
        <is>
          <t>L</t>
        </is>
      </c>
      <c r="F51" s="19" t="inlineStr">
        <is>
          <t>L</t>
        </is>
      </c>
      <c r="G51" s="19" t="n">
        <v>18</v>
      </c>
      <c r="H51" s="19" t="n">
        <v>63</v>
      </c>
      <c r="I51" s="19" t="n">
        <v>46</v>
      </c>
      <c r="J51" s="19" t="n">
        <v>40</v>
      </c>
      <c r="K51" s="19" t="n">
        <v>30</v>
      </c>
      <c r="L51" s="19" t="n">
        <v>40</v>
      </c>
      <c r="M51" s="19" t="n">
        <v>79</v>
      </c>
      <c r="N51" s="19" t="n">
        <v>89</v>
      </c>
      <c r="O51" s="19" t="n">
        <v>51</v>
      </c>
      <c r="P51" s="19" t="n">
        <v>61</v>
      </c>
      <c r="Q51" s="18" t="n">
        <v>58</v>
      </c>
      <c r="R51" s="11" t="inlineStr">
        <is>
          <t>Torres, Ed</t>
        </is>
      </c>
      <c r="S51" s="19" t="inlineStr">
        <is>
          <t>LF</t>
        </is>
      </c>
      <c r="T51" s="19" t="inlineStr">
        <is>
          <t>L</t>
        </is>
      </c>
      <c r="U51" s="19" t="inlineStr">
        <is>
          <t>L</t>
        </is>
      </c>
      <c r="V51" s="19" t="n">
        <v>18</v>
      </c>
      <c r="W51" s="19" t="n">
        <v>50</v>
      </c>
      <c r="X51" s="19" t="n">
        <v>54</v>
      </c>
      <c r="Y51" s="19" t="n">
        <v>45</v>
      </c>
      <c r="Z51" s="19" t="n">
        <v>44</v>
      </c>
      <c r="AA51" s="19" t="n">
        <v>16</v>
      </c>
      <c r="AB51" s="19" t="n">
        <v>75</v>
      </c>
      <c r="AC51" s="19" t="n">
        <v>100</v>
      </c>
      <c r="AD51" s="19" t="n">
        <v>89</v>
      </c>
      <c r="AE51" s="19" t="n">
        <v>42</v>
      </c>
      <c r="AF51" s="19" t="n">
        <v>49</v>
      </c>
      <c r="AG51" s="19" t="n">
        <v>70</v>
      </c>
      <c r="AH51" s="19" t="n">
        <v>61</v>
      </c>
      <c r="AI51" s="5">
        <f>H$1*((-0.000002)*H51^3+0.00032*H51^2+(-0.0021)*H51)+I$1*((-0.000002)*I51^3+0.00032*I51^2+(-0.0021)*I51)+J$1*((-0.000002)*J51^3+0.00032*J51^2+(-0.0021)*J51)+K$1*((-0.000002)*K51^3+0.00032*K51^2+(-0.0021)*K51)+L$1*((-0.000002)*L51^3+0.00032*L51^2+(-0.0021)*L51)</f>
        <v/>
      </c>
      <c r="AJ51" s="5">
        <f>M$1*((-0.000002)*M51^3+0.00032*M51^2+(-0.0021)*M51)+N$1*((-0.000002)*N51^3+0.00032*N51^2+(-0.0021)*N51)+O$1*((-0.000002)*O51^3+0.00032*O51^2+(-0.0021)*O51)</f>
        <v/>
      </c>
      <c r="AK51" s="5">
        <f>IF(AA51&lt;50,W$1*((-0.000002)*W51^3+0.00032*W51^2+(-0.0021)*W51)+X$1*((-0.000002)*X51^3+0.00032*X51^2+(-0.0021)*X51)+Y$1*((-0.000002)*Y51^3+0.00032*Y51^2+(-0.0021)*Y51)+Z$1*((-0.000002)*Z51^3+0.00032*Z51^2+(-0.0021)*Z51),X$2*((-0.000002)*X51^3+0.00032*X51^2+(-0.0021)*X51)+Y$2*((-0.000002)*Y51^3+0.00032*Y51^2+(-0.0021)*Y51)+Z$2*((-0.000002)*Z51^3+0.00032*Z51^2+(-0.0021)*Z51)+AA$2*((-0.000002)*AA51^3+0.00032*AA51^2+(-0.0021)*AA51))</f>
        <v/>
      </c>
      <c r="AL51" s="5">
        <f>AB$1*((-0.000002)*AB51^3+0.00032*AB51^2+(-0.0021)*AB51)+AC$1*((-0.000002)*AC51^3+0.00032*AC51^2+(-0.0021)*AC51)</f>
        <v/>
      </c>
      <c r="AM51" s="5">
        <f>AD$1*((-0.000002)*AD51^3+0.00032*AD51^2+(-0.0021)*AD51)+AE$1*((-0.000002)*AE51^3+0.00032*AE51^2+(-0.0021)*AE51)+AF$1*((-0.000002)*AF51^3+0.00032*AF51^2+(-0.0021)*AF51)+AG$1*((-0.000002)*AG51^3+0.00032*AG51^2+(-0.0021)*AG51)</f>
        <v/>
      </c>
    </row>
    <row r="52" ht="15" customHeight="1" s="27" thickBot="1">
      <c r="A52" s="5">
        <f>(AI52*AI$3+AJ52*AJ$3+AK52*AK$3+AL52*AL$3+AM52*AM$3)*100/(AI$5*AI$3+AJ$5*AJ$3+AK$5*AK$3+AL$5*AL$3+AM$5*AM$3)</f>
        <v/>
      </c>
      <c r="B52" s="18" t="n">
        <v>176</v>
      </c>
      <c r="C52" s="11" t="inlineStr">
        <is>
          <t>Drabek, Darren</t>
        </is>
      </c>
      <c r="D52" s="19" t="inlineStr">
        <is>
          <t>2B</t>
        </is>
      </c>
      <c r="E52" s="19" t="inlineStr">
        <is>
          <t>R</t>
        </is>
      </c>
      <c r="F52" s="19" t="inlineStr">
        <is>
          <t>R</t>
        </is>
      </c>
      <c r="G52" s="19" t="n">
        <v>21</v>
      </c>
      <c r="H52" s="19" t="n">
        <v>36</v>
      </c>
      <c r="I52" s="19" t="n">
        <v>12</v>
      </c>
      <c r="J52" s="19" t="n">
        <v>60</v>
      </c>
      <c r="K52" s="19" t="n">
        <v>16</v>
      </c>
      <c r="L52" s="19" t="n">
        <v>40</v>
      </c>
      <c r="M52" s="19" t="n">
        <v>42</v>
      </c>
      <c r="N52" s="19" t="n">
        <v>52</v>
      </c>
      <c r="O52" s="19" t="n">
        <v>62</v>
      </c>
      <c r="P52" s="19" t="n">
        <v>44</v>
      </c>
      <c r="Q52" s="18" t="n">
        <v>176</v>
      </c>
      <c r="R52" s="11" t="inlineStr">
        <is>
          <t>Drabek, Darren</t>
        </is>
      </c>
      <c r="S52" s="19" t="inlineStr">
        <is>
          <t>2B</t>
        </is>
      </c>
      <c r="T52" s="19" t="inlineStr">
        <is>
          <t>R</t>
        </is>
      </c>
      <c r="U52" s="19" t="inlineStr">
        <is>
          <t>R</t>
        </is>
      </c>
      <c r="V52" s="19" t="n">
        <v>21</v>
      </c>
      <c r="W52" s="19" t="n">
        <v>100</v>
      </c>
      <c r="X52" s="19" t="n">
        <v>70</v>
      </c>
      <c r="Y52" s="19" t="n">
        <v>98</v>
      </c>
      <c r="Z52" s="19" t="n">
        <v>66</v>
      </c>
      <c r="AA52" s="19" t="n">
        <v>0</v>
      </c>
      <c r="AB52" s="19" t="n">
        <v>54</v>
      </c>
      <c r="AC52" s="19" t="n">
        <v>69</v>
      </c>
      <c r="AD52" s="19" t="n">
        <v>47</v>
      </c>
      <c r="AE52" s="19" t="n">
        <v>57</v>
      </c>
      <c r="AF52" s="19" t="n">
        <v>64</v>
      </c>
      <c r="AG52" s="19" t="n">
        <v>51</v>
      </c>
      <c r="AH52" s="19" t="n">
        <v>44</v>
      </c>
      <c r="AI52" s="5">
        <f>H$1*((-0.000002)*H52^3+0.00032*H52^2+(-0.0021)*H52)+I$1*((-0.000002)*I52^3+0.00032*I52^2+(-0.0021)*I52)+J$1*((-0.000002)*J52^3+0.00032*J52^2+(-0.0021)*J52)+K$1*((-0.000002)*K52^3+0.00032*K52^2+(-0.0021)*K52)+L$1*((-0.000002)*L52^3+0.00032*L52^2+(-0.0021)*L52)</f>
        <v/>
      </c>
      <c r="AJ52" s="5">
        <f>M$1*((-0.000002)*M52^3+0.00032*M52^2+(-0.0021)*M52)+N$1*((-0.000002)*N52^3+0.00032*N52^2+(-0.0021)*N52)+O$1*((-0.000002)*O52^3+0.00032*O52^2+(-0.0021)*O52)</f>
        <v/>
      </c>
      <c r="AK52" s="5">
        <f>IF(AA52&lt;50,W$1*((-0.000002)*W52^3+0.00032*W52^2+(-0.0021)*W52)+X$1*((-0.000002)*X52^3+0.00032*X52^2+(-0.0021)*X52)+Y$1*((-0.000002)*Y52^3+0.00032*Y52^2+(-0.0021)*Y52)+Z$1*((-0.000002)*Z52^3+0.00032*Z52^2+(-0.0021)*Z52),X$2*((-0.000002)*X52^3+0.00032*X52^2+(-0.0021)*X52)+Y$2*((-0.000002)*Y52^3+0.00032*Y52^2+(-0.0021)*Y52)+Z$2*((-0.000002)*Z52^3+0.00032*Z52^2+(-0.0021)*Z52)+AA$2*((-0.000002)*AA52^3+0.00032*AA52^2+(-0.0021)*AA52))</f>
        <v/>
      </c>
      <c r="AL52" s="5">
        <f>AB$1*((-0.000002)*AB52^3+0.00032*AB52^2+(-0.0021)*AB52)+AC$1*((-0.000002)*AC52^3+0.00032*AC52^2+(-0.0021)*AC52)</f>
        <v/>
      </c>
      <c r="AM52" s="5">
        <f>AD$1*((-0.000002)*AD52^3+0.00032*AD52^2+(-0.0021)*AD52)+AE$1*((-0.000002)*AE52^3+0.00032*AE52^2+(-0.0021)*AE52)+AF$1*((-0.000002)*AF52^3+0.00032*AF52^2+(-0.0021)*AF52)+AG$1*((-0.000002)*AG52^3+0.00032*AG52^2+(-0.0021)*AG52)</f>
        <v/>
      </c>
    </row>
    <row r="53" ht="15" customHeight="1" s="27" thickBot="1">
      <c r="A53" s="5">
        <f>(AI53*AI$3+AJ53*AJ$3+AK53*AK$3+AL53*AL$3+AM53*AM$3)*100/(AI$5*AI$3+AJ$5*AJ$3+AK$5*AK$3+AL$5*AL$3+AM$5*AM$3)</f>
        <v/>
      </c>
      <c r="B53" s="18" t="n">
        <v>120</v>
      </c>
      <c r="C53" s="11" t="inlineStr">
        <is>
          <t>Stevenson, Bob</t>
        </is>
      </c>
      <c r="D53" s="19" t="inlineStr">
        <is>
          <t>1B</t>
        </is>
      </c>
      <c r="E53" s="19" t="inlineStr">
        <is>
          <t>S</t>
        </is>
      </c>
      <c r="F53" s="19" t="inlineStr">
        <is>
          <t>L</t>
        </is>
      </c>
      <c r="G53" s="19" t="n">
        <v>18</v>
      </c>
      <c r="H53" s="19" t="n">
        <v>32</v>
      </c>
      <c r="I53" s="19" t="n">
        <v>74</v>
      </c>
      <c r="J53" s="19" t="n">
        <v>6</v>
      </c>
      <c r="K53" s="19" t="n">
        <v>34</v>
      </c>
      <c r="L53" s="19" t="n">
        <v>38</v>
      </c>
      <c r="M53" s="19" t="n">
        <v>44</v>
      </c>
      <c r="N53" s="19" t="n">
        <v>9</v>
      </c>
      <c r="O53" s="19" t="n">
        <v>42</v>
      </c>
      <c r="P53" s="19" t="n">
        <v>47</v>
      </c>
      <c r="Q53" s="18" t="n">
        <v>120</v>
      </c>
      <c r="R53" s="11" t="inlineStr">
        <is>
          <t>Stevenson, Bob</t>
        </is>
      </c>
      <c r="S53" s="19" t="inlineStr">
        <is>
          <t>1B</t>
        </is>
      </c>
      <c r="T53" s="19" t="inlineStr">
        <is>
          <t>S</t>
        </is>
      </c>
      <c r="U53" s="19" t="inlineStr">
        <is>
          <t>L</t>
        </is>
      </c>
      <c r="V53" s="19" t="n">
        <v>18</v>
      </c>
      <c r="W53" s="19" t="n">
        <v>51</v>
      </c>
      <c r="X53" s="19" t="n">
        <v>35</v>
      </c>
      <c r="Y53" s="19" t="n">
        <v>55</v>
      </c>
      <c r="Z53" s="19" t="n">
        <v>62</v>
      </c>
      <c r="AA53" s="19" t="n">
        <v>7</v>
      </c>
      <c r="AB53" s="19" t="n">
        <v>83</v>
      </c>
      <c r="AC53" s="19" t="n">
        <v>60</v>
      </c>
      <c r="AD53" s="19" t="n">
        <v>1</v>
      </c>
      <c r="AE53" s="19" t="n">
        <v>49</v>
      </c>
      <c r="AF53" s="19" t="n">
        <v>65</v>
      </c>
      <c r="AG53" s="19" t="n">
        <v>79</v>
      </c>
      <c r="AH53" s="19" t="n">
        <v>47</v>
      </c>
      <c r="AI53" s="5">
        <f>H$1*((-0.000002)*H53^3+0.00032*H53^2+(-0.0021)*H53)+I$1*((-0.000002)*I53^3+0.00032*I53^2+(-0.0021)*I53)+J$1*((-0.000002)*J53^3+0.00032*J53^2+(-0.0021)*J53)+K$1*((-0.000002)*K53^3+0.00032*K53^2+(-0.0021)*K53)+L$1*((-0.000002)*L53^3+0.00032*L53^2+(-0.0021)*L53)</f>
        <v/>
      </c>
      <c r="AJ53" s="5">
        <f>M$1*((-0.000002)*M53^3+0.00032*M53^2+(-0.0021)*M53)+N$1*((-0.000002)*N53^3+0.00032*N53^2+(-0.0021)*N53)+O$1*((-0.000002)*O53^3+0.00032*O53^2+(-0.0021)*O53)</f>
        <v/>
      </c>
      <c r="AK53" s="5">
        <f>IF(AA53&lt;50,W$1*((-0.000002)*W53^3+0.00032*W53^2+(-0.0021)*W53)+X$1*((-0.000002)*X53^3+0.00032*X53^2+(-0.0021)*X53)+Y$1*((-0.000002)*Y53^3+0.00032*Y53^2+(-0.0021)*Y53)+Z$1*((-0.000002)*Z53^3+0.00032*Z53^2+(-0.0021)*Z53),X$2*((-0.000002)*X53^3+0.00032*X53^2+(-0.0021)*X53)+Y$2*((-0.000002)*Y53^3+0.00032*Y53^2+(-0.0021)*Y53)+Z$2*((-0.000002)*Z53^3+0.00032*Z53^2+(-0.0021)*Z53)+AA$2*((-0.000002)*AA53^3+0.00032*AA53^2+(-0.0021)*AA53))</f>
        <v/>
      </c>
      <c r="AL53" s="5">
        <f>AB$1*((-0.000002)*AB53^3+0.00032*AB53^2+(-0.0021)*AB53)+AC$1*((-0.000002)*AC53^3+0.00032*AC53^2+(-0.0021)*AC53)</f>
        <v/>
      </c>
      <c r="AM53" s="5">
        <f>AD$1*((-0.000002)*AD53^3+0.00032*AD53^2+(-0.0021)*AD53)+AE$1*((-0.000002)*AE53^3+0.00032*AE53^2+(-0.0021)*AE53)+AF$1*((-0.000002)*AF53^3+0.00032*AF53^2+(-0.0021)*AF53)+AG$1*((-0.000002)*AG53^3+0.00032*AG53^2+(-0.0021)*AG53)</f>
        <v/>
      </c>
    </row>
    <row r="54" ht="15" customHeight="1" s="27" thickBot="1">
      <c r="A54" s="5">
        <f>(AI54*AI$3+AJ54*AJ$3+AK54*AK$3+AL54*AL$3+AM54*AM$3)*100/(AI$5*AI$3+AJ$5*AJ$3+AK$5*AK$3+AL$5*AL$3+AM$5*AM$3)</f>
        <v/>
      </c>
      <c r="B54" s="16" t="n">
        <v>81</v>
      </c>
      <c r="C54" s="10" t="inlineStr">
        <is>
          <t>Paredes, Joaquin</t>
        </is>
      </c>
      <c r="D54" s="17" t="inlineStr">
        <is>
          <t>SS</t>
        </is>
      </c>
      <c r="E54" s="17" t="inlineStr">
        <is>
          <t>S</t>
        </is>
      </c>
      <c r="F54" s="17" t="inlineStr">
        <is>
          <t>R</t>
        </is>
      </c>
      <c r="G54" s="17" t="n">
        <v>18</v>
      </c>
      <c r="H54" s="17" t="n">
        <v>39</v>
      </c>
      <c r="I54" s="17" t="n">
        <v>12</v>
      </c>
      <c r="J54" s="17" t="n">
        <v>34</v>
      </c>
      <c r="K54" s="17" t="n">
        <v>35</v>
      </c>
      <c r="L54" s="17" t="n">
        <v>40</v>
      </c>
      <c r="M54" s="17" t="n">
        <v>34</v>
      </c>
      <c r="N54" s="17" t="n">
        <v>30</v>
      </c>
      <c r="O54" s="17" t="n">
        <v>39</v>
      </c>
      <c r="P54" s="17" t="n">
        <v>55</v>
      </c>
      <c r="Q54" s="16" t="n">
        <v>81</v>
      </c>
      <c r="R54" s="10" t="inlineStr">
        <is>
          <t>Paredes, Joaquin</t>
        </is>
      </c>
      <c r="S54" s="17" t="inlineStr">
        <is>
          <t>SS</t>
        </is>
      </c>
      <c r="T54" s="17" t="inlineStr">
        <is>
          <t>S</t>
        </is>
      </c>
      <c r="U54" s="17" t="inlineStr">
        <is>
          <t>R</t>
        </is>
      </c>
      <c r="V54" s="17" t="n">
        <v>18</v>
      </c>
      <c r="W54" s="17" t="n">
        <v>68</v>
      </c>
      <c r="X54" s="17" t="n">
        <v>74</v>
      </c>
      <c r="Y54" s="17" t="n">
        <v>77</v>
      </c>
      <c r="Z54" s="17" t="n">
        <v>81</v>
      </c>
      <c r="AA54" s="17" t="n">
        <v>5</v>
      </c>
      <c r="AB54" s="17" t="n">
        <v>90</v>
      </c>
      <c r="AC54" s="17" t="n">
        <v>92</v>
      </c>
      <c r="AD54" s="17" t="n">
        <v>53</v>
      </c>
      <c r="AE54" s="17" t="n">
        <v>72</v>
      </c>
      <c r="AF54" s="17" t="n">
        <v>53</v>
      </c>
      <c r="AG54" s="17" t="n">
        <v>65</v>
      </c>
      <c r="AH54" s="17" t="n">
        <v>55</v>
      </c>
      <c r="AI54" s="5">
        <f>H$1*((-0.000002)*H54^3+0.00032*H54^2+(-0.0021)*H54)+I$1*((-0.000002)*I54^3+0.00032*I54^2+(-0.0021)*I54)+J$1*((-0.000002)*J54^3+0.00032*J54^2+(-0.0021)*J54)+K$1*((-0.000002)*K54^3+0.00032*K54^2+(-0.0021)*K54)+L$1*((-0.000002)*L54^3+0.00032*L54^2+(-0.0021)*L54)</f>
        <v/>
      </c>
      <c r="AJ54" s="5">
        <f>M$1*((-0.000002)*M54^3+0.00032*M54^2+(-0.0021)*M54)+N$1*((-0.000002)*N54^3+0.00032*N54^2+(-0.0021)*N54)+O$1*((-0.000002)*O54^3+0.00032*O54^2+(-0.0021)*O54)</f>
        <v/>
      </c>
      <c r="AK54" s="5">
        <f>IF(AA54&lt;50,W$1*((-0.000002)*W54^3+0.00032*W54^2+(-0.0021)*W54)+X$1*((-0.000002)*X54^3+0.00032*X54^2+(-0.0021)*X54)+Y$1*((-0.000002)*Y54^3+0.00032*Y54^2+(-0.0021)*Y54)+Z$1*((-0.000002)*Z54^3+0.00032*Z54^2+(-0.0021)*Z54),X$2*((-0.000002)*X54^3+0.00032*X54^2+(-0.0021)*X54)+Y$2*((-0.000002)*Y54^3+0.00032*Y54^2+(-0.0021)*Y54)+Z$2*((-0.000002)*Z54^3+0.00032*Z54^2+(-0.0021)*Z54)+AA$2*((-0.000002)*AA54^3+0.00032*AA54^2+(-0.0021)*AA54))</f>
        <v/>
      </c>
      <c r="AL54" s="5">
        <f>AB$1*((-0.000002)*AB54^3+0.00032*AB54^2+(-0.0021)*AB54)+AC$1*((-0.000002)*AC54^3+0.00032*AC54^2+(-0.0021)*AC54)</f>
        <v/>
      </c>
      <c r="AM54" s="5">
        <f>AD$1*((-0.000002)*AD54^3+0.00032*AD54^2+(-0.0021)*AD54)+AE$1*((-0.000002)*AE54^3+0.00032*AE54^2+(-0.0021)*AE54)+AF$1*((-0.000002)*AF54^3+0.00032*AF54^2+(-0.0021)*AF54)+AG$1*((-0.000002)*AG54^3+0.00032*AG54^2+(-0.0021)*AG54)</f>
        <v/>
      </c>
    </row>
    <row r="55" ht="15" customHeight="1" s="27" thickBot="1">
      <c r="A55" s="5">
        <f>(AI55*AI$3+AJ55*AJ$3+AK55*AK$3+AL55*AL$3+AM55*AM$3)*100/(AI$5*AI$3+AJ$5*AJ$3+AK$5*AK$3+AL$5*AL$3+AM$5*AM$3)</f>
        <v/>
      </c>
      <c r="B55" s="18" t="n">
        <v>84</v>
      </c>
      <c r="C55" s="11" t="inlineStr">
        <is>
          <t>McDade, Marshall</t>
        </is>
      </c>
      <c r="D55" s="19" t="inlineStr">
        <is>
          <t>2B</t>
        </is>
      </c>
      <c r="E55" s="19" t="inlineStr">
        <is>
          <t>R</t>
        </is>
      </c>
      <c r="F55" s="19" t="inlineStr">
        <is>
          <t>R</t>
        </is>
      </c>
      <c r="G55" s="19" t="n">
        <v>18</v>
      </c>
      <c r="H55" s="19" t="n">
        <v>38</v>
      </c>
      <c r="I55" s="19" t="n">
        <v>19</v>
      </c>
      <c r="J55" s="19" t="n">
        <v>56</v>
      </c>
      <c r="K55" s="19" t="n">
        <v>10</v>
      </c>
      <c r="L55" s="19" t="n">
        <v>34</v>
      </c>
      <c r="M55" s="19" t="n">
        <v>69</v>
      </c>
      <c r="N55" s="19" t="n">
        <v>92</v>
      </c>
      <c r="O55" s="19" t="n">
        <v>8</v>
      </c>
      <c r="P55" s="19" t="n">
        <v>54</v>
      </c>
      <c r="Q55" s="18" t="n">
        <v>84</v>
      </c>
      <c r="R55" s="11" t="inlineStr">
        <is>
          <t>McDade, Marshall</t>
        </is>
      </c>
      <c r="S55" s="19" t="inlineStr">
        <is>
          <t>2B</t>
        </is>
      </c>
      <c r="T55" s="19" t="inlineStr">
        <is>
          <t>R</t>
        </is>
      </c>
      <c r="U55" s="19" t="inlineStr">
        <is>
          <t>R</t>
        </is>
      </c>
      <c r="V55" s="19" t="n">
        <v>18</v>
      </c>
      <c r="W55" s="19" t="n">
        <v>77</v>
      </c>
      <c r="X55" s="19" t="n">
        <v>84</v>
      </c>
      <c r="Y55" s="19" t="n">
        <v>64</v>
      </c>
      <c r="Z55" s="19" t="n">
        <v>73</v>
      </c>
      <c r="AA55" s="19" t="n">
        <v>2</v>
      </c>
      <c r="AB55" s="19" t="n">
        <v>77</v>
      </c>
      <c r="AC55" s="19" t="n">
        <v>72</v>
      </c>
      <c r="AD55" s="19" t="n">
        <v>58</v>
      </c>
      <c r="AE55" s="19" t="n">
        <v>58</v>
      </c>
      <c r="AF55" s="19" t="n">
        <v>0</v>
      </c>
      <c r="AG55" s="19" t="n">
        <v>79</v>
      </c>
      <c r="AH55" s="19" t="n">
        <v>54</v>
      </c>
      <c r="AI55" s="5">
        <f>H$1*((-0.000002)*H55^3+0.00032*H55^2+(-0.0021)*H55)+I$1*((-0.000002)*I55^3+0.00032*I55^2+(-0.0021)*I55)+J$1*((-0.000002)*J55^3+0.00032*J55^2+(-0.0021)*J55)+K$1*((-0.000002)*K55^3+0.00032*K55^2+(-0.0021)*K55)+L$1*((-0.000002)*L55^3+0.00032*L55^2+(-0.0021)*L55)</f>
        <v/>
      </c>
      <c r="AJ55" s="5">
        <f>M$1*((-0.000002)*M55^3+0.00032*M55^2+(-0.0021)*M55)+N$1*((-0.000002)*N55^3+0.00032*N55^2+(-0.0021)*N55)+O$1*((-0.000002)*O55^3+0.00032*O55^2+(-0.0021)*O55)</f>
        <v/>
      </c>
      <c r="AK55" s="5">
        <f>IF(AA55&lt;50,W$1*((-0.000002)*W55^3+0.00032*W55^2+(-0.0021)*W55)+X$1*((-0.000002)*X55^3+0.00032*X55^2+(-0.0021)*X55)+Y$1*((-0.000002)*Y55^3+0.00032*Y55^2+(-0.0021)*Y55)+Z$1*((-0.000002)*Z55^3+0.00032*Z55^2+(-0.0021)*Z55),X$2*((-0.000002)*X55^3+0.00032*X55^2+(-0.0021)*X55)+Y$2*((-0.000002)*Y55^3+0.00032*Y55^2+(-0.0021)*Y55)+Z$2*((-0.000002)*Z55^3+0.00032*Z55^2+(-0.0021)*Z55)+AA$2*((-0.000002)*AA55^3+0.00032*AA55^2+(-0.0021)*AA55))</f>
        <v/>
      </c>
      <c r="AL55" s="5">
        <f>AB$1*((-0.000002)*AB55^3+0.00032*AB55^2+(-0.0021)*AB55)+AC$1*((-0.000002)*AC55^3+0.00032*AC55^2+(-0.0021)*AC55)</f>
        <v/>
      </c>
      <c r="AM55" s="5">
        <f>AD$1*((-0.000002)*AD55^3+0.00032*AD55^2+(-0.0021)*AD55)+AE$1*((-0.000002)*AE55^3+0.00032*AE55^2+(-0.0021)*AE55)+AF$1*((-0.000002)*AF55^3+0.00032*AF55^2+(-0.0021)*AF55)+AG$1*((-0.000002)*AG55^3+0.00032*AG55^2+(-0.0021)*AG55)</f>
        <v/>
      </c>
    </row>
    <row r="56" ht="15" customHeight="1" s="27" thickBot="1">
      <c r="A56" s="5">
        <f>(AI56*AI$3+AJ56*AJ$3+AK56*AK$3+AL56*AL$3+AM56*AM$3)*100/(AI$5*AI$3+AJ$5*AJ$3+AK$5*AK$3+AL$5*AL$3+AM$5*AM$3)</f>
        <v/>
      </c>
      <c r="B56" s="16" t="n">
        <v>67</v>
      </c>
      <c r="C56" s="10" t="inlineStr">
        <is>
          <t>Torres, Emmanuel</t>
        </is>
      </c>
      <c r="D56" s="17" t="inlineStr">
        <is>
          <t>1B</t>
        </is>
      </c>
      <c r="E56" s="17" t="inlineStr">
        <is>
          <t>L</t>
        </is>
      </c>
      <c r="F56" s="17" t="inlineStr">
        <is>
          <t>R</t>
        </is>
      </c>
      <c r="G56" s="17" t="n">
        <v>18</v>
      </c>
      <c r="H56" s="17" t="n">
        <v>51</v>
      </c>
      <c r="I56" s="17" t="n">
        <v>43</v>
      </c>
      <c r="J56" s="17" t="n">
        <v>49</v>
      </c>
      <c r="K56" s="17" t="n">
        <v>42</v>
      </c>
      <c r="L56" s="17" t="n">
        <v>35</v>
      </c>
      <c r="M56" s="17" t="n">
        <v>65</v>
      </c>
      <c r="N56" s="17" t="n">
        <v>61</v>
      </c>
      <c r="O56" s="17" t="n">
        <v>54</v>
      </c>
      <c r="P56" s="17" t="n">
        <v>58</v>
      </c>
      <c r="Q56" s="16" t="n">
        <v>67</v>
      </c>
      <c r="R56" s="10" t="inlineStr">
        <is>
          <t>Torres, Emmanuel</t>
        </is>
      </c>
      <c r="S56" s="17" t="inlineStr">
        <is>
          <t>1B</t>
        </is>
      </c>
      <c r="T56" s="17" t="inlineStr">
        <is>
          <t>L</t>
        </is>
      </c>
      <c r="U56" s="17" t="inlineStr">
        <is>
          <t>R</t>
        </is>
      </c>
      <c r="V56" s="17" t="n">
        <v>18</v>
      </c>
      <c r="W56" s="17" t="n">
        <v>65</v>
      </c>
      <c r="X56" s="17" t="n">
        <v>52</v>
      </c>
      <c r="Y56" s="17" t="n">
        <v>36</v>
      </c>
      <c r="Z56" s="17" t="n">
        <v>49</v>
      </c>
      <c r="AA56" s="17" t="n">
        <v>5</v>
      </c>
      <c r="AB56" s="17" t="n">
        <v>84</v>
      </c>
      <c r="AC56" s="17" t="n">
        <v>77</v>
      </c>
      <c r="AD56" s="17" t="n">
        <v>60</v>
      </c>
      <c r="AE56" s="17" t="n">
        <v>72</v>
      </c>
      <c r="AF56" s="17" t="n">
        <v>20</v>
      </c>
      <c r="AG56" s="17" t="n">
        <v>75</v>
      </c>
      <c r="AH56" s="17" t="n">
        <v>58</v>
      </c>
      <c r="AI56" s="5">
        <f>H$1*((-0.000002)*H56^3+0.00032*H56^2+(-0.0021)*H56)+I$1*((-0.000002)*I56^3+0.00032*I56^2+(-0.0021)*I56)+J$1*((-0.000002)*J56^3+0.00032*J56^2+(-0.0021)*J56)+K$1*((-0.000002)*K56^3+0.00032*K56^2+(-0.0021)*K56)+L$1*((-0.000002)*L56^3+0.00032*L56^2+(-0.0021)*L56)</f>
        <v/>
      </c>
      <c r="AJ56" s="5">
        <f>M$1*((-0.000002)*M56^3+0.00032*M56^2+(-0.0021)*M56)+N$1*((-0.000002)*N56^3+0.00032*N56^2+(-0.0021)*N56)+O$1*((-0.000002)*O56^3+0.00032*O56^2+(-0.0021)*O56)</f>
        <v/>
      </c>
      <c r="AK56" s="5">
        <f>IF(AA56&lt;50,W$1*((-0.000002)*W56^3+0.00032*W56^2+(-0.0021)*W56)+X$1*((-0.000002)*X56^3+0.00032*X56^2+(-0.0021)*X56)+Y$1*((-0.000002)*Y56^3+0.00032*Y56^2+(-0.0021)*Y56)+Z$1*((-0.000002)*Z56^3+0.00032*Z56^2+(-0.0021)*Z56),X$2*((-0.000002)*X56^3+0.00032*X56^2+(-0.0021)*X56)+Y$2*((-0.000002)*Y56^3+0.00032*Y56^2+(-0.0021)*Y56)+Z$2*((-0.000002)*Z56^3+0.00032*Z56^2+(-0.0021)*Z56)+AA$2*((-0.000002)*AA56^3+0.00032*AA56^2+(-0.0021)*AA56))</f>
        <v/>
      </c>
      <c r="AL56" s="5">
        <f>AB$1*((-0.000002)*AB56^3+0.00032*AB56^2+(-0.0021)*AB56)+AC$1*((-0.000002)*AC56^3+0.00032*AC56^2+(-0.0021)*AC56)</f>
        <v/>
      </c>
      <c r="AM56" s="5">
        <f>AD$1*((-0.000002)*AD56^3+0.00032*AD56^2+(-0.0021)*AD56)+AE$1*((-0.000002)*AE56^3+0.00032*AE56^2+(-0.0021)*AE56)+AF$1*((-0.000002)*AF56^3+0.00032*AF56^2+(-0.0021)*AF56)+AG$1*((-0.000002)*AG56^3+0.00032*AG56^2+(-0.0021)*AG56)</f>
        <v/>
      </c>
    </row>
    <row r="57" ht="15" customHeight="1" s="27" thickBot="1">
      <c r="A57" s="5">
        <f>(AI57*AI$3+AJ57*AJ$3+AK57*AK$3+AL57*AL$3+AM57*AM$3)*100/(AI$5*AI$3+AJ$5*AJ$3+AK$5*AK$3+AL$5*AL$3+AM$5*AM$3)</f>
        <v/>
      </c>
      <c r="B57" s="16" t="n">
        <v>71</v>
      </c>
      <c r="C57" s="10" t="inlineStr">
        <is>
          <t>Grahe, Jonathan</t>
        </is>
      </c>
      <c r="D57" s="17" t="inlineStr">
        <is>
          <t>LF</t>
        </is>
      </c>
      <c r="E57" s="17" t="inlineStr">
        <is>
          <t>R</t>
        </is>
      </c>
      <c r="F57" s="17" t="inlineStr">
        <is>
          <t>R</t>
        </is>
      </c>
      <c r="G57" s="17" t="n">
        <v>18</v>
      </c>
      <c r="H57" s="17" t="n">
        <v>42</v>
      </c>
      <c r="I57" s="17" t="n">
        <v>33</v>
      </c>
      <c r="J57" s="17" t="n">
        <v>26</v>
      </c>
      <c r="K57" s="17" t="n">
        <v>28</v>
      </c>
      <c r="L57" s="17" t="n">
        <v>53</v>
      </c>
      <c r="M57" s="17" t="n">
        <v>73</v>
      </c>
      <c r="N57" s="17" t="n">
        <v>61</v>
      </c>
      <c r="O57" s="17" t="n">
        <v>21</v>
      </c>
      <c r="P57" s="17" t="n">
        <v>57</v>
      </c>
      <c r="Q57" s="16" t="n">
        <v>71</v>
      </c>
      <c r="R57" s="10" t="inlineStr">
        <is>
          <t>Grahe, Jonathan</t>
        </is>
      </c>
      <c r="S57" s="17" t="inlineStr">
        <is>
          <t>LF</t>
        </is>
      </c>
      <c r="T57" s="17" t="inlineStr">
        <is>
          <t>R</t>
        </is>
      </c>
      <c r="U57" s="17" t="inlineStr">
        <is>
          <t>R</t>
        </is>
      </c>
      <c r="V57" s="17" t="n">
        <v>18</v>
      </c>
      <c r="W57" s="17" t="n">
        <v>61</v>
      </c>
      <c r="X57" s="17" t="n">
        <v>57</v>
      </c>
      <c r="Y57" s="17" t="n">
        <v>42</v>
      </c>
      <c r="Z57" s="17" t="n">
        <v>50</v>
      </c>
      <c r="AA57" s="17" t="n">
        <v>3</v>
      </c>
      <c r="AB57" s="17" t="n">
        <v>93</v>
      </c>
      <c r="AC57" s="17" t="n">
        <v>86</v>
      </c>
      <c r="AD57" s="17" t="n">
        <v>57</v>
      </c>
      <c r="AE57" s="17" t="n">
        <v>59</v>
      </c>
      <c r="AF57" s="17" t="n">
        <v>25</v>
      </c>
      <c r="AG57" s="17" t="n">
        <v>74</v>
      </c>
      <c r="AH57" s="17" t="n">
        <v>57</v>
      </c>
      <c r="AI57" s="5">
        <f>H$1*((-0.000002)*H57^3+0.00032*H57^2+(-0.0021)*H57)+I$1*((-0.000002)*I57^3+0.00032*I57^2+(-0.0021)*I57)+J$1*((-0.000002)*J57^3+0.00032*J57^2+(-0.0021)*J57)+K$1*((-0.000002)*K57^3+0.00032*K57^2+(-0.0021)*K57)+L$1*((-0.000002)*L57^3+0.00032*L57^2+(-0.0021)*L57)</f>
        <v/>
      </c>
      <c r="AJ57" s="5">
        <f>M$1*((-0.000002)*M57^3+0.00032*M57^2+(-0.0021)*M57)+N$1*((-0.000002)*N57^3+0.00032*N57^2+(-0.0021)*N57)+O$1*((-0.000002)*O57^3+0.00032*O57^2+(-0.0021)*O57)</f>
        <v/>
      </c>
      <c r="AK57" s="5">
        <f>IF(AA57&lt;50,W$1*((-0.000002)*W57^3+0.00032*W57^2+(-0.0021)*W57)+X$1*((-0.000002)*X57^3+0.00032*X57^2+(-0.0021)*X57)+Y$1*((-0.000002)*Y57^3+0.00032*Y57^2+(-0.0021)*Y57)+Z$1*((-0.000002)*Z57^3+0.00032*Z57^2+(-0.0021)*Z57),X$2*((-0.000002)*X57^3+0.00032*X57^2+(-0.0021)*X57)+Y$2*((-0.000002)*Y57^3+0.00032*Y57^2+(-0.0021)*Y57)+Z$2*((-0.000002)*Z57^3+0.00032*Z57^2+(-0.0021)*Z57)+AA$2*((-0.000002)*AA57^3+0.00032*AA57^2+(-0.0021)*AA57))</f>
        <v/>
      </c>
      <c r="AL57" s="5">
        <f>AB$1*((-0.000002)*AB57^3+0.00032*AB57^2+(-0.0021)*AB57)+AC$1*((-0.000002)*AC57^3+0.00032*AC57^2+(-0.0021)*AC57)</f>
        <v/>
      </c>
      <c r="AM57" s="5">
        <f>AD$1*((-0.000002)*AD57^3+0.00032*AD57^2+(-0.0021)*AD57)+AE$1*((-0.000002)*AE57^3+0.00032*AE57^2+(-0.0021)*AE57)+AF$1*((-0.000002)*AF57^3+0.00032*AF57^2+(-0.0021)*AF57)+AG$1*((-0.000002)*AG57^3+0.00032*AG57^2+(-0.0021)*AG57)</f>
        <v/>
      </c>
    </row>
    <row r="58" ht="15" customHeight="1" s="27" thickBot="1">
      <c r="A58" s="5">
        <f>(AI58*AI$3+AJ58*AJ$3+AK58*AK$3+AL58*AL$3+AM58*AM$3)*100/(AI$5*AI$3+AJ$5*AJ$3+AK$5*AK$3+AL$5*AL$3+AM$5*AM$3)</f>
        <v/>
      </c>
      <c r="B58" s="18" t="n">
        <v>90</v>
      </c>
      <c r="C58" s="11" t="inlineStr">
        <is>
          <t>Bridges, Luther</t>
        </is>
      </c>
      <c r="D58" s="19" t="inlineStr">
        <is>
          <t>3B</t>
        </is>
      </c>
      <c r="E58" s="19" t="inlineStr">
        <is>
          <t>R</t>
        </is>
      </c>
      <c r="F58" s="19" t="inlineStr">
        <is>
          <t>R</t>
        </is>
      </c>
      <c r="G58" s="19" t="n">
        <v>18</v>
      </c>
      <c r="H58" s="19" t="n">
        <v>60</v>
      </c>
      <c r="I58" s="19" t="n">
        <v>37</v>
      </c>
      <c r="J58" s="19" t="n">
        <v>24</v>
      </c>
      <c r="K58" s="19" t="n">
        <v>29</v>
      </c>
      <c r="L58" s="19" t="n">
        <v>18</v>
      </c>
      <c r="M58" s="19" t="n">
        <v>82</v>
      </c>
      <c r="N58" s="19" t="n">
        <v>38</v>
      </c>
      <c r="O58" s="19" t="n">
        <v>30</v>
      </c>
      <c r="P58" s="19" t="n">
        <v>53</v>
      </c>
      <c r="Q58" s="18" t="n">
        <v>90</v>
      </c>
      <c r="R58" s="11" t="inlineStr">
        <is>
          <t>Bridges, Luther</t>
        </is>
      </c>
      <c r="S58" s="19" t="inlineStr">
        <is>
          <t>3B</t>
        </is>
      </c>
      <c r="T58" s="19" t="inlineStr">
        <is>
          <t>R</t>
        </is>
      </c>
      <c r="U58" s="19" t="inlineStr">
        <is>
          <t>R</t>
        </is>
      </c>
      <c r="V58" s="19" t="n">
        <v>18</v>
      </c>
      <c r="W58" s="19" t="n">
        <v>63</v>
      </c>
      <c r="X58" s="19" t="n">
        <v>59</v>
      </c>
      <c r="Y58" s="19" t="n">
        <v>69</v>
      </c>
      <c r="Z58" s="19" t="n">
        <v>79</v>
      </c>
      <c r="AA58" s="19" t="n">
        <v>12</v>
      </c>
      <c r="AB58" s="19" t="n">
        <v>87</v>
      </c>
      <c r="AC58" s="19" t="n">
        <v>33</v>
      </c>
      <c r="AD58" s="19" t="n">
        <v>42</v>
      </c>
      <c r="AE58" s="19" t="n">
        <v>56</v>
      </c>
      <c r="AF58" s="19" t="n">
        <v>62</v>
      </c>
      <c r="AG58" s="19" t="n">
        <v>72</v>
      </c>
      <c r="AH58" s="19" t="n">
        <v>53</v>
      </c>
      <c r="AI58" s="5">
        <f>H$1*((-0.000002)*H58^3+0.00032*H58^2+(-0.0021)*H58)+I$1*((-0.000002)*I58^3+0.00032*I58^2+(-0.0021)*I58)+J$1*((-0.000002)*J58^3+0.00032*J58^2+(-0.0021)*J58)+K$1*((-0.000002)*K58^3+0.00032*K58^2+(-0.0021)*K58)+L$1*((-0.000002)*L58^3+0.00032*L58^2+(-0.0021)*L58)</f>
        <v/>
      </c>
      <c r="AJ58" s="5">
        <f>M$1*((-0.000002)*M58^3+0.00032*M58^2+(-0.0021)*M58)+N$1*((-0.000002)*N58^3+0.00032*N58^2+(-0.0021)*N58)+O$1*((-0.000002)*O58^3+0.00032*O58^2+(-0.0021)*O58)</f>
        <v/>
      </c>
      <c r="AK58" s="5">
        <f>IF(AA58&lt;50,W$1*((-0.000002)*W58^3+0.00032*W58^2+(-0.0021)*W58)+X$1*((-0.000002)*X58^3+0.00032*X58^2+(-0.0021)*X58)+Y$1*((-0.000002)*Y58^3+0.00032*Y58^2+(-0.0021)*Y58)+Z$1*((-0.000002)*Z58^3+0.00032*Z58^2+(-0.0021)*Z58),X$2*((-0.000002)*X58^3+0.00032*X58^2+(-0.0021)*X58)+Y$2*((-0.000002)*Y58^3+0.00032*Y58^2+(-0.0021)*Y58)+Z$2*((-0.000002)*Z58^3+0.00032*Z58^2+(-0.0021)*Z58)+AA$2*((-0.000002)*AA58^3+0.00032*AA58^2+(-0.0021)*AA58))</f>
        <v/>
      </c>
      <c r="AL58" s="5">
        <f>AB$1*((-0.000002)*AB58^3+0.00032*AB58^2+(-0.0021)*AB58)+AC$1*((-0.000002)*AC58^3+0.00032*AC58^2+(-0.0021)*AC58)</f>
        <v/>
      </c>
      <c r="AM58" s="5">
        <f>AD$1*((-0.000002)*AD58^3+0.00032*AD58^2+(-0.0021)*AD58)+AE$1*((-0.000002)*AE58^3+0.00032*AE58^2+(-0.0021)*AE58)+AF$1*((-0.000002)*AF58^3+0.00032*AF58^2+(-0.0021)*AF58)+AG$1*((-0.000002)*AG58^3+0.00032*AG58^2+(-0.0021)*AG58)</f>
        <v/>
      </c>
    </row>
    <row r="59" ht="15" customHeight="1" s="27" thickBot="1">
      <c r="A59" s="5">
        <f>(AI59*AI$3+AJ59*AJ$3+AK59*AK$3+AL59*AL$3+AM59*AM$3)*100/(AI$5*AI$3+AJ$5*AJ$3+AK$5*AK$3+AL$5*AL$3+AM$5*AM$3)</f>
        <v/>
      </c>
      <c r="B59" s="18" t="n">
        <v>78</v>
      </c>
      <c r="C59" s="11" t="inlineStr">
        <is>
          <t>Swift, Brent</t>
        </is>
      </c>
      <c r="D59" s="19" t="inlineStr">
        <is>
          <t>LF</t>
        </is>
      </c>
      <c r="E59" s="19" t="inlineStr">
        <is>
          <t>R</t>
        </is>
      </c>
      <c r="F59" s="19" t="inlineStr">
        <is>
          <t>R</t>
        </is>
      </c>
      <c r="G59" s="19" t="n">
        <v>18</v>
      </c>
      <c r="H59" s="19" t="n">
        <v>28</v>
      </c>
      <c r="I59" s="19" t="n">
        <v>25</v>
      </c>
      <c r="J59" s="19" t="n">
        <v>37</v>
      </c>
      <c r="K59" s="19" t="n">
        <v>31</v>
      </c>
      <c r="L59" s="19" t="n">
        <v>40</v>
      </c>
      <c r="M59" s="19" t="n">
        <v>83</v>
      </c>
      <c r="N59" s="19" t="n">
        <v>91</v>
      </c>
      <c r="O59" s="19" t="n">
        <v>42</v>
      </c>
      <c r="P59" s="19" t="n">
        <v>56</v>
      </c>
      <c r="Q59" s="18" t="n">
        <v>78</v>
      </c>
      <c r="R59" s="11" t="inlineStr">
        <is>
          <t>Swift, Brent</t>
        </is>
      </c>
      <c r="S59" s="19" t="inlineStr">
        <is>
          <t>LF</t>
        </is>
      </c>
      <c r="T59" s="19" t="inlineStr">
        <is>
          <t>R</t>
        </is>
      </c>
      <c r="U59" s="19" t="inlineStr">
        <is>
          <t>R</t>
        </is>
      </c>
      <c r="V59" s="19" t="n">
        <v>18</v>
      </c>
      <c r="W59" s="19" t="n">
        <v>74</v>
      </c>
      <c r="X59" s="19" t="n">
        <v>77</v>
      </c>
      <c r="Y59" s="19" t="n">
        <v>46</v>
      </c>
      <c r="Z59" s="19" t="n">
        <v>50</v>
      </c>
      <c r="AA59" s="19" t="n">
        <v>14</v>
      </c>
      <c r="AB59" s="19" t="n">
        <v>82</v>
      </c>
      <c r="AC59" s="19" t="n">
        <v>71</v>
      </c>
      <c r="AD59" s="19" t="n">
        <v>86</v>
      </c>
      <c r="AE59" s="19" t="n">
        <v>45</v>
      </c>
      <c r="AF59" s="19" t="n">
        <v>54</v>
      </c>
      <c r="AG59" s="19" t="n">
        <v>56</v>
      </c>
      <c r="AH59" s="19" t="n">
        <v>56</v>
      </c>
      <c r="AI59" s="5">
        <f>H$1*((-0.000002)*H59^3+0.00032*H59^2+(-0.0021)*H59)+I$1*((-0.000002)*I59^3+0.00032*I59^2+(-0.0021)*I59)+J$1*((-0.000002)*J59^3+0.00032*J59^2+(-0.0021)*J59)+K$1*((-0.000002)*K59^3+0.00032*K59^2+(-0.0021)*K59)+L$1*((-0.000002)*L59^3+0.00032*L59^2+(-0.0021)*L59)</f>
        <v/>
      </c>
      <c r="AJ59" s="5">
        <f>M$1*((-0.000002)*M59^3+0.00032*M59^2+(-0.0021)*M59)+N$1*((-0.000002)*N59^3+0.00032*N59^2+(-0.0021)*N59)+O$1*((-0.000002)*O59^3+0.00032*O59^2+(-0.0021)*O59)</f>
        <v/>
      </c>
      <c r="AK59" s="5">
        <f>IF(AA59&lt;50,W$1*((-0.000002)*W59^3+0.00032*W59^2+(-0.0021)*W59)+X$1*((-0.000002)*X59^3+0.00032*X59^2+(-0.0021)*X59)+Y$1*((-0.000002)*Y59^3+0.00032*Y59^2+(-0.0021)*Y59)+Z$1*((-0.000002)*Z59^3+0.00032*Z59^2+(-0.0021)*Z59),X$2*((-0.000002)*X59^3+0.00032*X59^2+(-0.0021)*X59)+Y$2*((-0.000002)*Y59^3+0.00032*Y59^2+(-0.0021)*Y59)+Z$2*((-0.000002)*Z59^3+0.00032*Z59^2+(-0.0021)*Z59)+AA$2*((-0.000002)*AA59^3+0.00032*AA59^2+(-0.0021)*AA59))</f>
        <v/>
      </c>
      <c r="AL59" s="5">
        <f>AB$1*((-0.000002)*AB59^3+0.00032*AB59^2+(-0.0021)*AB59)+AC$1*((-0.000002)*AC59^3+0.00032*AC59^2+(-0.0021)*AC59)</f>
        <v/>
      </c>
      <c r="AM59" s="5">
        <f>AD$1*((-0.000002)*AD59^3+0.00032*AD59^2+(-0.0021)*AD59)+AE$1*((-0.000002)*AE59^3+0.00032*AE59^2+(-0.0021)*AE59)+AF$1*((-0.000002)*AF59^3+0.00032*AF59^2+(-0.0021)*AF59)+AG$1*((-0.000002)*AG59^3+0.00032*AG59^2+(-0.0021)*AG59)</f>
        <v/>
      </c>
    </row>
    <row r="60" ht="15" customHeight="1" s="27" thickBot="1">
      <c r="A60" s="5">
        <f>(AI60*AI$3+AJ60*AJ$3+AK60*AK$3+AL60*AL$3+AM60*AM$3)*100/(AI$5*AI$3+AJ$5*AJ$3+AK$5*AK$3+AL$5*AL$3+AM$5*AM$3)</f>
        <v/>
      </c>
      <c r="B60" s="16" t="n">
        <v>105</v>
      </c>
      <c r="C60" s="10" t="inlineStr">
        <is>
          <t>Milton, Rick</t>
        </is>
      </c>
      <c r="D60" s="17" t="inlineStr">
        <is>
          <t>LF</t>
        </is>
      </c>
      <c r="E60" s="17" t="inlineStr">
        <is>
          <t>R</t>
        </is>
      </c>
      <c r="F60" s="17" t="inlineStr">
        <is>
          <t>R</t>
        </is>
      </c>
      <c r="G60" s="17" t="n">
        <v>18</v>
      </c>
      <c r="H60" s="17" t="n">
        <v>23</v>
      </c>
      <c r="I60" s="17" t="n">
        <v>8</v>
      </c>
      <c r="J60" s="17" t="n">
        <v>6</v>
      </c>
      <c r="K60" s="17" t="n">
        <v>30</v>
      </c>
      <c r="L60" s="17" t="n">
        <v>61</v>
      </c>
      <c r="M60" s="17" t="n">
        <v>65</v>
      </c>
      <c r="N60" s="17" t="n">
        <v>77</v>
      </c>
      <c r="O60" s="17" t="n">
        <v>37</v>
      </c>
      <c r="P60" s="17" t="n">
        <v>50</v>
      </c>
      <c r="Q60" s="16" t="n">
        <v>105</v>
      </c>
      <c r="R60" s="10" t="inlineStr">
        <is>
          <t>Milton, Rick</t>
        </is>
      </c>
      <c r="S60" s="17" t="inlineStr">
        <is>
          <t>LF</t>
        </is>
      </c>
      <c r="T60" s="17" t="inlineStr">
        <is>
          <t>R</t>
        </is>
      </c>
      <c r="U60" s="17" t="inlineStr">
        <is>
          <t>R</t>
        </is>
      </c>
      <c r="V60" s="17" t="n">
        <v>18</v>
      </c>
      <c r="W60" s="17" t="n">
        <v>70</v>
      </c>
      <c r="X60" s="17" t="n">
        <v>65</v>
      </c>
      <c r="Y60" s="17" t="n">
        <v>46</v>
      </c>
      <c r="Z60" s="17" t="n">
        <v>48</v>
      </c>
      <c r="AA60" s="17" t="n">
        <v>5</v>
      </c>
      <c r="AB60" s="17" t="n">
        <v>76</v>
      </c>
      <c r="AC60" s="17" t="n">
        <v>88</v>
      </c>
      <c r="AD60" s="17" t="n">
        <v>88</v>
      </c>
      <c r="AE60" s="17" t="n">
        <v>24</v>
      </c>
      <c r="AF60" s="17" t="n">
        <v>1</v>
      </c>
      <c r="AG60" s="17" t="n">
        <v>85</v>
      </c>
      <c r="AH60" s="17" t="n">
        <v>50</v>
      </c>
      <c r="AI60" s="5">
        <f>H$1*((-0.000002)*H60^3+0.00032*H60^2+(-0.0021)*H60)+I$1*((-0.000002)*I60^3+0.00032*I60^2+(-0.0021)*I60)+J$1*((-0.000002)*J60^3+0.00032*J60^2+(-0.0021)*J60)+K$1*((-0.000002)*K60^3+0.00032*K60^2+(-0.0021)*K60)+L$1*((-0.000002)*L60^3+0.00032*L60^2+(-0.0021)*L60)</f>
        <v/>
      </c>
      <c r="AJ60" s="5">
        <f>M$1*((-0.000002)*M60^3+0.00032*M60^2+(-0.0021)*M60)+N$1*((-0.000002)*N60^3+0.00032*N60^2+(-0.0021)*N60)+O$1*((-0.000002)*O60^3+0.00032*O60^2+(-0.0021)*O60)</f>
        <v/>
      </c>
      <c r="AK60" s="5">
        <f>IF(AA60&lt;50,W$1*((-0.000002)*W60^3+0.00032*W60^2+(-0.0021)*W60)+X$1*((-0.000002)*X60^3+0.00032*X60^2+(-0.0021)*X60)+Y$1*((-0.000002)*Y60^3+0.00032*Y60^2+(-0.0021)*Y60)+Z$1*((-0.000002)*Z60^3+0.00032*Z60^2+(-0.0021)*Z60),X$2*((-0.000002)*X60^3+0.00032*X60^2+(-0.0021)*X60)+Y$2*((-0.000002)*Y60^3+0.00032*Y60^2+(-0.0021)*Y60)+Z$2*((-0.000002)*Z60^3+0.00032*Z60^2+(-0.0021)*Z60)+AA$2*((-0.000002)*AA60^3+0.00032*AA60^2+(-0.0021)*AA60))</f>
        <v/>
      </c>
      <c r="AL60" s="5">
        <f>AB$1*((-0.000002)*AB60^3+0.00032*AB60^2+(-0.0021)*AB60)+AC$1*((-0.000002)*AC60^3+0.00032*AC60^2+(-0.0021)*AC60)</f>
        <v/>
      </c>
      <c r="AM60" s="5">
        <f>AD$1*((-0.000002)*AD60^3+0.00032*AD60^2+(-0.0021)*AD60)+AE$1*((-0.000002)*AE60^3+0.00032*AE60^2+(-0.0021)*AE60)+AF$1*((-0.000002)*AF60^3+0.00032*AF60^2+(-0.0021)*AF60)+AG$1*((-0.000002)*AG60^3+0.00032*AG60^2+(-0.0021)*AG60)</f>
        <v/>
      </c>
    </row>
    <row r="61" ht="15" customHeight="1" s="27" thickBot="1">
      <c r="A61" s="5">
        <f>(AI61*AI$3+AJ61*AJ$3+AK61*AK$3+AL61*AL$3+AM61*AM$3)*100/(AI$5*AI$3+AJ$5*AJ$3+AK$5*AK$3+AL$5*AL$3+AM$5*AM$3)</f>
        <v/>
      </c>
      <c r="B61" s="18" t="n">
        <v>196</v>
      </c>
      <c r="C61" s="11" t="inlineStr">
        <is>
          <t>Reynoso, Leandro</t>
        </is>
      </c>
      <c r="D61" s="19" t="inlineStr">
        <is>
          <t>DH</t>
        </is>
      </c>
      <c r="E61" s="19" t="inlineStr">
        <is>
          <t>R</t>
        </is>
      </c>
      <c r="F61" s="19" t="inlineStr">
        <is>
          <t>R</t>
        </is>
      </c>
      <c r="G61" s="19" t="n">
        <v>21</v>
      </c>
      <c r="H61" s="19" t="n">
        <v>39</v>
      </c>
      <c r="I61" s="19" t="n">
        <v>27</v>
      </c>
      <c r="J61" s="19" t="n">
        <v>44</v>
      </c>
      <c r="K61" s="19" t="n">
        <v>35</v>
      </c>
      <c r="L61" s="19" t="n">
        <v>31</v>
      </c>
      <c r="M61" s="19" t="n">
        <v>36</v>
      </c>
      <c r="N61" s="19" t="n">
        <v>0</v>
      </c>
      <c r="O61" s="19" t="n">
        <v>51</v>
      </c>
      <c r="P61" s="19" t="n">
        <v>50</v>
      </c>
      <c r="Q61" s="18" t="n">
        <v>196</v>
      </c>
      <c r="R61" s="11" t="inlineStr">
        <is>
          <t>Reynoso, Leandro</t>
        </is>
      </c>
      <c r="S61" s="19" t="inlineStr">
        <is>
          <t>DH</t>
        </is>
      </c>
      <c r="T61" s="19" t="inlineStr">
        <is>
          <t>R</t>
        </is>
      </c>
      <c r="U61" s="19" t="inlineStr">
        <is>
          <t>R</t>
        </is>
      </c>
      <c r="V61" s="19" t="n">
        <v>21</v>
      </c>
      <c r="W61" s="19" t="n">
        <v>24</v>
      </c>
      <c r="X61" s="19" t="n">
        <v>78</v>
      </c>
      <c r="Y61" s="19" t="n">
        <v>79</v>
      </c>
      <c r="Z61" s="19" t="n">
        <v>84</v>
      </c>
      <c r="AA61" s="19" t="n">
        <v>0</v>
      </c>
      <c r="AB61" s="19" t="n">
        <v>95</v>
      </c>
      <c r="AC61" s="19" t="n">
        <v>66</v>
      </c>
      <c r="AD61" s="19" t="n">
        <v>15</v>
      </c>
      <c r="AE61" s="19" t="n">
        <v>86</v>
      </c>
      <c r="AF61" s="19" t="n">
        <v>38</v>
      </c>
      <c r="AG61" s="19" t="n">
        <v>68</v>
      </c>
      <c r="AH61" s="19" t="n">
        <v>50</v>
      </c>
      <c r="AI61" s="5">
        <f>H$1*((-0.000002)*H61^3+0.00032*H61^2+(-0.0021)*H61)+I$1*((-0.000002)*I61^3+0.00032*I61^2+(-0.0021)*I61)+J$1*((-0.000002)*J61^3+0.00032*J61^2+(-0.0021)*J61)+K$1*((-0.000002)*K61^3+0.00032*K61^2+(-0.0021)*K61)+L$1*((-0.000002)*L61^3+0.00032*L61^2+(-0.0021)*L61)</f>
        <v/>
      </c>
      <c r="AJ61" s="5">
        <f>M$1*((-0.000002)*M61^3+0.00032*M61^2+(-0.0021)*M61)+N$1*((-0.000002)*N61^3+0.00032*N61^2+(-0.0021)*N61)+O$1*((-0.000002)*O61^3+0.00032*O61^2+(-0.0021)*O61)</f>
        <v/>
      </c>
      <c r="AK61" s="5">
        <f>IF(AA61&lt;50,W$1*((-0.000002)*W61^3+0.00032*W61^2+(-0.0021)*W61)+X$1*((-0.000002)*X61^3+0.00032*X61^2+(-0.0021)*X61)+Y$1*((-0.000002)*Y61^3+0.00032*Y61^2+(-0.0021)*Y61)+Z$1*((-0.000002)*Z61^3+0.00032*Z61^2+(-0.0021)*Z61),X$2*((-0.000002)*X61^3+0.00032*X61^2+(-0.0021)*X61)+Y$2*((-0.000002)*Y61^3+0.00032*Y61^2+(-0.0021)*Y61)+Z$2*((-0.000002)*Z61^3+0.00032*Z61^2+(-0.0021)*Z61)+AA$2*((-0.000002)*AA61^3+0.00032*AA61^2+(-0.0021)*AA61))</f>
        <v/>
      </c>
      <c r="AL61" s="5">
        <f>AB$1*((-0.000002)*AB61^3+0.00032*AB61^2+(-0.0021)*AB61)+AC$1*((-0.000002)*AC61^3+0.00032*AC61^2+(-0.0021)*AC61)</f>
        <v/>
      </c>
      <c r="AM61" s="5">
        <f>AD$1*((-0.000002)*AD61^3+0.00032*AD61^2+(-0.0021)*AD61)+AE$1*((-0.000002)*AE61^3+0.00032*AE61^2+(-0.0021)*AE61)+AF$1*((-0.000002)*AF61^3+0.00032*AF61^2+(-0.0021)*AF61)+AG$1*((-0.000002)*AG61^3+0.00032*AG61^2+(-0.0021)*AG61)</f>
        <v/>
      </c>
    </row>
    <row r="62" ht="15" customHeight="1" s="27" thickBot="1">
      <c r="A62" s="5">
        <f>(AI62*AI$3+AJ62*AJ$3+AK62*AK$3+AL62*AL$3+AM62*AM$3)*100/(AI$5*AI$3+AJ$5*AJ$3+AK$5*AK$3+AL$5*AL$3+AM$5*AM$3)</f>
        <v/>
      </c>
      <c r="B62" s="16" t="n">
        <v>167</v>
      </c>
      <c r="C62" s="10" t="inlineStr">
        <is>
          <t>Elcano, Dilson</t>
        </is>
      </c>
      <c r="D62" s="17" t="inlineStr">
        <is>
          <t>1B</t>
        </is>
      </c>
      <c r="E62" s="17" t="inlineStr">
        <is>
          <t>R</t>
        </is>
      </c>
      <c r="F62" s="17" t="inlineStr">
        <is>
          <t>R</t>
        </is>
      </c>
      <c r="G62" s="17" t="n">
        <v>21</v>
      </c>
      <c r="H62" s="17" t="n">
        <v>21</v>
      </c>
      <c r="I62" s="17" t="n">
        <v>27</v>
      </c>
      <c r="J62" s="17" t="n">
        <v>25</v>
      </c>
      <c r="K62" s="17" t="n">
        <v>7</v>
      </c>
      <c r="L62" s="17" t="n">
        <v>62</v>
      </c>
      <c r="M62" s="17" t="n">
        <v>43</v>
      </c>
      <c r="N62" s="17" t="n">
        <v>21</v>
      </c>
      <c r="O62" s="17" t="n">
        <v>21</v>
      </c>
      <c r="P62" s="17" t="n">
        <v>51</v>
      </c>
      <c r="Q62" s="16" t="n">
        <v>167</v>
      </c>
      <c r="R62" s="10" t="inlineStr">
        <is>
          <t>Elcano, Dilson</t>
        </is>
      </c>
      <c r="S62" s="17" t="inlineStr">
        <is>
          <t>1B</t>
        </is>
      </c>
      <c r="T62" s="17" t="inlineStr">
        <is>
          <t>R</t>
        </is>
      </c>
      <c r="U62" s="17" t="inlineStr">
        <is>
          <t>R</t>
        </is>
      </c>
      <c r="V62" s="17" t="n">
        <v>21</v>
      </c>
      <c r="W62" s="17" t="n">
        <v>39</v>
      </c>
      <c r="X62" s="17" t="n">
        <v>68</v>
      </c>
      <c r="Y62" s="17" t="n">
        <v>65</v>
      </c>
      <c r="Z62" s="17" t="n">
        <v>32</v>
      </c>
      <c r="AA62" s="17" t="n">
        <v>27</v>
      </c>
      <c r="AB62" s="17" t="n">
        <v>98</v>
      </c>
      <c r="AC62" s="17" t="n">
        <v>100</v>
      </c>
      <c r="AD62" s="17" t="n">
        <v>48</v>
      </c>
      <c r="AE62" s="17" t="n">
        <v>69</v>
      </c>
      <c r="AF62" s="17" t="n">
        <v>55</v>
      </c>
      <c r="AG62" s="17" t="n">
        <v>40</v>
      </c>
      <c r="AH62" s="17" t="n">
        <v>51</v>
      </c>
      <c r="AI62" s="5">
        <f>H$1*((-0.000002)*H62^3+0.00032*H62^2+(-0.0021)*H62)+I$1*((-0.000002)*I62^3+0.00032*I62^2+(-0.0021)*I62)+J$1*((-0.000002)*J62^3+0.00032*J62^2+(-0.0021)*J62)+K$1*((-0.000002)*K62^3+0.00032*K62^2+(-0.0021)*K62)+L$1*((-0.000002)*L62^3+0.00032*L62^2+(-0.0021)*L62)</f>
        <v/>
      </c>
      <c r="AJ62" s="5">
        <f>M$1*((-0.000002)*M62^3+0.00032*M62^2+(-0.0021)*M62)+N$1*((-0.000002)*N62^3+0.00032*N62^2+(-0.0021)*N62)+O$1*((-0.000002)*O62^3+0.00032*O62^2+(-0.0021)*O62)</f>
        <v/>
      </c>
      <c r="AK62" s="5">
        <f>IF(AA62&lt;50,W$1*((-0.000002)*W62^3+0.00032*W62^2+(-0.0021)*W62)+X$1*((-0.000002)*X62^3+0.00032*X62^2+(-0.0021)*X62)+Y$1*((-0.000002)*Y62^3+0.00032*Y62^2+(-0.0021)*Y62)+Z$1*((-0.000002)*Z62^3+0.00032*Z62^2+(-0.0021)*Z62),X$2*((-0.000002)*X62^3+0.00032*X62^2+(-0.0021)*X62)+Y$2*((-0.000002)*Y62^3+0.00032*Y62^2+(-0.0021)*Y62)+Z$2*((-0.000002)*Z62^3+0.00032*Z62^2+(-0.0021)*Z62)+AA$2*((-0.000002)*AA62^3+0.00032*AA62^2+(-0.0021)*AA62))</f>
        <v/>
      </c>
      <c r="AL62" s="5">
        <f>AB$1*((-0.000002)*AB62^3+0.00032*AB62^2+(-0.0021)*AB62)+AC$1*((-0.000002)*AC62^3+0.00032*AC62^2+(-0.0021)*AC62)</f>
        <v/>
      </c>
      <c r="AM62" s="5">
        <f>AD$1*((-0.000002)*AD62^3+0.00032*AD62^2+(-0.0021)*AD62)+AE$1*((-0.000002)*AE62^3+0.00032*AE62^2+(-0.0021)*AE62)+AF$1*((-0.000002)*AF62^3+0.00032*AF62^2+(-0.0021)*AF62)+AG$1*((-0.000002)*AG62^3+0.00032*AG62^2+(-0.0021)*AG62)</f>
        <v/>
      </c>
    </row>
    <row r="63" ht="15" customHeight="1" s="27" thickBot="1">
      <c r="A63" s="5">
        <f>(AI63*AI$3+AJ63*AJ$3+AK63*AK$3+AL63*AL$3+AM63*AM$3)*100/(AI$5*AI$3+AJ$5*AJ$3+AK$5*AK$3+AL$5*AL$3+AM$5*AM$3)</f>
        <v/>
      </c>
      <c r="B63" s="18" t="n">
        <v>108</v>
      </c>
      <c r="C63" s="11" t="inlineStr">
        <is>
          <t>Killefer, Daniel</t>
        </is>
      </c>
      <c r="D63" s="19" t="inlineStr">
        <is>
          <t>LF</t>
        </is>
      </c>
      <c r="E63" s="19" t="inlineStr">
        <is>
          <t>L</t>
        </is>
      </c>
      <c r="F63" s="19" t="inlineStr">
        <is>
          <t>L</t>
        </is>
      </c>
      <c r="G63" s="19" t="n">
        <v>18</v>
      </c>
      <c r="H63" s="19" t="n">
        <v>25</v>
      </c>
      <c r="I63" s="19" t="n">
        <v>24</v>
      </c>
      <c r="J63" s="19" t="n">
        <v>23</v>
      </c>
      <c r="K63" s="19" t="n">
        <v>15</v>
      </c>
      <c r="L63" s="19" t="n">
        <v>46</v>
      </c>
      <c r="M63" s="19" t="n">
        <v>72</v>
      </c>
      <c r="N63" s="19" t="n">
        <v>89</v>
      </c>
      <c r="O63" s="19" t="n">
        <v>53</v>
      </c>
      <c r="P63" s="19" t="n">
        <v>49</v>
      </c>
      <c r="Q63" s="18" t="n">
        <v>108</v>
      </c>
      <c r="R63" s="11" t="inlineStr">
        <is>
          <t>Killefer, Daniel</t>
        </is>
      </c>
      <c r="S63" s="19" t="inlineStr">
        <is>
          <t>LF</t>
        </is>
      </c>
      <c r="T63" s="19" t="inlineStr">
        <is>
          <t>L</t>
        </is>
      </c>
      <c r="U63" s="19" t="inlineStr">
        <is>
          <t>L</t>
        </is>
      </c>
      <c r="V63" s="19" t="n">
        <v>18</v>
      </c>
      <c r="W63" s="19" t="n">
        <v>77</v>
      </c>
      <c r="X63" s="19" t="n">
        <v>69</v>
      </c>
      <c r="Y63" s="19" t="n">
        <v>43</v>
      </c>
      <c r="Z63" s="19" t="n">
        <v>55</v>
      </c>
      <c r="AA63" s="19" t="n">
        <v>6</v>
      </c>
      <c r="AB63" s="19" t="n">
        <v>80</v>
      </c>
      <c r="AC63" s="19" t="n">
        <v>58</v>
      </c>
      <c r="AD63" s="19" t="n">
        <v>65</v>
      </c>
      <c r="AE63" s="19" t="n">
        <v>43</v>
      </c>
      <c r="AF63" s="19" t="n">
        <v>89</v>
      </c>
      <c r="AG63" s="19" t="n">
        <v>48</v>
      </c>
      <c r="AH63" s="19" t="n">
        <v>49</v>
      </c>
      <c r="AI63" s="5">
        <f>H$1*((-0.000002)*H63^3+0.00032*H63^2+(-0.0021)*H63)+I$1*((-0.000002)*I63^3+0.00032*I63^2+(-0.0021)*I63)+J$1*((-0.000002)*J63^3+0.00032*J63^2+(-0.0021)*J63)+K$1*((-0.000002)*K63^3+0.00032*K63^2+(-0.0021)*K63)+L$1*((-0.000002)*L63^3+0.00032*L63^2+(-0.0021)*L63)</f>
        <v/>
      </c>
      <c r="AJ63" s="5">
        <f>M$1*((-0.000002)*M63^3+0.00032*M63^2+(-0.0021)*M63)+N$1*((-0.000002)*N63^3+0.00032*N63^2+(-0.0021)*N63)+O$1*((-0.000002)*O63^3+0.00032*O63^2+(-0.0021)*O63)</f>
        <v/>
      </c>
      <c r="AK63" s="5">
        <f>IF(AA63&lt;50,W$1*((-0.000002)*W63^3+0.00032*W63^2+(-0.0021)*W63)+X$1*((-0.000002)*X63^3+0.00032*X63^2+(-0.0021)*X63)+Y$1*((-0.000002)*Y63^3+0.00032*Y63^2+(-0.0021)*Y63)+Z$1*((-0.000002)*Z63^3+0.00032*Z63^2+(-0.0021)*Z63),X$2*((-0.000002)*X63^3+0.00032*X63^2+(-0.0021)*X63)+Y$2*((-0.000002)*Y63^3+0.00032*Y63^2+(-0.0021)*Y63)+Z$2*((-0.000002)*Z63^3+0.00032*Z63^2+(-0.0021)*Z63)+AA$2*((-0.000002)*AA63^3+0.00032*AA63^2+(-0.0021)*AA63))</f>
        <v/>
      </c>
      <c r="AL63" s="5">
        <f>AB$1*((-0.000002)*AB63^3+0.00032*AB63^2+(-0.0021)*AB63)+AC$1*((-0.000002)*AC63^3+0.00032*AC63^2+(-0.0021)*AC63)</f>
        <v/>
      </c>
      <c r="AM63" s="5">
        <f>AD$1*((-0.000002)*AD63^3+0.00032*AD63^2+(-0.0021)*AD63)+AE$1*((-0.000002)*AE63^3+0.00032*AE63^2+(-0.0021)*AE63)+AF$1*((-0.000002)*AF63^3+0.00032*AF63^2+(-0.0021)*AF63)+AG$1*((-0.000002)*AG63^3+0.00032*AG63^2+(-0.0021)*AG63)</f>
        <v/>
      </c>
    </row>
    <row r="64" ht="15" customHeight="1" s="27" thickBot="1">
      <c r="A64" s="5">
        <f>(AI64*AI$3+AJ64*AJ$3+AK64*AK$3+AL64*AL$3+AM64*AM$3)*100/(AI$5*AI$3+AJ$5*AJ$3+AK$5*AK$3+AL$5*AL$3+AM$5*AM$3)</f>
        <v/>
      </c>
      <c r="B64" s="16" t="n">
        <v>191</v>
      </c>
      <c r="C64" s="10" t="inlineStr">
        <is>
          <t>Mazzaro, Burch</t>
        </is>
      </c>
      <c r="D64" s="17" t="inlineStr">
        <is>
          <t>DH</t>
        </is>
      </c>
      <c r="E64" s="17" t="inlineStr">
        <is>
          <t>L</t>
        </is>
      </c>
      <c r="F64" s="17" t="inlineStr">
        <is>
          <t>L</t>
        </is>
      </c>
      <c r="G64" s="17" t="n">
        <v>18</v>
      </c>
      <c r="H64" s="17" t="n">
        <v>51</v>
      </c>
      <c r="I64" s="17" t="n">
        <v>55</v>
      </c>
      <c r="J64" s="17" t="n">
        <v>48</v>
      </c>
      <c r="K64" s="17" t="n">
        <v>51</v>
      </c>
      <c r="L64" s="17" t="n">
        <v>40</v>
      </c>
      <c r="M64" s="17" t="n">
        <v>42</v>
      </c>
      <c r="N64" s="17" t="n">
        <v>36</v>
      </c>
      <c r="O64" s="17" t="n">
        <v>39</v>
      </c>
      <c r="P64" s="17" t="n">
        <v>55</v>
      </c>
      <c r="Q64" s="16" t="n">
        <v>191</v>
      </c>
      <c r="R64" s="10" t="inlineStr">
        <is>
          <t>Mazzaro, Burch</t>
        </is>
      </c>
      <c r="S64" s="17" t="inlineStr">
        <is>
          <t>DH</t>
        </is>
      </c>
      <c r="T64" s="17" t="inlineStr">
        <is>
          <t>L</t>
        </is>
      </c>
      <c r="U64" s="17" t="inlineStr">
        <is>
          <t>L</t>
        </is>
      </c>
      <c r="V64" s="17" t="n">
        <v>18</v>
      </c>
      <c r="W64" s="17" t="n">
        <v>38</v>
      </c>
      <c r="X64" s="17" t="n">
        <v>33</v>
      </c>
      <c r="Y64" s="17" t="n">
        <v>23</v>
      </c>
      <c r="Z64" s="17" t="n">
        <v>25</v>
      </c>
      <c r="AA64" s="17" t="n">
        <v>20</v>
      </c>
      <c r="AB64" s="17" t="n">
        <v>100</v>
      </c>
      <c r="AC64" s="17" t="n">
        <v>74</v>
      </c>
      <c r="AD64" s="17" t="n">
        <v>24</v>
      </c>
      <c r="AE64" s="17" t="n">
        <v>67</v>
      </c>
      <c r="AF64" s="17" t="n">
        <v>25</v>
      </c>
      <c r="AG64" s="17" t="n">
        <v>77</v>
      </c>
      <c r="AH64" s="17" t="n">
        <v>55</v>
      </c>
      <c r="AI64" s="5">
        <f>H$1*((-0.000002)*H64^3+0.00032*H64^2+(-0.0021)*H64)+I$1*((-0.000002)*I64^3+0.00032*I64^2+(-0.0021)*I64)+J$1*((-0.000002)*J64^3+0.00032*J64^2+(-0.0021)*J64)+K$1*((-0.000002)*K64^3+0.00032*K64^2+(-0.0021)*K64)+L$1*((-0.000002)*L64^3+0.00032*L64^2+(-0.0021)*L64)</f>
        <v/>
      </c>
      <c r="AJ64" s="5">
        <f>M$1*((-0.000002)*M64^3+0.00032*M64^2+(-0.0021)*M64)+N$1*((-0.000002)*N64^3+0.00032*N64^2+(-0.0021)*N64)+O$1*((-0.000002)*O64^3+0.00032*O64^2+(-0.0021)*O64)</f>
        <v/>
      </c>
      <c r="AK64" s="5">
        <f>IF(AA64&lt;50,W$1*((-0.000002)*W64^3+0.00032*W64^2+(-0.0021)*W64)+X$1*((-0.000002)*X64^3+0.00032*X64^2+(-0.0021)*X64)+Y$1*((-0.000002)*Y64^3+0.00032*Y64^2+(-0.0021)*Y64)+Z$1*((-0.000002)*Z64^3+0.00032*Z64^2+(-0.0021)*Z64),X$2*((-0.000002)*X64^3+0.00032*X64^2+(-0.0021)*X64)+Y$2*((-0.000002)*Y64^3+0.00032*Y64^2+(-0.0021)*Y64)+Z$2*((-0.000002)*Z64^3+0.00032*Z64^2+(-0.0021)*Z64)+AA$2*((-0.000002)*AA64^3+0.00032*AA64^2+(-0.0021)*AA64))</f>
        <v/>
      </c>
      <c r="AL64" s="5">
        <f>AB$1*((-0.000002)*AB64^3+0.00032*AB64^2+(-0.0021)*AB64)+AC$1*((-0.000002)*AC64^3+0.00032*AC64^2+(-0.0021)*AC64)</f>
        <v/>
      </c>
      <c r="AM64" s="5">
        <f>AD$1*((-0.000002)*AD64^3+0.00032*AD64^2+(-0.0021)*AD64)+AE$1*((-0.000002)*AE64^3+0.00032*AE64^2+(-0.0021)*AE64)+AF$1*((-0.000002)*AF64^3+0.00032*AF64^2+(-0.0021)*AF64)+AG$1*((-0.000002)*AG64^3+0.00032*AG64^2+(-0.0021)*AG64)</f>
        <v/>
      </c>
    </row>
    <row r="65" ht="15" customHeight="1" s="27" thickBot="1">
      <c r="A65" s="5">
        <f>(AI65*AI$3+AJ65*AJ$3+AK65*AK$3+AL65*AL$3+AM65*AM$3)*100/(AI$5*AI$3+AJ$5*AJ$3+AK$5*AK$3+AL$5*AL$3+AM$5*AM$3)</f>
        <v/>
      </c>
      <c r="B65" s="18" t="n">
        <v>188</v>
      </c>
      <c r="C65" s="11" t="inlineStr">
        <is>
          <t>Morton, Mike</t>
        </is>
      </c>
      <c r="D65" s="19" t="inlineStr">
        <is>
          <t>DH</t>
        </is>
      </c>
      <c r="E65" s="19" t="inlineStr">
        <is>
          <t>S</t>
        </is>
      </c>
      <c r="F65" s="19" t="inlineStr">
        <is>
          <t>R</t>
        </is>
      </c>
      <c r="G65" s="19" t="n">
        <v>18</v>
      </c>
      <c r="H65" s="19" t="n">
        <v>56</v>
      </c>
      <c r="I65" s="19" t="n">
        <v>32</v>
      </c>
      <c r="J65" s="19" t="n">
        <v>29</v>
      </c>
      <c r="K65" s="19" t="n">
        <v>39</v>
      </c>
      <c r="L65" s="19" t="n">
        <v>54</v>
      </c>
      <c r="M65" s="19" t="n">
        <v>40</v>
      </c>
      <c r="N65" s="19" t="n">
        <v>37</v>
      </c>
      <c r="O65" s="19" t="n">
        <v>56</v>
      </c>
      <c r="P65" s="19" t="n">
        <v>53</v>
      </c>
      <c r="Q65" s="18" t="n">
        <v>188</v>
      </c>
      <c r="R65" s="11" t="inlineStr">
        <is>
          <t>Morton, Mike</t>
        </is>
      </c>
      <c r="S65" s="19" t="inlineStr">
        <is>
          <t>DH</t>
        </is>
      </c>
      <c r="T65" s="19" t="inlineStr">
        <is>
          <t>S</t>
        </is>
      </c>
      <c r="U65" s="19" t="inlineStr">
        <is>
          <t>R</t>
        </is>
      </c>
      <c r="V65" s="19" t="n">
        <v>18</v>
      </c>
      <c r="W65" s="19" t="n">
        <v>0</v>
      </c>
      <c r="X65" s="19" t="n">
        <v>24</v>
      </c>
      <c r="Y65" s="19" t="n">
        <v>58</v>
      </c>
      <c r="Z65" s="19" t="n">
        <v>67</v>
      </c>
      <c r="AA65" s="19" t="n">
        <v>71</v>
      </c>
      <c r="AB65" s="19" t="n">
        <v>79</v>
      </c>
      <c r="AC65" s="19" t="n">
        <v>100</v>
      </c>
      <c r="AD65" s="19" t="n">
        <v>25</v>
      </c>
      <c r="AE65" s="19" t="n">
        <v>57</v>
      </c>
      <c r="AF65" s="19" t="n">
        <v>27</v>
      </c>
      <c r="AG65" s="19" t="n">
        <v>84</v>
      </c>
      <c r="AH65" s="19" t="n">
        <v>53</v>
      </c>
      <c r="AI65" s="5">
        <f>H$1*((-0.000002)*H65^3+0.00032*H65^2+(-0.0021)*H65)+I$1*((-0.000002)*I65^3+0.00032*I65^2+(-0.0021)*I65)+J$1*((-0.000002)*J65^3+0.00032*J65^2+(-0.0021)*J65)+K$1*((-0.000002)*K65^3+0.00032*K65^2+(-0.0021)*K65)+L$1*((-0.000002)*L65^3+0.00032*L65^2+(-0.0021)*L65)</f>
        <v/>
      </c>
      <c r="AJ65" s="5">
        <f>M$1*((-0.000002)*M65^3+0.00032*M65^2+(-0.0021)*M65)+N$1*((-0.000002)*N65^3+0.00032*N65^2+(-0.0021)*N65)+O$1*((-0.000002)*O65^3+0.00032*O65^2+(-0.0021)*O65)</f>
        <v/>
      </c>
      <c r="AK65" s="5">
        <f>IF(AA65&lt;50,W$1*((-0.000002)*W65^3+0.00032*W65^2+(-0.0021)*W65)+X$1*((-0.000002)*X65^3+0.00032*X65^2+(-0.0021)*X65)+Y$1*((-0.000002)*Y65^3+0.00032*Y65^2+(-0.0021)*Y65)+Z$1*((-0.000002)*Z65^3+0.00032*Z65^2+(-0.0021)*Z65),X$2*((-0.000002)*X65^3+0.00032*X65^2+(-0.0021)*X65)+Y$2*((-0.000002)*Y65^3+0.00032*Y65^2+(-0.0021)*Y65)+Z$2*((-0.000002)*Z65^3+0.00032*Z65^2+(-0.0021)*Z65)+AA$2*((-0.000002)*AA65^3+0.00032*AA65^2+(-0.0021)*AA65))</f>
        <v/>
      </c>
      <c r="AL65" s="5">
        <f>AB$1*((-0.000002)*AB65^3+0.00032*AB65^2+(-0.0021)*AB65)+AC$1*((-0.000002)*AC65^3+0.00032*AC65^2+(-0.0021)*AC65)</f>
        <v/>
      </c>
      <c r="AM65" s="5">
        <f>AD$1*((-0.000002)*AD65^3+0.00032*AD65^2+(-0.0021)*AD65)+AE$1*((-0.000002)*AE65^3+0.00032*AE65^2+(-0.0021)*AE65)+AF$1*((-0.000002)*AF65^3+0.00032*AF65^2+(-0.0021)*AF65)+AG$1*((-0.000002)*AG65^3+0.00032*AG65^2+(-0.0021)*AG65)</f>
        <v/>
      </c>
    </row>
    <row r="66" ht="15" customHeight="1" s="27" thickBot="1">
      <c r="A66" s="5">
        <f>(AI66*AI$3+AJ66*AJ$3+AK66*AK$3+AL66*AL$3+AM66*AM$3)*100/(AI$5*AI$3+AJ$5*AJ$3+AK$5*AK$3+AL$5*AL$3+AM$5*AM$3)</f>
        <v/>
      </c>
      <c r="B66" s="18" t="n">
        <v>80</v>
      </c>
      <c r="C66" s="11" t="inlineStr">
        <is>
          <t>Guzman, Ivan</t>
        </is>
      </c>
      <c r="D66" s="19" t="inlineStr">
        <is>
          <t>C</t>
        </is>
      </c>
      <c r="E66" s="19" t="inlineStr">
        <is>
          <t>S</t>
        </is>
      </c>
      <c r="F66" s="19" t="inlineStr">
        <is>
          <t>R</t>
        </is>
      </c>
      <c r="G66" s="19" t="n">
        <v>18</v>
      </c>
      <c r="H66" s="19" t="n">
        <v>30</v>
      </c>
      <c r="I66" s="19" t="n">
        <v>62</v>
      </c>
      <c r="J66" s="19" t="n">
        <v>46</v>
      </c>
      <c r="K66" s="19" t="n">
        <v>31</v>
      </c>
      <c r="L66" s="19" t="n">
        <v>28</v>
      </c>
      <c r="M66" s="19" t="n">
        <v>10</v>
      </c>
      <c r="N66" s="19" t="n">
        <v>81</v>
      </c>
      <c r="O66" s="19" t="n">
        <v>89</v>
      </c>
      <c r="P66" s="19" t="n">
        <v>50</v>
      </c>
      <c r="Q66" s="18" t="n">
        <v>80</v>
      </c>
      <c r="R66" s="11" t="inlineStr">
        <is>
          <t>Guzman, Ivan</t>
        </is>
      </c>
      <c r="S66" s="19" t="inlineStr">
        <is>
          <t>C</t>
        </is>
      </c>
      <c r="T66" s="19" t="inlineStr">
        <is>
          <t>S</t>
        </is>
      </c>
      <c r="U66" s="19" t="inlineStr">
        <is>
          <t>R</t>
        </is>
      </c>
      <c r="V66" s="19" t="n">
        <v>18</v>
      </c>
      <c r="W66" s="19" t="n">
        <v>9</v>
      </c>
      <c r="X66" s="19" t="n">
        <v>29</v>
      </c>
      <c r="Y66" s="19" t="n">
        <v>73</v>
      </c>
      <c r="Z66" s="19" t="n">
        <v>76</v>
      </c>
      <c r="AA66" s="19" t="n">
        <v>88</v>
      </c>
      <c r="AB66" s="19" t="n">
        <v>79</v>
      </c>
      <c r="AC66" s="19" t="n">
        <v>71</v>
      </c>
      <c r="AD66" s="19" t="n">
        <v>0</v>
      </c>
      <c r="AE66" s="19" t="n">
        <v>66</v>
      </c>
      <c r="AF66" s="19" t="n">
        <v>43</v>
      </c>
      <c r="AG66" s="19" t="n">
        <v>84</v>
      </c>
      <c r="AH66" s="19" t="n">
        <v>50</v>
      </c>
      <c r="AI66" s="5">
        <f>H$1*((-0.000002)*H66^3+0.00032*H66^2+(-0.0021)*H66)+I$1*((-0.000002)*I66^3+0.00032*I66^2+(-0.0021)*I66)+J$1*((-0.000002)*J66^3+0.00032*J66^2+(-0.0021)*J66)+K$1*((-0.000002)*K66^3+0.00032*K66^2+(-0.0021)*K66)+L$1*((-0.000002)*L66^3+0.00032*L66^2+(-0.0021)*L66)</f>
        <v/>
      </c>
      <c r="AJ66" s="5">
        <f>M$1*((-0.000002)*M66^3+0.00032*M66^2+(-0.0021)*M66)+N$1*((-0.000002)*N66^3+0.00032*N66^2+(-0.0021)*N66)+O$1*((-0.000002)*O66^3+0.00032*O66^2+(-0.0021)*O66)</f>
        <v/>
      </c>
      <c r="AK66" s="5">
        <f>IF(AA66&lt;50,W$1*((-0.000002)*W66^3+0.00032*W66^2+(-0.0021)*W66)+X$1*((-0.000002)*X66^3+0.00032*X66^2+(-0.0021)*X66)+Y$1*((-0.000002)*Y66^3+0.00032*Y66^2+(-0.0021)*Y66)+Z$1*((-0.000002)*Z66^3+0.00032*Z66^2+(-0.0021)*Z66),X$2*((-0.000002)*X66^3+0.00032*X66^2+(-0.0021)*X66)+Y$2*((-0.000002)*Y66^3+0.00032*Y66^2+(-0.0021)*Y66)+Z$2*((-0.000002)*Z66^3+0.00032*Z66^2+(-0.0021)*Z66)+AA$2*((-0.000002)*AA66^3+0.00032*AA66^2+(-0.0021)*AA66))</f>
        <v/>
      </c>
      <c r="AL66" s="5">
        <f>AB$1*((-0.000002)*AB66^3+0.00032*AB66^2+(-0.0021)*AB66)+AC$1*((-0.000002)*AC66^3+0.00032*AC66^2+(-0.0021)*AC66)</f>
        <v/>
      </c>
      <c r="AM66" s="5">
        <f>AD$1*((-0.000002)*AD66^3+0.00032*AD66^2+(-0.0021)*AD66)+AE$1*((-0.000002)*AE66^3+0.00032*AE66^2+(-0.0021)*AE66)+AF$1*((-0.000002)*AF66^3+0.00032*AF66^2+(-0.0021)*AF66)+AG$1*((-0.000002)*AG66^3+0.00032*AG66^2+(-0.0021)*AG66)</f>
        <v/>
      </c>
    </row>
    <row r="67" ht="15" customHeight="1" s="27" thickBot="1">
      <c r="A67" s="5">
        <f>(AI67*AI$3+AJ67*AJ$3+AK67*AK$3+AL67*AL$3+AM67*AM$3)*100/(AI$5*AI$3+AJ$5*AJ$3+AK$5*AK$3+AL$5*AL$3+AM$5*AM$3)</f>
        <v/>
      </c>
      <c r="B67" s="18" t="n">
        <v>128</v>
      </c>
      <c r="C67" s="11" t="inlineStr">
        <is>
          <t>Camilli, Billy Ray</t>
        </is>
      </c>
      <c r="D67" s="19" t="inlineStr">
        <is>
          <t>RF</t>
        </is>
      </c>
      <c r="E67" s="19" t="inlineStr">
        <is>
          <t>R</t>
        </is>
      </c>
      <c r="F67" s="19" t="inlineStr">
        <is>
          <t>R</t>
        </is>
      </c>
      <c r="G67" s="19" t="n">
        <v>18</v>
      </c>
      <c r="H67" s="19" t="n">
        <v>14</v>
      </c>
      <c r="I67" s="19" t="n">
        <v>57</v>
      </c>
      <c r="J67" s="19" t="n">
        <v>37</v>
      </c>
      <c r="K67" s="19" t="n">
        <v>19</v>
      </c>
      <c r="L67" s="19" t="n">
        <v>24</v>
      </c>
      <c r="M67" s="19" t="n">
        <v>35</v>
      </c>
      <c r="N67" s="19" t="n">
        <v>14</v>
      </c>
      <c r="O67" s="19" t="n">
        <v>63</v>
      </c>
      <c r="P67" s="19" t="n">
        <v>45</v>
      </c>
      <c r="Q67" s="18" t="n">
        <v>128</v>
      </c>
      <c r="R67" s="11" t="inlineStr">
        <is>
          <t>Camilli, Billy Ray</t>
        </is>
      </c>
      <c r="S67" s="19" t="inlineStr">
        <is>
          <t>RF</t>
        </is>
      </c>
      <c r="T67" s="19" t="inlineStr">
        <is>
          <t>R</t>
        </is>
      </c>
      <c r="U67" s="19" t="inlineStr">
        <is>
          <t>R</t>
        </is>
      </c>
      <c r="V67" s="19" t="n">
        <v>18</v>
      </c>
      <c r="W67" s="19" t="n">
        <v>55</v>
      </c>
      <c r="X67" s="19" t="n">
        <v>49</v>
      </c>
      <c r="Y67" s="19" t="n">
        <v>61</v>
      </c>
      <c r="Z67" s="19" t="n">
        <v>59</v>
      </c>
      <c r="AA67" s="19" t="n">
        <v>8</v>
      </c>
      <c r="AB67" s="19" t="n">
        <v>91</v>
      </c>
      <c r="AC67" s="19" t="n">
        <v>69</v>
      </c>
      <c r="AD67" s="19" t="n">
        <v>20</v>
      </c>
      <c r="AE67" s="19" t="n">
        <v>73</v>
      </c>
      <c r="AF67" s="19" t="n">
        <v>44</v>
      </c>
      <c r="AG67" s="19" t="n">
        <v>64</v>
      </c>
      <c r="AH67" s="19" t="n">
        <v>45</v>
      </c>
      <c r="AI67" s="5">
        <f>H$1*((-0.000002)*H67^3+0.00032*H67^2+(-0.0021)*H67)+I$1*((-0.000002)*I67^3+0.00032*I67^2+(-0.0021)*I67)+J$1*((-0.000002)*J67^3+0.00032*J67^2+(-0.0021)*J67)+K$1*((-0.000002)*K67^3+0.00032*K67^2+(-0.0021)*K67)+L$1*((-0.000002)*L67^3+0.00032*L67^2+(-0.0021)*L67)</f>
        <v/>
      </c>
      <c r="AJ67" s="5">
        <f>M$1*((-0.000002)*M67^3+0.00032*M67^2+(-0.0021)*M67)+N$1*((-0.000002)*N67^3+0.00032*N67^2+(-0.0021)*N67)+O$1*((-0.000002)*O67^3+0.00032*O67^2+(-0.0021)*O67)</f>
        <v/>
      </c>
      <c r="AK67" s="5">
        <f>IF(AA67&lt;50,W$1*((-0.000002)*W67^3+0.00032*W67^2+(-0.0021)*W67)+X$1*((-0.000002)*X67^3+0.00032*X67^2+(-0.0021)*X67)+Y$1*((-0.000002)*Y67^3+0.00032*Y67^2+(-0.0021)*Y67)+Z$1*((-0.000002)*Z67^3+0.00032*Z67^2+(-0.0021)*Z67),X$2*((-0.000002)*X67^3+0.00032*X67^2+(-0.0021)*X67)+Y$2*((-0.000002)*Y67^3+0.00032*Y67^2+(-0.0021)*Y67)+Z$2*((-0.000002)*Z67^3+0.00032*Z67^2+(-0.0021)*Z67)+AA$2*((-0.000002)*AA67^3+0.00032*AA67^2+(-0.0021)*AA67))</f>
        <v/>
      </c>
      <c r="AL67" s="5">
        <f>AB$1*((-0.000002)*AB67^3+0.00032*AB67^2+(-0.0021)*AB67)+AC$1*((-0.000002)*AC67^3+0.00032*AC67^2+(-0.0021)*AC67)</f>
        <v/>
      </c>
      <c r="AM67" s="5">
        <f>AD$1*((-0.000002)*AD67^3+0.00032*AD67^2+(-0.0021)*AD67)+AE$1*((-0.000002)*AE67^3+0.00032*AE67^2+(-0.0021)*AE67)+AF$1*((-0.000002)*AF67^3+0.00032*AF67^2+(-0.0021)*AF67)+AG$1*((-0.000002)*AG67^3+0.00032*AG67^2+(-0.0021)*AG67)</f>
        <v/>
      </c>
    </row>
    <row r="68" ht="15" customHeight="1" s="27" thickBot="1">
      <c r="A68" s="5">
        <f>(AI68*AI$3+AJ68*AJ$3+AK68*AK$3+AL68*AL$3+AM68*AM$3)*100/(AI$5*AI$3+AJ$5*AJ$3+AK$5*AK$3+AL$5*AL$3+AM$5*AM$3)</f>
        <v/>
      </c>
      <c r="B68" s="18" t="n">
        <v>86</v>
      </c>
      <c r="C68" s="11" t="inlineStr">
        <is>
          <t>Jefferson, Cameron</t>
        </is>
      </c>
      <c r="D68" s="19" t="inlineStr">
        <is>
          <t>LF</t>
        </is>
      </c>
      <c r="E68" s="19" t="inlineStr">
        <is>
          <t>R</t>
        </is>
      </c>
      <c r="F68" s="19" t="inlineStr">
        <is>
          <t>R</t>
        </is>
      </c>
      <c r="G68" s="19" t="n">
        <v>18</v>
      </c>
      <c r="H68" s="19" t="n">
        <v>50</v>
      </c>
      <c r="I68" s="19" t="n">
        <v>0</v>
      </c>
      <c r="J68" s="19" t="n">
        <v>13</v>
      </c>
      <c r="K68" s="19" t="n">
        <v>39</v>
      </c>
      <c r="L68" s="19" t="n">
        <v>27</v>
      </c>
      <c r="M68" s="19" t="n">
        <v>69</v>
      </c>
      <c r="N68" s="19" t="n">
        <v>83</v>
      </c>
      <c r="O68" s="19" t="n">
        <v>30</v>
      </c>
      <c r="P68" s="19" t="n">
        <v>54</v>
      </c>
      <c r="Q68" s="18" t="n">
        <v>86</v>
      </c>
      <c r="R68" s="11" t="inlineStr">
        <is>
          <t>Jefferson, Cameron</t>
        </is>
      </c>
      <c r="S68" s="19" t="inlineStr">
        <is>
          <t>LF</t>
        </is>
      </c>
      <c r="T68" s="19" t="inlineStr">
        <is>
          <t>R</t>
        </is>
      </c>
      <c r="U68" s="19" t="inlineStr">
        <is>
          <t>R</t>
        </is>
      </c>
      <c r="V68" s="19" t="n">
        <v>18</v>
      </c>
      <c r="W68" s="19" t="n">
        <v>81</v>
      </c>
      <c r="X68" s="19" t="n">
        <v>67</v>
      </c>
      <c r="Y68" s="19" t="n">
        <v>45</v>
      </c>
      <c r="Z68" s="19" t="n">
        <v>48</v>
      </c>
      <c r="AA68" s="19" t="n">
        <v>34</v>
      </c>
      <c r="AB68" s="19" t="n">
        <v>85</v>
      </c>
      <c r="AC68" s="19" t="n">
        <v>96</v>
      </c>
      <c r="AD68" s="19" t="n">
        <v>89</v>
      </c>
      <c r="AE68" s="19" t="n">
        <v>76</v>
      </c>
      <c r="AF68" s="19" t="n">
        <v>62</v>
      </c>
      <c r="AG68" s="19" t="n">
        <v>59</v>
      </c>
      <c r="AH68" s="19" t="n">
        <v>54</v>
      </c>
      <c r="AI68" s="5">
        <f>H$1*((-0.000002)*H68^3+0.00032*H68^2+(-0.0021)*H68)+I$1*((-0.000002)*I68^3+0.00032*I68^2+(-0.0021)*I68)+J$1*((-0.000002)*J68^3+0.00032*J68^2+(-0.0021)*J68)+K$1*((-0.000002)*K68^3+0.00032*K68^2+(-0.0021)*K68)+L$1*((-0.000002)*L68^3+0.00032*L68^2+(-0.0021)*L68)</f>
        <v/>
      </c>
      <c r="AJ68" s="5">
        <f>M$1*((-0.000002)*M68^3+0.00032*M68^2+(-0.0021)*M68)+N$1*((-0.000002)*N68^3+0.00032*N68^2+(-0.0021)*N68)+O$1*((-0.000002)*O68^3+0.00032*O68^2+(-0.0021)*O68)</f>
        <v/>
      </c>
      <c r="AK68" s="5">
        <f>IF(AA68&lt;50,W$1*((-0.000002)*W68^3+0.00032*W68^2+(-0.0021)*W68)+X$1*((-0.000002)*X68^3+0.00032*X68^2+(-0.0021)*X68)+Y$1*((-0.000002)*Y68^3+0.00032*Y68^2+(-0.0021)*Y68)+Z$1*((-0.000002)*Z68^3+0.00032*Z68^2+(-0.0021)*Z68),X$2*((-0.000002)*X68^3+0.00032*X68^2+(-0.0021)*X68)+Y$2*((-0.000002)*Y68^3+0.00032*Y68^2+(-0.0021)*Y68)+Z$2*((-0.000002)*Z68^3+0.00032*Z68^2+(-0.0021)*Z68)+AA$2*((-0.000002)*AA68^3+0.00032*AA68^2+(-0.0021)*AA68))</f>
        <v/>
      </c>
      <c r="AL68" s="5">
        <f>AB$1*((-0.000002)*AB68^3+0.00032*AB68^2+(-0.0021)*AB68)+AC$1*((-0.000002)*AC68^3+0.00032*AC68^2+(-0.0021)*AC68)</f>
        <v/>
      </c>
      <c r="AM68" s="5">
        <f>AD$1*((-0.000002)*AD68^3+0.00032*AD68^2+(-0.0021)*AD68)+AE$1*((-0.000002)*AE68^3+0.00032*AE68^2+(-0.0021)*AE68)+AF$1*((-0.000002)*AF68^3+0.00032*AF68^2+(-0.0021)*AF68)+AG$1*((-0.000002)*AG68^3+0.00032*AG68^2+(-0.0021)*AG68)</f>
        <v/>
      </c>
    </row>
    <row r="69" ht="15" customHeight="1" s="27" thickBot="1">
      <c r="A69" s="5">
        <f>(AI69*AI$3+AJ69*AJ$3+AK69*AK$3+AL69*AL$3+AM69*AM$3)*100/(AI$5*AI$3+AJ$5*AJ$3+AK$5*AK$3+AL$5*AL$3+AM$5*AM$3)</f>
        <v/>
      </c>
      <c r="B69" s="16" t="n">
        <v>185</v>
      </c>
      <c r="C69" s="10" t="inlineStr">
        <is>
          <t>Martinez, Angel</t>
        </is>
      </c>
      <c r="D69" s="17" t="inlineStr">
        <is>
          <t>DH</t>
        </is>
      </c>
      <c r="E69" s="17" t="inlineStr">
        <is>
          <t>R</t>
        </is>
      </c>
      <c r="F69" s="17" t="inlineStr">
        <is>
          <t>R</t>
        </is>
      </c>
      <c r="G69" s="17" t="n">
        <v>18</v>
      </c>
      <c r="H69" s="17" t="n">
        <v>33</v>
      </c>
      <c r="I69" s="17" t="n">
        <v>45</v>
      </c>
      <c r="J69" s="17" t="n">
        <v>33</v>
      </c>
      <c r="K69" s="17" t="n">
        <v>37</v>
      </c>
      <c r="L69" s="17" t="n">
        <v>55</v>
      </c>
      <c r="M69" s="17" t="n">
        <v>37</v>
      </c>
      <c r="N69" s="17" t="n">
        <v>31</v>
      </c>
      <c r="O69" s="17" t="n">
        <v>49</v>
      </c>
      <c r="P69" s="17" t="n">
        <v>46</v>
      </c>
      <c r="Q69" s="16" t="n">
        <v>185</v>
      </c>
      <c r="R69" s="10" t="inlineStr">
        <is>
          <t>Martinez, Angel</t>
        </is>
      </c>
      <c r="S69" s="17" t="inlineStr">
        <is>
          <t>DH</t>
        </is>
      </c>
      <c r="T69" s="17" t="inlineStr">
        <is>
          <t>R</t>
        </is>
      </c>
      <c r="U69" s="17" t="inlineStr">
        <is>
          <t>R</t>
        </is>
      </c>
      <c r="V69" s="17" t="n">
        <v>18</v>
      </c>
      <c r="W69" s="17" t="n">
        <v>4</v>
      </c>
      <c r="X69" s="17" t="n">
        <v>26</v>
      </c>
      <c r="Y69" s="17" t="n">
        <v>59</v>
      </c>
      <c r="Z69" s="17" t="n">
        <v>78</v>
      </c>
      <c r="AA69" s="17" t="n">
        <v>50</v>
      </c>
      <c r="AB69" s="17" t="n">
        <v>61</v>
      </c>
      <c r="AC69" s="17" t="n">
        <v>93</v>
      </c>
      <c r="AD69" s="17" t="n">
        <v>31</v>
      </c>
      <c r="AE69" s="17" t="n">
        <v>63</v>
      </c>
      <c r="AF69" s="17" t="n">
        <v>59</v>
      </c>
      <c r="AG69" s="17" t="n">
        <v>65</v>
      </c>
      <c r="AH69" s="17" t="n">
        <v>46</v>
      </c>
      <c r="AI69" s="5">
        <f>H$1*((-0.000002)*H69^3+0.00032*H69^2+(-0.0021)*H69)+I$1*((-0.000002)*I69^3+0.00032*I69^2+(-0.0021)*I69)+J$1*((-0.000002)*J69^3+0.00032*J69^2+(-0.0021)*J69)+K$1*((-0.000002)*K69^3+0.00032*K69^2+(-0.0021)*K69)+L$1*((-0.000002)*L69^3+0.00032*L69^2+(-0.0021)*L69)</f>
        <v/>
      </c>
      <c r="AJ69" s="5">
        <f>M$1*((-0.000002)*M69^3+0.00032*M69^2+(-0.0021)*M69)+N$1*((-0.000002)*N69^3+0.00032*N69^2+(-0.0021)*N69)+O$1*((-0.000002)*O69^3+0.00032*O69^2+(-0.0021)*O69)</f>
        <v/>
      </c>
      <c r="AK69" s="5">
        <f>IF(AA69&lt;50,W$1*((-0.000002)*W69^3+0.00032*W69^2+(-0.0021)*W69)+X$1*((-0.000002)*X69^3+0.00032*X69^2+(-0.0021)*X69)+Y$1*((-0.000002)*Y69^3+0.00032*Y69^2+(-0.0021)*Y69)+Z$1*((-0.000002)*Z69^3+0.00032*Z69^2+(-0.0021)*Z69),X$2*((-0.000002)*X69^3+0.00032*X69^2+(-0.0021)*X69)+Y$2*((-0.000002)*Y69^3+0.00032*Y69^2+(-0.0021)*Y69)+Z$2*((-0.000002)*Z69^3+0.00032*Z69^2+(-0.0021)*Z69)+AA$2*((-0.000002)*AA69^3+0.00032*AA69^2+(-0.0021)*AA69))</f>
        <v/>
      </c>
      <c r="AL69" s="5">
        <f>AB$1*((-0.000002)*AB69^3+0.00032*AB69^2+(-0.0021)*AB69)+AC$1*((-0.000002)*AC69^3+0.00032*AC69^2+(-0.0021)*AC69)</f>
        <v/>
      </c>
      <c r="AM69" s="5">
        <f>AD$1*((-0.000002)*AD69^3+0.00032*AD69^2+(-0.0021)*AD69)+AE$1*((-0.000002)*AE69^3+0.00032*AE69^2+(-0.0021)*AE69)+AF$1*((-0.000002)*AF69^3+0.00032*AF69^2+(-0.0021)*AF69)+AG$1*((-0.000002)*AG69^3+0.00032*AG69^2+(-0.0021)*AG69)</f>
        <v/>
      </c>
    </row>
    <row r="70" ht="15" customHeight="1" s="27" thickBot="1">
      <c r="A70" s="5">
        <f>(AI70*AI$3+AJ70*AJ$3+AK70*AK$3+AL70*AL$3+AM70*AM$3)*100/(AI$5*AI$3+AJ$5*AJ$3+AK$5*AK$3+AL$5*AL$3+AM$5*AM$3)</f>
        <v/>
      </c>
      <c r="B70" s="18" t="n">
        <v>94</v>
      </c>
      <c r="C70" s="11" t="inlineStr">
        <is>
          <t>McCormick, Terrence</t>
        </is>
      </c>
      <c r="D70" s="19" t="inlineStr">
        <is>
          <t>LF</t>
        </is>
      </c>
      <c r="E70" s="19" t="inlineStr">
        <is>
          <t>L</t>
        </is>
      </c>
      <c r="F70" s="19" t="inlineStr">
        <is>
          <t>L</t>
        </is>
      </c>
      <c r="G70" s="19" t="n">
        <v>18</v>
      </c>
      <c r="H70" s="19" t="n">
        <v>33</v>
      </c>
      <c r="I70" s="19" t="n">
        <v>1</v>
      </c>
      <c r="J70" s="19" t="n">
        <v>0</v>
      </c>
      <c r="K70" s="19" t="n">
        <v>47</v>
      </c>
      <c r="L70" s="19" t="n">
        <v>30</v>
      </c>
      <c r="M70" s="19" t="n">
        <v>68</v>
      </c>
      <c r="N70" s="19" t="n">
        <v>89</v>
      </c>
      <c r="O70" s="19" t="n">
        <v>46</v>
      </c>
      <c r="P70" s="19" t="n">
        <v>52</v>
      </c>
      <c r="Q70" s="18" t="n">
        <v>94</v>
      </c>
      <c r="R70" s="11" t="inlineStr">
        <is>
          <t>McCormick, Terrence</t>
        </is>
      </c>
      <c r="S70" s="19" t="inlineStr">
        <is>
          <t>LF</t>
        </is>
      </c>
      <c r="T70" s="19" t="inlineStr">
        <is>
          <t>L</t>
        </is>
      </c>
      <c r="U70" s="19" t="inlineStr">
        <is>
          <t>L</t>
        </is>
      </c>
      <c r="V70" s="19" t="n">
        <v>18</v>
      </c>
      <c r="W70" s="19" t="n">
        <v>72</v>
      </c>
      <c r="X70" s="19" t="n">
        <v>74</v>
      </c>
      <c r="Y70" s="19" t="n">
        <v>51</v>
      </c>
      <c r="Z70" s="19" t="n">
        <v>50</v>
      </c>
      <c r="AA70" s="19" t="n">
        <v>13</v>
      </c>
      <c r="AB70" s="19" t="n">
        <v>94</v>
      </c>
      <c r="AC70" s="19" t="n">
        <v>89</v>
      </c>
      <c r="AD70" s="19" t="n">
        <v>81</v>
      </c>
      <c r="AE70" s="19" t="n">
        <v>83</v>
      </c>
      <c r="AF70" s="19" t="n">
        <v>0</v>
      </c>
      <c r="AG70" s="19" t="n">
        <v>32</v>
      </c>
      <c r="AH70" s="19" t="n">
        <v>52</v>
      </c>
      <c r="AI70" s="5">
        <f>H$1*((-0.000002)*H70^3+0.00032*H70^2+(-0.0021)*H70)+I$1*((-0.000002)*I70^3+0.00032*I70^2+(-0.0021)*I70)+J$1*((-0.000002)*J70^3+0.00032*J70^2+(-0.0021)*J70)+K$1*((-0.000002)*K70^3+0.00032*K70^2+(-0.0021)*K70)+L$1*((-0.000002)*L70^3+0.00032*L70^2+(-0.0021)*L70)</f>
        <v/>
      </c>
      <c r="AJ70" s="5">
        <f>M$1*((-0.000002)*M70^3+0.00032*M70^2+(-0.0021)*M70)+N$1*((-0.000002)*N70^3+0.00032*N70^2+(-0.0021)*N70)+O$1*((-0.000002)*O70^3+0.00032*O70^2+(-0.0021)*O70)</f>
        <v/>
      </c>
      <c r="AK70" s="5">
        <f>IF(AA70&lt;50,W$1*((-0.000002)*W70^3+0.00032*W70^2+(-0.0021)*W70)+X$1*((-0.000002)*X70^3+0.00032*X70^2+(-0.0021)*X70)+Y$1*((-0.000002)*Y70^3+0.00032*Y70^2+(-0.0021)*Y70)+Z$1*((-0.000002)*Z70^3+0.00032*Z70^2+(-0.0021)*Z70),X$2*((-0.000002)*X70^3+0.00032*X70^2+(-0.0021)*X70)+Y$2*((-0.000002)*Y70^3+0.00032*Y70^2+(-0.0021)*Y70)+Z$2*((-0.000002)*Z70^3+0.00032*Z70^2+(-0.0021)*Z70)+AA$2*((-0.000002)*AA70^3+0.00032*AA70^2+(-0.0021)*AA70))</f>
        <v/>
      </c>
      <c r="AL70" s="5">
        <f>AB$1*((-0.000002)*AB70^3+0.00032*AB70^2+(-0.0021)*AB70)+AC$1*((-0.000002)*AC70^3+0.00032*AC70^2+(-0.0021)*AC70)</f>
        <v/>
      </c>
      <c r="AM70" s="5">
        <f>AD$1*((-0.000002)*AD70^3+0.00032*AD70^2+(-0.0021)*AD70)+AE$1*((-0.000002)*AE70^3+0.00032*AE70^2+(-0.0021)*AE70)+AF$1*((-0.000002)*AF70^3+0.00032*AF70^2+(-0.0021)*AF70)+AG$1*((-0.000002)*AG70^3+0.00032*AG70^2+(-0.0021)*AG70)</f>
        <v/>
      </c>
    </row>
    <row r="71" ht="15" customHeight="1" s="27" thickBot="1">
      <c r="A71" s="5">
        <f>(AI71*AI$3+AJ71*AJ$3+AK71*AK$3+AL71*AL$3+AM71*AM$3)*100/(AI$5*AI$3+AJ$5*AJ$3+AK$5*AK$3+AL$5*AL$3+AM$5*AM$3)</f>
        <v/>
      </c>
      <c r="B71" s="16" t="n">
        <v>187</v>
      </c>
      <c r="C71" s="10" t="inlineStr">
        <is>
          <t>Milliard, Gary</t>
        </is>
      </c>
      <c r="D71" s="17" t="inlineStr">
        <is>
          <t>DH</t>
        </is>
      </c>
      <c r="E71" s="17" t="inlineStr">
        <is>
          <t>R</t>
        </is>
      </c>
      <c r="F71" s="17" t="inlineStr">
        <is>
          <t>R</t>
        </is>
      </c>
      <c r="G71" s="17" t="n">
        <v>18</v>
      </c>
      <c r="H71" s="17" t="n">
        <v>47</v>
      </c>
      <c r="I71" s="17" t="n">
        <v>35</v>
      </c>
      <c r="J71" s="17" t="n">
        <v>50</v>
      </c>
      <c r="K71" s="17" t="n">
        <v>17</v>
      </c>
      <c r="L71" s="17" t="n">
        <v>58</v>
      </c>
      <c r="M71" s="17" t="n">
        <v>51</v>
      </c>
      <c r="N71" s="17" t="n">
        <v>0</v>
      </c>
      <c r="O71" s="17" t="n">
        <v>6</v>
      </c>
      <c r="P71" s="17" t="n">
        <v>51</v>
      </c>
      <c r="Q71" s="16" t="n">
        <v>187</v>
      </c>
      <c r="R71" s="10" t="inlineStr">
        <is>
          <t>Milliard, Gary</t>
        </is>
      </c>
      <c r="S71" s="17" t="inlineStr">
        <is>
          <t>DH</t>
        </is>
      </c>
      <c r="T71" s="17" t="inlineStr">
        <is>
          <t>R</t>
        </is>
      </c>
      <c r="U71" s="17" t="inlineStr">
        <is>
          <t>R</t>
        </is>
      </c>
      <c r="V71" s="17" t="n">
        <v>18</v>
      </c>
      <c r="W71" s="17" t="n">
        <v>10</v>
      </c>
      <c r="X71" s="17" t="n">
        <v>16</v>
      </c>
      <c r="Y71" s="17" t="n">
        <v>49</v>
      </c>
      <c r="Z71" s="17" t="n">
        <v>54</v>
      </c>
      <c r="AA71" s="17" t="n">
        <v>52</v>
      </c>
      <c r="AB71" s="17" t="n">
        <v>79</v>
      </c>
      <c r="AC71" s="17" t="n">
        <v>89</v>
      </c>
      <c r="AD71" s="17" t="n">
        <v>42</v>
      </c>
      <c r="AE71" s="17" t="n">
        <v>83</v>
      </c>
      <c r="AF71" s="17" t="n">
        <v>61</v>
      </c>
      <c r="AG71" s="17" t="n">
        <v>61</v>
      </c>
      <c r="AH71" s="17" t="n">
        <v>51</v>
      </c>
      <c r="AI71" s="5">
        <f>H$1*((-0.000002)*H71^3+0.00032*H71^2+(-0.0021)*H71)+I$1*((-0.000002)*I71^3+0.00032*I71^2+(-0.0021)*I71)+J$1*((-0.000002)*J71^3+0.00032*J71^2+(-0.0021)*J71)+K$1*((-0.000002)*K71^3+0.00032*K71^2+(-0.0021)*K71)+L$1*((-0.000002)*L71^3+0.00032*L71^2+(-0.0021)*L71)</f>
        <v/>
      </c>
      <c r="AJ71" s="5">
        <f>M$1*((-0.000002)*M71^3+0.00032*M71^2+(-0.0021)*M71)+N$1*((-0.000002)*N71^3+0.00032*N71^2+(-0.0021)*N71)+O$1*((-0.000002)*O71^3+0.00032*O71^2+(-0.0021)*O71)</f>
        <v/>
      </c>
      <c r="AK71" s="5">
        <f>IF(AA71&lt;50,W$1*((-0.000002)*W71^3+0.00032*W71^2+(-0.0021)*W71)+X$1*((-0.000002)*X71^3+0.00032*X71^2+(-0.0021)*X71)+Y$1*((-0.000002)*Y71^3+0.00032*Y71^2+(-0.0021)*Y71)+Z$1*((-0.000002)*Z71^3+0.00032*Z71^2+(-0.0021)*Z71),X$2*((-0.000002)*X71^3+0.00032*X71^2+(-0.0021)*X71)+Y$2*((-0.000002)*Y71^3+0.00032*Y71^2+(-0.0021)*Y71)+Z$2*((-0.000002)*Z71^3+0.00032*Z71^2+(-0.0021)*Z71)+AA$2*((-0.000002)*AA71^3+0.00032*AA71^2+(-0.0021)*AA71))</f>
        <v/>
      </c>
      <c r="AL71" s="5">
        <f>AB$1*((-0.000002)*AB71^3+0.00032*AB71^2+(-0.0021)*AB71)+AC$1*((-0.000002)*AC71^3+0.00032*AC71^2+(-0.0021)*AC71)</f>
        <v/>
      </c>
      <c r="AM71" s="5">
        <f>AD$1*((-0.000002)*AD71^3+0.00032*AD71^2+(-0.0021)*AD71)+AE$1*((-0.000002)*AE71^3+0.00032*AE71^2+(-0.0021)*AE71)+AF$1*((-0.000002)*AF71^3+0.00032*AF71^2+(-0.0021)*AF71)+AG$1*((-0.000002)*AG71^3+0.00032*AG71^2+(-0.0021)*AG71)</f>
        <v/>
      </c>
    </row>
    <row r="72" ht="15" customHeight="1" s="27" thickBot="1">
      <c r="A72" s="5">
        <f>(AI72*AI$3+AJ72*AJ$3+AK72*AK$3+AL72*AL$3+AM72*AM$3)*100/(AI$5*AI$3+AJ$5*AJ$3+AK$5*AK$3+AL$5*AL$3+AM$5*AM$3)</f>
        <v/>
      </c>
      <c r="B72" s="18" t="n">
        <v>98</v>
      </c>
      <c r="C72" s="11" t="inlineStr">
        <is>
          <t>Ward, Ken</t>
        </is>
      </c>
      <c r="D72" s="19" t="inlineStr">
        <is>
          <t>C</t>
        </is>
      </c>
      <c r="E72" s="19" t="inlineStr">
        <is>
          <t>L</t>
        </is>
      </c>
      <c r="F72" s="19" t="inlineStr">
        <is>
          <t>R</t>
        </is>
      </c>
      <c r="G72" s="19" t="n">
        <v>19</v>
      </c>
      <c r="H72" s="19" t="n">
        <v>45</v>
      </c>
      <c r="I72" s="19" t="n">
        <v>15</v>
      </c>
      <c r="J72" s="19" t="n">
        <v>34</v>
      </c>
      <c r="K72" s="19" t="n">
        <v>22</v>
      </c>
      <c r="L72" s="19" t="n">
        <v>60</v>
      </c>
      <c r="M72" s="19" t="n">
        <v>78</v>
      </c>
      <c r="N72" s="19" t="n">
        <v>21</v>
      </c>
      <c r="O72" s="19" t="n">
        <v>73</v>
      </c>
      <c r="P72" s="19" t="n">
        <v>58</v>
      </c>
      <c r="Q72" s="18" t="n">
        <v>98</v>
      </c>
      <c r="R72" s="11" t="inlineStr">
        <is>
          <t>Ward, Ken</t>
        </is>
      </c>
      <c r="S72" s="19" t="inlineStr">
        <is>
          <t>C</t>
        </is>
      </c>
      <c r="T72" s="19" t="inlineStr">
        <is>
          <t>L</t>
        </is>
      </c>
      <c r="U72" s="19" t="inlineStr">
        <is>
          <t>R</t>
        </is>
      </c>
      <c r="V72" s="19" t="n">
        <v>19</v>
      </c>
      <c r="W72" s="19" t="n">
        <v>72</v>
      </c>
      <c r="X72" s="19" t="n">
        <v>60</v>
      </c>
      <c r="Y72" s="19" t="n">
        <v>73</v>
      </c>
      <c r="Z72" s="19" t="n">
        <v>71</v>
      </c>
      <c r="AA72" s="19" t="n">
        <v>52</v>
      </c>
      <c r="AB72" s="19" t="n">
        <v>76</v>
      </c>
      <c r="AC72" s="19" t="n">
        <v>100</v>
      </c>
      <c r="AD72" s="19" t="n">
        <v>65</v>
      </c>
      <c r="AE72" s="19" t="n">
        <v>56</v>
      </c>
      <c r="AF72" s="19" t="n">
        <v>72</v>
      </c>
      <c r="AG72" s="19" t="n">
        <v>25</v>
      </c>
      <c r="AH72" s="19" t="n">
        <v>58</v>
      </c>
      <c r="AI72" s="5">
        <f>H$1*((-0.000002)*H72^3+0.00032*H72^2+(-0.0021)*H72)+I$1*((-0.000002)*I72^3+0.00032*I72^2+(-0.0021)*I72)+J$1*((-0.000002)*J72^3+0.00032*J72^2+(-0.0021)*J72)+K$1*((-0.000002)*K72^3+0.00032*K72^2+(-0.0021)*K72)+L$1*((-0.000002)*L72^3+0.00032*L72^2+(-0.0021)*L72)</f>
        <v/>
      </c>
      <c r="AJ72" s="5">
        <f>M$1*((-0.000002)*M72^3+0.00032*M72^2+(-0.0021)*M72)+N$1*((-0.000002)*N72^3+0.00032*N72^2+(-0.0021)*N72)+O$1*((-0.000002)*O72^3+0.00032*O72^2+(-0.0021)*O72)</f>
        <v/>
      </c>
      <c r="AK72" s="5">
        <f>IF(AA72&lt;50,W$1*((-0.000002)*W72^3+0.00032*W72^2+(-0.0021)*W72)+X$1*((-0.000002)*X72^3+0.00032*X72^2+(-0.0021)*X72)+Y$1*((-0.000002)*Y72^3+0.00032*Y72^2+(-0.0021)*Y72)+Z$1*((-0.000002)*Z72^3+0.00032*Z72^2+(-0.0021)*Z72),X$2*((-0.000002)*X72^3+0.00032*X72^2+(-0.0021)*X72)+Y$2*((-0.000002)*Y72^3+0.00032*Y72^2+(-0.0021)*Y72)+Z$2*((-0.000002)*Z72^3+0.00032*Z72^2+(-0.0021)*Z72)+AA$2*((-0.000002)*AA72^3+0.00032*AA72^2+(-0.0021)*AA72))</f>
        <v/>
      </c>
      <c r="AL72" s="5">
        <f>AB$1*((-0.000002)*AB72^3+0.00032*AB72^2+(-0.0021)*AB72)+AC$1*((-0.000002)*AC72^3+0.00032*AC72^2+(-0.0021)*AC72)</f>
        <v/>
      </c>
      <c r="AM72" s="5">
        <f>AD$1*((-0.000002)*AD72^3+0.00032*AD72^2+(-0.0021)*AD72)+AE$1*((-0.000002)*AE72^3+0.00032*AE72^2+(-0.0021)*AE72)+AF$1*((-0.000002)*AF72^3+0.00032*AF72^2+(-0.0021)*AF72)+AG$1*((-0.000002)*AG72^3+0.00032*AG72^2+(-0.0021)*AG72)</f>
        <v/>
      </c>
    </row>
    <row r="73" ht="15" customHeight="1" s="27" thickBot="1">
      <c r="A73" s="5">
        <f>(AI73*AI$3+AJ73*AJ$3+AK73*AK$3+AL73*AL$3+AM73*AM$3)*100/(AI$5*AI$3+AJ$5*AJ$3+AK$5*AK$3+AL$5*AL$3+AM$5*AM$3)</f>
        <v/>
      </c>
      <c r="B73" s="16" t="n">
        <v>97</v>
      </c>
      <c r="C73" s="10" t="inlineStr">
        <is>
          <t>Garcia, Jerrud</t>
        </is>
      </c>
      <c r="D73" s="17" t="inlineStr">
        <is>
          <t>2B</t>
        </is>
      </c>
      <c r="E73" s="17" t="inlineStr">
        <is>
          <t>R</t>
        </is>
      </c>
      <c r="F73" s="17" t="inlineStr">
        <is>
          <t>R</t>
        </is>
      </c>
      <c r="G73" s="17" t="n">
        <v>18</v>
      </c>
      <c r="H73" s="17" t="n">
        <v>51</v>
      </c>
      <c r="I73" s="17" t="n">
        <v>5</v>
      </c>
      <c r="J73" s="17" t="n">
        <v>0</v>
      </c>
      <c r="K73" s="17" t="n">
        <v>28</v>
      </c>
      <c r="L73" s="17" t="n">
        <v>27</v>
      </c>
      <c r="M73" s="17" t="n">
        <v>71</v>
      </c>
      <c r="N73" s="17" t="n">
        <v>72</v>
      </c>
      <c r="O73" s="17" t="n">
        <v>42</v>
      </c>
      <c r="P73" s="17" t="n">
        <v>51</v>
      </c>
      <c r="Q73" s="16" t="n">
        <v>97</v>
      </c>
      <c r="R73" s="10" t="inlineStr">
        <is>
          <t>Garcia, Jerrud</t>
        </is>
      </c>
      <c r="S73" s="17" t="inlineStr">
        <is>
          <t>2B</t>
        </is>
      </c>
      <c r="T73" s="17" t="inlineStr">
        <is>
          <t>R</t>
        </is>
      </c>
      <c r="U73" s="17" t="inlineStr">
        <is>
          <t>R</t>
        </is>
      </c>
      <c r="V73" s="17" t="n">
        <v>18</v>
      </c>
      <c r="W73" s="17" t="n">
        <v>76</v>
      </c>
      <c r="X73" s="17" t="n">
        <v>68</v>
      </c>
      <c r="Y73" s="17" t="n">
        <v>48</v>
      </c>
      <c r="Z73" s="17" t="n">
        <v>55</v>
      </c>
      <c r="AA73" s="17" t="n">
        <v>5</v>
      </c>
      <c r="AB73" s="17" t="n">
        <v>85</v>
      </c>
      <c r="AC73" s="17" t="n">
        <v>94</v>
      </c>
      <c r="AD73" s="17" t="n">
        <v>76</v>
      </c>
      <c r="AE73" s="17" t="n">
        <v>75</v>
      </c>
      <c r="AF73" s="17" t="n">
        <v>36</v>
      </c>
      <c r="AG73" s="17" t="n">
        <v>65</v>
      </c>
      <c r="AH73" s="17" t="n">
        <v>51</v>
      </c>
      <c r="AI73" s="5">
        <f>H$1*((-0.000002)*H73^3+0.00032*H73^2+(-0.0021)*H73)+I$1*((-0.000002)*I73^3+0.00032*I73^2+(-0.0021)*I73)+J$1*((-0.000002)*J73^3+0.00032*J73^2+(-0.0021)*J73)+K$1*((-0.000002)*K73^3+0.00032*K73^2+(-0.0021)*K73)+L$1*((-0.000002)*L73^3+0.00032*L73^2+(-0.0021)*L73)</f>
        <v/>
      </c>
      <c r="AJ73" s="5">
        <f>M$1*((-0.000002)*M73^3+0.00032*M73^2+(-0.0021)*M73)+N$1*((-0.000002)*N73^3+0.00032*N73^2+(-0.0021)*N73)+O$1*((-0.000002)*O73^3+0.00032*O73^2+(-0.0021)*O73)</f>
        <v/>
      </c>
      <c r="AK73" s="5">
        <f>IF(AA73&lt;50,W$1*((-0.000002)*W73^3+0.00032*W73^2+(-0.0021)*W73)+X$1*((-0.000002)*X73^3+0.00032*X73^2+(-0.0021)*X73)+Y$1*((-0.000002)*Y73^3+0.00032*Y73^2+(-0.0021)*Y73)+Z$1*((-0.000002)*Z73^3+0.00032*Z73^2+(-0.0021)*Z73),X$2*((-0.000002)*X73^3+0.00032*X73^2+(-0.0021)*X73)+Y$2*((-0.000002)*Y73^3+0.00032*Y73^2+(-0.0021)*Y73)+Z$2*((-0.000002)*Z73^3+0.00032*Z73^2+(-0.0021)*Z73)+AA$2*((-0.000002)*AA73^3+0.00032*AA73^2+(-0.0021)*AA73))</f>
        <v/>
      </c>
      <c r="AL73" s="5">
        <f>AB$1*((-0.000002)*AB73^3+0.00032*AB73^2+(-0.0021)*AB73)+AC$1*((-0.000002)*AC73^3+0.00032*AC73^2+(-0.0021)*AC73)</f>
        <v/>
      </c>
      <c r="AM73" s="5">
        <f>AD$1*((-0.000002)*AD73^3+0.00032*AD73^2+(-0.0021)*AD73)+AE$1*((-0.000002)*AE73^3+0.00032*AE73^2+(-0.0021)*AE73)+AF$1*((-0.000002)*AF73^3+0.00032*AF73^2+(-0.0021)*AF73)+AG$1*((-0.000002)*AG73^3+0.00032*AG73^2+(-0.0021)*AG73)</f>
        <v/>
      </c>
    </row>
    <row r="74" ht="15" customHeight="1" s="27" thickBot="1">
      <c r="A74" s="5">
        <f>(AI74*AI$3+AJ74*AJ$3+AK74*AK$3+AL74*AL$3+AM74*AM$3)*100/(AI$5*AI$3+AJ$5*AJ$3+AK$5*AK$3+AL$5*AL$3+AM$5*AM$3)</f>
        <v/>
      </c>
      <c r="B74" s="18" t="n">
        <v>170</v>
      </c>
      <c r="C74" s="11" t="inlineStr">
        <is>
          <t>Garland, Darryl</t>
        </is>
      </c>
      <c r="D74" s="19" t="inlineStr">
        <is>
          <t>RF</t>
        </is>
      </c>
      <c r="E74" s="19" t="inlineStr">
        <is>
          <t>L</t>
        </is>
      </c>
      <c r="F74" s="19" t="inlineStr">
        <is>
          <t>R</t>
        </is>
      </c>
      <c r="G74" s="19" t="n">
        <v>21</v>
      </c>
      <c r="H74" s="19" t="n">
        <v>7</v>
      </c>
      <c r="I74" s="19" t="n">
        <v>26</v>
      </c>
      <c r="J74" s="19" t="n">
        <v>17</v>
      </c>
      <c r="K74" s="19" t="n">
        <v>11</v>
      </c>
      <c r="L74" s="19" t="n">
        <v>26</v>
      </c>
      <c r="M74" s="19" t="n">
        <v>60</v>
      </c>
      <c r="N74" s="19" t="n">
        <v>51</v>
      </c>
      <c r="O74" s="19" t="n">
        <v>26</v>
      </c>
      <c r="P74" s="19" t="n">
        <v>49</v>
      </c>
      <c r="Q74" s="18" t="n">
        <v>170</v>
      </c>
      <c r="R74" s="11" t="inlineStr">
        <is>
          <t>Garland, Darryl</t>
        </is>
      </c>
      <c r="S74" s="19" t="inlineStr">
        <is>
          <t>RF</t>
        </is>
      </c>
      <c r="T74" s="19" t="inlineStr">
        <is>
          <t>L</t>
        </is>
      </c>
      <c r="U74" s="19" t="inlineStr">
        <is>
          <t>R</t>
        </is>
      </c>
      <c r="V74" s="19" t="n">
        <v>21</v>
      </c>
      <c r="W74" s="19" t="n">
        <v>62</v>
      </c>
      <c r="X74" s="19" t="n">
        <v>96</v>
      </c>
      <c r="Y74" s="19" t="n">
        <v>89</v>
      </c>
      <c r="Z74" s="19" t="n">
        <v>52</v>
      </c>
      <c r="AA74" s="19" t="n">
        <v>31</v>
      </c>
      <c r="AB74" s="19" t="n">
        <v>100</v>
      </c>
      <c r="AC74" s="19" t="n">
        <v>100</v>
      </c>
      <c r="AD74" s="19" t="n">
        <v>25</v>
      </c>
      <c r="AE74" s="19" t="n">
        <v>82</v>
      </c>
      <c r="AF74" s="19" t="n">
        <v>45</v>
      </c>
      <c r="AG74" s="19" t="n">
        <v>60</v>
      </c>
      <c r="AH74" s="19" t="n">
        <v>49</v>
      </c>
      <c r="AI74" s="5">
        <f>H$1*((-0.000002)*H74^3+0.00032*H74^2+(-0.0021)*H74)+I$1*((-0.000002)*I74^3+0.00032*I74^2+(-0.0021)*I74)+J$1*((-0.000002)*J74^3+0.00032*J74^2+(-0.0021)*J74)+K$1*((-0.000002)*K74^3+0.00032*K74^2+(-0.0021)*K74)+L$1*((-0.000002)*L74^3+0.00032*L74^2+(-0.0021)*L74)</f>
        <v/>
      </c>
      <c r="AJ74" s="5">
        <f>M$1*((-0.000002)*M74^3+0.00032*M74^2+(-0.0021)*M74)+N$1*((-0.000002)*N74^3+0.00032*N74^2+(-0.0021)*N74)+O$1*((-0.000002)*O74^3+0.00032*O74^2+(-0.0021)*O74)</f>
        <v/>
      </c>
      <c r="AK74" s="5">
        <f>IF(AA74&lt;50,W$1*((-0.000002)*W74^3+0.00032*W74^2+(-0.0021)*W74)+X$1*((-0.000002)*X74^3+0.00032*X74^2+(-0.0021)*X74)+Y$1*((-0.000002)*Y74^3+0.00032*Y74^2+(-0.0021)*Y74)+Z$1*((-0.000002)*Z74^3+0.00032*Z74^2+(-0.0021)*Z74),X$2*((-0.000002)*X74^3+0.00032*X74^2+(-0.0021)*X74)+Y$2*((-0.000002)*Y74^3+0.00032*Y74^2+(-0.0021)*Y74)+Z$2*((-0.000002)*Z74^3+0.00032*Z74^2+(-0.0021)*Z74)+AA$2*((-0.000002)*AA74^3+0.00032*AA74^2+(-0.0021)*AA74))</f>
        <v/>
      </c>
      <c r="AL74" s="5">
        <f>AB$1*((-0.000002)*AB74^3+0.00032*AB74^2+(-0.0021)*AB74)+AC$1*((-0.000002)*AC74^3+0.00032*AC74^2+(-0.0021)*AC74)</f>
        <v/>
      </c>
      <c r="AM74" s="5">
        <f>AD$1*((-0.000002)*AD74^3+0.00032*AD74^2+(-0.0021)*AD74)+AE$1*((-0.000002)*AE74^3+0.00032*AE74^2+(-0.0021)*AE74)+AF$1*((-0.000002)*AF74^3+0.00032*AF74^2+(-0.0021)*AF74)+AG$1*((-0.000002)*AG74^3+0.00032*AG74^2+(-0.0021)*AG74)</f>
        <v/>
      </c>
    </row>
    <row r="75" ht="15" customHeight="1" s="27" thickBot="1">
      <c r="A75" s="5">
        <f>(AI75*AI$3+AJ75*AJ$3+AK75*AK$3+AL75*AL$3+AM75*AM$3)*100/(AI$5*AI$3+AJ$5*AJ$3+AK$5*AK$3+AL$5*AL$3+AM$5*AM$3)</f>
        <v/>
      </c>
      <c r="B75" s="18" t="n">
        <v>130</v>
      </c>
      <c r="C75" s="11" t="inlineStr">
        <is>
          <t>Watson, Roy</t>
        </is>
      </c>
      <c r="D75" s="19" t="inlineStr">
        <is>
          <t>LF</t>
        </is>
      </c>
      <c r="E75" s="19" t="inlineStr">
        <is>
          <t>R</t>
        </is>
      </c>
      <c r="F75" s="19" t="inlineStr">
        <is>
          <t>R</t>
        </is>
      </c>
      <c r="G75" s="19" t="n">
        <v>18</v>
      </c>
      <c r="H75" s="19" t="n">
        <v>11</v>
      </c>
      <c r="I75" s="19" t="n">
        <v>53</v>
      </c>
      <c r="J75" s="19" t="n">
        <v>30</v>
      </c>
      <c r="K75" s="19" t="n">
        <v>28</v>
      </c>
      <c r="L75" s="19" t="n">
        <v>27</v>
      </c>
      <c r="M75" s="19" t="n">
        <v>29</v>
      </c>
      <c r="N75" s="19" t="n">
        <v>15</v>
      </c>
      <c r="O75" s="19" t="n">
        <v>55</v>
      </c>
      <c r="P75" s="19" t="n">
        <v>45</v>
      </c>
      <c r="Q75" s="18" t="n">
        <v>130</v>
      </c>
      <c r="R75" s="11" t="inlineStr">
        <is>
          <t>Watson, Roy</t>
        </is>
      </c>
      <c r="S75" s="19" t="inlineStr">
        <is>
          <t>LF</t>
        </is>
      </c>
      <c r="T75" s="19" t="inlineStr">
        <is>
          <t>R</t>
        </is>
      </c>
      <c r="U75" s="19" t="inlineStr">
        <is>
          <t>R</t>
        </is>
      </c>
      <c r="V75" s="19" t="n">
        <v>18</v>
      </c>
      <c r="W75" s="19" t="n">
        <v>47</v>
      </c>
      <c r="X75" s="19" t="n">
        <v>50</v>
      </c>
      <c r="Y75" s="19" t="n">
        <v>55</v>
      </c>
      <c r="Z75" s="19" t="n">
        <v>61</v>
      </c>
      <c r="AA75" s="19" t="n">
        <v>8</v>
      </c>
      <c r="AB75" s="19" t="n">
        <v>86</v>
      </c>
      <c r="AC75" s="19" t="n">
        <v>94</v>
      </c>
      <c r="AD75" s="19" t="n">
        <v>32</v>
      </c>
      <c r="AE75" s="19" t="n">
        <v>34</v>
      </c>
      <c r="AF75" s="19" t="n">
        <v>84</v>
      </c>
      <c r="AG75" s="19" t="n">
        <v>45</v>
      </c>
      <c r="AH75" s="19" t="n">
        <v>45</v>
      </c>
      <c r="AI75" s="5">
        <f>H$1*((-0.000002)*H75^3+0.00032*H75^2+(-0.0021)*H75)+I$1*((-0.000002)*I75^3+0.00032*I75^2+(-0.0021)*I75)+J$1*((-0.000002)*J75^3+0.00032*J75^2+(-0.0021)*J75)+K$1*((-0.000002)*K75^3+0.00032*K75^2+(-0.0021)*K75)+L$1*((-0.000002)*L75^3+0.00032*L75^2+(-0.0021)*L75)</f>
        <v/>
      </c>
      <c r="AJ75" s="5">
        <f>M$1*((-0.000002)*M75^3+0.00032*M75^2+(-0.0021)*M75)+N$1*((-0.000002)*N75^3+0.00032*N75^2+(-0.0021)*N75)+O$1*((-0.000002)*O75^3+0.00032*O75^2+(-0.0021)*O75)</f>
        <v/>
      </c>
      <c r="AK75" s="5">
        <f>IF(AA75&lt;50,W$1*((-0.000002)*W75^3+0.00032*W75^2+(-0.0021)*W75)+X$1*((-0.000002)*X75^3+0.00032*X75^2+(-0.0021)*X75)+Y$1*((-0.000002)*Y75^3+0.00032*Y75^2+(-0.0021)*Y75)+Z$1*((-0.000002)*Z75^3+0.00032*Z75^2+(-0.0021)*Z75),X$2*((-0.000002)*X75^3+0.00032*X75^2+(-0.0021)*X75)+Y$2*((-0.000002)*Y75^3+0.00032*Y75^2+(-0.0021)*Y75)+Z$2*((-0.000002)*Z75^3+0.00032*Z75^2+(-0.0021)*Z75)+AA$2*((-0.000002)*AA75^3+0.00032*AA75^2+(-0.0021)*AA75))</f>
        <v/>
      </c>
      <c r="AL75" s="5">
        <f>AB$1*((-0.000002)*AB75^3+0.00032*AB75^2+(-0.0021)*AB75)+AC$1*((-0.000002)*AC75^3+0.00032*AC75^2+(-0.0021)*AC75)</f>
        <v/>
      </c>
      <c r="AM75" s="5">
        <f>AD$1*((-0.000002)*AD75^3+0.00032*AD75^2+(-0.0021)*AD75)+AE$1*((-0.000002)*AE75^3+0.00032*AE75^2+(-0.0021)*AE75)+AF$1*((-0.000002)*AF75^3+0.00032*AF75^2+(-0.0021)*AF75)+AG$1*((-0.000002)*AG75^3+0.00032*AG75^2+(-0.0021)*AG75)</f>
        <v/>
      </c>
    </row>
    <row r="76" ht="15" customHeight="1" s="27" thickBot="1">
      <c r="A76" s="5">
        <f>(AI76*AI$3+AJ76*AJ$3+AK76*AK$3+AL76*AL$3+AM76*AM$3)*100/(AI$5*AI$3+AJ$5*AJ$3+AK$5*AK$3+AL$5*AL$3+AM$5*AM$3)</f>
        <v/>
      </c>
      <c r="B76" s="16" t="n">
        <v>197</v>
      </c>
      <c r="C76" s="10" t="inlineStr">
        <is>
          <t>Graves, Dion</t>
        </is>
      </c>
      <c r="D76" s="17" t="inlineStr">
        <is>
          <t>DH</t>
        </is>
      </c>
      <c r="E76" s="17" t="inlineStr">
        <is>
          <t>R</t>
        </is>
      </c>
      <c r="F76" s="17" t="inlineStr">
        <is>
          <t>R</t>
        </is>
      </c>
      <c r="G76" s="17" t="n">
        <v>19</v>
      </c>
      <c r="H76" s="17" t="n">
        <v>26</v>
      </c>
      <c r="I76" s="17" t="n">
        <v>21</v>
      </c>
      <c r="J76" s="17" t="n">
        <v>43</v>
      </c>
      <c r="K76" s="17" t="n">
        <v>49</v>
      </c>
      <c r="L76" s="17" t="n">
        <v>39</v>
      </c>
      <c r="M76" s="17" t="n">
        <v>71</v>
      </c>
      <c r="N76" s="17" t="n">
        <v>67</v>
      </c>
      <c r="O76" s="17" t="n">
        <v>35</v>
      </c>
      <c r="P76" s="17" t="n">
        <v>46</v>
      </c>
      <c r="Q76" s="16" t="n">
        <v>197</v>
      </c>
      <c r="R76" s="10" t="inlineStr">
        <is>
          <t>Graves, Dion</t>
        </is>
      </c>
      <c r="S76" s="17" t="inlineStr">
        <is>
          <t>DH</t>
        </is>
      </c>
      <c r="T76" s="17" t="inlineStr">
        <is>
          <t>R</t>
        </is>
      </c>
      <c r="U76" s="17" t="inlineStr">
        <is>
          <t>R</t>
        </is>
      </c>
      <c r="V76" s="17" t="n">
        <v>19</v>
      </c>
      <c r="W76" s="17" t="n">
        <v>78</v>
      </c>
      <c r="X76" s="17" t="n">
        <v>68</v>
      </c>
      <c r="Y76" s="17" t="n">
        <v>24</v>
      </c>
      <c r="Z76" s="17" t="n">
        <v>34</v>
      </c>
      <c r="AA76" s="17" t="n">
        <v>20</v>
      </c>
      <c r="AB76" s="17" t="n">
        <v>70</v>
      </c>
      <c r="AC76" s="17" t="n">
        <v>21</v>
      </c>
      <c r="AD76" s="17" t="n">
        <v>71</v>
      </c>
      <c r="AE76" s="17" t="n">
        <v>54</v>
      </c>
      <c r="AF76" s="17" t="n">
        <v>23</v>
      </c>
      <c r="AG76" s="17" t="n">
        <v>17</v>
      </c>
      <c r="AH76" s="17" t="n">
        <v>46</v>
      </c>
      <c r="AI76" s="5">
        <f>H$1*((-0.000002)*H76^3+0.00032*H76^2+(-0.0021)*H76)+I$1*((-0.000002)*I76^3+0.00032*I76^2+(-0.0021)*I76)+J$1*((-0.000002)*J76^3+0.00032*J76^2+(-0.0021)*J76)+K$1*((-0.000002)*K76^3+0.00032*K76^2+(-0.0021)*K76)+L$1*((-0.000002)*L76^3+0.00032*L76^2+(-0.0021)*L76)</f>
        <v/>
      </c>
      <c r="AJ76" s="5">
        <f>M$1*((-0.000002)*M76^3+0.00032*M76^2+(-0.0021)*M76)+N$1*((-0.000002)*N76^3+0.00032*N76^2+(-0.0021)*N76)+O$1*((-0.000002)*O76^3+0.00032*O76^2+(-0.0021)*O76)</f>
        <v/>
      </c>
      <c r="AK76" s="5">
        <f>IF(AA76&lt;50,W$1*((-0.000002)*W76^3+0.00032*W76^2+(-0.0021)*W76)+X$1*((-0.000002)*X76^3+0.00032*X76^2+(-0.0021)*X76)+Y$1*((-0.000002)*Y76^3+0.00032*Y76^2+(-0.0021)*Y76)+Z$1*((-0.000002)*Z76^3+0.00032*Z76^2+(-0.0021)*Z76),X$2*((-0.000002)*X76^3+0.00032*X76^2+(-0.0021)*X76)+Y$2*((-0.000002)*Y76^3+0.00032*Y76^2+(-0.0021)*Y76)+Z$2*((-0.000002)*Z76^3+0.00032*Z76^2+(-0.0021)*Z76)+AA$2*((-0.000002)*AA76^3+0.00032*AA76^2+(-0.0021)*AA76))</f>
        <v/>
      </c>
      <c r="AL76" s="5">
        <f>AB$1*((-0.000002)*AB76^3+0.00032*AB76^2+(-0.0021)*AB76)+AC$1*((-0.000002)*AC76^3+0.00032*AC76^2+(-0.0021)*AC76)</f>
        <v/>
      </c>
      <c r="AM76" s="5">
        <f>AD$1*((-0.000002)*AD76^3+0.00032*AD76^2+(-0.0021)*AD76)+AE$1*((-0.000002)*AE76^3+0.00032*AE76^2+(-0.0021)*AE76)+AF$1*((-0.000002)*AF76^3+0.00032*AF76^2+(-0.0021)*AF76)+AG$1*((-0.000002)*AG76^3+0.00032*AG76^2+(-0.0021)*AG76)</f>
        <v/>
      </c>
    </row>
    <row r="77" ht="15" customHeight="1" s="27" thickBot="1">
      <c r="A77" s="5">
        <f>(AI77*AI$3+AJ77*AJ$3+AK77*AK$3+AL77*AL$3+AM77*AM$3)*100/(AI$5*AI$3+AJ$5*AJ$3+AK$5*AK$3+AL$5*AL$3+AM$5*AM$3)</f>
        <v/>
      </c>
      <c r="B77" s="16" t="n">
        <v>201</v>
      </c>
      <c r="C77" s="10" t="inlineStr">
        <is>
          <t>Happ, Jon</t>
        </is>
      </c>
      <c r="D77" s="17" t="inlineStr">
        <is>
          <t>DH</t>
        </is>
      </c>
      <c r="E77" s="17" t="inlineStr">
        <is>
          <t>L</t>
        </is>
      </c>
      <c r="F77" s="17" t="inlineStr">
        <is>
          <t>L</t>
        </is>
      </c>
      <c r="G77" s="17" t="n">
        <v>18</v>
      </c>
      <c r="H77" s="17" t="n">
        <v>8</v>
      </c>
      <c r="I77" s="17" t="n">
        <v>46</v>
      </c>
      <c r="J77" s="17" t="n">
        <v>19</v>
      </c>
      <c r="K77" s="17" t="n">
        <v>27</v>
      </c>
      <c r="L77" s="17" t="n">
        <v>47</v>
      </c>
      <c r="M77" s="17" t="n">
        <v>62</v>
      </c>
      <c r="N77" s="17" t="n">
        <v>12</v>
      </c>
      <c r="O77" s="17" t="n">
        <v>0</v>
      </c>
      <c r="P77" s="17" t="n">
        <v>42</v>
      </c>
      <c r="Q77" s="16" t="n">
        <v>201</v>
      </c>
      <c r="R77" s="10" t="inlineStr">
        <is>
          <t>Happ, Jon</t>
        </is>
      </c>
      <c r="S77" s="17" t="inlineStr">
        <is>
          <t>DH</t>
        </is>
      </c>
      <c r="T77" s="17" t="inlineStr">
        <is>
          <t>L</t>
        </is>
      </c>
      <c r="U77" s="17" t="inlineStr">
        <is>
          <t>L</t>
        </is>
      </c>
      <c r="V77" s="17" t="n">
        <v>18</v>
      </c>
      <c r="W77" s="17" t="n">
        <v>51</v>
      </c>
      <c r="X77" s="17" t="n">
        <v>27</v>
      </c>
      <c r="Y77" s="17" t="n">
        <v>51</v>
      </c>
      <c r="Z77" s="17" t="n">
        <v>54</v>
      </c>
      <c r="AA77" s="17" t="n">
        <v>2</v>
      </c>
      <c r="AB77" s="17" t="n">
        <v>79</v>
      </c>
      <c r="AC77" s="17" t="n">
        <v>97</v>
      </c>
      <c r="AD77" s="17" t="n">
        <v>9</v>
      </c>
      <c r="AE77" s="17" t="n">
        <v>62</v>
      </c>
      <c r="AF77" s="17" t="n">
        <v>85</v>
      </c>
      <c r="AG77" s="17" t="n">
        <v>64</v>
      </c>
      <c r="AH77" s="17" t="n">
        <v>42</v>
      </c>
      <c r="AI77" s="5">
        <f>H$1*((-0.000002)*H77^3+0.00032*H77^2+(-0.0021)*H77)+I$1*((-0.000002)*I77^3+0.00032*I77^2+(-0.0021)*I77)+J$1*((-0.000002)*J77^3+0.00032*J77^2+(-0.0021)*J77)+K$1*((-0.000002)*K77^3+0.00032*K77^2+(-0.0021)*K77)+L$1*((-0.000002)*L77^3+0.00032*L77^2+(-0.0021)*L77)</f>
        <v/>
      </c>
      <c r="AJ77" s="5">
        <f>M$1*((-0.000002)*M77^3+0.00032*M77^2+(-0.0021)*M77)+N$1*((-0.000002)*N77^3+0.00032*N77^2+(-0.0021)*N77)+O$1*((-0.000002)*O77^3+0.00032*O77^2+(-0.0021)*O77)</f>
        <v/>
      </c>
      <c r="AK77" s="5">
        <f>IF(AA77&lt;50,W$1*((-0.000002)*W77^3+0.00032*W77^2+(-0.0021)*W77)+X$1*((-0.000002)*X77^3+0.00032*X77^2+(-0.0021)*X77)+Y$1*((-0.000002)*Y77^3+0.00032*Y77^2+(-0.0021)*Y77)+Z$1*((-0.000002)*Z77^3+0.00032*Z77^2+(-0.0021)*Z77),X$2*((-0.000002)*X77^3+0.00032*X77^2+(-0.0021)*X77)+Y$2*((-0.000002)*Y77^3+0.00032*Y77^2+(-0.0021)*Y77)+Z$2*((-0.000002)*Z77^3+0.00032*Z77^2+(-0.0021)*Z77)+AA$2*((-0.000002)*AA77^3+0.00032*AA77^2+(-0.0021)*AA77))</f>
        <v/>
      </c>
      <c r="AL77" s="5">
        <f>AB$1*((-0.000002)*AB77^3+0.00032*AB77^2+(-0.0021)*AB77)+AC$1*((-0.000002)*AC77^3+0.00032*AC77^2+(-0.0021)*AC77)</f>
        <v/>
      </c>
      <c r="AM77" s="5">
        <f>AD$1*((-0.000002)*AD77^3+0.00032*AD77^2+(-0.0021)*AD77)+AE$1*((-0.000002)*AE77^3+0.00032*AE77^2+(-0.0021)*AE77)+AF$1*((-0.000002)*AF77^3+0.00032*AF77^2+(-0.0021)*AF77)+AG$1*((-0.000002)*AG77^3+0.00032*AG77^2+(-0.0021)*AG77)</f>
        <v/>
      </c>
    </row>
    <row r="78" ht="15" customHeight="1" s="27" thickBot="1">
      <c r="A78" s="5">
        <f>(AI78*AI$3+AJ78*AJ$3+AK78*AK$3+AL78*AL$3+AM78*AM$3)*100/(AI$5*AI$3+AJ$5*AJ$3+AK$5*AK$3+AL$5*AL$3+AM$5*AM$3)</f>
        <v/>
      </c>
      <c r="B78" s="18" t="n">
        <v>200</v>
      </c>
      <c r="C78" s="11" t="inlineStr">
        <is>
          <t>Slaughter, Milt</t>
        </is>
      </c>
      <c r="D78" s="19" t="inlineStr">
        <is>
          <t>DH</t>
        </is>
      </c>
      <c r="E78" s="19" t="inlineStr">
        <is>
          <t>L</t>
        </is>
      </c>
      <c r="F78" s="19" t="inlineStr">
        <is>
          <t>L</t>
        </is>
      </c>
      <c r="G78" s="19" t="n">
        <v>22</v>
      </c>
      <c r="H78" s="19" t="n">
        <v>31</v>
      </c>
      <c r="I78" s="19" t="n">
        <v>6</v>
      </c>
      <c r="J78" s="19" t="n">
        <v>0</v>
      </c>
      <c r="K78" s="19" t="n">
        <v>22</v>
      </c>
      <c r="L78" s="19" t="n">
        <v>63</v>
      </c>
      <c r="M78" s="19" t="n">
        <v>56</v>
      </c>
      <c r="N78" s="19" t="n">
        <v>63</v>
      </c>
      <c r="O78" s="19" t="n">
        <v>29</v>
      </c>
      <c r="P78" s="19" t="n">
        <v>42</v>
      </c>
      <c r="Q78" s="18" t="n">
        <v>200</v>
      </c>
      <c r="R78" s="11" t="inlineStr">
        <is>
          <t>Slaughter, Milt</t>
        </is>
      </c>
      <c r="S78" s="19" t="inlineStr">
        <is>
          <t>DH</t>
        </is>
      </c>
      <c r="T78" s="19" t="inlineStr">
        <is>
          <t>L</t>
        </is>
      </c>
      <c r="U78" s="19" t="inlineStr">
        <is>
          <t>L</t>
        </is>
      </c>
      <c r="V78" s="19" t="n">
        <v>22</v>
      </c>
      <c r="W78" s="19" t="n">
        <v>62</v>
      </c>
      <c r="X78" s="19" t="n">
        <v>21</v>
      </c>
      <c r="Y78" s="19" t="n">
        <v>43</v>
      </c>
      <c r="Z78" s="19" t="n">
        <v>60</v>
      </c>
      <c r="AA78" s="19" t="n">
        <v>3</v>
      </c>
      <c r="AB78" s="19" t="n">
        <v>75</v>
      </c>
      <c r="AC78" s="19" t="n">
        <v>100</v>
      </c>
      <c r="AD78" s="19" t="n">
        <v>41</v>
      </c>
      <c r="AE78" s="19" t="n">
        <v>50</v>
      </c>
      <c r="AF78" s="19" t="n">
        <v>38</v>
      </c>
      <c r="AG78" s="19" t="n">
        <v>62</v>
      </c>
      <c r="AH78" s="19" t="n">
        <v>42</v>
      </c>
      <c r="AI78" s="5">
        <f>H$1*((-0.000002)*H78^3+0.00032*H78^2+(-0.0021)*H78)+I$1*((-0.000002)*I78^3+0.00032*I78^2+(-0.0021)*I78)+J$1*((-0.000002)*J78^3+0.00032*J78^2+(-0.0021)*J78)+K$1*((-0.000002)*K78^3+0.00032*K78^2+(-0.0021)*K78)+L$1*((-0.000002)*L78^3+0.00032*L78^2+(-0.0021)*L78)</f>
        <v/>
      </c>
      <c r="AJ78" s="5">
        <f>M$1*((-0.000002)*M78^3+0.00032*M78^2+(-0.0021)*M78)+N$1*((-0.000002)*N78^3+0.00032*N78^2+(-0.0021)*N78)+O$1*((-0.000002)*O78^3+0.00032*O78^2+(-0.0021)*O78)</f>
        <v/>
      </c>
      <c r="AK78" s="5">
        <f>IF(AA78&lt;50,W$1*((-0.000002)*W78^3+0.00032*W78^2+(-0.0021)*W78)+X$1*((-0.000002)*X78^3+0.00032*X78^2+(-0.0021)*X78)+Y$1*((-0.000002)*Y78^3+0.00032*Y78^2+(-0.0021)*Y78)+Z$1*((-0.000002)*Z78^3+0.00032*Z78^2+(-0.0021)*Z78),X$2*((-0.000002)*X78^3+0.00032*X78^2+(-0.0021)*X78)+Y$2*((-0.000002)*Y78^3+0.00032*Y78^2+(-0.0021)*Y78)+Z$2*((-0.000002)*Z78^3+0.00032*Z78^2+(-0.0021)*Z78)+AA$2*((-0.000002)*AA78^3+0.00032*AA78^2+(-0.0021)*AA78))</f>
        <v/>
      </c>
      <c r="AL78" s="5">
        <f>AB$1*((-0.000002)*AB78^3+0.00032*AB78^2+(-0.0021)*AB78)+AC$1*((-0.000002)*AC78^3+0.00032*AC78^2+(-0.0021)*AC78)</f>
        <v/>
      </c>
      <c r="AM78" s="5">
        <f>AD$1*((-0.000002)*AD78^3+0.00032*AD78^2+(-0.0021)*AD78)+AE$1*((-0.000002)*AE78^3+0.00032*AE78^2+(-0.0021)*AE78)+AF$1*((-0.000002)*AF78^3+0.00032*AF78^2+(-0.0021)*AF78)+AG$1*((-0.000002)*AG78^3+0.00032*AG78^2+(-0.0021)*AG78)</f>
        <v/>
      </c>
    </row>
    <row r="79" ht="15" customHeight="1" s="27" thickBot="1">
      <c r="A79" s="5">
        <f>(AI79*AI$3+AJ79*AJ$3+AK79*AK$3+AL79*AL$3+AM79*AM$3)*100/(AI$5*AI$3+AJ$5*AJ$3+AK$5*AK$3+AL$5*AL$3+AM$5*AM$3)</f>
        <v/>
      </c>
      <c r="B79" s="16" t="n">
        <v>103</v>
      </c>
      <c r="C79" s="10" t="inlineStr">
        <is>
          <t>Schoop, Yogi</t>
        </is>
      </c>
      <c r="D79" s="17" t="inlineStr">
        <is>
          <t>1B</t>
        </is>
      </c>
      <c r="E79" s="17" t="inlineStr">
        <is>
          <t>R</t>
        </is>
      </c>
      <c r="F79" s="17" t="inlineStr">
        <is>
          <t>R</t>
        </is>
      </c>
      <c r="G79" s="17" t="n">
        <v>18</v>
      </c>
      <c r="H79" s="17" t="n">
        <v>51</v>
      </c>
      <c r="I79" s="17" t="n">
        <v>0</v>
      </c>
      <c r="J79" s="17" t="n">
        <v>44</v>
      </c>
      <c r="K79" s="17" t="n">
        <v>30</v>
      </c>
      <c r="L79" s="17" t="n">
        <v>34</v>
      </c>
      <c r="M79" s="17" t="n">
        <v>72</v>
      </c>
      <c r="N79" s="17" t="n">
        <v>77</v>
      </c>
      <c r="O79" s="17" t="n">
        <v>28</v>
      </c>
      <c r="P79" s="17" t="n">
        <v>50</v>
      </c>
      <c r="Q79" s="16" t="n">
        <v>103</v>
      </c>
      <c r="R79" s="10" t="inlineStr">
        <is>
          <t>Schoop, Yogi</t>
        </is>
      </c>
      <c r="S79" s="17" t="inlineStr">
        <is>
          <t>1B</t>
        </is>
      </c>
      <c r="T79" s="17" t="inlineStr">
        <is>
          <t>R</t>
        </is>
      </c>
      <c r="U79" s="17" t="inlineStr">
        <is>
          <t>R</t>
        </is>
      </c>
      <c r="V79" s="17" t="n">
        <v>18</v>
      </c>
      <c r="W79" s="17" t="n">
        <v>68</v>
      </c>
      <c r="X79" s="17" t="n">
        <v>47</v>
      </c>
      <c r="Y79" s="17" t="n">
        <v>37</v>
      </c>
      <c r="Z79" s="17" t="n">
        <v>53</v>
      </c>
      <c r="AA79" s="17" t="n">
        <v>9</v>
      </c>
      <c r="AB79" s="17" t="n">
        <v>82</v>
      </c>
      <c r="AC79" s="17" t="n">
        <v>73</v>
      </c>
      <c r="AD79" s="17" t="n">
        <v>72</v>
      </c>
      <c r="AE79" s="17" t="n">
        <v>57</v>
      </c>
      <c r="AF79" s="17" t="n">
        <v>48</v>
      </c>
      <c r="AG79" s="17" t="n">
        <v>39</v>
      </c>
      <c r="AH79" s="17" t="n">
        <v>50</v>
      </c>
      <c r="AI79" s="5">
        <f>H$1*((-0.000002)*H79^3+0.00032*H79^2+(-0.0021)*H79)+I$1*((-0.000002)*I79^3+0.00032*I79^2+(-0.0021)*I79)+J$1*((-0.000002)*J79^3+0.00032*J79^2+(-0.0021)*J79)+K$1*((-0.000002)*K79^3+0.00032*K79^2+(-0.0021)*K79)+L$1*((-0.000002)*L79^3+0.00032*L79^2+(-0.0021)*L79)</f>
        <v/>
      </c>
      <c r="AJ79" s="5">
        <f>M$1*((-0.000002)*M79^3+0.00032*M79^2+(-0.0021)*M79)+N$1*((-0.000002)*N79^3+0.00032*N79^2+(-0.0021)*N79)+O$1*((-0.000002)*O79^3+0.00032*O79^2+(-0.0021)*O79)</f>
        <v/>
      </c>
      <c r="AK79" s="5">
        <f>IF(AA79&lt;50,W$1*((-0.000002)*W79^3+0.00032*W79^2+(-0.0021)*W79)+X$1*((-0.000002)*X79^3+0.00032*X79^2+(-0.0021)*X79)+Y$1*((-0.000002)*Y79^3+0.00032*Y79^2+(-0.0021)*Y79)+Z$1*((-0.000002)*Z79^3+0.00032*Z79^2+(-0.0021)*Z79),X$2*((-0.000002)*X79^3+0.00032*X79^2+(-0.0021)*X79)+Y$2*((-0.000002)*Y79^3+0.00032*Y79^2+(-0.0021)*Y79)+Z$2*((-0.000002)*Z79^3+0.00032*Z79^2+(-0.0021)*Z79)+AA$2*((-0.000002)*AA79^3+0.00032*AA79^2+(-0.0021)*AA79))</f>
        <v/>
      </c>
      <c r="AL79" s="5">
        <f>AB$1*((-0.000002)*AB79^3+0.00032*AB79^2+(-0.0021)*AB79)+AC$1*((-0.000002)*AC79^3+0.00032*AC79^2+(-0.0021)*AC79)</f>
        <v/>
      </c>
      <c r="AM79" s="5">
        <f>AD$1*((-0.000002)*AD79^3+0.00032*AD79^2+(-0.0021)*AD79)+AE$1*((-0.000002)*AE79^3+0.00032*AE79^2+(-0.0021)*AE79)+AF$1*((-0.000002)*AF79^3+0.00032*AF79^2+(-0.0021)*AF79)+AG$1*((-0.000002)*AG79^3+0.00032*AG79^2+(-0.0021)*AG79)</f>
        <v/>
      </c>
    </row>
    <row r="80" ht="15" customHeight="1" s="27" thickBot="1">
      <c r="A80" s="5">
        <f>(AI80*AI$3+AJ80*AJ$3+AK80*AK$3+AL80*AL$3+AM80*AM$3)*100/(AI$5*AI$3+AJ$5*AJ$3+AK$5*AK$3+AL$5*AL$3+AM$5*AM$3)</f>
        <v/>
      </c>
      <c r="B80" s="16" t="n">
        <v>189</v>
      </c>
      <c r="C80" s="10" t="inlineStr">
        <is>
          <t>Hernandez, Dale</t>
        </is>
      </c>
      <c r="D80" s="17" t="inlineStr">
        <is>
          <t>DH</t>
        </is>
      </c>
      <c r="E80" s="17" t="inlineStr">
        <is>
          <t>R</t>
        </is>
      </c>
      <c r="F80" s="17" t="inlineStr">
        <is>
          <t>R</t>
        </is>
      </c>
      <c r="G80" s="17" t="n">
        <v>18</v>
      </c>
      <c r="H80" s="17" t="n">
        <v>45</v>
      </c>
      <c r="I80" s="17" t="n">
        <v>29</v>
      </c>
      <c r="J80" s="17" t="n">
        <v>33</v>
      </c>
      <c r="K80" s="17" t="n">
        <v>37</v>
      </c>
      <c r="L80" s="17" t="n">
        <v>45</v>
      </c>
      <c r="M80" s="17" t="n">
        <v>64</v>
      </c>
      <c r="N80" s="17" t="n">
        <v>14</v>
      </c>
      <c r="O80" s="17" t="n">
        <v>55</v>
      </c>
      <c r="P80" s="17" t="n">
        <v>53</v>
      </c>
      <c r="Q80" s="16" t="n">
        <v>189</v>
      </c>
      <c r="R80" s="10" t="inlineStr">
        <is>
          <t>Hernandez, Dale</t>
        </is>
      </c>
      <c r="S80" s="17" t="inlineStr">
        <is>
          <t>DH</t>
        </is>
      </c>
      <c r="T80" s="17" t="inlineStr">
        <is>
          <t>R</t>
        </is>
      </c>
      <c r="U80" s="17" t="inlineStr">
        <is>
          <t>R</t>
        </is>
      </c>
      <c r="V80" s="17" t="n">
        <v>18</v>
      </c>
      <c r="W80" s="17" t="n">
        <v>3</v>
      </c>
      <c r="X80" s="17" t="n">
        <v>29</v>
      </c>
      <c r="Y80" s="17" t="n">
        <v>62</v>
      </c>
      <c r="Z80" s="17" t="n">
        <v>58</v>
      </c>
      <c r="AA80" s="17" t="n">
        <v>80</v>
      </c>
      <c r="AB80" s="17" t="n">
        <v>95</v>
      </c>
      <c r="AC80" s="17" t="n">
        <v>74</v>
      </c>
      <c r="AD80" s="17" t="n">
        <v>21</v>
      </c>
      <c r="AE80" s="17" t="n">
        <v>73</v>
      </c>
      <c r="AF80" s="17" t="n">
        <v>39</v>
      </c>
      <c r="AG80" s="17" t="n">
        <v>85</v>
      </c>
      <c r="AH80" s="17" t="n">
        <v>53</v>
      </c>
      <c r="AI80" s="5">
        <f>H$1*((-0.000002)*H80^3+0.00032*H80^2+(-0.0021)*H80)+I$1*((-0.000002)*I80^3+0.00032*I80^2+(-0.0021)*I80)+J$1*((-0.000002)*J80^3+0.00032*J80^2+(-0.0021)*J80)+K$1*((-0.000002)*K80^3+0.00032*K80^2+(-0.0021)*K80)+L$1*((-0.000002)*L80^3+0.00032*L80^2+(-0.0021)*L80)</f>
        <v/>
      </c>
      <c r="AJ80" s="5">
        <f>M$1*((-0.000002)*M80^3+0.00032*M80^2+(-0.0021)*M80)+N$1*((-0.000002)*N80^3+0.00032*N80^2+(-0.0021)*N80)+O$1*((-0.000002)*O80^3+0.00032*O80^2+(-0.0021)*O80)</f>
        <v/>
      </c>
      <c r="AK80" s="5">
        <f>IF(AA80&lt;50,W$1*((-0.000002)*W80^3+0.00032*W80^2+(-0.0021)*W80)+X$1*((-0.000002)*X80^3+0.00032*X80^2+(-0.0021)*X80)+Y$1*((-0.000002)*Y80^3+0.00032*Y80^2+(-0.0021)*Y80)+Z$1*((-0.000002)*Z80^3+0.00032*Z80^2+(-0.0021)*Z80),X$2*((-0.000002)*X80^3+0.00032*X80^2+(-0.0021)*X80)+Y$2*((-0.000002)*Y80^3+0.00032*Y80^2+(-0.0021)*Y80)+Z$2*((-0.000002)*Z80^3+0.00032*Z80^2+(-0.0021)*Z80)+AA$2*((-0.000002)*AA80^3+0.00032*AA80^2+(-0.0021)*AA80))</f>
        <v/>
      </c>
      <c r="AL80" s="5">
        <f>AB$1*((-0.000002)*AB80^3+0.00032*AB80^2+(-0.0021)*AB80)+AC$1*((-0.000002)*AC80^3+0.00032*AC80^2+(-0.0021)*AC80)</f>
        <v/>
      </c>
      <c r="AM80" s="5">
        <f>AD$1*((-0.000002)*AD80^3+0.00032*AD80^2+(-0.0021)*AD80)+AE$1*((-0.000002)*AE80^3+0.00032*AE80^2+(-0.0021)*AE80)+AF$1*((-0.000002)*AF80^3+0.00032*AF80^2+(-0.0021)*AF80)+AG$1*((-0.000002)*AG80^3+0.00032*AG80^2+(-0.0021)*AG80)</f>
        <v/>
      </c>
    </row>
    <row r="81" ht="15" customHeight="1" s="27" thickBot="1">
      <c r="A81" s="5">
        <f>(AI81*AI$3+AJ81*AJ$3+AK81*AK$3+AL81*AL$3+AM81*AM$3)*100/(AI$5*AI$3+AJ$5*AJ$3+AK$5*AK$3+AL$5*AL$3+AM$5*AM$3)</f>
        <v/>
      </c>
      <c r="B81" s="16" t="n">
        <v>145</v>
      </c>
      <c r="C81" s="10" t="inlineStr">
        <is>
          <t>Scheffer, Jimmy</t>
        </is>
      </c>
      <c r="D81" s="17" t="inlineStr">
        <is>
          <t>P</t>
        </is>
      </c>
      <c r="E81" s="17" t="inlineStr">
        <is>
          <t>L</t>
        </is>
      </c>
      <c r="F81" s="17" t="inlineStr">
        <is>
          <t>L</t>
        </is>
      </c>
      <c r="G81" s="17" t="n">
        <v>21</v>
      </c>
      <c r="H81" s="17" t="n">
        <v>46</v>
      </c>
      <c r="I81" s="17" t="n">
        <v>0</v>
      </c>
      <c r="J81" s="17" t="n">
        <v>41</v>
      </c>
      <c r="K81" s="17" t="n">
        <v>43</v>
      </c>
      <c r="L81" s="17" t="n">
        <v>19</v>
      </c>
      <c r="M81" s="17" t="n">
        <v>13</v>
      </c>
      <c r="N81" s="17" t="n">
        <v>49</v>
      </c>
      <c r="O81" s="17" t="n">
        <v>79</v>
      </c>
      <c r="P81" s="17" t="n">
        <v>58</v>
      </c>
      <c r="Q81" s="16" t="n">
        <v>145</v>
      </c>
      <c r="R81" s="10" t="inlineStr">
        <is>
          <t>Scheffer, Jimmy</t>
        </is>
      </c>
      <c r="S81" s="17" t="inlineStr">
        <is>
          <t>P</t>
        </is>
      </c>
      <c r="T81" s="17" t="inlineStr">
        <is>
          <t>L</t>
        </is>
      </c>
      <c r="U81" s="17" t="inlineStr">
        <is>
          <t>L</t>
        </is>
      </c>
      <c r="V81" s="17" t="n">
        <v>21</v>
      </c>
      <c r="W81" s="17" t="n">
        <v>0</v>
      </c>
      <c r="X81" s="17" t="n">
        <v>65</v>
      </c>
      <c r="Y81" s="17" t="n">
        <v>100</v>
      </c>
      <c r="Z81" s="17" t="n">
        <v>100</v>
      </c>
      <c r="AA81" s="17" t="n">
        <v>0</v>
      </c>
      <c r="AB81" s="17" t="n">
        <v>64</v>
      </c>
      <c r="AC81" s="17" t="n">
        <v>59</v>
      </c>
      <c r="AD81" s="17" t="n">
        <v>25</v>
      </c>
      <c r="AE81" s="17" t="n">
        <v>89</v>
      </c>
      <c r="AF81" s="17" t="n">
        <v>33</v>
      </c>
      <c r="AG81" s="17" t="n">
        <v>66</v>
      </c>
      <c r="AH81" s="17" t="n">
        <v>58</v>
      </c>
      <c r="AI81" s="5">
        <f>H$1*((-0.000002)*H81^3+0.00032*H81^2+(-0.0021)*H81)+I$1*((-0.000002)*I81^3+0.00032*I81^2+(-0.0021)*I81)+J$1*((-0.000002)*J81^3+0.00032*J81^2+(-0.0021)*J81)+K$1*((-0.000002)*K81^3+0.00032*K81^2+(-0.0021)*K81)+L$1*((-0.000002)*L81^3+0.00032*L81^2+(-0.0021)*L81)</f>
        <v/>
      </c>
      <c r="AJ81" s="5">
        <f>M$1*((-0.000002)*M81^3+0.00032*M81^2+(-0.0021)*M81)+N$1*((-0.000002)*N81^3+0.00032*N81^2+(-0.0021)*N81)+O$1*((-0.000002)*O81^3+0.00032*O81^2+(-0.0021)*O81)</f>
        <v/>
      </c>
      <c r="AK81" s="5">
        <f>IF(AA81&lt;50,W$1*((-0.000002)*W81^3+0.00032*W81^2+(-0.0021)*W81)+X$1*((-0.000002)*X81^3+0.00032*X81^2+(-0.0021)*X81)+Y$1*((-0.000002)*Y81^3+0.00032*Y81^2+(-0.0021)*Y81)+Z$1*((-0.000002)*Z81^3+0.00032*Z81^2+(-0.0021)*Z81),X$2*((-0.000002)*X81^3+0.00032*X81^2+(-0.0021)*X81)+Y$2*((-0.000002)*Y81^3+0.00032*Y81^2+(-0.0021)*Y81)+Z$2*((-0.000002)*Z81^3+0.00032*Z81^2+(-0.0021)*Z81)+AA$2*((-0.000002)*AA81^3+0.00032*AA81^2+(-0.0021)*AA81))</f>
        <v/>
      </c>
      <c r="AL81" s="5">
        <f>AB$1*((-0.000002)*AB81^3+0.00032*AB81^2+(-0.0021)*AB81)+AC$1*((-0.000002)*AC81^3+0.00032*AC81^2+(-0.0021)*AC81)</f>
        <v/>
      </c>
      <c r="AM81" s="5">
        <f>AD$1*((-0.000002)*AD81^3+0.00032*AD81^2+(-0.0021)*AD81)+AE$1*((-0.000002)*AE81^3+0.00032*AE81^2+(-0.0021)*AE81)+AF$1*((-0.000002)*AF81^3+0.00032*AF81^2+(-0.0021)*AF81)+AG$1*((-0.000002)*AG81^3+0.00032*AG81^2+(-0.0021)*AG81)</f>
        <v/>
      </c>
    </row>
    <row r="82" ht="15" customHeight="1" s="27" thickBot="1">
      <c r="A82" s="5">
        <f>(AI82*AI$3+AJ82*AJ$3+AK82*AK$3+AL82*AL$3+AM82*AM$3)*100/(AI$5*AI$3+AJ$5*AJ$3+AK$5*AK$3+AL$5*AL$3+AM$5*AM$3)</f>
        <v/>
      </c>
      <c r="B82" s="18" t="n">
        <v>124</v>
      </c>
      <c r="C82" s="11" t="inlineStr">
        <is>
          <t>Jenkins, Chaz</t>
        </is>
      </c>
      <c r="D82" s="19" t="inlineStr">
        <is>
          <t>2B</t>
        </is>
      </c>
      <c r="E82" s="19" t="inlineStr">
        <is>
          <t>L</t>
        </is>
      </c>
      <c r="F82" s="19" t="inlineStr">
        <is>
          <t>R</t>
        </is>
      </c>
      <c r="G82" s="19" t="n">
        <v>18</v>
      </c>
      <c r="H82" s="19" t="n">
        <v>29</v>
      </c>
      <c r="I82" s="19" t="n">
        <v>9</v>
      </c>
      <c r="J82" s="19" t="n">
        <v>21</v>
      </c>
      <c r="K82" s="19" t="n">
        <v>15</v>
      </c>
      <c r="L82" s="19" t="n">
        <v>37</v>
      </c>
      <c r="M82" s="19" t="n">
        <v>62</v>
      </c>
      <c r="N82" s="19" t="n">
        <v>86</v>
      </c>
      <c r="O82" s="19" t="n">
        <v>73</v>
      </c>
      <c r="P82" s="19" t="n">
        <v>46</v>
      </c>
      <c r="Q82" s="18" t="n">
        <v>124</v>
      </c>
      <c r="R82" s="11" t="inlineStr">
        <is>
          <t>Jenkins, Chaz</t>
        </is>
      </c>
      <c r="S82" s="19" t="inlineStr">
        <is>
          <t>2B</t>
        </is>
      </c>
      <c r="T82" s="19" t="inlineStr">
        <is>
          <t>L</t>
        </is>
      </c>
      <c r="U82" s="19" t="inlineStr">
        <is>
          <t>R</t>
        </is>
      </c>
      <c r="V82" s="19" t="n">
        <v>18</v>
      </c>
      <c r="W82" s="19" t="n">
        <v>73</v>
      </c>
      <c r="X82" s="19" t="n">
        <v>65</v>
      </c>
      <c r="Y82" s="19" t="n">
        <v>53</v>
      </c>
      <c r="Z82" s="19" t="n">
        <v>59</v>
      </c>
      <c r="AA82" s="19" t="n">
        <v>21</v>
      </c>
      <c r="AB82" s="19" t="n">
        <v>86</v>
      </c>
      <c r="AC82" s="19" t="n">
        <v>40</v>
      </c>
      <c r="AD82" s="19" t="n">
        <v>47</v>
      </c>
      <c r="AE82" s="19" t="n">
        <v>75</v>
      </c>
      <c r="AF82" s="19" t="n">
        <v>21</v>
      </c>
      <c r="AG82" s="19" t="n">
        <v>84</v>
      </c>
      <c r="AH82" s="19" t="n">
        <v>46</v>
      </c>
      <c r="AI82" s="5">
        <f>H$1*((-0.000002)*H82^3+0.00032*H82^2+(-0.0021)*H82)+I$1*((-0.000002)*I82^3+0.00032*I82^2+(-0.0021)*I82)+J$1*((-0.000002)*J82^3+0.00032*J82^2+(-0.0021)*J82)+K$1*((-0.000002)*K82^3+0.00032*K82^2+(-0.0021)*K82)+L$1*((-0.000002)*L82^3+0.00032*L82^2+(-0.0021)*L82)</f>
        <v/>
      </c>
      <c r="AJ82" s="5">
        <f>M$1*((-0.000002)*M82^3+0.00032*M82^2+(-0.0021)*M82)+N$1*((-0.000002)*N82^3+0.00032*N82^2+(-0.0021)*N82)+O$1*((-0.000002)*O82^3+0.00032*O82^2+(-0.0021)*O82)</f>
        <v/>
      </c>
      <c r="AK82" s="5">
        <f>IF(AA82&lt;50,W$1*((-0.000002)*W82^3+0.00032*W82^2+(-0.0021)*W82)+X$1*((-0.000002)*X82^3+0.00032*X82^2+(-0.0021)*X82)+Y$1*((-0.000002)*Y82^3+0.00032*Y82^2+(-0.0021)*Y82)+Z$1*((-0.000002)*Z82^3+0.00032*Z82^2+(-0.0021)*Z82),X$2*((-0.000002)*X82^3+0.00032*X82^2+(-0.0021)*X82)+Y$2*((-0.000002)*Y82^3+0.00032*Y82^2+(-0.0021)*Y82)+Z$2*((-0.000002)*Z82^3+0.00032*Z82^2+(-0.0021)*Z82)+AA$2*((-0.000002)*AA82^3+0.00032*AA82^2+(-0.0021)*AA82))</f>
        <v/>
      </c>
      <c r="AL82" s="5">
        <f>AB$1*((-0.000002)*AB82^3+0.00032*AB82^2+(-0.0021)*AB82)+AC$1*((-0.000002)*AC82^3+0.00032*AC82^2+(-0.0021)*AC82)</f>
        <v/>
      </c>
      <c r="AM82" s="5">
        <f>AD$1*((-0.000002)*AD82^3+0.00032*AD82^2+(-0.0021)*AD82)+AE$1*((-0.000002)*AE82^3+0.00032*AE82^2+(-0.0021)*AE82)+AF$1*((-0.000002)*AF82^3+0.00032*AF82^2+(-0.0021)*AF82)+AG$1*((-0.000002)*AG82^3+0.00032*AG82^2+(-0.0021)*AG82)</f>
        <v/>
      </c>
    </row>
    <row r="83" ht="15" customHeight="1" s="27" thickBot="1">
      <c r="A83" s="5">
        <f>(AI83*AI$3+AJ83*AJ$3+AK83*AK$3+AL83*AL$3+AM83*AM$3)*100/(AI$5*AI$3+AJ$5*AJ$3+AK$5*AK$3+AL$5*AL$3+AM$5*AM$3)</f>
        <v/>
      </c>
      <c r="B83" s="16" t="n">
        <v>175</v>
      </c>
      <c r="C83" s="10" t="inlineStr">
        <is>
          <t>Young, Kevin</t>
        </is>
      </c>
      <c r="D83" s="17" t="inlineStr">
        <is>
          <t>RF</t>
        </is>
      </c>
      <c r="E83" s="17" t="inlineStr">
        <is>
          <t>L</t>
        </is>
      </c>
      <c r="F83" s="17" t="inlineStr">
        <is>
          <t>R</t>
        </is>
      </c>
      <c r="G83" s="17" t="n">
        <v>22</v>
      </c>
      <c r="H83" s="17" t="n">
        <v>14</v>
      </c>
      <c r="I83" s="17" t="n">
        <v>0</v>
      </c>
      <c r="J83" s="17" t="n">
        <v>39</v>
      </c>
      <c r="K83" s="17" t="n">
        <v>0</v>
      </c>
      <c r="L83" s="17" t="n">
        <v>23</v>
      </c>
      <c r="M83" s="17" t="n">
        <v>64</v>
      </c>
      <c r="N83" s="17" t="n">
        <v>69</v>
      </c>
      <c r="O83" s="17" t="n">
        <v>24</v>
      </c>
      <c r="P83" s="17" t="n">
        <v>44</v>
      </c>
      <c r="Q83" s="16" t="n">
        <v>175</v>
      </c>
      <c r="R83" s="10" t="inlineStr">
        <is>
          <t>Young, Kevin</t>
        </is>
      </c>
      <c r="S83" s="17" t="inlineStr">
        <is>
          <t>RF</t>
        </is>
      </c>
      <c r="T83" s="17" t="inlineStr">
        <is>
          <t>L</t>
        </is>
      </c>
      <c r="U83" s="17" t="inlineStr">
        <is>
          <t>R</t>
        </is>
      </c>
      <c r="V83" s="17" t="n">
        <v>22</v>
      </c>
      <c r="W83" s="17" t="n">
        <v>97</v>
      </c>
      <c r="X83" s="17" t="n">
        <v>54</v>
      </c>
      <c r="Y83" s="17" t="n">
        <v>78</v>
      </c>
      <c r="Z83" s="17" t="n">
        <v>60</v>
      </c>
      <c r="AA83" s="17" t="n">
        <v>0</v>
      </c>
      <c r="AB83" s="17" t="n">
        <v>100</v>
      </c>
      <c r="AC83" s="17" t="n">
        <v>53</v>
      </c>
      <c r="AD83" s="17" t="n">
        <v>61</v>
      </c>
      <c r="AE83" s="17" t="n">
        <v>49</v>
      </c>
      <c r="AF83" s="17" t="n">
        <v>27</v>
      </c>
      <c r="AG83" s="17" t="n">
        <v>53</v>
      </c>
      <c r="AH83" s="17" t="n">
        <v>44</v>
      </c>
      <c r="AI83" s="5">
        <f>H$1*((-0.000002)*H83^3+0.00032*H83^2+(-0.0021)*H83)+I$1*((-0.000002)*I83^3+0.00032*I83^2+(-0.0021)*I83)+J$1*((-0.000002)*J83^3+0.00032*J83^2+(-0.0021)*J83)+K$1*((-0.000002)*K83^3+0.00032*K83^2+(-0.0021)*K83)+L$1*((-0.000002)*L83^3+0.00032*L83^2+(-0.0021)*L83)</f>
        <v/>
      </c>
      <c r="AJ83" s="5">
        <f>M$1*((-0.000002)*M83^3+0.00032*M83^2+(-0.0021)*M83)+N$1*((-0.000002)*N83^3+0.00032*N83^2+(-0.0021)*N83)+O$1*((-0.000002)*O83^3+0.00032*O83^2+(-0.0021)*O83)</f>
        <v/>
      </c>
      <c r="AK83" s="5">
        <f>IF(AA83&lt;50,W$1*((-0.000002)*W83^3+0.00032*W83^2+(-0.0021)*W83)+X$1*((-0.000002)*X83^3+0.00032*X83^2+(-0.0021)*X83)+Y$1*((-0.000002)*Y83^3+0.00032*Y83^2+(-0.0021)*Y83)+Z$1*((-0.000002)*Z83^3+0.00032*Z83^2+(-0.0021)*Z83),X$2*((-0.000002)*X83^3+0.00032*X83^2+(-0.0021)*X83)+Y$2*((-0.000002)*Y83^3+0.00032*Y83^2+(-0.0021)*Y83)+Z$2*((-0.000002)*Z83^3+0.00032*Z83^2+(-0.0021)*Z83)+AA$2*((-0.000002)*AA83^3+0.00032*AA83^2+(-0.0021)*AA83))</f>
        <v/>
      </c>
      <c r="AL83" s="5">
        <f>AB$1*((-0.000002)*AB83^3+0.00032*AB83^2+(-0.0021)*AB83)+AC$1*((-0.000002)*AC83^3+0.00032*AC83^2+(-0.0021)*AC83)</f>
        <v/>
      </c>
      <c r="AM83" s="5">
        <f>AD$1*((-0.000002)*AD83^3+0.00032*AD83^2+(-0.0021)*AD83)+AE$1*((-0.000002)*AE83^3+0.00032*AE83^2+(-0.0021)*AE83)+AF$1*((-0.000002)*AF83^3+0.00032*AF83^2+(-0.0021)*AF83)+AG$1*((-0.000002)*AG83^3+0.00032*AG83^2+(-0.0021)*AG83)</f>
        <v/>
      </c>
    </row>
    <row r="84" ht="15" customHeight="1" s="27" thickBot="1">
      <c r="A84" s="5">
        <f>(AI84*AI$3+AJ84*AJ$3+AK84*AK$3+AL84*AL$3+AM84*AM$3)*100/(AI$5*AI$3+AJ$5*AJ$3+AK$5*AK$3+AL$5*AL$3+AM$5*AM$3)</f>
        <v/>
      </c>
      <c r="B84" s="16" t="n">
        <v>129</v>
      </c>
      <c r="C84" s="10" t="inlineStr">
        <is>
          <t>Delcarmen, Richie</t>
        </is>
      </c>
      <c r="D84" s="17" t="inlineStr">
        <is>
          <t>RF</t>
        </is>
      </c>
      <c r="E84" s="17" t="inlineStr">
        <is>
          <t>R</t>
        </is>
      </c>
      <c r="F84" s="17" t="inlineStr">
        <is>
          <t>R</t>
        </is>
      </c>
      <c r="G84" s="17" t="n">
        <v>18</v>
      </c>
      <c r="H84" s="17" t="n">
        <v>30</v>
      </c>
      <c r="I84" s="17" t="n">
        <v>9</v>
      </c>
      <c r="J84" s="17" t="n">
        <v>18</v>
      </c>
      <c r="K84" s="17" t="n">
        <v>13</v>
      </c>
      <c r="L84" s="17" t="n">
        <v>36</v>
      </c>
      <c r="M84" s="17" t="n">
        <v>65</v>
      </c>
      <c r="N84" s="17" t="n">
        <v>54</v>
      </c>
      <c r="O84" s="17" t="n">
        <v>45</v>
      </c>
      <c r="P84" s="17" t="n">
        <v>45</v>
      </c>
      <c r="Q84" s="16" t="n">
        <v>129</v>
      </c>
      <c r="R84" s="10" t="inlineStr">
        <is>
          <t>Delcarmen, Richie</t>
        </is>
      </c>
      <c r="S84" s="17" t="inlineStr">
        <is>
          <t>RF</t>
        </is>
      </c>
      <c r="T84" s="17" t="inlineStr">
        <is>
          <t>R</t>
        </is>
      </c>
      <c r="U84" s="17" t="inlineStr">
        <is>
          <t>R</t>
        </is>
      </c>
      <c r="V84" s="17" t="n">
        <v>18</v>
      </c>
      <c r="W84" s="17" t="n">
        <v>61</v>
      </c>
      <c r="X84" s="17" t="n">
        <v>53</v>
      </c>
      <c r="Y84" s="17" t="n">
        <v>64</v>
      </c>
      <c r="Z84" s="17" t="n">
        <v>71</v>
      </c>
      <c r="AA84" s="17" t="n">
        <v>4</v>
      </c>
      <c r="AB84" s="17" t="n">
        <v>84</v>
      </c>
      <c r="AC84" s="17" t="n">
        <v>89</v>
      </c>
      <c r="AD84" s="17" t="n">
        <v>49</v>
      </c>
      <c r="AE84" s="17" t="n">
        <v>85</v>
      </c>
      <c r="AF84" s="17" t="n">
        <v>44</v>
      </c>
      <c r="AG84" s="17" t="n">
        <v>29</v>
      </c>
      <c r="AH84" s="17" t="n">
        <v>45</v>
      </c>
      <c r="AI84" s="5">
        <f>H$1*((-0.000002)*H84^3+0.00032*H84^2+(-0.0021)*H84)+I$1*((-0.000002)*I84^3+0.00032*I84^2+(-0.0021)*I84)+J$1*((-0.000002)*J84^3+0.00032*J84^2+(-0.0021)*J84)+K$1*((-0.000002)*K84^3+0.00032*K84^2+(-0.0021)*K84)+L$1*((-0.000002)*L84^3+0.00032*L84^2+(-0.0021)*L84)</f>
        <v/>
      </c>
      <c r="AJ84" s="5">
        <f>M$1*((-0.000002)*M84^3+0.00032*M84^2+(-0.0021)*M84)+N$1*((-0.000002)*N84^3+0.00032*N84^2+(-0.0021)*N84)+O$1*((-0.000002)*O84^3+0.00032*O84^2+(-0.0021)*O84)</f>
        <v/>
      </c>
      <c r="AK84" s="5">
        <f>IF(AA84&lt;50,W$1*((-0.000002)*W84^3+0.00032*W84^2+(-0.0021)*W84)+X$1*((-0.000002)*X84^3+0.00032*X84^2+(-0.0021)*X84)+Y$1*((-0.000002)*Y84^3+0.00032*Y84^2+(-0.0021)*Y84)+Z$1*((-0.000002)*Z84^3+0.00032*Z84^2+(-0.0021)*Z84),X$2*((-0.000002)*X84^3+0.00032*X84^2+(-0.0021)*X84)+Y$2*((-0.000002)*Y84^3+0.00032*Y84^2+(-0.0021)*Y84)+Z$2*((-0.000002)*Z84^3+0.00032*Z84^2+(-0.0021)*Z84)+AA$2*((-0.000002)*AA84^3+0.00032*AA84^2+(-0.0021)*AA84))</f>
        <v/>
      </c>
      <c r="AL84" s="5">
        <f>AB$1*((-0.000002)*AB84^3+0.00032*AB84^2+(-0.0021)*AB84)+AC$1*((-0.000002)*AC84^3+0.00032*AC84^2+(-0.0021)*AC84)</f>
        <v/>
      </c>
      <c r="AM84" s="5">
        <f>AD$1*((-0.000002)*AD84^3+0.00032*AD84^2+(-0.0021)*AD84)+AE$1*((-0.000002)*AE84^3+0.00032*AE84^2+(-0.0021)*AE84)+AF$1*((-0.000002)*AF84^3+0.00032*AF84^2+(-0.0021)*AF84)+AG$1*((-0.000002)*AG84^3+0.00032*AG84^2+(-0.0021)*AG84)</f>
        <v/>
      </c>
    </row>
    <row r="85" ht="15" customHeight="1" s="27" thickBot="1">
      <c r="A85" s="5">
        <f>(AI85*AI$3+AJ85*AJ$3+AK85*AK$3+AL85*AL$3+AM85*AM$3)*100/(AI$5*AI$3+AJ$5*AJ$3+AK$5*AK$3+AL$5*AL$3+AM$5*AM$3)</f>
        <v/>
      </c>
      <c r="B85" s="18" t="n">
        <v>104</v>
      </c>
      <c r="C85" s="11" t="inlineStr">
        <is>
          <t>Brandt, Vin</t>
        </is>
      </c>
      <c r="D85" s="19" t="inlineStr">
        <is>
          <t>2B</t>
        </is>
      </c>
      <c r="E85" s="19" t="inlineStr">
        <is>
          <t>R</t>
        </is>
      </c>
      <c r="F85" s="19" t="inlineStr">
        <is>
          <t>R</t>
        </is>
      </c>
      <c r="G85" s="19" t="n">
        <v>18</v>
      </c>
      <c r="H85" s="19" t="n">
        <v>30</v>
      </c>
      <c r="I85" s="19" t="n">
        <v>10</v>
      </c>
      <c r="J85" s="19" t="n">
        <v>16</v>
      </c>
      <c r="K85" s="19" t="n">
        <v>44</v>
      </c>
      <c r="L85" s="19" t="n">
        <v>24</v>
      </c>
      <c r="M85" s="19" t="n">
        <v>79</v>
      </c>
      <c r="N85" s="19" t="n">
        <v>82</v>
      </c>
      <c r="O85" s="19" t="n">
        <v>60</v>
      </c>
      <c r="P85" s="19" t="n">
        <v>50</v>
      </c>
      <c r="Q85" s="18" t="n">
        <v>104</v>
      </c>
      <c r="R85" s="11" t="inlineStr">
        <is>
          <t>Brandt, Vin</t>
        </is>
      </c>
      <c r="S85" s="19" t="inlineStr">
        <is>
          <t>2B</t>
        </is>
      </c>
      <c r="T85" s="19" t="inlineStr">
        <is>
          <t>R</t>
        </is>
      </c>
      <c r="U85" s="19" t="inlineStr">
        <is>
          <t>R</t>
        </is>
      </c>
      <c r="V85" s="19" t="n">
        <v>18</v>
      </c>
      <c r="W85" s="19" t="n">
        <v>68</v>
      </c>
      <c r="X85" s="19" t="n">
        <v>64</v>
      </c>
      <c r="Y85" s="19" t="n">
        <v>49</v>
      </c>
      <c r="Z85" s="19" t="n">
        <v>56</v>
      </c>
      <c r="AA85" s="19" t="n">
        <v>16</v>
      </c>
      <c r="AB85" s="19" t="n">
        <v>83</v>
      </c>
      <c r="AC85" s="19" t="n">
        <v>61</v>
      </c>
      <c r="AD85" s="19" t="n">
        <v>87</v>
      </c>
      <c r="AE85" s="19" t="n">
        <v>56</v>
      </c>
      <c r="AF85" s="19" t="n">
        <v>26</v>
      </c>
      <c r="AG85" s="19" t="n">
        <v>69</v>
      </c>
      <c r="AH85" s="19" t="n">
        <v>50</v>
      </c>
      <c r="AI85" s="5">
        <f>H$1*((-0.000002)*H85^3+0.00032*H85^2+(-0.0021)*H85)+I$1*((-0.000002)*I85^3+0.00032*I85^2+(-0.0021)*I85)+J$1*((-0.000002)*J85^3+0.00032*J85^2+(-0.0021)*J85)+K$1*((-0.000002)*K85^3+0.00032*K85^2+(-0.0021)*K85)+L$1*((-0.000002)*L85^3+0.00032*L85^2+(-0.0021)*L85)</f>
        <v/>
      </c>
      <c r="AJ85" s="5">
        <f>M$1*((-0.000002)*M85^3+0.00032*M85^2+(-0.0021)*M85)+N$1*((-0.000002)*N85^3+0.00032*N85^2+(-0.0021)*N85)+O$1*((-0.000002)*O85^3+0.00032*O85^2+(-0.0021)*O85)</f>
        <v/>
      </c>
      <c r="AK85" s="5">
        <f>IF(AA85&lt;50,W$1*((-0.000002)*W85^3+0.00032*W85^2+(-0.0021)*W85)+X$1*((-0.000002)*X85^3+0.00032*X85^2+(-0.0021)*X85)+Y$1*((-0.000002)*Y85^3+0.00032*Y85^2+(-0.0021)*Y85)+Z$1*((-0.000002)*Z85^3+0.00032*Z85^2+(-0.0021)*Z85),X$2*((-0.000002)*X85^3+0.00032*X85^2+(-0.0021)*X85)+Y$2*((-0.000002)*Y85^3+0.00032*Y85^2+(-0.0021)*Y85)+Z$2*((-0.000002)*Z85^3+0.00032*Z85^2+(-0.0021)*Z85)+AA$2*((-0.000002)*AA85^3+0.00032*AA85^2+(-0.0021)*AA85))</f>
        <v/>
      </c>
      <c r="AL85" s="5">
        <f>AB$1*((-0.000002)*AB85^3+0.00032*AB85^2+(-0.0021)*AB85)+AC$1*((-0.000002)*AC85^3+0.00032*AC85^2+(-0.0021)*AC85)</f>
        <v/>
      </c>
      <c r="AM85" s="5">
        <f>AD$1*((-0.000002)*AD85^3+0.00032*AD85^2+(-0.0021)*AD85)+AE$1*((-0.000002)*AE85^3+0.00032*AE85^2+(-0.0021)*AE85)+AF$1*((-0.000002)*AF85^3+0.00032*AF85^2+(-0.0021)*AF85)+AG$1*((-0.000002)*AG85^3+0.00032*AG85^2+(-0.0021)*AG85)</f>
        <v/>
      </c>
    </row>
    <row r="86" ht="15" customHeight="1" s="27" thickBot="1">
      <c r="A86" s="5">
        <f>(AI86*AI$3+AJ86*AJ$3+AK86*AK$3+AL86*AL$3+AM86*AM$3)*100/(AI$5*AI$3+AJ$5*AJ$3+AK$5*AK$3+AL$5*AL$3+AM$5*AM$3)</f>
        <v/>
      </c>
      <c r="B86" s="18" t="n">
        <v>140</v>
      </c>
      <c r="C86" s="11" t="inlineStr">
        <is>
          <t>Henry, Chipper</t>
        </is>
      </c>
      <c r="D86" s="19" t="inlineStr">
        <is>
          <t>RF</t>
        </is>
      </c>
      <c r="E86" s="19" t="inlineStr">
        <is>
          <t>R</t>
        </is>
      </c>
      <c r="F86" s="19" t="inlineStr">
        <is>
          <t>R</t>
        </is>
      </c>
      <c r="G86" s="19" t="n">
        <v>18</v>
      </c>
      <c r="H86" s="19" t="n">
        <v>21</v>
      </c>
      <c r="I86" s="19" t="n">
        <v>22</v>
      </c>
      <c r="J86" s="19" t="n">
        <v>38</v>
      </c>
      <c r="K86" s="19" t="n">
        <v>19</v>
      </c>
      <c r="L86" s="19" t="n">
        <v>34</v>
      </c>
      <c r="M86" s="19" t="n">
        <v>49</v>
      </c>
      <c r="N86" s="19" t="n">
        <v>61</v>
      </c>
      <c r="O86" s="19" t="n">
        <v>68</v>
      </c>
      <c r="P86" s="19" t="n">
        <v>44</v>
      </c>
      <c r="Q86" s="18" t="n">
        <v>140</v>
      </c>
      <c r="R86" s="11" t="inlineStr">
        <is>
          <t>Henry, Chipper</t>
        </is>
      </c>
      <c r="S86" s="19" t="inlineStr">
        <is>
          <t>RF</t>
        </is>
      </c>
      <c r="T86" s="19" t="inlineStr">
        <is>
          <t>R</t>
        </is>
      </c>
      <c r="U86" s="19" t="inlineStr">
        <is>
          <t>R</t>
        </is>
      </c>
      <c r="V86" s="19" t="n">
        <v>18</v>
      </c>
      <c r="W86" s="19" t="n">
        <v>62</v>
      </c>
      <c r="X86" s="19" t="n">
        <v>49</v>
      </c>
      <c r="Y86" s="19" t="n">
        <v>66</v>
      </c>
      <c r="Z86" s="19" t="n">
        <v>54</v>
      </c>
      <c r="AA86" s="19" t="n">
        <v>8</v>
      </c>
      <c r="AB86" s="19" t="n">
        <v>79</v>
      </c>
      <c r="AC86" s="19" t="n">
        <v>73</v>
      </c>
      <c r="AD86" s="19" t="n">
        <v>47</v>
      </c>
      <c r="AE86" s="19" t="n">
        <v>79</v>
      </c>
      <c r="AF86" s="19" t="n">
        <v>66</v>
      </c>
      <c r="AG86" s="19" t="n">
        <v>47</v>
      </c>
      <c r="AH86" s="19" t="n">
        <v>44</v>
      </c>
      <c r="AI86" s="5">
        <f>H$1*((-0.000002)*H86^3+0.00032*H86^2+(-0.0021)*H86)+I$1*((-0.000002)*I86^3+0.00032*I86^2+(-0.0021)*I86)+J$1*((-0.000002)*J86^3+0.00032*J86^2+(-0.0021)*J86)+K$1*((-0.000002)*K86^3+0.00032*K86^2+(-0.0021)*K86)+L$1*((-0.000002)*L86^3+0.00032*L86^2+(-0.0021)*L86)</f>
        <v/>
      </c>
      <c r="AJ86" s="5">
        <f>M$1*((-0.000002)*M86^3+0.00032*M86^2+(-0.0021)*M86)+N$1*((-0.000002)*N86^3+0.00032*N86^2+(-0.0021)*N86)+O$1*((-0.000002)*O86^3+0.00032*O86^2+(-0.0021)*O86)</f>
        <v/>
      </c>
      <c r="AK86" s="5">
        <f>IF(AA86&lt;50,W$1*((-0.000002)*W86^3+0.00032*W86^2+(-0.0021)*W86)+X$1*((-0.000002)*X86^3+0.00032*X86^2+(-0.0021)*X86)+Y$1*((-0.000002)*Y86^3+0.00032*Y86^2+(-0.0021)*Y86)+Z$1*((-0.000002)*Z86^3+0.00032*Z86^2+(-0.0021)*Z86),X$2*((-0.000002)*X86^3+0.00032*X86^2+(-0.0021)*X86)+Y$2*((-0.000002)*Y86^3+0.00032*Y86^2+(-0.0021)*Y86)+Z$2*((-0.000002)*Z86^3+0.00032*Z86^2+(-0.0021)*Z86)+AA$2*((-0.000002)*AA86^3+0.00032*AA86^2+(-0.0021)*AA86))</f>
        <v/>
      </c>
      <c r="AL86" s="5">
        <f>AB$1*((-0.000002)*AB86^3+0.00032*AB86^2+(-0.0021)*AB86)+AC$1*((-0.000002)*AC86^3+0.00032*AC86^2+(-0.0021)*AC86)</f>
        <v/>
      </c>
      <c r="AM86" s="5">
        <f>AD$1*((-0.000002)*AD86^3+0.00032*AD86^2+(-0.0021)*AD86)+AE$1*((-0.000002)*AE86^3+0.00032*AE86^2+(-0.0021)*AE86)+AF$1*((-0.000002)*AF86^3+0.00032*AF86^2+(-0.0021)*AF86)+AG$1*((-0.000002)*AG86^3+0.00032*AG86^2+(-0.0021)*AG86)</f>
        <v/>
      </c>
    </row>
    <row r="87" ht="15" customHeight="1" s="27" thickBot="1">
      <c r="A87" s="5">
        <f>(AI87*AI$3+AJ87*AJ$3+AK87*AK$3+AL87*AL$3+AM87*AM$3)*100/(AI$5*AI$3+AJ$5*AJ$3+AK$5*AK$3+AL$5*AL$3+AM$5*AM$3)</f>
        <v/>
      </c>
      <c r="B87" s="18" t="n">
        <v>180</v>
      </c>
      <c r="C87" s="11" t="inlineStr">
        <is>
          <t>Bolick, Christopher</t>
        </is>
      </c>
      <c r="D87" s="19" t="inlineStr">
        <is>
          <t>1B</t>
        </is>
      </c>
      <c r="E87" s="19" t="inlineStr">
        <is>
          <t>R</t>
        </is>
      </c>
      <c r="F87" s="19" t="inlineStr">
        <is>
          <t>R</t>
        </is>
      </c>
      <c r="G87" s="19" t="n">
        <v>21</v>
      </c>
      <c r="H87" s="19" t="n">
        <v>0</v>
      </c>
      <c r="I87" s="19" t="n">
        <v>49</v>
      </c>
      <c r="J87" s="19" t="n">
        <v>6</v>
      </c>
      <c r="K87" s="19" t="n">
        <v>1</v>
      </c>
      <c r="L87" s="19" t="n">
        <v>19</v>
      </c>
      <c r="M87" s="19" t="n">
        <v>28</v>
      </c>
      <c r="N87" s="19" t="n">
        <v>8</v>
      </c>
      <c r="O87" s="19" t="n">
        <v>34</v>
      </c>
      <c r="P87" s="19" t="n">
        <v>39</v>
      </c>
      <c r="Q87" s="18" t="n">
        <v>180</v>
      </c>
      <c r="R87" s="11" t="inlineStr">
        <is>
          <t>Bolick, Christopher</t>
        </is>
      </c>
      <c r="S87" s="19" t="inlineStr">
        <is>
          <t>1B</t>
        </is>
      </c>
      <c r="T87" s="19" t="inlineStr">
        <is>
          <t>R</t>
        </is>
      </c>
      <c r="U87" s="19" t="inlineStr">
        <is>
          <t>R</t>
        </is>
      </c>
      <c r="V87" s="19" t="n">
        <v>21</v>
      </c>
      <c r="W87" s="19" t="n">
        <v>45</v>
      </c>
      <c r="X87" s="19" t="n">
        <v>80</v>
      </c>
      <c r="Y87" s="19" t="n">
        <v>78</v>
      </c>
      <c r="Z87" s="19" t="n">
        <v>35</v>
      </c>
      <c r="AA87" s="19" t="n">
        <v>41</v>
      </c>
      <c r="AB87" s="19" t="n">
        <v>88</v>
      </c>
      <c r="AC87" s="19" t="n">
        <v>94</v>
      </c>
      <c r="AD87" s="19" t="n">
        <v>11</v>
      </c>
      <c r="AE87" s="19" t="n">
        <v>79</v>
      </c>
      <c r="AF87" s="19" t="n">
        <v>68</v>
      </c>
      <c r="AG87" s="19" t="n">
        <v>51</v>
      </c>
      <c r="AH87" s="19" t="n">
        <v>39</v>
      </c>
      <c r="AI87" s="5">
        <f>H$1*((-0.000002)*H87^3+0.00032*H87^2+(-0.0021)*H87)+I$1*((-0.000002)*I87^3+0.00032*I87^2+(-0.0021)*I87)+J$1*((-0.000002)*J87^3+0.00032*J87^2+(-0.0021)*J87)+K$1*((-0.000002)*K87^3+0.00032*K87^2+(-0.0021)*K87)+L$1*((-0.000002)*L87^3+0.00032*L87^2+(-0.0021)*L87)</f>
        <v/>
      </c>
      <c r="AJ87" s="5">
        <f>M$1*((-0.000002)*M87^3+0.00032*M87^2+(-0.0021)*M87)+N$1*((-0.000002)*N87^3+0.00032*N87^2+(-0.0021)*N87)+O$1*((-0.000002)*O87^3+0.00032*O87^2+(-0.0021)*O87)</f>
        <v/>
      </c>
      <c r="AK87" s="5">
        <f>IF(AA87&lt;50,W$1*((-0.000002)*W87^3+0.00032*W87^2+(-0.0021)*W87)+X$1*((-0.000002)*X87^3+0.00032*X87^2+(-0.0021)*X87)+Y$1*((-0.000002)*Y87^3+0.00032*Y87^2+(-0.0021)*Y87)+Z$1*((-0.000002)*Z87^3+0.00032*Z87^2+(-0.0021)*Z87),X$2*((-0.000002)*X87^3+0.00032*X87^2+(-0.0021)*X87)+Y$2*((-0.000002)*Y87^3+0.00032*Y87^2+(-0.0021)*Y87)+Z$2*((-0.000002)*Z87^3+0.00032*Z87^2+(-0.0021)*Z87)+AA$2*((-0.000002)*AA87^3+0.00032*AA87^2+(-0.0021)*AA87))</f>
        <v/>
      </c>
      <c r="AL87" s="5">
        <f>AB$1*((-0.000002)*AB87^3+0.00032*AB87^2+(-0.0021)*AB87)+AC$1*((-0.000002)*AC87^3+0.00032*AC87^2+(-0.0021)*AC87)</f>
        <v/>
      </c>
      <c r="AM87" s="5">
        <f>AD$1*((-0.000002)*AD87^3+0.00032*AD87^2+(-0.0021)*AD87)+AE$1*((-0.000002)*AE87^3+0.00032*AE87^2+(-0.0021)*AE87)+AF$1*((-0.000002)*AF87^3+0.00032*AF87^2+(-0.0021)*AF87)+AG$1*((-0.000002)*AG87^3+0.00032*AG87^2+(-0.0021)*AG87)</f>
        <v/>
      </c>
    </row>
    <row r="88" ht="15" customHeight="1" s="27" thickBot="1">
      <c r="A88" s="5">
        <f>(AI88*AI$3+AJ88*AJ$3+AK88*AK$3+AL88*AL$3+AM88*AM$3)*100/(AI$5*AI$3+AJ$5*AJ$3+AK$5*AK$3+AL$5*AL$3+AM$5*AM$3)</f>
        <v/>
      </c>
      <c r="B88" s="16" t="n">
        <v>139</v>
      </c>
      <c r="C88" s="10" t="inlineStr">
        <is>
          <t>Relaford, Tex</t>
        </is>
      </c>
      <c r="D88" s="17" t="inlineStr">
        <is>
          <t>2B</t>
        </is>
      </c>
      <c r="E88" s="17" t="inlineStr">
        <is>
          <t>R</t>
        </is>
      </c>
      <c r="F88" s="17" t="inlineStr">
        <is>
          <t>R</t>
        </is>
      </c>
      <c r="G88" s="17" t="n">
        <v>18</v>
      </c>
      <c r="H88" s="17" t="n">
        <v>28</v>
      </c>
      <c r="I88" s="17" t="n">
        <v>8</v>
      </c>
      <c r="J88" s="17" t="n">
        <v>14</v>
      </c>
      <c r="K88" s="17" t="n">
        <v>19</v>
      </c>
      <c r="L88" s="17" t="n">
        <v>27</v>
      </c>
      <c r="M88" s="17" t="n">
        <v>40</v>
      </c>
      <c r="N88" s="17" t="n">
        <v>76</v>
      </c>
      <c r="O88" s="17" t="n">
        <v>49</v>
      </c>
      <c r="P88" s="17" t="n">
        <v>44</v>
      </c>
      <c r="Q88" s="16" t="n">
        <v>139</v>
      </c>
      <c r="R88" s="10" t="inlineStr">
        <is>
          <t>Relaford, Tex</t>
        </is>
      </c>
      <c r="S88" s="17" t="inlineStr">
        <is>
          <t>2B</t>
        </is>
      </c>
      <c r="T88" s="17" t="inlineStr">
        <is>
          <t>R</t>
        </is>
      </c>
      <c r="U88" s="17" t="inlineStr">
        <is>
          <t>R</t>
        </is>
      </c>
      <c r="V88" s="17" t="n">
        <v>18</v>
      </c>
      <c r="W88" s="17" t="n">
        <v>77</v>
      </c>
      <c r="X88" s="17" t="n">
        <v>64</v>
      </c>
      <c r="Y88" s="17" t="n">
        <v>53</v>
      </c>
      <c r="Z88" s="17" t="n">
        <v>69</v>
      </c>
      <c r="AA88" s="17" t="n">
        <v>28</v>
      </c>
      <c r="AB88" s="17" t="n">
        <v>76</v>
      </c>
      <c r="AC88" s="17" t="n">
        <v>82</v>
      </c>
      <c r="AD88" s="17" t="n">
        <v>58</v>
      </c>
      <c r="AE88" s="17" t="n">
        <v>58</v>
      </c>
      <c r="AF88" s="17" t="n">
        <v>36</v>
      </c>
      <c r="AG88" s="17" t="n">
        <v>54</v>
      </c>
      <c r="AH88" s="17" t="n">
        <v>44</v>
      </c>
      <c r="AI88" s="5">
        <f>H$1*((-0.000002)*H88^3+0.00032*H88^2+(-0.0021)*H88)+I$1*((-0.000002)*I88^3+0.00032*I88^2+(-0.0021)*I88)+J$1*((-0.000002)*J88^3+0.00032*J88^2+(-0.0021)*J88)+K$1*((-0.000002)*K88^3+0.00032*K88^2+(-0.0021)*K88)+L$1*((-0.000002)*L88^3+0.00032*L88^2+(-0.0021)*L88)</f>
        <v/>
      </c>
      <c r="AJ88" s="5">
        <f>M$1*((-0.000002)*M88^3+0.00032*M88^2+(-0.0021)*M88)+N$1*((-0.000002)*N88^3+0.00032*N88^2+(-0.0021)*N88)+O$1*((-0.000002)*O88^3+0.00032*O88^2+(-0.0021)*O88)</f>
        <v/>
      </c>
      <c r="AK88" s="5">
        <f>IF(AA88&lt;50,W$1*((-0.000002)*W88^3+0.00032*W88^2+(-0.0021)*W88)+X$1*((-0.000002)*X88^3+0.00032*X88^2+(-0.0021)*X88)+Y$1*((-0.000002)*Y88^3+0.00032*Y88^2+(-0.0021)*Y88)+Z$1*((-0.000002)*Z88^3+0.00032*Z88^2+(-0.0021)*Z88),X$2*((-0.000002)*X88^3+0.00032*X88^2+(-0.0021)*X88)+Y$2*((-0.000002)*Y88^3+0.00032*Y88^2+(-0.0021)*Y88)+Z$2*((-0.000002)*Z88^3+0.00032*Z88^2+(-0.0021)*Z88)+AA$2*((-0.000002)*AA88^3+0.00032*AA88^2+(-0.0021)*AA88))</f>
        <v/>
      </c>
      <c r="AL88" s="5">
        <f>AB$1*((-0.000002)*AB88^3+0.00032*AB88^2+(-0.0021)*AB88)+AC$1*((-0.000002)*AC88^3+0.00032*AC88^2+(-0.0021)*AC88)</f>
        <v/>
      </c>
      <c r="AM88" s="5">
        <f>AD$1*((-0.000002)*AD88^3+0.00032*AD88^2+(-0.0021)*AD88)+AE$1*((-0.000002)*AE88^3+0.00032*AE88^2+(-0.0021)*AE88)+AF$1*((-0.000002)*AF88^3+0.00032*AF88^2+(-0.0021)*AF88)+AG$1*((-0.000002)*AG88^3+0.00032*AG88^2+(-0.0021)*AG88)</f>
        <v/>
      </c>
    </row>
    <row r="89" ht="15" customHeight="1" s="27" thickBot="1">
      <c r="A89" s="5">
        <f>(AI89*AI$3+AJ89*AJ$3+AK89*AK$3+AL89*AL$3+AM89*AM$3)*100/(AI$5*AI$3+AJ$5*AJ$3+AK$5*AK$3+AL$5*AL$3+AM$5*AM$3)</f>
        <v/>
      </c>
      <c r="B89" s="18" t="n">
        <v>186</v>
      </c>
      <c r="C89" s="11" t="inlineStr">
        <is>
          <t>Alexander, Levi</t>
        </is>
      </c>
      <c r="D89" s="19" t="inlineStr">
        <is>
          <t>DH</t>
        </is>
      </c>
      <c r="E89" s="19" t="inlineStr">
        <is>
          <t>R</t>
        </is>
      </c>
      <c r="F89" s="19" t="inlineStr">
        <is>
          <t>R</t>
        </is>
      </c>
      <c r="G89" s="19" t="n">
        <v>18</v>
      </c>
      <c r="H89" s="19" t="n">
        <v>41</v>
      </c>
      <c r="I89" s="19" t="n">
        <v>38</v>
      </c>
      <c r="J89" s="19" t="n">
        <v>30</v>
      </c>
      <c r="K89" s="19" t="n">
        <v>11</v>
      </c>
      <c r="L89" s="19" t="n">
        <v>41</v>
      </c>
      <c r="M89" s="19" t="n">
        <v>47</v>
      </c>
      <c r="N89" s="19" t="n">
        <v>1</v>
      </c>
      <c r="O89" s="19" t="n">
        <v>36</v>
      </c>
      <c r="P89" s="19" t="n">
        <v>47</v>
      </c>
      <c r="Q89" s="18" t="n">
        <v>186</v>
      </c>
      <c r="R89" s="11" t="inlineStr">
        <is>
          <t>Alexander, Levi</t>
        </is>
      </c>
      <c r="S89" s="19" t="inlineStr">
        <is>
          <t>DH</t>
        </is>
      </c>
      <c r="T89" s="19" t="inlineStr">
        <is>
          <t>R</t>
        </is>
      </c>
      <c r="U89" s="19" t="inlineStr">
        <is>
          <t>R</t>
        </is>
      </c>
      <c r="V89" s="19" t="n">
        <v>18</v>
      </c>
      <c r="W89" s="19" t="n">
        <v>2</v>
      </c>
      <c r="X89" s="19" t="n">
        <v>19</v>
      </c>
      <c r="Y89" s="19" t="n">
        <v>60</v>
      </c>
      <c r="Z89" s="19" t="n">
        <v>62</v>
      </c>
      <c r="AA89" s="19" t="n">
        <v>44</v>
      </c>
      <c r="AB89" s="19" t="n">
        <v>81</v>
      </c>
      <c r="AC89" s="19" t="n">
        <v>84</v>
      </c>
      <c r="AD89" s="19" t="n">
        <v>55</v>
      </c>
      <c r="AE89" s="19" t="n">
        <v>48</v>
      </c>
      <c r="AF89" s="19" t="n">
        <v>37</v>
      </c>
      <c r="AG89" s="19" t="n">
        <v>69</v>
      </c>
      <c r="AH89" s="19" t="n">
        <v>47</v>
      </c>
      <c r="AI89" s="5">
        <f>H$1*((-0.000002)*H89^3+0.00032*H89^2+(-0.0021)*H89)+I$1*((-0.000002)*I89^3+0.00032*I89^2+(-0.0021)*I89)+J$1*((-0.000002)*J89^3+0.00032*J89^2+(-0.0021)*J89)+K$1*((-0.000002)*K89^3+0.00032*K89^2+(-0.0021)*K89)+L$1*((-0.000002)*L89^3+0.00032*L89^2+(-0.0021)*L89)</f>
        <v/>
      </c>
      <c r="AJ89" s="5">
        <f>M$1*((-0.000002)*M89^3+0.00032*M89^2+(-0.0021)*M89)+N$1*((-0.000002)*N89^3+0.00032*N89^2+(-0.0021)*N89)+O$1*((-0.000002)*O89^3+0.00032*O89^2+(-0.0021)*O89)</f>
        <v/>
      </c>
      <c r="AK89" s="5">
        <f>IF(AA89&lt;50,W$1*((-0.000002)*W89^3+0.00032*W89^2+(-0.0021)*W89)+X$1*((-0.000002)*X89^3+0.00032*X89^2+(-0.0021)*X89)+Y$1*((-0.000002)*Y89^3+0.00032*Y89^2+(-0.0021)*Y89)+Z$1*((-0.000002)*Z89^3+0.00032*Z89^2+(-0.0021)*Z89),X$2*((-0.000002)*X89^3+0.00032*X89^2+(-0.0021)*X89)+Y$2*((-0.000002)*Y89^3+0.00032*Y89^2+(-0.0021)*Y89)+Z$2*((-0.000002)*Z89^3+0.00032*Z89^2+(-0.0021)*Z89)+AA$2*((-0.000002)*AA89^3+0.00032*AA89^2+(-0.0021)*AA89))</f>
        <v/>
      </c>
      <c r="AL89" s="5">
        <f>AB$1*((-0.000002)*AB89^3+0.00032*AB89^2+(-0.0021)*AB89)+AC$1*((-0.000002)*AC89^3+0.00032*AC89^2+(-0.0021)*AC89)</f>
        <v/>
      </c>
      <c r="AM89" s="5">
        <f>AD$1*((-0.000002)*AD89^3+0.00032*AD89^2+(-0.0021)*AD89)+AE$1*((-0.000002)*AE89^3+0.00032*AE89^2+(-0.0021)*AE89)+AF$1*((-0.000002)*AF89^3+0.00032*AF89^2+(-0.0021)*AF89)+AG$1*((-0.000002)*AG89^3+0.00032*AG89^2+(-0.0021)*AG89)</f>
        <v/>
      </c>
    </row>
    <row r="90" ht="15" customHeight="1" s="27" thickBot="1">
      <c r="A90" s="5">
        <f>(AI90*AI$3+AJ90*AJ$3+AK90*AK$3+AL90*AL$3+AM90*AM$3)*100/(AI$5*AI$3+AJ$5*AJ$3+AK$5*AK$3+AL$5*AL$3+AM$5*AM$3)</f>
        <v/>
      </c>
      <c r="B90" s="16" t="n">
        <v>109</v>
      </c>
      <c r="C90" s="10" t="inlineStr">
        <is>
          <t>Constanza, Brian</t>
        </is>
      </c>
      <c r="D90" s="17" t="inlineStr">
        <is>
          <t>LF</t>
        </is>
      </c>
      <c r="E90" s="17" t="inlineStr">
        <is>
          <t>R</t>
        </is>
      </c>
      <c r="F90" s="17" t="inlineStr">
        <is>
          <t>R</t>
        </is>
      </c>
      <c r="G90" s="17" t="n">
        <v>18</v>
      </c>
      <c r="H90" s="17" t="n">
        <v>28</v>
      </c>
      <c r="I90" s="17" t="n">
        <v>20</v>
      </c>
      <c r="J90" s="17" t="n">
        <v>20</v>
      </c>
      <c r="K90" s="17" t="n">
        <v>14</v>
      </c>
      <c r="L90" s="17" t="n">
        <v>26</v>
      </c>
      <c r="M90" s="17" t="n">
        <v>75</v>
      </c>
      <c r="N90" s="17" t="n">
        <v>81</v>
      </c>
      <c r="O90" s="17" t="n">
        <v>27</v>
      </c>
      <c r="P90" s="17" t="n">
        <v>49</v>
      </c>
      <c r="Q90" s="16" t="n">
        <v>109</v>
      </c>
      <c r="R90" s="10" t="inlineStr">
        <is>
          <t>Constanza, Brian</t>
        </is>
      </c>
      <c r="S90" s="17" t="inlineStr">
        <is>
          <t>LF</t>
        </is>
      </c>
      <c r="T90" s="17" t="inlineStr">
        <is>
          <t>R</t>
        </is>
      </c>
      <c r="U90" s="17" t="inlineStr">
        <is>
          <t>R</t>
        </is>
      </c>
      <c r="V90" s="17" t="n">
        <v>18</v>
      </c>
      <c r="W90" s="17" t="n">
        <v>74</v>
      </c>
      <c r="X90" s="17" t="n">
        <v>60</v>
      </c>
      <c r="Y90" s="17" t="n">
        <v>42</v>
      </c>
      <c r="Z90" s="17" t="n">
        <v>55</v>
      </c>
      <c r="AA90" s="17" t="n">
        <v>20</v>
      </c>
      <c r="AB90" s="17" t="n">
        <v>81</v>
      </c>
      <c r="AC90" s="17" t="n">
        <v>92</v>
      </c>
      <c r="AD90" s="17" t="n">
        <v>75</v>
      </c>
      <c r="AE90" s="17" t="n">
        <v>58</v>
      </c>
      <c r="AF90" s="17" t="n">
        <v>64</v>
      </c>
      <c r="AG90" s="17" t="n">
        <v>85</v>
      </c>
      <c r="AH90" s="17" t="n">
        <v>49</v>
      </c>
      <c r="AI90" s="5">
        <f>H$1*((-0.000002)*H90^3+0.00032*H90^2+(-0.0021)*H90)+I$1*((-0.000002)*I90^3+0.00032*I90^2+(-0.0021)*I90)+J$1*((-0.000002)*J90^3+0.00032*J90^2+(-0.0021)*J90)+K$1*((-0.000002)*K90^3+0.00032*K90^2+(-0.0021)*K90)+L$1*((-0.000002)*L90^3+0.00032*L90^2+(-0.0021)*L90)</f>
        <v/>
      </c>
      <c r="AJ90" s="5">
        <f>M$1*((-0.000002)*M90^3+0.00032*M90^2+(-0.0021)*M90)+N$1*((-0.000002)*N90^3+0.00032*N90^2+(-0.0021)*N90)+O$1*((-0.000002)*O90^3+0.00032*O90^2+(-0.0021)*O90)</f>
        <v/>
      </c>
      <c r="AK90" s="5">
        <f>IF(AA90&lt;50,W$1*((-0.000002)*W90^3+0.00032*W90^2+(-0.0021)*W90)+X$1*((-0.000002)*X90^3+0.00032*X90^2+(-0.0021)*X90)+Y$1*((-0.000002)*Y90^3+0.00032*Y90^2+(-0.0021)*Y90)+Z$1*((-0.000002)*Z90^3+0.00032*Z90^2+(-0.0021)*Z90),X$2*((-0.000002)*X90^3+0.00032*X90^2+(-0.0021)*X90)+Y$2*((-0.000002)*Y90^3+0.00032*Y90^2+(-0.0021)*Y90)+Z$2*((-0.000002)*Z90^3+0.00032*Z90^2+(-0.0021)*Z90)+AA$2*((-0.000002)*AA90^3+0.00032*AA90^2+(-0.0021)*AA90))</f>
        <v/>
      </c>
      <c r="AL90" s="5">
        <f>AB$1*((-0.000002)*AB90^3+0.00032*AB90^2+(-0.0021)*AB90)+AC$1*((-0.000002)*AC90^3+0.00032*AC90^2+(-0.0021)*AC90)</f>
        <v/>
      </c>
      <c r="AM90" s="5">
        <f>AD$1*((-0.000002)*AD90^3+0.00032*AD90^2+(-0.0021)*AD90)+AE$1*((-0.000002)*AE90^3+0.00032*AE90^2+(-0.0021)*AE90)+AF$1*((-0.000002)*AF90^3+0.00032*AF90^2+(-0.0021)*AF90)+AG$1*((-0.000002)*AG90^3+0.00032*AG90^2+(-0.0021)*AG90)</f>
        <v/>
      </c>
    </row>
    <row r="91" ht="15" customHeight="1" s="27" thickBot="1">
      <c r="A91" s="5">
        <f>(AI91*AI$3+AJ91*AJ$3+AK91*AK$3+AL91*AL$3+AM91*AM$3)*100/(AI$5*AI$3+AJ$5*AJ$3+AK$5*AK$3+AL$5*AL$3+AM$5*AM$3)</f>
        <v/>
      </c>
      <c r="B91" s="18" t="n">
        <v>198</v>
      </c>
      <c r="C91" s="11" t="inlineStr">
        <is>
          <t>Ayala, R.J.</t>
        </is>
      </c>
      <c r="D91" s="19" t="inlineStr">
        <is>
          <t>DH</t>
        </is>
      </c>
      <c r="E91" s="19" t="inlineStr">
        <is>
          <t>R</t>
        </is>
      </c>
      <c r="F91" s="19" t="inlineStr">
        <is>
          <t>R</t>
        </is>
      </c>
      <c r="G91" s="19" t="n">
        <v>21</v>
      </c>
      <c r="H91" s="19" t="n">
        <v>20</v>
      </c>
      <c r="I91" s="19" t="n">
        <v>4</v>
      </c>
      <c r="J91" s="19" t="n">
        <v>18</v>
      </c>
      <c r="K91" s="19" t="n">
        <v>49</v>
      </c>
      <c r="L91" s="19" t="n">
        <v>46</v>
      </c>
      <c r="M91" s="19" t="n">
        <v>94</v>
      </c>
      <c r="N91" s="19" t="n">
        <v>33</v>
      </c>
      <c r="O91" s="19" t="n">
        <v>47</v>
      </c>
      <c r="P91" s="19" t="n">
        <v>45</v>
      </c>
      <c r="Q91" s="18" t="n">
        <v>198</v>
      </c>
      <c r="R91" s="11" t="inlineStr">
        <is>
          <t>Ayala, R.J.</t>
        </is>
      </c>
      <c r="S91" s="19" t="inlineStr">
        <is>
          <t>DH</t>
        </is>
      </c>
      <c r="T91" s="19" t="inlineStr">
        <is>
          <t>R</t>
        </is>
      </c>
      <c r="U91" s="19" t="inlineStr">
        <is>
          <t>R</t>
        </is>
      </c>
      <c r="V91" s="19" t="n">
        <v>21</v>
      </c>
      <c r="W91" s="19" t="n">
        <v>73</v>
      </c>
      <c r="X91" s="19" t="n">
        <v>39</v>
      </c>
      <c r="Y91" s="19" t="n">
        <v>29</v>
      </c>
      <c r="Z91" s="19" t="n">
        <v>32</v>
      </c>
      <c r="AA91" s="19" t="n">
        <v>2</v>
      </c>
      <c r="AB91" s="19" t="n">
        <v>83</v>
      </c>
      <c r="AC91" s="19" t="n">
        <v>46</v>
      </c>
      <c r="AD91" s="19" t="n">
        <v>73</v>
      </c>
      <c r="AE91" s="19" t="n">
        <v>52</v>
      </c>
      <c r="AF91" s="19" t="n">
        <v>0</v>
      </c>
      <c r="AG91" s="19" t="n">
        <v>51</v>
      </c>
      <c r="AH91" s="19" t="n">
        <v>45</v>
      </c>
      <c r="AI91" s="5">
        <f>H$1*((-0.000002)*H91^3+0.00032*H91^2+(-0.0021)*H91)+I$1*((-0.000002)*I91^3+0.00032*I91^2+(-0.0021)*I91)+J$1*((-0.000002)*J91^3+0.00032*J91^2+(-0.0021)*J91)+K$1*((-0.000002)*K91^3+0.00032*K91^2+(-0.0021)*K91)+L$1*((-0.000002)*L91^3+0.00032*L91^2+(-0.0021)*L91)</f>
        <v/>
      </c>
      <c r="AJ91" s="5">
        <f>M$1*((-0.000002)*M91^3+0.00032*M91^2+(-0.0021)*M91)+N$1*((-0.000002)*N91^3+0.00032*N91^2+(-0.0021)*N91)+O$1*((-0.000002)*O91^3+0.00032*O91^2+(-0.0021)*O91)</f>
        <v/>
      </c>
      <c r="AK91" s="5">
        <f>IF(AA91&lt;50,W$1*((-0.000002)*W91^3+0.00032*W91^2+(-0.0021)*W91)+X$1*((-0.000002)*X91^3+0.00032*X91^2+(-0.0021)*X91)+Y$1*((-0.000002)*Y91^3+0.00032*Y91^2+(-0.0021)*Y91)+Z$1*((-0.000002)*Z91^3+0.00032*Z91^2+(-0.0021)*Z91),X$2*((-0.000002)*X91^3+0.00032*X91^2+(-0.0021)*X91)+Y$2*((-0.000002)*Y91^3+0.00032*Y91^2+(-0.0021)*Y91)+Z$2*((-0.000002)*Z91^3+0.00032*Z91^2+(-0.0021)*Z91)+AA$2*((-0.000002)*AA91^3+0.00032*AA91^2+(-0.0021)*AA91))</f>
        <v/>
      </c>
      <c r="AL91" s="5">
        <f>AB$1*((-0.000002)*AB91^3+0.00032*AB91^2+(-0.0021)*AB91)+AC$1*((-0.000002)*AC91^3+0.00032*AC91^2+(-0.0021)*AC91)</f>
        <v/>
      </c>
      <c r="AM91" s="5">
        <f>AD$1*((-0.000002)*AD91^3+0.00032*AD91^2+(-0.0021)*AD91)+AE$1*((-0.000002)*AE91^3+0.00032*AE91^2+(-0.0021)*AE91)+AF$1*((-0.000002)*AF91^3+0.00032*AF91^2+(-0.0021)*AF91)+AG$1*((-0.000002)*AG91^3+0.00032*AG91^2+(-0.0021)*AG91)</f>
        <v/>
      </c>
    </row>
    <row r="92" ht="15" customHeight="1" s="27" thickBot="1">
      <c r="A92" s="5">
        <f>(AI92*AI$3+AJ92*AJ$3+AK92*AK$3+AL92*AL$3+AM92*AM$3)*100/(AI$5*AI$3+AJ$5*AJ$3+AK$5*AK$3+AL$5*AL$3+AM$5*AM$3)</f>
        <v/>
      </c>
      <c r="B92" s="18" t="n">
        <v>150</v>
      </c>
      <c r="C92" s="11" t="inlineStr">
        <is>
          <t>Rhodes, Chadd</t>
        </is>
      </c>
      <c r="D92" s="19" t="inlineStr">
        <is>
          <t>LF</t>
        </is>
      </c>
      <c r="E92" s="19" t="inlineStr">
        <is>
          <t>R</t>
        </is>
      </c>
      <c r="F92" s="19" t="inlineStr">
        <is>
          <t>R</t>
        </is>
      </c>
      <c r="G92" s="19" t="n">
        <v>18</v>
      </c>
      <c r="H92" s="19" t="n">
        <v>8</v>
      </c>
      <c r="I92" s="19" t="n">
        <v>43</v>
      </c>
      <c r="J92" s="19" t="n">
        <v>35</v>
      </c>
      <c r="K92" s="19" t="n">
        <v>14</v>
      </c>
      <c r="L92" s="19" t="n">
        <v>24</v>
      </c>
      <c r="M92" s="19" t="n">
        <v>22</v>
      </c>
      <c r="N92" s="19" t="n">
        <v>5</v>
      </c>
      <c r="O92" s="19" t="n">
        <v>34</v>
      </c>
      <c r="P92" s="19" t="n">
        <v>42</v>
      </c>
      <c r="Q92" s="18" t="n">
        <v>150</v>
      </c>
      <c r="R92" s="11" t="inlineStr">
        <is>
          <t>Rhodes, Chadd</t>
        </is>
      </c>
      <c r="S92" s="19" t="inlineStr">
        <is>
          <t>LF</t>
        </is>
      </c>
      <c r="T92" s="19" t="inlineStr">
        <is>
          <t>R</t>
        </is>
      </c>
      <c r="U92" s="19" t="inlineStr">
        <is>
          <t>R</t>
        </is>
      </c>
      <c r="V92" s="19" t="n">
        <v>18</v>
      </c>
      <c r="W92" s="19" t="n">
        <v>51</v>
      </c>
      <c r="X92" s="19" t="n">
        <v>51</v>
      </c>
      <c r="Y92" s="19" t="n">
        <v>54</v>
      </c>
      <c r="Z92" s="19" t="n">
        <v>52</v>
      </c>
      <c r="AA92" s="19" t="n">
        <v>11</v>
      </c>
      <c r="AB92" s="19" t="n">
        <v>92</v>
      </c>
      <c r="AC92" s="19" t="n">
        <v>79</v>
      </c>
      <c r="AD92" s="19" t="n">
        <v>34</v>
      </c>
      <c r="AE92" s="19" t="n">
        <v>64</v>
      </c>
      <c r="AF92" s="19" t="n">
        <v>52</v>
      </c>
      <c r="AG92" s="19" t="n">
        <v>59</v>
      </c>
      <c r="AH92" s="19" t="n">
        <v>42</v>
      </c>
      <c r="AI92" s="5">
        <f>H$1*((-0.000002)*H92^3+0.00032*H92^2+(-0.0021)*H92)+I$1*((-0.000002)*I92^3+0.00032*I92^2+(-0.0021)*I92)+J$1*((-0.000002)*J92^3+0.00032*J92^2+(-0.0021)*J92)+K$1*((-0.000002)*K92^3+0.00032*K92^2+(-0.0021)*K92)+L$1*((-0.000002)*L92^3+0.00032*L92^2+(-0.0021)*L92)</f>
        <v/>
      </c>
      <c r="AJ92" s="5">
        <f>M$1*((-0.000002)*M92^3+0.00032*M92^2+(-0.0021)*M92)+N$1*((-0.000002)*N92^3+0.00032*N92^2+(-0.0021)*N92)+O$1*((-0.000002)*O92^3+0.00032*O92^2+(-0.0021)*O92)</f>
        <v/>
      </c>
      <c r="AK92" s="5">
        <f>IF(AA92&lt;50,W$1*((-0.000002)*W92^3+0.00032*W92^2+(-0.0021)*W92)+X$1*((-0.000002)*X92^3+0.00032*X92^2+(-0.0021)*X92)+Y$1*((-0.000002)*Y92^3+0.00032*Y92^2+(-0.0021)*Y92)+Z$1*((-0.000002)*Z92^3+0.00032*Z92^2+(-0.0021)*Z92),X$2*((-0.000002)*X92^3+0.00032*X92^2+(-0.0021)*X92)+Y$2*((-0.000002)*Y92^3+0.00032*Y92^2+(-0.0021)*Y92)+Z$2*((-0.000002)*Z92^3+0.00032*Z92^2+(-0.0021)*Z92)+AA$2*((-0.000002)*AA92^3+0.00032*AA92^2+(-0.0021)*AA92))</f>
        <v/>
      </c>
      <c r="AL92" s="5">
        <f>AB$1*((-0.000002)*AB92^3+0.00032*AB92^2+(-0.0021)*AB92)+AC$1*((-0.000002)*AC92^3+0.00032*AC92^2+(-0.0021)*AC92)</f>
        <v/>
      </c>
      <c r="AM92" s="5">
        <f>AD$1*((-0.000002)*AD92^3+0.00032*AD92^2+(-0.0021)*AD92)+AE$1*((-0.000002)*AE92^3+0.00032*AE92^2+(-0.0021)*AE92)+AF$1*((-0.000002)*AF92^3+0.00032*AF92^2+(-0.0021)*AF92)+AG$1*((-0.000002)*AG92^3+0.00032*AG92^2+(-0.0021)*AG92)</f>
        <v/>
      </c>
    </row>
    <row r="93" ht="15" customHeight="1" s="27" thickBot="1">
      <c r="A93" s="5">
        <f>(AI93*AI$3+AJ93*AJ$3+AK93*AK$3+AL93*AL$3+AM93*AM$3)*100/(AI$5*AI$3+AJ$5*AJ$3+AK$5*AK$3+AL$5*AL$3+AM$5*AM$3)</f>
        <v/>
      </c>
      <c r="B93" s="18" t="n">
        <v>192</v>
      </c>
      <c r="C93" s="11" t="inlineStr">
        <is>
          <t>Castillo, Juan</t>
        </is>
      </c>
      <c r="D93" s="19" t="inlineStr">
        <is>
          <t>DH</t>
        </is>
      </c>
      <c r="E93" s="19" t="inlineStr">
        <is>
          <t>R</t>
        </is>
      </c>
      <c r="F93" s="19" t="inlineStr">
        <is>
          <t>R</t>
        </is>
      </c>
      <c r="G93" s="19" t="n">
        <v>18</v>
      </c>
      <c r="H93" s="19" t="n">
        <v>34</v>
      </c>
      <c r="I93" s="19" t="n">
        <v>39</v>
      </c>
      <c r="J93" s="19" t="n">
        <v>35</v>
      </c>
      <c r="K93" s="19" t="n">
        <v>25</v>
      </c>
      <c r="L93" s="19" t="n">
        <v>46</v>
      </c>
      <c r="M93" s="19" t="n">
        <v>55</v>
      </c>
      <c r="N93" s="19" t="n">
        <v>61</v>
      </c>
      <c r="O93" s="19" t="n">
        <v>78</v>
      </c>
      <c r="P93" s="19" t="n">
        <v>50</v>
      </c>
      <c r="Q93" s="18" t="n">
        <v>192</v>
      </c>
      <c r="R93" s="11" t="inlineStr">
        <is>
          <t>Castillo, Juan</t>
        </is>
      </c>
      <c r="S93" s="19" t="inlineStr">
        <is>
          <t>DH</t>
        </is>
      </c>
      <c r="T93" s="19" t="inlineStr">
        <is>
          <t>R</t>
        </is>
      </c>
      <c r="U93" s="19" t="inlineStr">
        <is>
          <t>R</t>
        </is>
      </c>
      <c r="V93" s="19" t="n">
        <v>18</v>
      </c>
      <c r="W93" s="19" t="n">
        <v>36</v>
      </c>
      <c r="X93" s="19" t="n">
        <v>21</v>
      </c>
      <c r="Y93" s="19" t="n">
        <v>26</v>
      </c>
      <c r="Z93" s="19" t="n">
        <v>28</v>
      </c>
      <c r="AA93" s="19" t="n">
        <v>4</v>
      </c>
      <c r="AB93" s="19" t="n">
        <v>88</v>
      </c>
      <c r="AC93" s="19" t="n">
        <v>62</v>
      </c>
      <c r="AD93" s="19" t="n">
        <v>76</v>
      </c>
      <c r="AE93" s="19" t="n">
        <v>68</v>
      </c>
      <c r="AF93" s="19" t="n">
        <v>40</v>
      </c>
      <c r="AG93" s="19" t="n">
        <v>100</v>
      </c>
      <c r="AH93" s="19" t="n">
        <v>50</v>
      </c>
      <c r="AI93" s="5">
        <f>H$1*((-0.000002)*H93^3+0.00032*H93^2+(-0.0021)*H93)+I$1*((-0.000002)*I93^3+0.00032*I93^2+(-0.0021)*I93)+J$1*((-0.000002)*J93^3+0.00032*J93^2+(-0.0021)*J93)+K$1*((-0.000002)*K93^3+0.00032*K93^2+(-0.0021)*K93)+L$1*((-0.000002)*L93^3+0.00032*L93^2+(-0.0021)*L93)</f>
        <v/>
      </c>
      <c r="AJ93" s="5">
        <f>M$1*((-0.000002)*M93^3+0.00032*M93^2+(-0.0021)*M93)+N$1*((-0.000002)*N93^3+0.00032*N93^2+(-0.0021)*N93)+O$1*((-0.000002)*O93^3+0.00032*O93^2+(-0.0021)*O93)</f>
        <v/>
      </c>
      <c r="AK93" s="5">
        <f>IF(AA93&lt;50,W$1*((-0.000002)*W93^3+0.00032*W93^2+(-0.0021)*W93)+X$1*((-0.000002)*X93^3+0.00032*X93^2+(-0.0021)*X93)+Y$1*((-0.000002)*Y93^3+0.00032*Y93^2+(-0.0021)*Y93)+Z$1*((-0.000002)*Z93^3+0.00032*Z93^2+(-0.0021)*Z93),X$2*((-0.000002)*X93^3+0.00032*X93^2+(-0.0021)*X93)+Y$2*((-0.000002)*Y93^3+0.00032*Y93^2+(-0.0021)*Y93)+Z$2*((-0.000002)*Z93^3+0.00032*Z93^2+(-0.0021)*Z93)+AA$2*((-0.000002)*AA93^3+0.00032*AA93^2+(-0.0021)*AA93))</f>
        <v/>
      </c>
      <c r="AL93" s="5">
        <f>AB$1*((-0.000002)*AB93^3+0.00032*AB93^2+(-0.0021)*AB93)+AC$1*((-0.000002)*AC93^3+0.00032*AC93^2+(-0.0021)*AC93)</f>
        <v/>
      </c>
      <c r="AM93" s="5">
        <f>AD$1*((-0.000002)*AD93^3+0.00032*AD93^2+(-0.0021)*AD93)+AE$1*((-0.000002)*AE93^3+0.00032*AE93^2+(-0.0021)*AE93)+AF$1*((-0.000002)*AF93^3+0.00032*AF93^2+(-0.0021)*AF93)+AG$1*((-0.000002)*AG93^3+0.00032*AG93^2+(-0.0021)*AG93)</f>
        <v/>
      </c>
    </row>
    <row r="94" ht="15" customHeight="1" s="27" thickBot="1">
      <c r="A94" s="5">
        <f>(AI94*AI$3+AJ94*AJ$3+AK94*AK$3+AL94*AL$3+AM94*AM$3)*100/(AI$5*AI$3+AJ$5*AJ$3+AK$5*AK$3+AL$5*AL$3+AM$5*AM$3)</f>
        <v/>
      </c>
      <c r="B94" s="18" t="n">
        <v>142</v>
      </c>
      <c r="C94" s="11" t="inlineStr">
        <is>
          <t>Gallagher, Vance</t>
        </is>
      </c>
      <c r="D94" s="19" t="inlineStr">
        <is>
          <t>1B</t>
        </is>
      </c>
      <c r="E94" s="19" t="inlineStr">
        <is>
          <t>L</t>
        </is>
      </c>
      <c r="F94" s="19" t="inlineStr">
        <is>
          <t>L</t>
        </is>
      </c>
      <c r="G94" s="19" t="n">
        <v>18</v>
      </c>
      <c r="H94" s="19" t="n">
        <v>0</v>
      </c>
      <c r="I94" s="19" t="n">
        <v>5</v>
      </c>
      <c r="J94" s="19" t="n">
        <v>12</v>
      </c>
      <c r="K94" s="19" t="n">
        <v>21</v>
      </c>
      <c r="L94" s="19" t="n">
        <v>42</v>
      </c>
      <c r="M94" s="19" t="n">
        <v>61</v>
      </c>
      <c r="N94" s="19" t="n">
        <v>82</v>
      </c>
      <c r="O94" s="19" t="n">
        <v>34</v>
      </c>
      <c r="P94" s="19" t="n">
        <v>44</v>
      </c>
      <c r="Q94" s="18" t="n">
        <v>142</v>
      </c>
      <c r="R94" s="11" t="inlineStr">
        <is>
          <t>Gallagher, Vance</t>
        </is>
      </c>
      <c r="S94" s="19" t="inlineStr">
        <is>
          <t>1B</t>
        </is>
      </c>
      <c r="T94" s="19" t="inlineStr">
        <is>
          <t>L</t>
        </is>
      </c>
      <c r="U94" s="19" t="inlineStr">
        <is>
          <t>L</t>
        </is>
      </c>
      <c r="V94" s="19" t="n">
        <v>18</v>
      </c>
      <c r="W94" s="19" t="n">
        <v>68</v>
      </c>
      <c r="X94" s="19" t="n">
        <v>49</v>
      </c>
      <c r="Y94" s="19" t="n">
        <v>37</v>
      </c>
      <c r="Z94" s="19" t="n">
        <v>46</v>
      </c>
      <c r="AA94" s="19" t="n">
        <v>14</v>
      </c>
      <c r="AB94" s="19" t="n">
        <v>92</v>
      </c>
      <c r="AC94" s="19" t="n">
        <v>89</v>
      </c>
      <c r="AD94" s="19" t="n">
        <v>81</v>
      </c>
      <c r="AE94" s="19" t="n">
        <v>85</v>
      </c>
      <c r="AF94" s="19" t="n">
        <v>56</v>
      </c>
      <c r="AG94" s="19" t="n">
        <v>63</v>
      </c>
      <c r="AH94" s="19" t="n">
        <v>44</v>
      </c>
      <c r="AI94" s="5">
        <f>H$1*((-0.000002)*H94^3+0.00032*H94^2+(-0.0021)*H94)+I$1*((-0.000002)*I94^3+0.00032*I94^2+(-0.0021)*I94)+J$1*((-0.000002)*J94^3+0.00032*J94^2+(-0.0021)*J94)+K$1*((-0.000002)*K94^3+0.00032*K94^2+(-0.0021)*K94)+L$1*((-0.000002)*L94^3+0.00032*L94^2+(-0.0021)*L94)</f>
        <v/>
      </c>
      <c r="AJ94" s="5">
        <f>M$1*((-0.000002)*M94^3+0.00032*M94^2+(-0.0021)*M94)+N$1*((-0.000002)*N94^3+0.00032*N94^2+(-0.0021)*N94)+O$1*((-0.000002)*O94^3+0.00032*O94^2+(-0.0021)*O94)</f>
        <v/>
      </c>
      <c r="AK94" s="5">
        <f>IF(AA94&lt;50,W$1*((-0.000002)*W94^3+0.00032*W94^2+(-0.0021)*W94)+X$1*((-0.000002)*X94^3+0.00032*X94^2+(-0.0021)*X94)+Y$1*((-0.000002)*Y94^3+0.00032*Y94^2+(-0.0021)*Y94)+Z$1*((-0.000002)*Z94^3+0.00032*Z94^2+(-0.0021)*Z94),X$2*((-0.000002)*X94^3+0.00032*X94^2+(-0.0021)*X94)+Y$2*((-0.000002)*Y94^3+0.00032*Y94^2+(-0.0021)*Y94)+Z$2*((-0.000002)*Z94^3+0.00032*Z94^2+(-0.0021)*Z94)+AA$2*((-0.000002)*AA94^3+0.00032*AA94^2+(-0.0021)*AA94))</f>
        <v/>
      </c>
      <c r="AL94" s="5">
        <f>AB$1*((-0.000002)*AB94^3+0.00032*AB94^2+(-0.0021)*AB94)+AC$1*((-0.000002)*AC94^3+0.00032*AC94^2+(-0.0021)*AC94)</f>
        <v/>
      </c>
      <c r="AM94" s="5">
        <f>AD$1*((-0.000002)*AD94^3+0.00032*AD94^2+(-0.0021)*AD94)+AE$1*((-0.000002)*AE94^3+0.00032*AE94^2+(-0.0021)*AE94)+AF$1*((-0.000002)*AF94^3+0.00032*AF94^2+(-0.0021)*AF94)+AG$1*((-0.000002)*AG94^3+0.00032*AG94^2+(-0.0021)*AG94)</f>
        <v/>
      </c>
    </row>
    <row r="95" ht="15" customHeight="1" s="27" thickBot="1">
      <c r="A95" s="5">
        <f>(AI95*AI$3+AJ95*AJ$3+AK95*AK$3+AL95*AL$3+AM95*AM$3)*100/(AI$5*AI$3+AJ$5*AJ$3+AK$5*AK$3+AL$5*AL$3+AM$5*AM$3)</f>
        <v/>
      </c>
      <c r="B95" s="18" t="n">
        <v>144</v>
      </c>
      <c r="C95" s="11" t="inlineStr">
        <is>
          <t>Lennon, Dennis</t>
        </is>
      </c>
      <c r="D95" s="19" t="inlineStr">
        <is>
          <t>P</t>
        </is>
      </c>
      <c r="E95" s="19" t="inlineStr">
        <is>
          <t>R</t>
        </is>
      </c>
      <c r="F95" s="19" t="inlineStr">
        <is>
          <t>R</t>
        </is>
      </c>
      <c r="G95" s="19" t="n">
        <v>22</v>
      </c>
      <c r="H95" s="19" t="n">
        <v>5</v>
      </c>
      <c r="I95" s="19" t="n">
        <v>0</v>
      </c>
      <c r="J95" s="19" t="n">
        <v>52</v>
      </c>
      <c r="K95" s="19" t="n">
        <v>0</v>
      </c>
      <c r="L95" s="19" t="n">
        <v>23</v>
      </c>
      <c r="M95" s="19" t="n">
        <v>32</v>
      </c>
      <c r="N95" s="19" t="n">
        <v>50</v>
      </c>
      <c r="O95" s="19" t="n">
        <v>60</v>
      </c>
      <c r="P95" s="19" t="n">
        <v>59</v>
      </c>
      <c r="Q95" s="18" t="n">
        <v>144</v>
      </c>
      <c r="R95" s="11" t="inlineStr">
        <is>
          <t>Lennon, Dennis</t>
        </is>
      </c>
      <c r="S95" s="19" t="inlineStr">
        <is>
          <t>P</t>
        </is>
      </c>
      <c r="T95" s="19" t="inlineStr">
        <is>
          <t>R</t>
        </is>
      </c>
      <c r="U95" s="19" t="inlineStr">
        <is>
          <t>R</t>
        </is>
      </c>
      <c r="V95" s="19" t="n">
        <v>22</v>
      </c>
      <c r="W95" s="19" t="n">
        <v>56</v>
      </c>
      <c r="X95" s="19" t="n">
        <v>49</v>
      </c>
      <c r="Y95" s="19" t="n">
        <v>89</v>
      </c>
      <c r="Z95" s="19" t="n">
        <v>55</v>
      </c>
      <c r="AA95" s="19" t="n">
        <v>0</v>
      </c>
      <c r="AB95" s="19" t="n">
        <v>37</v>
      </c>
      <c r="AC95" s="19" t="n">
        <v>35</v>
      </c>
      <c r="AD95" s="19" t="n">
        <v>66</v>
      </c>
      <c r="AE95" s="19" t="n">
        <v>56</v>
      </c>
      <c r="AF95" s="19" t="n">
        <v>42</v>
      </c>
      <c r="AG95" s="19" t="n">
        <v>100</v>
      </c>
      <c r="AH95" s="19" t="n">
        <v>59</v>
      </c>
      <c r="AI95" s="5">
        <f>H$1*((-0.000002)*H95^3+0.00032*H95^2+(-0.0021)*H95)+I$1*((-0.000002)*I95^3+0.00032*I95^2+(-0.0021)*I95)+J$1*((-0.000002)*J95^3+0.00032*J95^2+(-0.0021)*J95)+K$1*((-0.000002)*K95^3+0.00032*K95^2+(-0.0021)*K95)+L$1*((-0.000002)*L95^3+0.00032*L95^2+(-0.0021)*L95)</f>
        <v/>
      </c>
      <c r="AJ95" s="5">
        <f>M$1*((-0.000002)*M95^3+0.00032*M95^2+(-0.0021)*M95)+N$1*((-0.000002)*N95^3+0.00032*N95^2+(-0.0021)*N95)+O$1*((-0.000002)*O95^3+0.00032*O95^2+(-0.0021)*O95)</f>
        <v/>
      </c>
      <c r="AK95" s="5">
        <f>IF(AA95&lt;50,W$1*((-0.000002)*W95^3+0.00032*W95^2+(-0.0021)*W95)+X$1*((-0.000002)*X95^3+0.00032*X95^2+(-0.0021)*X95)+Y$1*((-0.000002)*Y95^3+0.00032*Y95^2+(-0.0021)*Y95)+Z$1*((-0.000002)*Z95^3+0.00032*Z95^2+(-0.0021)*Z95),X$2*((-0.000002)*X95^3+0.00032*X95^2+(-0.0021)*X95)+Y$2*((-0.000002)*Y95^3+0.00032*Y95^2+(-0.0021)*Y95)+Z$2*((-0.000002)*Z95^3+0.00032*Z95^2+(-0.0021)*Z95)+AA$2*((-0.000002)*AA95^3+0.00032*AA95^2+(-0.0021)*AA95))</f>
        <v/>
      </c>
      <c r="AL95" s="5">
        <f>AB$1*((-0.000002)*AB95^3+0.00032*AB95^2+(-0.0021)*AB95)+AC$1*((-0.000002)*AC95^3+0.00032*AC95^2+(-0.0021)*AC95)</f>
        <v/>
      </c>
      <c r="AM95" s="5">
        <f>AD$1*((-0.000002)*AD95^3+0.00032*AD95^2+(-0.0021)*AD95)+AE$1*((-0.000002)*AE95^3+0.00032*AE95^2+(-0.0021)*AE95)+AF$1*((-0.000002)*AF95^3+0.00032*AF95^2+(-0.0021)*AF95)+AG$1*((-0.000002)*AG95^3+0.00032*AG95^2+(-0.0021)*AG95)</f>
        <v/>
      </c>
    </row>
    <row r="96" ht="15" customHeight="1" s="27" thickBot="1">
      <c r="A96" s="5">
        <f>(AI96*AI$3+AJ96*AJ$3+AK96*AK$3+AL96*AL$3+AM96*AM$3)*100/(AI$5*AI$3+AJ$5*AJ$3+AK$5*AK$3+AL$5*AL$3+AM$5*AM$3)</f>
        <v/>
      </c>
      <c r="B96" s="16" t="n">
        <v>147</v>
      </c>
      <c r="C96" s="10" t="inlineStr">
        <is>
          <t>Sewell, Bruce</t>
        </is>
      </c>
      <c r="D96" s="17" t="inlineStr">
        <is>
          <t>1B</t>
        </is>
      </c>
      <c r="E96" s="17" t="inlineStr">
        <is>
          <t>R</t>
        </is>
      </c>
      <c r="F96" s="17" t="inlineStr">
        <is>
          <t>R</t>
        </is>
      </c>
      <c r="G96" s="17" t="n">
        <v>18</v>
      </c>
      <c r="H96" s="17" t="n">
        <v>3</v>
      </c>
      <c r="I96" s="17" t="n">
        <v>16</v>
      </c>
      <c r="J96" s="17" t="n">
        <v>19</v>
      </c>
      <c r="K96" s="17" t="n">
        <v>10</v>
      </c>
      <c r="L96" s="17" t="n">
        <v>23</v>
      </c>
      <c r="M96" s="17" t="n">
        <v>63</v>
      </c>
      <c r="N96" s="17" t="n">
        <v>76</v>
      </c>
      <c r="O96" s="17" t="n">
        <v>56</v>
      </c>
      <c r="P96" s="17" t="n">
        <v>43</v>
      </c>
      <c r="Q96" s="16" t="n">
        <v>147</v>
      </c>
      <c r="R96" s="10" t="inlineStr">
        <is>
          <t>Sewell, Bruce</t>
        </is>
      </c>
      <c r="S96" s="17" t="inlineStr">
        <is>
          <t>1B</t>
        </is>
      </c>
      <c r="T96" s="17" t="inlineStr">
        <is>
          <t>R</t>
        </is>
      </c>
      <c r="U96" s="17" t="inlineStr">
        <is>
          <t>R</t>
        </is>
      </c>
      <c r="V96" s="17" t="n">
        <v>18</v>
      </c>
      <c r="W96" s="17" t="n">
        <v>80</v>
      </c>
      <c r="X96" s="17" t="n">
        <v>59</v>
      </c>
      <c r="Y96" s="17" t="n">
        <v>38</v>
      </c>
      <c r="Z96" s="17" t="n">
        <v>43</v>
      </c>
      <c r="AA96" s="17" t="n">
        <v>1</v>
      </c>
      <c r="AB96" s="17" t="n">
        <v>95</v>
      </c>
      <c r="AC96" s="17" t="n">
        <v>74</v>
      </c>
      <c r="AD96" s="17" t="n">
        <v>80</v>
      </c>
      <c r="AE96" s="17" t="n">
        <v>40</v>
      </c>
      <c r="AF96" s="17" t="n">
        <v>46</v>
      </c>
      <c r="AG96" s="17" t="n">
        <v>56</v>
      </c>
      <c r="AH96" s="17" t="n">
        <v>43</v>
      </c>
      <c r="AI96" s="5">
        <f>H$1*((-0.000002)*H96^3+0.00032*H96^2+(-0.0021)*H96)+I$1*((-0.000002)*I96^3+0.00032*I96^2+(-0.0021)*I96)+J$1*((-0.000002)*J96^3+0.00032*J96^2+(-0.0021)*J96)+K$1*((-0.000002)*K96^3+0.00032*K96^2+(-0.0021)*K96)+L$1*((-0.000002)*L96^3+0.00032*L96^2+(-0.0021)*L96)</f>
        <v/>
      </c>
      <c r="AJ96" s="5">
        <f>M$1*((-0.000002)*M96^3+0.00032*M96^2+(-0.0021)*M96)+N$1*((-0.000002)*N96^3+0.00032*N96^2+(-0.0021)*N96)+O$1*((-0.000002)*O96^3+0.00032*O96^2+(-0.0021)*O96)</f>
        <v/>
      </c>
      <c r="AK96" s="5">
        <f>IF(AA96&lt;50,W$1*((-0.000002)*W96^3+0.00032*W96^2+(-0.0021)*W96)+X$1*((-0.000002)*X96^3+0.00032*X96^2+(-0.0021)*X96)+Y$1*((-0.000002)*Y96^3+0.00032*Y96^2+(-0.0021)*Y96)+Z$1*((-0.000002)*Z96^3+0.00032*Z96^2+(-0.0021)*Z96),X$2*((-0.000002)*X96^3+0.00032*X96^2+(-0.0021)*X96)+Y$2*((-0.000002)*Y96^3+0.00032*Y96^2+(-0.0021)*Y96)+Z$2*((-0.000002)*Z96^3+0.00032*Z96^2+(-0.0021)*Z96)+AA$2*((-0.000002)*AA96^3+0.00032*AA96^2+(-0.0021)*AA96))</f>
        <v/>
      </c>
      <c r="AL96" s="5">
        <f>AB$1*((-0.000002)*AB96^3+0.00032*AB96^2+(-0.0021)*AB96)+AC$1*((-0.000002)*AC96^3+0.00032*AC96^2+(-0.0021)*AC96)</f>
        <v/>
      </c>
      <c r="AM96" s="5">
        <f>AD$1*((-0.000002)*AD96^3+0.00032*AD96^2+(-0.0021)*AD96)+AE$1*((-0.000002)*AE96^3+0.00032*AE96^2+(-0.0021)*AE96)+AF$1*((-0.000002)*AF96^3+0.00032*AF96^2+(-0.0021)*AF96)+AG$1*((-0.000002)*AG96^3+0.00032*AG96^2+(-0.0021)*AG96)</f>
        <v/>
      </c>
    </row>
    <row r="97" ht="15" customHeight="1" s="27" thickBot="1">
      <c r="A97" s="5">
        <f>(AI97*AI$3+AJ97*AJ$3+AK97*AK$3+AL97*AL$3+AM97*AM$3)*100/(AI$5*AI$3+AJ$5*AJ$3+AK$5*AK$3+AL$5*AL$3+AM$5*AM$3)</f>
        <v/>
      </c>
      <c r="B97" s="18" t="n">
        <v>138</v>
      </c>
      <c r="C97" s="11" t="inlineStr">
        <is>
          <t>Garko, Dustin</t>
        </is>
      </c>
      <c r="D97" s="19" t="inlineStr">
        <is>
          <t>C</t>
        </is>
      </c>
      <c r="E97" s="19" t="inlineStr">
        <is>
          <t>R</t>
        </is>
      </c>
      <c r="F97" s="19" t="inlineStr">
        <is>
          <t>R</t>
        </is>
      </c>
      <c r="G97" s="19" t="n">
        <v>18</v>
      </c>
      <c r="H97" s="19" t="n">
        <v>36</v>
      </c>
      <c r="I97" s="19" t="n">
        <v>11</v>
      </c>
      <c r="J97" s="19" t="n">
        <v>53</v>
      </c>
      <c r="K97" s="19" t="n">
        <v>38</v>
      </c>
      <c r="L97" s="19" t="n">
        <v>39</v>
      </c>
      <c r="M97" s="19" t="n">
        <v>63</v>
      </c>
      <c r="N97" s="19" t="n">
        <v>31</v>
      </c>
      <c r="O97" s="19" t="n">
        <v>40</v>
      </c>
      <c r="P97" s="19" t="n">
        <v>45</v>
      </c>
      <c r="Q97" s="18" t="n">
        <v>138</v>
      </c>
      <c r="R97" s="11" t="inlineStr">
        <is>
          <t>Garko, Dustin</t>
        </is>
      </c>
      <c r="S97" s="19" t="inlineStr">
        <is>
          <t>C</t>
        </is>
      </c>
      <c r="T97" s="19" t="inlineStr">
        <is>
          <t>R</t>
        </is>
      </c>
      <c r="U97" s="19" t="inlineStr">
        <is>
          <t>R</t>
        </is>
      </c>
      <c r="V97" s="19" t="n">
        <v>18</v>
      </c>
      <c r="W97" s="19" t="n">
        <v>11</v>
      </c>
      <c r="X97" s="19" t="n">
        <v>18</v>
      </c>
      <c r="Y97" s="19" t="n">
        <v>60</v>
      </c>
      <c r="Z97" s="19" t="n">
        <v>73</v>
      </c>
      <c r="AA97" s="19" t="n">
        <v>52</v>
      </c>
      <c r="AB97" s="19" t="n">
        <v>90</v>
      </c>
      <c r="AC97" s="19" t="n">
        <v>72</v>
      </c>
      <c r="AD97" s="19" t="n">
        <v>2</v>
      </c>
      <c r="AE97" s="19" t="n">
        <v>65</v>
      </c>
      <c r="AF97" s="19" t="n">
        <v>25</v>
      </c>
      <c r="AG97" s="19" t="n">
        <v>54</v>
      </c>
      <c r="AH97" s="19" t="n">
        <v>45</v>
      </c>
      <c r="AI97" s="5">
        <f>H$1*((-0.000002)*H97^3+0.00032*H97^2+(-0.0021)*H97)+I$1*((-0.000002)*I97^3+0.00032*I97^2+(-0.0021)*I97)+J$1*((-0.000002)*J97^3+0.00032*J97^2+(-0.0021)*J97)+K$1*((-0.000002)*K97^3+0.00032*K97^2+(-0.0021)*K97)+L$1*((-0.000002)*L97^3+0.00032*L97^2+(-0.0021)*L97)</f>
        <v/>
      </c>
      <c r="AJ97" s="5">
        <f>M$1*((-0.000002)*M97^3+0.00032*M97^2+(-0.0021)*M97)+N$1*((-0.000002)*N97^3+0.00032*N97^2+(-0.0021)*N97)+O$1*((-0.000002)*O97^3+0.00032*O97^2+(-0.0021)*O97)</f>
        <v/>
      </c>
      <c r="AK97" s="5">
        <f>IF(AA97&lt;50,W$1*((-0.000002)*W97^3+0.00032*W97^2+(-0.0021)*W97)+X$1*((-0.000002)*X97^3+0.00032*X97^2+(-0.0021)*X97)+Y$1*((-0.000002)*Y97^3+0.00032*Y97^2+(-0.0021)*Y97)+Z$1*((-0.000002)*Z97^3+0.00032*Z97^2+(-0.0021)*Z97),X$2*((-0.000002)*X97^3+0.00032*X97^2+(-0.0021)*X97)+Y$2*((-0.000002)*Y97^3+0.00032*Y97^2+(-0.0021)*Y97)+Z$2*((-0.000002)*Z97^3+0.00032*Z97^2+(-0.0021)*Z97)+AA$2*((-0.000002)*AA97^3+0.00032*AA97^2+(-0.0021)*AA97))</f>
        <v/>
      </c>
      <c r="AL97" s="5">
        <f>AB$1*((-0.000002)*AB97^3+0.00032*AB97^2+(-0.0021)*AB97)+AC$1*((-0.000002)*AC97^3+0.00032*AC97^2+(-0.0021)*AC97)</f>
        <v/>
      </c>
      <c r="AM97" s="5">
        <f>AD$1*((-0.000002)*AD97^3+0.00032*AD97^2+(-0.0021)*AD97)+AE$1*((-0.000002)*AE97^3+0.00032*AE97^2+(-0.0021)*AE97)+AF$1*((-0.000002)*AF97^3+0.00032*AF97^2+(-0.0021)*AF97)+AG$1*((-0.000002)*AG97^3+0.00032*AG97^2+(-0.0021)*AG97)</f>
        <v/>
      </c>
    </row>
    <row r="98" ht="15" customHeight="1" s="27" thickBot="1">
      <c r="A98" s="5">
        <f>(AI98*AI$3+AJ98*AJ$3+AK98*AK$3+AL98*AL$3+AM98*AM$3)*100/(AI$5*AI$3+AJ$5*AJ$3+AK$5*AK$3+AL$5*AL$3+AM$5*AM$3)</f>
        <v/>
      </c>
      <c r="B98" s="16" t="n">
        <v>195</v>
      </c>
      <c r="C98" s="10" t="inlineStr">
        <is>
          <t>Vaughn, Lawrence</t>
        </is>
      </c>
      <c r="D98" s="17" t="inlineStr">
        <is>
          <t>DH</t>
        </is>
      </c>
      <c r="E98" s="17" t="inlineStr">
        <is>
          <t>R</t>
        </is>
      </c>
      <c r="F98" s="17" t="inlineStr">
        <is>
          <t>R</t>
        </is>
      </c>
      <c r="G98" s="17" t="n">
        <v>18</v>
      </c>
      <c r="H98" s="17" t="n">
        <v>0</v>
      </c>
      <c r="I98" s="17" t="n">
        <v>43</v>
      </c>
      <c r="J98" s="17" t="n">
        <v>34</v>
      </c>
      <c r="K98" s="17" t="n">
        <v>17</v>
      </c>
      <c r="L98" s="17" t="n">
        <v>54</v>
      </c>
      <c r="M98" s="17" t="n">
        <v>20</v>
      </c>
      <c r="N98" s="17" t="n">
        <v>0</v>
      </c>
      <c r="O98" s="17" t="n">
        <v>13</v>
      </c>
      <c r="P98" s="17" t="n">
        <v>35</v>
      </c>
      <c r="Q98" s="16" t="n">
        <v>195</v>
      </c>
      <c r="R98" s="10" t="inlineStr">
        <is>
          <t>Vaughn, Lawrence</t>
        </is>
      </c>
      <c r="S98" s="17" t="inlineStr">
        <is>
          <t>DH</t>
        </is>
      </c>
      <c r="T98" s="17" t="inlineStr">
        <is>
          <t>R</t>
        </is>
      </c>
      <c r="U98" s="17" t="inlineStr">
        <is>
          <t>R</t>
        </is>
      </c>
      <c r="V98" s="17" t="n">
        <v>18</v>
      </c>
      <c r="W98" s="17" t="n">
        <v>31</v>
      </c>
      <c r="X98" s="17" t="n">
        <v>20</v>
      </c>
      <c r="Y98" s="17" t="n">
        <v>20</v>
      </c>
      <c r="Z98" s="17" t="n">
        <v>26</v>
      </c>
      <c r="AA98" s="17" t="n">
        <v>12</v>
      </c>
      <c r="AB98" s="17" t="n">
        <v>75</v>
      </c>
      <c r="AC98" s="17" t="n">
        <v>78</v>
      </c>
      <c r="AD98" s="17" t="n">
        <v>24</v>
      </c>
      <c r="AE98" s="17" t="n">
        <v>53</v>
      </c>
      <c r="AF98" s="17" t="n">
        <v>65</v>
      </c>
      <c r="AG98" s="17" t="n">
        <v>76</v>
      </c>
      <c r="AH98" s="17" t="n">
        <v>35</v>
      </c>
      <c r="AI98" s="5">
        <f>H$1*((-0.000002)*H98^3+0.00032*H98^2+(-0.0021)*H98)+I$1*((-0.000002)*I98^3+0.00032*I98^2+(-0.0021)*I98)+J$1*((-0.000002)*J98^3+0.00032*J98^2+(-0.0021)*J98)+K$1*((-0.000002)*K98^3+0.00032*K98^2+(-0.0021)*K98)+L$1*((-0.000002)*L98^3+0.00032*L98^2+(-0.0021)*L98)</f>
        <v/>
      </c>
      <c r="AJ98" s="5">
        <f>M$1*((-0.000002)*M98^3+0.00032*M98^2+(-0.0021)*M98)+N$1*((-0.000002)*N98^3+0.00032*N98^2+(-0.0021)*N98)+O$1*((-0.000002)*O98^3+0.00032*O98^2+(-0.0021)*O98)</f>
        <v/>
      </c>
      <c r="AK98" s="5">
        <f>IF(AA98&lt;50,W$1*((-0.000002)*W98^3+0.00032*W98^2+(-0.0021)*W98)+X$1*((-0.000002)*X98^3+0.00032*X98^2+(-0.0021)*X98)+Y$1*((-0.000002)*Y98^3+0.00032*Y98^2+(-0.0021)*Y98)+Z$1*((-0.000002)*Z98^3+0.00032*Z98^2+(-0.0021)*Z98),X$2*((-0.000002)*X98^3+0.00032*X98^2+(-0.0021)*X98)+Y$2*((-0.000002)*Y98^3+0.00032*Y98^2+(-0.0021)*Y98)+Z$2*((-0.000002)*Z98^3+0.00032*Z98^2+(-0.0021)*Z98)+AA$2*((-0.000002)*AA98^3+0.00032*AA98^2+(-0.0021)*AA98))</f>
        <v/>
      </c>
      <c r="AL98" s="5">
        <f>AB$1*((-0.000002)*AB98^3+0.00032*AB98^2+(-0.0021)*AB98)+AC$1*((-0.000002)*AC98^3+0.00032*AC98^2+(-0.0021)*AC98)</f>
        <v/>
      </c>
      <c r="AM98" s="5">
        <f>AD$1*((-0.000002)*AD98^3+0.00032*AD98^2+(-0.0021)*AD98)+AE$1*((-0.000002)*AE98^3+0.00032*AE98^2+(-0.0021)*AE98)+AF$1*((-0.000002)*AF98^3+0.00032*AF98^2+(-0.0021)*AF98)+AG$1*((-0.000002)*AG98^3+0.00032*AG98^2+(-0.0021)*AG98)</f>
        <v/>
      </c>
    </row>
    <row r="99" ht="15" customHeight="1" s="27" thickBot="1">
      <c r="A99" s="5">
        <f>(AI99*AI$3+AJ99*AJ$3+AK99*AK$3+AL99*AL$3+AM99*AM$3)*100/(AI$5*AI$3+AJ$5*AJ$3+AK$5*AK$3+AL$5*AL$3+AM$5*AM$3)</f>
        <v/>
      </c>
      <c r="B99" s="18" t="n">
        <v>148</v>
      </c>
      <c r="C99" s="11" t="inlineStr">
        <is>
          <t>Lynn, Lyle</t>
        </is>
      </c>
      <c r="D99" s="19" t="inlineStr">
        <is>
          <t>1B</t>
        </is>
      </c>
      <c r="E99" s="19" t="inlineStr">
        <is>
          <t>R</t>
        </is>
      </c>
      <c r="F99" s="19" t="inlineStr">
        <is>
          <t>R</t>
        </is>
      </c>
      <c r="G99" s="19" t="n">
        <v>18</v>
      </c>
      <c r="H99" s="19" t="n">
        <v>23</v>
      </c>
      <c r="I99" s="19" t="n">
        <v>12</v>
      </c>
      <c r="J99" s="19" t="n">
        <v>30</v>
      </c>
      <c r="K99" s="19" t="n">
        <v>10</v>
      </c>
      <c r="L99" s="19" t="n">
        <v>32</v>
      </c>
      <c r="M99" s="19" t="n">
        <v>47</v>
      </c>
      <c r="N99" s="19" t="n">
        <v>67</v>
      </c>
      <c r="O99" s="19" t="n">
        <v>69</v>
      </c>
      <c r="P99" s="19" t="n">
        <v>43</v>
      </c>
      <c r="Q99" s="18" t="n">
        <v>148</v>
      </c>
      <c r="R99" s="11" t="inlineStr">
        <is>
          <t>Lynn, Lyle</t>
        </is>
      </c>
      <c r="S99" s="19" t="inlineStr">
        <is>
          <t>1B</t>
        </is>
      </c>
      <c r="T99" s="19" t="inlineStr">
        <is>
          <t>R</t>
        </is>
      </c>
      <c r="U99" s="19" t="inlineStr">
        <is>
          <t>R</t>
        </is>
      </c>
      <c r="V99" s="19" t="n">
        <v>18</v>
      </c>
      <c r="W99" s="19" t="n">
        <v>67</v>
      </c>
      <c r="X99" s="19" t="n">
        <v>42</v>
      </c>
      <c r="Y99" s="19" t="n">
        <v>40</v>
      </c>
      <c r="Z99" s="19" t="n">
        <v>43</v>
      </c>
      <c r="AA99" s="19" t="n">
        <v>4</v>
      </c>
      <c r="AB99" s="19" t="n">
        <v>92</v>
      </c>
      <c r="AC99" s="19" t="n">
        <v>69</v>
      </c>
      <c r="AD99" s="19" t="n">
        <v>73</v>
      </c>
      <c r="AE99" s="19" t="n">
        <v>38</v>
      </c>
      <c r="AF99" s="19" t="n">
        <v>84</v>
      </c>
      <c r="AG99" s="19" t="n">
        <v>60</v>
      </c>
      <c r="AH99" s="19" t="n">
        <v>43</v>
      </c>
      <c r="AI99" s="5">
        <f>H$1*((-0.000002)*H99^3+0.00032*H99^2+(-0.0021)*H99)+I$1*((-0.000002)*I99^3+0.00032*I99^2+(-0.0021)*I99)+J$1*((-0.000002)*J99^3+0.00032*J99^2+(-0.0021)*J99)+K$1*((-0.000002)*K99^3+0.00032*K99^2+(-0.0021)*K99)+L$1*((-0.000002)*L99^3+0.00032*L99^2+(-0.0021)*L99)</f>
        <v/>
      </c>
      <c r="AJ99" s="5">
        <f>M$1*((-0.000002)*M99^3+0.00032*M99^2+(-0.0021)*M99)+N$1*((-0.000002)*N99^3+0.00032*N99^2+(-0.0021)*N99)+O$1*((-0.000002)*O99^3+0.00032*O99^2+(-0.0021)*O99)</f>
        <v/>
      </c>
      <c r="AK99" s="5">
        <f>IF(AA99&lt;50,W$1*((-0.000002)*W99^3+0.00032*W99^2+(-0.0021)*W99)+X$1*((-0.000002)*X99^3+0.00032*X99^2+(-0.0021)*X99)+Y$1*((-0.000002)*Y99^3+0.00032*Y99^2+(-0.0021)*Y99)+Z$1*((-0.000002)*Z99^3+0.00032*Z99^2+(-0.0021)*Z99),X$2*((-0.000002)*X99^3+0.00032*X99^2+(-0.0021)*X99)+Y$2*((-0.000002)*Y99^3+0.00032*Y99^2+(-0.0021)*Y99)+Z$2*((-0.000002)*Z99^3+0.00032*Z99^2+(-0.0021)*Z99)+AA$2*((-0.000002)*AA99^3+0.00032*AA99^2+(-0.0021)*AA99))</f>
        <v/>
      </c>
      <c r="AL99" s="5">
        <f>AB$1*((-0.000002)*AB99^3+0.00032*AB99^2+(-0.0021)*AB99)+AC$1*((-0.000002)*AC99^3+0.00032*AC99^2+(-0.0021)*AC99)</f>
        <v/>
      </c>
      <c r="AM99" s="5">
        <f>AD$1*((-0.000002)*AD99^3+0.00032*AD99^2+(-0.0021)*AD99)+AE$1*((-0.000002)*AE99^3+0.00032*AE99^2+(-0.0021)*AE99)+AF$1*((-0.000002)*AF99^3+0.00032*AF99^2+(-0.0021)*AF99)+AG$1*((-0.000002)*AG99^3+0.00032*AG99^2+(-0.0021)*AG99)</f>
        <v/>
      </c>
    </row>
    <row r="100" ht="15" customHeight="1" s="27" thickBot="1">
      <c r="A100" s="5">
        <f>(AI100*AI$3+AJ100*AJ$3+AK100*AK$3+AL100*AL$3+AM100*AM$3)*100/(AI$5*AI$3+AJ$5*AJ$3+AK$5*AK$3+AL$5*AL$3+AM$5*AM$3)</f>
        <v/>
      </c>
      <c r="B100" s="16" t="n">
        <v>141</v>
      </c>
      <c r="C100" s="10" t="inlineStr">
        <is>
          <t>Morris, Blake</t>
        </is>
      </c>
      <c r="D100" s="17" t="inlineStr">
        <is>
          <t>1B</t>
        </is>
      </c>
      <c r="E100" s="17" t="inlineStr">
        <is>
          <t>L</t>
        </is>
      </c>
      <c r="F100" s="17" t="inlineStr">
        <is>
          <t>L</t>
        </is>
      </c>
      <c r="G100" s="17" t="n">
        <v>18</v>
      </c>
      <c r="H100" s="17" t="n">
        <v>42</v>
      </c>
      <c r="I100" s="17" t="n">
        <v>11</v>
      </c>
      <c r="J100" s="17" t="n">
        <v>20</v>
      </c>
      <c r="K100" s="17" t="n">
        <v>13</v>
      </c>
      <c r="L100" s="17" t="n">
        <v>35</v>
      </c>
      <c r="M100" s="17" t="n">
        <v>72</v>
      </c>
      <c r="N100" s="17" t="n">
        <v>72</v>
      </c>
      <c r="O100" s="17" t="n">
        <v>41</v>
      </c>
      <c r="P100" s="17" t="n">
        <v>44</v>
      </c>
      <c r="Q100" s="16" t="n">
        <v>141</v>
      </c>
      <c r="R100" s="10" t="inlineStr">
        <is>
          <t>Morris, Blake</t>
        </is>
      </c>
      <c r="S100" s="17" t="inlineStr">
        <is>
          <t>1B</t>
        </is>
      </c>
      <c r="T100" s="17" t="inlineStr">
        <is>
          <t>L</t>
        </is>
      </c>
      <c r="U100" s="17" t="inlineStr">
        <is>
          <t>L</t>
        </is>
      </c>
      <c r="V100" s="17" t="n">
        <v>18</v>
      </c>
      <c r="W100" s="17" t="n">
        <v>56</v>
      </c>
      <c r="X100" s="17" t="n">
        <v>44</v>
      </c>
      <c r="Y100" s="17" t="n">
        <v>36</v>
      </c>
      <c r="Z100" s="17" t="n">
        <v>32</v>
      </c>
      <c r="AA100" s="17" t="n">
        <v>10</v>
      </c>
      <c r="AB100" s="17" t="n">
        <v>91</v>
      </c>
      <c r="AC100" s="17" t="n">
        <v>52</v>
      </c>
      <c r="AD100" s="17" t="n">
        <v>65</v>
      </c>
      <c r="AE100" s="17" t="n">
        <v>62</v>
      </c>
      <c r="AF100" s="17" t="n">
        <v>8</v>
      </c>
      <c r="AG100" s="17" t="n">
        <v>35</v>
      </c>
      <c r="AH100" s="17" t="n">
        <v>44</v>
      </c>
      <c r="AI100" s="5">
        <f>H$1*((-0.000002)*H100^3+0.00032*H100^2+(-0.0021)*H100)+I$1*((-0.000002)*I100^3+0.00032*I100^2+(-0.0021)*I100)+J$1*((-0.000002)*J100^3+0.00032*J100^2+(-0.0021)*J100)+K$1*((-0.000002)*K100^3+0.00032*K100^2+(-0.0021)*K100)+L$1*((-0.000002)*L100^3+0.00032*L100^2+(-0.0021)*L100)</f>
        <v/>
      </c>
      <c r="AJ100" s="5">
        <f>M$1*((-0.000002)*M100^3+0.00032*M100^2+(-0.0021)*M100)+N$1*((-0.000002)*N100^3+0.00032*N100^2+(-0.0021)*N100)+O$1*((-0.000002)*O100^3+0.00032*O100^2+(-0.0021)*O100)</f>
        <v/>
      </c>
      <c r="AK100" s="5">
        <f>IF(AA100&lt;50,W$1*((-0.000002)*W100^3+0.00032*W100^2+(-0.0021)*W100)+X$1*((-0.000002)*X100^3+0.00032*X100^2+(-0.0021)*X100)+Y$1*((-0.000002)*Y100^3+0.00032*Y100^2+(-0.0021)*Y100)+Z$1*((-0.000002)*Z100^3+0.00032*Z100^2+(-0.0021)*Z100),X$2*((-0.000002)*X100^3+0.00032*X100^2+(-0.0021)*X100)+Y$2*((-0.000002)*Y100^3+0.00032*Y100^2+(-0.0021)*Y100)+Z$2*((-0.000002)*Z100^3+0.00032*Z100^2+(-0.0021)*Z100)+AA$2*((-0.000002)*AA100^3+0.00032*AA100^2+(-0.0021)*AA100))</f>
        <v/>
      </c>
      <c r="AL100" s="5">
        <f>AB$1*((-0.000002)*AB100^3+0.00032*AB100^2+(-0.0021)*AB100)+AC$1*((-0.000002)*AC100^3+0.00032*AC100^2+(-0.0021)*AC100)</f>
        <v/>
      </c>
      <c r="AM100" s="5">
        <f>AD$1*((-0.000002)*AD100^3+0.00032*AD100^2+(-0.0021)*AD100)+AE$1*((-0.000002)*AE100^3+0.00032*AE100^2+(-0.0021)*AE100)+AF$1*((-0.000002)*AF100^3+0.00032*AF100^2+(-0.0021)*AF100)+AG$1*((-0.000002)*AG100^3+0.00032*AG100^2+(-0.0021)*AG100)</f>
        <v/>
      </c>
    </row>
    <row r="101" ht="15" customHeight="1" s="27" thickBot="1">
      <c r="A101" s="5">
        <f>(AI101*AI$3+AJ101*AJ$3+AK101*AK$3+AL101*AL$3+AM101*AM$3)*100/(AI$5*AI$3+AJ$5*AJ$3+AK$5*AK$3+AL$5*AL$3+AM$5*AM$3)</f>
        <v/>
      </c>
      <c r="B101" s="16" t="n">
        <v>171</v>
      </c>
      <c r="C101" s="10" t="inlineStr">
        <is>
          <t>Ruf, Todd</t>
        </is>
      </c>
      <c r="D101" s="17" t="inlineStr">
        <is>
          <t>P</t>
        </is>
      </c>
      <c r="E101" s="17" t="inlineStr">
        <is>
          <t>S</t>
        </is>
      </c>
      <c r="F101" s="17" t="inlineStr">
        <is>
          <t>L</t>
        </is>
      </c>
      <c r="G101" s="17" t="n">
        <v>21</v>
      </c>
      <c r="H101" s="17" t="n">
        <v>42</v>
      </c>
      <c r="I101" s="17" t="n">
        <v>0</v>
      </c>
      <c r="J101" s="17" t="n">
        <v>1</v>
      </c>
      <c r="K101" s="17" t="n">
        <v>25</v>
      </c>
      <c r="L101" s="17" t="n">
        <v>32</v>
      </c>
      <c r="M101" s="17" t="n">
        <v>0</v>
      </c>
      <c r="N101" s="17" t="n">
        <v>57</v>
      </c>
      <c r="O101" s="17" t="n">
        <v>46</v>
      </c>
      <c r="P101" s="17" t="n">
        <v>47</v>
      </c>
      <c r="Q101" s="16" t="n">
        <v>171</v>
      </c>
      <c r="R101" s="10" t="inlineStr">
        <is>
          <t>Ruf, Todd</t>
        </is>
      </c>
      <c r="S101" s="17" t="inlineStr">
        <is>
          <t>P</t>
        </is>
      </c>
      <c r="T101" s="17" t="inlineStr">
        <is>
          <t>S</t>
        </is>
      </c>
      <c r="U101" s="17" t="inlineStr">
        <is>
          <t>L</t>
        </is>
      </c>
      <c r="V101" s="17" t="n">
        <v>21</v>
      </c>
      <c r="W101" s="17" t="n">
        <v>60</v>
      </c>
      <c r="X101" s="17" t="n">
        <v>1</v>
      </c>
      <c r="Y101" s="17" t="n">
        <v>75</v>
      </c>
      <c r="Z101" s="17" t="n">
        <v>46</v>
      </c>
      <c r="AA101" s="17" t="n">
        <v>44</v>
      </c>
      <c r="AB101" s="17" t="n">
        <v>66</v>
      </c>
      <c r="AC101" s="17" t="n">
        <v>100</v>
      </c>
      <c r="AD101" s="17" t="n">
        <v>34</v>
      </c>
      <c r="AE101" s="17" t="n">
        <v>74</v>
      </c>
      <c r="AF101" s="17" t="n">
        <v>84</v>
      </c>
      <c r="AG101" s="17" t="n">
        <v>86</v>
      </c>
      <c r="AH101" s="17" t="n">
        <v>47</v>
      </c>
      <c r="AI101" s="5">
        <f>H$1*((-0.000002)*H101^3+0.00032*H101^2+(-0.0021)*H101)+I$1*((-0.000002)*I101^3+0.00032*I101^2+(-0.0021)*I101)+J$1*((-0.000002)*J101^3+0.00032*J101^2+(-0.0021)*J101)+K$1*((-0.000002)*K101^3+0.00032*K101^2+(-0.0021)*K101)+L$1*((-0.000002)*L101^3+0.00032*L101^2+(-0.0021)*L101)</f>
        <v/>
      </c>
      <c r="AJ101" s="5">
        <f>M$1*((-0.000002)*M101^3+0.00032*M101^2+(-0.0021)*M101)+N$1*((-0.000002)*N101^3+0.00032*N101^2+(-0.0021)*N101)+O$1*((-0.000002)*O101^3+0.00032*O101^2+(-0.0021)*O101)</f>
        <v/>
      </c>
      <c r="AK101" s="5">
        <f>IF(AA101&lt;50,W$1*((-0.000002)*W101^3+0.00032*W101^2+(-0.0021)*W101)+X$1*((-0.000002)*X101^3+0.00032*X101^2+(-0.0021)*X101)+Y$1*((-0.000002)*Y101^3+0.00032*Y101^2+(-0.0021)*Y101)+Z$1*((-0.000002)*Z101^3+0.00032*Z101^2+(-0.0021)*Z101),X$2*((-0.000002)*X101^3+0.00032*X101^2+(-0.0021)*X101)+Y$2*((-0.000002)*Y101^3+0.00032*Y101^2+(-0.0021)*Y101)+Z$2*((-0.000002)*Z101^3+0.00032*Z101^2+(-0.0021)*Z101)+AA$2*((-0.000002)*AA101^3+0.00032*AA101^2+(-0.0021)*AA101))</f>
        <v/>
      </c>
      <c r="AL101" s="5">
        <f>AB$1*((-0.000002)*AB101^3+0.00032*AB101^2+(-0.0021)*AB101)+AC$1*((-0.000002)*AC101^3+0.00032*AC101^2+(-0.0021)*AC101)</f>
        <v/>
      </c>
      <c r="AM101" s="5">
        <f>AD$1*((-0.000002)*AD101^3+0.00032*AD101^2+(-0.0021)*AD101)+AE$1*((-0.000002)*AE101^3+0.00032*AE101^2+(-0.0021)*AE101)+AF$1*((-0.000002)*AF101^3+0.00032*AF101^2+(-0.0021)*AF101)+AG$1*((-0.000002)*AG101^3+0.00032*AG101^2+(-0.0021)*AG101)</f>
        <v/>
      </c>
    </row>
    <row r="102" ht="15" customHeight="1" s="27" thickBot="1">
      <c r="A102" s="5">
        <f>(AI102*AI$3+AJ102*AJ$3+AK102*AK$3+AL102*AL$3+AM102*AM$3)*100/(AI$5*AI$3+AJ$5*AJ$3+AK$5*AK$3+AL$5*AL$3+AM$5*AM$3)</f>
        <v/>
      </c>
      <c r="B102" s="16" t="n">
        <v>169</v>
      </c>
      <c r="C102" s="10" t="inlineStr">
        <is>
          <t>Leskanic, Gene</t>
        </is>
      </c>
      <c r="D102" s="17" t="inlineStr">
        <is>
          <t>P</t>
        </is>
      </c>
      <c r="E102" s="17" t="inlineStr">
        <is>
          <t>R</t>
        </is>
      </c>
      <c r="F102" s="17" t="inlineStr">
        <is>
          <t>R</t>
        </is>
      </c>
      <c r="G102" s="17" t="n">
        <v>22</v>
      </c>
      <c r="H102" s="17" t="n">
        <v>39</v>
      </c>
      <c r="I102" s="17" t="n">
        <v>0</v>
      </c>
      <c r="J102" s="17" t="n">
        <v>0</v>
      </c>
      <c r="K102" s="17" t="n">
        <v>23</v>
      </c>
      <c r="L102" s="17" t="n">
        <v>25</v>
      </c>
      <c r="M102" s="17" t="n">
        <v>0</v>
      </c>
      <c r="N102" s="17" t="n">
        <v>50</v>
      </c>
      <c r="O102" s="17" t="n">
        <v>35</v>
      </c>
      <c r="P102" s="17" t="n">
        <v>49</v>
      </c>
      <c r="Q102" s="16" t="n">
        <v>169</v>
      </c>
      <c r="R102" s="10" t="inlineStr">
        <is>
          <t>Leskanic, Gene</t>
        </is>
      </c>
      <c r="S102" s="17" t="inlineStr">
        <is>
          <t>P</t>
        </is>
      </c>
      <c r="T102" s="17" t="inlineStr">
        <is>
          <t>R</t>
        </is>
      </c>
      <c r="U102" s="17" t="inlineStr">
        <is>
          <t>R</t>
        </is>
      </c>
      <c r="V102" s="17" t="n">
        <v>22</v>
      </c>
      <c r="W102" s="17" t="n">
        <v>67</v>
      </c>
      <c r="X102" s="17" t="n">
        <v>25</v>
      </c>
      <c r="Y102" s="17" t="n">
        <v>65</v>
      </c>
      <c r="Z102" s="17" t="n">
        <v>42</v>
      </c>
      <c r="AA102" s="17" t="n">
        <v>33</v>
      </c>
      <c r="AB102" s="17" t="n">
        <v>92</v>
      </c>
      <c r="AC102" s="17" t="n">
        <v>100</v>
      </c>
      <c r="AD102" s="17" t="n">
        <v>32</v>
      </c>
      <c r="AE102" s="17" t="n">
        <v>97</v>
      </c>
      <c r="AF102" s="17" t="n">
        <v>76</v>
      </c>
      <c r="AG102" s="17" t="n">
        <v>100</v>
      </c>
      <c r="AH102" s="17" t="n">
        <v>49</v>
      </c>
      <c r="AI102" s="5">
        <f>H$1*((-0.000002)*H102^3+0.00032*H102^2+(-0.0021)*H102)+I$1*((-0.000002)*I102^3+0.00032*I102^2+(-0.0021)*I102)+J$1*((-0.000002)*J102^3+0.00032*J102^2+(-0.0021)*J102)+K$1*((-0.000002)*K102^3+0.00032*K102^2+(-0.0021)*K102)+L$1*((-0.000002)*L102^3+0.00032*L102^2+(-0.0021)*L102)</f>
        <v/>
      </c>
      <c r="AJ102" s="5">
        <f>M$1*((-0.000002)*M102^3+0.00032*M102^2+(-0.0021)*M102)+N$1*((-0.000002)*N102^3+0.00032*N102^2+(-0.0021)*N102)+O$1*((-0.000002)*O102^3+0.00032*O102^2+(-0.0021)*O102)</f>
        <v/>
      </c>
      <c r="AK102" s="5">
        <f>IF(AA102&lt;50,W$1*((-0.000002)*W102^3+0.00032*W102^2+(-0.0021)*W102)+X$1*((-0.000002)*X102^3+0.00032*X102^2+(-0.0021)*X102)+Y$1*((-0.000002)*Y102^3+0.00032*Y102^2+(-0.0021)*Y102)+Z$1*((-0.000002)*Z102^3+0.00032*Z102^2+(-0.0021)*Z102),X$2*((-0.000002)*X102^3+0.00032*X102^2+(-0.0021)*X102)+Y$2*((-0.000002)*Y102^3+0.00032*Y102^2+(-0.0021)*Y102)+Z$2*((-0.000002)*Z102^3+0.00032*Z102^2+(-0.0021)*Z102)+AA$2*((-0.000002)*AA102^3+0.00032*AA102^2+(-0.0021)*AA102))</f>
        <v/>
      </c>
      <c r="AL102" s="5">
        <f>AB$1*((-0.000002)*AB102^3+0.00032*AB102^2+(-0.0021)*AB102)+AC$1*((-0.000002)*AC102^3+0.00032*AC102^2+(-0.0021)*AC102)</f>
        <v/>
      </c>
      <c r="AM102" s="5">
        <f>AD$1*((-0.000002)*AD102^3+0.00032*AD102^2+(-0.0021)*AD102)+AE$1*((-0.000002)*AE102^3+0.00032*AE102^2+(-0.0021)*AE102)+AF$1*((-0.000002)*AF102^3+0.00032*AF102^2+(-0.0021)*AF102)+AG$1*((-0.000002)*AG102^3+0.00032*AG102^2+(-0.0021)*AG102)</f>
        <v/>
      </c>
    </row>
    <row r="103" ht="15" customHeight="1" s="27" thickBot="1">
      <c r="A103" s="5">
        <f>(AI103*AI$3+AJ103*AJ$3+AK103*AK$3+AL103*AL$3+AM103*AM$3)*100/(AI$5*AI$3+AJ$5*AJ$3+AK$5*AK$3+AL$5*AL$3+AM$5*AM$3)</f>
        <v/>
      </c>
      <c r="B103" s="16" t="n">
        <v>143</v>
      </c>
      <c r="C103" s="10" t="inlineStr">
        <is>
          <t>Martin, Placido</t>
        </is>
      </c>
      <c r="D103" s="17" t="inlineStr">
        <is>
          <t>1B</t>
        </is>
      </c>
      <c r="E103" s="17" t="inlineStr">
        <is>
          <t>R</t>
        </is>
      </c>
      <c r="F103" s="17" t="inlineStr">
        <is>
          <t>R</t>
        </is>
      </c>
      <c r="G103" s="17" t="n">
        <v>18</v>
      </c>
      <c r="H103" s="17" t="n">
        <v>34</v>
      </c>
      <c r="I103" s="17" t="n">
        <v>1</v>
      </c>
      <c r="J103" s="17" t="n">
        <v>30</v>
      </c>
      <c r="K103" s="17" t="n">
        <v>14</v>
      </c>
      <c r="L103" s="17" t="n">
        <v>33</v>
      </c>
      <c r="M103" s="17" t="n">
        <v>75</v>
      </c>
      <c r="N103" s="17" t="n">
        <v>76</v>
      </c>
      <c r="O103" s="17" t="n">
        <v>65</v>
      </c>
      <c r="P103" s="17" t="n">
        <v>44</v>
      </c>
      <c r="Q103" s="16" t="n">
        <v>143</v>
      </c>
      <c r="R103" s="10" t="inlineStr">
        <is>
          <t>Martin, Placido</t>
        </is>
      </c>
      <c r="S103" s="17" t="inlineStr">
        <is>
          <t>1B</t>
        </is>
      </c>
      <c r="T103" s="17" t="inlineStr">
        <is>
          <t>R</t>
        </is>
      </c>
      <c r="U103" s="17" t="inlineStr">
        <is>
          <t>R</t>
        </is>
      </c>
      <c r="V103" s="17" t="n">
        <v>18</v>
      </c>
      <c r="W103" s="17" t="n">
        <v>43</v>
      </c>
      <c r="X103" s="17" t="n">
        <v>36</v>
      </c>
      <c r="Y103" s="17" t="n">
        <v>50</v>
      </c>
      <c r="Z103" s="17" t="n">
        <v>32</v>
      </c>
      <c r="AA103" s="17" t="n">
        <v>8</v>
      </c>
      <c r="AB103" s="17" t="n">
        <v>88</v>
      </c>
      <c r="AC103" s="17" t="n">
        <v>67</v>
      </c>
      <c r="AD103" s="17" t="n">
        <v>76</v>
      </c>
      <c r="AE103" s="17" t="n">
        <v>61</v>
      </c>
      <c r="AF103" s="17" t="n">
        <v>29</v>
      </c>
      <c r="AG103" s="17" t="n">
        <v>64</v>
      </c>
      <c r="AH103" s="17" t="n">
        <v>44</v>
      </c>
      <c r="AI103" s="5">
        <f>H$1*((-0.000002)*H103^3+0.00032*H103^2+(-0.0021)*H103)+I$1*((-0.000002)*I103^3+0.00032*I103^2+(-0.0021)*I103)+J$1*((-0.000002)*J103^3+0.00032*J103^2+(-0.0021)*J103)+K$1*((-0.000002)*K103^3+0.00032*K103^2+(-0.0021)*K103)+L$1*((-0.000002)*L103^3+0.00032*L103^2+(-0.0021)*L103)</f>
        <v/>
      </c>
      <c r="AJ103" s="5">
        <f>M$1*((-0.000002)*M103^3+0.00032*M103^2+(-0.0021)*M103)+N$1*((-0.000002)*N103^3+0.00032*N103^2+(-0.0021)*N103)+O$1*((-0.000002)*O103^3+0.00032*O103^2+(-0.0021)*O103)</f>
        <v/>
      </c>
      <c r="AK103" s="5">
        <f>IF(AA103&lt;50,W$1*((-0.000002)*W103^3+0.00032*W103^2+(-0.0021)*W103)+X$1*((-0.000002)*X103^3+0.00032*X103^2+(-0.0021)*X103)+Y$1*((-0.000002)*Y103^3+0.00032*Y103^2+(-0.0021)*Y103)+Z$1*((-0.000002)*Z103^3+0.00032*Z103^2+(-0.0021)*Z103),X$2*((-0.000002)*X103^3+0.00032*X103^2+(-0.0021)*X103)+Y$2*((-0.000002)*Y103^3+0.00032*Y103^2+(-0.0021)*Y103)+Z$2*((-0.000002)*Z103^3+0.00032*Z103^2+(-0.0021)*Z103)+AA$2*((-0.000002)*AA103^3+0.00032*AA103^2+(-0.0021)*AA103))</f>
        <v/>
      </c>
      <c r="AL103" s="5">
        <f>AB$1*((-0.000002)*AB103^3+0.00032*AB103^2+(-0.0021)*AB103)+AC$1*((-0.000002)*AC103^3+0.00032*AC103^2+(-0.0021)*AC103)</f>
        <v/>
      </c>
      <c r="AM103" s="5">
        <f>AD$1*((-0.000002)*AD103^3+0.00032*AD103^2+(-0.0021)*AD103)+AE$1*((-0.000002)*AE103^3+0.00032*AE103^2+(-0.0021)*AE103)+AF$1*((-0.000002)*AF103^3+0.00032*AF103^2+(-0.0021)*AF103)+AG$1*((-0.000002)*AG103^3+0.00032*AG103^2+(-0.0021)*AG103)</f>
        <v/>
      </c>
    </row>
    <row r="104" ht="15" customHeight="1" s="27" thickBot="1">
      <c r="A104" s="5">
        <f>(AI104*AI$3+AJ104*AJ$3+AK104*AK$3+AL104*AL$3+AM104*AM$3)*100/(AI$5*AI$3+AJ$5*AJ$3+AK$5*AK$3+AL$5*AL$3+AM$5*AM$3)</f>
        <v/>
      </c>
      <c r="B104" s="18" t="n">
        <v>114</v>
      </c>
      <c r="C104" s="11" t="inlineStr">
        <is>
          <t>Viciedo, Everth</t>
        </is>
      </c>
      <c r="D104" s="19" t="inlineStr">
        <is>
          <t>C</t>
        </is>
      </c>
      <c r="E104" s="19" t="inlineStr">
        <is>
          <t>R</t>
        </is>
      </c>
      <c r="F104" s="19" t="inlineStr">
        <is>
          <t>R</t>
        </is>
      </c>
      <c r="G104" s="19" t="n">
        <v>18</v>
      </c>
      <c r="H104" s="19" t="n">
        <v>7</v>
      </c>
      <c r="I104" s="19" t="n">
        <v>21</v>
      </c>
      <c r="J104" s="19" t="n">
        <v>37</v>
      </c>
      <c r="K104" s="19" t="n">
        <v>44</v>
      </c>
      <c r="L104" s="19" t="n">
        <v>21</v>
      </c>
      <c r="M104" s="19" t="n">
        <v>41</v>
      </c>
      <c r="N104" s="19" t="n">
        <v>59</v>
      </c>
      <c r="O104" s="19" t="n">
        <v>39</v>
      </c>
      <c r="P104" s="19" t="n">
        <v>43</v>
      </c>
      <c r="Q104" s="18" t="n">
        <v>114</v>
      </c>
      <c r="R104" s="11" t="inlineStr">
        <is>
          <t>Viciedo, Everth</t>
        </is>
      </c>
      <c r="S104" s="19" t="inlineStr">
        <is>
          <t>C</t>
        </is>
      </c>
      <c r="T104" s="19" t="inlineStr">
        <is>
          <t>R</t>
        </is>
      </c>
      <c r="U104" s="19" t="inlineStr">
        <is>
          <t>R</t>
        </is>
      </c>
      <c r="V104" s="19" t="n">
        <v>18</v>
      </c>
      <c r="W104" s="19" t="n">
        <v>14</v>
      </c>
      <c r="X104" s="19" t="n">
        <v>36</v>
      </c>
      <c r="Y104" s="19" t="n">
        <v>74</v>
      </c>
      <c r="Z104" s="19" t="n">
        <v>83</v>
      </c>
      <c r="AA104" s="19" t="n">
        <v>84</v>
      </c>
      <c r="AB104" s="19" t="n">
        <v>72</v>
      </c>
      <c r="AC104" s="19" t="n">
        <v>93</v>
      </c>
      <c r="AD104" s="19" t="n">
        <v>30</v>
      </c>
      <c r="AE104" s="19" t="n">
        <v>69</v>
      </c>
      <c r="AF104" s="19" t="n">
        <v>14</v>
      </c>
      <c r="AG104" s="19" t="n">
        <v>47</v>
      </c>
      <c r="AH104" s="19" t="n">
        <v>43</v>
      </c>
      <c r="AI104" s="5">
        <f>H$1*((-0.000002)*H104^3+0.00032*H104^2+(-0.0021)*H104)+I$1*((-0.000002)*I104^3+0.00032*I104^2+(-0.0021)*I104)+J$1*((-0.000002)*J104^3+0.00032*J104^2+(-0.0021)*J104)+K$1*((-0.000002)*K104^3+0.00032*K104^2+(-0.0021)*K104)+L$1*((-0.000002)*L104^3+0.00032*L104^2+(-0.0021)*L104)</f>
        <v/>
      </c>
      <c r="AJ104" s="5">
        <f>M$1*((-0.000002)*M104^3+0.00032*M104^2+(-0.0021)*M104)+N$1*((-0.000002)*N104^3+0.00032*N104^2+(-0.0021)*N104)+O$1*((-0.000002)*O104^3+0.00032*O104^2+(-0.0021)*O104)</f>
        <v/>
      </c>
      <c r="AK104" s="5">
        <f>IF(AA104&lt;50,W$1*((-0.000002)*W104^3+0.00032*W104^2+(-0.0021)*W104)+X$1*((-0.000002)*X104^3+0.00032*X104^2+(-0.0021)*X104)+Y$1*((-0.000002)*Y104^3+0.00032*Y104^2+(-0.0021)*Y104)+Z$1*((-0.000002)*Z104^3+0.00032*Z104^2+(-0.0021)*Z104),X$2*((-0.000002)*X104^3+0.00032*X104^2+(-0.0021)*X104)+Y$2*((-0.000002)*Y104^3+0.00032*Y104^2+(-0.0021)*Y104)+Z$2*((-0.000002)*Z104^3+0.00032*Z104^2+(-0.0021)*Z104)+AA$2*((-0.000002)*AA104^3+0.00032*AA104^2+(-0.0021)*AA104))</f>
        <v/>
      </c>
      <c r="AL104" s="5">
        <f>AB$1*((-0.000002)*AB104^3+0.00032*AB104^2+(-0.0021)*AB104)+AC$1*((-0.000002)*AC104^3+0.00032*AC104^2+(-0.0021)*AC104)</f>
        <v/>
      </c>
      <c r="AM104" s="5">
        <f>AD$1*((-0.000002)*AD104^3+0.00032*AD104^2+(-0.0021)*AD104)+AE$1*((-0.000002)*AE104^3+0.00032*AE104^2+(-0.0021)*AE104)+AF$1*((-0.000002)*AF104^3+0.00032*AF104^2+(-0.0021)*AF104)+AG$1*((-0.000002)*AG104^3+0.00032*AG104^2+(-0.0021)*AG104)</f>
        <v/>
      </c>
    </row>
    <row r="105" ht="15" customHeight="1" s="27" thickBot="1">
      <c r="A105" s="5">
        <f>(AI105*AI$3+AJ105*AJ$3+AK105*AK$3+AL105*AL$3+AM105*AM$3)*100/(AI$5*AI$3+AJ$5*AJ$3+AK$5*AK$3+AL$5*AL$3+AM$5*AM$3)</f>
        <v/>
      </c>
      <c r="B105" s="18" t="n">
        <v>156</v>
      </c>
      <c r="C105" s="11" t="inlineStr">
        <is>
          <t>Cordero, Alfredo</t>
        </is>
      </c>
      <c r="D105" s="19" t="inlineStr">
        <is>
          <t>1B</t>
        </is>
      </c>
      <c r="E105" s="19" t="inlineStr">
        <is>
          <t>S</t>
        </is>
      </c>
      <c r="F105" s="19" t="inlineStr">
        <is>
          <t>R</t>
        </is>
      </c>
      <c r="G105" s="19" t="n">
        <v>18</v>
      </c>
      <c r="H105" s="19" t="n">
        <v>30</v>
      </c>
      <c r="I105" s="19" t="n">
        <v>21</v>
      </c>
      <c r="J105" s="19" t="n">
        <v>30</v>
      </c>
      <c r="K105" s="19" t="n">
        <v>17</v>
      </c>
      <c r="L105" s="19" t="n">
        <v>17</v>
      </c>
      <c r="M105" s="19" t="n">
        <v>46</v>
      </c>
      <c r="N105" s="19" t="n">
        <v>45</v>
      </c>
      <c r="O105" s="19" t="n">
        <v>62</v>
      </c>
      <c r="P105" s="19" t="n">
        <v>40</v>
      </c>
      <c r="Q105" s="18" t="n">
        <v>156</v>
      </c>
      <c r="R105" s="11" t="inlineStr">
        <is>
          <t>Cordero, Alfredo</t>
        </is>
      </c>
      <c r="S105" s="19" t="inlineStr">
        <is>
          <t>1B</t>
        </is>
      </c>
      <c r="T105" s="19" t="inlineStr">
        <is>
          <t>S</t>
        </is>
      </c>
      <c r="U105" s="19" t="inlineStr">
        <is>
          <t>R</t>
        </is>
      </c>
      <c r="V105" s="19" t="n">
        <v>18</v>
      </c>
      <c r="W105" s="19" t="n">
        <v>55</v>
      </c>
      <c r="X105" s="19" t="n">
        <v>41</v>
      </c>
      <c r="Y105" s="19" t="n">
        <v>50</v>
      </c>
      <c r="Z105" s="19" t="n">
        <v>53</v>
      </c>
      <c r="AA105" s="19" t="n">
        <v>13</v>
      </c>
      <c r="AB105" s="19" t="n">
        <v>81</v>
      </c>
      <c r="AC105" s="19" t="n">
        <v>88</v>
      </c>
      <c r="AD105" s="19" t="n">
        <v>29</v>
      </c>
      <c r="AE105" s="19" t="n">
        <v>63</v>
      </c>
      <c r="AF105" s="19" t="n">
        <v>49</v>
      </c>
      <c r="AG105" s="19" t="n">
        <v>60</v>
      </c>
      <c r="AH105" s="19" t="n">
        <v>40</v>
      </c>
      <c r="AI105" s="5">
        <f>H$1*((-0.000002)*H105^3+0.00032*H105^2+(-0.0021)*H105)+I$1*((-0.000002)*I105^3+0.00032*I105^2+(-0.0021)*I105)+J$1*((-0.000002)*J105^3+0.00032*J105^2+(-0.0021)*J105)+K$1*((-0.000002)*K105^3+0.00032*K105^2+(-0.0021)*K105)+L$1*((-0.000002)*L105^3+0.00032*L105^2+(-0.0021)*L105)</f>
        <v/>
      </c>
      <c r="AJ105" s="5">
        <f>M$1*((-0.000002)*M105^3+0.00032*M105^2+(-0.0021)*M105)+N$1*((-0.000002)*N105^3+0.00032*N105^2+(-0.0021)*N105)+O$1*((-0.000002)*O105^3+0.00032*O105^2+(-0.0021)*O105)</f>
        <v/>
      </c>
      <c r="AK105" s="5">
        <f>IF(AA105&lt;50,W$1*((-0.000002)*W105^3+0.00032*W105^2+(-0.0021)*W105)+X$1*((-0.000002)*X105^3+0.00032*X105^2+(-0.0021)*X105)+Y$1*((-0.000002)*Y105^3+0.00032*Y105^2+(-0.0021)*Y105)+Z$1*((-0.000002)*Z105^3+0.00032*Z105^2+(-0.0021)*Z105),X$2*((-0.000002)*X105^3+0.00032*X105^2+(-0.0021)*X105)+Y$2*((-0.000002)*Y105^3+0.00032*Y105^2+(-0.0021)*Y105)+Z$2*((-0.000002)*Z105^3+0.00032*Z105^2+(-0.0021)*Z105)+AA$2*((-0.000002)*AA105^3+0.00032*AA105^2+(-0.0021)*AA105))</f>
        <v/>
      </c>
      <c r="AL105" s="5">
        <f>AB$1*((-0.000002)*AB105^3+0.00032*AB105^2+(-0.0021)*AB105)+AC$1*((-0.000002)*AC105^3+0.00032*AC105^2+(-0.0021)*AC105)</f>
        <v/>
      </c>
      <c r="AM105" s="5">
        <f>AD$1*((-0.000002)*AD105^3+0.00032*AD105^2+(-0.0021)*AD105)+AE$1*((-0.000002)*AE105^3+0.00032*AE105^2+(-0.0021)*AE105)+AF$1*((-0.000002)*AF105^3+0.00032*AF105^2+(-0.0021)*AF105)+AG$1*((-0.000002)*AG105^3+0.00032*AG105^2+(-0.0021)*AG105)</f>
        <v/>
      </c>
    </row>
    <row r="106" ht="15" customHeight="1" s="27" thickBot="1">
      <c r="A106" s="5">
        <f>(AI106*AI$3+AJ106*AJ$3+AK106*AK$3+AL106*AL$3+AM106*AM$3)*100/(AI$5*AI$3+AJ$5*AJ$3+AK$5*AK$3+AL$5*AL$3+AM$5*AM$3)</f>
        <v/>
      </c>
      <c r="B106" s="16" t="n">
        <v>7</v>
      </c>
      <c r="C106" s="10" t="inlineStr">
        <is>
          <t>Batista, Javy</t>
        </is>
      </c>
      <c r="D106" s="17" t="inlineStr">
        <is>
          <t>P</t>
        </is>
      </c>
      <c r="E106" s="17" t="inlineStr">
        <is>
          <t>R</t>
        </is>
      </c>
      <c r="F106" s="17" t="inlineStr">
        <is>
          <t>R</t>
        </is>
      </c>
      <c r="G106" s="17" t="n">
        <v>18</v>
      </c>
      <c r="H106" s="17" t="n">
        <v>18</v>
      </c>
      <c r="I106" s="17" t="n">
        <v>2</v>
      </c>
      <c r="J106" s="17" t="n">
        <v>24</v>
      </c>
      <c r="K106" s="17" t="n">
        <v>24</v>
      </c>
      <c r="L106" s="17" t="n">
        <v>23</v>
      </c>
      <c r="M106" s="17" t="n">
        <v>25</v>
      </c>
      <c r="N106" s="17" t="n">
        <v>72</v>
      </c>
      <c r="O106" s="17" t="n">
        <v>72</v>
      </c>
      <c r="P106" s="17" t="n">
        <v>78</v>
      </c>
      <c r="Q106" s="16" t="n">
        <v>7</v>
      </c>
      <c r="R106" s="10" t="inlineStr">
        <is>
          <t>Batista, Javy</t>
        </is>
      </c>
      <c r="S106" s="17" t="inlineStr">
        <is>
          <t>P</t>
        </is>
      </c>
      <c r="T106" s="17" t="inlineStr">
        <is>
          <t>R</t>
        </is>
      </c>
      <c r="U106" s="17" t="inlineStr">
        <is>
          <t>R</t>
        </is>
      </c>
      <c r="V106" s="17" t="n">
        <v>18</v>
      </c>
      <c r="W106" s="17" t="n">
        <v>44</v>
      </c>
      <c r="X106" s="17" t="n">
        <v>26</v>
      </c>
      <c r="Y106" s="17" t="n">
        <v>95</v>
      </c>
      <c r="Z106" s="17" t="n">
        <v>61</v>
      </c>
      <c r="AA106" s="17" t="n">
        <v>16</v>
      </c>
      <c r="AB106" s="17" t="n">
        <v>67</v>
      </c>
      <c r="AC106" s="17" t="n">
        <v>89</v>
      </c>
      <c r="AD106" s="17" t="n">
        <v>20</v>
      </c>
      <c r="AE106" s="17" t="n">
        <v>91</v>
      </c>
      <c r="AF106" s="17" t="n">
        <v>70</v>
      </c>
      <c r="AG106" s="17" t="n">
        <v>76</v>
      </c>
      <c r="AH106" s="17" t="n">
        <v>78</v>
      </c>
      <c r="AI106" s="5">
        <f>H$1*((-0.000002)*H106^3+0.00032*H106^2+(-0.0021)*H106)+I$1*((-0.000002)*I106^3+0.00032*I106^2+(-0.0021)*I106)+J$1*((-0.000002)*J106^3+0.00032*J106^2+(-0.0021)*J106)+K$1*((-0.000002)*K106^3+0.00032*K106^2+(-0.0021)*K106)+L$1*((-0.000002)*L106^3+0.00032*L106^2+(-0.0021)*L106)</f>
        <v/>
      </c>
      <c r="AJ106" s="5">
        <f>M$1*((-0.000002)*M106^3+0.00032*M106^2+(-0.0021)*M106)+N$1*((-0.000002)*N106^3+0.00032*N106^2+(-0.0021)*N106)+O$1*((-0.000002)*O106^3+0.00032*O106^2+(-0.0021)*O106)</f>
        <v/>
      </c>
      <c r="AK106" s="5">
        <f>IF(AA106&lt;50,W$1*((-0.000002)*W106^3+0.00032*W106^2+(-0.0021)*W106)+X$1*((-0.000002)*X106^3+0.00032*X106^2+(-0.0021)*X106)+Y$1*((-0.000002)*Y106^3+0.00032*Y106^2+(-0.0021)*Y106)+Z$1*((-0.000002)*Z106^3+0.00032*Z106^2+(-0.0021)*Z106),X$2*((-0.000002)*X106^3+0.00032*X106^2+(-0.0021)*X106)+Y$2*((-0.000002)*Y106^3+0.00032*Y106^2+(-0.0021)*Y106)+Z$2*((-0.000002)*Z106^3+0.00032*Z106^2+(-0.0021)*Z106)+AA$2*((-0.000002)*AA106^3+0.00032*AA106^2+(-0.0021)*AA106))</f>
        <v/>
      </c>
      <c r="AL106" s="5">
        <f>AB$1*((-0.000002)*AB106^3+0.00032*AB106^2+(-0.0021)*AB106)+AC$1*((-0.000002)*AC106^3+0.00032*AC106^2+(-0.0021)*AC106)</f>
        <v/>
      </c>
      <c r="AM106" s="5">
        <f>AD$1*((-0.000002)*AD106^3+0.00032*AD106^2+(-0.0021)*AD106)+AE$1*((-0.000002)*AE106^3+0.00032*AE106^2+(-0.0021)*AE106)+AF$1*((-0.000002)*AF106^3+0.00032*AF106^2+(-0.0021)*AF106)+AG$1*((-0.000002)*AG106^3+0.00032*AG106^2+(-0.0021)*AG106)</f>
        <v/>
      </c>
    </row>
    <row r="107" ht="15" customHeight="1" s="27" thickBot="1">
      <c r="A107" s="5">
        <f>(AI107*AI$3+AJ107*AJ$3+AK107*AK$3+AL107*AL$3+AM107*AM$3)*100/(AI$5*AI$3+AJ$5*AJ$3+AK$5*AK$3+AL$5*AL$3+AM$5*AM$3)</f>
        <v/>
      </c>
      <c r="B107" s="16" t="n">
        <v>155</v>
      </c>
      <c r="C107" s="10" t="inlineStr">
        <is>
          <t>Wagner, Doug</t>
        </is>
      </c>
      <c r="D107" s="17" t="inlineStr">
        <is>
          <t>LF</t>
        </is>
      </c>
      <c r="E107" s="17" t="inlineStr">
        <is>
          <t>R</t>
        </is>
      </c>
      <c r="F107" s="17" t="inlineStr">
        <is>
          <t>R</t>
        </is>
      </c>
      <c r="G107" s="17" t="n">
        <v>18</v>
      </c>
      <c r="H107" s="17" t="n">
        <v>23</v>
      </c>
      <c r="I107" s="17" t="n">
        <v>7</v>
      </c>
      <c r="J107" s="17" t="n">
        <v>17</v>
      </c>
      <c r="K107" s="17" t="n">
        <v>3</v>
      </c>
      <c r="L107" s="17" t="n">
        <v>11</v>
      </c>
      <c r="M107" s="17" t="n">
        <v>50</v>
      </c>
      <c r="N107" s="17" t="n">
        <v>81</v>
      </c>
      <c r="O107" s="17" t="n">
        <v>47</v>
      </c>
      <c r="P107" s="17" t="n">
        <v>40</v>
      </c>
      <c r="Q107" s="16" t="n">
        <v>155</v>
      </c>
      <c r="R107" s="10" t="inlineStr">
        <is>
          <t>Wagner, Doug</t>
        </is>
      </c>
      <c r="S107" s="17" t="inlineStr">
        <is>
          <t>LF</t>
        </is>
      </c>
      <c r="T107" s="17" t="inlineStr">
        <is>
          <t>R</t>
        </is>
      </c>
      <c r="U107" s="17" t="inlineStr">
        <is>
          <t>R</t>
        </is>
      </c>
      <c r="V107" s="17" t="n">
        <v>18</v>
      </c>
      <c r="W107" s="17" t="n">
        <v>70</v>
      </c>
      <c r="X107" s="17" t="n">
        <v>49</v>
      </c>
      <c r="Y107" s="17" t="n">
        <v>50</v>
      </c>
      <c r="Z107" s="17" t="n">
        <v>52</v>
      </c>
      <c r="AA107" s="17" t="n">
        <v>5</v>
      </c>
      <c r="AB107" s="17" t="n">
        <v>87</v>
      </c>
      <c r="AC107" s="17" t="n">
        <v>92</v>
      </c>
      <c r="AD107" s="17" t="n">
        <v>47</v>
      </c>
      <c r="AE107" s="17" t="n">
        <v>77</v>
      </c>
      <c r="AF107" s="17" t="n">
        <v>12</v>
      </c>
      <c r="AG107" s="17" t="n">
        <v>100</v>
      </c>
      <c r="AH107" s="17" t="n">
        <v>40</v>
      </c>
      <c r="AI107" s="5">
        <f>H$1*((-0.000002)*H107^3+0.00032*H107^2+(-0.0021)*H107)+I$1*((-0.000002)*I107^3+0.00032*I107^2+(-0.0021)*I107)+J$1*((-0.000002)*J107^3+0.00032*J107^2+(-0.0021)*J107)+K$1*((-0.000002)*K107^3+0.00032*K107^2+(-0.0021)*K107)+L$1*((-0.000002)*L107^3+0.00032*L107^2+(-0.0021)*L107)</f>
        <v/>
      </c>
      <c r="AJ107" s="5">
        <f>M$1*((-0.000002)*M107^3+0.00032*M107^2+(-0.0021)*M107)+N$1*((-0.000002)*N107^3+0.00032*N107^2+(-0.0021)*N107)+O$1*((-0.000002)*O107^3+0.00032*O107^2+(-0.0021)*O107)</f>
        <v/>
      </c>
      <c r="AK107" s="5">
        <f>IF(AA107&lt;50,W$1*((-0.000002)*W107^3+0.00032*W107^2+(-0.0021)*W107)+X$1*((-0.000002)*X107^3+0.00032*X107^2+(-0.0021)*X107)+Y$1*((-0.000002)*Y107^3+0.00032*Y107^2+(-0.0021)*Y107)+Z$1*((-0.000002)*Z107^3+0.00032*Z107^2+(-0.0021)*Z107),X$2*((-0.000002)*X107^3+0.00032*X107^2+(-0.0021)*X107)+Y$2*((-0.000002)*Y107^3+0.00032*Y107^2+(-0.0021)*Y107)+Z$2*((-0.000002)*Z107^3+0.00032*Z107^2+(-0.0021)*Z107)+AA$2*((-0.000002)*AA107^3+0.00032*AA107^2+(-0.0021)*AA107))</f>
        <v/>
      </c>
      <c r="AL107" s="5">
        <f>AB$1*((-0.000002)*AB107^3+0.00032*AB107^2+(-0.0021)*AB107)+AC$1*((-0.000002)*AC107^3+0.00032*AC107^2+(-0.0021)*AC107)</f>
        <v/>
      </c>
      <c r="AM107" s="5">
        <f>AD$1*((-0.000002)*AD107^3+0.00032*AD107^2+(-0.0021)*AD107)+AE$1*((-0.000002)*AE107^3+0.00032*AE107^2+(-0.0021)*AE107)+AF$1*((-0.000002)*AF107^3+0.00032*AF107^2+(-0.0021)*AF107)+AG$1*((-0.000002)*AG107^3+0.00032*AG107^2+(-0.0021)*AG107)</f>
        <v/>
      </c>
    </row>
    <row r="108" ht="15" customHeight="1" s="27" thickBot="1">
      <c r="A108" s="5">
        <f>(AI108*AI$3+AJ108*AJ$3+AK108*AK$3+AL108*AL$3+AM108*AM$3)*100/(AI$5*AI$3+AJ$5*AJ$3+AK$5*AK$3+AL$5*AL$3+AM$5*AM$3)</f>
        <v/>
      </c>
      <c r="B108" s="18" t="n">
        <v>102</v>
      </c>
      <c r="C108" s="11" t="inlineStr">
        <is>
          <t>Buford, Aaron</t>
        </is>
      </c>
      <c r="D108" s="19" t="inlineStr">
        <is>
          <t>P</t>
        </is>
      </c>
      <c r="E108" s="19" t="inlineStr">
        <is>
          <t>L</t>
        </is>
      </c>
      <c r="F108" s="19" t="inlineStr">
        <is>
          <t>L</t>
        </is>
      </c>
      <c r="G108" s="19" t="n">
        <v>18</v>
      </c>
      <c r="H108" s="19" t="n">
        <v>15</v>
      </c>
      <c r="I108" s="19" t="n">
        <v>1</v>
      </c>
      <c r="J108" s="19" t="n">
        <v>15</v>
      </c>
      <c r="K108" s="19" t="n">
        <v>37</v>
      </c>
      <c r="L108" s="19" t="n">
        <v>15</v>
      </c>
      <c r="M108" s="19" t="n">
        <v>24</v>
      </c>
      <c r="N108" s="19" t="n">
        <v>84</v>
      </c>
      <c r="O108" s="19" t="n">
        <v>52</v>
      </c>
      <c r="P108" s="19" t="n">
        <v>50</v>
      </c>
      <c r="Q108" s="18" t="n">
        <v>102</v>
      </c>
      <c r="R108" s="11" t="inlineStr">
        <is>
          <t>Buford, Aaron</t>
        </is>
      </c>
      <c r="S108" s="19" t="inlineStr">
        <is>
          <t>P</t>
        </is>
      </c>
      <c r="T108" s="19" t="inlineStr">
        <is>
          <t>L</t>
        </is>
      </c>
      <c r="U108" s="19" t="inlineStr">
        <is>
          <t>L</t>
        </is>
      </c>
      <c r="V108" s="19" t="n">
        <v>18</v>
      </c>
      <c r="W108" s="19" t="n">
        <v>40</v>
      </c>
      <c r="X108" s="19" t="n">
        <v>33</v>
      </c>
      <c r="Y108" s="19" t="n">
        <v>57</v>
      </c>
      <c r="Z108" s="19" t="n">
        <v>94</v>
      </c>
      <c r="AA108" s="19" t="n">
        <v>35</v>
      </c>
      <c r="AB108" s="19" t="n">
        <v>63</v>
      </c>
      <c r="AC108" s="19" t="n">
        <v>96</v>
      </c>
      <c r="AD108" s="19" t="n">
        <v>32</v>
      </c>
      <c r="AE108" s="19" t="n">
        <v>45</v>
      </c>
      <c r="AF108" s="19" t="n">
        <v>81</v>
      </c>
      <c r="AG108" s="19" t="n">
        <v>75</v>
      </c>
      <c r="AH108" s="19" t="n">
        <v>50</v>
      </c>
      <c r="AI108" s="5">
        <f>H$1*((-0.000002)*H108^3+0.00032*H108^2+(-0.0021)*H108)+I$1*((-0.000002)*I108^3+0.00032*I108^2+(-0.0021)*I108)+J$1*((-0.000002)*J108^3+0.00032*J108^2+(-0.0021)*J108)+K$1*((-0.000002)*K108^3+0.00032*K108^2+(-0.0021)*K108)+L$1*((-0.000002)*L108^3+0.00032*L108^2+(-0.0021)*L108)</f>
        <v/>
      </c>
      <c r="AJ108" s="5">
        <f>M$1*((-0.000002)*M108^3+0.00032*M108^2+(-0.0021)*M108)+N$1*((-0.000002)*N108^3+0.00032*N108^2+(-0.0021)*N108)+O$1*((-0.000002)*O108^3+0.00032*O108^2+(-0.0021)*O108)</f>
        <v/>
      </c>
      <c r="AK108" s="5">
        <f>IF(AA108&lt;50,W$1*((-0.000002)*W108^3+0.00032*W108^2+(-0.0021)*W108)+X$1*((-0.000002)*X108^3+0.00032*X108^2+(-0.0021)*X108)+Y$1*((-0.000002)*Y108^3+0.00032*Y108^2+(-0.0021)*Y108)+Z$1*((-0.000002)*Z108^3+0.00032*Z108^2+(-0.0021)*Z108),X$2*((-0.000002)*X108^3+0.00032*X108^2+(-0.0021)*X108)+Y$2*((-0.000002)*Y108^3+0.00032*Y108^2+(-0.0021)*Y108)+Z$2*((-0.000002)*Z108^3+0.00032*Z108^2+(-0.0021)*Z108)+AA$2*((-0.000002)*AA108^3+0.00032*AA108^2+(-0.0021)*AA108))</f>
        <v/>
      </c>
      <c r="AL108" s="5">
        <f>AB$1*((-0.000002)*AB108^3+0.00032*AB108^2+(-0.0021)*AB108)+AC$1*((-0.000002)*AC108^3+0.00032*AC108^2+(-0.0021)*AC108)</f>
        <v/>
      </c>
      <c r="AM108" s="5">
        <f>AD$1*((-0.000002)*AD108^3+0.00032*AD108^2+(-0.0021)*AD108)+AE$1*((-0.000002)*AE108^3+0.00032*AE108^2+(-0.0021)*AE108)+AF$1*((-0.000002)*AF108^3+0.00032*AF108^2+(-0.0021)*AF108)+AG$1*((-0.000002)*AG108^3+0.00032*AG108^2+(-0.0021)*AG108)</f>
        <v/>
      </c>
    </row>
    <row r="109" ht="15" customHeight="1" s="27" thickBot="1">
      <c r="A109" s="5">
        <f>(AI109*AI$3+AJ109*AJ$3+AK109*AK$3+AL109*AL$3+AM109*AM$3)*100/(AI$5*AI$3+AJ$5*AJ$3+AK$5*AK$3+AL$5*AL$3+AM$5*AM$3)</f>
        <v/>
      </c>
      <c r="B109" s="16" t="n">
        <v>83</v>
      </c>
      <c r="C109" s="10" t="inlineStr">
        <is>
          <t>Travis, Pierce</t>
        </is>
      </c>
      <c r="D109" s="17" t="inlineStr">
        <is>
          <t>P</t>
        </is>
      </c>
      <c r="E109" s="17" t="inlineStr">
        <is>
          <t>R</t>
        </is>
      </c>
      <c r="F109" s="17" t="inlineStr">
        <is>
          <t>R</t>
        </is>
      </c>
      <c r="G109" s="17" t="n">
        <v>18</v>
      </c>
      <c r="H109" s="17" t="n">
        <v>19</v>
      </c>
      <c r="I109" s="17" t="n">
        <v>9</v>
      </c>
      <c r="J109" s="17" t="n">
        <v>20</v>
      </c>
      <c r="K109" s="17" t="n">
        <v>14</v>
      </c>
      <c r="L109" s="17" t="n">
        <v>11</v>
      </c>
      <c r="M109" s="17" t="n">
        <v>16</v>
      </c>
      <c r="N109" s="17" t="n">
        <v>74</v>
      </c>
      <c r="O109" s="17" t="n">
        <v>64</v>
      </c>
      <c r="P109" s="17" t="n">
        <v>54</v>
      </c>
      <c r="Q109" s="16" t="n">
        <v>83</v>
      </c>
      <c r="R109" s="10" t="inlineStr">
        <is>
          <t>Travis, Pierce</t>
        </is>
      </c>
      <c r="S109" s="17" t="inlineStr">
        <is>
          <t>P</t>
        </is>
      </c>
      <c r="T109" s="17" t="inlineStr">
        <is>
          <t>R</t>
        </is>
      </c>
      <c r="U109" s="17" t="inlineStr">
        <is>
          <t>R</t>
        </is>
      </c>
      <c r="V109" s="17" t="n">
        <v>18</v>
      </c>
      <c r="W109" s="17" t="n">
        <v>46</v>
      </c>
      <c r="X109" s="17" t="n">
        <v>23</v>
      </c>
      <c r="Y109" s="17" t="n">
        <v>71</v>
      </c>
      <c r="Z109" s="17" t="n">
        <v>85</v>
      </c>
      <c r="AA109" s="17" t="n">
        <v>10</v>
      </c>
      <c r="AB109" s="17" t="n">
        <v>87</v>
      </c>
      <c r="AC109" s="17" t="n">
        <v>71</v>
      </c>
      <c r="AD109" s="17" t="n">
        <v>33</v>
      </c>
      <c r="AE109" s="17" t="n">
        <v>54</v>
      </c>
      <c r="AF109" s="17" t="n">
        <v>41</v>
      </c>
      <c r="AG109" s="17" t="n">
        <v>82</v>
      </c>
      <c r="AH109" s="17" t="n">
        <v>54</v>
      </c>
      <c r="AI109" s="5">
        <f>H$1*((-0.000002)*H109^3+0.00032*H109^2+(-0.0021)*H109)+I$1*((-0.000002)*I109^3+0.00032*I109^2+(-0.0021)*I109)+J$1*((-0.000002)*J109^3+0.00032*J109^2+(-0.0021)*J109)+K$1*((-0.000002)*K109^3+0.00032*K109^2+(-0.0021)*K109)+L$1*((-0.000002)*L109^3+0.00032*L109^2+(-0.0021)*L109)</f>
        <v/>
      </c>
      <c r="AJ109" s="5">
        <f>M$1*((-0.000002)*M109^3+0.00032*M109^2+(-0.0021)*M109)+N$1*((-0.000002)*N109^3+0.00032*N109^2+(-0.0021)*N109)+O$1*((-0.000002)*O109^3+0.00032*O109^2+(-0.0021)*O109)</f>
        <v/>
      </c>
      <c r="AK109" s="5">
        <f>IF(AA109&lt;50,W$1*((-0.000002)*W109^3+0.00032*W109^2+(-0.0021)*W109)+X$1*((-0.000002)*X109^3+0.00032*X109^2+(-0.0021)*X109)+Y$1*((-0.000002)*Y109^3+0.00032*Y109^2+(-0.0021)*Y109)+Z$1*((-0.000002)*Z109^3+0.00032*Z109^2+(-0.0021)*Z109),X$2*((-0.000002)*X109^3+0.00032*X109^2+(-0.0021)*X109)+Y$2*((-0.000002)*Y109^3+0.00032*Y109^2+(-0.0021)*Y109)+Z$2*((-0.000002)*Z109^3+0.00032*Z109^2+(-0.0021)*Z109)+AA$2*((-0.000002)*AA109^3+0.00032*AA109^2+(-0.0021)*AA109))</f>
        <v/>
      </c>
      <c r="AL109" s="5">
        <f>AB$1*((-0.000002)*AB109^3+0.00032*AB109^2+(-0.0021)*AB109)+AC$1*((-0.000002)*AC109^3+0.00032*AC109^2+(-0.0021)*AC109)</f>
        <v/>
      </c>
      <c r="AM109" s="5">
        <f>AD$1*((-0.000002)*AD109^3+0.00032*AD109^2+(-0.0021)*AD109)+AE$1*((-0.000002)*AE109^3+0.00032*AE109^2+(-0.0021)*AE109)+AF$1*((-0.000002)*AF109^3+0.00032*AF109^2+(-0.0021)*AF109)+AG$1*((-0.000002)*AG109^3+0.00032*AG109^2+(-0.0021)*AG109)</f>
        <v/>
      </c>
    </row>
    <row r="110" ht="15" customHeight="1" s="27" thickBot="1">
      <c r="A110" s="5">
        <f>(AI110*AI$3+AJ110*AJ$3+AK110*AK$3+AL110*AL$3+AM110*AM$3)*100/(AI$5*AI$3+AJ$5*AJ$3+AK$5*AK$3+AL$5*AL$3+AM$5*AM$3)</f>
        <v/>
      </c>
      <c r="B110" s="18" t="n">
        <v>24</v>
      </c>
      <c r="C110" s="11" t="inlineStr">
        <is>
          <t>Benitez, Tony</t>
        </is>
      </c>
      <c r="D110" s="19" t="inlineStr">
        <is>
          <t>P</t>
        </is>
      </c>
      <c r="E110" s="19" t="inlineStr">
        <is>
          <t>L</t>
        </is>
      </c>
      <c r="F110" s="19" t="inlineStr">
        <is>
          <t>L</t>
        </is>
      </c>
      <c r="G110" s="19" t="n">
        <v>18</v>
      </c>
      <c r="H110" s="19" t="n">
        <v>26</v>
      </c>
      <c r="I110" s="19" t="n">
        <v>8</v>
      </c>
      <c r="J110" s="19" t="n">
        <v>1</v>
      </c>
      <c r="K110" s="19" t="n">
        <v>37</v>
      </c>
      <c r="L110" s="19" t="n">
        <v>33</v>
      </c>
      <c r="M110" s="19" t="n">
        <v>18</v>
      </c>
      <c r="N110" s="19" t="n">
        <v>68</v>
      </c>
      <c r="O110" s="19" t="n">
        <v>68</v>
      </c>
      <c r="P110" s="19" t="n">
        <v>69</v>
      </c>
      <c r="Q110" s="18" t="n">
        <v>24</v>
      </c>
      <c r="R110" s="11" t="inlineStr">
        <is>
          <t>Benitez, Tony</t>
        </is>
      </c>
      <c r="S110" s="19" t="inlineStr">
        <is>
          <t>P</t>
        </is>
      </c>
      <c r="T110" s="19" t="inlineStr">
        <is>
          <t>L</t>
        </is>
      </c>
      <c r="U110" s="19" t="inlineStr">
        <is>
          <t>L</t>
        </is>
      </c>
      <c r="V110" s="19" t="n">
        <v>18</v>
      </c>
      <c r="W110" s="19" t="n">
        <v>46</v>
      </c>
      <c r="X110" s="19" t="n">
        <v>21</v>
      </c>
      <c r="Y110" s="19" t="n">
        <v>85</v>
      </c>
      <c r="Z110" s="19" t="n">
        <v>23</v>
      </c>
      <c r="AA110" s="19" t="n">
        <v>5</v>
      </c>
      <c r="AB110" s="19" t="n">
        <v>48</v>
      </c>
      <c r="AC110" s="19" t="n">
        <v>74</v>
      </c>
      <c r="AD110" s="19" t="n">
        <v>25</v>
      </c>
      <c r="AE110" s="19" t="n">
        <v>77</v>
      </c>
      <c r="AF110" s="19" t="n">
        <v>43</v>
      </c>
      <c r="AG110" s="19" t="n">
        <v>89</v>
      </c>
      <c r="AH110" s="19" t="n">
        <v>69</v>
      </c>
      <c r="AI110" s="5">
        <f>H$1*((-0.000002)*H110^3+0.00032*H110^2+(-0.0021)*H110)+I$1*((-0.000002)*I110^3+0.00032*I110^2+(-0.0021)*I110)+J$1*((-0.000002)*J110^3+0.00032*J110^2+(-0.0021)*J110)+K$1*((-0.000002)*K110^3+0.00032*K110^2+(-0.0021)*K110)+L$1*((-0.000002)*L110^3+0.00032*L110^2+(-0.0021)*L110)</f>
        <v/>
      </c>
      <c r="AJ110" s="5">
        <f>M$1*((-0.000002)*M110^3+0.00032*M110^2+(-0.0021)*M110)+N$1*((-0.000002)*N110^3+0.00032*N110^2+(-0.0021)*N110)+O$1*((-0.000002)*O110^3+0.00032*O110^2+(-0.0021)*O110)</f>
        <v/>
      </c>
      <c r="AK110" s="5">
        <f>IF(AA110&lt;50,W$1*((-0.000002)*W110^3+0.00032*W110^2+(-0.0021)*W110)+X$1*((-0.000002)*X110^3+0.00032*X110^2+(-0.0021)*X110)+Y$1*((-0.000002)*Y110^3+0.00032*Y110^2+(-0.0021)*Y110)+Z$1*((-0.000002)*Z110^3+0.00032*Z110^2+(-0.0021)*Z110),X$2*((-0.000002)*X110^3+0.00032*X110^2+(-0.0021)*X110)+Y$2*((-0.000002)*Y110^3+0.00032*Y110^2+(-0.0021)*Y110)+Z$2*((-0.000002)*Z110^3+0.00032*Z110^2+(-0.0021)*Z110)+AA$2*((-0.000002)*AA110^3+0.00032*AA110^2+(-0.0021)*AA110))</f>
        <v/>
      </c>
      <c r="AL110" s="5">
        <f>AB$1*((-0.000002)*AB110^3+0.00032*AB110^2+(-0.0021)*AB110)+AC$1*((-0.000002)*AC110^3+0.00032*AC110^2+(-0.0021)*AC110)</f>
        <v/>
      </c>
      <c r="AM110" s="5">
        <f>AD$1*((-0.000002)*AD110^3+0.00032*AD110^2+(-0.0021)*AD110)+AE$1*((-0.000002)*AE110^3+0.00032*AE110^2+(-0.0021)*AE110)+AF$1*((-0.000002)*AF110^3+0.00032*AF110^2+(-0.0021)*AF110)+AG$1*((-0.000002)*AG110^3+0.00032*AG110^2+(-0.0021)*AG110)</f>
        <v/>
      </c>
    </row>
    <row r="111" ht="15" customHeight="1" s="27" thickBot="1">
      <c r="A111" s="5">
        <f>(AI111*AI$3+AJ111*AJ$3+AK111*AK$3+AL111*AL$3+AM111*AM$3)*100/(AI$5*AI$3+AJ$5*AJ$3+AK$5*AK$3+AL$5*AL$3+AM$5*AM$3)</f>
        <v/>
      </c>
      <c r="B111" s="18" t="n">
        <v>194</v>
      </c>
      <c r="C111" s="11" t="inlineStr">
        <is>
          <t>Aybar, Addison</t>
        </is>
      </c>
      <c r="D111" s="19" t="inlineStr">
        <is>
          <t>DH</t>
        </is>
      </c>
      <c r="E111" s="19" t="inlineStr">
        <is>
          <t>L</t>
        </is>
      </c>
      <c r="F111" s="19" t="inlineStr">
        <is>
          <t>R</t>
        </is>
      </c>
      <c r="G111" s="19" t="n">
        <v>18</v>
      </c>
      <c r="H111" s="19" t="n">
        <v>37</v>
      </c>
      <c r="I111" s="19" t="n">
        <v>31</v>
      </c>
      <c r="J111" s="19" t="n">
        <v>28</v>
      </c>
      <c r="K111" s="19" t="n">
        <v>22</v>
      </c>
      <c r="L111" s="19" t="n">
        <v>29</v>
      </c>
      <c r="M111" s="19" t="n">
        <v>36</v>
      </c>
      <c r="N111" s="19" t="n">
        <v>51</v>
      </c>
      <c r="O111" s="19" t="n">
        <v>32</v>
      </c>
      <c r="P111" s="19" t="n">
        <v>43</v>
      </c>
      <c r="Q111" s="18" t="n">
        <v>194</v>
      </c>
      <c r="R111" s="11" t="inlineStr">
        <is>
          <t>Aybar, Addison</t>
        </is>
      </c>
      <c r="S111" s="19" t="inlineStr">
        <is>
          <t>DH</t>
        </is>
      </c>
      <c r="T111" s="19" t="inlineStr">
        <is>
          <t>L</t>
        </is>
      </c>
      <c r="U111" s="19" t="inlineStr">
        <is>
          <t>R</t>
        </is>
      </c>
      <c r="V111" s="19" t="n">
        <v>18</v>
      </c>
      <c r="W111" s="19" t="n">
        <v>21</v>
      </c>
      <c r="X111" s="19" t="n">
        <v>10</v>
      </c>
      <c r="Y111" s="19" t="n">
        <v>56</v>
      </c>
      <c r="Z111" s="19" t="n">
        <v>55</v>
      </c>
      <c r="AA111" s="19" t="n">
        <v>52</v>
      </c>
      <c r="AB111" s="19" t="n">
        <v>84</v>
      </c>
      <c r="AC111" s="19" t="n">
        <v>79</v>
      </c>
      <c r="AD111" s="19" t="n">
        <v>22</v>
      </c>
      <c r="AE111" s="19" t="n">
        <v>59</v>
      </c>
      <c r="AF111" s="19" t="n">
        <v>14</v>
      </c>
      <c r="AG111" s="19" t="n">
        <v>63</v>
      </c>
      <c r="AH111" s="19" t="n">
        <v>43</v>
      </c>
      <c r="AI111" s="5">
        <f>H$1*((-0.000002)*H111^3+0.00032*H111^2+(-0.0021)*H111)+I$1*((-0.000002)*I111^3+0.00032*I111^2+(-0.0021)*I111)+J$1*((-0.000002)*J111^3+0.00032*J111^2+(-0.0021)*J111)+K$1*((-0.000002)*K111^3+0.00032*K111^2+(-0.0021)*K111)+L$1*((-0.000002)*L111^3+0.00032*L111^2+(-0.0021)*L111)</f>
        <v/>
      </c>
      <c r="AJ111" s="5">
        <f>M$1*((-0.000002)*M111^3+0.00032*M111^2+(-0.0021)*M111)+N$1*((-0.000002)*N111^3+0.00032*N111^2+(-0.0021)*N111)+O$1*((-0.000002)*O111^3+0.00032*O111^2+(-0.0021)*O111)</f>
        <v/>
      </c>
      <c r="AK111" s="5">
        <f>IF(AA111&lt;50,W$1*((-0.000002)*W111^3+0.00032*W111^2+(-0.0021)*W111)+X$1*((-0.000002)*X111^3+0.00032*X111^2+(-0.0021)*X111)+Y$1*((-0.000002)*Y111^3+0.00032*Y111^2+(-0.0021)*Y111)+Z$1*((-0.000002)*Z111^3+0.00032*Z111^2+(-0.0021)*Z111),X$2*((-0.000002)*X111^3+0.00032*X111^2+(-0.0021)*X111)+Y$2*((-0.000002)*Y111^3+0.00032*Y111^2+(-0.0021)*Y111)+Z$2*((-0.000002)*Z111^3+0.00032*Z111^2+(-0.0021)*Z111)+AA$2*((-0.000002)*AA111^3+0.00032*AA111^2+(-0.0021)*AA111))</f>
        <v/>
      </c>
      <c r="AL111" s="5">
        <f>AB$1*((-0.000002)*AB111^3+0.00032*AB111^2+(-0.0021)*AB111)+AC$1*((-0.000002)*AC111^3+0.00032*AC111^2+(-0.0021)*AC111)</f>
        <v/>
      </c>
      <c r="AM111" s="5">
        <f>AD$1*((-0.000002)*AD111^3+0.00032*AD111^2+(-0.0021)*AD111)+AE$1*((-0.000002)*AE111^3+0.00032*AE111^2+(-0.0021)*AE111)+AF$1*((-0.000002)*AF111^3+0.00032*AF111^2+(-0.0021)*AF111)+AG$1*((-0.000002)*AG111^3+0.00032*AG111^2+(-0.0021)*AG111)</f>
        <v/>
      </c>
    </row>
    <row r="112" ht="15" customHeight="1" s="27" thickBot="1">
      <c r="A112" s="5">
        <f>(AI112*AI$3+AJ112*AJ$3+AK112*AK$3+AL112*AL$3+AM112*AM$3)*100/(AI$5*AI$3+AJ$5*AJ$3+AK$5*AK$3+AL$5*AL$3+AM$5*AM$3)</f>
        <v/>
      </c>
      <c r="B112" s="16" t="n">
        <v>9</v>
      </c>
      <c r="C112" s="10" t="inlineStr">
        <is>
          <t>Capuano, Boone</t>
        </is>
      </c>
      <c r="D112" s="17" t="inlineStr">
        <is>
          <t>P</t>
        </is>
      </c>
      <c r="E112" s="17" t="inlineStr">
        <is>
          <t>R</t>
        </is>
      </c>
      <c r="F112" s="17" t="inlineStr">
        <is>
          <t>R</t>
        </is>
      </c>
      <c r="G112" s="17" t="n">
        <v>18</v>
      </c>
      <c r="H112" s="17" t="n">
        <v>27</v>
      </c>
      <c r="I112" s="17" t="n">
        <v>15</v>
      </c>
      <c r="J112" s="17" t="n">
        <v>34</v>
      </c>
      <c r="K112" s="17" t="n">
        <v>18</v>
      </c>
      <c r="L112" s="17" t="n">
        <v>13</v>
      </c>
      <c r="M112" s="17" t="n">
        <v>20</v>
      </c>
      <c r="N112" s="17" t="n">
        <v>72</v>
      </c>
      <c r="O112" s="17" t="n">
        <v>61</v>
      </c>
      <c r="P112" s="17" t="n">
        <v>77</v>
      </c>
      <c r="Q112" s="16" t="n">
        <v>9</v>
      </c>
      <c r="R112" s="10" t="inlineStr">
        <is>
          <t>Capuano, Boone</t>
        </is>
      </c>
      <c r="S112" s="17" t="inlineStr">
        <is>
          <t>P</t>
        </is>
      </c>
      <c r="T112" s="17" t="inlineStr">
        <is>
          <t>R</t>
        </is>
      </c>
      <c r="U112" s="17" t="inlineStr">
        <is>
          <t>R</t>
        </is>
      </c>
      <c r="V112" s="17" t="n">
        <v>18</v>
      </c>
      <c r="W112" s="17" t="n">
        <v>51</v>
      </c>
      <c r="X112" s="17" t="n">
        <v>53</v>
      </c>
      <c r="Y112" s="17" t="n">
        <v>20</v>
      </c>
      <c r="Z112" s="17" t="n">
        <v>84</v>
      </c>
      <c r="AA112" s="17" t="n">
        <v>23</v>
      </c>
      <c r="AB112" s="17" t="n">
        <v>29</v>
      </c>
      <c r="AC112" s="17" t="n">
        <v>92</v>
      </c>
      <c r="AD112" s="17" t="n">
        <v>37</v>
      </c>
      <c r="AE112" s="17" t="n">
        <v>54</v>
      </c>
      <c r="AF112" s="17" t="n">
        <v>31</v>
      </c>
      <c r="AG112" s="17" t="n">
        <v>70</v>
      </c>
      <c r="AH112" s="17" t="n">
        <v>77</v>
      </c>
      <c r="AI112" s="5">
        <f>H$1*((-0.000002)*H112^3+0.00032*H112^2+(-0.0021)*H112)+I$1*((-0.000002)*I112^3+0.00032*I112^2+(-0.0021)*I112)+J$1*((-0.000002)*J112^3+0.00032*J112^2+(-0.0021)*J112)+K$1*((-0.000002)*K112^3+0.00032*K112^2+(-0.0021)*K112)+L$1*((-0.000002)*L112^3+0.00032*L112^2+(-0.0021)*L112)</f>
        <v/>
      </c>
      <c r="AJ112" s="5">
        <f>M$1*((-0.000002)*M112^3+0.00032*M112^2+(-0.0021)*M112)+N$1*((-0.000002)*N112^3+0.00032*N112^2+(-0.0021)*N112)+O$1*((-0.000002)*O112^3+0.00032*O112^2+(-0.0021)*O112)</f>
        <v/>
      </c>
      <c r="AK112" s="5">
        <f>IF(AA112&lt;50,W$1*((-0.000002)*W112^3+0.00032*W112^2+(-0.0021)*W112)+X$1*((-0.000002)*X112^3+0.00032*X112^2+(-0.0021)*X112)+Y$1*((-0.000002)*Y112^3+0.00032*Y112^2+(-0.0021)*Y112)+Z$1*((-0.000002)*Z112^3+0.00032*Z112^2+(-0.0021)*Z112),X$2*((-0.000002)*X112^3+0.00032*X112^2+(-0.0021)*X112)+Y$2*((-0.000002)*Y112^3+0.00032*Y112^2+(-0.0021)*Y112)+Z$2*((-0.000002)*Z112^3+0.00032*Z112^2+(-0.0021)*Z112)+AA$2*((-0.000002)*AA112^3+0.00032*AA112^2+(-0.0021)*AA112))</f>
        <v/>
      </c>
      <c r="AL112" s="5">
        <f>AB$1*((-0.000002)*AB112^3+0.00032*AB112^2+(-0.0021)*AB112)+AC$1*((-0.000002)*AC112^3+0.00032*AC112^2+(-0.0021)*AC112)</f>
        <v/>
      </c>
      <c r="AM112" s="5">
        <f>AD$1*((-0.000002)*AD112^3+0.00032*AD112^2+(-0.0021)*AD112)+AE$1*((-0.000002)*AE112^3+0.00032*AE112^2+(-0.0021)*AE112)+AF$1*((-0.000002)*AF112^3+0.00032*AF112^2+(-0.0021)*AF112)+AG$1*((-0.000002)*AG112^3+0.00032*AG112^2+(-0.0021)*AG112)</f>
        <v/>
      </c>
    </row>
    <row r="113" ht="15" customHeight="1" s="27" thickBot="1">
      <c r="A113" s="5">
        <f>(AI113*AI$3+AJ113*AJ$3+AK113*AK$3+AL113*AL$3+AM113*AM$3)*100/(AI$5*AI$3+AJ$5*AJ$3+AK$5*AK$3+AL$5*AL$3+AM$5*AM$3)</f>
        <v/>
      </c>
      <c r="B113" s="16" t="n">
        <v>75</v>
      </c>
      <c r="C113" s="10" t="inlineStr">
        <is>
          <t>Montas, Marquis</t>
        </is>
      </c>
      <c r="D113" s="17" t="inlineStr">
        <is>
          <t>P</t>
        </is>
      </c>
      <c r="E113" s="17" t="inlineStr">
        <is>
          <t>L</t>
        </is>
      </c>
      <c r="F113" s="17" t="inlineStr">
        <is>
          <t>L</t>
        </is>
      </c>
      <c r="G113" s="17" t="n">
        <v>18</v>
      </c>
      <c r="H113" s="17" t="n">
        <v>26</v>
      </c>
      <c r="I113" s="17" t="n">
        <v>9</v>
      </c>
      <c r="J113" s="17" t="n">
        <v>6</v>
      </c>
      <c r="K113" s="17" t="n">
        <v>31</v>
      </c>
      <c r="L113" s="17" t="n">
        <v>13</v>
      </c>
      <c r="M113" s="17" t="n">
        <v>12</v>
      </c>
      <c r="N113" s="17" t="n">
        <v>55</v>
      </c>
      <c r="O113" s="17" t="n">
        <v>75</v>
      </c>
      <c r="P113" s="17" t="n">
        <v>56</v>
      </c>
      <c r="Q113" s="16" t="n">
        <v>75</v>
      </c>
      <c r="R113" s="10" t="inlineStr">
        <is>
          <t>Montas, Marquis</t>
        </is>
      </c>
      <c r="S113" s="17" t="inlineStr">
        <is>
          <t>P</t>
        </is>
      </c>
      <c r="T113" s="17" t="inlineStr">
        <is>
          <t>L</t>
        </is>
      </c>
      <c r="U113" s="17" t="inlineStr">
        <is>
          <t>L</t>
        </is>
      </c>
      <c r="V113" s="17" t="n">
        <v>18</v>
      </c>
      <c r="W113" s="17" t="n">
        <v>2</v>
      </c>
      <c r="X113" s="17" t="n">
        <v>45</v>
      </c>
      <c r="Y113" s="17" t="n">
        <v>85</v>
      </c>
      <c r="Z113" s="17" t="n">
        <v>59</v>
      </c>
      <c r="AA113" s="17" t="n">
        <v>36</v>
      </c>
      <c r="AB113" s="17" t="n">
        <v>82</v>
      </c>
      <c r="AC113" s="17" t="n">
        <v>82</v>
      </c>
      <c r="AD113" s="17" t="n">
        <v>22</v>
      </c>
      <c r="AE113" s="17" t="n">
        <v>26</v>
      </c>
      <c r="AF113" s="17" t="n">
        <v>77</v>
      </c>
      <c r="AG113" s="17" t="n">
        <v>80</v>
      </c>
      <c r="AH113" s="17" t="n">
        <v>56</v>
      </c>
      <c r="AI113" s="5">
        <f>H$1*((-0.000002)*H113^3+0.00032*H113^2+(-0.0021)*H113)+I$1*((-0.000002)*I113^3+0.00032*I113^2+(-0.0021)*I113)+J$1*((-0.000002)*J113^3+0.00032*J113^2+(-0.0021)*J113)+K$1*((-0.000002)*K113^3+0.00032*K113^2+(-0.0021)*K113)+L$1*((-0.000002)*L113^3+0.00032*L113^2+(-0.0021)*L113)</f>
        <v/>
      </c>
      <c r="AJ113" s="5">
        <f>M$1*((-0.000002)*M113^3+0.00032*M113^2+(-0.0021)*M113)+N$1*((-0.000002)*N113^3+0.00032*N113^2+(-0.0021)*N113)+O$1*((-0.000002)*O113^3+0.00032*O113^2+(-0.0021)*O113)</f>
        <v/>
      </c>
      <c r="AK113" s="5">
        <f>IF(AA113&lt;50,W$1*((-0.000002)*W113^3+0.00032*W113^2+(-0.0021)*W113)+X$1*((-0.000002)*X113^3+0.00032*X113^2+(-0.0021)*X113)+Y$1*((-0.000002)*Y113^3+0.00032*Y113^2+(-0.0021)*Y113)+Z$1*((-0.000002)*Z113^3+0.00032*Z113^2+(-0.0021)*Z113),X$2*((-0.000002)*X113^3+0.00032*X113^2+(-0.0021)*X113)+Y$2*((-0.000002)*Y113^3+0.00032*Y113^2+(-0.0021)*Y113)+Z$2*((-0.000002)*Z113^3+0.00032*Z113^2+(-0.0021)*Z113)+AA$2*((-0.000002)*AA113^3+0.00032*AA113^2+(-0.0021)*AA113))</f>
        <v/>
      </c>
      <c r="AL113" s="5">
        <f>AB$1*((-0.000002)*AB113^3+0.00032*AB113^2+(-0.0021)*AB113)+AC$1*((-0.000002)*AC113^3+0.00032*AC113^2+(-0.0021)*AC113)</f>
        <v/>
      </c>
      <c r="AM113" s="5">
        <f>AD$1*((-0.000002)*AD113^3+0.00032*AD113^2+(-0.0021)*AD113)+AE$1*((-0.000002)*AE113^3+0.00032*AE113^2+(-0.0021)*AE113)+AF$1*((-0.000002)*AF113^3+0.00032*AF113^2+(-0.0021)*AF113)+AG$1*((-0.000002)*AG113^3+0.00032*AG113^2+(-0.0021)*AG113)</f>
        <v/>
      </c>
    </row>
    <row r="114" ht="15" customHeight="1" s="27" thickBot="1">
      <c r="A114" s="5">
        <f>(AI114*AI$3+AJ114*AJ$3+AK114*AK$3+AL114*AL$3+AM114*AM$3)*100/(AI$5*AI$3+AJ$5*AJ$3+AK$5*AK$3+AL$5*AL$3+AM$5*AM$3)</f>
        <v/>
      </c>
      <c r="B114" s="16" t="n">
        <v>33</v>
      </c>
      <c r="C114" s="10" t="inlineStr">
        <is>
          <t>Nelson, Kordell</t>
        </is>
      </c>
      <c r="D114" s="17" t="inlineStr">
        <is>
          <t>P</t>
        </is>
      </c>
      <c r="E114" s="17" t="inlineStr">
        <is>
          <t>L</t>
        </is>
      </c>
      <c r="F114" s="17" t="inlineStr">
        <is>
          <t>L</t>
        </is>
      </c>
      <c r="G114" s="17" t="n">
        <v>18</v>
      </c>
      <c r="H114" s="17" t="n">
        <v>37</v>
      </c>
      <c r="I114" s="17" t="n">
        <v>6</v>
      </c>
      <c r="J114" s="17" t="n">
        <v>11</v>
      </c>
      <c r="K114" s="17" t="n">
        <v>44</v>
      </c>
      <c r="L114" s="17" t="n">
        <v>28</v>
      </c>
      <c r="M114" s="17" t="n">
        <v>20</v>
      </c>
      <c r="N114" s="17" t="n">
        <v>71</v>
      </c>
      <c r="O114" s="17" t="n">
        <v>53</v>
      </c>
      <c r="P114" s="17" t="n">
        <v>66</v>
      </c>
      <c r="Q114" s="16" t="n">
        <v>33</v>
      </c>
      <c r="R114" s="10" t="inlineStr">
        <is>
          <t>Nelson, Kordell</t>
        </is>
      </c>
      <c r="S114" s="17" t="inlineStr">
        <is>
          <t>P</t>
        </is>
      </c>
      <c r="T114" s="17" t="inlineStr">
        <is>
          <t>L</t>
        </is>
      </c>
      <c r="U114" s="17" t="inlineStr">
        <is>
          <t>L</t>
        </is>
      </c>
      <c r="V114" s="17" t="n">
        <v>18</v>
      </c>
      <c r="W114" s="17" t="n">
        <v>2</v>
      </c>
      <c r="X114" s="17" t="n">
        <v>38</v>
      </c>
      <c r="Y114" s="17" t="n">
        <v>39</v>
      </c>
      <c r="Z114" s="17" t="n">
        <v>70</v>
      </c>
      <c r="AA114" s="17" t="n">
        <v>29</v>
      </c>
      <c r="AB114" s="17" t="n">
        <v>37</v>
      </c>
      <c r="AC114" s="17" t="n">
        <v>68</v>
      </c>
      <c r="AD114" s="17" t="n">
        <v>25</v>
      </c>
      <c r="AE114" s="17" t="n">
        <v>85</v>
      </c>
      <c r="AF114" s="17" t="n">
        <v>14</v>
      </c>
      <c r="AG114" s="17" t="n">
        <v>83</v>
      </c>
      <c r="AH114" s="17" t="n">
        <v>66</v>
      </c>
      <c r="AI114" s="5">
        <f>H$1*((-0.000002)*H114^3+0.00032*H114^2+(-0.0021)*H114)+I$1*((-0.000002)*I114^3+0.00032*I114^2+(-0.0021)*I114)+J$1*((-0.000002)*J114^3+0.00032*J114^2+(-0.0021)*J114)+K$1*((-0.000002)*K114^3+0.00032*K114^2+(-0.0021)*K114)+L$1*((-0.000002)*L114^3+0.00032*L114^2+(-0.0021)*L114)</f>
        <v/>
      </c>
      <c r="AJ114" s="5">
        <f>M$1*((-0.000002)*M114^3+0.00032*M114^2+(-0.0021)*M114)+N$1*((-0.000002)*N114^3+0.00032*N114^2+(-0.0021)*N114)+O$1*((-0.000002)*O114^3+0.00032*O114^2+(-0.0021)*O114)</f>
        <v/>
      </c>
      <c r="AK114" s="5">
        <f>IF(AA114&lt;50,W$1*((-0.000002)*W114^3+0.00032*W114^2+(-0.0021)*W114)+X$1*((-0.000002)*X114^3+0.00032*X114^2+(-0.0021)*X114)+Y$1*((-0.000002)*Y114^3+0.00032*Y114^2+(-0.0021)*Y114)+Z$1*((-0.000002)*Z114^3+0.00032*Z114^2+(-0.0021)*Z114),X$2*((-0.000002)*X114^3+0.00032*X114^2+(-0.0021)*X114)+Y$2*((-0.000002)*Y114^3+0.00032*Y114^2+(-0.0021)*Y114)+Z$2*((-0.000002)*Z114^3+0.00032*Z114^2+(-0.0021)*Z114)+AA$2*((-0.000002)*AA114^3+0.00032*AA114^2+(-0.0021)*AA114))</f>
        <v/>
      </c>
      <c r="AL114" s="5">
        <f>AB$1*((-0.000002)*AB114^3+0.00032*AB114^2+(-0.0021)*AB114)+AC$1*((-0.000002)*AC114^3+0.00032*AC114^2+(-0.0021)*AC114)</f>
        <v/>
      </c>
      <c r="AM114" s="5">
        <f>AD$1*((-0.000002)*AD114^3+0.00032*AD114^2+(-0.0021)*AD114)+AE$1*((-0.000002)*AE114^3+0.00032*AE114^2+(-0.0021)*AE114)+AF$1*((-0.000002)*AF114^3+0.00032*AF114^2+(-0.0021)*AF114)+AG$1*((-0.000002)*AG114^3+0.00032*AG114^2+(-0.0021)*AG114)</f>
        <v/>
      </c>
    </row>
    <row r="115" ht="15" customHeight="1" s="27" thickBot="1">
      <c r="A115" s="5">
        <f>(AI115*AI$3+AJ115*AJ$3+AK115*AK$3+AL115*AL$3+AM115*AM$3)*100/(AI$5*AI$3+AJ$5*AJ$3+AK$5*AK$3+AL$5*AL$3+AM$5*AM$3)</f>
        <v/>
      </c>
      <c r="B115" s="16" t="n">
        <v>29</v>
      </c>
      <c r="C115" s="10" t="inlineStr">
        <is>
          <t>Kent, Stewart</t>
        </is>
      </c>
      <c r="D115" s="17" t="inlineStr">
        <is>
          <t>P</t>
        </is>
      </c>
      <c r="E115" s="17" t="inlineStr">
        <is>
          <t>S</t>
        </is>
      </c>
      <c r="F115" s="17" t="inlineStr">
        <is>
          <t>L</t>
        </is>
      </c>
      <c r="G115" s="17" t="n">
        <v>18</v>
      </c>
      <c r="H115" s="17" t="n">
        <v>11</v>
      </c>
      <c r="I115" s="17" t="n">
        <v>0</v>
      </c>
      <c r="J115" s="17" t="n">
        <v>28</v>
      </c>
      <c r="K115" s="17" t="n">
        <v>34</v>
      </c>
      <c r="L115" s="17" t="n">
        <v>19</v>
      </c>
      <c r="M115" s="17" t="n">
        <v>14</v>
      </c>
      <c r="N115" s="17" t="n">
        <v>64</v>
      </c>
      <c r="O115" s="17" t="n">
        <v>71</v>
      </c>
      <c r="P115" s="17" t="n">
        <v>67</v>
      </c>
      <c r="Q115" s="16" t="n">
        <v>29</v>
      </c>
      <c r="R115" s="10" t="inlineStr">
        <is>
          <t>Kent, Stewart</t>
        </is>
      </c>
      <c r="S115" s="17" t="inlineStr">
        <is>
          <t>P</t>
        </is>
      </c>
      <c r="T115" s="17" t="inlineStr">
        <is>
          <t>S</t>
        </is>
      </c>
      <c r="U115" s="17" t="inlineStr">
        <is>
          <t>L</t>
        </is>
      </c>
      <c r="V115" s="17" t="n">
        <v>18</v>
      </c>
      <c r="W115" s="17" t="n">
        <v>29</v>
      </c>
      <c r="X115" s="17" t="n">
        <v>43</v>
      </c>
      <c r="Y115" s="17" t="n">
        <v>42</v>
      </c>
      <c r="Z115" s="17" t="n">
        <v>95</v>
      </c>
      <c r="AA115" s="17" t="n">
        <v>26</v>
      </c>
      <c r="AB115" s="17" t="n">
        <v>31</v>
      </c>
      <c r="AC115" s="17" t="n">
        <v>100</v>
      </c>
      <c r="AD115" s="17" t="n">
        <v>39</v>
      </c>
      <c r="AE115" s="17" t="n">
        <v>30</v>
      </c>
      <c r="AF115" s="17" t="n">
        <v>43</v>
      </c>
      <c r="AG115" s="17" t="n">
        <v>89</v>
      </c>
      <c r="AH115" s="17" t="n">
        <v>67</v>
      </c>
      <c r="AI115" s="5">
        <f>H$1*((-0.000002)*H115^3+0.00032*H115^2+(-0.0021)*H115)+I$1*((-0.000002)*I115^3+0.00032*I115^2+(-0.0021)*I115)+J$1*((-0.000002)*J115^3+0.00032*J115^2+(-0.0021)*J115)+K$1*((-0.000002)*K115^3+0.00032*K115^2+(-0.0021)*K115)+L$1*((-0.000002)*L115^3+0.00032*L115^2+(-0.0021)*L115)</f>
        <v/>
      </c>
      <c r="AJ115" s="5">
        <f>M$1*((-0.000002)*M115^3+0.00032*M115^2+(-0.0021)*M115)+N$1*((-0.000002)*N115^3+0.00032*N115^2+(-0.0021)*N115)+O$1*((-0.000002)*O115^3+0.00032*O115^2+(-0.0021)*O115)</f>
        <v/>
      </c>
      <c r="AK115" s="5">
        <f>IF(AA115&lt;50,W$1*((-0.000002)*W115^3+0.00032*W115^2+(-0.0021)*W115)+X$1*((-0.000002)*X115^3+0.00032*X115^2+(-0.0021)*X115)+Y$1*((-0.000002)*Y115^3+0.00032*Y115^2+(-0.0021)*Y115)+Z$1*((-0.000002)*Z115^3+0.00032*Z115^2+(-0.0021)*Z115),X$2*((-0.000002)*X115^3+0.00032*X115^2+(-0.0021)*X115)+Y$2*((-0.000002)*Y115^3+0.00032*Y115^2+(-0.0021)*Y115)+Z$2*((-0.000002)*Z115^3+0.00032*Z115^2+(-0.0021)*Z115)+AA$2*((-0.000002)*AA115^3+0.00032*AA115^2+(-0.0021)*AA115))</f>
        <v/>
      </c>
      <c r="AL115" s="5">
        <f>AB$1*((-0.000002)*AB115^3+0.00032*AB115^2+(-0.0021)*AB115)+AC$1*((-0.000002)*AC115^3+0.00032*AC115^2+(-0.0021)*AC115)</f>
        <v/>
      </c>
      <c r="AM115" s="5">
        <f>AD$1*((-0.000002)*AD115^3+0.00032*AD115^2+(-0.0021)*AD115)+AE$1*((-0.000002)*AE115^3+0.00032*AE115^2+(-0.0021)*AE115)+AF$1*((-0.000002)*AF115^3+0.00032*AF115^2+(-0.0021)*AF115)+AG$1*((-0.000002)*AG115^3+0.00032*AG115^2+(-0.0021)*AG115)</f>
        <v/>
      </c>
    </row>
    <row r="116" ht="15" customHeight="1" s="27" thickBot="1">
      <c r="A116" s="5">
        <f>(AI116*AI$3+AJ116*AJ$3+AK116*AK$3+AL116*AL$3+AM116*AM$3)*100/(AI$5*AI$3+AJ$5*AJ$3+AK$5*AK$3+AL$5*AL$3+AM$5*AM$3)</f>
        <v/>
      </c>
      <c r="B116" s="18" t="n">
        <v>54</v>
      </c>
      <c r="C116" s="11" t="inlineStr">
        <is>
          <t>Oswalt, Gaylord</t>
        </is>
      </c>
      <c r="D116" s="19" t="inlineStr">
        <is>
          <t>P</t>
        </is>
      </c>
      <c r="E116" s="19" t="inlineStr">
        <is>
          <t>L</t>
        </is>
      </c>
      <c r="F116" s="19" t="inlineStr">
        <is>
          <t>L</t>
        </is>
      </c>
      <c r="G116" s="19" t="n">
        <v>18</v>
      </c>
      <c r="H116" s="19" t="n">
        <v>27</v>
      </c>
      <c r="I116" s="19" t="n">
        <v>8</v>
      </c>
      <c r="J116" s="19" t="n">
        <v>21</v>
      </c>
      <c r="K116" s="19" t="n">
        <v>32</v>
      </c>
      <c r="L116" s="19" t="n">
        <v>22</v>
      </c>
      <c r="M116" s="19" t="n">
        <v>15</v>
      </c>
      <c r="N116" s="19" t="n">
        <v>70</v>
      </c>
      <c r="O116" s="19" t="n">
        <v>76</v>
      </c>
      <c r="P116" s="19" t="n">
        <v>61</v>
      </c>
      <c r="Q116" s="18" t="n">
        <v>54</v>
      </c>
      <c r="R116" s="11" t="inlineStr">
        <is>
          <t>Oswalt, Gaylord</t>
        </is>
      </c>
      <c r="S116" s="19" t="inlineStr">
        <is>
          <t>P</t>
        </is>
      </c>
      <c r="T116" s="19" t="inlineStr">
        <is>
          <t>L</t>
        </is>
      </c>
      <c r="U116" s="19" t="inlineStr">
        <is>
          <t>L</t>
        </is>
      </c>
      <c r="V116" s="19" t="n">
        <v>18</v>
      </c>
      <c r="W116" s="19" t="n">
        <v>43</v>
      </c>
      <c r="X116" s="19" t="n">
        <v>29</v>
      </c>
      <c r="Y116" s="19" t="n">
        <v>84</v>
      </c>
      <c r="Z116" s="19" t="n">
        <v>39</v>
      </c>
      <c r="AA116" s="19" t="n">
        <v>30</v>
      </c>
      <c r="AB116" s="19" t="n">
        <v>30</v>
      </c>
      <c r="AC116" s="19" t="n">
        <v>91</v>
      </c>
      <c r="AD116" s="19" t="n">
        <v>18</v>
      </c>
      <c r="AE116" s="19" t="n">
        <v>92</v>
      </c>
      <c r="AF116" s="19" t="n">
        <v>50</v>
      </c>
      <c r="AG116" s="19" t="n">
        <v>60</v>
      </c>
      <c r="AH116" s="19" t="n">
        <v>61</v>
      </c>
      <c r="AI116" s="5">
        <f>H$1*((-0.000002)*H116^3+0.00032*H116^2+(-0.0021)*H116)+I$1*((-0.000002)*I116^3+0.00032*I116^2+(-0.0021)*I116)+J$1*((-0.000002)*J116^3+0.00032*J116^2+(-0.0021)*J116)+K$1*((-0.000002)*K116^3+0.00032*K116^2+(-0.0021)*K116)+L$1*((-0.000002)*L116^3+0.00032*L116^2+(-0.0021)*L116)</f>
        <v/>
      </c>
      <c r="AJ116" s="5">
        <f>M$1*((-0.000002)*M116^3+0.00032*M116^2+(-0.0021)*M116)+N$1*((-0.000002)*N116^3+0.00032*N116^2+(-0.0021)*N116)+O$1*((-0.000002)*O116^3+0.00032*O116^2+(-0.0021)*O116)</f>
        <v/>
      </c>
      <c r="AK116" s="5">
        <f>IF(AA116&lt;50,W$1*((-0.000002)*W116^3+0.00032*W116^2+(-0.0021)*W116)+X$1*((-0.000002)*X116^3+0.00032*X116^2+(-0.0021)*X116)+Y$1*((-0.000002)*Y116^3+0.00032*Y116^2+(-0.0021)*Y116)+Z$1*((-0.000002)*Z116^3+0.00032*Z116^2+(-0.0021)*Z116),X$2*((-0.000002)*X116^3+0.00032*X116^2+(-0.0021)*X116)+Y$2*((-0.000002)*Y116^3+0.00032*Y116^2+(-0.0021)*Y116)+Z$2*((-0.000002)*Z116^3+0.00032*Z116^2+(-0.0021)*Z116)+AA$2*((-0.000002)*AA116^3+0.00032*AA116^2+(-0.0021)*AA116))</f>
        <v/>
      </c>
      <c r="AL116" s="5">
        <f>AB$1*((-0.000002)*AB116^3+0.00032*AB116^2+(-0.0021)*AB116)+AC$1*((-0.000002)*AC116^3+0.00032*AC116^2+(-0.0021)*AC116)</f>
        <v/>
      </c>
      <c r="AM116" s="5">
        <f>AD$1*((-0.000002)*AD116^3+0.00032*AD116^2+(-0.0021)*AD116)+AE$1*((-0.000002)*AE116^3+0.00032*AE116^2+(-0.0021)*AE116)+AF$1*((-0.000002)*AF116^3+0.00032*AF116^2+(-0.0021)*AF116)+AG$1*((-0.000002)*AG116^3+0.00032*AG116^2+(-0.0021)*AG116)</f>
        <v/>
      </c>
    </row>
    <row r="117" ht="15" customHeight="1" s="27" thickBot="1">
      <c r="A117" s="5">
        <f>(AI117*AI$3+AJ117*AJ$3+AK117*AK$3+AL117*AL$3+AM117*AM$3)*100/(AI$5*AI$3+AJ$5*AJ$3+AK$5*AK$3+AL$5*AL$3+AM$5*AM$3)</f>
        <v/>
      </c>
      <c r="B117" s="16" t="n">
        <v>199</v>
      </c>
      <c r="C117" s="10" t="inlineStr">
        <is>
          <t>Murray, Cap</t>
        </is>
      </c>
      <c r="D117" s="17" t="inlineStr">
        <is>
          <t>DH</t>
        </is>
      </c>
      <c r="E117" s="17" t="inlineStr">
        <is>
          <t>L</t>
        </is>
      </c>
      <c r="F117" s="17" t="inlineStr">
        <is>
          <t>L</t>
        </is>
      </c>
      <c r="G117" s="17" t="n">
        <v>18</v>
      </c>
      <c r="H117" s="17" t="n">
        <v>21</v>
      </c>
      <c r="I117" s="17" t="n">
        <v>5</v>
      </c>
      <c r="J117" s="17" t="n">
        <v>19</v>
      </c>
      <c r="K117" s="17" t="n">
        <v>23</v>
      </c>
      <c r="L117" s="17" t="n">
        <v>35</v>
      </c>
      <c r="M117" s="17" t="n">
        <v>68</v>
      </c>
      <c r="N117" s="17" t="n">
        <v>44</v>
      </c>
      <c r="O117" s="17" t="n">
        <v>20</v>
      </c>
      <c r="P117" s="17" t="n">
        <v>38</v>
      </c>
      <c r="Q117" s="16" t="n">
        <v>199</v>
      </c>
      <c r="R117" s="10" t="inlineStr">
        <is>
          <t>Murray, Cap</t>
        </is>
      </c>
      <c r="S117" s="17" t="inlineStr">
        <is>
          <t>DH</t>
        </is>
      </c>
      <c r="T117" s="17" t="inlineStr">
        <is>
          <t>L</t>
        </is>
      </c>
      <c r="U117" s="17" t="inlineStr">
        <is>
          <t>L</t>
        </is>
      </c>
      <c r="V117" s="17" t="n">
        <v>18</v>
      </c>
      <c r="W117" s="17" t="n">
        <v>38</v>
      </c>
      <c r="X117" s="17" t="n">
        <v>26</v>
      </c>
      <c r="Y117" s="17" t="n">
        <v>34</v>
      </c>
      <c r="Z117" s="17" t="n">
        <v>45</v>
      </c>
      <c r="AA117" s="17" t="n">
        <v>8</v>
      </c>
      <c r="AB117" s="17" t="n">
        <v>81</v>
      </c>
      <c r="AC117" s="17" t="n">
        <v>94</v>
      </c>
      <c r="AD117" s="17" t="n">
        <v>58</v>
      </c>
      <c r="AE117" s="17" t="n">
        <v>69</v>
      </c>
      <c r="AF117" s="17" t="n">
        <v>78</v>
      </c>
      <c r="AG117" s="17" t="n">
        <v>28</v>
      </c>
      <c r="AH117" s="17" t="n">
        <v>38</v>
      </c>
      <c r="AI117" s="5">
        <f>H$1*((-0.000002)*H117^3+0.00032*H117^2+(-0.0021)*H117)+I$1*((-0.000002)*I117^3+0.00032*I117^2+(-0.0021)*I117)+J$1*((-0.000002)*J117^3+0.00032*J117^2+(-0.0021)*J117)+K$1*((-0.000002)*K117^3+0.00032*K117^2+(-0.0021)*K117)+L$1*((-0.000002)*L117^3+0.00032*L117^2+(-0.0021)*L117)</f>
        <v/>
      </c>
      <c r="AJ117" s="5">
        <f>M$1*((-0.000002)*M117^3+0.00032*M117^2+(-0.0021)*M117)+N$1*((-0.000002)*N117^3+0.00032*N117^2+(-0.0021)*N117)+O$1*((-0.000002)*O117^3+0.00032*O117^2+(-0.0021)*O117)</f>
        <v/>
      </c>
      <c r="AK117" s="5">
        <f>IF(AA117&lt;50,W$1*((-0.000002)*W117^3+0.00032*W117^2+(-0.0021)*W117)+X$1*((-0.000002)*X117^3+0.00032*X117^2+(-0.0021)*X117)+Y$1*((-0.000002)*Y117^3+0.00032*Y117^2+(-0.0021)*Y117)+Z$1*((-0.000002)*Z117^3+0.00032*Z117^2+(-0.0021)*Z117),X$2*((-0.000002)*X117^3+0.00032*X117^2+(-0.0021)*X117)+Y$2*((-0.000002)*Y117^3+0.00032*Y117^2+(-0.0021)*Y117)+Z$2*((-0.000002)*Z117^3+0.00032*Z117^2+(-0.0021)*Z117)+AA$2*((-0.000002)*AA117^3+0.00032*AA117^2+(-0.0021)*AA117))</f>
        <v/>
      </c>
      <c r="AL117" s="5">
        <f>AB$1*((-0.000002)*AB117^3+0.00032*AB117^2+(-0.0021)*AB117)+AC$1*((-0.000002)*AC117^3+0.00032*AC117^2+(-0.0021)*AC117)</f>
        <v/>
      </c>
      <c r="AM117" s="5">
        <f>AD$1*((-0.000002)*AD117^3+0.00032*AD117^2+(-0.0021)*AD117)+AE$1*((-0.000002)*AE117^3+0.00032*AE117^2+(-0.0021)*AE117)+AF$1*((-0.000002)*AF117^3+0.00032*AF117^2+(-0.0021)*AF117)+AG$1*((-0.000002)*AG117^3+0.00032*AG117^2+(-0.0021)*AG117)</f>
        <v/>
      </c>
    </row>
    <row r="118" ht="15" customHeight="1" s="27" thickBot="1">
      <c r="A118" s="5">
        <f>(AI118*AI$3+AJ118*AJ$3+AK118*AK$3+AL118*AL$3+AM118*AM$3)*100/(AI$5*AI$3+AJ$5*AJ$3+AK$5*AK$3+AL$5*AL$3+AM$5*AM$3)</f>
        <v/>
      </c>
      <c r="B118" s="18" t="n">
        <v>46</v>
      </c>
      <c r="C118" s="11" t="inlineStr">
        <is>
          <t>Lee, Carlos</t>
        </is>
      </c>
      <c r="D118" s="19" t="inlineStr">
        <is>
          <t>P</t>
        </is>
      </c>
      <c r="E118" s="19" t="inlineStr">
        <is>
          <t>R</t>
        </is>
      </c>
      <c r="F118" s="19" t="inlineStr">
        <is>
          <t>R</t>
        </is>
      </c>
      <c r="G118" s="19" t="n">
        <v>18</v>
      </c>
      <c r="H118" s="19" t="n">
        <v>20</v>
      </c>
      <c r="I118" s="19" t="n">
        <v>6</v>
      </c>
      <c r="J118" s="19" t="n">
        <v>10</v>
      </c>
      <c r="K118" s="19" t="n">
        <v>25</v>
      </c>
      <c r="L118" s="19" t="n">
        <v>20</v>
      </c>
      <c r="M118" s="19" t="n">
        <v>16</v>
      </c>
      <c r="N118" s="19" t="n">
        <v>62</v>
      </c>
      <c r="O118" s="19" t="n">
        <v>68</v>
      </c>
      <c r="P118" s="19" t="n">
        <v>62</v>
      </c>
      <c r="Q118" s="18" t="n">
        <v>46</v>
      </c>
      <c r="R118" s="11" t="inlineStr">
        <is>
          <t>Lee, Carlos</t>
        </is>
      </c>
      <c r="S118" s="19" t="inlineStr">
        <is>
          <t>P</t>
        </is>
      </c>
      <c r="T118" s="19" t="inlineStr">
        <is>
          <t>R</t>
        </is>
      </c>
      <c r="U118" s="19" t="inlineStr">
        <is>
          <t>R</t>
        </is>
      </c>
      <c r="V118" s="19" t="n">
        <v>18</v>
      </c>
      <c r="W118" s="19" t="n">
        <v>2</v>
      </c>
      <c r="X118" s="19" t="n">
        <v>37</v>
      </c>
      <c r="Y118" s="19" t="n">
        <v>71</v>
      </c>
      <c r="Z118" s="19" t="n">
        <v>68</v>
      </c>
      <c r="AA118" s="19" t="n">
        <v>47</v>
      </c>
      <c r="AB118" s="19" t="n">
        <v>71</v>
      </c>
      <c r="AC118" s="19" t="n">
        <v>90</v>
      </c>
      <c r="AD118" s="19" t="n">
        <v>42</v>
      </c>
      <c r="AE118" s="19" t="n">
        <v>23</v>
      </c>
      <c r="AF118" s="19" t="n">
        <v>44</v>
      </c>
      <c r="AG118" s="19" t="n">
        <v>85</v>
      </c>
      <c r="AH118" s="19" t="n">
        <v>62</v>
      </c>
      <c r="AI118" s="5">
        <f>H$1*((-0.000002)*H118^3+0.00032*H118^2+(-0.0021)*H118)+I$1*((-0.000002)*I118^3+0.00032*I118^2+(-0.0021)*I118)+J$1*((-0.000002)*J118^3+0.00032*J118^2+(-0.0021)*J118)+K$1*((-0.000002)*K118^3+0.00032*K118^2+(-0.0021)*K118)+L$1*((-0.000002)*L118^3+0.00032*L118^2+(-0.0021)*L118)</f>
        <v/>
      </c>
      <c r="AJ118" s="5">
        <f>M$1*((-0.000002)*M118^3+0.00032*M118^2+(-0.0021)*M118)+N$1*((-0.000002)*N118^3+0.00032*N118^2+(-0.0021)*N118)+O$1*((-0.000002)*O118^3+0.00032*O118^2+(-0.0021)*O118)</f>
        <v/>
      </c>
      <c r="AK118" s="5">
        <f>IF(AA118&lt;50,W$1*((-0.000002)*W118^3+0.00032*W118^2+(-0.0021)*W118)+X$1*((-0.000002)*X118^3+0.00032*X118^2+(-0.0021)*X118)+Y$1*((-0.000002)*Y118^3+0.00032*Y118^2+(-0.0021)*Y118)+Z$1*((-0.000002)*Z118^3+0.00032*Z118^2+(-0.0021)*Z118),X$2*((-0.000002)*X118^3+0.00032*X118^2+(-0.0021)*X118)+Y$2*((-0.000002)*Y118^3+0.00032*Y118^2+(-0.0021)*Y118)+Z$2*((-0.000002)*Z118^3+0.00032*Z118^2+(-0.0021)*Z118)+AA$2*((-0.000002)*AA118^3+0.00032*AA118^2+(-0.0021)*AA118))</f>
        <v/>
      </c>
      <c r="AL118" s="5">
        <f>AB$1*((-0.000002)*AB118^3+0.00032*AB118^2+(-0.0021)*AB118)+AC$1*((-0.000002)*AC118^3+0.00032*AC118^2+(-0.0021)*AC118)</f>
        <v/>
      </c>
      <c r="AM118" s="5">
        <f>AD$1*((-0.000002)*AD118^3+0.00032*AD118^2+(-0.0021)*AD118)+AE$1*((-0.000002)*AE118^3+0.00032*AE118^2+(-0.0021)*AE118)+AF$1*((-0.000002)*AF118^3+0.00032*AF118^2+(-0.0021)*AF118)+AG$1*((-0.000002)*AG118^3+0.00032*AG118^2+(-0.0021)*AG118)</f>
        <v/>
      </c>
    </row>
    <row r="119" ht="15" customHeight="1" s="27" thickBot="1">
      <c r="A119" s="5">
        <f>(AI119*AI$3+AJ119*AJ$3+AK119*AK$3+AL119*AL$3+AM119*AM$3)*100/(AI$5*AI$3+AJ$5*AJ$3+AK$5*AK$3+AL$5*AL$3+AM$5*AM$3)</f>
        <v/>
      </c>
      <c r="B119" s="16" t="n">
        <v>25</v>
      </c>
      <c r="C119" s="10" t="inlineStr">
        <is>
          <t>Hermida, Vincent</t>
        </is>
      </c>
      <c r="D119" s="17" t="inlineStr">
        <is>
          <t>P</t>
        </is>
      </c>
      <c r="E119" s="17" t="inlineStr">
        <is>
          <t>S</t>
        </is>
      </c>
      <c r="F119" s="17" t="inlineStr">
        <is>
          <t>R</t>
        </is>
      </c>
      <c r="G119" s="17" t="n">
        <v>18</v>
      </c>
      <c r="H119" s="17" t="n">
        <v>15</v>
      </c>
      <c r="I119" s="17" t="n">
        <v>9</v>
      </c>
      <c r="J119" s="17" t="n">
        <v>29</v>
      </c>
      <c r="K119" s="17" t="n">
        <v>28</v>
      </c>
      <c r="L119" s="17" t="n">
        <v>28</v>
      </c>
      <c r="M119" s="17" t="n">
        <v>25</v>
      </c>
      <c r="N119" s="17" t="n">
        <v>78</v>
      </c>
      <c r="O119" s="17" t="n">
        <v>82</v>
      </c>
      <c r="P119" s="17" t="n">
        <v>69</v>
      </c>
      <c r="Q119" s="16" t="n">
        <v>25</v>
      </c>
      <c r="R119" s="10" t="inlineStr">
        <is>
          <t>Hermida, Vincent</t>
        </is>
      </c>
      <c r="S119" s="17" t="inlineStr">
        <is>
          <t>P</t>
        </is>
      </c>
      <c r="T119" s="17" t="inlineStr">
        <is>
          <t>S</t>
        </is>
      </c>
      <c r="U119" s="17" t="inlineStr">
        <is>
          <t>R</t>
        </is>
      </c>
      <c r="V119" s="17" t="n">
        <v>18</v>
      </c>
      <c r="W119" s="17" t="n">
        <v>51</v>
      </c>
      <c r="X119" s="17" t="n">
        <v>43</v>
      </c>
      <c r="Y119" s="17" t="n">
        <v>57</v>
      </c>
      <c r="Z119" s="17" t="n">
        <v>29</v>
      </c>
      <c r="AA119" s="17" t="n">
        <v>28</v>
      </c>
      <c r="AB119" s="17" t="n">
        <v>32</v>
      </c>
      <c r="AC119" s="17" t="n">
        <v>94</v>
      </c>
      <c r="AD119" s="17" t="n">
        <v>27</v>
      </c>
      <c r="AE119" s="17" t="n">
        <v>92</v>
      </c>
      <c r="AF119" s="17" t="n">
        <v>34</v>
      </c>
      <c r="AG119" s="17" t="n">
        <v>74</v>
      </c>
      <c r="AH119" s="17" t="n">
        <v>69</v>
      </c>
      <c r="AI119" s="5">
        <f>H$1*((-0.000002)*H119^3+0.00032*H119^2+(-0.0021)*H119)+I$1*((-0.000002)*I119^3+0.00032*I119^2+(-0.0021)*I119)+J$1*((-0.000002)*J119^3+0.00032*J119^2+(-0.0021)*J119)+K$1*((-0.000002)*K119^3+0.00032*K119^2+(-0.0021)*K119)+L$1*((-0.000002)*L119^3+0.00032*L119^2+(-0.0021)*L119)</f>
        <v/>
      </c>
      <c r="AJ119" s="5">
        <f>M$1*((-0.000002)*M119^3+0.00032*M119^2+(-0.0021)*M119)+N$1*((-0.000002)*N119^3+0.00032*N119^2+(-0.0021)*N119)+O$1*((-0.000002)*O119^3+0.00032*O119^2+(-0.0021)*O119)</f>
        <v/>
      </c>
      <c r="AK119" s="5">
        <f>IF(AA119&lt;50,W$1*((-0.000002)*W119^3+0.00032*W119^2+(-0.0021)*W119)+X$1*((-0.000002)*X119^3+0.00032*X119^2+(-0.0021)*X119)+Y$1*((-0.000002)*Y119^3+0.00032*Y119^2+(-0.0021)*Y119)+Z$1*((-0.000002)*Z119^3+0.00032*Z119^2+(-0.0021)*Z119),X$2*((-0.000002)*X119^3+0.00032*X119^2+(-0.0021)*X119)+Y$2*((-0.000002)*Y119^3+0.00032*Y119^2+(-0.0021)*Y119)+Z$2*((-0.000002)*Z119^3+0.00032*Z119^2+(-0.0021)*Z119)+AA$2*((-0.000002)*AA119^3+0.00032*AA119^2+(-0.0021)*AA119))</f>
        <v/>
      </c>
      <c r="AL119" s="5">
        <f>AB$1*((-0.000002)*AB119^3+0.00032*AB119^2+(-0.0021)*AB119)+AC$1*((-0.000002)*AC119^3+0.00032*AC119^2+(-0.0021)*AC119)</f>
        <v/>
      </c>
      <c r="AM119" s="5">
        <f>AD$1*((-0.000002)*AD119^3+0.00032*AD119^2+(-0.0021)*AD119)+AE$1*((-0.000002)*AE119^3+0.00032*AE119^2+(-0.0021)*AE119)+AF$1*((-0.000002)*AF119^3+0.00032*AF119^2+(-0.0021)*AF119)+AG$1*((-0.000002)*AG119^3+0.00032*AG119^2+(-0.0021)*AG119)</f>
        <v/>
      </c>
    </row>
    <row r="120" ht="15" customHeight="1" s="27" thickBot="1">
      <c r="A120" s="5">
        <f>(AI120*AI$3+AJ120*AJ$3+AK120*AK$3+AL120*AL$3+AM120*AM$3)*100/(AI$5*AI$3+AJ$5*AJ$3+AK$5*AK$3+AL$5*AL$3+AM$5*AM$3)</f>
        <v/>
      </c>
      <c r="B120" s="18" t="n">
        <v>160</v>
      </c>
      <c r="C120" s="11" t="inlineStr">
        <is>
          <t>Cashman, Tony</t>
        </is>
      </c>
      <c r="D120" s="19" t="inlineStr">
        <is>
          <t>C</t>
        </is>
      </c>
      <c r="E120" s="19" t="inlineStr">
        <is>
          <t>L</t>
        </is>
      </c>
      <c r="F120" s="19" t="inlineStr">
        <is>
          <t>R</t>
        </is>
      </c>
      <c r="G120" s="19" t="n">
        <v>18</v>
      </c>
      <c r="H120" s="19" t="n">
        <v>31</v>
      </c>
      <c r="I120" s="19" t="n">
        <v>10</v>
      </c>
      <c r="J120" s="19" t="n">
        <v>18</v>
      </c>
      <c r="K120" s="19" t="n">
        <v>20</v>
      </c>
      <c r="L120" s="19" t="n">
        <v>26</v>
      </c>
      <c r="M120" s="19" t="n">
        <v>35</v>
      </c>
      <c r="N120" s="19" t="n">
        <v>71</v>
      </c>
      <c r="O120" s="19" t="n">
        <v>36</v>
      </c>
      <c r="P120" s="19" t="n">
        <v>37</v>
      </c>
      <c r="Q120" s="18" t="n">
        <v>160</v>
      </c>
      <c r="R120" s="11" t="inlineStr">
        <is>
          <t>Cashman, Tony</t>
        </is>
      </c>
      <c r="S120" s="19" t="inlineStr">
        <is>
          <t>C</t>
        </is>
      </c>
      <c r="T120" s="19" t="inlineStr">
        <is>
          <t>L</t>
        </is>
      </c>
      <c r="U120" s="19" t="inlineStr">
        <is>
          <t>R</t>
        </is>
      </c>
      <c r="V120" s="19" t="n">
        <v>18</v>
      </c>
      <c r="W120" s="19" t="n">
        <v>17</v>
      </c>
      <c r="X120" s="19" t="n">
        <v>30</v>
      </c>
      <c r="Y120" s="19" t="n">
        <v>66</v>
      </c>
      <c r="Z120" s="19" t="n">
        <v>61</v>
      </c>
      <c r="AA120" s="19" t="n">
        <v>80</v>
      </c>
      <c r="AB120" s="19" t="n">
        <v>77</v>
      </c>
      <c r="AC120" s="19" t="n">
        <v>65</v>
      </c>
      <c r="AD120" s="19" t="n">
        <v>16</v>
      </c>
      <c r="AE120" s="19" t="n">
        <v>62</v>
      </c>
      <c r="AF120" s="19" t="n">
        <v>22</v>
      </c>
      <c r="AG120" s="19" t="n">
        <v>46</v>
      </c>
      <c r="AH120" s="19" t="n">
        <v>37</v>
      </c>
      <c r="AI120" s="5">
        <f>H$1*((-0.000002)*H120^3+0.00032*H120^2+(-0.0021)*H120)+I$1*((-0.000002)*I120^3+0.00032*I120^2+(-0.0021)*I120)+J$1*((-0.000002)*J120^3+0.00032*J120^2+(-0.0021)*J120)+K$1*((-0.000002)*K120^3+0.00032*K120^2+(-0.0021)*K120)+L$1*((-0.000002)*L120^3+0.00032*L120^2+(-0.0021)*L120)</f>
        <v/>
      </c>
      <c r="AJ120" s="5">
        <f>M$1*((-0.000002)*M120^3+0.00032*M120^2+(-0.0021)*M120)+N$1*((-0.000002)*N120^3+0.00032*N120^2+(-0.0021)*N120)+O$1*((-0.000002)*O120^3+0.00032*O120^2+(-0.0021)*O120)</f>
        <v/>
      </c>
      <c r="AK120" s="5">
        <f>IF(AA120&lt;50,W$1*((-0.000002)*W120^3+0.00032*W120^2+(-0.0021)*W120)+X$1*((-0.000002)*X120^3+0.00032*X120^2+(-0.0021)*X120)+Y$1*((-0.000002)*Y120^3+0.00032*Y120^2+(-0.0021)*Y120)+Z$1*((-0.000002)*Z120^3+0.00032*Z120^2+(-0.0021)*Z120),X$2*((-0.000002)*X120^3+0.00032*X120^2+(-0.0021)*X120)+Y$2*((-0.000002)*Y120^3+0.00032*Y120^2+(-0.0021)*Y120)+Z$2*((-0.000002)*Z120^3+0.00032*Z120^2+(-0.0021)*Z120)+AA$2*((-0.000002)*AA120^3+0.00032*AA120^2+(-0.0021)*AA120))</f>
        <v/>
      </c>
      <c r="AL120" s="5">
        <f>AB$1*((-0.000002)*AB120^3+0.00032*AB120^2+(-0.0021)*AB120)+AC$1*((-0.000002)*AC120^3+0.00032*AC120^2+(-0.0021)*AC120)</f>
        <v/>
      </c>
      <c r="AM120" s="5">
        <f>AD$1*((-0.000002)*AD120^3+0.00032*AD120^2+(-0.0021)*AD120)+AE$1*((-0.000002)*AE120^3+0.00032*AE120^2+(-0.0021)*AE120)+AF$1*((-0.000002)*AF120^3+0.00032*AF120^2+(-0.0021)*AF120)+AG$1*((-0.000002)*AG120^3+0.00032*AG120^2+(-0.0021)*AG120)</f>
        <v/>
      </c>
    </row>
    <row r="121" ht="15" customHeight="1" s="27" thickBot="1">
      <c r="A121" s="5">
        <f>(AI121*AI$3+AJ121*AJ$3+AK121*AK$3+AL121*AL$3+AM121*AM$3)*100/(AI$5*AI$3+AJ$5*AJ$3+AK$5*AK$3+AL$5*AL$3+AM$5*AM$3)</f>
        <v/>
      </c>
      <c r="B121" s="18" t="n">
        <v>62</v>
      </c>
      <c r="C121" s="11" t="inlineStr">
        <is>
          <t>Porter, Fred</t>
        </is>
      </c>
      <c r="D121" s="19" t="inlineStr">
        <is>
          <t>P</t>
        </is>
      </c>
      <c r="E121" s="19" t="inlineStr">
        <is>
          <t>R</t>
        </is>
      </c>
      <c r="F121" s="19" t="inlineStr">
        <is>
          <t>R</t>
        </is>
      </c>
      <c r="G121" s="19" t="n">
        <v>18</v>
      </c>
      <c r="H121" s="19" t="n">
        <v>31</v>
      </c>
      <c r="I121" s="19" t="n">
        <v>7</v>
      </c>
      <c r="J121" s="19" t="n">
        <v>31</v>
      </c>
      <c r="K121" s="19" t="n">
        <v>24</v>
      </c>
      <c r="L121" s="19" t="n">
        <v>23</v>
      </c>
      <c r="M121" s="19" t="n">
        <v>19</v>
      </c>
      <c r="N121" s="19" t="n">
        <v>60</v>
      </c>
      <c r="O121" s="19" t="n">
        <v>56</v>
      </c>
      <c r="P121" s="19" t="n">
        <v>59</v>
      </c>
      <c r="Q121" s="18" t="n">
        <v>62</v>
      </c>
      <c r="R121" s="11" t="inlineStr">
        <is>
          <t>Porter, Fred</t>
        </is>
      </c>
      <c r="S121" s="19" t="inlineStr">
        <is>
          <t>P</t>
        </is>
      </c>
      <c r="T121" s="19" t="inlineStr">
        <is>
          <t>R</t>
        </is>
      </c>
      <c r="U121" s="19" t="inlineStr">
        <is>
          <t>R</t>
        </is>
      </c>
      <c r="V121" s="19" t="n">
        <v>18</v>
      </c>
      <c r="W121" s="19" t="n">
        <v>48</v>
      </c>
      <c r="X121" s="19" t="n">
        <v>17</v>
      </c>
      <c r="Y121" s="19" t="n">
        <v>45</v>
      </c>
      <c r="Z121" s="19" t="n">
        <v>70</v>
      </c>
      <c r="AA121" s="19" t="n">
        <v>9</v>
      </c>
      <c r="AB121" s="19" t="n">
        <v>20</v>
      </c>
      <c r="AC121" s="19" t="n">
        <v>89</v>
      </c>
      <c r="AD121" s="19" t="n">
        <v>20</v>
      </c>
      <c r="AE121" s="19" t="n">
        <v>71</v>
      </c>
      <c r="AF121" s="19" t="n">
        <v>46</v>
      </c>
      <c r="AG121" s="19" t="n">
        <v>80</v>
      </c>
      <c r="AH121" s="19" t="n">
        <v>59</v>
      </c>
      <c r="AI121" s="5">
        <f>H$1*((-0.000002)*H121^3+0.00032*H121^2+(-0.0021)*H121)+I$1*((-0.000002)*I121^3+0.00032*I121^2+(-0.0021)*I121)+J$1*((-0.000002)*J121^3+0.00032*J121^2+(-0.0021)*J121)+K$1*((-0.000002)*K121^3+0.00032*K121^2+(-0.0021)*K121)+L$1*((-0.000002)*L121^3+0.00032*L121^2+(-0.0021)*L121)</f>
        <v/>
      </c>
      <c r="AJ121" s="5">
        <f>M$1*((-0.000002)*M121^3+0.00032*M121^2+(-0.0021)*M121)+N$1*((-0.000002)*N121^3+0.00032*N121^2+(-0.0021)*N121)+O$1*((-0.000002)*O121^3+0.00032*O121^2+(-0.0021)*O121)</f>
        <v/>
      </c>
      <c r="AK121" s="5">
        <f>IF(AA121&lt;50,W$1*((-0.000002)*W121^3+0.00032*W121^2+(-0.0021)*W121)+X$1*((-0.000002)*X121^3+0.00032*X121^2+(-0.0021)*X121)+Y$1*((-0.000002)*Y121^3+0.00032*Y121^2+(-0.0021)*Y121)+Z$1*((-0.000002)*Z121^3+0.00032*Z121^2+(-0.0021)*Z121),X$2*((-0.000002)*X121^3+0.00032*X121^2+(-0.0021)*X121)+Y$2*((-0.000002)*Y121^3+0.00032*Y121^2+(-0.0021)*Y121)+Z$2*((-0.000002)*Z121^3+0.00032*Z121^2+(-0.0021)*Z121)+AA$2*((-0.000002)*AA121^3+0.00032*AA121^2+(-0.0021)*AA121))</f>
        <v/>
      </c>
      <c r="AL121" s="5">
        <f>AB$1*((-0.000002)*AB121^3+0.00032*AB121^2+(-0.0021)*AB121)+AC$1*((-0.000002)*AC121^3+0.00032*AC121^2+(-0.0021)*AC121)</f>
        <v/>
      </c>
      <c r="AM121" s="5">
        <f>AD$1*((-0.000002)*AD121^3+0.00032*AD121^2+(-0.0021)*AD121)+AE$1*((-0.000002)*AE121^3+0.00032*AE121^2+(-0.0021)*AE121)+AF$1*((-0.000002)*AF121^3+0.00032*AF121^2+(-0.0021)*AF121)+AG$1*((-0.000002)*AG121^3+0.00032*AG121^2+(-0.0021)*AG121)</f>
        <v/>
      </c>
    </row>
    <row r="122" ht="15" customHeight="1" s="27" thickBot="1">
      <c r="A122" s="5">
        <f>(AI122*AI$3+AJ122*AJ$3+AK122*AK$3+AL122*AL$3+AM122*AM$3)*100/(AI$5*AI$3+AJ$5*AJ$3+AK$5*AK$3+AL$5*AL$3+AM$5*AM$3)</f>
        <v/>
      </c>
      <c r="B122" s="16" t="n">
        <v>157</v>
      </c>
      <c r="C122" s="10" t="inlineStr">
        <is>
          <t>Randolph, Jamie</t>
        </is>
      </c>
      <c r="D122" s="17" t="inlineStr">
        <is>
          <t>P</t>
        </is>
      </c>
      <c r="E122" s="17" t="inlineStr">
        <is>
          <t>S</t>
        </is>
      </c>
      <c r="F122" s="17" t="inlineStr">
        <is>
          <t>R</t>
        </is>
      </c>
      <c r="G122" s="17" t="n">
        <v>19</v>
      </c>
      <c r="H122" s="17" t="n">
        <v>29</v>
      </c>
      <c r="I122" s="17" t="n">
        <v>0</v>
      </c>
      <c r="J122" s="17" t="n">
        <v>41</v>
      </c>
      <c r="K122" s="17" t="n">
        <v>0</v>
      </c>
      <c r="L122" s="17" t="n">
        <v>42</v>
      </c>
      <c r="M122" s="17" t="n">
        <v>39</v>
      </c>
      <c r="N122" s="17" t="n">
        <v>58</v>
      </c>
      <c r="O122" s="17" t="n">
        <v>93</v>
      </c>
      <c r="P122" s="17" t="n">
        <v>53</v>
      </c>
      <c r="Q122" s="16" t="n">
        <v>157</v>
      </c>
      <c r="R122" s="10" t="inlineStr">
        <is>
          <t>Randolph, Jamie</t>
        </is>
      </c>
      <c r="S122" s="17" t="inlineStr">
        <is>
          <t>P</t>
        </is>
      </c>
      <c r="T122" s="17" t="inlineStr">
        <is>
          <t>S</t>
        </is>
      </c>
      <c r="U122" s="17" t="inlineStr">
        <is>
          <t>R</t>
        </is>
      </c>
      <c r="V122" s="17" t="n">
        <v>19</v>
      </c>
      <c r="W122" s="17" t="n">
        <v>60</v>
      </c>
      <c r="X122" s="17" t="n">
        <v>30</v>
      </c>
      <c r="Y122" s="17" t="n">
        <v>54</v>
      </c>
      <c r="Z122" s="17" t="n">
        <v>48</v>
      </c>
      <c r="AA122" s="17" t="n">
        <v>55</v>
      </c>
      <c r="AB122" s="17" t="n">
        <v>21</v>
      </c>
      <c r="AC122" s="17" t="n">
        <v>100</v>
      </c>
      <c r="AD122" s="17" t="n">
        <v>8</v>
      </c>
      <c r="AE122" s="17" t="n">
        <v>49</v>
      </c>
      <c r="AF122" s="17" t="n">
        <v>65</v>
      </c>
      <c r="AG122" s="17" t="n">
        <v>22</v>
      </c>
      <c r="AH122" s="17" t="n">
        <v>53</v>
      </c>
      <c r="AI122" s="5">
        <f>H$1*((-0.000002)*H122^3+0.00032*H122^2+(-0.0021)*H122)+I$1*((-0.000002)*I122^3+0.00032*I122^2+(-0.0021)*I122)+J$1*((-0.000002)*J122^3+0.00032*J122^2+(-0.0021)*J122)+K$1*((-0.000002)*K122^3+0.00032*K122^2+(-0.0021)*K122)+L$1*((-0.000002)*L122^3+0.00032*L122^2+(-0.0021)*L122)</f>
        <v/>
      </c>
      <c r="AJ122" s="5">
        <f>M$1*((-0.000002)*M122^3+0.00032*M122^2+(-0.0021)*M122)+N$1*((-0.000002)*N122^3+0.00032*N122^2+(-0.0021)*N122)+O$1*((-0.000002)*O122^3+0.00032*O122^2+(-0.0021)*O122)</f>
        <v/>
      </c>
      <c r="AK122" s="5">
        <f>IF(AA122&lt;50,W$1*((-0.000002)*W122^3+0.00032*W122^2+(-0.0021)*W122)+X$1*((-0.000002)*X122^3+0.00032*X122^2+(-0.0021)*X122)+Y$1*((-0.000002)*Y122^3+0.00032*Y122^2+(-0.0021)*Y122)+Z$1*((-0.000002)*Z122^3+0.00032*Z122^2+(-0.0021)*Z122),X$2*((-0.000002)*X122^3+0.00032*X122^2+(-0.0021)*X122)+Y$2*((-0.000002)*Y122^3+0.00032*Y122^2+(-0.0021)*Y122)+Z$2*((-0.000002)*Z122^3+0.00032*Z122^2+(-0.0021)*Z122)+AA$2*((-0.000002)*AA122^3+0.00032*AA122^2+(-0.0021)*AA122))</f>
        <v/>
      </c>
      <c r="AL122" s="5">
        <f>AB$1*((-0.000002)*AB122^3+0.00032*AB122^2+(-0.0021)*AB122)+AC$1*((-0.000002)*AC122^3+0.00032*AC122^2+(-0.0021)*AC122)</f>
        <v/>
      </c>
      <c r="AM122" s="5">
        <f>AD$1*((-0.000002)*AD122^3+0.00032*AD122^2+(-0.0021)*AD122)+AE$1*((-0.000002)*AE122^3+0.00032*AE122^2+(-0.0021)*AE122)+AF$1*((-0.000002)*AF122^3+0.00032*AF122^2+(-0.0021)*AF122)+AG$1*((-0.000002)*AG122^3+0.00032*AG122^2+(-0.0021)*AG122)</f>
        <v/>
      </c>
    </row>
    <row r="123" ht="15" customHeight="1" s="27" thickBot="1">
      <c r="A123" s="5">
        <f>(AI123*AI$3+AJ123*AJ$3+AK123*AK$3+AL123*AL$3+AM123*AM$3)*100/(AI$5*AI$3+AJ$5*AJ$3+AK$5*AK$3+AL$5*AL$3+AM$5*AM$3)</f>
        <v/>
      </c>
      <c r="B123" s="18" t="n">
        <v>92</v>
      </c>
      <c r="C123" s="11" t="inlineStr">
        <is>
          <t>Adams, Jett</t>
        </is>
      </c>
      <c r="D123" s="19" t="inlineStr">
        <is>
          <t>P</t>
        </is>
      </c>
      <c r="E123" s="19" t="inlineStr">
        <is>
          <t>R</t>
        </is>
      </c>
      <c r="F123" s="19" t="inlineStr">
        <is>
          <t>R</t>
        </is>
      </c>
      <c r="G123" s="19" t="n">
        <v>18</v>
      </c>
      <c r="H123" s="19" t="n">
        <v>26</v>
      </c>
      <c r="I123" s="19" t="n">
        <v>13</v>
      </c>
      <c r="J123" s="19" t="n">
        <v>16</v>
      </c>
      <c r="K123" s="19" t="n">
        <v>10</v>
      </c>
      <c r="L123" s="19" t="n">
        <v>7</v>
      </c>
      <c r="M123" s="19" t="n">
        <v>0</v>
      </c>
      <c r="N123" s="19" t="n">
        <v>52</v>
      </c>
      <c r="O123" s="19" t="n">
        <v>65</v>
      </c>
      <c r="P123" s="19" t="n">
        <v>52</v>
      </c>
      <c r="Q123" s="18" t="n">
        <v>92</v>
      </c>
      <c r="R123" s="11" t="inlineStr">
        <is>
          <t>Adams, Jett</t>
        </is>
      </c>
      <c r="S123" s="19" t="inlineStr">
        <is>
          <t>P</t>
        </is>
      </c>
      <c r="T123" s="19" t="inlineStr">
        <is>
          <t>R</t>
        </is>
      </c>
      <c r="U123" s="19" t="inlineStr">
        <is>
          <t>R</t>
        </is>
      </c>
      <c r="V123" s="19" t="n">
        <v>18</v>
      </c>
      <c r="W123" s="19" t="n">
        <v>45</v>
      </c>
      <c r="X123" s="19" t="n">
        <v>57</v>
      </c>
      <c r="Y123" s="19" t="n">
        <v>14</v>
      </c>
      <c r="Z123" s="19" t="n">
        <v>74</v>
      </c>
      <c r="AA123" s="19" t="n">
        <v>7</v>
      </c>
      <c r="AB123" s="19" t="n">
        <v>94</v>
      </c>
      <c r="AC123" s="19" t="n">
        <v>100</v>
      </c>
      <c r="AD123" s="19" t="n">
        <v>31</v>
      </c>
      <c r="AE123" s="19" t="n">
        <v>66</v>
      </c>
      <c r="AF123" s="19" t="n">
        <v>51</v>
      </c>
      <c r="AG123" s="19" t="n">
        <v>57</v>
      </c>
      <c r="AH123" s="19" t="n">
        <v>52</v>
      </c>
      <c r="AI123" s="5">
        <f>H$1*((-0.000002)*H123^3+0.00032*H123^2+(-0.0021)*H123)+I$1*((-0.000002)*I123^3+0.00032*I123^2+(-0.0021)*I123)+J$1*((-0.000002)*J123^3+0.00032*J123^2+(-0.0021)*J123)+K$1*((-0.000002)*K123^3+0.00032*K123^2+(-0.0021)*K123)+L$1*((-0.000002)*L123^3+0.00032*L123^2+(-0.0021)*L123)</f>
        <v/>
      </c>
      <c r="AJ123" s="5">
        <f>M$1*((-0.000002)*M123^3+0.00032*M123^2+(-0.0021)*M123)+N$1*((-0.000002)*N123^3+0.00032*N123^2+(-0.0021)*N123)+O$1*((-0.000002)*O123^3+0.00032*O123^2+(-0.0021)*O123)</f>
        <v/>
      </c>
      <c r="AK123" s="5">
        <f>IF(AA123&lt;50,W$1*((-0.000002)*W123^3+0.00032*W123^2+(-0.0021)*W123)+X$1*((-0.000002)*X123^3+0.00032*X123^2+(-0.0021)*X123)+Y$1*((-0.000002)*Y123^3+0.00032*Y123^2+(-0.0021)*Y123)+Z$1*((-0.000002)*Z123^3+0.00032*Z123^2+(-0.0021)*Z123),X$2*((-0.000002)*X123^3+0.00032*X123^2+(-0.0021)*X123)+Y$2*((-0.000002)*Y123^3+0.00032*Y123^2+(-0.0021)*Y123)+Z$2*((-0.000002)*Z123^3+0.00032*Z123^2+(-0.0021)*Z123)+AA$2*((-0.000002)*AA123^3+0.00032*AA123^2+(-0.0021)*AA123))</f>
        <v/>
      </c>
      <c r="AL123" s="5">
        <f>AB$1*((-0.000002)*AB123^3+0.00032*AB123^2+(-0.0021)*AB123)+AC$1*((-0.000002)*AC123^3+0.00032*AC123^2+(-0.0021)*AC123)</f>
        <v/>
      </c>
      <c r="AM123" s="5">
        <f>AD$1*((-0.000002)*AD123^3+0.00032*AD123^2+(-0.0021)*AD123)+AE$1*((-0.000002)*AE123^3+0.00032*AE123^2+(-0.0021)*AE123)+AF$1*((-0.000002)*AF123^3+0.00032*AF123^2+(-0.0021)*AF123)+AG$1*((-0.000002)*AG123^3+0.00032*AG123^2+(-0.0021)*AG123)</f>
        <v/>
      </c>
    </row>
    <row r="124" ht="15" customHeight="1" s="27" thickBot="1">
      <c r="A124" s="5">
        <f>(AI124*AI$3+AJ124*AJ$3+AK124*AK$3+AL124*AL$3+AM124*AM$3)*100/(AI$5*AI$3+AJ$5*AJ$3+AK$5*AK$3+AL$5*AL$3+AM$5*AM$3)</f>
        <v/>
      </c>
      <c r="B124" s="16" t="n">
        <v>11</v>
      </c>
      <c r="C124" s="10" t="inlineStr">
        <is>
          <t>Head, Larry</t>
        </is>
      </c>
      <c r="D124" s="17" t="inlineStr">
        <is>
          <t>P</t>
        </is>
      </c>
      <c r="E124" s="17" t="inlineStr">
        <is>
          <t>R</t>
        </is>
      </c>
      <c r="F124" s="17" t="inlineStr">
        <is>
          <t>R</t>
        </is>
      </c>
      <c r="G124" s="17" t="n">
        <v>18</v>
      </c>
      <c r="H124" s="17" t="n">
        <v>21</v>
      </c>
      <c r="I124" s="17" t="n">
        <v>10</v>
      </c>
      <c r="J124" s="17" t="n">
        <v>27</v>
      </c>
      <c r="K124" s="17" t="n">
        <v>27</v>
      </c>
      <c r="L124" s="17" t="n">
        <v>21</v>
      </c>
      <c r="M124" s="17" t="n">
        <v>29</v>
      </c>
      <c r="N124" s="17" t="n">
        <v>49</v>
      </c>
      <c r="O124" s="17" t="n">
        <v>69</v>
      </c>
      <c r="P124" s="17" t="n">
        <v>76</v>
      </c>
      <c r="Q124" s="16" t="n">
        <v>11</v>
      </c>
      <c r="R124" s="10" t="inlineStr">
        <is>
          <t>Head, Larry</t>
        </is>
      </c>
      <c r="S124" s="17" t="inlineStr">
        <is>
          <t>P</t>
        </is>
      </c>
      <c r="T124" s="17" t="inlineStr">
        <is>
          <t>R</t>
        </is>
      </c>
      <c r="U124" s="17" t="inlineStr">
        <is>
          <t>R</t>
        </is>
      </c>
      <c r="V124" s="17" t="n">
        <v>18</v>
      </c>
      <c r="W124" s="17" t="n">
        <v>13</v>
      </c>
      <c r="X124" s="17" t="n">
        <v>46</v>
      </c>
      <c r="Y124" s="17" t="n">
        <v>91</v>
      </c>
      <c r="Z124" s="17" t="n">
        <v>24</v>
      </c>
      <c r="AA124" s="17" t="n">
        <v>2</v>
      </c>
      <c r="AB124" s="17" t="n">
        <v>35</v>
      </c>
      <c r="AC124" s="17" t="n">
        <v>100</v>
      </c>
      <c r="AD124" s="17" t="n">
        <v>46</v>
      </c>
      <c r="AE124" s="17" t="n">
        <v>72</v>
      </c>
      <c r="AF124" s="17" t="n">
        <v>48</v>
      </c>
      <c r="AG124" s="17" t="n">
        <v>100</v>
      </c>
      <c r="AH124" s="17" t="n">
        <v>76</v>
      </c>
      <c r="AI124" s="5">
        <f>H$1*((-0.000002)*H124^3+0.00032*H124^2+(-0.0021)*H124)+I$1*((-0.000002)*I124^3+0.00032*I124^2+(-0.0021)*I124)+J$1*((-0.000002)*J124^3+0.00032*J124^2+(-0.0021)*J124)+K$1*((-0.000002)*K124^3+0.00032*K124^2+(-0.0021)*K124)+L$1*((-0.000002)*L124^3+0.00032*L124^2+(-0.0021)*L124)</f>
        <v/>
      </c>
      <c r="AJ124" s="5">
        <f>M$1*((-0.000002)*M124^3+0.00032*M124^2+(-0.0021)*M124)+N$1*((-0.000002)*N124^3+0.00032*N124^2+(-0.0021)*N124)+O$1*((-0.000002)*O124^3+0.00032*O124^2+(-0.0021)*O124)</f>
        <v/>
      </c>
      <c r="AK124" s="5">
        <f>IF(AA124&lt;50,W$1*((-0.000002)*W124^3+0.00032*W124^2+(-0.0021)*W124)+X$1*((-0.000002)*X124^3+0.00032*X124^2+(-0.0021)*X124)+Y$1*((-0.000002)*Y124^3+0.00032*Y124^2+(-0.0021)*Y124)+Z$1*((-0.000002)*Z124^3+0.00032*Z124^2+(-0.0021)*Z124),X$2*((-0.000002)*X124^3+0.00032*X124^2+(-0.0021)*X124)+Y$2*((-0.000002)*Y124^3+0.00032*Y124^2+(-0.0021)*Y124)+Z$2*((-0.000002)*Z124^3+0.00032*Z124^2+(-0.0021)*Z124)+AA$2*((-0.000002)*AA124^3+0.00032*AA124^2+(-0.0021)*AA124))</f>
        <v/>
      </c>
      <c r="AL124" s="5">
        <f>AB$1*((-0.000002)*AB124^3+0.00032*AB124^2+(-0.0021)*AB124)+AC$1*((-0.000002)*AC124^3+0.00032*AC124^2+(-0.0021)*AC124)</f>
        <v/>
      </c>
      <c r="AM124" s="5">
        <f>AD$1*((-0.000002)*AD124^3+0.00032*AD124^2+(-0.0021)*AD124)+AE$1*((-0.000002)*AE124^3+0.00032*AE124^2+(-0.0021)*AE124)+AF$1*((-0.000002)*AF124^3+0.00032*AF124^2+(-0.0021)*AF124)+AG$1*((-0.000002)*AG124^3+0.00032*AG124^2+(-0.0021)*AG124)</f>
        <v/>
      </c>
    </row>
    <row r="125" ht="15" customHeight="1" s="27" thickBot="1">
      <c r="A125" s="5">
        <f>(AI125*AI$3+AJ125*AJ$3+AK125*AK$3+AL125*AL$3+AM125*AM$3)*100/(AI$5*AI$3+AJ$5*AJ$3+AK$5*AK$3+AL$5*AL$3+AM$5*AM$3)</f>
        <v/>
      </c>
      <c r="B125" s="16" t="n">
        <v>193</v>
      </c>
      <c r="C125" s="10" t="inlineStr">
        <is>
          <t>Cunningham, Clem</t>
        </is>
      </c>
      <c r="D125" s="17" t="inlineStr">
        <is>
          <t>DH</t>
        </is>
      </c>
      <c r="E125" s="17" t="inlineStr">
        <is>
          <t>R</t>
        </is>
      </c>
      <c r="F125" s="17" t="inlineStr">
        <is>
          <t>R</t>
        </is>
      </c>
      <c r="G125" s="17" t="n">
        <v>18</v>
      </c>
      <c r="H125" s="17" t="n">
        <v>22</v>
      </c>
      <c r="I125" s="17" t="n">
        <v>10</v>
      </c>
      <c r="J125" s="17" t="n">
        <v>30</v>
      </c>
      <c r="K125" s="17" t="n">
        <v>14</v>
      </c>
      <c r="L125" s="17" t="n">
        <v>27</v>
      </c>
      <c r="M125" s="17" t="n">
        <v>25</v>
      </c>
      <c r="N125" s="17" t="n">
        <v>68</v>
      </c>
      <c r="O125" s="17" t="n">
        <v>39</v>
      </c>
      <c r="P125" s="17" t="n">
        <v>38</v>
      </c>
      <c r="Q125" s="16" t="n">
        <v>193</v>
      </c>
      <c r="R125" s="10" t="inlineStr">
        <is>
          <t>Cunningham, Clem</t>
        </is>
      </c>
      <c r="S125" s="17" t="inlineStr">
        <is>
          <t>DH</t>
        </is>
      </c>
      <c r="T125" s="17" t="inlineStr">
        <is>
          <t>R</t>
        </is>
      </c>
      <c r="U125" s="17" t="inlineStr">
        <is>
          <t>R</t>
        </is>
      </c>
      <c r="V125" s="17" t="n">
        <v>18</v>
      </c>
      <c r="W125" s="17" t="n">
        <v>10</v>
      </c>
      <c r="X125" s="17" t="n">
        <v>27</v>
      </c>
      <c r="Y125" s="17" t="n">
        <v>55</v>
      </c>
      <c r="Z125" s="17" t="n">
        <v>62</v>
      </c>
      <c r="AA125" s="17" t="n">
        <v>77</v>
      </c>
      <c r="AB125" s="17" t="n">
        <v>73</v>
      </c>
      <c r="AC125" s="17" t="n">
        <v>54</v>
      </c>
      <c r="AD125" s="17" t="n">
        <v>50</v>
      </c>
      <c r="AE125" s="17" t="n">
        <v>60</v>
      </c>
      <c r="AF125" s="17" t="n">
        <v>17</v>
      </c>
      <c r="AG125" s="17" t="n">
        <v>96</v>
      </c>
      <c r="AH125" s="17" t="n">
        <v>38</v>
      </c>
      <c r="AI125" s="5">
        <f>H$1*((-0.000002)*H125^3+0.00032*H125^2+(-0.0021)*H125)+I$1*((-0.000002)*I125^3+0.00032*I125^2+(-0.0021)*I125)+J$1*((-0.000002)*J125^3+0.00032*J125^2+(-0.0021)*J125)+K$1*((-0.000002)*K125^3+0.00032*K125^2+(-0.0021)*K125)+L$1*((-0.000002)*L125^3+0.00032*L125^2+(-0.0021)*L125)</f>
        <v/>
      </c>
      <c r="AJ125" s="5">
        <f>M$1*((-0.000002)*M125^3+0.00032*M125^2+(-0.0021)*M125)+N$1*((-0.000002)*N125^3+0.00032*N125^2+(-0.0021)*N125)+O$1*((-0.000002)*O125^3+0.00032*O125^2+(-0.0021)*O125)</f>
        <v/>
      </c>
      <c r="AK125" s="5">
        <f>IF(AA125&lt;50,W$1*((-0.000002)*W125^3+0.00032*W125^2+(-0.0021)*W125)+X$1*((-0.000002)*X125^3+0.00032*X125^2+(-0.0021)*X125)+Y$1*((-0.000002)*Y125^3+0.00032*Y125^2+(-0.0021)*Y125)+Z$1*((-0.000002)*Z125^3+0.00032*Z125^2+(-0.0021)*Z125),X$2*((-0.000002)*X125^3+0.00032*X125^2+(-0.0021)*X125)+Y$2*((-0.000002)*Y125^3+0.00032*Y125^2+(-0.0021)*Y125)+Z$2*((-0.000002)*Z125^3+0.00032*Z125^2+(-0.0021)*Z125)+AA$2*((-0.000002)*AA125^3+0.00032*AA125^2+(-0.0021)*AA125))</f>
        <v/>
      </c>
      <c r="AL125" s="5">
        <f>AB$1*((-0.000002)*AB125^3+0.00032*AB125^2+(-0.0021)*AB125)+AC$1*((-0.000002)*AC125^3+0.00032*AC125^2+(-0.0021)*AC125)</f>
        <v/>
      </c>
      <c r="AM125" s="5">
        <f>AD$1*((-0.000002)*AD125^3+0.00032*AD125^2+(-0.0021)*AD125)+AE$1*((-0.000002)*AE125^3+0.00032*AE125^2+(-0.0021)*AE125)+AF$1*((-0.000002)*AF125^3+0.00032*AF125^2+(-0.0021)*AF125)+AG$1*((-0.000002)*AG125^3+0.00032*AG125^2+(-0.0021)*AG125)</f>
        <v/>
      </c>
    </row>
    <row r="126" ht="15" customHeight="1" s="27" thickBot="1">
      <c r="A126" s="5">
        <f>(AI126*AI$3+AJ126*AJ$3+AK126*AK$3+AL126*AL$3+AM126*AM$3)*100/(AI$5*AI$3+AJ$5*AJ$3+AK$5*AK$3+AL$5*AL$3+AM$5*AM$3)</f>
        <v/>
      </c>
      <c r="B126" s="16" t="n">
        <v>61</v>
      </c>
      <c r="C126" s="10" t="inlineStr">
        <is>
          <t>Burch, Gerald</t>
        </is>
      </c>
      <c r="D126" s="17" t="inlineStr">
        <is>
          <t>P</t>
        </is>
      </c>
      <c r="E126" s="17" t="inlineStr">
        <is>
          <t>L</t>
        </is>
      </c>
      <c r="F126" s="17" t="inlineStr">
        <is>
          <t>L</t>
        </is>
      </c>
      <c r="G126" s="17" t="n">
        <v>18</v>
      </c>
      <c r="H126" s="17" t="n">
        <v>25</v>
      </c>
      <c r="I126" s="17" t="n">
        <v>12</v>
      </c>
      <c r="J126" s="17" t="n">
        <v>10</v>
      </c>
      <c r="K126" s="17" t="n">
        <v>22</v>
      </c>
      <c r="L126" s="17" t="n">
        <v>24</v>
      </c>
      <c r="M126" s="17" t="n">
        <v>24</v>
      </c>
      <c r="N126" s="17" t="n">
        <v>39</v>
      </c>
      <c r="O126" s="17" t="n">
        <v>77</v>
      </c>
      <c r="P126" s="17" t="n">
        <v>59</v>
      </c>
      <c r="Q126" s="16" t="n">
        <v>61</v>
      </c>
      <c r="R126" s="10" t="inlineStr">
        <is>
          <t>Burch, Gerald</t>
        </is>
      </c>
      <c r="S126" s="17" t="inlineStr">
        <is>
          <t>P</t>
        </is>
      </c>
      <c r="T126" s="17" t="inlineStr">
        <is>
          <t>L</t>
        </is>
      </c>
      <c r="U126" s="17" t="inlineStr">
        <is>
          <t>L</t>
        </is>
      </c>
      <c r="V126" s="17" t="n">
        <v>18</v>
      </c>
      <c r="W126" s="17" t="n">
        <v>60</v>
      </c>
      <c r="X126" s="17" t="n">
        <v>23</v>
      </c>
      <c r="Y126" s="17" t="n">
        <v>58</v>
      </c>
      <c r="Z126" s="17" t="n">
        <v>33</v>
      </c>
      <c r="AA126" s="17" t="n">
        <v>40</v>
      </c>
      <c r="AB126" s="17" t="n">
        <v>50</v>
      </c>
      <c r="AC126" s="17" t="n">
        <v>97</v>
      </c>
      <c r="AD126" s="17" t="n">
        <v>34</v>
      </c>
      <c r="AE126" s="17" t="n">
        <v>98</v>
      </c>
      <c r="AF126" s="17" t="n">
        <v>28</v>
      </c>
      <c r="AG126" s="17" t="n">
        <v>92</v>
      </c>
      <c r="AH126" s="17" t="n">
        <v>59</v>
      </c>
      <c r="AI126" s="5">
        <f>H$1*((-0.000002)*H126^3+0.00032*H126^2+(-0.0021)*H126)+I$1*((-0.000002)*I126^3+0.00032*I126^2+(-0.0021)*I126)+J$1*((-0.000002)*J126^3+0.00032*J126^2+(-0.0021)*J126)+K$1*((-0.000002)*K126^3+0.00032*K126^2+(-0.0021)*K126)+L$1*((-0.000002)*L126^3+0.00032*L126^2+(-0.0021)*L126)</f>
        <v/>
      </c>
      <c r="AJ126" s="5">
        <f>M$1*((-0.000002)*M126^3+0.00032*M126^2+(-0.0021)*M126)+N$1*((-0.000002)*N126^3+0.00032*N126^2+(-0.0021)*N126)+O$1*((-0.000002)*O126^3+0.00032*O126^2+(-0.0021)*O126)</f>
        <v/>
      </c>
      <c r="AK126" s="5">
        <f>IF(AA126&lt;50,W$1*((-0.000002)*W126^3+0.00032*W126^2+(-0.0021)*W126)+X$1*((-0.000002)*X126^3+0.00032*X126^2+(-0.0021)*X126)+Y$1*((-0.000002)*Y126^3+0.00032*Y126^2+(-0.0021)*Y126)+Z$1*((-0.000002)*Z126^3+0.00032*Z126^2+(-0.0021)*Z126),X$2*((-0.000002)*X126^3+0.00032*X126^2+(-0.0021)*X126)+Y$2*((-0.000002)*Y126^3+0.00032*Y126^2+(-0.0021)*Y126)+Z$2*((-0.000002)*Z126^3+0.00032*Z126^2+(-0.0021)*Z126)+AA$2*((-0.000002)*AA126^3+0.00032*AA126^2+(-0.0021)*AA126))</f>
        <v/>
      </c>
      <c r="AL126" s="5">
        <f>AB$1*((-0.000002)*AB126^3+0.00032*AB126^2+(-0.0021)*AB126)+AC$1*((-0.000002)*AC126^3+0.00032*AC126^2+(-0.0021)*AC126)</f>
        <v/>
      </c>
      <c r="AM126" s="5">
        <f>AD$1*((-0.000002)*AD126^3+0.00032*AD126^2+(-0.0021)*AD126)+AE$1*((-0.000002)*AE126^3+0.00032*AE126^2+(-0.0021)*AE126)+AF$1*((-0.000002)*AF126^3+0.00032*AF126^2+(-0.0021)*AF126)+AG$1*((-0.000002)*AG126^3+0.00032*AG126^2+(-0.0021)*AG126)</f>
        <v/>
      </c>
    </row>
    <row r="127" ht="15" customHeight="1" s="27" thickBot="1">
      <c r="A127" s="5">
        <f>(AI127*AI$3+AJ127*AJ$3+AK127*AK$3+AL127*AL$3+AM127*AM$3)*100/(AI$5*AI$3+AJ$5*AJ$3+AK$5*AK$3+AL$5*AL$3+AM$5*AM$3)</f>
        <v/>
      </c>
      <c r="B127" s="16" t="n">
        <v>179</v>
      </c>
      <c r="C127" s="10" t="inlineStr">
        <is>
          <t>Abreu, Jesus</t>
        </is>
      </c>
      <c r="D127" s="17" t="inlineStr">
        <is>
          <t>P</t>
        </is>
      </c>
      <c r="E127" s="17" t="inlineStr">
        <is>
          <t>R</t>
        </is>
      </c>
      <c r="F127" s="17" t="inlineStr">
        <is>
          <t>R</t>
        </is>
      </c>
      <c r="G127" s="17" t="n">
        <v>20</v>
      </c>
      <c r="H127" s="17" t="n">
        <v>14</v>
      </c>
      <c r="I127" s="17" t="n">
        <v>0</v>
      </c>
      <c r="J127" s="17" t="n">
        <v>4</v>
      </c>
      <c r="K127" s="17" t="n">
        <v>13</v>
      </c>
      <c r="L127" s="17" t="n">
        <v>48</v>
      </c>
      <c r="M127" s="17" t="n">
        <v>26</v>
      </c>
      <c r="N127" s="17" t="n">
        <v>36</v>
      </c>
      <c r="O127" s="17" t="n">
        <v>66</v>
      </c>
      <c r="P127" s="17" t="n">
        <v>39</v>
      </c>
      <c r="Q127" s="16" t="n">
        <v>179</v>
      </c>
      <c r="R127" s="10" t="inlineStr">
        <is>
          <t>Abreu, Jesus</t>
        </is>
      </c>
      <c r="S127" s="17" t="inlineStr">
        <is>
          <t>P</t>
        </is>
      </c>
      <c r="T127" s="17" t="inlineStr">
        <is>
          <t>R</t>
        </is>
      </c>
      <c r="U127" s="17" t="inlineStr">
        <is>
          <t>R</t>
        </is>
      </c>
      <c r="V127" s="17" t="n">
        <v>20</v>
      </c>
      <c r="W127" s="17" t="n">
        <v>50</v>
      </c>
      <c r="X127" s="17" t="n">
        <v>0</v>
      </c>
      <c r="Y127" s="17" t="n">
        <v>33</v>
      </c>
      <c r="Z127" s="17" t="n">
        <v>45</v>
      </c>
      <c r="AA127" s="17" t="n">
        <v>20</v>
      </c>
      <c r="AB127" s="17" t="n">
        <v>29</v>
      </c>
      <c r="AC127" s="17" t="n">
        <v>84</v>
      </c>
      <c r="AD127" s="17" t="n">
        <v>1</v>
      </c>
      <c r="AE127" s="17" t="n">
        <v>48</v>
      </c>
      <c r="AF127" s="17" t="n">
        <v>20</v>
      </c>
      <c r="AG127" s="17" t="n">
        <v>89</v>
      </c>
      <c r="AH127" s="17" t="n">
        <v>39</v>
      </c>
      <c r="AI127" s="5">
        <f>H$1*((-0.000002)*H127^3+0.00032*H127^2+(-0.0021)*H127)+I$1*((-0.000002)*I127^3+0.00032*I127^2+(-0.0021)*I127)+J$1*((-0.000002)*J127^3+0.00032*J127^2+(-0.0021)*J127)+K$1*((-0.000002)*K127^3+0.00032*K127^2+(-0.0021)*K127)+L$1*((-0.000002)*L127^3+0.00032*L127^2+(-0.0021)*L127)</f>
        <v/>
      </c>
      <c r="AJ127" s="5">
        <f>M$1*((-0.000002)*M127^3+0.00032*M127^2+(-0.0021)*M127)+N$1*((-0.000002)*N127^3+0.00032*N127^2+(-0.0021)*N127)+O$1*((-0.000002)*O127^3+0.00032*O127^2+(-0.0021)*O127)</f>
        <v/>
      </c>
      <c r="AK127" s="5">
        <f>IF(AA127&lt;50,W$1*((-0.000002)*W127^3+0.00032*W127^2+(-0.0021)*W127)+X$1*((-0.000002)*X127^3+0.00032*X127^2+(-0.0021)*X127)+Y$1*((-0.000002)*Y127^3+0.00032*Y127^2+(-0.0021)*Y127)+Z$1*((-0.000002)*Z127^3+0.00032*Z127^2+(-0.0021)*Z127),X$2*((-0.000002)*X127^3+0.00032*X127^2+(-0.0021)*X127)+Y$2*((-0.000002)*Y127^3+0.00032*Y127^2+(-0.0021)*Y127)+Z$2*((-0.000002)*Z127^3+0.00032*Z127^2+(-0.0021)*Z127)+AA$2*((-0.000002)*AA127^3+0.00032*AA127^2+(-0.0021)*AA127))</f>
        <v/>
      </c>
      <c r="AL127" s="5">
        <f>AB$1*((-0.000002)*AB127^3+0.00032*AB127^2+(-0.0021)*AB127)+AC$1*((-0.000002)*AC127^3+0.00032*AC127^2+(-0.0021)*AC127)</f>
        <v/>
      </c>
      <c r="AM127" s="5">
        <f>AD$1*((-0.000002)*AD127^3+0.00032*AD127^2+(-0.0021)*AD127)+AE$1*((-0.000002)*AE127^3+0.00032*AE127^2+(-0.0021)*AE127)+AF$1*((-0.000002)*AF127^3+0.00032*AF127^2+(-0.0021)*AF127)+AG$1*((-0.000002)*AG127^3+0.00032*AG127^2+(-0.0021)*AG127)</f>
        <v/>
      </c>
    </row>
    <row r="128" ht="15" customHeight="1" s="27" thickBot="1">
      <c r="A128" s="5">
        <f>(AI128*AI$3+AJ128*AJ$3+AK128*AK$3+AL128*AL$3+AM128*AM$3)*100/(AI$5*AI$3+AJ$5*AJ$3+AK$5*AK$3+AL$5*AL$3+AM$5*AM$3)</f>
        <v/>
      </c>
      <c r="B128" s="18" t="n">
        <v>52</v>
      </c>
      <c r="C128" s="11" t="inlineStr">
        <is>
          <t>Olerud, Eddie</t>
        </is>
      </c>
      <c r="D128" s="19" t="inlineStr">
        <is>
          <t>P</t>
        </is>
      </c>
      <c r="E128" s="19" t="inlineStr">
        <is>
          <t>L</t>
        </is>
      </c>
      <c r="F128" s="19" t="inlineStr">
        <is>
          <t>L</t>
        </is>
      </c>
      <c r="G128" s="19" t="n">
        <v>18</v>
      </c>
      <c r="H128" s="19" t="n">
        <v>16</v>
      </c>
      <c r="I128" s="19" t="n">
        <v>7</v>
      </c>
      <c r="J128" s="19" t="n">
        <v>11</v>
      </c>
      <c r="K128" s="19" t="n">
        <v>24</v>
      </c>
      <c r="L128" s="19" t="n">
        <v>25</v>
      </c>
      <c r="M128" s="19" t="n">
        <v>23</v>
      </c>
      <c r="N128" s="19" t="n">
        <v>91</v>
      </c>
      <c r="O128" s="19" t="n">
        <v>74</v>
      </c>
      <c r="P128" s="19" t="n">
        <v>61</v>
      </c>
      <c r="Q128" s="18" t="n">
        <v>52</v>
      </c>
      <c r="R128" s="11" t="inlineStr">
        <is>
          <t>Olerud, Eddie</t>
        </is>
      </c>
      <c r="S128" s="19" t="inlineStr">
        <is>
          <t>P</t>
        </is>
      </c>
      <c r="T128" s="19" t="inlineStr">
        <is>
          <t>L</t>
        </is>
      </c>
      <c r="U128" s="19" t="inlineStr">
        <is>
          <t>L</t>
        </is>
      </c>
      <c r="V128" s="19" t="n">
        <v>18</v>
      </c>
      <c r="W128" s="19" t="n">
        <v>53</v>
      </c>
      <c r="X128" s="19" t="n">
        <v>24</v>
      </c>
      <c r="Y128" s="19" t="n">
        <v>65</v>
      </c>
      <c r="Z128" s="19" t="n">
        <v>34</v>
      </c>
      <c r="AA128" s="19" t="n">
        <v>11</v>
      </c>
      <c r="AB128" s="19" t="n">
        <v>51</v>
      </c>
      <c r="AC128" s="19" t="n">
        <v>91</v>
      </c>
      <c r="AD128" s="19" t="n">
        <v>41</v>
      </c>
      <c r="AE128" s="19" t="n">
        <v>70</v>
      </c>
      <c r="AF128" s="19" t="n">
        <v>49</v>
      </c>
      <c r="AG128" s="19" t="n">
        <v>79</v>
      </c>
      <c r="AH128" s="19" t="n">
        <v>61</v>
      </c>
      <c r="AI128" s="5">
        <f>H$1*((-0.000002)*H128^3+0.00032*H128^2+(-0.0021)*H128)+I$1*((-0.000002)*I128^3+0.00032*I128^2+(-0.0021)*I128)+J$1*((-0.000002)*J128^3+0.00032*J128^2+(-0.0021)*J128)+K$1*((-0.000002)*K128^3+0.00032*K128^2+(-0.0021)*K128)+L$1*((-0.000002)*L128^3+0.00032*L128^2+(-0.0021)*L128)</f>
        <v/>
      </c>
      <c r="AJ128" s="5">
        <f>M$1*((-0.000002)*M128^3+0.00032*M128^2+(-0.0021)*M128)+N$1*((-0.000002)*N128^3+0.00032*N128^2+(-0.0021)*N128)+O$1*((-0.000002)*O128^3+0.00032*O128^2+(-0.0021)*O128)</f>
        <v/>
      </c>
      <c r="AK128" s="5">
        <f>IF(AA128&lt;50,W$1*((-0.000002)*W128^3+0.00032*W128^2+(-0.0021)*W128)+X$1*((-0.000002)*X128^3+0.00032*X128^2+(-0.0021)*X128)+Y$1*((-0.000002)*Y128^3+0.00032*Y128^2+(-0.0021)*Y128)+Z$1*((-0.000002)*Z128^3+0.00032*Z128^2+(-0.0021)*Z128),X$2*((-0.000002)*X128^3+0.00032*X128^2+(-0.0021)*X128)+Y$2*((-0.000002)*Y128^3+0.00032*Y128^2+(-0.0021)*Y128)+Z$2*((-0.000002)*Z128^3+0.00032*Z128^2+(-0.0021)*Z128)+AA$2*((-0.000002)*AA128^3+0.00032*AA128^2+(-0.0021)*AA128))</f>
        <v/>
      </c>
      <c r="AL128" s="5">
        <f>AB$1*((-0.000002)*AB128^3+0.00032*AB128^2+(-0.0021)*AB128)+AC$1*((-0.000002)*AC128^3+0.00032*AC128^2+(-0.0021)*AC128)</f>
        <v/>
      </c>
      <c r="AM128" s="5">
        <f>AD$1*((-0.000002)*AD128^3+0.00032*AD128^2+(-0.0021)*AD128)+AE$1*((-0.000002)*AE128^3+0.00032*AE128^2+(-0.0021)*AE128)+AF$1*((-0.000002)*AF128^3+0.00032*AF128^2+(-0.0021)*AF128)+AG$1*((-0.000002)*AG128^3+0.00032*AG128^2+(-0.0021)*AG128)</f>
        <v/>
      </c>
    </row>
    <row r="129" ht="15" customHeight="1" s="27" thickBot="1">
      <c r="A129" s="5">
        <f>(AI129*AI$3+AJ129*AJ$3+AK129*AK$3+AL129*AL$3+AM129*AM$3)*100/(AI$5*AI$3+AJ$5*AJ$3+AK$5*AK$3+AL$5*AL$3+AM$5*AM$3)</f>
        <v/>
      </c>
      <c r="B129" s="16" t="n">
        <v>125</v>
      </c>
      <c r="C129" s="10" t="inlineStr">
        <is>
          <t>Terrero, Osvaldo</t>
        </is>
      </c>
      <c r="D129" s="17" t="inlineStr">
        <is>
          <t>P</t>
        </is>
      </c>
      <c r="E129" s="17" t="inlineStr">
        <is>
          <t>L</t>
        </is>
      </c>
      <c r="F129" s="17" t="inlineStr">
        <is>
          <t>L</t>
        </is>
      </c>
      <c r="G129" s="17" t="n">
        <v>18</v>
      </c>
      <c r="H129" s="17" t="n">
        <v>24</v>
      </c>
      <c r="I129" s="17" t="n">
        <v>12</v>
      </c>
      <c r="J129" s="17" t="n">
        <v>16</v>
      </c>
      <c r="K129" s="17" t="n">
        <v>34</v>
      </c>
      <c r="L129" s="17" t="n">
        <v>30</v>
      </c>
      <c r="M129" s="17" t="n">
        <v>16</v>
      </c>
      <c r="N129" s="17" t="n">
        <v>42</v>
      </c>
      <c r="O129" s="17" t="n">
        <v>61</v>
      </c>
      <c r="P129" s="17" t="n">
        <v>45</v>
      </c>
      <c r="Q129" s="16" t="n">
        <v>125</v>
      </c>
      <c r="R129" s="10" t="inlineStr">
        <is>
          <t>Terrero, Osvaldo</t>
        </is>
      </c>
      <c r="S129" s="17" t="inlineStr">
        <is>
          <t>P</t>
        </is>
      </c>
      <c r="T129" s="17" t="inlineStr">
        <is>
          <t>L</t>
        </is>
      </c>
      <c r="U129" s="17" t="inlineStr">
        <is>
          <t>L</t>
        </is>
      </c>
      <c r="V129" s="17" t="n">
        <v>18</v>
      </c>
      <c r="W129" s="17" t="n">
        <v>29</v>
      </c>
      <c r="X129" s="17" t="n">
        <v>23</v>
      </c>
      <c r="Y129" s="17" t="n">
        <v>60</v>
      </c>
      <c r="Z129" s="17" t="n">
        <v>58</v>
      </c>
      <c r="AA129" s="17" t="n">
        <v>13</v>
      </c>
      <c r="AB129" s="17" t="n">
        <v>0</v>
      </c>
      <c r="AC129" s="17" t="n">
        <v>72</v>
      </c>
      <c r="AD129" s="17" t="n">
        <v>21</v>
      </c>
      <c r="AE129" s="17" t="n">
        <v>52</v>
      </c>
      <c r="AF129" s="17" t="n">
        <v>36</v>
      </c>
      <c r="AG129" s="17" t="n">
        <v>90</v>
      </c>
      <c r="AH129" s="17" t="n">
        <v>45</v>
      </c>
      <c r="AI129" s="5">
        <f>H$1*((-0.000002)*H129^3+0.00032*H129^2+(-0.0021)*H129)+I$1*((-0.000002)*I129^3+0.00032*I129^2+(-0.0021)*I129)+J$1*((-0.000002)*J129^3+0.00032*J129^2+(-0.0021)*J129)+K$1*((-0.000002)*K129^3+0.00032*K129^2+(-0.0021)*K129)+L$1*((-0.000002)*L129^3+0.00032*L129^2+(-0.0021)*L129)</f>
        <v/>
      </c>
      <c r="AJ129" s="5">
        <f>M$1*((-0.000002)*M129^3+0.00032*M129^2+(-0.0021)*M129)+N$1*((-0.000002)*N129^3+0.00032*N129^2+(-0.0021)*N129)+O$1*((-0.000002)*O129^3+0.00032*O129^2+(-0.0021)*O129)</f>
        <v/>
      </c>
      <c r="AK129" s="5">
        <f>IF(AA129&lt;50,W$1*((-0.000002)*W129^3+0.00032*W129^2+(-0.0021)*W129)+X$1*((-0.000002)*X129^3+0.00032*X129^2+(-0.0021)*X129)+Y$1*((-0.000002)*Y129^3+0.00032*Y129^2+(-0.0021)*Y129)+Z$1*((-0.000002)*Z129^3+0.00032*Z129^2+(-0.0021)*Z129),X$2*((-0.000002)*X129^3+0.00032*X129^2+(-0.0021)*X129)+Y$2*((-0.000002)*Y129^3+0.00032*Y129^2+(-0.0021)*Y129)+Z$2*((-0.000002)*Z129^3+0.00032*Z129^2+(-0.0021)*Z129)+AA$2*((-0.000002)*AA129^3+0.00032*AA129^2+(-0.0021)*AA129))</f>
        <v/>
      </c>
      <c r="AL129" s="5">
        <f>AB$1*((-0.000002)*AB129^3+0.00032*AB129^2+(-0.0021)*AB129)+AC$1*((-0.000002)*AC129^3+0.00032*AC129^2+(-0.0021)*AC129)</f>
        <v/>
      </c>
      <c r="AM129" s="5">
        <f>AD$1*((-0.000002)*AD129^3+0.00032*AD129^2+(-0.0021)*AD129)+AE$1*((-0.000002)*AE129^3+0.00032*AE129^2+(-0.0021)*AE129)+AF$1*((-0.000002)*AF129^3+0.00032*AF129^2+(-0.0021)*AF129)+AG$1*((-0.000002)*AG129^3+0.00032*AG129^2+(-0.0021)*AG129)</f>
        <v/>
      </c>
    </row>
    <row r="130" ht="15" customHeight="1" s="27" thickBot="1">
      <c r="A130" s="5">
        <f>(AI130*AI$3+AJ130*AJ$3+AK130*AK$3+AL130*AL$3+AM130*AM$3)*100/(AI$5*AI$3+AJ$5*AJ$3+AK$5*AK$3+AL$5*AL$3+AM$5*AM$3)</f>
        <v/>
      </c>
      <c r="B130" s="16" t="n">
        <v>17</v>
      </c>
      <c r="C130" s="10" t="inlineStr">
        <is>
          <t>Lee, Marino</t>
        </is>
      </c>
      <c r="D130" s="17" t="inlineStr">
        <is>
          <t>P</t>
        </is>
      </c>
      <c r="E130" s="17" t="inlineStr">
        <is>
          <t>R</t>
        </is>
      </c>
      <c r="F130" s="17" t="inlineStr">
        <is>
          <t>R</t>
        </is>
      </c>
      <c r="G130" s="17" t="n">
        <v>18</v>
      </c>
      <c r="H130" s="17" t="n">
        <v>32</v>
      </c>
      <c r="I130" s="17" t="n">
        <v>10</v>
      </c>
      <c r="J130" s="17" t="n">
        <v>20</v>
      </c>
      <c r="K130" s="17" t="n">
        <v>12</v>
      </c>
      <c r="L130" s="17" t="n">
        <v>25</v>
      </c>
      <c r="M130" s="17" t="n">
        <v>16</v>
      </c>
      <c r="N130" s="17" t="n">
        <v>71</v>
      </c>
      <c r="O130" s="17" t="n">
        <v>77</v>
      </c>
      <c r="P130" s="17" t="n">
        <v>72</v>
      </c>
      <c r="Q130" s="16" t="n">
        <v>17</v>
      </c>
      <c r="R130" s="10" t="inlineStr">
        <is>
          <t>Lee, Marino</t>
        </is>
      </c>
      <c r="S130" s="17" t="inlineStr">
        <is>
          <t>P</t>
        </is>
      </c>
      <c r="T130" s="17" t="inlineStr">
        <is>
          <t>R</t>
        </is>
      </c>
      <c r="U130" s="17" t="inlineStr">
        <is>
          <t>R</t>
        </is>
      </c>
      <c r="V130" s="17" t="n">
        <v>18</v>
      </c>
      <c r="W130" s="17" t="n">
        <v>25</v>
      </c>
      <c r="X130" s="17" t="n">
        <v>21</v>
      </c>
      <c r="Y130" s="17" t="n">
        <v>43</v>
      </c>
      <c r="Z130" s="17" t="n">
        <v>86</v>
      </c>
      <c r="AA130" s="17" t="n">
        <v>22</v>
      </c>
      <c r="AB130" s="17" t="n">
        <v>24</v>
      </c>
      <c r="AC130" s="17" t="n">
        <v>100</v>
      </c>
      <c r="AD130" s="17" t="n">
        <v>35</v>
      </c>
      <c r="AE130" s="17" t="n">
        <v>80</v>
      </c>
      <c r="AF130" s="17" t="n">
        <v>32</v>
      </c>
      <c r="AG130" s="17" t="n">
        <v>94</v>
      </c>
      <c r="AH130" s="17" t="n">
        <v>72</v>
      </c>
      <c r="AI130" s="5">
        <f>H$1*((-0.000002)*H130^3+0.00032*H130^2+(-0.0021)*H130)+I$1*((-0.000002)*I130^3+0.00032*I130^2+(-0.0021)*I130)+J$1*((-0.000002)*J130^3+0.00032*J130^2+(-0.0021)*J130)+K$1*((-0.000002)*K130^3+0.00032*K130^2+(-0.0021)*K130)+L$1*((-0.000002)*L130^3+0.00032*L130^2+(-0.0021)*L130)</f>
        <v/>
      </c>
      <c r="AJ130" s="5">
        <f>M$1*((-0.000002)*M130^3+0.00032*M130^2+(-0.0021)*M130)+N$1*((-0.000002)*N130^3+0.00032*N130^2+(-0.0021)*N130)+O$1*((-0.000002)*O130^3+0.00032*O130^2+(-0.0021)*O130)</f>
        <v/>
      </c>
      <c r="AK130" s="5">
        <f>IF(AA130&lt;50,W$1*((-0.000002)*W130^3+0.00032*W130^2+(-0.0021)*W130)+X$1*((-0.000002)*X130^3+0.00032*X130^2+(-0.0021)*X130)+Y$1*((-0.000002)*Y130^3+0.00032*Y130^2+(-0.0021)*Y130)+Z$1*((-0.000002)*Z130^3+0.00032*Z130^2+(-0.0021)*Z130),X$2*((-0.000002)*X130^3+0.00032*X130^2+(-0.0021)*X130)+Y$2*((-0.000002)*Y130^3+0.00032*Y130^2+(-0.0021)*Y130)+Z$2*((-0.000002)*Z130^3+0.00032*Z130^2+(-0.0021)*Z130)+AA$2*((-0.000002)*AA130^3+0.00032*AA130^2+(-0.0021)*AA130))</f>
        <v/>
      </c>
      <c r="AL130" s="5">
        <f>AB$1*((-0.000002)*AB130^3+0.00032*AB130^2+(-0.0021)*AB130)+AC$1*((-0.000002)*AC130^3+0.00032*AC130^2+(-0.0021)*AC130)</f>
        <v/>
      </c>
      <c r="AM130" s="5">
        <f>AD$1*((-0.000002)*AD130^3+0.00032*AD130^2+(-0.0021)*AD130)+AE$1*((-0.000002)*AE130^3+0.00032*AE130^2+(-0.0021)*AE130)+AF$1*((-0.000002)*AF130^3+0.00032*AF130^2+(-0.0021)*AF130)+AG$1*((-0.000002)*AG130^3+0.00032*AG130^2+(-0.0021)*AG130)</f>
        <v/>
      </c>
    </row>
    <row r="131" ht="15" customHeight="1" s="27" thickBot="1">
      <c r="A131" s="5">
        <f>(AI131*AI$3+AJ131*AJ$3+AK131*AK$3+AL131*AL$3+AM131*AM$3)*100/(AI$5*AI$3+AJ$5*AJ$3+AK$5*AK$3+AL$5*AL$3+AM$5*AM$3)</f>
        <v/>
      </c>
      <c r="B131" s="18" t="n">
        <v>178</v>
      </c>
      <c r="C131" s="11" t="inlineStr">
        <is>
          <t>Jacobson, Stephen</t>
        </is>
      </c>
      <c r="D131" s="19" t="inlineStr">
        <is>
          <t>P</t>
        </is>
      </c>
      <c r="E131" s="19" t="inlineStr">
        <is>
          <t>L</t>
        </is>
      </c>
      <c r="F131" s="19" t="inlineStr">
        <is>
          <t>L</t>
        </is>
      </c>
      <c r="G131" s="19" t="n">
        <v>22</v>
      </c>
      <c r="H131" s="19" t="n">
        <v>16</v>
      </c>
      <c r="I131" s="19" t="n">
        <v>0</v>
      </c>
      <c r="J131" s="19" t="n">
        <v>37</v>
      </c>
      <c r="K131" s="19" t="n">
        <v>54</v>
      </c>
      <c r="L131" s="19" t="n">
        <v>28</v>
      </c>
      <c r="M131" s="19" t="n">
        <v>10</v>
      </c>
      <c r="N131" s="19" t="n">
        <v>86</v>
      </c>
      <c r="O131" s="19" t="n">
        <v>23</v>
      </c>
      <c r="P131" s="19" t="n">
        <v>42</v>
      </c>
      <c r="Q131" s="18" t="n">
        <v>178</v>
      </c>
      <c r="R131" s="11" t="inlineStr">
        <is>
          <t>Jacobson, Stephen</t>
        </is>
      </c>
      <c r="S131" s="19" t="inlineStr">
        <is>
          <t>P</t>
        </is>
      </c>
      <c r="T131" s="19" t="inlineStr">
        <is>
          <t>L</t>
        </is>
      </c>
      <c r="U131" s="19" t="inlineStr">
        <is>
          <t>L</t>
        </is>
      </c>
      <c r="V131" s="19" t="n">
        <v>22</v>
      </c>
      <c r="W131" s="19" t="n">
        <v>66</v>
      </c>
      <c r="X131" s="19" t="n">
        <v>34</v>
      </c>
      <c r="Y131" s="19" t="n">
        <v>0</v>
      </c>
      <c r="Z131" s="19" t="n">
        <v>21</v>
      </c>
      <c r="AA131" s="19" t="n">
        <v>39</v>
      </c>
      <c r="AB131" s="19" t="n">
        <v>29</v>
      </c>
      <c r="AC131" s="19" t="n">
        <v>76</v>
      </c>
      <c r="AD131" s="19" t="n">
        <v>31</v>
      </c>
      <c r="AE131" s="19" t="n">
        <v>56</v>
      </c>
      <c r="AF131" s="19" t="n">
        <v>48</v>
      </c>
      <c r="AG131" s="19" t="n">
        <v>74</v>
      </c>
      <c r="AH131" s="19" t="n">
        <v>42</v>
      </c>
      <c r="AI131" s="5">
        <f>H$1*((-0.000002)*H131^3+0.00032*H131^2+(-0.0021)*H131)+I$1*((-0.000002)*I131^3+0.00032*I131^2+(-0.0021)*I131)+J$1*((-0.000002)*J131^3+0.00032*J131^2+(-0.0021)*J131)+K$1*((-0.000002)*K131^3+0.00032*K131^2+(-0.0021)*K131)+L$1*((-0.000002)*L131^3+0.00032*L131^2+(-0.0021)*L131)</f>
        <v/>
      </c>
      <c r="AJ131" s="5">
        <f>M$1*((-0.000002)*M131^3+0.00032*M131^2+(-0.0021)*M131)+N$1*((-0.000002)*N131^3+0.00032*N131^2+(-0.0021)*N131)+O$1*((-0.000002)*O131^3+0.00032*O131^2+(-0.0021)*O131)</f>
        <v/>
      </c>
      <c r="AK131" s="5">
        <f>IF(AA131&lt;50,W$1*((-0.000002)*W131^3+0.00032*W131^2+(-0.0021)*W131)+X$1*((-0.000002)*X131^3+0.00032*X131^2+(-0.0021)*X131)+Y$1*((-0.000002)*Y131^3+0.00032*Y131^2+(-0.0021)*Y131)+Z$1*((-0.000002)*Z131^3+0.00032*Z131^2+(-0.0021)*Z131),X$2*((-0.000002)*X131^3+0.00032*X131^2+(-0.0021)*X131)+Y$2*((-0.000002)*Y131^3+0.00032*Y131^2+(-0.0021)*Y131)+Z$2*((-0.000002)*Z131^3+0.00032*Z131^2+(-0.0021)*Z131)+AA$2*((-0.000002)*AA131^3+0.00032*AA131^2+(-0.0021)*AA131))</f>
        <v/>
      </c>
      <c r="AL131" s="5">
        <f>AB$1*((-0.000002)*AB131^3+0.00032*AB131^2+(-0.0021)*AB131)+AC$1*((-0.000002)*AC131^3+0.00032*AC131^2+(-0.0021)*AC131)</f>
        <v/>
      </c>
      <c r="AM131" s="5">
        <f>AD$1*((-0.000002)*AD131^3+0.00032*AD131^2+(-0.0021)*AD131)+AE$1*((-0.000002)*AE131^3+0.00032*AE131^2+(-0.0021)*AE131)+AF$1*((-0.000002)*AF131^3+0.00032*AF131^2+(-0.0021)*AF131)+AG$1*((-0.000002)*AG131^3+0.00032*AG131^2+(-0.0021)*AG131)</f>
        <v/>
      </c>
    </row>
    <row r="132" ht="15" customHeight="1" s="27" thickBot="1">
      <c r="A132" s="5">
        <f>(AI132*AI$3+AJ132*AJ$3+AK132*AK$3+AL132*AL$3+AM132*AM$3)*100/(AI$5*AI$3+AJ$5*AJ$3+AK$5*AK$3+AL$5*AL$3+AM$5*AM$3)</f>
        <v/>
      </c>
      <c r="B132" s="16" t="n">
        <v>93</v>
      </c>
      <c r="C132" s="10" t="inlineStr">
        <is>
          <t>Rolls, Tom</t>
        </is>
      </c>
      <c r="D132" s="17" t="inlineStr">
        <is>
          <t>P</t>
        </is>
      </c>
      <c r="E132" s="17" t="inlineStr">
        <is>
          <t>L</t>
        </is>
      </c>
      <c r="F132" s="17" t="inlineStr">
        <is>
          <t>L</t>
        </is>
      </c>
      <c r="G132" s="17" t="n">
        <v>18</v>
      </c>
      <c r="H132" s="17" t="n">
        <v>25</v>
      </c>
      <c r="I132" s="17" t="n">
        <v>11</v>
      </c>
      <c r="J132" s="17" t="n">
        <v>15</v>
      </c>
      <c r="K132" s="17" t="n">
        <v>29</v>
      </c>
      <c r="L132" s="17" t="n">
        <v>38</v>
      </c>
      <c r="M132" s="17" t="n">
        <v>17</v>
      </c>
      <c r="N132" s="17" t="n">
        <v>61</v>
      </c>
      <c r="O132" s="17" t="n">
        <v>66</v>
      </c>
      <c r="P132" s="17" t="n">
        <v>52</v>
      </c>
      <c r="Q132" s="16" t="n">
        <v>93</v>
      </c>
      <c r="R132" s="10" t="inlineStr">
        <is>
          <t>Rolls, Tom</t>
        </is>
      </c>
      <c r="S132" s="17" t="inlineStr">
        <is>
          <t>P</t>
        </is>
      </c>
      <c r="T132" s="17" t="inlineStr">
        <is>
          <t>L</t>
        </is>
      </c>
      <c r="U132" s="17" t="inlineStr">
        <is>
          <t>L</t>
        </is>
      </c>
      <c r="V132" s="17" t="n">
        <v>18</v>
      </c>
      <c r="W132" s="17" t="n">
        <v>10</v>
      </c>
      <c r="X132" s="17" t="n">
        <v>34</v>
      </c>
      <c r="Y132" s="17" t="n">
        <v>47</v>
      </c>
      <c r="Z132" s="17" t="n">
        <v>34</v>
      </c>
      <c r="AA132" s="17" t="n">
        <v>24</v>
      </c>
      <c r="AB132" s="17" t="n">
        <v>64</v>
      </c>
      <c r="AC132" s="17" t="n">
        <v>84</v>
      </c>
      <c r="AD132" s="17" t="n">
        <v>35</v>
      </c>
      <c r="AE132" s="17" t="n">
        <v>30</v>
      </c>
      <c r="AF132" s="17" t="n">
        <v>38</v>
      </c>
      <c r="AG132" s="17" t="n">
        <v>94</v>
      </c>
      <c r="AH132" s="17" t="n">
        <v>52</v>
      </c>
      <c r="AI132" s="5">
        <f>H$1*((-0.000002)*H132^3+0.00032*H132^2+(-0.0021)*H132)+I$1*((-0.000002)*I132^3+0.00032*I132^2+(-0.0021)*I132)+J$1*((-0.000002)*J132^3+0.00032*J132^2+(-0.0021)*J132)+K$1*((-0.000002)*K132^3+0.00032*K132^2+(-0.0021)*K132)+L$1*((-0.000002)*L132^3+0.00032*L132^2+(-0.0021)*L132)</f>
        <v/>
      </c>
      <c r="AJ132" s="5">
        <f>M$1*((-0.000002)*M132^3+0.00032*M132^2+(-0.0021)*M132)+N$1*((-0.000002)*N132^3+0.00032*N132^2+(-0.0021)*N132)+O$1*((-0.000002)*O132^3+0.00032*O132^2+(-0.0021)*O132)</f>
        <v/>
      </c>
      <c r="AK132" s="5">
        <f>IF(AA132&lt;50,W$1*((-0.000002)*W132^3+0.00032*W132^2+(-0.0021)*W132)+X$1*((-0.000002)*X132^3+0.00032*X132^2+(-0.0021)*X132)+Y$1*((-0.000002)*Y132^3+0.00032*Y132^2+(-0.0021)*Y132)+Z$1*((-0.000002)*Z132^3+0.00032*Z132^2+(-0.0021)*Z132),X$2*((-0.000002)*X132^3+0.00032*X132^2+(-0.0021)*X132)+Y$2*((-0.000002)*Y132^3+0.00032*Y132^2+(-0.0021)*Y132)+Z$2*((-0.000002)*Z132^3+0.00032*Z132^2+(-0.0021)*Z132)+AA$2*((-0.000002)*AA132^3+0.00032*AA132^2+(-0.0021)*AA132))</f>
        <v/>
      </c>
      <c r="AL132" s="5">
        <f>AB$1*((-0.000002)*AB132^3+0.00032*AB132^2+(-0.0021)*AB132)+AC$1*((-0.000002)*AC132^3+0.00032*AC132^2+(-0.0021)*AC132)</f>
        <v/>
      </c>
      <c r="AM132" s="5">
        <f>AD$1*((-0.000002)*AD132^3+0.00032*AD132^2+(-0.0021)*AD132)+AE$1*((-0.000002)*AE132^3+0.00032*AE132^2+(-0.0021)*AE132)+AF$1*((-0.000002)*AF132^3+0.00032*AF132^2+(-0.0021)*AF132)+AG$1*((-0.000002)*AG132^3+0.00032*AG132^2+(-0.0021)*AG132)</f>
        <v/>
      </c>
    </row>
    <row r="133" ht="15" customHeight="1" s="27" thickBot="1">
      <c r="A133" s="5">
        <f>(AI133*AI$3+AJ133*AJ$3+AK133*AK$3+AL133*AL$3+AM133*AM$3)*100/(AI$5*AI$3+AJ$5*AJ$3+AK$5*AK$3+AL$5*AL$3+AM$5*AM$3)</f>
        <v/>
      </c>
      <c r="B133" s="16" t="n">
        <v>95</v>
      </c>
      <c r="C133" s="10" t="inlineStr">
        <is>
          <t>Stairs, Leo</t>
        </is>
      </c>
      <c r="D133" s="17" t="inlineStr">
        <is>
          <t>P</t>
        </is>
      </c>
      <c r="E133" s="17" t="inlineStr">
        <is>
          <t>L</t>
        </is>
      </c>
      <c r="F133" s="17" t="inlineStr">
        <is>
          <t>L</t>
        </is>
      </c>
      <c r="G133" s="17" t="n">
        <v>18</v>
      </c>
      <c r="H133" s="17" t="n">
        <v>11</v>
      </c>
      <c r="I133" s="17" t="n">
        <v>9</v>
      </c>
      <c r="J133" s="17" t="n">
        <v>17</v>
      </c>
      <c r="K133" s="17" t="n">
        <v>28</v>
      </c>
      <c r="L133" s="17" t="n">
        <v>12</v>
      </c>
      <c r="M133" s="17" t="n">
        <v>17</v>
      </c>
      <c r="N133" s="17" t="n">
        <v>60</v>
      </c>
      <c r="O133" s="17" t="n">
        <v>72</v>
      </c>
      <c r="P133" s="17" t="n">
        <v>51</v>
      </c>
      <c r="Q133" s="16" t="n">
        <v>95</v>
      </c>
      <c r="R133" s="10" t="inlineStr">
        <is>
          <t>Stairs, Leo</t>
        </is>
      </c>
      <c r="S133" s="17" t="inlineStr">
        <is>
          <t>P</t>
        </is>
      </c>
      <c r="T133" s="17" t="inlineStr">
        <is>
          <t>L</t>
        </is>
      </c>
      <c r="U133" s="17" t="inlineStr">
        <is>
          <t>L</t>
        </is>
      </c>
      <c r="V133" s="17" t="n">
        <v>18</v>
      </c>
      <c r="W133" s="17" t="n">
        <v>19</v>
      </c>
      <c r="X133" s="17" t="n">
        <v>38</v>
      </c>
      <c r="Y133" s="17" t="n">
        <v>42</v>
      </c>
      <c r="Z133" s="17" t="n">
        <v>92</v>
      </c>
      <c r="AA133" s="17" t="n">
        <v>2</v>
      </c>
      <c r="AB133" s="17" t="n">
        <v>81</v>
      </c>
      <c r="AC133" s="17" t="n">
        <v>86</v>
      </c>
      <c r="AD133" s="17" t="n">
        <v>30</v>
      </c>
      <c r="AE133" s="17" t="n">
        <v>32</v>
      </c>
      <c r="AF133" s="17" t="n">
        <v>53</v>
      </c>
      <c r="AG133" s="17" t="n">
        <v>97</v>
      </c>
      <c r="AH133" s="17" t="n">
        <v>51</v>
      </c>
      <c r="AI133" s="5">
        <f>H$1*((-0.000002)*H133^3+0.00032*H133^2+(-0.0021)*H133)+I$1*((-0.000002)*I133^3+0.00032*I133^2+(-0.0021)*I133)+J$1*((-0.000002)*J133^3+0.00032*J133^2+(-0.0021)*J133)+K$1*((-0.000002)*K133^3+0.00032*K133^2+(-0.0021)*K133)+L$1*((-0.000002)*L133^3+0.00032*L133^2+(-0.0021)*L133)</f>
        <v/>
      </c>
      <c r="AJ133" s="5">
        <f>M$1*((-0.000002)*M133^3+0.00032*M133^2+(-0.0021)*M133)+N$1*((-0.000002)*N133^3+0.00032*N133^2+(-0.0021)*N133)+O$1*((-0.000002)*O133^3+0.00032*O133^2+(-0.0021)*O133)</f>
        <v/>
      </c>
      <c r="AK133" s="5">
        <f>IF(AA133&lt;50,W$1*((-0.000002)*W133^3+0.00032*W133^2+(-0.0021)*W133)+X$1*((-0.000002)*X133^3+0.00032*X133^2+(-0.0021)*X133)+Y$1*((-0.000002)*Y133^3+0.00032*Y133^2+(-0.0021)*Y133)+Z$1*((-0.000002)*Z133^3+0.00032*Z133^2+(-0.0021)*Z133),X$2*((-0.000002)*X133^3+0.00032*X133^2+(-0.0021)*X133)+Y$2*((-0.000002)*Y133^3+0.00032*Y133^2+(-0.0021)*Y133)+Z$2*((-0.000002)*Z133^3+0.00032*Z133^2+(-0.0021)*Z133)+AA$2*((-0.000002)*AA133^3+0.00032*AA133^2+(-0.0021)*AA133))</f>
        <v/>
      </c>
      <c r="AL133" s="5">
        <f>AB$1*((-0.000002)*AB133^3+0.00032*AB133^2+(-0.0021)*AB133)+AC$1*((-0.000002)*AC133^3+0.00032*AC133^2+(-0.0021)*AC133)</f>
        <v/>
      </c>
      <c r="AM133" s="5">
        <f>AD$1*((-0.000002)*AD133^3+0.00032*AD133^2+(-0.0021)*AD133)+AE$1*((-0.000002)*AE133^3+0.00032*AE133^2+(-0.0021)*AE133)+AF$1*((-0.000002)*AF133^3+0.00032*AF133^2+(-0.0021)*AF133)+AG$1*((-0.000002)*AG133^3+0.00032*AG133^2+(-0.0021)*AG133)</f>
        <v/>
      </c>
    </row>
    <row r="134" ht="15" customHeight="1" s="27" thickBot="1">
      <c r="A134" s="5">
        <f>(AI134*AI$3+AJ134*AJ$3+AK134*AK$3+AL134*AL$3+AM134*AM$3)*100/(AI$5*AI$3+AJ$5*AJ$3+AK$5*AK$3+AL$5*AL$3+AM$5*AM$3)</f>
        <v/>
      </c>
      <c r="B134" s="16" t="n">
        <v>151</v>
      </c>
      <c r="C134" s="10" t="inlineStr">
        <is>
          <t>Quinlan, Drake</t>
        </is>
      </c>
      <c r="D134" s="17" t="inlineStr">
        <is>
          <t>P</t>
        </is>
      </c>
      <c r="E134" s="17" t="inlineStr">
        <is>
          <t>L</t>
        </is>
      </c>
      <c r="F134" s="17" t="inlineStr">
        <is>
          <t>L</t>
        </is>
      </c>
      <c r="G134" s="17" t="n">
        <v>18</v>
      </c>
      <c r="H134" s="17" t="n">
        <v>15</v>
      </c>
      <c r="I134" s="17" t="n">
        <v>6</v>
      </c>
      <c r="J134" s="17" t="n">
        <v>20</v>
      </c>
      <c r="K134" s="17" t="n">
        <v>16</v>
      </c>
      <c r="L134" s="17" t="n">
        <v>20</v>
      </c>
      <c r="M134" s="17" t="n">
        <v>0</v>
      </c>
      <c r="N134" s="17" t="n">
        <v>71</v>
      </c>
      <c r="O134" s="17" t="n">
        <v>83</v>
      </c>
      <c r="P134" s="17" t="n">
        <v>41</v>
      </c>
      <c r="Q134" s="16" t="n">
        <v>151</v>
      </c>
      <c r="R134" s="10" t="inlineStr">
        <is>
          <t>Quinlan, Drake</t>
        </is>
      </c>
      <c r="S134" s="17" t="inlineStr">
        <is>
          <t>P</t>
        </is>
      </c>
      <c r="T134" s="17" t="inlineStr">
        <is>
          <t>L</t>
        </is>
      </c>
      <c r="U134" s="17" t="inlineStr">
        <is>
          <t>L</t>
        </is>
      </c>
      <c r="V134" s="17" t="n">
        <v>18</v>
      </c>
      <c r="W134" s="17" t="n">
        <v>7</v>
      </c>
      <c r="X134" s="17" t="n">
        <v>33</v>
      </c>
      <c r="Y134" s="17" t="n">
        <v>55</v>
      </c>
      <c r="Z134" s="17" t="n">
        <v>87</v>
      </c>
      <c r="AA134" s="17" t="n">
        <v>20</v>
      </c>
      <c r="AB134" s="17" t="n">
        <v>69</v>
      </c>
      <c r="AC134" s="17" t="n">
        <v>72</v>
      </c>
      <c r="AD134" s="17" t="n">
        <v>23</v>
      </c>
      <c r="AE134" s="17" t="n">
        <v>100</v>
      </c>
      <c r="AF134" s="17" t="n">
        <v>80</v>
      </c>
      <c r="AG134" s="17" t="n">
        <v>81</v>
      </c>
      <c r="AH134" s="17" t="n">
        <v>41</v>
      </c>
      <c r="AI134" s="5">
        <f>H$1*((-0.000002)*H134^3+0.00032*H134^2+(-0.0021)*H134)+I$1*((-0.000002)*I134^3+0.00032*I134^2+(-0.0021)*I134)+J$1*((-0.000002)*J134^3+0.00032*J134^2+(-0.0021)*J134)+K$1*((-0.000002)*K134^3+0.00032*K134^2+(-0.0021)*K134)+L$1*((-0.000002)*L134^3+0.00032*L134^2+(-0.0021)*L134)</f>
        <v/>
      </c>
      <c r="AJ134" s="5">
        <f>M$1*((-0.000002)*M134^3+0.00032*M134^2+(-0.0021)*M134)+N$1*((-0.000002)*N134^3+0.00032*N134^2+(-0.0021)*N134)+O$1*((-0.000002)*O134^3+0.00032*O134^2+(-0.0021)*O134)</f>
        <v/>
      </c>
      <c r="AK134" s="5">
        <f>IF(AA134&lt;50,W$1*((-0.000002)*W134^3+0.00032*W134^2+(-0.0021)*W134)+X$1*((-0.000002)*X134^3+0.00032*X134^2+(-0.0021)*X134)+Y$1*((-0.000002)*Y134^3+0.00032*Y134^2+(-0.0021)*Y134)+Z$1*((-0.000002)*Z134^3+0.00032*Z134^2+(-0.0021)*Z134),X$2*((-0.000002)*X134^3+0.00032*X134^2+(-0.0021)*X134)+Y$2*((-0.000002)*Y134^3+0.00032*Y134^2+(-0.0021)*Y134)+Z$2*((-0.000002)*Z134^3+0.00032*Z134^2+(-0.0021)*Z134)+AA$2*((-0.000002)*AA134^3+0.00032*AA134^2+(-0.0021)*AA134))</f>
        <v/>
      </c>
      <c r="AL134" s="5">
        <f>AB$1*((-0.000002)*AB134^3+0.00032*AB134^2+(-0.0021)*AB134)+AC$1*((-0.000002)*AC134^3+0.00032*AC134^2+(-0.0021)*AC134)</f>
        <v/>
      </c>
      <c r="AM134" s="5">
        <f>AD$1*((-0.000002)*AD134^3+0.00032*AD134^2+(-0.0021)*AD134)+AE$1*((-0.000002)*AE134^3+0.00032*AE134^2+(-0.0021)*AE134)+AF$1*((-0.000002)*AF134^3+0.00032*AF134^2+(-0.0021)*AF134)+AG$1*((-0.000002)*AG134^3+0.00032*AG134^2+(-0.0021)*AG134)</f>
        <v/>
      </c>
    </row>
    <row r="135" ht="15" customHeight="1" s="27" thickBot="1">
      <c r="A135" s="5">
        <f>(AI135*AI$3+AJ135*AJ$3+AK135*AK$3+AL135*AL$3+AM135*AM$3)*100/(AI$5*AI$3+AJ$5*AJ$3+AK$5*AK$3+AL$5*AL$3+AM$5*AM$3)</f>
        <v/>
      </c>
      <c r="B135" s="16" t="n">
        <v>133</v>
      </c>
      <c r="C135" s="10" t="inlineStr">
        <is>
          <t>Hendrick, Tim</t>
        </is>
      </c>
      <c r="D135" s="17" t="inlineStr">
        <is>
          <t>P</t>
        </is>
      </c>
      <c r="E135" s="17" t="inlineStr">
        <is>
          <t>R</t>
        </is>
      </c>
      <c r="F135" s="17" t="inlineStr">
        <is>
          <t>R</t>
        </is>
      </c>
      <c r="G135" s="17" t="n">
        <v>18</v>
      </c>
      <c r="H135" s="17" t="n">
        <v>23</v>
      </c>
      <c r="I135" s="17" t="n">
        <v>5</v>
      </c>
      <c r="J135" s="17" t="n">
        <v>34</v>
      </c>
      <c r="K135" s="17" t="n">
        <v>12</v>
      </c>
      <c r="L135" s="17" t="n">
        <v>8</v>
      </c>
      <c r="M135" s="17" t="n">
        <v>26</v>
      </c>
      <c r="N135" s="17" t="n">
        <v>61</v>
      </c>
      <c r="O135" s="17" t="n">
        <v>53</v>
      </c>
      <c r="P135" s="17" t="n">
        <v>44</v>
      </c>
      <c r="Q135" s="16" t="n">
        <v>133</v>
      </c>
      <c r="R135" s="10" t="inlineStr">
        <is>
          <t>Hendrick, Tim</t>
        </is>
      </c>
      <c r="S135" s="17" t="inlineStr">
        <is>
          <t>P</t>
        </is>
      </c>
      <c r="T135" s="17" t="inlineStr">
        <is>
          <t>R</t>
        </is>
      </c>
      <c r="U135" s="17" t="inlineStr">
        <is>
          <t>R</t>
        </is>
      </c>
      <c r="V135" s="17" t="n">
        <v>18</v>
      </c>
      <c r="W135" s="17" t="n">
        <v>73</v>
      </c>
      <c r="X135" s="17" t="n">
        <v>35</v>
      </c>
      <c r="Y135" s="17" t="n">
        <v>61</v>
      </c>
      <c r="Z135" s="17" t="n">
        <v>5</v>
      </c>
      <c r="AA135" s="17" t="n">
        <v>11</v>
      </c>
      <c r="AB135" s="17" t="n">
        <v>45</v>
      </c>
      <c r="AC135" s="17" t="n">
        <v>91</v>
      </c>
      <c r="AD135" s="17" t="n">
        <v>35</v>
      </c>
      <c r="AE135" s="17" t="n">
        <v>34</v>
      </c>
      <c r="AF135" s="17" t="n">
        <v>68</v>
      </c>
      <c r="AG135" s="17" t="n">
        <v>65</v>
      </c>
      <c r="AH135" s="17" t="n">
        <v>44</v>
      </c>
      <c r="AI135" s="5">
        <f>H$1*((-0.000002)*H135^3+0.00032*H135^2+(-0.0021)*H135)+I$1*((-0.000002)*I135^3+0.00032*I135^2+(-0.0021)*I135)+J$1*((-0.000002)*J135^3+0.00032*J135^2+(-0.0021)*J135)+K$1*((-0.000002)*K135^3+0.00032*K135^2+(-0.0021)*K135)+L$1*((-0.000002)*L135^3+0.00032*L135^2+(-0.0021)*L135)</f>
        <v/>
      </c>
      <c r="AJ135" s="5">
        <f>M$1*((-0.000002)*M135^3+0.00032*M135^2+(-0.0021)*M135)+N$1*((-0.000002)*N135^3+0.00032*N135^2+(-0.0021)*N135)+O$1*((-0.000002)*O135^3+0.00032*O135^2+(-0.0021)*O135)</f>
        <v/>
      </c>
      <c r="AK135" s="5">
        <f>IF(AA135&lt;50,W$1*((-0.000002)*W135^3+0.00032*W135^2+(-0.0021)*W135)+X$1*((-0.000002)*X135^3+0.00032*X135^2+(-0.0021)*X135)+Y$1*((-0.000002)*Y135^3+0.00032*Y135^2+(-0.0021)*Y135)+Z$1*((-0.000002)*Z135^3+0.00032*Z135^2+(-0.0021)*Z135),X$2*((-0.000002)*X135^3+0.00032*X135^2+(-0.0021)*X135)+Y$2*((-0.000002)*Y135^3+0.00032*Y135^2+(-0.0021)*Y135)+Z$2*((-0.000002)*Z135^3+0.00032*Z135^2+(-0.0021)*Z135)+AA$2*((-0.000002)*AA135^3+0.00032*AA135^2+(-0.0021)*AA135))</f>
        <v/>
      </c>
      <c r="AL135" s="5">
        <f>AB$1*((-0.000002)*AB135^3+0.00032*AB135^2+(-0.0021)*AB135)+AC$1*((-0.000002)*AC135^3+0.00032*AC135^2+(-0.0021)*AC135)</f>
        <v/>
      </c>
      <c r="AM135" s="5">
        <f>AD$1*((-0.000002)*AD135^3+0.00032*AD135^2+(-0.0021)*AD135)+AE$1*((-0.000002)*AE135^3+0.00032*AE135^2+(-0.0021)*AE135)+AF$1*((-0.000002)*AF135^3+0.00032*AF135^2+(-0.0021)*AF135)+AG$1*((-0.000002)*AG135^3+0.00032*AG135^2+(-0.0021)*AG135)</f>
        <v/>
      </c>
    </row>
    <row r="136" ht="15" customHeight="1" s="27" thickBot="1">
      <c r="A136" s="5">
        <f>(AI136*AI$3+AJ136*AJ$3+AK136*AK$3+AL136*AL$3+AM136*AM$3)*100/(AI$5*AI$3+AJ$5*AJ$3+AK$5*AK$3+AL$5*AL$3+AM$5*AM$3)</f>
        <v/>
      </c>
      <c r="B136" s="18" t="n">
        <v>96</v>
      </c>
      <c r="C136" s="11" t="inlineStr">
        <is>
          <t>Kintzler, Sonny</t>
        </is>
      </c>
      <c r="D136" s="19" t="inlineStr">
        <is>
          <t>P</t>
        </is>
      </c>
      <c r="E136" s="19" t="inlineStr">
        <is>
          <t>L</t>
        </is>
      </c>
      <c r="F136" s="19" t="inlineStr">
        <is>
          <t>L</t>
        </is>
      </c>
      <c r="G136" s="19" t="n">
        <v>18</v>
      </c>
      <c r="H136" s="19" t="n">
        <v>19</v>
      </c>
      <c r="I136" s="19" t="n">
        <v>4</v>
      </c>
      <c r="J136" s="19" t="n">
        <v>10</v>
      </c>
      <c r="K136" s="19" t="n">
        <v>29</v>
      </c>
      <c r="L136" s="19" t="n">
        <v>27</v>
      </c>
      <c r="M136" s="19" t="n">
        <v>22</v>
      </c>
      <c r="N136" s="19" t="n">
        <v>54</v>
      </c>
      <c r="O136" s="19" t="n">
        <v>82</v>
      </c>
      <c r="P136" s="19" t="n">
        <v>51</v>
      </c>
      <c r="Q136" s="18" t="n">
        <v>96</v>
      </c>
      <c r="R136" s="11" t="inlineStr">
        <is>
          <t>Kintzler, Sonny</t>
        </is>
      </c>
      <c r="S136" s="19" t="inlineStr">
        <is>
          <t>P</t>
        </is>
      </c>
      <c r="T136" s="19" t="inlineStr">
        <is>
          <t>L</t>
        </is>
      </c>
      <c r="U136" s="19" t="inlineStr">
        <is>
          <t>L</t>
        </is>
      </c>
      <c r="V136" s="19" t="n">
        <v>18</v>
      </c>
      <c r="W136" s="19" t="n">
        <v>6</v>
      </c>
      <c r="X136" s="19" t="n">
        <v>3</v>
      </c>
      <c r="Y136" s="19" t="n">
        <v>60</v>
      </c>
      <c r="Z136" s="19" t="n">
        <v>66</v>
      </c>
      <c r="AA136" s="19" t="n">
        <v>49</v>
      </c>
      <c r="AB136" s="19" t="n">
        <v>54</v>
      </c>
      <c r="AC136" s="19" t="n">
        <v>54</v>
      </c>
      <c r="AD136" s="19" t="n">
        <v>37</v>
      </c>
      <c r="AE136" s="19" t="n">
        <v>79</v>
      </c>
      <c r="AF136" s="19" t="n">
        <v>47</v>
      </c>
      <c r="AG136" s="19" t="n">
        <v>93</v>
      </c>
      <c r="AH136" s="19" t="n">
        <v>51</v>
      </c>
      <c r="AI136" s="5">
        <f>H$1*((-0.000002)*H136^3+0.00032*H136^2+(-0.0021)*H136)+I$1*((-0.000002)*I136^3+0.00032*I136^2+(-0.0021)*I136)+J$1*((-0.000002)*J136^3+0.00032*J136^2+(-0.0021)*J136)+K$1*((-0.000002)*K136^3+0.00032*K136^2+(-0.0021)*K136)+L$1*((-0.000002)*L136^3+0.00032*L136^2+(-0.0021)*L136)</f>
        <v/>
      </c>
      <c r="AJ136" s="5">
        <f>M$1*((-0.000002)*M136^3+0.00032*M136^2+(-0.0021)*M136)+N$1*((-0.000002)*N136^3+0.00032*N136^2+(-0.0021)*N136)+O$1*((-0.000002)*O136^3+0.00032*O136^2+(-0.0021)*O136)</f>
        <v/>
      </c>
      <c r="AK136" s="5">
        <f>IF(AA136&lt;50,W$1*((-0.000002)*W136^3+0.00032*W136^2+(-0.0021)*W136)+X$1*((-0.000002)*X136^3+0.00032*X136^2+(-0.0021)*X136)+Y$1*((-0.000002)*Y136^3+0.00032*Y136^2+(-0.0021)*Y136)+Z$1*((-0.000002)*Z136^3+0.00032*Z136^2+(-0.0021)*Z136),X$2*((-0.000002)*X136^3+0.00032*X136^2+(-0.0021)*X136)+Y$2*((-0.000002)*Y136^3+0.00032*Y136^2+(-0.0021)*Y136)+Z$2*((-0.000002)*Z136^3+0.00032*Z136^2+(-0.0021)*Z136)+AA$2*((-0.000002)*AA136^3+0.00032*AA136^2+(-0.0021)*AA136))</f>
        <v/>
      </c>
      <c r="AL136" s="5">
        <f>AB$1*((-0.000002)*AB136^3+0.00032*AB136^2+(-0.0021)*AB136)+AC$1*((-0.000002)*AC136^3+0.00032*AC136^2+(-0.0021)*AC136)</f>
        <v/>
      </c>
      <c r="AM136" s="5">
        <f>AD$1*((-0.000002)*AD136^3+0.00032*AD136^2+(-0.0021)*AD136)+AE$1*((-0.000002)*AE136^3+0.00032*AE136^2+(-0.0021)*AE136)+AF$1*((-0.000002)*AF136^3+0.00032*AF136^2+(-0.0021)*AF136)+AG$1*((-0.000002)*AG136^3+0.00032*AG136^2+(-0.0021)*AG136)</f>
        <v/>
      </c>
    </row>
    <row r="137" ht="15" customHeight="1" s="27" thickBot="1">
      <c r="A137" s="5">
        <f>(AI137*AI$3+AJ137*AJ$3+AK137*AK$3+AL137*AL$3+AM137*AM$3)*100/(AI$5*AI$3+AJ$5*AJ$3+AK$5*AK$3+AL$5*AL$3+AM$5*AM$3)</f>
        <v/>
      </c>
      <c r="B137" s="16" t="n">
        <v>63</v>
      </c>
      <c r="C137" s="10" t="inlineStr">
        <is>
          <t>Camilli, Dustin</t>
        </is>
      </c>
      <c r="D137" s="17" t="inlineStr">
        <is>
          <t>P</t>
        </is>
      </c>
      <c r="E137" s="17" t="inlineStr">
        <is>
          <t>L</t>
        </is>
      </c>
      <c r="F137" s="17" t="inlineStr">
        <is>
          <t>L</t>
        </is>
      </c>
      <c r="G137" s="17" t="n">
        <v>18</v>
      </c>
      <c r="H137" s="17" t="n">
        <v>22</v>
      </c>
      <c r="I137" s="17" t="n">
        <v>13</v>
      </c>
      <c r="J137" s="17" t="n">
        <v>22</v>
      </c>
      <c r="K137" s="17" t="n">
        <v>31</v>
      </c>
      <c r="L137" s="17" t="n">
        <v>28</v>
      </c>
      <c r="M137" s="17" t="n">
        <v>14</v>
      </c>
      <c r="N137" s="17" t="n">
        <v>72</v>
      </c>
      <c r="O137" s="17" t="n">
        <v>66</v>
      </c>
      <c r="P137" s="17" t="n">
        <v>59</v>
      </c>
      <c r="Q137" s="16" t="n">
        <v>63</v>
      </c>
      <c r="R137" s="10" t="inlineStr">
        <is>
          <t>Camilli, Dustin</t>
        </is>
      </c>
      <c r="S137" s="17" t="inlineStr">
        <is>
          <t>P</t>
        </is>
      </c>
      <c r="T137" s="17" t="inlineStr">
        <is>
          <t>L</t>
        </is>
      </c>
      <c r="U137" s="17" t="inlineStr">
        <is>
          <t>L</t>
        </is>
      </c>
      <c r="V137" s="17" t="n">
        <v>18</v>
      </c>
      <c r="W137" s="17" t="n">
        <v>15</v>
      </c>
      <c r="X137" s="17" t="n">
        <v>22</v>
      </c>
      <c r="Y137" s="17" t="n">
        <v>24</v>
      </c>
      <c r="Z137" s="17" t="n">
        <v>86</v>
      </c>
      <c r="AA137" s="17" t="n">
        <v>28</v>
      </c>
      <c r="AB137" s="17" t="n">
        <v>38</v>
      </c>
      <c r="AC137" s="17" t="n">
        <v>68</v>
      </c>
      <c r="AD137" s="17" t="n">
        <v>28</v>
      </c>
      <c r="AE137" s="17" t="n">
        <v>74</v>
      </c>
      <c r="AF137" s="17" t="n">
        <v>54</v>
      </c>
      <c r="AG137" s="17" t="n">
        <v>66</v>
      </c>
      <c r="AH137" s="17" t="n">
        <v>59</v>
      </c>
      <c r="AI137" s="5">
        <f>H$1*((-0.000002)*H137^3+0.00032*H137^2+(-0.0021)*H137)+I$1*((-0.000002)*I137^3+0.00032*I137^2+(-0.0021)*I137)+J$1*((-0.000002)*J137^3+0.00032*J137^2+(-0.0021)*J137)+K$1*((-0.000002)*K137^3+0.00032*K137^2+(-0.0021)*K137)+L$1*((-0.000002)*L137^3+0.00032*L137^2+(-0.0021)*L137)</f>
        <v/>
      </c>
      <c r="AJ137" s="5">
        <f>M$1*((-0.000002)*M137^3+0.00032*M137^2+(-0.0021)*M137)+N$1*((-0.000002)*N137^3+0.00032*N137^2+(-0.0021)*N137)+O$1*((-0.000002)*O137^3+0.00032*O137^2+(-0.0021)*O137)</f>
        <v/>
      </c>
      <c r="AK137" s="5">
        <f>IF(AA137&lt;50,W$1*((-0.000002)*W137^3+0.00032*W137^2+(-0.0021)*W137)+X$1*((-0.000002)*X137^3+0.00032*X137^2+(-0.0021)*X137)+Y$1*((-0.000002)*Y137^3+0.00032*Y137^2+(-0.0021)*Y137)+Z$1*((-0.000002)*Z137^3+0.00032*Z137^2+(-0.0021)*Z137),X$2*((-0.000002)*X137^3+0.00032*X137^2+(-0.0021)*X137)+Y$2*((-0.000002)*Y137^3+0.00032*Y137^2+(-0.0021)*Y137)+Z$2*((-0.000002)*Z137^3+0.00032*Z137^2+(-0.0021)*Z137)+AA$2*((-0.000002)*AA137^3+0.00032*AA137^2+(-0.0021)*AA137))</f>
        <v/>
      </c>
      <c r="AL137" s="5">
        <f>AB$1*((-0.000002)*AB137^3+0.00032*AB137^2+(-0.0021)*AB137)+AC$1*((-0.000002)*AC137^3+0.00032*AC137^2+(-0.0021)*AC137)</f>
        <v/>
      </c>
      <c r="AM137" s="5">
        <f>AD$1*((-0.000002)*AD137^3+0.00032*AD137^2+(-0.0021)*AD137)+AE$1*((-0.000002)*AE137^3+0.00032*AE137^2+(-0.0021)*AE137)+AF$1*((-0.000002)*AF137^3+0.00032*AF137^2+(-0.0021)*AF137)+AG$1*((-0.000002)*AG137^3+0.00032*AG137^2+(-0.0021)*AG137)</f>
        <v/>
      </c>
    </row>
    <row r="138" ht="15" customHeight="1" s="27" thickBot="1">
      <c r="A138" s="5">
        <f>(AI138*AI$3+AJ138*AJ$3+AK138*AK$3+AL138*AL$3+AM138*AM$3)*100/(AI$5*AI$3+AJ$5*AJ$3+AK$5*AK$3+AL$5*AL$3+AM$5*AM$3)</f>
        <v/>
      </c>
      <c r="B138" s="16" t="n">
        <v>101</v>
      </c>
      <c r="C138" s="10" t="inlineStr">
        <is>
          <t>Lowry, Howard</t>
        </is>
      </c>
      <c r="D138" s="17" t="inlineStr">
        <is>
          <t>P</t>
        </is>
      </c>
      <c r="E138" s="17" t="inlineStr">
        <is>
          <t>R</t>
        </is>
      </c>
      <c r="F138" s="17" t="inlineStr">
        <is>
          <t>R</t>
        </is>
      </c>
      <c r="G138" s="17" t="n">
        <v>18</v>
      </c>
      <c r="H138" s="17" t="n">
        <v>16</v>
      </c>
      <c r="I138" s="17" t="n">
        <v>5</v>
      </c>
      <c r="J138" s="17" t="n">
        <v>26</v>
      </c>
      <c r="K138" s="17" t="n">
        <v>13</v>
      </c>
      <c r="L138" s="17" t="n">
        <v>29</v>
      </c>
      <c r="M138" s="17" t="n">
        <v>21</v>
      </c>
      <c r="N138" s="17" t="n">
        <v>82</v>
      </c>
      <c r="O138" s="17" t="n">
        <v>51</v>
      </c>
      <c r="P138" s="17" t="n">
        <v>50</v>
      </c>
      <c r="Q138" s="16" t="n">
        <v>101</v>
      </c>
      <c r="R138" s="10" t="inlineStr">
        <is>
          <t>Lowry, Howard</t>
        </is>
      </c>
      <c r="S138" s="17" t="inlineStr">
        <is>
          <t>P</t>
        </is>
      </c>
      <c r="T138" s="17" t="inlineStr">
        <is>
          <t>R</t>
        </is>
      </c>
      <c r="U138" s="17" t="inlineStr">
        <is>
          <t>R</t>
        </is>
      </c>
      <c r="V138" s="17" t="n">
        <v>18</v>
      </c>
      <c r="W138" s="17" t="n">
        <v>37</v>
      </c>
      <c r="X138" s="17" t="n">
        <v>44</v>
      </c>
      <c r="Y138" s="17" t="n">
        <v>64</v>
      </c>
      <c r="Z138" s="17" t="n">
        <v>8</v>
      </c>
      <c r="AA138" s="17" t="n">
        <v>6</v>
      </c>
      <c r="AB138" s="17" t="n">
        <v>19</v>
      </c>
      <c r="AC138" s="17" t="n">
        <v>90</v>
      </c>
      <c r="AD138" s="17" t="n">
        <v>59</v>
      </c>
      <c r="AE138" s="17" t="n">
        <v>22</v>
      </c>
      <c r="AF138" s="17" t="n">
        <v>41</v>
      </c>
      <c r="AG138" s="17" t="n">
        <v>90</v>
      </c>
      <c r="AH138" s="17" t="n">
        <v>50</v>
      </c>
      <c r="AI138" s="5">
        <f>H$1*((-0.000002)*H138^3+0.00032*H138^2+(-0.0021)*H138)+I$1*((-0.000002)*I138^3+0.00032*I138^2+(-0.0021)*I138)+J$1*((-0.000002)*J138^3+0.00032*J138^2+(-0.0021)*J138)+K$1*((-0.000002)*K138^3+0.00032*K138^2+(-0.0021)*K138)+L$1*((-0.000002)*L138^3+0.00032*L138^2+(-0.0021)*L138)</f>
        <v/>
      </c>
      <c r="AJ138" s="5">
        <f>M$1*((-0.000002)*M138^3+0.00032*M138^2+(-0.0021)*M138)+N$1*((-0.000002)*N138^3+0.00032*N138^2+(-0.0021)*N138)+O$1*((-0.000002)*O138^3+0.00032*O138^2+(-0.0021)*O138)</f>
        <v/>
      </c>
      <c r="AK138" s="5">
        <f>IF(AA138&lt;50,W$1*((-0.000002)*W138^3+0.00032*W138^2+(-0.0021)*W138)+X$1*((-0.000002)*X138^3+0.00032*X138^2+(-0.0021)*X138)+Y$1*((-0.000002)*Y138^3+0.00032*Y138^2+(-0.0021)*Y138)+Z$1*((-0.000002)*Z138^3+0.00032*Z138^2+(-0.0021)*Z138),X$2*((-0.000002)*X138^3+0.00032*X138^2+(-0.0021)*X138)+Y$2*((-0.000002)*Y138^3+0.00032*Y138^2+(-0.0021)*Y138)+Z$2*((-0.000002)*Z138^3+0.00032*Z138^2+(-0.0021)*Z138)+AA$2*((-0.000002)*AA138^3+0.00032*AA138^2+(-0.0021)*AA138))</f>
        <v/>
      </c>
      <c r="AL138" s="5">
        <f>AB$1*((-0.000002)*AB138^3+0.00032*AB138^2+(-0.0021)*AB138)+AC$1*((-0.000002)*AC138^3+0.00032*AC138^2+(-0.0021)*AC138)</f>
        <v/>
      </c>
      <c r="AM138" s="5">
        <f>AD$1*((-0.000002)*AD138^3+0.00032*AD138^2+(-0.0021)*AD138)+AE$1*((-0.000002)*AE138^3+0.00032*AE138^2+(-0.0021)*AE138)+AF$1*((-0.000002)*AF138^3+0.00032*AF138^2+(-0.0021)*AF138)+AG$1*((-0.000002)*AG138^3+0.00032*AG138^2+(-0.0021)*AG138)</f>
        <v/>
      </c>
    </row>
    <row r="139" ht="15" customHeight="1" s="27" thickBot="1">
      <c r="A139" s="5">
        <f>(AI139*AI$3+AJ139*AJ$3+AK139*AK$3+AL139*AL$3+AM139*AM$3)*100/(AI$5*AI$3+AJ$5*AJ$3+AK$5*AK$3+AL$5*AL$3+AM$5*AM$3)</f>
        <v/>
      </c>
      <c r="B139" s="18" t="n">
        <v>22</v>
      </c>
      <c r="C139" s="11" t="inlineStr">
        <is>
          <t>Riley, Mason</t>
        </is>
      </c>
      <c r="D139" s="19" t="inlineStr">
        <is>
          <t>P</t>
        </is>
      </c>
      <c r="E139" s="19" t="inlineStr">
        <is>
          <t>S</t>
        </is>
      </c>
      <c r="F139" s="19" t="inlineStr">
        <is>
          <t>L</t>
        </is>
      </c>
      <c r="G139" s="19" t="n">
        <v>18</v>
      </c>
      <c r="H139" s="19" t="n">
        <v>10</v>
      </c>
      <c r="I139" s="19" t="n">
        <v>7</v>
      </c>
      <c r="J139" s="19" t="n">
        <v>11</v>
      </c>
      <c r="K139" s="19" t="n">
        <v>19</v>
      </c>
      <c r="L139" s="19" t="n">
        <v>15</v>
      </c>
      <c r="M139" s="19" t="n">
        <v>14</v>
      </c>
      <c r="N139" s="19" t="n">
        <v>71</v>
      </c>
      <c r="O139" s="19" t="n">
        <v>66</v>
      </c>
      <c r="P139" s="19" t="n">
        <v>69</v>
      </c>
      <c r="Q139" s="18" t="n">
        <v>22</v>
      </c>
      <c r="R139" s="11" t="inlineStr">
        <is>
          <t>Riley, Mason</t>
        </is>
      </c>
      <c r="S139" s="19" t="inlineStr">
        <is>
          <t>P</t>
        </is>
      </c>
      <c r="T139" s="19" t="inlineStr">
        <is>
          <t>S</t>
        </is>
      </c>
      <c r="U139" s="19" t="inlineStr">
        <is>
          <t>L</t>
        </is>
      </c>
      <c r="V139" s="19" t="n">
        <v>18</v>
      </c>
      <c r="W139" s="19" t="n">
        <v>41</v>
      </c>
      <c r="X139" s="19" t="n">
        <v>45</v>
      </c>
      <c r="Y139" s="19" t="n">
        <v>78</v>
      </c>
      <c r="Z139" s="19" t="n">
        <v>22</v>
      </c>
      <c r="AA139" s="19" t="n">
        <v>31</v>
      </c>
      <c r="AB139" s="19" t="n">
        <v>80</v>
      </c>
      <c r="AC139" s="19" t="n">
        <v>100</v>
      </c>
      <c r="AD139" s="19" t="n">
        <v>9</v>
      </c>
      <c r="AE139" s="19" t="n">
        <v>57</v>
      </c>
      <c r="AF139" s="19" t="n">
        <v>22</v>
      </c>
      <c r="AG139" s="19" t="n">
        <v>93</v>
      </c>
      <c r="AH139" s="19" t="n">
        <v>69</v>
      </c>
      <c r="AI139" s="5">
        <f>H$1*((-0.000002)*H139^3+0.00032*H139^2+(-0.0021)*H139)+I$1*((-0.000002)*I139^3+0.00032*I139^2+(-0.0021)*I139)+J$1*((-0.000002)*J139^3+0.00032*J139^2+(-0.0021)*J139)+K$1*((-0.000002)*K139^3+0.00032*K139^2+(-0.0021)*K139)+L$1*((-0.000002)*L139^3+0.00032*L139^2+(-0.0021)*L139)</f>
        <v/>
      </c>
      <c r="AJ139" s="5">
        <f>M$1*((-0.000002)*M139^3+0.00032*M139^2+(-0.0021)*M139)+N$1*((-0.000002)*N139^3+0.00032*N139^2+(-0.0021)*N139)+O$1*((-0.000002)*O139^3+0.00032*O139^2+(-0.0021)*O139)</f>
        <v/>
      </c>
      <c r="AK139" s="5">
        <f>IF(AA139&lt;50,W$1*((-0.000002)*W139^3+0.00032*W139^2+(-0.0021)*W139)+X$1*((-0.000002)*X139^3+0.00032*X139^2+(-0.0021)*X139)+Y$1*((-0.000002)*Y139^3+0.00032*Y139^2+(-0.0021)*Y139)+Z$1*((-0.000002)*Z139^3+0.00032*Z139^2+(-0.0021)*Z139),X$2*((-0.000002)*X139^3+0.00032*X139^2+(-0.0021)*X139)+Y$2*((-0.000002)*Y139^3+0.00032*Y139^2+(-0.0021)*Y139)+Z$2*((-0.000002)*Z139^3+0.00032*Z139^2+(-0.0021)*Z139)+AA$2*((-0.000002)*AA139^3+0.00032*AA139^2+(-0.0021)*AA139))</f>
        <v/>
      </c>
      <c r="AL139" s="5">
        <f>AB$1*((-0.000002)*AB139^3+0.00032*AB139^2+(-0.0021)*AB139)+AC$1*((-0.000002)*AC139^3+0.00032*AC139^2+(-0.0021)*AC139)</f>
        <v/>
      </c>
      <c r="AM139" s="5">
        <f>AD$1*((-0.000002)*AD139^3+0.00032*AD139^2+(-0.0021)*AD139)+AE$1*((-0.000002)*AE139^3+0.00032*AE139^2+(-0.0021)*AE139)+AF$1*((-0.000002)*AF139^3+0.00032*AF139^2+(-0.0021)*AF139)+AG$1*((-0.000002)*AG139^3+0.00032*AG139^2+(-0.0021)*AG139)</f>
        <v/>
      </c>
    </row>
    <row r="140" ht="15" customHeight="1" s="27" thickBot="1">
      <c r="A140" s="5">
        <f>(AI140*AI$3+AJ140*AJ$3+AK140*AK$3+AL140*AL$3+AM140*AM$3)*100/(AI$5*AI$3+AJ$5*AJ$3+AK$5*AK$3+AL$5*AL$3+AM$5*AM$3)</f>
        <v/>
      </c>
      <c r="B140" s="18" t="n">
        <v>110</v>
      </c>
      <c r="C140" s="11" t="inlineStr">
        <is>
          <t>Delgado, Tomas</t>
        </is>
      </c>
      <c r="D140" s="19" t="inlineStr">
        <is>
          <t>P</t>
        </is>
      </c>
      <c r="E140" s="19" t="inlineStr">
        <is>
          <t>L</t>
        </is>
      </c>
      <c r="F140" s="19" t="inlineStr">
        <is>
          <t>L</t>
        </is>
      </c>
      <c r="G140" s="19" t="n">
        <v>18</v>
      </c>
      <c r="H140" s="19" t="n">
        <v>25</v>
      </c>
      <c r="I140" s="19" t="n">
        <v>10</v>
      </c>
      <c r="J140" s="19" t="n">
        <v>7</v>
      </c>
      <c r="K140" s="19" t="n">
        <v>35</v>
      </c>
      <c r="L140" s="19" t="n">
        <v>33</v>
      </c>
      <c r="M140" s="19" t="n">
        <v>31</v>
      </c>
      <c r="N140" s="19" t="n">
        <v>63</v>
      </c>
      <c r="O140" s="19" t="n">
        <v>76</v>
      </c>
      <c r="P140" s="19" t="n">
        <v>48</v>
      </c>
      <c r="Q140" s="18" t="n">
        <v>110</v>
      </c>
      <c r="R140" s="11" t="inlineStr">
        <is>
          <t>Delgado, Tomas</t>
        </is>
      </c>
      <c r="S140" s="19" t="inlineStr">
        <is>
          <t>P</t>
        </is>
      </c>
      <c r="T140" s="19" t="inlineStr">
        <is>
          <t>L</t>
        </is>
      </c>
      <c r="U140" s="19" t="inlineStr">
        <is>
          <t>L</t>
        </is>
      </c>
      <c r="V140" s="19" t="n">
        <v>18</v>
      </c>
      <c r="W140" s="19" t="n">
        <v>5</v>
      </c>
      <c r="X140" s="19" t="n">
        <v>34</v>
      </c>
      <c r="Y140" s="19" t="n">
        <v>44</v>
      </c>
      <c r="Z140" s="19" t="n">
        <v>22</v>
      </c>
      <c r="AA140" s="19" t="n">
        <v>54</v>
      </c>
      <c r="AB140" s="19" t="n">
        <v>48</v>
      </c>
      <c r="AC140" s="19" t="n">
        <v>100</v>
      </c>
      <c r="AD140" s="19" t="n">
        <v>50</v>
      </c>
      <c r="AE140" s="19" t="n">
        <v>79</v>
      </c>
      <c r="AF140" s="19" t="n">
        <v>29</v>
      </c>
      <c r="AG140" s="19" t="n">
        <v>63</v>
      </c>
      <c r="AH140" s="19" t="n">
        <v>48</v>
      </c>
      <c r="AI140" s="5">
        <f>H$1*((-0.000002)*H140^3+0.00032*H140^2+(-0.0021)*H140)+I$1*((-0.000002)*I140^3+0.00032*I140^2+(-0.0021)*I140)+J$1*((-0.000002)*J140^3+0.00032*J140^2+(-0.0021)*J140)+K$1*((-0.000002)*K140^3+0.00032*K140^2+(-0.0021)*K140)+L$1*((-0.000002)*L140^3+0.00032*L140^2+(-0.0021)*L140)</f>
        <v/>
      </c>
      <c r="AJ140" s="5">
        <f>M$1*((-0.000002)*M140^3+0.00032*M140^2+(-0.0021)*M140)+N$1*((-0.000002)*N140^3+0.00032*N140^2+(-0.0021)*N140)+O$1*((-0.000002)*O140^3+0.00032*O140^2+(-0.0021)*O140)</f>
        <v/>
      </c>
      <c r="AK140" s="5">
        <f>IF(AA140&lt;50,W$1*((-0.000002)*W140^3+0.00032*W140^2+(-0.0021)*W140)+X$1*((-0.000002)*X140^3+0.00032*X140^2+(-0.0021)*X140)+Y$1*((-0.000002)*Y140^3+0.00032*Y140^2+(-0.0021)*Y140)+Z$1*((-0.000002)*Z140^3+0.00032*Z140^2+(-0.0021)*Z140),X$2*((-0.000002)*X140^3+0.00032*X140^2+(-0.0021)*X140)+Y$2*((-0.000002)*Y140^3+0.00032*Y140^2+(-0.0021)*Y140)+Z$2*((-0.000002)*Z140^3+0.00032*Z140^2+(-0.0021)*Z140)+AA$2*((-0.000002)*AA140^3+0.00032*AA140^2+(-0.0021)*AA140))</f>
        <v/>
      </c>
      <c r="AL140" s="5">
        <f>AB$1*((-0.000002)*AB140^3+0.00032*AB140^2+(-0.0021)*AB140)+AC$1*((-0.000002)*AC140^3+0.00032*AC140^2+(-0.0021)*AC140)</f>
        <v/>
      </c>
      <c r="AM140" s="5">
        <f>AD$1*((-0.000002)*AD140^3+0.00032*AD140^2+(-0.0021)*AD140)+AE$1*((-0.000002)*AE140^3+0.00032*AE140^2+(-0.0021)*AE140)+AF$1*((-0.000002)*AF140^3+0.00032*AF140^2+(-0.0021)*AF140)+AG$1*((-0.000002)*AG140^3+0.00032*AG140^2+(-0.0021)*AG140)</f>
        <v/>
      </c>
    </row>
    <row r="141" ht="15" customHeight="1" s="27" thickBot="1">
      <c r="A141" s="5">
        <f>(AI141*AI$3+AJ141*AJ$3+AK141*AK$3+AL141*AL$3+AM141*AM$3)*100/(AI$5*AI$3+AJ$5*AJ$3+AK$5*AK$3+AL$5*AL$3+AM$5*AM$3)</f>
        <v/>
      </c>
      <c r="B141" s="18" t="n">
        <v>136</v>
      </c>
      <c r="C141" s="11" t="inlineStr">
        <is>
          <t>Walker, Willie</t>
        </is>
      </c>
      <c r="D141" s="19" t="inlineStr">
        <is>
          <t>P</t>
        </is>
      </c>
      <c r="E141" s="19" t="inlineStr">
        <is>
          <t>L</t>
        </is>
      </c>
      <c r="F141" s="19" t="inlineStr">
        <is>
          <t>L</t>
        </is>
      </c>
      <c r="G141" s="19" t="n">
        <v>18</v>
      </c>
      <c r="H141" s="19" t="n">
        <v>27</v>
      </c>
      <c r="I141" s="19" t="n">
        <v>11</v>
      </c>
      <c r="J141" s="19" t="n">
        <v>15</v>
      </c>
      <c r="K141" s="19" t="n">
        <v>31</v>
      </c>
      <c r="L141" s="19" t="n">
        <v>25</v>
      </c>
      <c r="M141" s="19" t="n">
        <v>16</v>
      </c>
      <c r="N141" s="19" t="n">
        <v>70</v>
      </c>
      <c r="O141" s="19" t="n">
        <v>65</v>
      </c>
      <c r="P141" s="19" t="n">
        <v>44</v>
      </c>
      <c r="Q141" s="18" t="n">
        <v>136</v>
      </c>
      <c r="R141" s="11" t="inlineStr">
        <is>
          <t>Walker, Willie</t>
        </is>
      </c>
      <c r="S141" s="19" t="inlineStr">
        <is>
          <t>P</t>
        </is>
      </c>
      <c r="T141" s="19" t="inlineStr">
        <is>
          <t>L</t>
        </is>
      </c>
      <c r="U141" s="19" t="inlineStr">
        <is>
          <t>L</t>
        </is>
      </c>
      <c r="V141" s="19" t="n">
        <v>18</v>
      </c>
      <c r="W141" s="19" t="n">
        <v>32</v>
      </c>
      <c r="X141" s="19" t="n">
        <v>28</v>
      </c>
      <c r="Y141" s="19" t="n">
        <v>62</v>
      </c>
      <c r="Z141" s="19" t="n">
        <v>24</v>
      </c>
      <c r="AA141" s="19" t="n">
        <v>42</v>
      </c>
      <c r="AB141" s="19" t="n">
        <v>32</v>
      </c>
      <c r="AC141" s="19" t="n">
        <v>77</v>
      </c>
      <c r="AD141" s="19" t="n">
        <v>51</v>
      </c>
      <c r="AE141" s="19" t="n">
        <v>41</v>
      </c>
      <c r="AF141" s="19" t="n">
        <v>47</v>
      </c>
      <c r="AG141" s="19" t="n">
        <v>79</v>
      </c>
      <c r="AH141" s="19" t="n">
        <v>44</v>
      </c>
      <c r="AI141" s="5">
        <f>H$1*((-0.000002)*H141^3+0.00032*H141^2+(-0.0021)*H141)+I$1*((-0.000002)*I141^3+0.00032*I141^2+(-0.0021)*I141)+J$1*((-0.000002)*J141^3+0.00032*J141^2+(-0.0021)*J141)+K$1*((-0.000002)*K141^3+0.00032*K141^2+(-0.0021)*K141)+L$1*((-0.000002)*L141^3+0.00032*L141^2+(-0.0021)*L141)</f>
        <v/>
      </c>
      <c r="AJ141" s="5">
        <f>M$1*((-0.000002)*M141^3+0.00032*M141^2+(-0.0021)*M141)+N$1*((-0.000002)*N141^3+0.00032*N141^2+(-0.0021)*N141)+O$1*((-0.000002)*O141^3+0.00032*O141^2+(-0.0021)*O141)</f>
        <v/>
      </c>
      <c r="AK141" s="5">
        <f>IF(AA141&lt;50,W$1*((-0.000002)*W141^3+0.00032*W141^2+(-0.0021)*W141)+X$1*((-0.000002)*X141^3+0.00032*X141^2+(-0.0021)*X141)+Y$1*((-0.000002)*Y141^3+0.00032*Y141^2+(-0.0021)*Y141)+Z$1*((-0.000002)*Z141^3+0.00032*Z141^2+(-0.0021)*Z141),X$2*((-0.000002)*X141^3+0.00032*X141^2+(-0.0021)*X141)+Y$2*((-0.000002)*Y141^3+0.00032*Y141^2+(-0.0021)*Y141)+Z$2*((-0.000002)*Z141^3+0.00032*Z141^2+(-0.0021)*Z141)+AA$2*((-0.000002)*AA141^3+0.00032*AA141^2+(-0.0021)*AA141))</f>
        <v/>
      </c>
      <c r="AL141" s="5">
        <f>AB$1*((-0.000002)*AB141^3+0.00032*AB141^2+(-0.0021)*AB141)+AC$1*((-0.000002)*AC141^3+0.00032*AC141^2+(-0.0021)*AC141)</f>
        <v/>
      </c>
      <c r="AM141" s="5">
        <f>AD$1*((-0.000002)*AD141^3+0.00032*AD141^2+(-0.0021)*AD141)+AE$1*((-0.000002)*AE141^3+0.00032*AE141^2+(-0.0021)*AE141)+AF$1*((-0.000002)*AF141^3+0.00032*AF141^2+(-0.0021)*AF141)+AG$1*((-0.000002)*AG141^3+0.00032*AG141^2+(-0.0021)*AG141)</f>
        <v/>
      </c>
    </row>
    <row r="142" ht="15" customHeight="1" s="27" thickBot="1">
      <c r="A142" s="5">
        <f>(AI142*AI$3+AJ142*AJ$3+AK142*AK$3+AL142*AL$3+AM142*AM$3)*100/(AI$5*AI$3+AJ$5*AJ$3+AK$5*AK$3+AL$5*AL$3+AM$5*AM$3)</f>
        <v/>
      </c>
      <c r="B142" s="18" t="n">
        <v>88</v>
      </c>
      <c r="C142" s="11" t="inlineStr">
        <is>
          <t>Telis, Victor</t>
        </is>
      </c>
      <c r="D142" s="19" t="inlineStr">
        <is>
          <t>P</t>
        </is>
      </c>
      <c r="E142" s="19" t="inlineStr">
        <is>
          <t>R</t>
        </is>
      </c>
      <c r="F142" s="19" t="inlineStr">
        <is>
          <t>R</t>
        </is>
      </c>
      <c r="G142" s="19" t="n">
        <v>18</v>
      </c>
      <c r="H142" s="19" t="n">
        <v>23</v>
      </c>
      <c r="I142" s="19" t="n">
        <v>10</v>
      </c>
      <c r="J142" s="19" t="n">
        <v>20</v>
      </c>
      <c r="K142" s="19" t="n">
        <v>22</v>
      </c>
      <c r="L142" s="19" t="n">
        <v>34</v>
      </c>
      <c r="M142" s="19" t="n">
        <v>23</v>
      </c>
      <c r="N142" s="19" t="n">
        <v>54</v>
      </c>
      <c r="O142" s="19" t="n">
        <v>59</v>
      </c>
      <c r="P142" s="19" t="n">
        <v>53</v>
      </c>
      <c r="Q142" s="18" t="n">
        <v>88</v>
      </c>
      <c r="R142" s="11" t="inlineStr">
        <is>
          <t>Telis, Victor</t>
        </is>
      </c>
      <c r="S142" s="19" t="inlineStr">
        <is>
          <t>P</t>
        </is>
      </c>
      <c r="T142" s="19" t="inlineStr">
        <is>
          <t>R</t>
        </is>
      </c>
      <c r="U142" s="19" t="inlineStr">
        <is>
          <t>R</t>
        </is>
      </c>
      <c r="V142" s="19" t="n">
        <v>18</v>
      </c>
      <c r="W142" s="19" t="n">
        <v>20</v>
      </c>
      <c r="X142" s="19" t="n">
        <v>6</v>
      </c>
      <c r="Y142" s="19" t="n">
        <v>17</v>
      </c>
      <c r="Z142" s="19" t="n">
        <v>83</v>
      </c>
      <c r="AA142" s="19" t="n">
        <v>10</v>
      </c>
      <c r="AB142" s="19" t="n">
        <v>25</v>
      </c>
      <c r="AC142" s="19" t="n">
        <v>96</v>
      </c>
      <c r="AD142" s="19" t="n">
        <v>14</v>
      </c>
      <c r="AE142" s="19" t="n">
        <v>91</v>
      </c>
      <c r="AF142" s="19" t="n">
        <v>41</v>
      </c>
      <c r="AG142" s="19" t="n">
        <v>96</v>
      </c>
      <c r="AH142" s="19" t="n">
        <v>53</v>
      </c>
      <c r="AI142" s="5">
        <f>H$1*((-0.000002)*H142^3+0.00032*H142^2+(-0.0021)*H142)+I$1*((-0.000002)*I142^3+0.00032*I142^2+(-0.0021)*I142)+J$1*((-0.000002)*J142^3+0.00032*J142^2+(-0.0021)*J142)+K$1*((-0.000002)*K142^3+0.00032*K142^2+(-0.0021)*K142)+L$1*((-0.000002)*L142^3+0.00032*L142^2+(-0.0021)*L142)</f>
        <v/>
      </c>
      <c r="AJ142" s="5">
        <f>M$1*((-0.000002)*M142^3+0.00032*M142^2+(-0.0021)*M142)+N$1*((-0.000002)*N142^3+0.00032*N142^2+(-0.0021)*N142)+O$1*((-0.000002)*O142^3+0.00032*O142^2+(-0.0021)*O142)</f>
        <v/>
      </c>
      <c r="AK142" s="5">
        <f>IF(AA142&lt;50,W$1*((-0.000002)*W142^3+0.00032*W142^2+(-0.0021)*W142)+X$1*((-0.000002)*X142^3+0.00032*X142^2+(-0.0021)*X142)+Y$1*((-0.000002)*Y142^3+0.00032*Y142^2+(-0.0021)*Y142)+Z$1*((-0.000002)*Z142^3+0.00032*Z142^2+(-0.0021)*Z142),X$2*((-0.000002)*X142^3+0.00032*X142^2+(-0.0021)*X142)+Y$2*((-0.000002)*Y142^3+0.00032*Y142^2+(-0.0021)*Y142)+Z$2*((-0.000002)*Z142^3+0.00032*Z142^2+(-0.0021)*Z142)+AA$2*((-0.000002)*AA142^3+0.00032*AA142^2+(-0.0021)*AA142))</f>
        <v/>
      </c>
      <c r="AL142" s="5">
        <f>AB$1*((-0.000002)*AB142^3+0.00032*AB142^2+(-0.0021)*AB142)+AC$1*((-0.000002)*AC142^3+0.00032*AC142^2+(-0.0021)*AC142)</f>
        <v/>
      </c>
      <c r="AM142" s="5">
        <f>AD$1*((-0.000002)*AD142^3+0.00032*AD142^2+(-0.0021)*AD142)+AE$1*((-0.000002)*AE142^3+0.00032*AE142^2+(-0.0021)*AE142)+AF$1*((-0.000002)*AF142^3+0.00032*AF142^2+(-0.0021)*AF142)+AG$1*((-0.000002)*AG142^3+0.00032*AG142^2+(-0.0021)*AG142)</f>
        <v/>
      </c>
    </row>
    <row r="143" ht="15" customHeight="1" s="27" thickBot="1">
      <c r="A143" s="5">
        <f>(AI143*AI$3+AJ143*AJ$3+AK143*AK$3+AL143*AL$3+AM143*AM$3)*100/(AI$5*AI$3+AJ$5*AJ$3+AK$5*AK$3+AL$5*AL$3+AM$5*AM$3)</f>
        <v/>
      </c>
      <c r="B143" s="18" t="n">
        <v>158</v>
      </c>
      <c r="C143" s="11" t="inlineStr">
        <is>
          <t>Greinke, Trayce</t>
        </is>
      </c>
      <c r="D143" s="19" t="inlineStr">
        <is>
          <t>P</t>
        </is>
      </c>
      <c r="E143" s="19" t="inlineStr">
        <is>
          <t>S</t>
        </is>
      </c>
      <c r="F143" s="19" t="inlineStr">
        <is>
          <t>R</t>
        </is>
      </c>
      <c r="G143" s="19" t="n">
        <v>18</v>
      </c>
      <c r="H143" s="19" t="n">
        <v>9</v>
      </c>
      <c r="I143" s="19" t="n">
        <v>8</v>
      </c>
      <c r="J143" s="19" t="n">
        <v>11</v>
      </c>
      <c r="K143" s="19" t="n">
        <v>19</v>
      </c>
      <c r="L143" s="19" t="n">
        <v>15</v>
      </c>
      <c r="M143" s="19" t="n">
        <v>15</v>
      </c>
      <c r="N143" s="19" t="n">
        <v>64</v>
      </c>
      <c r="O143" s="19" t="n">
        <v>73</v>
      </c>
      <c r="P143" s="19" t="n">
        <v>39</v>
      </c>
      <c r="Q143" s="18" t="n">
        <v>158</v>
      </c>
      <c r="R143" s="11" t="inlineStr">
        <is>
          <t>Greinke, Trayce</t>
        </is>
      </c>
      <c r="S143" s="19" t="inlineStr">
        <is>
          <t>P</t>
        </is>
      </c>
      <c r="T143" s="19" t="inlineStr">
        <is>
          <t>S</t>
        </is>
      </c>
      <c r="U143" s="19" t="inlineStr">
        <is>
          <t>R</t>
        </is>
      </c>
      <c r="V143" s="19" t="n">
        <v>18</v>
      </c>
      <c r="W143" s="19" t="n">
        <v>22</v>
      </c>
      <c r="X143" s="19" t="n">
        <v>23</v>
      </c>
      <c r="Y143" s="19" t="n">
        <v>66</v>
      </c>
      <c r="Z143" s="19" t="n">
        <v>66</v>
      </c>
      <c r="AA143" s="19" t="n">
        <v>14</v>
      </c>
      <c r="AB143" s="19" t="n">
        <v>71</v>
      </c>
      <c r="AC143" s="19" t="n">
        <v>62</v>
      </c>
      <c r="AD143" s="19" t="n">
        <v>25</v>
      </c>
      <c r="AE143" s="19" t="n">
        <v>90</v>
      </c>
      <c r="AF143" s="19" t="n">
        <v>47</v>
      </c>
      <c r="AG143" s="19" t="n">
        <v>96</v>
      </c>
      <c r="AH143" s="19" t="n">
        <v>39</v>
      </c>
      <c r="AI143" s="5">
        <f>H$1*((-0.000002)*H143^3+0.00032*H143^2+(-0.0021)*H143)+I$1*((-0.000002)*I143^3+0.00032*I143^2+(-0.0021)*I143)+J$1*((-0.000002)*J143^3+0.00032*J143^2+(-0.0021)*J143)+K$1*((-0.000002)*K143^3+0.00032*K143^2+(-0.0021)*K143)+L$1*((-0.000002)*L143^3+0.00032*L143^2+(-0.0021)*L143)</f>
        <v/>
      </c>
      <c r="AJ143" s="5">
        <f>M$1*((-0.000002)*M143^3+0.00032*M143^2+(-0.0021)*M143)+N$1*((-0.000002)*N143^3+0.00032*N143^2+(-0.0021)*N143)+O$1*((-0.000002)*O143^3+0.00032*O143^2+(-0.0021)*O143)</f>
        <v/>
      </c>
      <c r="AK143" s="5">
        <f>IF(AA143&lt;50,W$1*((-0.000002)*W143^3+0.00032*W143^2+(-0.0021)*W143)+X$1*((-0.000002)*X143^3+0.00032*X143^2+(-0.0021)*X143)+Y$1*((-0.000002)*Y143^3+0.00032*Y143^2+(-0.0021)*Y143)+Z$1*((-0.000002)*Z143^3+0.00032*Z143^2+(-0.0021)*Z143),X$2*((-0.000002)*X143^3+0.00032*X143^2+(-0.0021)*X143)+Y$2*((-0.000002)*Y143^3+0.00032*Y143^2+(-0.0021)*Y143)+Z$2*((-0.000002)*Z143^3+0.00032*Z143^2+(-0.0021)*Z143)+AA$2*((-0.000002)*AA143^3+0.00032*AA143^2+(-0.0021)*AA143))</f>
        <v/>
      </c>
      <c r="AL143" s="5">
        <f>AB$1*((-0.000002)*AB143^3+0.00032*AB143^2+(-0.0021)*AB143)+AC$1*((-0.000002)*AC143^3+0.00032*AC143^2+(-0.0021)*AC143)</f>
        <v/>
      </c>
      <c r="AM143" s="5">
        <f>AD$1*((-0.000002)*AD143^3+0.00032*AD143^2+(-0.0021)*AD143)+AE$1*((-0.000002)*AE143^3+0.00032*AE143^2+(-0.0021)*AE143)+AF$1*((-0.000002)*AF143^3+0.00032*AF143^2+(-0.0021)*AF143)+AG$1*((-0.000002)*AG143^3+0.00032*AG143^2+(-0.0021)*AG143)</f>
        <v/>
      </c>
    </row>
    <row r="144" ht="15" customHeight="1" s="27" thickBot="1">
      <c r="A144" s="5">
        <f>(AI144*AI$3+AJ144*AJ$3+AK144*AK$3+AL144*AL$3+AM144*AM$3)*100/(AI$5*AI$3+AJ$5*AJ$3+AK$5*AK$3+AL$5*AL$3+AM$5*AM$3)</f>
        <v/>
      </c>
      <c r="B144" s="18" t="n">
        <v>74</v>
      </c>
      <c r="C144" s="11" t="inlineStr">
        <is>
          <t>Miles, Scott</t>
        </is>
      </c>
      <c r="D144" s="19" t="inlineStr">
        <is>
          <t>P</t>
        </is>
      </c>
      <c r="E144" s="19" t="inlineStr">
        <is>
          <t>R</t>
        </is>
      </c>
      <c r="F144" s="19" t="inlineStr">
        <is>
          <t>R</t>
        </is>
      </c>
      <c r="G144" s="19" t="n">
        <v>18</v>
      </c>
      <c r="H144" s="19" t="n">
        <v>21</v>
      </c>
      <c r="I144" s="19" t="n">
        <v>6</v>
      </c>
      <c r="J144" s="19" t="n">
        <v>26</v>
      </c>
      <c r="K144" s="19" t="n">
        <v>25</v>
      </c>
      <c r="L144" s="19" t="n">
        <v>37</v>
      </c>
      <c r="M144" s="19" t="n">
        <v>19</v>
      </c>
      <c r="N144" s="19" t="n">
        <v>64</v>
      </c>
      <c r="O144" s="19" t="n">
        <v>75</v>
      </c>
      <c r="P144" s="19" t="n">
        <v>56</v>
      </c>
      <c r="Q144" s="18" t="n">
        <v>74</v>
      </c>
      <c r="R144" s="11" t="inlineStr">
        <is>
          <t>Miles, Scott</t>
        </is>
      </c>
      <c r="S144" s="19" t="inlineStr">
        <is>
          <t>P</t>
        </is>
      </c>
      <c r="T144" s="19" t="inlineStr">
        <is>
          <t>R</t>
        </is>
      </c>
      <c r="U144" s="19" t="inlineStr">
        <is>
          <t>R</t>
        </is>
      </c>
      <c r="V144" s="19" t="n">
        <v>18</v>
      </c>
      <c r="W144" s="19" t="n">
        <v>1</v>
      </c>
      <c r="X144" s="19" t="n">
        <v>7</v>
      </c>
      <c r="Y144" s="19" t="n">
        <v>60</v>
      </c>
      <c r="Z144" s="19" t="n">
        <v>37</v>
      </c>
      <c r="AA144" s="19" t="n">
        <v>0</v>
      </c>
      <c r="AB144" s="19" t="n">
        <v>30</v>
      </c>
      <c r="AC144" s="19" t="n">
        <v>94</v>
      </c>
      <c r="AD144" s="19" t="n">
        <v>12</v>
      </c>
      <c r="AE144" s="19" t="n">
        <v>70</v>
      </c>
      <c r="AF144" s="19" t="n">
        <v>69</v>
      </c>
      <c r="AG144" s="19" t="n">
        <v>75</v>
      </c>
      <c r="AH144" s="19" t="n">
        <v>56</v>
      </c>
      <c r="AI144" s="5">
        <f>H$1*((-0.000002)*H144^3+0.00032*H144^2+(-0.0021)*H144)+I$1*((-0.000002)*I144^3+0.00032*I144^2+(-0.0021)*I144)+J$1*((-0.000002)*J144^3+0.00032*J144^2+(-0.0021)*J144)+K$1*((-0.000002)*K144^3+0.00032*K144^2+(-0.0021)*K144)+L$1*((-0.000002)*L144^3+0.00032*L144^2+(-0.0021)*L144)</f>
        <v/>
      </c>
      <c r="AJ144" s="5">
        <f>M$1*((-0.000002)*M144^3+0.00032*M144^2+(-0.0021)*M144)+N$1*((-0.000002)*N144^3+0.00032*N144^2+(-0.0021)*N144)+O$1*((-0.000002)*O144^3+0.00032*O144^2+(-0.0021)*O144)</f>
        <v/>
      </c>
      <c r="AK144" s="5">
        <f>IF(AA144&lt;50,W$1*((-0.000002)*W144^3+0.00032*W144^2+(-0.0021)*W144)+X$1*((-0.000002)*X144^3+0.00032*X144^2+(-0.0021)*X144)+Y$1*((-0.000002)*Y144^3+0.00032*Y144^2+(-0.0021)*Y144)+Z$1*((-0.000002)*Z144^3+0.00032*Z144^2+(-0.0021)*Z144),X$2*((-0.000002)*X144^3+0.00032*X144^2+(-0.0021)*X144)+Y$2*((-0.000002)*Y144^3+0.00032*Y144^2+(-0.0021)*Y144)+Z$2*((-0.000002)*Z144^3+0.00032*Z144^2+(-0.0021)*Z144)+AA$2*((-0.000002)*AA144^3+0.00032*AA144^2+(-0.0021)*AA144))</f>
        <v/>
      </c>
      <c r="AL144" s="5">
        <f>AB$1*((-0.000002)*AB144^3+0.00032*AB144^2+(-0.0021)*AB144)+AC$1*((-0.000002)*AC144^3+0.00032*AC144^2+(-0.0021)*AC144)</f>
        <v/>
      </c>
      <c r="AM144" s="5">
        <f>AD$1*((-0.000002)*AD144^3+0.00032*AD144^2+(-0.0021)*AD144)+AE$1*((-0.000002)*AE144^3+0.00032*AE144^2+(-0.0021)*AE144)+AF$1*((-0.000002)*AF144^3+0.00032*AF144^2+(-0.0021)*AF144)+AG$1*((-0.000002)*AG144^3+0.00032*AG144^2+(-0.0021)*AG144)</f>
        <v/>
      </c>
    </row>
    <row r="145" ht="15" customHeight="1" s="27" thickBot="1">
      <c r="A145" s="5">
        <f>(AI145*AI$3+AJ145*AJ$3+AK145*AK$3+AL145*AL$3+AM145*AM$3)*100/(AI$5*AI$3+AJ$5*AJ$3+AK$5*AK$3+AL$5*AL$3+AM$5*AM$3)</f>
        <v/>
      </c>
      <c r="B145" s="18" t="n">
        <v>126</v>
      </c>
      <c r="C145" s="11" t="inlineStr">
        <is>
          <t>Pfisterer, Randal</t>
        </is>
      </c>
      <c r="D145" s="19" t="inlineStr">
        <is>
          <t>P</t>
        </is>
      </c>
      <c r="E145" s="19" t="inlineStr">
        <is>
          <t>R</t>
        </is>
      </c>
      <c r="F145" s="19" t="inlineStr">
        <is>
          <t>R</t>
        </is>
      </c>
      <c r="G145" s="19" t="n">
        <v>18</v>
      </c>
      <c r="H145" s="19" t="n">
        <v>23</v>
      </c>
      <c r="I145" s="19" t="n">
        <v>18</v>
      </c>
      <c r="J145" s="19" t="n">
        <v>21</v>
      </c>
      <c r="K145" s="19" t="n">
        <v>16</v>
      </c>
      <c r="L145" s="19" t="n">
        <v>25</v>
      </c>
      <c r="M145" s="19" t="n">
        <v>21</v>
      </c>
      <c r="N145" s="19" t="n">
        <v>73</v>
      </c>
      <c r="O145" s="19" t="n">
        <v>57</v>
      </c>
      <c r="P145" s="19" t="n">
        <v>45</v>
      </c>
      <c r="Q145" s="18" t="n">
        <v>126</v>
      </c>
      <c r="R145" s="11" t="inlineStr">
        <is>
          <t>Pfisterer, Randal</t>
        </is>
      </c>
      <c r="S145" s="19" t="inlineStr">
        <is>
          <t>P</t>
        </is>
      </c>
      <c r="T145" s="19" t="inlineStr">
        <is>
          <t>R</t>
        </is>
      </c>
      <c r="U145" s="19" t="inlineStr">
        <is>
          <t>R</t>
        </is>
      </c>
      <c r="V145" s="19" t="n">
        <v>18</v>
      </c>
      <c r="W145" s="19" t="n">
        <v>13</v>
      </c>
      <c r="X145" s="19" t="n">
        <v>6</v>
      </c>
      <c r="Y145" s="19" t="n">
        <v>31</v>
      </c>
      <c r="Z145" s="19" t="n">
        <v>78</v>
      </c>
      <c r="AA145" s="19" t="n">
        <v>19</v>
      </c>
      <c r="AB145" s="19" t="n">
        <v>36</v>
      </c>
      <c r="AC145" s="19" t="n">
        <v>84</v>
      </c>
      <c r="AD145" s="19" t="n">
        <v>50</v>
      </c>
      <c r="AE145" s="19" t="n">
        <v>90</v>
      </c>
      <c r="AF145" s="19" t="n">
        <v>27</v>
      </c>
      <c r="AG145" s="19" t="n">
        <v>81</v>
      </c>
      <c r="AH145" s="19" t="n">
        <v>45</v>
      </c>
      <c r="AI145" s="5">
        <f>H$1*((-0.000002)*H145^3+0.00032*H145^2+(-0.0021)*H145)+I$1*((-0.000002)*I145^3+0.00032*I145^2+(-0.0021)*I145)+J$1*((-0.000002)*J145^3+0.00032*J145^2+(-0.0021)*J145)+K$1*((-0.000002)*K145^3+0.00032*K145^2+(-0.0021)*K145)+L$1*((-0.000002)*L145^3+0.00032*L145^2+(-0.0021)*L145)</f>
        <v/>
      </c>
      <c r="AJ145" s="5">
        <f>M$1*((-0.000002)*M145^3+0.00032*M145^2+(-0.0021)*M145)+N$1*((-0.000002)*N145^3+0.00032*N145^2+(-0.0021)*N145)+O$1*((-0.000002)*O145^3+0.00032*O145^2+(-0.0021)*O145)</f>
        <v/>
      </c>
      <c r="AK145" s="5">
        <f>IF(AA145&lt;50,W$1*((-0.000002)*W145^3+0.00032*W145^2+(-0.0021)*W145)+X$1*((-0.000002)*X145^3+0.00032*X145^2+(-0.0021)*X145)+Y$1*((-0.000002)*Y145^3+0.00032*Y145^2+(-0.0021)*Y145)+Z$1*((-0.000002)*Z145^3+0.00032*Z145^2+(-0.0021)*Z145),X$2*((-0.000002)*X145^3+0.00032*X145^2+(-0.0021)*X145)+Y$2*((-0.000002)*Y145^3+0.00032*Y145^2+(-0.0021)*Y145)+Z$2*((-0.000002)*Z145^3+0.00032*Z145^2+(-0.0021)*Z145)+AA$2*((-0.000002)*AA145^3+0.00032*AA145^2+(-0.0021)*AA145))</f>
        <v/>
      </c>
      <c r="AL145" s="5">
        <f>AB$1*((-0.000002)*AB145^3+0.00032*AB145^2+(-0.0021)*AB145)+AC$1*((-0.000002)*AC145^3+0.00032*AC145^2+(-0.0021)*AC145)</f>
        <v/>
      </c>
      <c r="AM145" s="5">
        <f>AD$1*((-0.000002)*AD145^3+0.00032*AD145^2+(-0.0021)*AD145)+AE$1*((-0.000002)*AE145^3+0.00032*AE145^2+(-0.0021)*AE145)+AF$1*((-0.000002)*AF145^3+0.00032*AF145^2+(-0.0021)*AF145)+AG$1*((-0.000002)*AG145^3+0.00032*AG145^2+(-0.0021)*AG145)</f>
        <v/>
      </c>
    </row>
    <row r="146" ht="15" customHeight="1" s="27" thickBot="1">
      <c r="A146" s="5">
        <f>(AI146*AI$3+AJ146*AJ$3+AK146*AK$3+AL146*AL$3+AM146*AM$3)*100/(AI$5*AI$3+AJ$5*AJ$3+AK$5*AK$3+AL$5*AL$3+AM$5*AM$3)</f>
        <v/>
      </c>
      <c r="B146" s="16" t="n">
        <v>173</v>
      </c>
      <c r="C146" s="10" t="inlineStr">
        <is>
          <t>Shirley, Darrell</t>
        </is>
      </c>
      <c r="D146" s="17" t="inlineStr">
        <is>
          <t>P</t>
        </is>
      </c>
      <c r="E146" s="17" t="inlineStr">
        <is>
          <t>L</t>
        </is>
      </c>
      <c r="F146" s="17" t="inlineStr">
        <is>
          <t>L</t>
        </is>
      </c>
      <c r="G146" s="17" t="n">
        <v>18</v>
      </c>
      <c r="H146" s="17" t="n">
        <v>23</v>
      </c>
      <c r="I146" s="17" t="n">
        <v>6</v>
      </c>
      <c r="J146" s="17" t="n">
        <v>12</v>
      </c>
      <c r="K146" s="17" t="n">
        <v>32</v>
      </c>
      <c r="L146" s="17" t="n">
        <v>30</v>
      </c>
      <c r="M146" s="17" t="n">
        <v>10</v>
      </c>
      <c r="N146" s="17" t="n">
        <v>58</v>
      </c>
      <c r="O146" s="17" t="n">
        <v>60</v>
      </c>
      <c r="P146" s="17" t="n">
        <v>33</v>
      </c>
      <c r="Q146" s="16" t="n">
        <v>173</v>
      </c>
      <c r="R146" s="10" t="inlineStr">
        <is>
          <t>Shirley, Darrell</t>
        </is>
      </c>
      <c r="S146" s="17" t="inlineStr">
        <is>
          <t>P</t>
        </is>
      </c>
      <c r="T146" s="17" t="inlineStr">
        <is>
          <t>L</t>
        </is>
      </c>
      <c r="U146" s="17" t="inlineStr">
        <is>
          <t>L</t>
        </is>
      </c>
      <c r="V146" s="17" t="n">
        <v>18</v>
      </c>
      <c r="W146" s="17" t="n">
        <v>50</v>
      </c>
      <c r="X146" s="17" t="n">
        <v>34</v>
      </c>
      <c r="Y146" s="17" t="n">
        <v>21</v>
      </c>
      <c r="Z146" s="17" t="n">
        <v>38</v>
      </c>
      <c r="AA146" s="17" t="n">
        <v>13</v>
      </c>
      <c r="AB146" s="17" t="n">
        <v>49</v>
      </c>
      <c r="AC146" s="17" t="n">
        <v>76</v>
      </c>
      <c r="AD146" s="17" t="n">
        <v>25</v>
      </c>
      <c r="AE146" s="17" t="n">
        <v>59</v>
      </c>
      <c r="AF146" s="17" t="n">
        <v>34</v>
      </c>
      <c r="AG146" s="17" t="n">
        <v>96</v>
      </c>
      <c r="AH146" s="17" t="n">
        <v>33</v>
      </c>
      <c r="AI146" s="5">
        <f>H$1*((-0.000002)*H146^3+0.00032*H146^2+(-0.0021)*H146)+I$1*((-0.000002)*I146^3+0.00032*I146^2+(-0.0021)*I146)+J$1*((-0.000002)*J146^3+0.00032*J146^2+(-0.0021)*J146)+K$1*((-0.000002)*K146^3+0.00032*K146^2+(-0.0021)*K146)+L$1*((-0.000002)*L146^3+0.00032*L146^2+(-0.0021)*L146)</f>
        <v/>
      </c>
      <c r="AJ146" s="5">
        <f>M$1*((-0.000002)*M146^3+0.00032*M146^2+(-0.0021)*M146)+N$1*((-0.000002)*N146^3+0.00032*N146^2+(-0.0021)*N146)+O$1*((-0.000002)*O146^3+0.00032*O146^2+(-0.0021)*O146)</f>
        <v/>
      </c>
      <c r="AK146" s="5">
        <f>IF(AA146&lt;50,W$1*((-0.000002)*W146^3+0.00032*W146^2+(-0.0021)*W146)+X$1*((-0.000002)*X146^3+0.00032*X146^2+(-0.0021)*X146)+Y$1*((-0.000002)*Y146^3+0.00032*Y146^2+(-0.0021)*Y146)+Z$1*((-0.000002)*Z146^3+0.00032*Z146^2+(-0.0021)*Z146),X$2*((-0.000002)*X146^3+0.00032*X146^2+(-0.0021)*X146)+Y$2*((-0.000002)*Y146^3+0.00032*Y146^2+(-0.0021)*Y146)+Z$2*((-0.000002)*Z146^3+0.00032*Z146^2+(-0.0021)*Z146)+AA$2*((-0.000002)*AA146^3+0.00032*AA146^2+(-0.0021)*AA146))</f>
        <v/>
      </c>
      <c r="AL146" s="5">
        <f>AB$1*((-0.000002)*AB146^3+0.00032*AB146^2+(-0.0021)*AB146)+AC$1*((-0.000002)*AC146^3+0.00032*AC146^2+(-0.0021)*AC146)</f>
        <v/>
      </c>
      <c r="AM146" s="5">
        <f>AD$1*((-0.000002)*AD146^3+0.00032*AD146^2+(-0.0021)*AD146)+AE$1*((-0.000002)*AE146^3+0.00032*AE146^2+(-0.0021)*AE146)+AF$1*((-0.000002)*AF146^3+0.00032*AF146^2+(-0.0021)*AF146)+AG$1*((-0.000002)*AG146^3+0.00032*AG146^2+(-0.0021)*AG146)</f>
        <v/>
      </c>
    </row>
    <row r="147" ht="15" customHeight="1" s="27" thickBot="1">
      <c r="A147" s="5">
        <f>(AI147*AI$3+AJ147*AJ$3+AK147*AK$3+AL147*AL$3+AM147*AM$3)*100/(AI$5*AI$3+AJ$5*AJ$3+AK$5*AK$3+AL$5*AL$3+AM$5*AM$3)</f>
        <v/>
      </c>
      <c r="B147" s="16" t="n">
        <v>35</v>
      </c>
      <c r="C147" s="10" t="inlineStr">
        <is>
          <t>Reagan, Stuffy</t>
        </is>
      </c>
      <c r="D147" s="17" t="inlineStr">
        <is>
          <t>P</t>
        </is>
      </c>
      <c r="E147" s="17" t="inlineStr">
        <is>
          <t>L</t>
        </is>
      </c>
      <c r="F147" s="17" t="inlineStr">
        <is>
          <t>L</t>
        </is>
      </c>
      <c r="G147" s="17" t="n">
        <v>18</v>
      </c>
      <c r="H147" s="17" t="n">
        <v>20</v>
      </c>
      <c r="I147" s="17" t="n">
        <v>5</v>
      </c>
      <c r="J147" s="17" t="n">
        <v>7</v>
      </c>
      <c r="K147" s="17" t="n">
        <v>19</v>
      </c>
      <c r="L147" s="17" t="n">
        <v>8</v>
      </c>
      <c r="M147" s="17" t="n">
        <v>12</v>
      </c>
      <c r="N147" s="17" t="n">
        <v>63</v>
      </c>
      <c r="O147" s="17" t="n">
        <v>63</v>
      </c>
      <c r="P147" s="17" t="n">
        <v>65</v>
      </c>
      <c r="Q147" s="16" t="n">
        <v>35</v>
      </c>
      <c r="R147" s="10" t="inlineStr">
        <is>
          <t>Reagan, Stuffy</t>
        </is>
      </c>
      <c r="S147" s="17" t="inlineStr">
        <is>
          <t>P</t>
        </is>
      </c>
      <c r="T147" s="17" t="inlineStr">
        <is>
          <t>L</t>
        </is>
      </c>
      <c r="U147" s="17" t="inlineStr">
        <is>
          <t>L</t>
        </is>
      </c>
      <c r="V147" s="17" t="n">
        <v>18</v>
      </c>
      <c r="W147" s="17" t="n">
        <v>13</v>
      </c>
      <c r="X147" s="17" t="n">
        <v>31</v>
      </c>
      <c r="Y147" s="17" t="n">
        <v>71</v>
      </c>
      <c r="Z147" s="17" t="n">
        <v>59</v>
      </c>
      <c r="AA147" s="17" t="n">
        <v>17</v>
      </c>
      <c r="AB147" s="17" t="n">
        <v>78</v>
      </c>
      <c r="AC147" s="17" t="n">
        <v>74</v>
      </c>
      <c r="AD147" s="17" t="n">
        <v>13</v>
      </c>
      <c r="AE147" s="17" t="n">
        <v>88</v>
      </c>
      <c r="AF147" s="17" t="n">
        <v>47</v>
      </c>
      <c r="AG147" s="17" t="n">
        <v>61</v>
      </c>
      <c r="AH147" s="17" t="n">
        <v>65</v>
      </c>
      <c r="AI147" s="5">
        <f>H$1*((-0.000002)*H147^3+0.00032*H147^2+(-0.0021)*H147)+I$1*((-0.000002)*I147^3+0.00032*I147^2+(-0.0021)*I147)+J$1*((-0.000002)*J147^3+0.00032*J147^2+(-0.0021)*J147)+K$1*((-0.000002)*K147^3+0.00032*K147^2+(-0.0021)*K147)+L$1*((-0.000002)*L147^3+0.00032*L147^2+(-0.0021)*L147)</f>
        <v/>
      </c>
      <c r="AJ147" s="5">
        <f>M$1*((-0.000002)*M147^3+0.00032*M147^2+(-0.0021)*M147)+N$1*((-0.000002)*N147^3+0.00032*N147^2+(-0.0021)*N147)+O$1*((-0.000002)*O147^3+0.00032*O147^2+(-0.0021)*O147)</f>
        <v/>
      </c>
      <c r="AK147" s="5">
        <f>IF(AA147&lt;50,W$1*((-0.000002)*W147^3+0.00032*W147^2+(-0.0021)*W147)+X$1*((-0.000002)*X147^3+0.00032*X147^2+(-0.0021)*X147)+Y$1*((-0.000002)*Y147^3+0.00032*Y147^2+(-0.0021)*Y147)+Z$1*((-0.000002)*Z147^3+0.00032*Z147^2+(-0.0021)*Z147),X$2*((-0.000002)*X147^3+0.00032*X147^2+(-0.0021)*X147)+Y$2*((-0.000002)*Y147^3+0.00032*Y147^2+(-0.0021)*Y147)+Z$2*((-0.000002)*Z147^3+0.00032*Z147^2+(-0.0021)*Z147)+AA$2*((-0.000002)*AA147^3+0.00032*AA147^2+(-0.0021)*AA147))</f>
        <v/>
      </c>
      <c r="AL147" s="5">
        <f>AB$1*((-0.000002)*AB147^3+0.00032*AB147^2+(-0.0021)*AB147)+AC$1*((-0.000002)*AC147^3+0.00032*AC147^2+(-0.0021)*AC147)</f>
        <v/>
      </c>
      <c r="AM147" s="5">
        <f>AD$1*((-0.000002)*AD147^3+0.00032*AD147^2+(-0.0021)*AD147)+AE$1*((-0.000002)*AE147^3+0.00032*AE147^2+(-0.0021)*AE147)+AF$1*((-0.000002)*AF147^3+0.00032*AF147^2+(-0.0021)*AF147)+AG$1*((-0.000002)*AG147^3+0.00032*AG147^2+(-0.0021)*AG147)</f>
        <v/>
      </c>
    </row>
    <row r="148" ht="15" customHeight="1" s="27" thickBot="1">
      <c r="A148" s="5">
        <f>(AI148*AI$3+AJ148*AJ$3+AK148*AK$3+AL148*AL$3+AM148*AM$3)*100/(AI$5*AI$3+AJ$5*AJ$3+AK$5*AK$3+AL$5*AL$3+AM$5*AM$3)</f>
        <v/>
      </c>
      <c r="B148" s="16" t="n">
        <v>159</v>
      </c>
      <c r="C148" s="10" t="inlineStr">
        <is>
          <t>Giles, Matt</t>
        </is>
      </c>
      <c r="D148" s="17" t="inlineStr">
        <is>
          <t>P</t>
        </is>
      </c>
      <c r="E148" s="17" t="inlineStr">
        <is>
          <t>R</t>
        </is>
      </c>
      <c r="F148" s="17" t="inlineStr">
        <is>
          <t>R</t>
        </is>
      </c>
      <c r="G148" s="17" t="n">
        <v>19</v>
      </c>
      <c r="H148" s="17" t="n">
        <v>0</v>
      </c>
      <c r="I148" s="17" t="n">
        <v>0</v>
      </c>
      <c r="J148" s="17" t="n">
        <v>0</v>
      </c>
      <c r="K148" s="17" t="n">
        <v>26</v>
      </c>
      <c r="L148" s="17" t="n">
        <v>11</v>
      </c>
      <c r="M148" s="17" t="n">
        <v>30</v>
      </c>
      <c r="N148" s="17" t="n">
        <v>31</v>
      </c>
      <c r="O148" s="17" t="n">
        <v>56</v>
      </c>
      <c r="P148" s="17" t="n">
        <v>53</v>
      </c>
      <c r="Q148" s="16" t="n">
        <v>159</v>
      </c>
      <c r="R148" s="10" t="inlineStr">
        <is>
          <t>Giles, Matt</t>
        </is>
      </c>
      <c r="S148" s="17" t="inlineStr">
        <is>
          <t>P</t>
        </is>
      </c>
      <c r="T148" s="17" t="inlineStr">
        <is>
          <t>R</t>
        </is>
      </c>
      <c r="U148" s="17" t="inlineStr">
        <is>
          <t>R</t>
        </is>
      </c>
      <c r="V148" s="17" t="n">
        <v>19</v>
      </c>
      <c r="W148" s="17" t="n">
        <v>52</v>
      </c>
      <c r="X148" s="17" t="n">
        <v>6</v>
      </c>
      <c r="Y148" s="17" t="n">
        <v>59</v>
      </c>
      <c r="Z148" s="17" t="n">
        <v>51</v>
      </c>
      <c r="AA148" s="17" t="n">
        <v>17</v>
      </c>
      <c r="AB148" s="17" t="n">
        <v>60</v>
      </c>
      <c r="AC148" s="17" t="n">
        <v>63</v>
      </c>
      <c r="AD148" s="17" t="n">
        <v>20</v>
      </c>
      <c r="AE148" s="17" t="n">
        <v>60</v>
      </c>
      <c r="AF148" s="17" t="n">
        <v>41</v>
      </c>
      <c r="AG148" s="17" t="n">
        <v>77</v>
      </c>
      <c r="AH148" s="17" t="n">
        <v>53</v>
      </c>
      <c r="AI148" s="5">
        <f>H$1*((-0.000002)*H148^3+0.00032*H148^2+(-0.0021)*H148)+I$1*((-0.000002)*I148^3+0.00032*I148^2+(-0.0021)*I148)+J$1*((-0.000002)*J148^3+0.00032*J148^2+(-0.0021)*J148)+K$1*((-0.000002)*K148^3+0.00032*K148^2+(-0.0021)*K148)+L$1*((-0.000002)*L148^3+0.00032*L148^2+(-0.0021)*L148)</f>
        <v/>
      </c>
      <c r="AJ148" s="5">
        <f>M$1*((-0.000002)*M148^3+0.00032*M148^2+(-0.0021)*M148)+N$1*((-0.000002)*N148^3+0.00032*N148^2+(-0.0021)*N148)+O$1*((-0.000002)*O148^3+0.00032*O148^2+(-0.0021)*O148)</f>
        <v/>
      </c>
      <c r="AK148" s="5">
        <f>IF(AA148&lt;50,W$1*((-0.000002)*W148^3+0.00032*W148^2+(-0.0021)*W148)+X$1*((-0.000002)*X148^3+0.00032*X148^2+(-0.0021)*X148)+Y$1*((-0.000002)*Y148^3+0.00032*Y148^2+(-0.0021)*Y148)+Z$1*((-0.000002)*Z148^3+0.00032*Z148^2+(-0.0021)*Z148),X$2*((-0.000002)*X148^3+0.00032*X148^2+(-0.0021)*X148)+Y$2*((-0.000002)*Y148^3+0.00032*Y148^2+(-0.0021)*Y148)+Z$2*((-0.000002)*Z148^3+0.00032*Z148^2+(-0.0021)*Z148)+AA$2*((-0.000002)*AA148^3+0.00032*AA148^2+(-0.0021)*AA148))</f>
        <v/>
      </c>
      <c r="AL148" s="5">
        <f>AB$1*((-0.000002)*AB148^3+0.00032*AB148^2+(-0.0021)*AB148)+AC$1*((-0.000002)*AC148^3+0.00032*AC148^2+(-0.0021)*AC148)</f>
        <v/>
      </c>
      <c r="AM148" s="5">
        <f>AD$1*((-0.000002)*AD148^3+0.00032*AD148^2+(-0.0021)*AD148)+AE$1*((-0.000002)*AE148^3+0.00032*AE148^2+(-0.0021)*AE148)+AF$1*((-0.000002)*AF148^3+0.00032*AF148^2+(-0.0021)*AF148)+AG$1*((-0.000002)*AG148^3+0.00032*AG148^2+(-0.0021)*AG148)</f>
        <v/>
      </c>
    </row>
    <row r="149" ht="15" customHeight="1" s="27" thickBot="1">
      <c r="A149" s="5">
        <f>(AI149*AI$3+AJ149*AJ$3+AK149*AK$3+AL149*AL$3+AM149*AM$3)*100/(AI$5*AI$3+AJ$5*AJ$3+AK$5*AK$3+AL$5*AL$3+AM$5*AM$3)</f>
        <v/>
      </c>
      <c r="B149" s="18" t="n">
        <v>20</v>
      </c>
      <c r="C149" s="11" t="inlineStr">
        <is>
          <t>Williamson, Willis</t>
        </is>
      </c>
      <c r="D149" s="19" t="inlineStr">
        <is>
          <t>P</t>
        </is>
      </c>
      <c r="E149" s="19" t="inlineStr">
        <is>
          <t>R</t>
        </is>
      </c>
      <c r="F149" s="19" t="inlineStr">
        <is>
          <t>R</t>
        </is>
      </c>
      <c r="G149" s="19" t="n">
        <v>18</v>
      </c>
      <c r="H149" s="19" t="n">
        <v>18</v>
      </c>
      <c r="I149" s="19" t="n">
        <v>0</v>
      </c>
      <c r="J149" s="19" t="n">
        <v>32</v>
      </c>
      <c r="K149" s="19" t="n">
        <v>15</v>
      </c>
      <c r="L149" s="19" t="n">
        <v>19</v>
      </c>
      <c r="M149" s="19" t="n">
        <v>24</v>
      </c>
      <c r="N149" s="19" t="n">
        <v>67</v>
      </c>
      <c r="O149" s="19" t="n">
        <v>88</v>
      </c>
      <c r="P149" s="19" t="n">
        <v>71</v>
      </c>
      <c r="Q149" s="18" t="n">
        <v>20</v>
      </c>
      <c r="R149" s="11" t="inlineStr">
        <is>
          <t>Williamson, Willis</t>
        </is>
      </c>
      <c r="S149" s="19" t="inlineStr">
        <is>
          <t>P</t>
        </is>
      </c>
      <c r="T149" s="19" t="inlineStr">
        <is>
          <t>R</t>
        </is>
      </c>
      <c r="U149" s="19" t="inlineStr">
        <is>
          <t>R</t>
        </is>
      </c>
      <c r="V149" s="19" t="n">
        <v>18</v>
      </c>
      <c r="W149" s="19" t="n">
        <v>0</v>
      </c>
      <c r="X149" s="19" t="n">
        <v>38</v>
      </c>
      <c r="Y149" s="19" t="n">
        <v>23</v>
      </c>
      <c r="Z149" s="19" t="n">
        <v>75</v>
      </c>
      <c r="AA149" s="19" t="n">
        <v>9</v>
      </c>
      <c r="AB149" s="19" t="n">
        <v>29</v>
      </c>
      <c r="AC149" s="19" t="n">
        <v>83</v>
      </c>
      <c r="AD149" s="19" t="n">
        <v>63</v>
      </c>
      <c r="AE149" s="19" t="n">
        <v>45</v>
      </c>
      <c r="AF149" s="19" t="n">
        <v>53</v>
      </c>
      <c r="AG149" s="19" t="n">
        <v>81</v>
      </c>
      <c r="AH149" s="19" t="n">
        <v>71</v>
      </c>
      <c r="AI149" s="5">
        <f>H$1*((-0.000002)*H149^3+0.00032*H149^2+(-0.0021)*H149)+I$1*((-0.000002)*I149^3+0.00032*I149^2+(-0.0021)*I149)+J$1*((-0.000002)*J149^3+0.00032*J149^2+(-0.0021)*J149)+K$1*((-0.000002)*K149^3+0.00032*K149^2+(-0.0021)*K149)+L$1*((-0.000002)*L149^3+0.00032*L149^2+(-0.0021)*L149)</f>
        <v/>
      </c>
      <c r="AJ149" s="5">
        <f>M$1*((-0.000002)*M149^3+0.00032*M149^2+(-0.0021)*M149)+N$1*((-0.000002)*N149^3+0.00032*N149^2+(-0.0021)*N149)+O$1*((-0.000002)*O149^3+0.00032*O149^2+(-0.0021)*O149)</f>
        <v/>
      </c>
      <c r="AK149" s="5">
        <f>IF(AA149&lt;50,W$1*((-0.000002)*W149^3+0.00032*W149^2+(-0.0021)*W149)+X$1*((-0.000002)*X149^3+0.00032*X149^2+(-0.0021)*X149)+Y$1*((-0.000002)*Y149^3+0.00032*Y149^2+(-0.0021)*Y149)+Z$1*((-0.000002)*Z149^3+0.00032*Z149^2+(-0.0021)*Z149),X$2*((-0.000002)*X149^3+0.00032*X149^2+(-0.0021)*X149)+Y$2*((-0.000002)*Y149^3+0.00032*Y149^2+(-0.0021)*Y149)+Z$2*((-0.000002)*Z149^3+0.00032*Z149^2+(-0.0021)*Z149)+AA$2*((-0.000002)*AA149^3+0.00032*AA149^2+(-0.0021)*AA149))</f>
        <v/>
      </c>
      <c r="AL149" s="5">
        <f>AB$1*((-0.000002)*AB149^3+0.00032*AB149^2+(-0.0021)*AB149)+AC$1*((-0.000002)*AC149^3+0.00032*AC149^2+(-0.0021)*AC149)</f>
        <v/>
      </c>
      <c r="AM149" s="5">
        <f>AD$1*((-0.000002)*AD149^3+0.00032*AD149^2+(-0.0021)*AD149)+AE$1*((-0.000002)*AE149^3+0.00032*AE149^2+(-0.0021)*AE149)+AF$1*((-0.000002)*AF149^3+0.00032*AF149^2+(-0.0021)*AF149)+AG$1*((-0.000002)*AG149^3+0.00032*AG149^2+(-0.0021)*AG149)</f>
        <v/>
      </c>
    </row>
    <row r="150" ht="15" customHeight="1" s="27" thickBot="1">
      <c r="A150" s="5">
        <f>(AI150*AI$3+AJ150*AJ$3+AK150*AK$3+AL150*AL$3+AM150*AM$3)*100/(AI$5*AI$3+AJ$5*AJ$3+AK$5*AK$3+AL$5*AL$3+AM$5*AM$3)</f>
        <v/>
      </c>
      <c r="B150" s="16" t="n">
        <v>177</v>
      </c>
      <c r="C150" s="10" t="inlineStr">
        <is>
          <t>Monzon, Gabby</t>
        </is>
      </c>
      <c r="D150" s="17" t="inlineStr">
        <is>
          <t>P</t>
        </is>
      </c>
      <c r="E150" s="17" t="inlineStr">
        <is>
          <t>R</t>
        </is>
      </c>
      <c r="F150" s="17" t="inlineStr">
        <is>
          <t>R</t>
        </is>
      </c>
      <c r="G150" s="17" t="n">
        <v>21</v>
      </c>
      <c r="H150" s="17" t="n">
        <v>9</v>
      </c>
      <c r="I150" s="17" t="n">
        <v>0</v>
      </c>
      <c r="J150" s="17" t="n">
        <v>60</v>
      </c>
      <c r="K150" s="17" t="n">
        <v>0</v>
      </c>
      <c r="L150" s="17" t="n">
        <v>11</v>
      </c>
      <c r="M150" s="17" t="n">
        <v>37</v>
      </c>
      <c r="N150" s="17" t="n">
        <v>40</v>
      </c>
      <c r="O150" s="17" t="n">
        <v>52</v>
      </c>
      <c r="P150" s="17" t="n">
        <v>42</v>
      </c>
      <c r="Q150" s="16" t="n">
        <v>177</v>
      </c>
      <c r="R150" s="10" t="inlineStr">
        <is>
          <t>Monzon, Gabby</t>
        </is>
      </c>
      <c r="S150" s="17" t="inlineStr">
        <is>
          <t>P</t>
        </is>
      </c>
      <c r="T150" s="17" t="inlineStr">
        <is>
          <t>R</t>
        </is>
      </c>
      <c r="U150" s="17" t="inlineStr">
        <is>
          <t>R</t>
        </is>
      </c>
      <c r="V150" s="17" t="n">
        <v>21</v>
      </c>
      <c r="W150" s="17" t="n">
        <v>68</v>
      </c>
      <c r="X150" s="17" t="n">
        <v>20</v>
      </c>
      <c r="Y150" s="17" t="n">
        <v>46</v>
      </c>
      <c r="Z150" s="17" t="n">
        <v>13</v>
      </c>
      <c r="AA150" s="17" t="n">
        <v>0</v>
      </c>
      <c r="AB150" s="17" t="n">
        <v>39</v>
      </c>
      <c r="AC150" s="17" t="n">
        <v>49</v>
      </c>
      <c r="AD150" s="17" t="n">
        <v>30</v>
      </c>
      <c r="AE150" s="17" t="n">
        <v>68</v>
      </c>
      <c r="AF150" s="17" t="n">
        <v>51</v>
      </c>
      <c r="AG150" s="17" t="n">
        <v>100</v>
      </c>
      <c r="AH150" s="17" t="n">
        <v>42</v>
      </c>
      <c r="AI150" s="5">
        <f>H$1*((-0.000002)*H150^3+0.00032*H150^2+(-0.0021)*H150)+I$1*((-0.000002)*I150^3+0.00032*I150^2+(-0.0021)*I150)+J$1*((-0.000002)*J150^3+0.00032*J150^2+(-0.0021)*J150)+K$1*((-0.000002)*K150^3+0.00032*K150^2+(-0.0021)*K150)+L$1*((-0.000002)*L150^3+0.00032*L150^2+(-0.0021)*L150)</f>
        <v/>
      </c>
      <c r="AJ150" s="5">
        <f>M$1*((-0.000002)*M150^3+0.00032*M150^2+(-0.0021)*M150)+N$1*((-0.000002)*N150^3+0.00032*N150^2+(-0.0021)*N150)+O$1*((-0.000002)*O150^3+0.00032*O150^2+(-0.0021)*O150)</f>
        <v/>
      </c>
      <c r="AK150" s="5">
        <f>IF(AA150&lt;50,W$1*((-0.000002)*W150^3+0.00032*W150^2+(-0.0021)*W150)+X$1*((-0.000002)*X150^3+0.00032*X150^2+(-0.0021)*X150)+Y$1*((-0.000002)*Y150^3+0.00032*Y150^2+(-0.0021)*Y150)+Z$1*((-0.000002)*Z150^3+0.00032*Z150^2+(-0.0021)*Z150),X$2*((-0.000002)*X150^3+0.00032*X150^2+(-0.0021)*X150)+Y$2*((-0.000002)*Y150^3+0.00032*Y150^2+(-0.0021)*Y150)+Z$2*((-0.000002)*Z150^3+0.00032*Z150^2+(-0.0021)*Z150)+AA$2*((-0.000002)*AA150^3+0.00032*AA150^2+(-0.0021)*AA150))</f>
        <v/>
      </c>
      <c r="AL150" s="5">
        <f>AB$1*((-0.000002)*AB150^3+0.00032*AB150^2+(-0.0021)*AB150)+AC$1*((-0.000002)*AC150^3+0.00032*AC150^2+(-0.0021)*AC150)</f>
        <v/>
      </c>
      <c r="AM150" s="5">
        <f>AD$1*((-0.000002)*AD150^3+0.00032*AD150^2+(-0.0021)*AD150)+AE$1*((-0.000002)*AE150^3+0.00032*AE150^2+(-0.0021)*AE150)+AF$1*((-0.000002)*AF150^3+0.00032*AF150^2+(-0.0021)*AF150)+AG$1*((-0.000002)*AG150^3+0.00032*AG150^2+(-0.0021)*AG150)</f>
        <v/>
      </c>
    </row>
    <row r="151" ht="15" customHeight="1" s="27" thickBot="1">
      <c r="A151" s="5">
        <f>(AI151*AI$3+AJ151*AJ$3+AK151*AK$3+AL151*AL$3+AM151*AM$3)*100/(AI$5*AI$3+AJ$5*AJ$3+AK$5*AK$3+AL$5*AL$3+AM$5*AM$3)</f>
        <v/>
      </c>
      <c r="B151" s="16" t="n">
        <v>3</v>
      </c>
      <c r="C151" s="10" t="inlineStr">
        <is>
          <t>Craig, Jo-jo</t>
        </is>
      </c>
      <c r="D151" s="17" t="inlineStr">
        <is>
          <t>P</t>
        </is>
      </c>
      <c r="E151" s="17" t="inlineStr">
        <is>
          <t>R</t>
        </is>
      </c>
      <c r="F151" s="17" t="inlineStr">
        <is>
          <t>R</t>
        </is>
      </c>
      <c r="G151" s="17" t="n">
        <v>18</v>
      </c>
      <c r="H151" s="17" t="n">
        <v>10</v>
      </c>
      <c r="I151" s="17" t="n">
        <v>4</v>
      </c>
      <c r="J151" s="17" t="n">
        <v>30</v>
      </c>
      <c r="K151" s="17" t="n">
        <v>16</v>
      </c>
      <c r="L151" s="17" t="n">
        <v>10</v>
      </c>
      <c r="M151" s="17" t="n">
        <v>22</v>
      </c>
      <c r="N151" s="17" t="n">
        <v>58</v>
      </c>
      <c r="O151" s="17" t="n">
        <v>65</v>
      </c>
      <c r="P151" s="17" t="n">
        <v>83</v>
      </c>
      <c r="Q151" s="16" t="n">
        <v>3</v>
      </c>
      <c r="R151" s="10" t="inlineStr">
        <is>
          <t>Craig, Jo-jo</t>
        </is>
      </c>
      <c r="S151" s="17" t="inlineStr">
        <is>
          <t>P</t>
        </is>
      </c>
      <c r="T151" s="17" t="inlineStr">
        <is>
          <t>R</t>
        </is>
      </c>
      <c r="U151" s="17" t="inlineStr">
        <is>
          <t>R</t>
        </is>
      </c>
      <c r="V151" s="17" t="n">
        <v>18</v>
      </c>
      <c r="W151" s="17" t="n">
        <v>18</v>
      </c>
      <c r="X151" s="17" t="n">
        <v>24</v>
      </c>
      <c r="Y151" s="17" t="n">
        <v>82</v>
      </c>
      <c r="Z151" s="17" t="n">
        <v>48</v>
      </c>
      <c r="AA151" s="17" t="n">
        <v>31</v>
      </c>
      <c r="AB151" s="17" t="n">
        <v>31</v>
      </c>
      <c r="AC151" s="17" t="n">
        <v>86</v>
      </c>
      <c r="AD151" s="17" t="n">
        <v>23</v>
      </c>
      <c r="AE151" s="17" t="n">
        <v>97</v>
      </c>
      <c r="AF151" s="17" t="n">
        <v>25</v>
      </c>
      <c r="AG151" s="17" t="n">
        <v>72</v>
      </c>
      <c r="AH151" s="17" t="n">
        <v>83</v>
      </c>
      <c r="AI151" s="5">
        <f>H$1*((-0.000002)*H151^3+0.00032*H151^2+(-0.0021)*H151)+I$1*((-0.000002)*I151^3+0.00032*I151^2+(-0.0021)*I151)+J$1*((-0.000002)*J151^3+0.00032*J151^2+(-0.0021)*J151)+K$1*((-0.000002)*K151^3+0.00032*K151^2+(-0.0021)*K151)+L$1*((-0.000002)*L151^3+0.00032*L151^2+(-0.0021)*L151)</f>
        <v/>
      </c>
      <c r="AJ151" s="5">
        <f>M$1*((-0.000002)*M151^3+0.00032*M151^2+(-0.0021)*M151)+N$1*((-0.000002)*N151^3+0.00032*N151^2+(-0.0021)*N151)+O$1*((-0.000002)*O151^3+0.00032*O151^2+(-0.0021)*O151)</f>
        <v/>
      </c>
      <c r="AK151" s="5">
        <f>IF(AA151&lt;50,W$1*((-0.000002)*W151^3+0.00032*W151^2+(-0.0021)*W151)+X$1*((-0.000002)*X151^3+0.00032*X151^2+(-0.0021)*X151)+Y$1*((-0.000002)*Y151^3+0.00032*Y151^2+(-0.0021)*Y151)+Z$1*((-0.000002)*Z151^3+0.00032*Z151^2+(-0.0021)*Z151),X$2*((-0.000002)*X151^3+0.00032*X151^2+(-0.0021)*X151)+Y$2*((-0.000002)*Y151^3+0.00032*Y151^2+(-0.0021)*Y151)+Z$2*((-0.000002)*Z151^3+0.00032*Z151^2+(-0.0021)*Z151)+AA$2*((-0.000002)*AA151^3+0.00032*AA151^2+(-0.0021)*AA151))</f>
        <v/>
      </c>
      <c r="AL151" s="5">
        <f>AB$1*((-0.000002)*AB151^3+0.00032*AB151^2+(-0.0021)*AB151)+AC$1*((-0.000002)*AC151^3+0.00032*AC151^2+(-0.0021)*AC151)</f>
        <v/>
      </c>
      <c r="AM151" s="5">
        <f>AD$1*((-0.000002)*AD151^3+0.00032*AD151^2+(-0.0021)*AD151)+AE$1*((-0.000002)*AE151^3+0.00032*AE151^2+(-0.0021)*AE151)+AF$1*((-0.000002)*AF151^3+0.00032*AF151^2+(-0.0021)*AF151)+AG$1*((-0.000002)*AG151^3+0.00032*AG151^2+(-0.0021)*AG151)</f>
        <v/>
      </c>
    </row>
    <row r="152" ht="15" customHeight="1" s="27" thickBot="1">
      <c r="A152" s="5">
        <f>(AI152*AI$3+AJ152*AJ$3+AK152*AK$3+AL152*AL$3+AM152*AM$3)*100/(AI$5*AI$3+AJ$5*AJ$3+AK$5*AK$3+AL$5*AL$3+AM$5*AM$3)</f>
        <v/>
      </c>
      <c r="B152" s="16" t="n">
        <v>53</v>
      </c>
      <c r="C152" s="10" t="inlineStr">
        <is>
          <t>Doubront, Damaso</t>
        </is>
      </c>
      <c r="D152" s="17" t="inlineStr">
        <is>
          <t>P</t>
        </is>
      </c>
      <c r="E152" s="17" t="inlineStr">
        <is>
          <t>R</t>
        </is>
      </c>
      <c r="F152" s="17" t="inlineStr">
        <is>
          <t>R</t>
        </is>
      </c>
      <c r="G152" s="17" t="n">
        <v>18</v>
      </c>
      <c r="H152" s="17" t="n">
        <v>25</v>
      </c>
      <c r="I152" s="17" t="n">
        <v>6</v>
      </c>
      <c r="J152" s="17" t="n">
        <v>22</v>
      </c>
      <c r="K152" s="17" t="n">
        <v>7</v>
      </c>
      <c r="L152" s="17" t="n">
        <v>18</v>
      </c>
      <c r="M152" s="17" t="n">
        <v>13</v>
      </c>
      <c r="N152" s="17" t="n">
        <v>79</v>
      </c>
      <c r="O152" s="17" t="n">
        <v>69</v>
      </c>
      <c r="P152" s="17" t="n">
        <v>61</v>
      </c>
      <c r="Q152" s="16" t="n">
        <v>53</v>
      </c>
      <c r="R152" s="10" t="inlineStr">
        <is>
          <t>Doubront, Damaso</t>
        </is>
      </c>
      <c r="S152" s="17" t="inlineStr">
        <is>
          <t>P</t>
        </is>
      </c>
      <c r="T152" s="17" t="inlineStr">
        <is>
          <t>R</t>
        </is>
      </c>
      <c r="U152" s="17" t="inlineStr">
        <is>
          <t>R</t>
        </is>
      </c>
      <c r="V152" s="17" t="n">
        <v>18</v>
      </c>
      <c r="W152" s="17" t="n">
        <v>42</v>
      </c>
      <c r="X152" s="17" t="n">
        <v>16</v>
      </c>
      <c r="Y152" s="17" t="n">
        <v>24</v>
      </c>
      <c r="Z152" s="17" t="n">
        <v>76</v>
      </c>
      <c r="AA152" s="17" t="n">
        <v>19</v>
      </c>
      <c r="AB152" s="17" t="n">
        <v>28</v>
      </c>
      <c r="AC152" s="17" t="n">
        <v>96</v>
      </c>
      <c r="AD152" s="17" t="n">
        <v>21</v>
      </c>
      <c r="AE152" s="17" t="n">
        <v>57</v>
      </c>
      <c r="AF152" s="17" t="n">
        <v>41</v>
      </c>
      <c r="AG152" s="17" t="n">
        <v>82</v>
      </c>
      <c r="AH152" s="17" t="n">
        <v>61</v>
      </c>
      <c r="AI152" s="5">
        <f>H$1*((-0.000002)*H152^3+0.00032*H152^2+(-0.0021)*H152)+I$1*((-0.000002)*I152^3+0.00032*I152^2+(-0.0021)*I152)+J$1*((-0.000002)*J152^3+0.00032*J152^2+(-0.0021)*J152)+K$1*((-0.000002)*K152^3+0.00032*K152^2+(-0.0021)*K152)+L$1*((-0.000002)*L152^3+0.00032*L152^2+(-0.0021)*L152)</f>
        <v/>
      </c>
      <c r="AJ152" s="5">
        <f>M$1*((-0.000002)*M152^3+0.00032*M152^2+(-0.0021)*M152)+N$1*((-0.000002)*N152^3+0.00032*N152^2+(-0.0021)*N152)+O$1*((-0.000002)*O152^3+0.00032*O152^2+(-0.0021)*O152)</f>
        <v/>
      </c>
      <c r="AK152" s="5">
        <f>IF(AA152&lt;50,W$1*((-0.000002)*W152^3+0.00032*W152^2+(-0.0021)*W152)+X$1*((-0.000002)*X152^3+0.00032*X152^2+(-0.0021)*X152)+Y$1*((-0.000002)*Y152^3+0.00032*Y152^2+(-0.0021)*Y152)+Z$1*((-0.000002)*Z152^3+0.00032*Z152^2+(-0.0021)*Z152),X$2*((-0.000002)*X152^3+0.00032*X152^2+(-0.0021)*X152)+Y$2*((-0.000002)*Y152^3+0.00032*Y152^2+(-0.0021)*Y152)+Z$2*((-0.000002)*Z152^3+0.00032*Z152^2+(-0.0021)*Z152)+AA$2*((-0.000002)*AA152^3+0.00032*AA152^2+(-0.0021)*AA152))</f>
        <v/>
      </c>
      <c r="AL152" s="5">
        <f>AB$1*((-0.000002)*AB152^3+0.00032*AB152^2+(-0.0021)*AB152)+AC$1*((-0.000002)*AC152^3+0.00032*AC152^2+(-0.0021)*AC152)</f>
        <v/>
      </c>
      <c r="AM152" s="5">
        <f>AD$1*((-0.000002)*AD152^3+0.00032*AD152^2+(-0.0021)*AD152)+AE$1*((-0.000002)*AE152^3+0.00032*AE152^2+(-0.0021)*AE152)+AF$1*((-0.000002)*AF152^3+0.00032*AF152^2+(-0.0021)*AF152)+AG$1*((-0.000002)*AG152^3+0.00032*AG152^2+(-0.0021)*AG152)</f>
        <v/>
      </c>
    </row>
    <row r="153" ht="15" customHeight="1" s="27" thickBot="1">
      <c r="A153" s="5">
        <f>(AI153*AI$3+AJ153*AJ$3+AK153*AK$3+AL153*AL$3+AM153*AM$3)*100/(AI$5*AI$3+AJ$5*AJ$3+AK$5*AK$3+AL$5*AL$3+AM$5*AM$3)</f>
        <v/>
      </c>
      <c r="B153" s="18" t="n">
        <v>76</v>
      </c>
      <c r="C153" s="11" t="inlineStr">
        <is>
          <t>Figureoa, Julio</t>
        </is>
      </c>
      <c r="D153" s="19" t="inlineStr">
        <is>
          <t>P</t>
        </is>
      </c>
      <c r="E153" s="19" t="inlineStr">
        <is>
          <t>R</t>
        </is>
      </c>
      <c r="F153" s="19" t="inlineStr">
        <is>
          <t>R</t>
        </is>
      </c>
      <c r="G153" s="19" t="n">
        <v>18</v>
      </c>
      <c r="H153" s="19" t="n">
        <v>5</v>
      </c>
      <c r="I153" s="19" t="n">
        <v>0</v>
      </c>
      <c r="J153" s="19" t="n">
        <v>35</v>
      </c>
      <c r="K153" s="19" t="n">
        <v>19</v>
      </c>
      <c r="L153" s="19" t="n">
        <v>28</v>
      </c>
      <c r="M153" s="19" t="n">
        <v>11</v>
      </c>
      <c r="N153" s="19" t="n">
        <v>72</v>
      </c>
      <c r="O153" s="19" t="n">
        <v>85</v>
      </c>
      <c r="P153" s="19" t="n">
        <v>56</v>
      </c>
      <c r="Q153" s="18" t="n">
        <v>76</v>
      </c>
      <c r="R153" s="11" t="inlineStr">
        <is>
          <t>Figureoa, Julio</t>
        </is>
      </c>
      <c r="S153" s="19" t="inlineStr">
        <is>
          <t>P</t>
        </is>
      </c>
      <c r="T153" s="19" t="inlineStr">
        <is>
          <t>R</t>
        </is>
      </c>
      <c r="U153" s="19" t="inlineStr">
        <is>
          <t>R</t>
        </is>
      </c>
      <c r="V153" s="19" t="n">
        <v>18</v>
      </c>
      <c r="W153" s="19" t="n">
        <v>27</v>
      </c>
      <c r="X153" s="19" t="n">
        <v>33</v>
      </c>
      <c r="Y153" s="19" t="n">
        <v>18</v>
      </c>
      <c r="Z153" s="19" t="n">
        <v>51</v>
      </c>
      <c r="AA153" s="19" t="n">
        <v>4</v>
      </c>
      <c r="AB153" s="19" t="n">
        <v>55</v>
      </c>
      <c r="AC153" s="19" t="n">
        <v>88</v>
      </c>
      <c r="AD153" s="19" t="n">
        <v>36</v>
      </c>
      <c r="AE153" s="19" t="n">
        <v>56</v>
      </c>
      <c r="AF153" s="19" t="n">
        <v>26</v>
      </c>
      <c r="AG153" s="19" t="n">
        <v>100</v>
      </c>
      <c r="AH153" s="19" t="n">
        <v>56</v>
      </c>
      <c r="AI153" s="5">
        <f>H$1*((-0.000002)*H153^3+0.00032*H153^2+(-0.0021)*H153)+I$1*((-0.000002)*I153^3+0.00032*I153^2+(-0.0021)*I153)+J$1*((-0.000002)*J153^3+0.00032*J153^2+(-0.0021)*J153)+K$1*((-0.000002)*K153^3+0.00032*K153^2+(-0.0021)*K153)+L$1*((-0.000002)*L153^3+0.00032*L153^2+(-0.0021)*L153)</f>
        <v/>
      </c>
      <c r="AJ153" s="5">
        <f>M$1*((-0.000002)*M153^3+0.00032*M153^2+(-0.0021)*M153)+N$1*((-0.000002)*N153^3+0.00032*N153^2+(-0.0021)*N153)+O$1*((-0.000002)*O153^3+0.00032*O153^2+(-0.0021)*O153)</f>
        <v/>
      </c>
      <c r="AK153" s="5">
        <f>IF(AA153&lt;50,W$1*((-0.000002)*W153^3+0.00032*W153^2+(-0.0021)*W153)+X$1*((-0.000002)*X153^3+0.00032*X153^2+(-0.0021)*X153)+Y$1*((-0.000002)*Y153^3+0.00032*Y153^2+(-0.0021)*Y153)+Z$1*((-0.000002)*Z153^3+0.00032*Z153^2+(-0.0021)*Z153),X$2*((-0.000002)*X153^3+0.00032*X153^2+(-0.0021)*X153)+Y$2*((-0.000002)*Y153^3+0.00032*Y153^2+(-0.0021)*Y153)+Z$2*((-0.000002)*Z153^3+0.00032*Z153^2+(-0.0021)*Z153)+AA$2*((-0.000002)*AA153^3+0.00032*AA153^2+(-0.0021)*AA153))</f>
        <v/>
      </c>
      <c r="AL153" s="5">
        <f>AB$1*((-0.000002)*AB153^3+0.00032*AB153^2+(-0.0021)*AB153)+AC$1*((-0.000002)*AC153^3+0.00032*AC153^2+(-0.0021)*AC153)</f>
        <v/>
      </c>
      <c r="AM153" s="5">
        <f>AD$1*((-0.000002)*AD153^3+0.00032*AD153^2+(-0.0021)*AD153)+AE$1*((-0.000002)*AE153^3+0.00032*AE153^2+(-0.0021)*AE153)+AF$1*((-0.000002)*AF153^3+0.00032*AF153^2+(-0.0021)*AF153)+AG$1*((-0.000002)*AG153^3+0.00032*AG153^2+(-0.0021)*AG153)</f>
        <v/>
      </c>
    </row>
    <row r="154" ht="15" customHeight="1" s="27" thickBot="1">
      <c r="A154" s="5">
        <f>(AI154*AI$3+AJ154*AJ$3+AK154*AK$3+AL154*AL$3+AM154*AM$3)*100/(AI$5*AI$3+AJ$5*AJ$3+AK$5*AK$3+AL$5*AL$3+AM$5*AM$3)</f>
        <v/>
      </c>
      <c r="B154" s="18" t="n">
        <v>146</v>
      </c>
      <c r="C154" s="11" t="inlineStr">
        <is>
          <t>Barnum, Fred</t>
        </is>
      </c>
      <c r="D154" s="19" t="inlineStr">
        <is>
          <t>P</t>
        </is>
      </c>
      <c r="E154" s="19" t="inlineStr">
        <is>
          <t>R</t>
        </is>
      </c>
      <c r="F154" s="19" t="inlineStr">
        <is>
          <t>R</t>
        </is>
      </c>
      <c r="G154" s="19" t="n">
        <v>18</v>
      </c>
      <c r="H154" s="19" t="n">
        <v>21</v>
      </c>
      <c r="I154" s="19" t="n">
        <v>9</v>
      </c>
      <c r="J154" s="19" t="n">
        <v>23</v>
      </c>
      <c r="K154" s="19" t="n">
        <v>11</v>
      </c>
      <c r="L154" s="19" t="n">
        <v>4</v>
      </c>
      <c r="M154" s="19" t="n">
        <v>2</v>
      </c>
      <c r="N154" s="19" t="n">
        <v>52</v>
      </c>
      <c r="O154" s="19" t="n">
        <v>65</v>
      </c>
      <c r="P154" s="19" t="n">
        <v>43</v>
      </c>
      <c r="Q154" s="18" t="n">
        <v>146</v>
      </c>
      <c r="R154" s="11" t="inlineStr">
        <is>
          <t>Barnum, Fred</t>
        </is>
      </c>
      <c r="S154" s="19" t="inlineStr">
        <is>
          <t>P</t>
        </is>
      </c>
      <c r="T154" s="19" t="inlineStr">
        <is>
          <t>R</t>
        </is>
      </c>
      <c r="U154" s="19" t="inlineStr">
        <is>
          <t>R</t>
        </is>
      </c>
      <c r="V154" s="19" t="n">
        <v>18</v>
      </c>
      <c r="W154" s="19" t="n">
        <v>21</v>
      </c>
      <c r="X154" s="19" t="n">
        <v>26</v>
      </c>
      <c r="Y154" s="19" t="n">
        <v>78</v>
      </c>
      <c r="Z154" s="19" t="n">
        <v>36</v>
      </c>
      <c r="AA154" s="19" t="n">
        <v>12</v>
      </c>
      <c r="AB154" s="19" t="n">
        <v>76</v>
      </c>
      <c r="AC154" s="19" t="n">
        <v>94</v>
      </c>
      <c r="AD154" s="19" t="n">
        <v>27</v>
      </c>
      <c r="AE154" s="19" t="n">
        <v>51</v>
      </c>
      <c r="AF154" s="19" t="n">
        <v>27</v>
      </c>
      <c r="AG154" s="19" t="n">
        <v>94</v>
      </c>
      <c r="AH154" s="19" t="n">
        <v>43</v>
      </c>
      <c r="AI154" s="5">
        <f>H$1*((-0.000002)*H154^3+0.00032*H154^2+(-0.0021)*H154)+I$1*((-0.000002)*I154^3+0.00032*I154^2+(-0.0021)*I154)+J$1*((-0.000002)*J154^3+0.00032*J154^2+(-0.0021)*J154)+K$1*((-0.000002)*K154^3+0.00032*K154^2+(-0.0021)*K154)+L$1*((-0.000002)*L154^3+0.00032*L154^2+(-0.0021)*L154)</f>
        <v/>
      </c>
      <c r="AJ154" s="5">
        <f>M$1*((-0.000002)*M154^3+0.00032*M154^2+(-0.0021)*M154)+N$1*((-0.000002)*N154^3+0.00032*N154^2+(-0.0021)*N154)+O$1*((-0.000002)*O154^3+0.00032*O154^2+(-0.0021)*O154)</f>
        <v/>
      </c>
      <c r="AK154" s="5">
        <f>IF(AA154&lt;50,W$1*((-0.000002)*W154^3+0.00032*W154^2+(-0.0021)*W154)+X$1*((-0.000002)*X154^3+0.00032*X154^2+(-0.0021)*X154)+Y$1*((-0.000002)*Y154^3+0.00032*Y154^2+(-0.0021)*Y154)+Z$1*((-0.000002)*Z154^3+0.00032*Z154^2+(-0.0021)*Z154),X$2*((-0.000002)*X154^3+0.00032*X154^2+(-0.0021)*X154)+Y$2*((-0.000002)*Y154^3+0.00032*Y154^2+(-0.0021)*Y154)+Z$2*((-0.000002)*Z154^3+0.00032*Z154^2+(-0.0021)*Z154)+AA$2*((-0.000002)*AA154^3+0.00032*AA154^2+(-0.0021)*AA154))</f>
        <v/>
      </c>
      <c r="AL154" s="5">
        <f>AB$1*((-0.000002)*AB154^3+0.00032*AB154^2+(-0.0021)*AB154)+AC$1*((-0.000002)*AC154^3+0.00032*AC154^2+(-0.0021)*AC154)</f>
        <v/>
      </c>
      <c r="AM154" s="5">
        <f>AD$1*((-0.000002)*AD154^3+0.00032*AD154^2+(-0.0021)*AD154)+AE$1*((-0.000002)*AE154^3+0.00032*AE154^2+(-0.0021)*AE154)+AF$1*((-0.000002)*AF154^3+0.00032*AF154^2+(-0.0021)*AF154)+AG$1*((-0.000002)*AG154^3+0.00032*AG154^2+(-0.0021)*AG154)</f>
        <v/>
      </c>
    </row>
    <row r="155" ht="15" customHeight="1" s="27" thickBot="1">
      <c r="A155" s="5">
        <f>(AI155*AI$3+AJ155*AJ$3+AK155*AK$3+AL155*AL$3+AM155*AM$3)*100/(AI$5*AI$3+AJ$5*AJ$3+AK$5*AK$3+AL$5*AL$3+AM$5*AM$3)</f>
        <v/>
      </c>
      <c r="B155" s="18" t="n">
        <v>82</v>
      </c>
      <c r="C155" s="11" t="inlineStr">
        <is>
          <t>Darwin, Kareem</t>
        </is>
      </c>
      <c r="D155" s="19" t="inlineStr">
        <is>
          <t>P</t>
        </is>
      </c>
      <c r="E155" s="19" t="inlineStr">
        <is>
          <t>L</t>
        </is>
      </c>
      <c r="F155" s="19" t="inlineStr">
        <is>
          <t>L</t>
        </is>
      </c>
      <c r="G155" s="19" t="n">
        <v>18</v>
      </c>
      <c r="H155" s="19" t="n">
        <v>15</v>
      </c>
      <c r="I155" s="19" t="n">
        <v>6</v>
      </c>
      <c r="J155" s="19" t="n">
        <v>14</v>
      </c>
      <c r="K155" s="19" t="n">
        <v>27</v>
      </c>
      <c r="L155" s="19" t="n">
        <v>24</v>
      </c>
      <c r="M155" s="19" t="n">
        <v>18</v>
      </c>
      <c r="N155" s="19" t="n">
        <v>75</v>
      </c>
      <c r="O155" s="19" t="n">
        <v>67</v>
      </c>
      <c r="P155" s="19" t="n">
        <v>54</v>
      </c>
      <c r="Q155" s="18" t="n">
        <v>82</v>
      </c>
      <c r="R155" s="11" t="inlineStr">
        <is>
          <t>Darwin, Kareem</t>
        </is>
      </c>
      <c r="S155" s="19" t="inlineStr">
        <is>
          <t>P</t>
        </is>
      </c>
      <c r="T155" s="19" t="inlineStr">
        <is>
          <t>L</t>
        </is>
      </c>
      <c r="U155" s="19" t="inlineStr">
        <is>
          <t>L</t>
        </is>
      </c>
      <c r="V155" s="19" t="n">
        <v>18</v>
      </c>
      <c r="W155" s="19" t="n">
        <v>11</v>
      </c>
      <c r="X155" s="19" t="n">
        <v>53</v>
      </c>
      <c r="Y155" s="19" t="n">
        <v>25</v>
      </c>
      <c r="Z155" s="19" t="n">
        <v>34</v>
      </c>
      <c r="AA155" s="19" t="n">
        <v>11</v>
      </c>
      <c r="AB155" s="19" t="n">
        <v>75</v>
      </c>
      <c r="AC155" s="19" t="n">
        <v>76</v>
      </c>
      <c r="AD155" s="19" t="n">
        <v>49</v>
      </c>
      <c r="AE155" s="19" t="n">
        <v>90</v>
      </c>
      <c r="AF155" s="19" t="n">
        <v>35</v>
      </c>
      <c r="AG155" s="19" t="n">
        <v>77</v>
      </c>
      <c r="AH155" s="19" t="n">
        <v>54</v>
      </c>
      <c r="AI155" s="5">
        <f>H$1*((-0.000002)*H155^3+0.00032*H155^2+(-0.0021)*H155)+I$1*((-0.000002)*I155^3+0.00032*I155^2+(-0.0021)*I155)+J$1*((-0.000002)*J155^3+0.00032*J155^2+(-0.0021)*J155)+K$1*((-0.000002)*K155^3+0.00032*K155^2+(-0.0021)*K155)+L$1*((-0.000002)*L155^3+0.00032*L155^2+(-0.0021)*L155)</f>
        <v/>
      </c>
      <c r="AJ155" s="5">
        <f>M$1*((-0.000002)*M155^3+0.00032*M155^2+(-0.0021)*M155)+N$1*((-0.000002)*N155^3+0.00032*N155^2+(-0.0021)*N155)+O$1*((-0.000002)*O155^3+0.00032*O155^2+(-0.0021)*O155)</f>
        <v/>
      </c>
      <c r="AK155" s="5">
        <f>IF(AA155&lt;50,W$1*((-0.000002)*W155^3+0.00032*W155^2+(-0.0021)*W155)+X$1*((-0.000002)*X155^3+0.00032*X155^2+(-0.0021)*X155)+Y$1*((-0.000002)*Y155^3+0.00032*Y155^2+(-0.0021)*Y155)+Z$1*((-0.000002)*Z155^3+0.00032*Z155^2+(-0.0021)*Z155),X$2*((-0.000002)*X155^3+0.00032*X155^2+(-0.0021)*X155)+Y$2*((-0.000002)*Y155^3+0.00032*Y155^2+(-0.0021)*Y155)+Z$2*((-0.000002)*Z155^3+0.00032*Z155^2+(-0.0021)*Z155)+AA$2*((-0.000002)*AA155^3+0.00032*AA155^2+(-0.0021)*AA155))</f>
        <v/>
      </c>
      <c r="AL155" s="5">
        <f>AB$1*((-0.000002)*AB155^3+0.00032*AB155^2+(-0.0021)*AB155)+AC$1*((-0.000002)*AC155^3+0.00032*AC155^2+(-0.0021)*AC155)</f>
        <v/>
      </c>
      <c r="AM155" s="5">
        <f>AD$1*((-0.000002)*AD155^3+0.00032*AD155^2+(-0.0021)*AD155)+AE$1*((-0.000002)*AE155^3+0.00032*AE155^2+(-0.0021)*AE155)+AF$1*((-0.000002)*AF155^3+0.00032*AF155^2+(-0.0021)*AF155)+AG$1*((-0.000002)*AG155^3+0.00032*AG155^2+(-0.0021)*AG155)</f>
        <v/>
      </c>
    </row>
    <row r="156" ht="15" customHeight="1" s="27" thickBot="1">
      <c r="A156" s="5">
        <f>(AI156*AI$3+AJ156*AJ$3+AK156*AK$3+AL156*AL$3+AM156*AM$3)*100/(AI$5*AI$3+AJ$5*AJ$3+AK$5*AK$3+AL$5*AL$3+AM$5*AM$3)</f>
        <v/>
      </c>
      <c r="B156" s="16" t="n">
        <v>121</v>
      </c>
      <c r="C156" s="10" t="inlineStr">
        <is>
          <t>Teixeira, Howie</t>
        </is>
      </c>
      <c r="D156" s="17" t="inlineStr">
        <is>
          <t>P</t>
        </is>
      </c>
      <c r="E156" s="17" t="inlineStr">
        <is>
          <t>R</t>
        </is>
      </c>
      <c r="F156" s="17" t="inlineStr">
        <is>
          <t>R</t>
        </is>
      </c>
      <c r="G156" s="17" t="n">
        <v>18</v>
      </c>
      <c r="H156" s="17" t="n">
        <v>21</v>
      </c>
      <c r="I156" s="17" t="n">
        <v>11</v>
      </c>
      <c r="J156" s="17" t="n">
        <v>15</v>
      </c>
      <c r="K156" s="17" t="n">
        <v>25</v>
      </c>
      <c r="L156" s="17" t="n">
        <v>23</v>
      </c>
      <c r="M156" s="17" t="n">
        <v>18</v>
      </c>
      <c r="N156" s="17" t="n">
        <v>60</v>
      </c>
      <c r="O156" s="17" t="n">
        <v>64</v>
      </c>
      <c r="P156" s="17" t="n">
        <v>46</v>
      </c>
      <c r="Q156" s="16" t="n">
        <v>121</v>
      </c>
      <c r="R156" s="10" t="inlineStr">
        <is>
          <t>Teixeira, Howie</t>
        </is>
      </c>
      <c r="S156" s="17" t="inlineStr">
        <is>
          <t>P</t>
        </is>
      </c>
      <c r="T156" s="17" t="inlineStr">
        <is>
          <t>R</t>
        </is>
      </c>
      <c r="U156" s="17" t="inlineStr">
        <is>
          <t>R</t>
        </is>
      </c>
      <c r="V156" s="17" t="n">
        <v>18</v>
      </c>
      <c r="W156" s="17" t="n">
        <v>45</v>
      </c>
      <c r="X156" s="17" t="n">
        <v>40</v>
      </c>
      <c r="Y156" s="17" t="n">
        <v>25</v>
      </c>
      <c r="Z156" s="17" t="n">
        <v>31</v>
      </c>
      <c r="AA156" s="17" t="n">
        <v>36</v>
      </c>
      <c r="AB156" s="17" t="n">
        <v>60</v>
      </c>
      <c r="AC156" s="17" t="n">
        <v>78</v>
      </c>
      <c r="AD156" s="17" t="n">
        <v>17</v>
      </c>
      <c r="AE156" s="17" t="n">
        <v>72</v>
      </c>
      <c r="AF156" s="17" t="n">
        <v>34</v>
      </c>
      <c r="AG156" s="17" t="n">
        <v>83</v>
      </c>
      <c r="AH156" s="17" t="n">
        <v>46</v>
      </c>
      <c r="AI156" s="5">
        <f>H$1*((-0.000002)*H156^3+0.00032*H156^2+(-0.0021)*H156)+I$1*((-0.000002)*I156^3+0.00032*I156^2+(-0.0021)*I156)+J$1*((-0.000002)*J156^3+0.00032*J156^2+(-0.0021)*J156)+K$1*((-0.000002)*K156^3+0.00032*K156^2+(-0.0021)*K156)+L$1*((-0.000002)*L156^3+0.00032*L156^2+(-0.0021)*L156)</f>
        <v/>
      </c>
      <c r="AJ156" s="5">
        <f>M$1*((-0.000002)*M156^3+0.00032*M156^2+(-0.0021)*M156)+N$1*((-0.000002)*N156^3+0.00032*N156^2+(-0.0021)*N156)+O$1*((-0.000002)*O156^3+0.00032*O156^2+(-0.0021)*O156)</f>
        <v/>
      </c>
      <c r="AK156" s="5">
        <f>IF(AA156&lt;50,W$1*((-0.000002)*W156^3+0.00032*W156^2+(-0.0021)*W156)+X$1*((-0.000002)*X156^3+0.00032*X156^2+(-0.0021)*X156)+Y$1*((-0.000002)*Y156^3+0.00032*Y156^2+(-0.0021)*Y156)+Z$1*((-0.000002)*Z156^3+0.00032*Z156^2+(-0.0021)*Z156),X$2*((-0.000002)*X156^3+0.00032*X156^2+(-0.0021)*X156)+Y$2*((-0.000002)*Y156^3+0.00032*Y156^2+(-0.0021)*Y156)+Z$2*((-0.000002)*Z156^3+0.00032*Z156^2+(-0.0021)*Z156)+AA$2*((-0.000002)*AA156^3+0.00032*AA156^2+(-0.0021)*AA156))</f>
        <v/>
      </c>
      <c r="AL156" s="5">
        <f>AB$1*((-0.000002)*AB156^3+0.00032*AB156^2+(-0.0021)*AB156)+AC$1*((-0.000002)*AC156^3+0.00032*AC156^2+(-0.0021)*AC156)</f>
        <v/>
      </c>
      <c r="AM156" s="5">
        <f>AD$1*((-0.000002)*AD156^3+0.00032*AD156^2+(-0.0021)*AD156)+AE$1*((-0.000002)*AE156^3+0.00032*AE156^2+(-0.0021)*AE156)+AF$1*((-0.000002)*AF156^3+0.00032*AF156^2+(-0.0021)*AF156)+AG$1*((-0.000002)*AG156^3+0.00032*AG156^2+(-0.0021)*AG156)</f>
        <v/>
      </c>
    </row>
    <row r="157" ht="15" customHeight="1" s="27" thickBot="1">
      <c r="A157" s="5">
        <f>(AI157*AI$3+AJ157*AJ$3+AK157*AK$3+AL157*AL$3+AM157*AM$3)*100/(AI$5*AI$3+AJ$5*AJ$3+AK$5*AK$3+AL$5*AL$3+AM$5*AM$3)</f>
        <v/>
      </c>
      <c r="B157" s="18" t="n">
        <v>70</v>
      </c>
      <c r="C157" s="11" t="inlineStr">
        <is>
          <t>Jodie, Roy</t>
        </is>
      </c>
      <c r="D157" s="19" t="inlineStr">
        <is>
          <t>P</t>
        </is>
      </c>
      <c r="E157" s="19" t="inlineStr">
        <is>
          <t>R</t>
        </is>
      </c>
      <c r="F157" s="19" t="inlineStr">
        <is>
          <t>R</t>
        </is>
      </c>
      <c r="G157" s="19" t="n">
        <v>18</v>
      </c>
      <c r="H157" s="19" t="n">
        <v>19</v>
      </c>
      <c r="I157" s="19" t="n">
        <v>0</v>
      </c>
      <c r="J157" s="19" t="n">
        <v>25</v>
      </c>
      <c r="K157" s="19" t="n">
        <v>11</v>
      </c>
      <c r="L157" s="19" t="n">
        <v>21</v>
      </c>
      <c r="M157" s="19" t="n">
        <v>22</v>
      </c>
      <c r="N157" s="19" t="n">
        <v>61</v>
      </c>
      <c r="O157" s="19" t="n">
        <v>80</v>
      </c>
      <c r="P157" s="19" t="n">
        <v>57</v>
      </c>
      <c r="Q157" s="18" t="n">
        <v>70</v>
      </c>
      <c r="R157" s="11" t="inlineStr">
        <is>
          <t>Jodie, Roy</t>
        </is>
      </c>
      <c r="S157" s="19" t="inlineStr">
        <is>
          <t>P</t>
        </is>
      </c>
      <c r="T157" s="19" t="inlineStr">
        <is>
          <t>R</t>
        </is>
      </c>
      <c r="U157" s="19" t="inlineStr">
        <is>
          <t>R</t>
        </is>
      </c>
      <c r="V157" s="19" t="n">
        <v>18</v>
      </c>
      <c r="W157" s="19" t="n">
        <v>37</v>
      </c>
      <c r="X157" s="19" t="n">
        <v>30</v>
      </c>
      <c r="Y157" s="19" t="n">
        <v>35</v>
      </c>
      <c r="Z157" s="19" t="n">
        <v>48</v>
      </c>
      <c r="AA157" s="19" t="n">
        <v>21</v>
      </c>
      <c r="AB157" s="19" t="n">
        <v>38</v>
      </c>
      <c r="AC157" s="19" t="n">
        <v>92</v>
      </c>
      <c r="AD157" s="19" t="n">
        <v>43</v>
      </c>
      <c r="AE157" s="19" t="n">
        <v>65</v>
      </c>
      <c r="AF157" s="19" t="n">
        <v>33</v>
      </c>
      <c r="AG157" s="19" t="n">
        <v>98</v>
      </c>
      <c r="AH157" s="19" t="n">
        <v>57</v>
      </c>
      <c r="AI157" s="5">
        <f>H$1*((-0.000002)*H157^3+0.00032*H157^2+(-0.0021)*H157)+I$1*((-0.000002)*I157^3+0.00032*I157^2+(-0.0021)*I157)+J$1*((-0.000002)*J157^3+0.00032*J157^2+(-0.0021)*J157)+K$1*((-0.000002)*K157^3+0.00032*K157^2+(-0.0021)*K157)+L$1*((-0.000002)*L157^3+0.00032*L157^2+(-0.0021)*L157)</f>
        <v/>
      </c>
      <c r="AJ157" s="5">
        <f>M$1*((-0.000002)*M157^3+0.00032*M157^2+(-0.0021)*M157)+N$1*((-0.000002)*N157^3+0.00032*N157^2+(-0.0021)*N157)+O$1*((-0.000002)*O157^3+0.00032*O157^2+(-0.0021)*O157)</f>
        <v/>
      </c>
      <c r="AK157" s="5">
        <f>IF(AA157&lt;50,W$1*((-0.000002)*W157^3+0.00032*W157^2+(-0.0021)*W157)+X$1*((-0.000002)*X157^3+0.00032*X157^2+(-0.0021)*X157)+Y$1*((-0.000002)*Y157^3+0.00032*Y157^2+(-0.0021)*Y157)+Z$1*((-0.000002)*Z157^3+0.00032*Z157^2+(-0.0021)*Z157),X$2*((-0.000002)*X157^3+0.00032*X157^2+(-0.0021)*X157)+Y$2*((-0.000002)*Y157^3+0.00032*Y157^2+(-0.0021)*Y157)+Z$2*((-0.000002)*Z157^3+0.00032*Z157^2+(-0.0021)*Z157)+AA$2*((-0.000002)*AA157^3+0.00032*AA157^2+(-0.0021)*AA157))</f>
        <v/>
      </c>
      <c r="AL157" s="5">
        <f>AB$1*((-0.000002)*AB157^3+0.00032*AB157^2+(-0.0021)*AB157)+AC$1*((-0.000002)*AC157^3+0.00032*AC157^2+(-0.0021)*AC157)</f>
        <v/>
      </c>
      <c r="AM157" s="5">
        <f>AD$1*((-0.000002)*AD157^3+0.00032*AD157^2+(-0.0021)*AD157)+AE$1*((-0.000002)*AE157^3+0.00032*AE157^2+(-0.0021)*AE157)+AF$1*((-0.000002)*AF157^3+0.00032*AF157^2+(-0.0021)*AF157)+AG$1*((-0.000002)*AG157^3+0.00032*AG157^2+(-0.0021)*AG157)</f>
        <v/>
      </c>
    </row>
    <row r="158" ht="15" customHeight="1" s="27" thickBot="1">
      <c r="A158" s="5">
        <f>(AI158*AI$3+AJ158*AJ$3+AK158*AK$3+AL158*AL$3+AM158*AM$3)*100/(AI$5*AI$3+AJ$5*AJ$3+AK$5*AK$3+AL$5*AL$3+AM$5*AM$3)</f>
        <v/>
      </c>
      <c r="B158" s="18" t="n">
        <v>116</v>
      </c>
      <c r="C158" s="11" t="inlineStr">
        <is>
          <t>Krause, Randy</t>
        </is>
      </c>
      <c r="D158" s="19" t="inlineStr">
        <is>
          <t>P</t>
        </is>
      </c>
      <c r="E158" s="19" t="inlineStr">
        <is>
          <t>L</t>
        </is>
      </c>
      <c r="F158" s="19" t="inlineStr">
        <is>
          <t>L</t>
        </is>
      </c>
      <c r="G158" s="19" t="n">
        <v>18</v>
      </c>
      <c r="H158" s="19" t="n">
        <v>13</v>
      </c>
      <c r="I158" s="19" t="n">
        <v>5</v>
      </c>
      <c r="J158" s="19" t="n">
        <v>11</v>
      </c>
      <c r="K158" s="19" t="n">
        <v>28</v>
      </c>
      <c r="L158" s="19" t="n">
        <v>18</v>
      </c>
      <c r="M158" s="19" t="n">
        <v>1</v>
      </c>
      <c r="N158" s="19" t="n">
        <v>76</v>
      </c>
      <c r="O158" s="19" t="n">
        <v>43</v>
      </c>
      <c r="P158" s="19" t="n">
        <v>47</v>
      </c>
      <c r="Q158" s="18" t="n">
        <v>116</v>
      </c>
      <c r="R158" s="11" t="inlineStr">
        <is>
          <t>Krause, Randy</t>
        </is>
      </c>
      <c r="S158" s="19" t="inlineStr">
        <is>
          <t>P</t>
        </is>
      </c>
      <c r="T158" s="19" t="inlineStr">
        <is>
          <t>L</t>
        </is>
      </c>
      <c r="U158" s="19" t="inlineStr">
        <is>
          <t>L</t>
        </is>
      </c>
      <c r="V158" s="19" t="n">
        <v>18</v>
      </c>
      <c r="W158" s="19" t="n">
        <v>47</v>
      </c>
      <c r="X158" s="19" t="n">
        <v>34</v>
      </c>
      <c r="Y158" s="19" t="n">
        <v>46</v>
      </c>
      <c r="Z158" s="19" t="n">
        <v>26</v>
      </c>
      <c r="AA158" s="19" t="n">
        <v>23</v>
      </c>
      <c r="AB158" s="19" t="n">
        <v>72</v>
      </c>
      <c r="AC158" s="19" t="n">
        <v>89</v>
      </c>
      <c r="AD158" s="19" t="n">
        <v>20</v>
      </c>
      <c r="AE158" s="19" t="n">
        <v>96</v>
      </c>
      <c r="AF158" s="19" t="n">
        <v>61</v>
      </c>
      <c r="AG158" s="19" t="n">
        <v>50</v>
      </c>
      <c r="AH158" s="19" t="n">
        <v>47</v>
      </c>
      <c r="AI158" s="5">
        <f>H$1*((-0.000002)*H158^3+0.00032*H158^2+(-0.0021)*H158)+I$1*((-0.000002)*I158^3+0.00032*I158^2+(-0.0021)*I158)+J$1*((-0.000002)*J158^3+0.00032*J158^2+(-0.0021)*J158)+K$1*((-0.000002)*K158^3+0.00032*K158^2+(-0.0021)*K158)+L$1*((-0.000002)*L158^3+0.00032*L158^2+(-0.0021)*L158)</f>
        <v/>
      </c>
      <c r="AJ158" s="5">
        <f>M$1*((-0.000002)*M158^3+0.00032*M158^2+(-0.0021)*M158)+N$1*((-0.000002)*N158^3+0.00032*N158^2+(-0.0021)*N158)+O$1*((-0.000002)*O158^3+0.00032*O158^2+(-0.0021)*O158)</f>
        <v/>
      </c>
      <c r="AK158" s="5">
        <f>IF(AA158&lt;50,W$1*((-0.000002)*W158^3+0.00032*W158^2+(-0.0021)*W158)+X$1*((-0.000002)*X158^3+0.00032*X158^2+(-0.0021)*X158)+Y$1*((-0.000002)*Y158^3+0.00032*Y158^2+(-0.0021)*Y158)+Z$1*((-0.000002)*Z158^3+0.00032*Z158^2+(-0.0021)*Z158),X$2*((-0.000002)*X158^3+0.00032*X158^2+(-0.0021)*X158)+Y$2*((-0.000002)*Y158^3+0.00032*Y158^2+(-0.0021)*Y158)+Z$2*((-0.000002)*Z158^3+0.00032*Z158^2+(-0.0021)*Z158)+AA$2*((-0.000002)*AA158^3+0.00032*AA158^2+(-0.0021)*AA158))</f>
        <v/>
      </c>
      <c r="AL158" s="5">
        <f>AB$1*((-0.000002)*AB158^3+0.00032*AB158^2+(-0.0021)*AB158)+AC$1*((-0.000002)*AC158^3+0.00032*AC158^2+(-0.0021)*AC158)</f>
        <v/>
      </c>
      <c r="AM158" s="5">
        <f>AD$1*((-0.000002)*AD158^3+0.00032*AD158^2+(-0.0021)*AD158)+AE$1*((-0.000002)*AE158^3+0.00032*AE158^2+(-0.0021)*AE158)+AF$1*((-0.000002)*AF158^3+0.00032*AF158^2+(-0.0021)*AF158)+AG$1*((-0.000002)*AG158^3+0.00032*AG158^2+(-0.0021)*AG158)</f>
        <v/>
      </c>
    </row>
    <row r="159" ht="15" customHeight="1" s="27" thickBot="1">
      <c r="A159" s="5">
        <f>(AI159*AI$3+AJ159*AJ$3+AK159*AK$3+AL159*AL$3+AM159*AM$3)*100/(AI$5*AI$3+AJ$5*AJ$3+AK$5*AK$3+AL$5*AL$3+AM$5*AM$3)</f>
        <v/>
      </c>
      <c r="B159" s="18" t="n">
        <v>16</v>
      </c>
      <c r="C159" s="11" t="inlineStr">
        <is>
          <t>Doster, Theodore</t>
        </is>
      </c>
      <c r="D159" s="19" t="inlineStr">
        <is>
          <t>P</t>
        </is>
      </c>
      <c r="E159" s="19" t="inlineStr">
        <is>
          <t>S</t>
        </is>
      </c>
      <c r="F159" s="19" t="inlineStr">
        <is>
          <t>L</t>
        </is>
      </c>
      <c r="G159" s="19" t="n">
        <v>18</v>
      </c>
      <c r="H159" s="19" t="n">
        <v>30</v>
      </c>
      <c r="I159" s="19" t="n">
        <v>6</v>
      </c>
      <c r="J159" s="19" t="n">
        <v>23</v>
      </c>
      <c r="K159" s="19" t="n">
        <v>25</v>
      </c>
      <c r="L159" s="19" t="n">
        <v>25</v>
      </c>
      <c r="M159" s="19" t="n">
        <v>12</v>
      </c>
      <c r="N159" s="19" t="n">
        <v>77</v>
      </c>
      <c r="O159" s="19" t="n">
        <v>73</v>
      </c>
      <c r="P159" s="19" t="n">
        <v>72</v>
      </c>
      <c r="Q159" s="18" t="n">
        <v>16</v>
      </c>
      <c r="R159" s="11" t="inlineStr">
        <is>
          <t>Doster, Theodore</t>
        </is>
      </c>
      <c r="S159" s="19" t="inlineStr">
        <is>
          <t>P</t>
        </is>
      </c>
      <c r="T159" s="19" t="inlineStr">
        <is>
          <t>S</t>
        </is>
      </c>
      <c r="U159" s="19" t="inlineStr">
        <is>
          <t>L</t>
        </is>
      </c>
      <c r="V159" s="19" t="n">
        <v>18</v>
      </c>
      <c r="W159" s="19" t="n">
        <v>0</v>
      </c>
      <c r="X159" s="19" t="n">
        <v>30</v>
      </c>
      <c r="Y159" s="19" t="n">
        <v>30</v>
      </c>
      <c r="Z159" s="19" t="n">
        <v>58</v>
      </c>
      <c r="AA159" s="19" t="n">
        <v>19</v>
      </c>
      <c r="AB159" s="19" t="n">
        <v>27</v>
      </c>
      <c r="AC159" s="19" t="n">
        <v>67</v>
      </c>
      <c r="AD159" s="19" t="n">
        <v>10</v>
      </c>
      <c r="AE159" s="19" t="n">
        <v>63</v>
      </c>
      <c r="AF159" s="19" t="n">
        <v>46</v>
      </c>
      <c r="AG159" s="19" t="n">
        <v>91</v>
      </c>
      <c r="AH159" s="19" t="n">
        <v>72</v>
      </c>
      <c r="AI159" s="5">
        <f>H$1*((-0.000002)*H159^3+0.00032*H159^2+(-0.0021)*H159)+I$1*((-0.000002)*I159^3+0.00032*I159^2+(-0.0021)*I159)+J$1*((-0.000002)*J159^3+0.00032*J159^2+(-0.0021)*J159)+K$1*((-0.000002)*K159^3+0.00032*K159^2+(-0.0021)*K159)+L$1*((-0.000002)*L159^3+0.00032*L159^2+(-0.0021)*L159)</f>
        <v/>
      </c>
      <c r="AJ159" s="5">
        <f>M$1*((-0.000002)*M159^3+0.00032*M159^2+(-0.0021)*M159)+N$1*((-0.000002)*N159^3+0.00032*N159^2+(-0.0021)*N159)+O$1*((-0.000002)*O159^3+0.00032*O159^2+(-0.0021)*O159)</f>
        <v/>
      </c>
      <c r="AK159" s="5">
        <f>IF(AA159&lt;50,W$1*((-0.000002)*W159^3+0.00032*W159^2+(-0.0021)*W159)+X$1*((-0.000002)*X159^3+0.00032*X159^2+(-0.0021)*X159)+Y$1*((-0.000002)*Y159^3+0.00032*Y159^2+(-0.0021)*Y159)+Z$1*((-0.000002)*Z159^3+0.00032*Z159^2+(-0.0021)*Z159),X$2*((-0.000002)*X159^3+0.00032*X159^2+(-0.0021)*X159)+Y$2*((-0.000002)*Y159^3+0.00032*Y159^2+(-0.0021)*Y159)+Z$2*((-0.000002)*Z159^3+0.00032*Z159^2+(-0.0021)*Z159)+AA$2*((-0.000002)*AA159^3+0.00032*AA159^2+(-0.0021)*AA159))</f>
        <v/>
      </c>
      <c r="AL159" s="5">
        <f>AB$1*((-0.000002)*AB159^3+0.00032*AB159^2+(-0.0021)*AB159)+AC$1*((-0.000002)*AC159^3+0.00032*AC159^2+(-0.0021)*AC159)</f>
        <v/>
      </c>
      <c r="AM159" s="5">
        <f>AD$1*((-0.000002)*AD159^3+0.00032*AD159^2+(-0.0021)*AD159)+AE$1*((-0.000002)*AE159^3+0.00032*AE159^2+(-0.0021)*AE159)+AF$1*((-0.000002)*AF159^3+0.00032*AF159^2+(-0.0021)*AF159)+AG$1*((-0.000002)*AG159^3+0.00032*AG159^2+(-0.0021)*AG159)</f>
        <v/>
      </c>
    </row>
    <row r="160" ht="15" customHeight="1" s="27" thickBot="1">
      <c r="A160" s="5">
        <f>(AI160*AI$3+AJ160*AJ$3+AK160*AK$3+AL160*AL$3+AM160*AM$3)*100/(AI$5*AI$3+AJ$5*AJ$3+AK$5*AK$3+AL$5*AL$3+AM$5*AM$3)</f>
        <v/>
      </c>
      <c r="B160" s="16" t="n">
        <v>181</v>
      </c>
      <c r="C160" s="10" t="inlineStr">
        <is>
          <t>Ishii, O'Koyea</t>
        </is>
      </c>
      <c r="D160" s="17" t="inlineStr">
        <is>
          <t>P</t>
        </is>
      </c>
      <c r="E160" s="17" t="inlineStr">
        <is>
          <t>R</t>
        </is>
      </c>
      <c r="F160" s="17" t="inlineStr">
        <is>
          <t>R</t>
        </is>
      </c>
      <c r="G160" s="17" t="n">
        <v>22</v>
      </c>
      <c r="H160" s="17" t="n">
        <v>15</v>
      </c>
      <c r="I160" s="17" t="n">
        <v>0</v>
      </c>
      <c r="J160" s="17" t="n">
        <v>0</v>
      </c>
      <c r="K160" s="17" t="n">
        <v>17</v>
      </c>
      <c r="L160" s="17" t="n">
        <v>36</v>
      </c>
      <c r="M160" s="17" t="n">
        <v>31</v>
      </c>
      <c r="N160" s="17" t="n">
        <v>52</v>
      </c>
      <c r="O160" s="17" t="n">
        <v>48</v>
      </c>
      <c r="P160" s="17" t="n">
        <v>34</v>
      </c>
      <c r="Q160" s="16" t="n">
        <v>181</v>
      </c>
      <c r="R160" s="10" t="inlineStr">
        <is>
          <t>Ishii, O'Koyea</t>
        </is>
      </c>
      <c r="S160" s="17" t="inlineStr">
        <is>
          <t>P</t>
        </is>
      </c>
      <c r="T160" s="17" t="inlineStr">
        <is>
          <t>R</t>
        </is>
      </c>
      <c r="U160" s="17" t="inlineStr">
        <is>
          <t>R</t>
        </is>
      </c>
      <c r="V160" s="17" t="n">
        <v>22</v>
      </c>
      <c r="W160" s="17" t="n">
        <v>25</v>
      </c>
      <c r="X160" s="17" t="n">
        <v>28</v>
      </c>
      <c r="Y160" s="17" t="n">
        <v>24</v>
      </c>
      <c r="Z160" s="17" t="n">
        <v>47</v>
      </c>
      <c r="AA160" s="17" t="n">
        <v>2</v>
      </c>
      <c r="AB160" s="17" t="n">
        <v>33</v>
      </c>
      <c r="AC160" s="17" t="n">
        <v>91</v>
      </c>
      <c r="AD160" s="17" t="n">
        <v>23</v>
      </c>
      <c r="AE160" s="17" t="n">
        <v>27</v>
      </c>
      <c r="AF160" s="17" t="n">
        <v>18</v>
      </c>
      <c r="AG160" s="17" t="n">
        <v>90</v>
      </c>
      <c r="AH160" s="17" t="n">
        <v>34</v>
      </c>
      <c r="AI160" s="5">
        <f>H$1*((-0.000002)*H160^3+0.00032*H160^2+(-0.0021)*H160)+I$1*((-0.000002)*I160^3+0.00032*I160^2+(-0.0021)*I160)+J$1*((-0.000002)*J160^3+0.00032*J160^2+(-0.0021)*J160)+K$1*((-0.000002)*K160^3+0.00032*K160^2+(-0.0021)*K160)+L$1*((-0.000002)*L160^3+0.00032*L160^2+(-0.0021)*L160)</f>
        <v/>
      </c>
      <c r="AJ160" s="5">
        <f>M$1*((-0.000002)*M160^3+0.00032*M160^2+(-0.0021)*M160)+N$1*((-0.000002)*N160^3+0.00032*N160^2+(-0.0021)*N160)+O$1*((-0.000002)*O160^3+0.00032*O160^2+(-0.0021)*O160)</f>
        <v/>
      </c>
      <c r="AK160" s="5">
        <f>IF(AA160&lt;50,W$1*((-0.000002)*W160^3+0.00032*W160^2+(-0.0021)*W160)+X$1*((-0.000002)*X160^3+0.00032*X160^2+(-0.0021)*X160)+Y$1*((-0.000002)*Y160^3+0.00032*Y160^2+(-0.0021)*Y160)+Z$1*((-0.000002)*Z160^3+0.00032*Z160^2+(-0.0021)*Z160),X$2*((-0.000002)*X160^3+0.00032*X160^2+(-0.0021)*X160)+Y$2*((-0.000002)*Y160^3+0.00032*Y160^2+(-0.0021)*Y160)+Z$2*((-0.000002)*Z160^3+0.00032*Z160^2+(-0.0021)*Z160)+AA$2*((-0.000002)*AA160^3+0.00032*AA160^2+(-0.0021)*AA160))</f>
        <v/>
      </c>
      <c r="AL160" s="5">
        <f>AB$1*((-0.000002)*AB160^3+0.00032*AB160^2+(-0.0021)*AB160)+AC$1*((-0.000002)*AC160^3+0.00032*AC160^2+(-0.0021)*AC160)</f>
        <v/>
      </c>
      <c r="AM160" s="5">
        <f>AD$1*((-0.000002)*AD160^3+0.00032*AD160^2+(-0.0021)*AD160)+AE$1*((-0.000002)*AE160^3+0.00032*AE160^2+(-0.0021)*AE160)+AF$1*((-0.000002)*AF160^3+0.00032*AF160^2+(-0.0021)*AF160)+AG$1*((-0.000002)*AG160^3+0.00032*AG160^2+(-0.0021)*AG160)</f>
        <v/>
      </c>
    </row>
    <row r="161" ht="15" customHeight="1" s="27" thickBot="1">
      <c r="A161" s="5">
        <f>(AI161*AI$3+AJ161*AJ$3+AK161*AK$3+AL161*AL$3+AM161*AM$3)*100/(AI$5*AI$3+AJ$5*AJ$3+AK$5*AK$3+AL$5*AL$3+AM$5*AM$3)</f>
        <v/>
      </c>
      <c r="B161" s="16" t="n">
        <v>65</v>
      </c>
      <c r="C161" s="10" t="inlineStr">
        <is>
          <t>Gilmore, Freddie</t>
        </is>
      </c>
      <c r="D161" s="17" t="inlineStr">
        <is>
          <t>P</t>
        </is>
      </c>
      <c r="E161" s="17" t="inlineStr">
        <is>
          <t>L</t>
        </is>
      </c>
      <c r="F161" s="17" t="inlineStr">
        <is>
          <t>L</t>
        </is>
      </c>
      <c r="G161" s="17" t="n">
        <v>18</v>
      </c>
      <c r="H161" s="17" t="n">
        <v>20</v>
      </c>
      <c r="I161" s="17" t="n">
        <v>2</v>
      </c>
      <c r="J161" s="17" t="n">
        <v>31</v>
      </c>
      <c r="K161" s="17" t="n">
        <v>27</v>
      </c>
      <c r="L161" s="17" t="n">
        <v>15</v>
      </c>
      <c r="M161" s="17" t="n">
        <v>8</v>
      </c>
      <c r="N161" s="17" t="n">
        <v>67</v>
      </c>
      <c r="O161" s="17" t="n">
        <v>61</v>
      </c>
      <c r="P161" s="17" t="n">
        <v>58</v>
      </c>
      <c r="Q161" s="16" t="n">
        <v>65</v>
      </c>
      <c r="R161" s="10" t="inlineStr">
        <is>
          <t>Gilmore, Freddie</t>
        </is>
      </c>
      <c r="S161" s="17" t="inlineStr">
        <is>
          <t>P</t>
        </is>
      </c>
      <c r="T161" s="17" t="inlineStr">
        <is>
          <t>L</t>
        </is>
      </c>
      <c r="U161" s="17" t="inlineStr">
        <is>
          <t>L</t>
        </is>
      </c>
      <c r="V161" s="17" t="n">
        <v>18</v>
      </c>
      <c r="W161" s="17" t="n">
        <v>44</v>
      </c>
      <c r="X161" s="17" t="n">
        <v>10</v>
      </c>
      <c r="Y161" s="17" t="n">
        <v>11</v>
      </c>
      <c r="Z161" s="17" t="n">
        <v>69</v>
      </c>
      <c r="AA161" s="17" t="n">
        <v>14</v>
      </c>
      <c r="AB161" s="17" t="n">
        <v>35</v>
      </c>
      <c r="AC161" s="17" t="n">
        <v>95</v>
      </c>
      <c r="AD161" s="17" t="n">
        <v>25</v>
      </c>
      <c r="AE161" s="17" t="n">
        <v>100</v>
      </c>
      <c r="AF161" s="17" t="n">
        <v>15</v>
      </c>
      <c r="AG161" s="17" t="n">
        <v>96</v>
      </c>
      <c r="AH161" s="17" t="n">
        <v>58</v>
      </c>
      <c r="AI161" s="5">
        <f>H$1*((-0.000002)*H161^3+0.00032*H161^2+(-0.0021)*H161)+I$1*((-0.000002)*I161^3+0.00032*I161^2+(-0.0021)*I161)+J$1*((-0.000002)*J161^3+0.00032*J161^2+(-0.0021)*J161)+K$1*((-0.000002)*K161^3+0.00032*K161^2+(-0.0021)*K161)+L$1*((-0.000002)*L161^3+0.00032*L161^2+(-0.0021)*L161)</f>
        <v/>
      </c>
      <c r="AJ161" s="5">
        <f>M$1*((-0.000002)*M161^3+0.00032*M161^2+(-0.0021)*M161)+N$1*((-0.000002)*N161^3+0.00032*N161^2+(-0.0021)*N161)+O$1*((-0.000002)*O161^3+0.00032*O161^2+(-0.0021)*O161)</f>
        <v/>
      </c>
      <c r="AK161" s="5">
        <f>IF(AA161&lt;50,W$1*((-0.000002)*W161^3+0.00032*W161^2+(-0.0021)*W161)+X$1*((-0.000002)*X161^3+0.00032*X161^2+(-0.0021)*X161)+Y$1*((-0.000002)*Y161^3+0.00032*Y161^2+(-0.0021)*Y161)+Z$1*((-0.000002)*Z161^3+0.00032*Z161^2+(-0.0021)*Z161),X$2*((-0.000002)*X161^3+0.00032*X161^2+(-0.0021)*X161)+Y$2*((-0.000002)*Y161^3+0.00032*Y161^2+(-0.0021)*Y161)+Z$2*((-0.000002)*Z161^3+0.00032*Z161^2+(-0.0021)*Z161)+AA$2*((-0.000002)*AA161^3+0.00032*AA161^2+(-0.0021)*AA161))</f>
        <v/>
      </c>
      <c r="AL161" s="5">
        <f>AB$1*((-0.000002)*AB161^3+0.00032*AB161^2+(-0.0021)*AB161)+AC$1*((-0.000002)*AC161^3+0.00032*AC161^2+(-0.0021)*AC161)</f>
        <v/>
      </c>
      <c r="AM161" s="5">
        <f>AD$1*((-0.000002)*AD161^3+0.00032*AD161^2+(-0.0021)*AD161)+AE$1*((-0.000002)*AE161^3+0.00032*AE161^2+(-0.0021)*AE161)+AF$1*((-0.000002)*AF161^3+0.00032*AF161^2+(-0.0021)*AF161)+AG$1*((-0.000002)*AG161^3+0.00032*AG161^2+(-0.0021)*AG161)</f>
        <v/>
      </c>
    </row>
    <row r="162" ht="15" customHeight="1" s="27" thickBot="1">
      <c r="A162" s="5">
        <f>(AI162*AI$3+AJ162*AJ$3+AK162*AK$3+AL162*AL$3+AM162*AM$3)*100/(AI$5*AI$3+AJ$5*AJ$3+AK$5*AK$3+AL$5*AL$3+AM$5*AM$3)</f>
        <v/>
      </c>
      <c r="B162" s="18" t="n">
        <v>64</v>
      </c>
      <c r="C162" s="11" t="inlineStr">
        <is>
          <t>Wilhelmsen, Trevor</t>
        </is>
      </c>
      <c r="D162" s="19" t="inlineStr">
        <is>
          <t>P</t>
        </is>
      </c>
      <c r="E162" s="19" t="inlineStr">
        <is>
          <t>L</t>
        </is>
      </c>
      <c r="F162" s="19" t="inlineStr">
        <is>
          <t>L</t>
        </is>
      </c>
      <c r="G162" s="19" t="n">
        <v>18</v>
      </c>
      <c r="H162" s="19" t="n">
        <v>10</v>
      </c>
      <c r="I162" s="19" t="n">
        <v>5</v>
      </c>
      <c r="J162" s="19" t="n">
        <v>20</v>
      </c>
      <c r="K162" s="19" t="n">
        <v>30</v>
      </c>
      <c r="L162" s="19" t="n">
        <v>17</v>
      </c>
      <c r="M162" s="19" t="n">
        <v>16</v>
      </c>
      <c r="N162" s="19" t="n">
        <v>77</v>
      </c>
      <c r="O162" s="19" t="n">
        <v>65</v>
      </c>
      <c r="P162" s="19" t="n">
        <v>58</v>
      </c>
      <c r="Q162" s="18" t="n">
        <v>64</v>
      </c>
      <c r="R162" s="11" t="inlineStr">
        <is>
          <t>Wilhelmsen, Trevor</t>
        </is>
      </c>
      <c r="S162" s="19" t="inlineStr">
        <is>
          <t>P</t>
        </is>
      </c>
      <c r="T162" s="19" t="inlineStr">
        <is>
          <t>L</t>
        </is>
      </c>
      <c r="U162" s="19" t="inlineStr">
        <is>
          <t>L</t>
        </is>
      </c>
      <c r="V162" s="19" t="n">
        <v>18</v>
      </c>
      <c r="W162" s="19" t="n">
        <v>26</v>
      </c>
      <c r="X162" s="19" t="n">
        <v>33</v>
      </c>
      <c r="Y162" s="19" t="n">
        <v>58</v>
      </c>
      <c r="Z162" s="19" t="n">
        <v>32</v>
      </c>
      <c r="AA162" s="19" t="n">
        <v>18</v>
      </c>
      <c r="AB162" s="19" t="n">
        <v>41</v>
      </c>
      <c r="AC162" s="19" t="n">
        <v>65</v>
      </c>
      <c r="AD162" s="19" t="n">
        <v>42</v>
      </c>
      <c r="AE162" s="19" t="n">
        <v>53</v>
      </c>
      <c r="AF162" s="19" t="n">
        <v>84</v>
      </c>
      <c r="AG162" s="19" t="n">
        <v>84</v>
      </c>
      <c r="AH162" s="19" t="n">
        <v>58</v>
      </c>
      <c r="AI162" s="5">
        <f>H$1*((-0.000002)*H162^3+0.00032*H162^2+(-0.0021)*H162)+I$1*((-0.000002)*I162^3+0.00032*I162^2+(-0.0021)*I162)+J$1*((-0.000002)*J162^3+0.00032*J162^2+(-0.0021)*J162)+K$1*((-0.000002)*K162^3+0.00032*K162^2+(-0.0021)*K162)+L$1*((-0.000002)*L162^3+0.00032*L162^2+(-0.0021)*L162)</f>
        <v/>
      </c>
      <c r="AJ162" s="5">
        <f>M$1*((-0.000002)*M162^3+0.00032*M162^2+(-0.0021)*M162)+N$1*((-0.000002)*N162^3+0.00032*N162^2+(-0.0021)*N162)+O$1*((-0.000002)*O162^3+0.00032*O162^2+(-0.0021)*O162)</f>
        <v/>
      </c>
      <c r="AK162" s="5">
        <f>IF(AA162&lt;50,W$1*((-0.000002)*W162^3+0.00032*W162^2+(-0.0021)*W162)+X$1*((-0.000002)*X162^3+0.00032*X162^2+(-0.0021)*X162)+Y$1*((-0.000002)*Y162^3+0.00032*Y162^2+(-0.0021)*Y162)+Z$1*((-0.000002)*Z162^3+0.00032*Z162^2+(-0.0021)*Z162),X$2*((-0.000002)*X162^3+0.00032*X162^2+(-0.0021)*X162)+Y$2*((-0.000002)*Y162^3+0.00032*Y162^2+(-0.0021)*Y162)+Z$2*((-0.000002)*Z162^3+0.00032*Z162^2+(-0.0021)*Z162)+AA$2*((-0.000002)*AA162^3+0.00032*AA162^2+(-0.0021)*AA162))</f>
        <v/>
      </c>
      <c r="AL162" s="5">
        <f>AB$1*((-0.000002)*AB162^3+0.00032*AB162^2+(-0.0021)*AB162)+AC$1*((-0.000002)*AC162^3+0.00032*AC162^2+(-0.0021)*AC162)</f>
        <v/>
      </c>
      <c r="AM162" s="5">
        <f>AD$1*((-0.000002)*AD162^3+0.00032*AD162^2+(-0.0021)*AD162)+AE$1*((-0.000002)*AE162^3+0.00032*AE162^2+(-0.0021)*AE162)+AF$1*((-0.000002)*AF162^3+0.00032*AF162^2+(-0.0021)*AF162)+AG$1*((-0.000002)*AG162^3+0.00032*AG162^2+(-0.0021)*AG162)</f>
        <v/>
      </c>
    </row>
    <row r="163" ht="15" customHeight="1" s="27" thickBot="1">
      <c r="A163" s="5">
        <f>(AI163*AI$3+AJ163*AJ$3+AK163*AK$3+AL163*AL$3+AM163*AM$3)*100/(AI$5*AI$3+AJ$5*AJ$3+AK$5*AK$3+AL$5*AL$3+AM$5*AM$3)</f>
        <v/>
      </c>
      <c r="B163" s="18" t="n">
        <v>168</v>
      </c>
      <c r="C163" s="11" t="inlineStr">
        <is>
          <t>Diaz, Dante</t>
        </is>
      </c>
      <c r="D163" s="19" t="inlineStr">
        <is>
          <t>P</t>
        </is>
      </c>
      <c r="E163" s="19" t="inlineStr">
        <is>
          <t>L</t>
        </is>
      </c>
      <c r="F163" s="19" t="inlineStr">
        <is>
          <t>L</t>
        </is>
      </c>
      <c r="G163" s="19" t="n">
        <v>22</v>
      </c>
      <c r="H163" s="19" t="n">
        <v>8</v>
      </c>
      <c r="I163" s="19" t="n">
        <v>0</v>
      </c>
      <c r="J163" s="19" t="n">
        <v>16</v>
      </c>
      <c r="K163" s="19" t="n">
        <v>3</v>
      </c>
      <c r="L163" s="19" t="n">
        <v>24</v>
      </c>
      <c r="M163" s="19" t="n">
        <v>2</v>
      </c>
      <c r="N163" s="19" t="n">
        <v>42</v>
      </c>
      <c r="O163" s="19" t="n">
        <v>43</v>
      </c>
      <c r="P163" s="19" t="n">
        <v>49</v>
      </c>
      <c r="Q163" s="18" t="n">
        <v>168</v>
      </c>
      <c r="R163" s="11" t="inlineStr">
        <is>
          <t>Diaz, Dante</t>
        </is>
      </c>
      <c r="S163" s="19" t="inlineStr">
        <is>
          <t>P</t>
        </is>
      </c>
      <c r="T163" s="19" t="inlineStr">
        <is>
          <t>L</t>
        </is>
      </c>
      <c r="U163" s="19" t="inlineStr">
        <is>
          <t>L</t>
        </is>
      </c>
      <c r="V163" s="19" t="n">
        <v>22</v>
      </c>
      <c r="W163" s="19" t="n">
        <v>34</v>
      </c>
      <c r="X163" s="19" t="n">
        <v>68</v>
      </c>
      <c r="Y163" s="19" t="n">
        <v>35</v>
      </c>
      <c r="Z163" s="19" t="n">
        <v>2</v>
      </c>
      <c r="AA163" s="19" t="n">
        <v>33</v>
      </c>
      <c r="AB163" s="19" t="n">
        <v>41</v>
      </c>
      <c r="AC163" s="19" t="n">
        <v>100</v>
      </c>
      <c r="AD163" s="19" t="n">
        <v>39</v>
      </c>
      <c r="AE163" s="19" t="n">
        <v>89</v>
      </c>
      <c r="AF163" s="19" t="n">
        <v>55</v>
      </c>
      <c r="AG163" s="19" t="n">
        <v>91</v>
      </c>
      <c r="AH163" s="19" t="n">
        <v>49</v>
      </c>
      <c r="AI163" s="5">
        <f>H$1*((-0.000002)*H163^3+0.00032*H163^2+(-0.0021)*H163)+I$1*((-0.000002)*I163^3+0.00032*I163^2+(-0.0021)*I163)+J$1*((-0.000002)*J163^3+0.00032*J163^2+(-0.0021)*J163)+K$1*((-0.000002)*K163^3+0.00032*K163^2+(-0.0021)*K163)+L$1*((-0.000002)*L163^3+0.00032*L163^2+(-0.0021)*L163)</f>
        <v/>
      </c>
      <c r="AJ163" s="5">
        <f>M$1*((-0.000002)*M163^3+0.00032*M163^2+(-0.0021)*M163)+N$1*((-0.000002)*N163^3+0.00032*N163^2+(-0.0021)*N163)+O$1*((-0.000002)*O163^3+0.00032*O163^2+(-0.0021)*O163)</f>
        <v/>
      </c>
      <c r="AK163" s="5">
        <f>IF(AA163&lt;50,W$1*((-0.000002)*W163^3+0.00032*W163^2+(-0.0021)*W163)+X$1*((-0.000002)*X163^3+0.00032*X163^2+(-0.0021)*X163)+Y$1*((-0.000002)*Y163^3+0.00032*Y163^2+(-0.0021)*Y163)+Z$1*((-0.000002)*Z163^3+0.00032*Z163^2+(-0.0021)*Z163),X$2*((-0.000002)*X163^3+0.00032*X163^2+(-0.0021)*X163)+Y$2*((-0.000002)*Y163^3+0.00032*Y163^2+(-0.0021)*Y163)+Z$2*((-0.000002)*Z163^3+0.00032*Z163^2+(-0.0021)*Z163)+AA$2*((-0.000002)*AA163^3+0.00032*AA163^2+(-0.0021)*AA163))</f>
        <v/>
      </c>
      <c r="AL163" s="5">
        <f>AB$1*((-0.000002)*AB163^3+0.00032*AB163^2+(-0.0021)*AB163)+AC$1*((-0.000002)*AC163^3+0.00032*AC163^2+(-0.0021)*AC163)</f>
        <v/>
      </c>
      <c r="AM163" s="5">
        <f>AD$1*((-0.000002)*AD163^3+0.00032*AD163^2+(-0.0021)*AD163)+AE$1*((-0.000002)*AE163^3+0.00032*AE163^2+(-0.0021)*AE163)+AF$1*((-0.000002)*AF163^3+0.00032*AF163^2+(-0.0021)*AF163)+AG$1*((-0.000002)*AG163^3+0.00032*AG163^2+(-0.0021)*AG163)</f>
        <v/>
      </c>
    </row>
    <row r="164" ht="15" customHeight="1" s="27" thickBot="1">
      <c r="A164" s="5">
        <f>(AI164*AI$3+AJ164*AJ$3+AK164*AK$3+AL164*AL$3+AM164*AM$3)*100/(AI$5*AI$3+AJ$5*AJ$3+AK$5*AK$3+AL$5*AL$3+AM$5*AM$3)</f>
        <v/>
      </c>
      <c r="B164" s="18" t="n">
        <v>38</v>
      </c>
      <c r="C164" s="11" t="inlineStr">
        <is>
          <t>Freel, Vinny</t>
        </is>
      </c>
      <c r="D164" s="19" t="inlineStr">
        <is>
          <t>P</t>
        </is>
      </c>
      <c r="E164" s="19" t="inlineStr">
        <is>
          <t>R</t>
        </is>
      </c>
      <c r="F164" s="19" t="inlineStr">
        <is>
          <t>R</t>
        </is>
      </c>
      <c r="G164" s="19" t="n">
        <v>18</v>
      </c>
      <c r="H164" s="19" t="n">
        <v>19</v>
      </c>
      <c r="I164" s="19" t="n">
        <v>20</v>
      </c>
      <c r="J164" s="19" t="n">
        <v>27</v>
      </c>
      <c r="K164" s="19" t="n">
        <v>14</v>
      </c>
      <c r="L164" s="19" t="n">
        <v>14</v>
      </c>
      <c r="M164" s="19" t="n">
        <v>32</v>
      </c>
      <c r="N164" s="19" t="n">
        <v>55</v>
      </c>
      <c r="O164" s="19" t="n">
        <v>63</v>
      </c>
      <c r="P164" s="19" t="n">
        <v>64</v>
      </c>
      <c r="Q164" s="18" t="n">
        <v>38</v>
      </c>
      <c r="R164" s="11" t="inlineStr">
        <is>
          <t>Freel, Vinny</t>
        </is>
      </c>
      <c r="S164" s="19" t="inlineStr">
        <is>
          <t>P</t>
        </is>
      </c>
      <c r="T164" s="19" t="inlineStr">
        <is>
          <t>R</t>
        </is>
      </c>
      <c r="U164" s="19" t="inlineStr">
        <is>
          <t>R</t>
        </is>
      </c>
      <c r="V164" s="19" t="n">
        <v>18</v>
      </c>
      <c r="W164" s="19" t="n">
        <v>2</v>
      </c>
      <c r="X164" s="19" t="n">
        <v>24</v>
      </c>
      <c r="Y164" s="19" t="n">
        <v>48</v>
      </c>
      <c r="Z164" s="19" t="n">
        <v>61</v>
      </c>
      <c r="AA164" s="19" t="n">
        <v>15</v>
      </c>
      <c r="AB164" s="19" t="n">
        <v>22</v>
      </c>
      <c r="AC164" s="19" t="n">
        <v>55</v>
      </c>
      <c r="AD164" s="19" t="n">
        <v>5</v>
      </c>
      <c r="AE164" s="19" t="n">
        <v>70</v>
      </c>
      <c r="AF164" s="19" t="n">
        <v>58</v>
      </c>
      <c r="AG164" s="19" t="n">
        <v>82</v>
      </c>
      <c r="AH164" s="19" t="n">
        <v>64</v>
      </c>
      <c r="AI164" s="5">
        <f>H$1*((-0.000002)*H164^3+0.00032*H164^2+(-0.0021)*H164)+I$1*((-0.000002)*I164^3+0.00032*I164^2+(-0.0021)*I164)+J$1*((-0.000002)*J164^3+0.00032*J164^2+(-0.0021)*J164)+K$1*((-0.000002)*K164^3+0.00032*K164^2+(-0.0021)*K164)+L$1*((-0.000002)*L164^3+0.00032*L164^2+(-0.0021)*L164)</f>
        <v/>
      </c>
      <c r="AJ164" s="5">
        <f>M$1*((-0.000002)*M164^3+0.00032*M164^2+(-0.0021)*M164)+N$1*((-0.000002)*N164^3+0.00032*N164^2+(-0.0021)*N164)+O$1*((-0.000002)*O164^3+0.00032*O164^2+(-0.0021)*O164)</f>
        <v/>
      </c>
      <c r="AK164" s="5">
        <f>IF(AA164&lt;50,W$1*((-0.000002)*W164^3+0.00032*W164^2+(-0.0021)*W164)+X$1*((-0.000002)*X164^3+0.00032*X164^2+(-0.0021)*X164)+Y$1*((-0.000002)*Y164^3+0.00032*Y164^2+(-0.0021)*Y164)+Z$1*((-0.000002)*Z164^3+0.00032*Z164^2+(-0.0021)*Z164),X$2*((-0.000002)*X164^3+0.00032*X164^2+(-0.0021)*X164)+Y$2*((-0.000002)*Y164^3+0.00032*Y164^2+(-0.0021)*Y164)+Z$2*((-0.000002)*Z164^3+0.00032*Z164^2+(-0.0021)*Z164)+AA$2*((-0.000002)*AA164^3+0.00032*AA164^2+(-0.0021)*AA164))</f>
        <v/>
      </c>
      <c r="AL164" s="5">
        <f>AB$1*((-0.000002)*AB164^3+0.00032*AB164^2+(-0.0021)*AB164)+AC$1*((-0.000002)*AC164^3+0.00032*AC164^2+(-0.0021)*AC164)</f>
        <v/>
      </c>
      <c r="AM164" s="5">
        <f>AD$1*((-0.000002)*AD164^3+0.00032*AD164^2+(-0.0021)*AD164)+AE$1*((-0.000002)*AE164^3+0.00032*AE164^2+(-0.0021)*AE164)+AF$1*((-0.000002)*AF164^3+0.00032*AF164^2+(-0.0021)*AF164)+AG$1*((-0.000002)*AG164^3+0.00032*AG164^2+(-0.0021)*AG164)</f>
        <v/>
      </c>
    </row>
    <row r="165" ht="15" customHeight="1" s="27" thickBot="1">
      <c r="A165" s="5">
        <f>(AI165*AI$3+AJ165*AJ$3+AK165*AK$3+AL165*AL$3+AM165*AM$3)*100/(AI$5*AI$3+AJ$5*AJ$3+AK$5*AK$3+AL$5*AL$3+AM$5*AM$3)</f>
        <v/>
      </c>
      <c r="B165" s="16" t="n">
        <v>163</v>
      </c>
      <c r="C165" s="10" t="inlineStr">
        <is>
          <t>Ryan, Sal</t>
        </is>
      </c>
      <c r="D165" s="17" t="inlineStr">
        <is>
          <t>P</t>
        </is>
      </c>
      <c r="E165" s="17" t="inlineStr">
        <is>
          <t>R</t>
        </is>
      </c>
      <c r="F165" s="17" t="inlineStr">
        <is>
          <t>R</t>
        </is>
      </c>
      <c r="G165" s="17" t="n">
        <v>18</v>
      </c>
      <c r="H165" s="17" t="n">
        <v>20</v>
      </c>
      <c r="I165" s="17" t="n">
        <v>14</v>
      </c>
      <c r="J165" s="17" t="n">
        <v>30</v>
      </c>
      <c r="K165" s="17" t="n">
        <v>22</v>
      </c>
      <c r="L165" s="17" t="n">
        <v>28</v>
      </c>
      <c r="M165" s="17" t="n">
        <v>15</v>
      </c>
      <c r="N165" s="17" t="n">
        <v>77</v>
      </c>
      <c r="O165" s="17" t="n">
        <v>67</v>
      </c>
      <c r="P165" s="17" t="n">
        <v>38</v>
      </c>
      <c r="Q165" s="16" t="n">
        <v>163</v>
      </c>
      <c r="R165" s="10" t="inlineStr">
        <is>
          <t>Ryan, Sal</t>
        </is>
      </c>
      <c r="S165" s="17" t="inlineStr">
        <is>
          <t>P</t>
        </is>
      </c>
      <c r="T165" s="17" t="inlineStr">
        <is>
          <t>R</t>
        </is>
      </c>
      <c r="U165" s="17" t="inlineStr">
        <is>
          <t>R</t>
        </is>
      </c>
      <c r="V165" s="17" t="n">
        <v>18</v>
      </c>
      <c r="W165" s="17" t="n">
        <v>10</v>
      </c>
      <c r="X165" s="17" t="n">
        <v>23</v>
      </c>
      <c r="Y165" s="17" t="n">
        <v>28</v>
      </c>
      <c r="Z165" s="17" t="n">
        <v>44</v>
      </c>
      <c r="AA165" s="17" t="n">
        <v>11</v>
      </c>
      <c r="AB165" s="17" t="n">
        <v>75</v>
      </c>
      <c r="AC165" s="17" t="n">
        <v>56</v>
      </c>
      <c r="AD165" s="17" t="n">
        <v>15</v>
      </c>
      <c r="AE165" s="17" t="n">
        <v>95</v>
      </c>
      <c r="AF165" s="17" t="n">
        <v>49</v>
      </c>
      <c r="AG165" s="17" t="n">
        <v>87</v>
      </c>
      <c r="AH165" s="17" t="n">
        <v>38</v>
      </c>
      <c r="AI165" s="5">
        <f>H$1*((-0.000002)*H165^3+0.00032*H165^2+(-0.0021)*H165)+I$1*((-0.000002)*I165^3+0.00032*I165^2+(-0.0021)*I165)+J$1*((-0.000002)*J165^3+0.00032*J165^2+(-0.0021)*J165)+K$1*((-0.000002)*K165^3+0.00032*K165^2+(-0.0021)*K165)+L$1*((-0.000002)*L165^3+0.00032*L165^2+(-0.0021)*L165)</f>
        <v/>
      </c>
      <c r="AJ165" s="5">
        <f>M$1*((-0.000002)*M165^3+0.00032*M165^2+(-0.0021)*M165)+N$1*((-0.000002)*N165^3+0.00032*N165^2+(-0.0021)*N165)+O$1*((-0.000002)*O165^3+0.00032*O165^2+(-0.0021)*O165)</f>
        <v/>
      </c>
      <c r="AK165" s="5">
        <f>IF(AA165&lt;50,W$1*((-0.000002)*W165^3+0.00032*W165^2+(-0.0021)*W165)+X$1*((-0.000002)*X165^3+0.00032*X165^2+(-0.0021)*X165)+Y$1*((-0.000002)*Y165^3+0.00032*Y165^2+(-0.0021)*Y165)+Z$1*((-0.000002)*Z165^3+0.00032*Z165^2+(-0.0021)*Z165),X$2*((-0.000002)*X165^3+0.00032*X165^2+(-0.0021)*X165)+Y$2*((-0.000002)*Y165^3+0.00032*Y165^2+(-0.0021)*Y165)+Z$2*((-0.000002)*Z165^3+0.00032*Z165^2+(-0.0021)*Z165)+AA$2*((-0.000002)*AA165^3+0.00032*AA165^2+(-0.0021)*AA165))</f>
        <v/>
      </c>
      <c r="AL165" s="5">
        <f>AB$1*((-0.000002)*AB165^3+0.00032*AB165^2+(-0.0021)*AB165)+AC$1*((-0.000002)*AC165^3+0.00032*AC165^2+(-0.0021)*AC165)</f>
        <v/>
      </c>
      <c r="AM165" s="5">
        <f>AD$1*((-0.000002)*AD165^3+0.00032*AD165^2+(-0.0021)*AD165)+AE$1*((-0.000002)*AE165^3+0.00032*AE165^2+(-0.0021)*AE165)+AF$1*((-0.000002)*AF165^3+0.00032*AF165^2+(-0.0021)*AF165)+AG$1*((-0.000002)*AG165^3+0.00032*AG165^2+(-0.0021)*AG165)</f>
        <v/>
      </c>
    </row>
    <row r="166" ht="15" customHeight="1" s="27" thickBot="1">
      <c r="A166" s="5">
        <f>(AI166*AI$3+AJ166*AJ$3+AK166*AK$3+AL166*AL$3+AM166*AM$3)*100/(AI$5*AI$3+AJ$5*AJ$3+AK$5*AK$3+AL$5*AL$3+AM$5*AM$3)</f>
        <v/>
      </c>
      <c r="B166" s="18" t="n">
        <v>100</v>
      </c>
      <c r="C166" s="11" t="inlineStr">
        <is>
          <t>Conger, Bud</t>
        </is>
      </c>
      <c r="D166" s="19" t="inlineStr">
        <is>
          <t>P</t>
        </is>
      </c>
      <c r="E166" s="19" t="inlineStr">
        <is>
          <t>L</t>
        </is>
      </c>
      <c r="F166" s="19" t="inlineStr">
        <is>
          <t>L</t>
        </is>
      </c>
      <c r="G166" s="19" t="n">
        <v>18</v>
      </c>
      <c r="H166" s="19" t="n">
        <v>22</v>
      </c>
      <c r="I166" s="19" t="n">
        <v>3</v>
      </c>
      <c r="J166" s="19" t="n">
        <v>14</v>
      </c>
      <c r="K166" s="19" t="n">
        <v>35</v>
      </c>
      <c r="L166" s="19" t="n">
        <v>18</v>
      </c>
      <c r="M166" s="19" t="n">
        <v>23</v>
      </c>
      <c r="N166" s="19" t="n">
        <v>54</v>
      </c>
      <c r="O166" s="19" t="n">
        <v>63</v>
      </c>
      <c r="P166" s="19" t="n">
        <v>50</v>
      </c>
      <c r="Q166" s="18" t="n">
        <v>100</v>
      </c>
      <c r="R166" s="11" t="inlineStr">
        <is>
          <t>Conger, Bud</t>
        </is>
      </c>
      <c r="S166" s="19" t="inlineStr">
        <is>
          <t>P</t>
        </is>
      </c>
      <c r="T166" s="19" t="inlineStr">
        <is>
          <t>L</t>
        </is>
      </c>
      <c r="U166" s="19" t="inlineStr">
        <is>
          <t>L</t>
        </is>
      </c>
      <c r="V166" s="19" t="n">
        <v>18</v>
      </c>
      <c r="W166" s="19" t="n">
        <v>32</v>
      </c>
      <c r="X166" s="19" t="n">
        <v>46</v>
      </c>
      <c r="Y166" s="19" t="n">
        <v>23</v>
      </c>
      <c r="Z166" s="19" t="n">
        <v>36</v>
      </c>
      <c r="AA166" s="19" t="n">
        <v>28</v>
      </c>
      <c r="AB166" s="19" t="n">
        <v>30</v>
      </c>
      <c r="AC166" s="19" t="n">
        <v>98</v>
      </c>
      <c r="AD166" s="19" t="n">
        <v>34</v>
      </c>
      <c r="AE166" s="19" t="n">
        <v>37</v>
      </c>
      <c r="AF166" s="19" t="n">
        <v>20</v>
      </c>
      <c r="AG166" s="19" t="n">
        <v>95</v>
      </c>
      <c r="AH166" s="19" t="n">
        <v>50</v>
      </c>
      <c r="AI166" s="5">
        <f>H$1*((-0.000002)*H166^3+0.00032*H166^2+(-0.0021)*H166)+I$1*((-0.000002)*I166^3+0.00032*I166^2+(-0.0021)*I166)+J$1*((-0.000002)*J166^3+0.00032*J166^2+(-0.0021)*J166)+K$1*((-0.000002)*K166^3+0.00032*K166^2+(-0.0021)*K166)+L$1*((-0.000002)*L166^3+0.00032*L166^2+(-0.0021)*L166)</f>
        <v/>
      </c>
      <c r="AJ166" s="5">
        <f>M$1*((-0.000002)*M166^3+0.00032*M166^2+(-0.0021)*M166)+N$1*((-0.000002)*N166^3+0.00032*N166^2+(-0.0021)*N166)+O$1*((-0.000002)*O166^3+0.00032*O166^2+(-0.0021)*O166)</f>
        <v/>
      </c>
      <c r="AK166" s="5">
        <f>IF(AA166&lt;50,W$1*((-0.000002)*W166^3+0.00032*W166^2+(-0.0021)*W166)+X$1*((-0.000002)*X166^3+0.00032*X166^2+(-0.0021)*X166)+Y$1*((-0.000002)*Y166^3+0.00032*Y166^2+(-0.0021)*Y166)+Z$1*((-0.000002)*Z166^3+0.00032*Z166^2+(-0.0021)*Z166),X$2*((-0.000002)*X166^3+0.00032*X166^2+(-0.0021)*X166)+Y$2*((-0.000002)*Y166^3+0.00032*Y166^2+(-0.0021)*Y166)+Z$2*((-0.000002)*Z166^3+0.00032*Z166^2+(-0.0021)*Z166)+AA$2*((-0.000002)*AA166^3+0.00032*AA166^2+(-0.0021)*AA166))</f>
        <v/>
      </c>
      <c r="AL166" s="5">
        <f>AB$1*((-0.000002)*AB166^3+0.00032*AB166^2+(-0.0021)*AB166)+AC$1*((-0.000002)*AC166^3+0.00032*AC166^2+(-0.0021)*AC166)</f>
        <v/>
      </c>
      <c r="AM166" s="5">
        <f>AD$1*((-0.000002)*AD166^3+0.00032*AD166^2+(-0.0021)*AD166)+AE$1*((-0.000002)*AE166^3+0.00032*AE166^2+(-0.0021)*AE166)+AF$1*((-0.000002)*AF166^3+0.00032*AF166^2+(-0.0021)*AF166)+AG$1*((-0.000002)*AG166^3+0.00032*AG166^2+(-0.0021)*AG166)</f>
        <v/>
      </c>
    </row>
    <row r="167" ht="15" customHeight="1" s="27" thickBot="1">
      <c r="A167" s="5">
        <f>(AI167*AI$3+AJ167*AJ$3+AK167*AK$3+AL167*AL$3+AM167*AM$3)*100/(AI$5*AI$3+AJ$5*AJ$3+AK$5*AK$3+AL$5*AL$3+AM$5*AM$3)</f>
        <v/>
      </c>
      <c r="B167" s="16" t="n">
        <v>115</v>
      </c>
      <c r="C167" s="10" t="inlineStr">
        <is>
          <t>Paulson, Dusty</t>
        </is>
      </c>
      <c r="D167" s="17" t="inlineStr">
        <is>
          <t>P</t>
        </is>
      </c>
      <c r="E167" s="17" t="inlineStr">
        <is>
          <t>L</t>
        </is>
      </c>
      <c r="F167" s="17" t="inlineStr">
        <is>
          <t>L</t>
        </is>
      </c>
      <c r="G167" s="17" t="n">
        <v>21</v>
      </c>
      <c r="H167" s="17" t="n">
        <v>0</v>
      </c>
      <c r="I167" s="17" t="n">
        <v>0</v>
      </c>
      <c r="J167" s="17" t="n">
        <v>0</v>
      </c>
      <c r="K167" s="17" t="n">
        <v>46</v>
      </c>
      <c r="L167" s="17" t="n">
        <v>29</v>
      </c>
      <c r="M167" s="17" t="n">
        <v>41</v>
      </c>
      <c r="N167" s="17" t="n">
        <v>29</v>
      </c>
      <c r="O167" s="17" t="n">
        <v>55</v>
      </c>
      <c r="P167" s="17" t="n">
        <v>63</v>
      </c>
      <c r="Q167" s="16" t="n">
        <v>115</v>
      </c>
      <c r="R167" s="10" t="inlineStr">
        <is>
          <t>Paulson, Dusty</t>
        </is>
      </c>
      <c r="S167" s="17" t="inlineStr">
        <is>
          <t>P</t>
        </is>
      </c>
      <c r="T167" s="17" t="inlineStr">
        <is>
          <t>L</t>
        </is>
      </c>
      <c r="U167" s="17" t="inlineStr">
        <is>
          <t>L</t>
        </is>
      </c>
      <c r="V167" s="17" t="n">
        <v>21</v>
      </c>
      <c r="W167" s="17" t="n">
        <v>41</v>
      </c>
      <c r="X167" s="17" t="n">
        <v>24</v>
      </c>
      <c r="Y167" s="17" t="n">
        <v>14</v>
      </c>
      <c r="Z167" s="17" t="n">
        <v>35</v>
      </c>
      <c r="AA167" s="17" t="n">
        <v>53</v>
      </c>
      <c r="AB167" s="17" t="n">
        <v>8</v>
      </c>
      <c r="AC167" s="17" t="n">
        <v>76</v>
      </c>
      <c r="AD167" s="17" t="n">
        <v>53</v>
      </c>
      <c r="AE167" s="17" t="n">
        <v>54</v>
      </c>
      <c r="AF167" s="17" t="n">
        <v>13</v>
      </c>
      <c r="AG167" s="17" t="n">
        <v>87</v>
      </c>
      <c r="AH167" s="17" t="n">
        <v>63</v>
      </c>
      <c r="AI167" s="5">
        <f>H$1*((-0.000002)*H167^3+0.00032*H167^2+(-0.0021)*H167)+I$1*((-0.000002)*I167^3+0.00032*I167^2+(-0.0021)*I167)+J$1*((-0.000002)*J167^3+0.00032*J167^2+(-0.0021)*J167)+K$1*((-0.000002)*K167^3+0.00032*K167^2+(-0.0021)*K167)+L$1*((-0.000002)*L167^3+0.00032*L167^2+(-0.0021)*L167)</f>
        <v/>
      </c>
      <c r="AJ167" s="5">
        <f>M$1*((-0.000002)*M167^3+0.00032*M167^2+(-0.0021)*M167)+N$1*((-0.000002)*N167^3+0.00032*N167^2+(-0.0021)*N167)+O$1*((-0.000002)*O167^3+0.00032*O167^2+(-0.0021)*O167)</f>
        <v/>
      </c>
      <c r="AK167" s="5">
        <f>IF(AA167&lt;50,W$1*((-0.000002)*W167^3+0.00032*W167^2+(-0.0021)*W167)+X$1*((-0.000002)*X167^3+0.00032*X167^2+(-0.0021)*X167)+Y$1*((-0.000002)*Y167^3+0.00032*Y167^2+(-0.0021)*Y167)+Z$1*((-0.000002)*Z167^3+0.00032*Z167^2+(-0.0021)*Z167),X$2*((-0.000002)*X167^3+0.00032*X167^2+(-0.0021)*X167)+Y$2*((-0.000002)*Y167^3+0.00032*Y167^2+(-0.0021)*Y167)+Z$2*((-0.000002)*Z167^3+0.00032*Z167^2+(-0.0021)*Z167)+AA$2*((-0.000002)*AA167^3+0.00032*AA167^2+(-0.0021)*AA167))</f>
        <v/>
      </c>
      <c r="AL167" s="5">
        <f>AB$1*((-0.000002)*AB167^3+0.00032*AB167^2+(-0.0021)*AB167)+AC$1*((-0.000002)*AC167^3+0.00032*AC167^2+(-0.0021)*AC167)</f>
        <v/>
      </c>
      <c r="AM167" s="5">
        <f>AD$1*((-0.000002)*AD167^3+0.00032*AD167^2+(-0.0021)*AD167)+AE$1*((-0.000002)*AE167^3+0.00032*AE167^2+(-0.0021)*AE167)+AF$1*((-0.000002)*AF167^3+0.00032*AF167^2+(-0.0021)*AF167)+AG$1*((-0.000002)*AG167^3+0.00032*AG167^2+(-0.0021)*AG167)</f>
        <v/>
      </c>
    </row>
    <row r="168" ht="15" customHeight="1" s="27" thickBot="1">
      <c r="A168" s="5">
        <f>(AI168*AI$3+AJ168*AJ$3+AK168*AK$3+AL168*AL$3+AM168*AM$3)*100/(AI$5*AI$3+AJ$5*AJ$3+AK$5*AK$3+AL$5*AL$3+AM$5*AM$3)</f>
        <v/>
      </c>
      <c r="B168" s="18" t="n">
        <v>122</v>
      </c>
      <c r="C168" s="11" t="inlineStr">
        <is>
          <t>Drese, Sid</t>
        </is>
      </c>
      <c r="D168" s="19" t="inlineStr">
        <is>
          <t>P</t>
        </is>
      </c>
      <c r="E168" s="19" t="inlineStr">
        <is>
          <t>S</t>
        </is>
      </c>
      <c r="F168" s="19" t="inlineStr">
        <is>
          <t>L</t>
        </is>
      </c>
      <c r="G168" s="19" t="n">
        <v>19</v>
      </c>
      <c r="H168" s="19" t="n">
        <v>5</v>
      </c>
      <c r="I168" s="19" t="n">
        <v>2</v>
      </c>
      <c r="J168" s="19" t="n">
        <v>0</v>
      </c>
      <c r="K168" s="19" t="n">
        <v>47</v>
      </c>
      <c r="L168" s="19" t="n">
        <v>33</v>
      </c>
      <c r="M168" s="19" t="n">
        <v>39</v>
      </c>
      <c r="N168" s="19" t="n">
        <v>43</v>
      </c>
      <c r="O168" s="19" t="n">
        <v>58</v>
      </c>
      <c r="P168" s="19" t="n">
        <v>62</v>
      </c>
      <c r="Q168" s="18" t="n">
        <v>122</v>
      </c>
      <c r="R168" s="11" t="inlineStr">
        <is>
          <t>Drese, Sid</t>
        </is>
      </c>
      <c r="S168" s="19" t="inlineStr">
        <is>
          <t>P</t>
        </is>
      </c>
      <c r="T168" s="19" t="inlineStr">
        <is>
          <t>S</t>
        </is>
      </c>
      <c r="U168" s="19" t="inlineStr">
        <is>
          <t>L</t>
        </is>
      </c>
      <c r="V168" s="19" t="n">
        <v>19</v>
      </c>
      <c r="W168" s="19" t="n">
        <v>37</v>
      </c>
      <c r="X168" s="19" t="n">
        <v>13</v>
      </c>
      <c r="Y168" s="19" t="n">
        <v>0</v>
      </c>
      <c r="Z168" s="19" t="n">
        <v>34</v>
      </c>
      <c r="AA168" s="19" t="n">
        <v>5</v>
      </c>
      <c r="AB168" s="19" t="n">
        <v>14</v>
      </c>
      <c r="AC168" s="19" t="n">
        <v>58</v>
      </c>
      <c r="AD168" s="19" t="n">
        <v>37</v>
      </c>
      <c r="AE168" s="19" t="n">
        <v>10</v>
      </c>
      <c r="AF168" s="19" t="n">
        <v>19</v>
      </c>
      <c r="AG168" s="19" t="n">
        <v>97</v>
      </c>
      <c r="AH168" s="19" t="n">
        <v>62</v>
      </c>
      <c r="AI168" s="5">
        <f>H$1*((-0.000002)*H168^3+0.00032*H168^2+(-0.0021)*H168)+I$1*((-0.000002)*I168^3+0.00032*I168^2+(-0.0021)*I168)+J$1*((-0.000002)*J168^3+0.00032*J168^2+(-0.0021)*J168)+K$1*((-0.000002)*K168^3+0.00032*K168^2+(-0.0021)*K168)+L$1*((-0.000002)*L168^3+0.00032*L168^2+(-0.0021)*L168)</f>
        <v/>
      </c>
      <c r="AJ168" s="5">
        <f>M$1*((-0.000002)*M168^3+0.00032*M168^2+(-0.0021)*M168)+N$1*((-0.000002)*N168^3+0.00032*N168^2+(-0.0021)*N168)+O$1*((-0.000002)*O168^3+0.00032*O168^2+(-0.0021)*O168)</f>
        <v/>
      </c>
      <c r="AK168" s="5">
        <f>IF(AA168&lt;50,W$1*((-0.000002)*W168^3+0.00032*W168^2+(-0.0021)*W168)+X$1*((-0.000002)*X168^3+0.00032*X168^2+(-0.0021)*X168)+Y$1*((-0.000002)*Y168^3+0.00032*Y168^2+(-0.0021)*Y168)+Z$1*((-0.000002)*Z168^3+0.00032*Z168^2+(-0.0021)*Z168),X$2*((-0.000002)*X168^3+0.00032*X168^2+(-0.0021)*X168)+Y$2*((-0.000002)*Y168^3+0.00032*Y168^2+(-0.0021)*Y168)+Z$2*((-0.000002)*Z168^3+0.00032*Z168^2+(-0.0021)*Z168)+AA$2*((-0.000002)*AA168^3+0.00032*AA168^2+(-0.0021)*AA168))</f>
        <v/>
      </c>
      <c r="AL168" s="5">
        <f>AB$1*((-0.000002)*AB168^3+0.00032*AB168^2+(-0.0021)*AB168)+AC$1*((-0.000002)*AC168^3+0.00032*AC168^2+(-0.0021)*AC168)</f>
        <v/>
      </c>
      <c r="AM168" s="5">
        <f>AD$1*((-0.000002)*AD168^3+0.00032*AD168^2+(-0.0021)*AD168)+AE$1*((-0.000002)*AE168^3+0.00032*AE168^2+(-0.0021)*AE168)+AF$1*((-0.000002)*AF168^3+0.00032*AF168^2+(-0.0021)*AF168)+AG$1*((-0.000002)*AG168^3+0.00032*AG168^2+(-0.0021)*AG168)</f>
        <v/>
      </c>
    </row>
    <row r="169" ht="15" customHeight="1" s="27" thickBot="1">
      <c r="A169" s="5">
        <f>(AI169*AI$3+AJ169*AJ$3+AK169*AK$3+AL169*AL$3+AM169*AM$3)*100/(AI$5*AI$3+AJ$5*AJ$3+AK$5*AK$3+AL$5*AL$3+AM$5*AM$3)</f>
        <v/>
      </c>
      <c r="B169" s="16" t="n">
        <v>37</v>
      </c>
      <c r="C169" s="10" t="inlineStr">
        <is>
          <t>Crawford, Sherman</t>
        </is>
      </c>
      <c r="D169" s="17" t="inlineStr">
        <is>
          <t>P</t>
        </is>
      </c>
      <c r="E169" s="17" t="inlineStr">
        <is>
          <t>L</t>
        </is>
      </c>
      <c r="F169" s="17" t="inlineStr">
        <is>
          <t>L</t>
        </is>
      </c>
      <c r="G169" s="17" t="n">
        <v>18</v>
      </c>
      <c r="H169" s="17" t="n">
        <v>26</v>
      </c>
      <c r="I169" s="17" t="n">
        <v>5</v>
      </c>
      <c r="J169" s="17" t="n">
        <v>16</v>
      </c>
      <c r="K169" s="17" t="n">
        <v>40</v>
      </c>
      <c r="L169" s="17" t="n">
        <v>25</v>
      </c>
      <c r="M169" s="17" t="n">
        <v>16</v>
      </c>
      <c r="N169" s="17" t="n">
        <v>82</v>
      </c>
      <c r="O169" s="17" t="n">
        <v>78</v>
      </c>
      <c r="P169" s="17" t="n">
        <v>64</v>
      </c>
      <c r="Q169" s="16" t="n">
        <v>37</v>
      </c>
      <c r="R169" s="10" t="inlineStr">
        <is>
          <t>Crawford, Sherman</t>
        </is>
      </c>
      <c r="S169" s="17" t="inlineStr">
        <is>
          <t>P</t>
        </is>
      </c>
      <c r="T169" s="17" t="inlineStr">
        <is>
          <t>L</t>
        </is>
      </c>
      <c r="U169" s="17" t="inlineStr">
        <is>
          <t>L</t>
        </is>
      </c>
      <c r="V169" s="17" t="n">
        <v>18</v>
      </c>
      <c r="W169" s="17" t="n">
        <v>35</v>
      </c>
      <c r="X169" s="17" t="n">
        <v>30</v>
      </c>
      <c r="Y169" s="17" t="n">
        <v>16</v>
      </c>
      <c r="Z169" s="17" t="n">
        <v>29</v>
      </c>
      <c r="AA169" s="17" t="n">
        <v>15</v>
      </c>
      <c r="AB169" s="17" t="n">
        <v>36</v>
      </c>
      <c r="AC169" s="17" t="n">
        <v>98</v>
      </c>
      <c r="AD169" s="17" t="n">
        <v>19</v>
      </c>
      <c r="AE169" s="17" t="n">
        <v>46</v>
      </c>
      <c r="AF169" s="17" t="n">
        <v>64</v>
      </c>
      <c r="AG169" s="17" t="n">
        <v>80</v>
      </c>
      <c r="AH169" s="17" t="n">
        <v>64</v>
      </c>
      <c r="AI169" s="5">
        <f>H$1*((-0.000002)*H169^3+0.00032*H169^2+(-0.0021)*H169)+I$1*((-0.000002)*I169^3+0.00032*I169^2+(-0.0021)*I169)+J$1*((-0.000002)*J169^3+0.00032*J169^2+(-0.0021)*J169)+K$1*((-0.000002)*K169^3+0.00032*K169^2+(-0.0021)*K169)+L$1*((-0.000002)*L169^3+0.00032*L169^2+(-0.0021)*L169)</f>
        <v/>
      </c>
      <c r="AJ169" s="5">
        <f>M$1*((-0.000002)*M169^3+0.00032*M169^2+(-0.0021)*M169)+N$1*((-0.000002)*N169^3+0.00032*N169^2+(-0.0021)*N169)+O$1*((-0.000002)*O169^3+0.00032*O169^2+(-0.0021)*O169)</f>
        <v/>
      </c>
      <c r="AK169" s="5">
        <f>IF(AA169&lt;50,W$1*((-0.000002)*W169^3+0.00032*W169^2+(-0.0021)*W169)+X$1*((-0.000002)*X169^3+0.00032*X169^2+(-0.0021)*X169)+Y$1*((-0.000002)*Y169^3+0.00032*Y169^2+(-0.0021)*Y169)+Z$1*((-0.000002)*Z169^3+0.00032*Z169^2+(-0.0021)*Z169),X$2*((-0.000002)*X169^3+0.00032*X169^2+(-0.0021)*X169)+Y$2*((-0.000002)*Y169^3+0.00032*Y169^2+(-0.0021)*Y169)+Z$2*((-0.000002)*Z169^3+0.00032*Z169^2+(-0.0021)*Z169)+AA$2*((-0.000002)*AA169^3+0.00032*AA169^2+(-0.0021)*AA169))</f>
        <v/>
      </c>
      <c r="AL169" s="5">
        <f>AB$1*((-0.000002)*AB169^3+0.00032*AB169^2+(-0.0021)*AB169)+AC$1*((-0.000002)*AC169^3+0.00032*AC169^2+(-0.0021)*AC169)</f>
        <v/>
      </c>
      <c r="AM169" s="5">
        <f>AD$1*((-0.000002)*AD169^3+0.00032*AD169^2+(-0.0021)*AD169)+AE$1*((-0.000002)*AE169^3+0.00032*AE169^2+(-0.0021)*AE169)+AF$1*((-0.000002)*AF169^3+0.00032*AF169^2+(-0.0021)*AF169)+AG$1*((-0.000002)*AG169^3+0.00032*AG169^2+(-0.0021)*AG169)</f>
        <v/>
      </c>
    </row>
    <row r="170" ht="15" customHeight="1" s="27" thickBot="1">
      <c r="A170" s="5">
        <f>(AI170*AI$3+AJ170*AJ$3+AK170*AK$3+AL170*AL$3+AM170*AM$3)*100/(AI$5*AI$3+AJ$5*AJ$3+AK$5*AK$3+AL$5*AL$3+AM$5*AM$3)</f>
        <v/>
      </c>
      <c r="B170" s="18" t="n">
        <v>6</v>
      </c>
      <c r="C170" s="11" t="inlineStr">
        <is>
          <t>Bowles, Justin</t>
        </is>
      </c>
      <c r="D170" s="19" t="inlineStr">
        <is>
          <t>P</t>
        </is>
      </c>
      <c r="E170" s="19" t="inlineStr">
        <is>
          <t>R</t>
        </is>
      </c>
      <c r="F170" s="19" t="inlineStr">
        <is>
          <t>R</t>
        </is>
      </c>
      <c r="G170" s="19" t="n">
        <v>18</v>
      </c>
      <c r="H170" s="19" t="n">
        <v>20</v>
      </c>
      <c r="I170" s="19" t="n">
        <v>0</v>
      </c>
      <c r="J170" s="19" t="n">
        <v>31</v>
      </c>
      <c r="K170" s="19" t="n">
        <v>23</v>
      </c>
      <c r="L170" s="19" t="n">
        <v>16</v>
      </c>
      <c r="M170" s="19" t="n">
        <v>21</v>
      </c>
      <c r="N170" s="19" t="n">
        <v>60</v>
      </c>
      <c r="O170" s="19" t="n">
        <v>69</v>
      </c>
      <c r="P170" s="19" t="n">
        <v>79</v>
      </c>
      <c r="Q170" s="18" t="n">
        <v>6</v>
      </c>
      <c r="R170" s="11" t="inlineStr">
        <is>
          <t>Bowles, Justin</t>
        </is>
      </c>
      <c r="S170" s="19" t="inlineStr">
        <is>
          <t>P</t>
        </is>
      </c>
      <c r="T170" s="19" t="inlineStr">
        <is>
          <t>R</t>
        </is>
      </c>
      <c r="U170" s="19" t="inlineStr">
        <is>
          <t>R</t>
        </is>
      </c>
      <c r="V170" s="19" t="n">
        <v>18</v>
      </c>
      <c r="W170" s="19" t="n">
        <v>6</v>
      </c>
      <c r="X170" s="19" t="n">
        <v>20</v>
      </c>
      <c r="Y170" s="19" t="n">
        <v>26</v>
      </c>
      <c r="Z170" s="19" t="n">
        <v>72</v>
      </c>
      <c r="AA170" s="19" t="n">
        <v>22</v>
      </c>
      <c r="AB170" s="19" t="n">
        <v>32</v>
      </c>
      <c r="AC170" s="19" t="n">
        <v>100</v>
      </c>
      <c r="AD170" s="19" t="n">
        <v>36</v>
      </c>
      <c r="AE170" s="19" t="n">
        <v>16</v>
      </c>
      <c r="AF170" s="19" t="n">
        <v>39</v>
      </c>
      <c r="AG170" s="19" t="n">
        <v>62</v>
      </c>
      <c r="AH170" s="19" t="n">
        <v>79</v>
      </c>
      <c r="AI170" s="5">
        <f>H$1*((-0.000002)*H170^3+0.00032*H170^2+(-0.0021)*H170)+I$1*((-0.000002)*I170^3+0.00032*I170^2+(-0.0021)*I170)+J$1*((-0.000002)*J170^3+0.00032*J170^2+(-0.0021)*J170)+K$1*((-0.000002)*K170^3+0.00032*K170^2+(-0.0021)*K170)+L$1*((-0.000002)*L170^3+0.00032*L170^2+(-0.0021)*L170)</f>
        <v/>
      </c>
      <c r="AJ170" s="5">
        <f>M$1*((-0.000002)*M170^3+0.00032*M170^2+(-0.0021)*M170)+N$1*((-0.000002)*N170^3+0.00032*N170^2+(-0.0021)*N170)+O$1*((-0.000002)*O170^3+0.00032*O170^2+(-0.0021)*O170)</f>
        <v/>
      </c>
      <c r="AK170" s="5">
        <f>IF(AA170&lt;50,W$1*((-0.000002)*W170^3+0.00032*W170^2+(-0.0021)*W170)+X$1*((-0.000002)*X170^3+0.00032*X170^2+(-0.0021)*X170)+Y$1*((-0.000002)*Y170^3+0.00032*Y170^2+(-0.0021)*Y170)+Z$1*((-0.000002)*Z170^3+0.00032*Z170^2+(-0.0021)*Z170),X$2*((-0.000002)*X170^3+0.00032*X170^2+(-0.0021)*X170)+Y$2*((-0.000002)*Y170^3+0.00032*Y170^2+(-0.0021)*Y170)+Z$2*((-0.000002)*Z170^3+0.00032*Z170^2+(-0.0021)*Z170)+AA$2*((-0.000002)*AA170^3+0.00032*AA170^2+(-0.0021)*AA170))</f>
        <v/>
      </c>
      <c r="AL170" s="5">
        <f>AB$1*((-0.000002)*AB170^3+0.00032*AB170^2+(-0.0021)*AB170)+AC$1*((-0.000002)*AC170^3+0.00032*AC170^2+(-0.0021)*AC170)</f>
        <v/>
      </c>
      <c r="AM170" s="5">
        <f>AD$1*((-0.000002)*AD170^3+0.00032*AD170^2+(-0.0021)*AD170)+AE$1*((-0.000002)*AE170^3+0.00032*AE170^2+(-0.0021)*AE170)+AF$1*((-0.000002)*AF170^3+0.00032*AF170^2+(-0.0021)*AF170)+AG$1*((-0.000002)*AG170^3+0.00032*AG170^2+(-0.0021)*AG170)</f>
        <v/>
      </c>
    </row>
    <row r="171" ht="15" customHeight="1" s="27" thickBot="1">
      <c r="A171" s="5">
        <f>(AI171*AI$3+AJ171*AJ$3+AK171*AK$3+AL171*AL$3+AM171*AM$3)*100/(AI$5*AI$3+AJ$5*AJ$3+AK$5*AK$3+AL$5*AL$3+AM$5*AM$3)</f>
        <v/>
      </c>
      <c r="B171" s="16" t="n">
        <v>19</v>
      </c>
      <c r="C171" s="10" t="inlineStr">
        <is>
          <t>Chisenhall, Felix</t>
        </is>
      </c>
      <c r="D171" s="17" t="inlineStr">
        <is>
          <t>P</t>
        </is>
      </c>
      <c r="E171" s="17" t="inlineStr">
        <is>
          <t>R</t>
        </is>
      </c>
      <c r="F171" s="17" t="inlineStr">
        <is>
          <t>R</t>
        </is>
      </c>
      <c r="G171" s="17" t="n">
        <v>18</v>
      </c>
      <c r="H171" s="17" t="n">
        <v>27</v>
      </c>
      <c r="I171" s="17" t="n">
        <v>8</v>
      </c>
      <c r="J171" s="17" t="n">
        <v>27</v>
      </c>
      <c r="K171" s="17" t="n">
        <v>17</v>
      </c>
      <c r="L171" s="17" t="n">
        <v>15</v>
      </c>
      <c r="M171" s="17" t="n">
        <v>13</v>
      </c>
      <c r="N171" s="17" t="n">
        <v>83</v>
      </c>
      <c r="O171" s="17" t="n">
        <v>69</v>
      </c>
      <c r="P171" s="17" t="n">
        <v>71</v>
      </c>
      <c r="Q171" s="16" t="n">
        <v>19</v>
      </c>
      <c r="R171" s="10" t="inlineStr">
        <is>
          <t>Chisenhall, Felix</t>
        </is>
      </c>
      <c r="S171" s="17" t="inlineStr">
        <is>
          <t>P</t>
        </is>
      </c>
      <c r="T171" s="17" t="inlineStr">
        <is>
          <t>R</t>
        </is>
      </c>
      <c r="U171" s="17" t="inlineStr">
        <is>
          <t>R</t>
        </is>
      </c>
      <c r="V171" s="17" t="n">
        <v>18</v>
      </c>
      <c r="W171" s="17" t="n">
        <v>18</v>
      </c>
      <c r="X171" s="17" t="n">
        <v>16</v>
      </c>
      <c r="Y171" s="17" t="n">
        <v>69</v>
      </c>
      <c r="Z171" s="17" t="n">
        <v>22</v>
      </c>
      <c r="AA171" s="17" t="n">
        <v>7</v>
      </c>
      <c r="AB171" s="17" t="n">
        <v>31</v>
      </c>
      <c r="AC171" s="17" t="n">
        <v>47</v>
      </c>
      <c r="AD171" s="17" t="n">
        <v>59</v>
      </c>
      <c r="AE171" s="17" t="n">
        <v>61</v>
      </c>
      <c r="AF171" s="17" t="n">
        <v>6</v>
      </c>
      <c r="AG171" s="17" t="n">
        <v>88</v>
      </c>
      <c r="AH171" s="17" t="n">
        <v>71</v>
      </c>
      <c r="AI171" s="5">
        <f>H$1*((-0.000002)*H171^3+0.00032*H171^2+(-0.0021)*H171)+I$1*((-0.000002)*I171^3+0.00032*I171^2+(-0.0021)*I171)+J$1*((-0.000002)*J171^3+0.00032*J171^2+(-0.0021)*J171)+K$1*((-0.000002)*K171^3+0.00032*K171^2+(-0.0021)*K171)+L$1*((-0.000002)*L171^3+0.00032*L171^2+(-0.0021)*L171)</f>
        <v/>
      </c>
      <c r="AJ171" s="5">
        <f>M$1*((-0.000002)*M171^3+0.00032*M171^2+(-0.0021)*M171)+N$1*((-0.000002)*N171^3+0.00032*N171^2+(-0.0021)*N171)+O$1*((-0.000002)*O171^3+0.00032*O171^2+(-0.0021)*O171)</f>
        <v/>
      </c>
      <c r="AK171" s="5">
        <f>IF(AA171&lt;50,W$1*((-0.000002)*W171^3+0.00032*W171^2+(-0.0021)*W171)+X$1*((-0.000002)*X171^3+0.00032*X171^2+(-0.0021)*X171)+Y$1*((-0.000002)*Y171^3+0.00032*Y171^2+(-0.0021)*Y171)+Z$1*((-0.000002)*Z171^3+0.00032*Z171^2+(-0.0021)*Z171),X$2*((-0.000002)*X171^3+0.00032*X171^2+(-0.0021)*X171)+Y$2*((-0.000002)*Y171^3+0.00032*Y171^2+(-0.0021)*Y171)+Z$2*((-0.000002)*Z171^3+0.00032*Z171^2+(-0.0021)*Z171)+AA$2*((-0.000002)*AA171^3+0.00032*AA171^2+(-0.0021)*AA171))</f>
        <v/>
      </c>
      <c r="AL171" s="5">
        <f>AB$1*((-0.000002)*AB171^3+0.00032*AB171^2+(-0.0021)*AB171)+AC$1*((-0.000002)*AC171^3+0.00032*AC171^2+(-0.0021)*AC171)</f>
        <v/>
      </c>
      <c r="AM171" s="5">
        <f>AD$1*((-0.000002)*AD171^3+0.00032*AD171^2+(-0.0021)*AD171)+AE$1*((-0.000002)*AE171^3+0.00032*AE171^2+(-0.0021)*AE171)+AF$1*((-0.000002)*AF171^3+0.00032*AF171^2+(-0.0021)*AF171)+AG$1*((-0.000002)*AG171^3+0.00032*AG171^2+(-0.0021)*AG171)</f>
        <v/>
      </c>
    </row>
    <row r="172" ht="15" customHeight="1" s="27" thickBot="1">
      <c r="A172" s="5">
        <f>(AI172*AI$3+AJ172*AJ$3+AK172*AK$3+AL172*AL$3+AM172*AM$3)*100/(AI$5*AI$3+AJ$5*AJ$3+AK$5*AK$3+AL$5*AL$3+AM$5*AM$3)</f>
        <v/>
      </c>
      <c r="B172" s="16" t="n">
        <v>137</v>
      </c>
      <c r="C172" s="10" t="inlineStr">
        <is>
          <t>Mullin, Ted</t>
        </is>
      </c>
      <c r="D172" s="17" t="inlineStr">
        <is>
          <t>P</t>
        </is>
      </c>
      <c r="E172" s="17" t="inlineStr">
        <is>
          <t>R</t>
        </is>
      </c>
      <c r="F172" s="17" t="inlineStr">
        <is>
          <t>R</t>
        </is>
      </c>
      <c r="G172" s="17" t="n">
        <v>18</v>
      </c>
      <c r="H172" s="17" t="n">
        <v>22</v>
      </c>
      <c r="I172" s="17" t="n">
        <v>9</v>
      </c>
      <c r="J172" s="17" t="n">
        <v>38</v>
      </c>
      <c r="K172" s="17" t="n">
        <v>25</v>
      </c>
      <c r="L172" s="17" t="n">
        <v>31</v>
      </c>
      <c r="M172" s="17" t="n">
        <v>17</v>
      </c>
      <c r="N172" s="17" t="n">
        <v>88</v>
      </c>
      <c r="O172" s="17" t="n">
        <v>74</v>
      </c>
      <c r="P172" s="17" t="n">
        <v>44</v>
      </c>
      <c r="Q172" s="16" t="n">
        <v>137</v>
      </c>
      <c r="R172" s="10" t="inlineStr">
        <is>
          <t>Mullin, Ted</t>
        </is>
      </c>
      <c r="S172" s="17" t="inlineStr">
        <is>
          <t>P</t>
        </is>
      </c>
      <c r="T172" s="17" t="inlineStr">
        <is>
          <t>R</t>
        </is>
      </c>
      <c r="U172" s="17" t="inlineStr">
        <is>
          <t>R</t>
        </is>
      </c>
      <c r="V172" s="17" t="n">
        <v>18</v>
      </c>
      <c r="W172" s="17" t="n">
        <v>0</v>
      </c>
      <c r="X172" s="17" t="n">
        <v>7</v>
      </c>
      <c r="Y172" s="17" t="n">
        <v>31</v>
      </c>
      <c r="Z172" s="17" t="n">
        <v>22</v>
      </c>
      <c r="AA172" s="17" t="n">
        <v>32</v>
      </c>
      <c r="AB172" s="17" t="n">
        <v>34</v>
      </c>
      <c r="AC172" s="17" t="n">
        <v>96</v>
      </c>
      <c r="AD172" s="17" t="n">
        <v>61</v>
      </c>
      <c r="AE172" s="17" t="n">
        <v>67</v>
      </c>
      <c r="AF172" s="17" t="n">
        <v>44</v>
      </c>
      <c r="AG172" s="17" t="n">
        <v>68</v>
      </c>
      <c r="AH172" s="17" t="n">
        <v>44</v>
      </c>
      <c r="AI172" s="5">
        <f>H$1*((-0.000002)*H172^3+0.00032*H172^2+(-0.0021)*H172)+I$1*((-0.000002)*I172^3+0.00032*I172^2+(-0.0021)*I172)+J$1*((-0.000002)*J172^3+0.00032*J172^2+(-0.0021)*J172)+K$1*((-0.000002)*K172^3+0.00032*K172^2+(-0.0021)*K172)+L$1*((-0.000002)*L172^3+0.00032*L172^2+(-0.0021)*L172)</f>
        <v/>
      </c>
      <c r="AJ172" s="5">
        <f>M$1*((-0.000002)*M172^3+0.00032*M172^2+(-0.0021)*M172)+N$1*((-0.000002)*N172^3+0.00032*N172^2+(-0.0021)*N172)+O$1*((-0.000002)*O172^3+0.00032*O172^2+(-0.0021)*O172)</f>
        <v/>
      </c>
      <c r="AK172" s="5">
        <f>IF(AA172&lt;50,W$1*((-0.000002)*W172^3+0.00032*W172^2+(-0.0021)*W172)+X$1*((-0.000002)*X172^3+0.00032*X172^2+(-0.0021)*X172)+Y$1*((-0.000002)*Y172^3+0.00032*Y172^2+(-0.0021)*Y172)+Z$1*((-0.000002)*Z172^3+0.00032*Z172^2+(-0.0021)*Z172),X$2*((-0.000002)*X172^3+0.00032*X172^2+(-0.0021)*X172)+Y$2*((-0.000002)*Y172^3+0.00032*Y172^2+(-0.0021)*Y172)+Z$2*((-0.000002)*Z172^3+0.00032*Z172^2+(-0.0021)*Z172)+AA$2*((-0.000002)*AA172^3+0.00032*AA172^2+(-0.0021)*AA172))</f>
        <v/>
      </c>
      <c r="AL172" s="5">
        <f>AB$1*((-0.000002)*AB172^3+0.00032*AB172^2+(-0.0021)*AB172)+AC$1*((-0.000002)*AC172^3+0.00032*AC172^2+(-0.0021)*AC172)</f>
        <v/>
      </c>
      <c r="AM172" s="5">
        <f>AD$1*((-0.000002)*AD172^3+0.00032*AD172^2+(-0.0021)*AD172)+AE$1*((-0.000002)*AE172^3+0.00032*AE172^2+(-0.0021)*AE172)+AF$1*((-0.000002)*AF172^3+0.00032*AF172^2+(-0.0021)*AF172)+AG$1*((-0.000002)*AG172^3+0.00032*AG172^2+(-0.0021)*AG172)</f>
        <v/>
      </c>
    </row>
    <row r="173" ht="15" customHeight="1" s="27" thickBot="1">
      <c r="A173" s="5">
        <f>(AI173*AI$3+AJ173*AJ$3+AK173*AK$3+AL173*AL$3+AM173*AM$3)*100/(AI$5*AI$3+AJ$5*AJ$3+AK$5*AK$3+AL$5*AL$3+AM$5*AM$3)</f>
        <v/>
      </c>
      <c r="B173" s="18" t="n">
        <v>154</v>
      </c>
      <c r="C173" s="11" t="inlineStr">
        <is>
          <t>Lamm, Duke</t>
        </is>
      </c>
      <c r="D173" s="19" t="inlineStr">
        <is>
          <t>P</t>
        </is>
      </c>
      <c r="E173" s="19" t="inlineStr">
        <is>
          <t>S</t>
        </is>
      </c>
      <c r="F173" s="19" t="inlineStr">
        <is>
          <t>R</t>
        </is>
      </c>
      <c r="G173" s="19" t="n">
        <v>18</v>
      </c>
      <c r="H173" s="19" t="n">
        <v>17</v>
      </c>
      <c r="I173" s="19" t="n">
        <v>13</v>
      </c>
      <c r="J173" s="19" t="n">
        <v>26</v>
      </c>
      <c r="K173" s="19" t="n">
        <v>6</v>
      </c>
      <c r="L173" s="19" t="n">
        <v>5</v>
      </c>
      <c r="M173" s="19" t="n">
        <v>0</v>
      </c>
      <c r="N173" s="19" t="n">
        <v>54</v>
      </c>
      <c r="O173" s="19" t="n">
        <v>52</v>
      </c>
      <c r="P173" s="19" t="n">
        <v>40</v>
      </c>
      <c r="Q173" s="18" t="n">
        <v>154</v>
      </c>
      <c r="R173" s="11" t="inlineStr">
        <is>
          <t>Lamm, Duke</t>
        </is>
      </c>
      <c r="S173" s="19" t="inlineStr">
        <is>
          <t>P</t>
        </is>
      </c>
      <c r="T173" s="19" t="inlineStr">
        <is>
          <t>S</t>
        </is>
      </c>
      <c r="U173" s="19" t="inlineStr">
        <is>
          <t>R</t>
        </is>
      </c>
      <c r="V173" s="19" t="n">
        <v>18</v>
      </c>
      <c r="W173" s="19" t="n">
        <v>3</v>
      </c>
      <c r="X173" s="19" t="n">
        <v>46</v>
      </c>
      <c r="Y173" s="19" t="n">
        <v>59</v>
      </c>
      <c r="Z173" s="19" t="n">
        <v>23</v>
      </c>
      <c r="AA173" s="19" t="n">
        <v>24</v>
      </c>
      <c r="AB173" s="19" t="n">
        <v>87</v>
      </c>
      <c r="AC173" s="19" t="n">
        <v>65</v>
      </c>
      <c r="AD173" s="19" t="n">
        <v>24</v>
      </c>
      <c r="AE173" s="19" t="n">
        <v>46</v>
      </c>
      <c r="AF173" s="19" t="n">
        <v>28</v>
      </c>
      <c r="AG173" s="19" t="n">
        <v>88</v>
      </c>
      <c r="AH173" s="19" t="n">
        <v>40</v>
      </c>
      <c r="AI173" s="5">
        <f>H$1*((-0.000002)*H173^3+0.00032*H173^2+(-0.0021)*H173)+I$1*((-0.000002)*I173^3+0.00032*I173^2+(-0.0021)*I173)+J$1*((-0.000002)*J173^3+0.00032*J173^2+(-0.0021)*J173)+K$1*((-0.000002)*K173^3+0.00032*K173^2+(-0.0021)*K173)+L$1*((-0.000002)*L173^3+0.00032*L173^2+(-0.0021)*L173)</f>
        <v/>
      </c>
      <c r="AJ173" s="5">
        <f>M$1*((-0.000002)*M173^3+0.00032*M173^2+(-0.0021)*M173)+N$1*((-0.000002)*N173^3+0.00032*N173^2+(-0.0021)*N173)+O$1*((-0.000002)*O173^3+0.00032*O173^2+(-0.0021)*O173)</f>
        <v/>
      </c>
      <c r="AK173" s="5">
        <f>IF(AA173&lt;50,W$1*((-0.000002)*W173^3+0.00032*W173^2+(-0.0021)*W173)+X$1*((-0.000002)*X173^3+0.00032*X173^2+(-0.0021)*X173)+Y$1*((-0.000002)*Y173^3+0.00032*Y173^2+(-0.0021)*Y173)+Z$1*((-0.000002)*Z173^3+0.00032*Z173^2+(-0.0021)*Z173),X$2*((-0.000002)*X173^3+0.00032*X173^2+(-0.0021)*X173)+Y$2*((-0.000002)*Y173^3+0.00032*Y173^2+(-0.0021)*Y173)+Z$2*((-0.000002)*Z173^3+0.00032*Z173^2+(-0.0021)*Z173)+AA$2*((-0.000002)*AA173^3+0.00032*AA173^2+(-0.0021)*AA173))</f>
        <v/>
      </c>
      <c r="AL173" s="5">
        <f>AB$1*((-0.000002)*AB173^3+0.00032*AB173^2+(-0.0021)*AB173)+AC$1*((-0.000002)*AC173^3+0.00032*AC173^2+(-0.0021)*AC173)</f>
        <v/>
      </c>
      <c r="AM173" s="5">
        <f>AD$1*((-0.000002)*AD173^3+0.00032*AD173^2+(-0.0021)*AD173)+AE$1*((-0.000002)*AE173^3+0.00032*AE173^2+(-0.0021)*AE173)+AF$1*((-0.000002)*AF173^3+0.00032*AF173^2+(-0.0021)*AF173)+AG$1*((-0.000002)*AG173^3+0.00032*AG173^2+(-0.0021)*AG173)</f>
        <v/>
      </c>
    </row>
    <row r="174" ht="15" customHeight="1" s="27" thickBot="1">
      <c r="A174" s="5">
        <f>(AI174*AI$3+AJ174*AJ$3+AK174*AK$3+AL174*AL$3+AM174*AM$3)*100/(AI$5*AI$3+AJ$5*AJ$3+AK$5*AK$3+AL$5*AL$3+AM$5*AM$3)</f>
        <v/>
      </c>
      <c r="B174" s="16" t="n">
        <v>135</v>
      </c>
      <c r="C174" s="10" t="inlineStr">
        <is>
          <t>Fleming, Morgan</t>
        </is>
      </c>
      <c r="D174" s="17" t="inlineStr">
        <is>
          <t>P</t>
        </is>
      </c>
      <c r="E174" s="17" t="inlineStr">
        <is>
          <t>L</t>
        </is>
      </c>
      <c r="F174" s="17" t="inlineStr">
        <is>
          <t>L</t>
        </is>
      </c>
      <c r="G174" s="17" t="n">
        <v>18</v>
      </c>
      <c r="H174" s="17" t="n">
        <v>26</v>
      </c>
      <c r="I174" s="17" t="n">
        <v>0</v>
      </c>
      <c r="J174" s="17" t="n">
        <v>15</v>
      </c>
      <c r="K174" s="17" t="n">
        <v>29</v>
      </c>
      <c r="L174" s="17" t="n">
        <v>12</v>
      </c>
      <c r="M174" s="17" t="n">
        <v>16</v>
      </c>
      <c r="N174" s="17" t="n">
        <v>68</v>
      </c>
      <c r="O174" s="17" t="n">
        <v>52</v>
      </c>
      <c r="P174" s="17" t="n">
        <v>44</v>
      </c>
      <c r="Q174" s="16" t="n">
        <v>135</v>
      </c>
      <c r="R174" s="10" t="inlineStr">
        <is>
          <t>Fleming, Morgan</t>
        </is>
      </c>
      <c r="S174" s="17" t="inlineStr">
        <is>
          <t>P</t>
        </is>
      </c>
      <c r="T174" s="17" t="inlineStr">
        <is>
          <t>L</t>
        </is>
      </c>
      <c r="U174" s="17" t="inlineStr">
        <is>
          <t>L</t>
        </is>
      </c>
      <c r="V174" s="17" t="n">
        <v>18</v>
      </c>
      <c r="W174" s="17" t="n">
        <v>0</v>
      </c>
      <c r="X174" s="17" t="n">
        <v>7</v>
      </c>
      <c r="Y174" s="17" t="n">
        <v>18</v>
      </c>
      <c r="Z174" s="17" t="n">
        <v>81</v>
      </c>
      <c r="AA174" s="17" t="n">
        <v>17</v>
      </c>
      <c r="AB174" s="17" t="n">
        <v>33</v>
      </c>
      <c r="AC174" s="17" t="n">
        <v>77</v>
      </c>
      <c r="AD174" s="17" t="n">
        <v>48</v>
      </c>
      <c r="AE174" s="17" t="n">
        <v>46</v>
      </c>
      <c r="AF174" s="17" t="n">
        <v>54</v>
      </c>
      <c r="AG174" s="17" t="n">
        <v>61</v>
      </c>
      <c r="AH174" s="17" t="n">
        <v>44</v>
      </c>
      <c r="AI174" s="5">
        <f>H$1*((-0.000002)*H174^3+0.00032*H174^2+(-0.0021)*H174)+I$1*((-0.000002)*I174^3+0.00032*I174^2+(-0.0021)*I174)+J$1*((-0.000002)*J174^3+0.00032*J174^2+(-0.0021)*J174)+K$1*((-0.000002)*K174^3+0.00032*K174^2+(-0.0021)*K174)+L$1*((-0.000002)*L174^3+0.00032*L174^2+(-0.0021)*L174)</f>
        <v/>
      </c>
      <c r="AJ174" s="5">
        <f>M$1*((-0.000002)*M174^3+0.00032*M174^2+(-0.0021)*M174)+N$1*((-0.000002)*N174^3+0.00032*N174^2+(-0.0021)*N174)+O$1*((-0.000002)*O174^3+0.00032*O174^2+(-0.0021)*O174)</f>
        <v/>
      </c>
      <c r="AK174" s="5">
        <f>IF(AA174&lt;50,W$1*((-0.000002)*W174^3+0.00032*W174^2+(-0.0021)*W174)+X$1*((-0.000002)*X174^3+0.00032*X174^2+(-0.0021)*X174)+Y$1*((-0.000002)*Y174^3+0.00032*Y174^2+(-0.0021)*Y174)+Z$1*((-0.000002)*Z174^3+0.00032*Z174^2+(-0.0021)*Z174),X$2*((-0.000002)*X174^3+0.00032*X174^2+(-0.0021)*X174)+Y$2*((-0.000002)*Y174^3+0.00032*Y174^2+(-0.0021)*Y174)+Z$2*((-0.000002)*Z174^3+0.00032*Z174^2+(-0.0021)*Z174)+AA$2*((-0.000002)*AA174^3+0.00032*AA174^2+(-0.0021)*AA174))</f>
        <v/>
      </c>
      <c r="AL174" s="5">
        <f>AB$1*((-0.000002)*AB174^3+0.00032*AB174^2+(-0.0021)*AB174)+AC$1*((-0.000002)*AC174^3+0.00032*AC174^2+(-0.0021)*AC174)</f>
        <v/>
      </c>
      <c r="AM174" s="5">
        <f>AD$1*((-0.000002)*AD174^3+0.00032*AD174^2+(-0.0021)*AD174)+AE$1*((-0.000002)*AE174^3+0.00032*AE174^2+(-0.0021)*AE174)+AF$1*((-0.000002)*AF174^3+0.00032*AF174^2+(-0.0021)*AF174)+AG$1*((-0.000002)*AG174^3+0.00032*AG174^2+(-0.0021)*AG174)</f>
        <v/>
      </c>
    </row>
    <row r="175" ht="15" customHeight="1" s="27" thickBot="1">
      <c r="A175" s="5">
        <f>(AI175*AI$3+AJ175*AJ$3+AK175*AK$3+AL175*AL$3+AM175*AM$3)*100/(AI$5*AI$3+AJ$5*AJ$3+AK$5*AK$3+AL$5*AL$3+AM$5*AM$3)</f>
        <v/>
      </c>
      <c r="B175" s="16" t="n">
        <v>79</v>
      </c>
      <c r="C175" s="10" t="inlineStr">
        <is>
          <t>Cruz, Carlos</t>
        </is>
      </c>
      <c r="D175" s="17" t="inlineStr">
        <is>
          <t>P</t>
        </is>
      </c>
      <c r="E175" s="17" t="inlineStr">
        <is>
          <t>S</t>
        </is>
      </c>
      <c r="F175" s="17" t="inlineStr">
        <is>
          <t>R</t>
        </is>
      </c>
      <c r="G175" s="17" t="n">
        <v>18</v>
      </c>
      <c r="H175" s="17" t="n">
        <v>34</v>
      </c>
      <c r="I175" s="17" t="n">
        <v>7</v>
      </c>
      <c r="J175" s="17" t="n">
        <v>31</v>
      </c>
      <c r="K175" s="17" t="n">
        <v>13</v>
      </c>
      <c r="L175" s="17" t="n">
        <v>24</v>
      </c>
      <c r="M175" s="17" t="n">
        <v>20</v>
      </c>
      <c r="N175" s="17" t="n">
        <v>69</v>
      </c>
      <c r="O175" s="17" t="n">
        <v>66</v>
      </c>
      <c r="P175" s="17" t="n">
        <v>55</v>
      </c>
      <c r="Q175" s="16" t="n">
        <v>79</v>
      </c>
      <c r="R175" s="10" t="inlineStr">
        <is>
          <t>Cruz, Carlos</t>
        </is>
      </c>
      <c r="S175" s="17" t="inlineStr">
        <is>
          <t>P</t>
        </is>
      </c>
      <c r="T175" s="17" t="inlineStr">
        <is>
          <t>S</t>
        </is>
      </c>
      <c r="U175" s="17" t="inlineStr">
        <is>
          <t>R</t>
        </is>
      </c>
      <c r="V175" s="17" t="n">
        <v>18</v>
      </c>
      <c r="W175" s="17" t="n">
        <v>27</v>
      </c>
      <c r="X175" s="17" t="n">
        <v>37</v>
      </c>
      <c r="Y175" s="17" t="n">
        <v>26</v>
      </c>
      <c r="Z175" s="17" t="n">
        <v>22</v>
      </c>
      <c r="AA175" s="17" t="n">
        <v>27</v>
      </c>
      <c r="AB175" s="17" t="n">
        <v>39</v>
      </c>
      <c r="AC175" s="17" t="n">
        <v>89</v>
      </c>
      <c r="AD175" s="17" t="n">
        <v>23</v>
      </c>
      <c r="AE175" s="17" t="n">
        <v>72</v>
      </c>
      <c r="AF175" s="17" t="n">
        <v>33</v>
      </c>
      <c r="AG175" s="17" t="n">
        <v>97</v>
      </c>
      <c r="AH175" s="17" t="n">
        <v>55</v>
      </c>
      <c r="AI175" s="5">
        <f>H$1*((-0.000002)*H175^3+0.00032*H175^2+(-0.0021)*H175)+I$1*((-0.000002)*I175^3+0.00032*I175^2+(-0.0021)*I175)+J$1*((-0.000002)*J175^3+0.00032*J175^2+(-0.0021)*J175)+K$1*((-0.000002)*K175^3+0.00032*K175^2+(-0.0021)*K175)+L$1*((-0.000002)*L175^3+0.00032*L175^2+(-0.0021)*L175)</f>
        <v/>
      </c>
      <c r="AJ175" s="5">
        <f>M$1*((-0.000002)*M175^3+0.00032*M175^2+(-0.0021)*M175)+N$1*((-0.000002)*N175^3+0.00032*N175^2+(-0.0021)*N175)+O$1*((-0.000002)*O175^3+0.00032*O175^2+(-0.0021)*O175)</f>
        <v/>
      </c>
      <c r="AK175" s="5">
        <f>IF(AA175&lt;50,W$1*((-0.000002)*W175^3+0.00032*W175^2+(-0.0021)*W175)+X$1*((-0.000002)*X175^3+0.00032*X175^2+(-0.0021)*X175)+Y$1*((-0.000002)*Y175^3+0.00032*Y175^2+(-0.0021)*Y175)+Z$1*((-0.000002)*Z175^3+0.00032*Z175^2+(-0.0021)*Z175),X$2*((-0.000002)*X175^3+0.00032*X175^2+(-0.0021)*X175)+Y$2*((-0.000002)*Y175^3+0.00032*Y175^2+(-0.0021)*Y175)+Z$2*((-0.000002)*Z175^3+0.00032*Z175^2+(-0.0021)*Z175)+AA$2*((-0.000002)*AA175^3+0.00032*AA175^2+(-0.0021)*AA175))</f>
        <v/>
      </c>
      <c r="AL175" s="5">
        <f>AB$1*((-0.000002)*AB175^3+0.00032*AB175^2+(-0.0021)*AB175)+AC$1*((-0.000002)*AC175^3+0.00032*AC175^2+(-0.0021)*AC175)</f>
        <v/>
      </c>
      <c r="AM175" s="5">
        <f>AD$1*((-0.000002)*AD175^3+0.00032*AD175^2+(-0.0021)*AD175)+AE$1*((-0.000002)*AE175^3+0.00032*AE175^2+(-0.0021)*AE175)+AF$1*((-0.000002)*AF175^3+0.00032*AF175^2+(-0.0021)*AF175)+AG$1*((-0.000002)*AG175^3+0.00032*AG175^2+(-0.0021)*AG175)</f>
        <v/>
      </c>
    </row>
    <row r="176" ht="15" customHeight="1" s="27" thickBot="1">
      <c r="A176" s="5">
        <f>(AI176*AI$3+AJ176*AJ$3+AK176*AK$3+AL176*AL$3+AM176*AM$3)*100/(AI$5*AI$3+AJ$5*AJ$3+AK$5*AK$3+AL$5*AL$3+AM$5*AM$3)</f>
        <v/>
      </c>
      <c r="B176" s="18" t="n">
        <v>166</v>
      </c>
      <c r="C176" s="11" t="inlineStr">
        <is>
          <t>Kerr, Roger</t>
        </is>
      </c>
      <c r="D176" s="19" t="inlineStr">
        <is>
          <t>P</t>
        </is>
      </c>
      <c r="E176" s="19" t="inlineStr">
        <is>
          <t>R</t>
        </is>
      </c>
      <c r="F176" s="19" t="inlineStr">
        <is>
          <t>R</t>
        </is>
      </c>
      <c r="G176" s="19" t="n">
        <v>18</v>
      </c>
      <c r="H176" s="19" t="n">
        <v>22</v>
      </c>
      <c r="I176" s="19" t="n">
        <v>4</v>
      </c>
      <c r="J176" s="19" t="n">
        <v>24</v>
      </c>
      <c r="K176" s="19" t="n">
        <v>7</v>
      </c>
      <c r="L176" s="19" t="n">
        <v>9</v>
      </c>
      <c r="M176" s="19" t="n">
        <v>4</v>
      </c>
      <c r="N176" s="19" t="n">
        <v>51</v>
      </c>
      <c r="O176" s="19" t="n">
        <v>60</v>
      </c>
      <c r="P176" s="19" t="n">
        <v>37</v>
      </c>
      <c r="Q176" s="18" t="n">
        <v>166</v>
      </c>
      <c r="R176" s="11" t="inlineStr">
        <is>
          <t>Kerr, Roger</t>
        </is>
      </c>
      <c r="S176" s="19" t="inlineStr">
        <is>
          <t>P</t>
        </is>
      </c>
      <c r="T176" s="19" t="inlineStr">
        <is>
          <t>R</t>
        </is>
      </c>
      <c r="U176" s="19" t="inlineStr">
        <is>
          <t>R</t>
        </is>
      </c>
      <c r="V176" s="19" t="n">
        <v>18</v>
      </c>
      <c r="W176" s="19" t="n">
        <v>55</v>
      </c>
      <c r="X176" s="19" t="n">
        <v>29</v>
      </c>
      <c r="Y176" s="19" t="n">
        <v>46</v>
      </c>
      <c r="Z176" s="19" t="n">
        <v>18</v>
      </c>
      <c r="AA176" s="19" t="n">
        <v>5</v>
      </c>
      <c r="AB176" s="19" t="n">
        <v>60</v>
      </c>
      <c r="AC176" s="19" t="n">
        <v>87</v>
      </c>
      <c r="AD176" s="19" t="n">
        <v>24</v>
      </c>
      <c r="AE176" s="19" t="n">
        <v>38</v>
      </c>
      <c r="AF176" s="19" t="n">
        <v>61</v>
      </c>
      <c r="AG176" s="19" t="n">
        <v>71</v>
      </c>
      <c r="AH176" s="19" t="n">
        <v>37</v>
      </c>
      <c r="AI176" s="5">
        <f>H$1*((-0.000002)*H176^3+0.00032*H176^2+(-0.0021)*H176)+I$1*((-0.000002)*I176^3+0.00032*I176^2+(-0.0021)*I176)+J$1*((-0.000002)*J176^3+0.00032*J176^2+(-0.0021)*J176)+K$1*((-0.000002)*K176^3+0.00032*K176^2+(-0.0021)*K176)+L$1*((-0.000002)*L176^3+0.00032*L176^2+(-0.0021)*L176)</f>
        <v/>
      </c>
      <c r="AJ176" s="5">
        <f>M$1*((-0.000002)*M176^3+0.00032*M176^2+(-0.0021)*M176)+N$1*((-0.000002)*N176^3+0.00032*N176^2+(-0.0021)*N176)+O$1*((-0.000002)*O176^3+0.00032*O176^2+(-0.0021)*O176)</f>
        <v/>
      </c>
      <c r="AK176" s="5">
        <f>IF(AA176&lt;50,W$1*((-0.000002)*W176^3+0.00032*W176^2+(-0.0021)*W176)+X$1*((-0.000002)*X176^3+0.00032*X176^2+(-0.0021)*X176)+Y$1*((-0.000002)*Y176^3+0.00032*Y176^2+(-0.0021)*Y176)+Z$1*((-0.000002)*Z176^3+0.00032*Z176^2+(-0.0021)*Z176),X$2*((-0.000002)*X176^3+0.00032*X176^2+(-0.0021)*X176)+Y$2*((-0.000002)*Y176^3+0.00032*Y176^2+(-0.0021)*Y176)+Z$2*((-0.000002)*Z176^3+0.00032*Z176^2+(-0.0021)*Z176)+AA$2*((-0.000002)*AA176^3+0.00032*AA176^2+(-0.0021)*AA176))</f>
        <v/>
      </c>
      <c r="AL176" s="5">
        <f>AB$1*((-0.000002)*AB176^3+0.00032*AB176^2+(-0.0021)*AB176)+AC$1*((-0.000002)*AC176^3+0.00032*AC176^2+(-0.0021)*AC176)</f>
        <v/>
      </c>
      <c r="AM176" s="5">
        <f>AD$1*((-0.000002)*AD176^3+0.00032*AD176^2+(-0.0021)*AD176)+AE$1*((-0.000002)*AE176^3+0.00032*AE176^2+(-0.0021)*AE176)+AF$1*((-0.000002)*AF176^3+0.00032*AF176^2+(-0.0021)*AF176)+AG$1*((-0.000002)*AG176^3+0.00032*AG176^2+(-0.0021)*AG176)</f>
        <v/>
      </c>
    </row>
    <row r="177" ht="15" customHeight="1" s="27" thickBot="1">
      <c r="A177" s="5">
        <f>(AI177*AI$3+AJ177*AJ$3+AK177*AK$3+AL177*AL$3+AM177*AM$3)*100/(AI$5*AI$3+AJ$5*AJ$3+AK$5*AK$3+AL$5*AL$3+AM$5*AM$3)</f>
        <v/>
      </c>
      <c r="B177" s="18" t="n">
        <v>50</v>
      </c>
      <c r="C177" s="11" t="inlineStr">
        <is>
          <t>Morey, Goose</t>
        </is>
      </c>
      <c r="D177" s="19" t="inlineStr">
        <is>
          <t>P</t>
        </is>
      </c>
      <c r="E177" s="19" t="inlineStr">
        <is>
          <t>S</t>
        </is>
      </c>
      <c r="F177" s="19" t="inlineStr">
        <is>
          <t>R</t>
        </is>
      </c>
      <c r="G177" s="19" t="n">
        <v>18</v>
      </c>
      <c r="H177" s="19" t="n">
        <v>20</v>
      </c>
      <c r="I177" s="19" t="n">
        <v>18</v>
      </c>
      <c r="J177" s="19" t="n">
        <v>27</v>
      </c>
      <c r="K177" s="19" t="n">
        <v>18</v>
      </c>
      <c r="L177" s="19" t="n">
        <v>20</v>
      </c>
      <c r="M177" s="19" t="n">
        <v>25</v>
      </c>
      <c r="N177" s="19" t="n">
        <v>72</v>
      </c>
      <c r="O177" s="19" t="n">
        <v>85</v>
      </c>
      <c r="P177" s="19" t="n">
        <v>61</v>
      </c>
      <c r="Q177" s="18" t="n">
        <v>50</v>
      </c>
      <c r="R177" s="11" t="inlineStr">
        <is>
          <t>Morey, Goose</t>
        </is>
      </c>
      <c r="S177" s="19" t="inlineStr">
        <is>
          <t>P</t>
        </is>
      </c>
      <c r="T177" s="19" t="inlineStr">
        <is>
          <t>S</t>
        </is>
      </c>
      <c r="U177" s="19" t="inlineStr">
        <is>
          <t>R</t>
        </is>
      </c>
      <c r="V177" s="19" t="n">
        <v>18</v>
      </c>
      <c r="W177" s="19" t="n">
        <v>27</v>
      </c>
      <c r="X177" s="19" t="n">
        <v>42</v>
      </c>
      <c r="Y177" s="19" t="n">
        <v>17</v>
      </c>
      <c r="Z177" s="19" t="n">
        <v>34</v>
      </c>
      <c r="AA177" s="19" t="n">
        <v>7</v>
      </c>
      <c r="AB177" s="19" t="n">
        <v>34</v>
      </c>
      <c r="AC177" s="19" t="n">
        <v>76</v>
      </c>
      <c r="AD177" s="19" t="n">
        <v>33</v>
      </c>
      <c r="AE177" s="19" t="n">
        <v>74</v>
      </c>
      <c r="AF177" s="19" t="n">
        <v>23</v>
      </c>
      <c r="AG177" s="19" t="n">
        <v>60</v>
      </c>
      <c r="AH177" s="19" t="n">
        <v>61</v>
      </c>
      <c r="AI177" s="5">
        <f>H$1*((-0.000002)*H177^3+0.00032*H177^2+(-0.0021)*H177)+I$1*((-0.000002)*I177^3+0.00032*I177^2+(-0.0021)*I177)+J$1*((-0.000002)*J177^3+0.00032*J177^2+(-0.0021)*J177)+K$1*((-0.000002)*K177^3+0.00032*K177^2+(-0.0021)*K177)+L$1*((-0.000002)*L177^3+0.00032*L177^2+(-0.0021)*L177)</f>
        <v/>
      </c>
      <c r="AJ177" s="5">
        <f>M$1*((-0.000002)*M177^3+0.00032*M177^2+(-0.0021)*M177)+N$1*((-0.000002)*N177^3+0.00032*N177^2+(-0.0021)*N177)+O$1*((-0.000002)*O177^3+0.00032*O177^2+(-0.0021)*O177)</f>
        <v/>
      </c>
      <c r="AK177" s="5">
        <f>IF(AA177&lt;50,W$1*((-0.000002)*W177^3+0.00032*W177^2+(-0.0021)*W177)+X$1*((-0.000002)*X177^3+0.00032*X177^2+(-0.0021)*X177)+Y$1*((-0.000002)*Y177^3+0.00032*Y177^2+(-0.0021)*Y177)+Z$1*((-0.000002)*Z177^3+0.00032*Z177^2+(-0.0021)*Z177),X$2*((-0.000002)*X177^3+0.00032*X177^2+(-0.0021)*X177)+Y$2*((-0.000002)*Y177^3+0.00032*Y177^2+(-0.0021)*Y177)+Z$2*((-0.000002)*Z177^3+0.00032*Z177^2+(-0.0021)*Z177)+AA$2*((-0.000002)*AA177^3+0.00032*AA177^2+(-0.0021)*AA177))</f>
        <v/>
      </c>
      <c r="AL177" s="5">
        <f>AB$1*((-0.000002)*AB177^3+0.00032*AB177^2+(-0.0021)*AB177)+AC$1*((-0.000002)*AC177^3+0.00032*AC177^2+(-0.0021)*AC177)</f>
        <v/>
      </c>
      <c r="AM177" s="5">
        <f>AD$1*((-0.000002)*AD177^3+0.00032*AD177^2+(-0.0021)*AD177)+AE$1*((-0.000002)*AE177^3+0.00032*AE177^2+(-0.0021)*AE177)+AF$1*((-0.000002)*AF177^3+0.00032*AF177^2+(-0.0021)*AF177)+AG$1*((-0.000002)*AG177^3+0.00032*AG177^2+(-0.0021)*AG177)</f>
        <v/>
      </c>
    </row>
    <row r="178" ht="15" customHeight="1" s="27" thickBot="1">
      <c r="A178" s="5">
        <f>(AI178*AI$3+AJ178*AJ$3+AK178*AK$3+AL178*AL$3+AM178*AM$3)*100/(AI$5*AI$3+AJ$5*AJ$3+AK$5*AK$3+AL$5*AL$3+AM$5*AM$3)</f>
        <v/>
      </c>
      <c r="B178" s="18" t="n">
        <v>112</v>
      </c>
      <c r="C178" s="11" t="inlineStr">
        <is>
          <t>Cunnane, Herb</t>
        </is>
      </c>
      <c r="D178" s="19" t="inlineStr">
        <is>
          <t>P</t>
        </is>
      </c>
      <c r="E178" s="19" t="inlineStr">
        <is>
          <t>L</t>
        </is>
      </c>
      <c r="F178" s="19" t="inlineStr">
        <is>
          <t>L</t>
        </is>
      </c>
      <c r="G178" s="19" t="n">
        <v>18</v>
      </c>
      <c r="H178" s="19" t="n">
        <v>14</v>
      </c>
      <c r="I178" s="19" t="n">
        <v>6</v>
      </c>
      <c r="J178" s="19" t="n">
        <v>13</v>
      </c>
      <c r="K178" s="19" t="n">
        <v>24</v>
      </c>
      <c r="L178" s="19" t="n">
        <v>28</v>
      </c>
      <c r="M178" s="19" t="n">
        <v>23</v>
      </c>
      <c r="N178" s="19" t="n">
        <v>84</v>
      </c>
      <c r="O178" s="19" t="n">
        <v>80</v>
      </c>
      <c r="P178" s="19" t="n">
        <v>48</v>
      </c>
      <c r="Q178" s="18" t="n">
        <v>112</v>
      </c>
      <c r="R178" s="11" t="inlineStr">
        <is>
          <t>Cunnane, Herb</t>
        </is>
      </c>
      <c r="S178" s="19" t="inlineStr">
        <is>
          <t>P</t>
        </is>
      </c>
      <c r="T178" s="19" t="inlineStr">
        <is>
          <t>L</t>
        </is>
      </c>
      <c r="U178" s="19" t="inlineStr">
        <is>
          <t>L</t>
        </is>
      </c>
      <c r="V178" s="19" t="n">
        <v>18</v>
      </c>
      <c r="W178" s="19" t="n">
        <v>32</v>
      </c>
      <c r="X178" s="19" t="n">
        <v>46</v>
      </c>
      <c r="Y178" s="19" t="n">
        <v>22</v>
      </c>
      <c r="Z178" s="19" t="n">
        <v>19</v>
      </c>
      <c r="AA178" s="19" t="n">
        <v>7</v>
      </c>
      <c r="AB178" s="19" t="n">
        <v>43</v>
      </c>
      <c r="AC178" s="19" t="n">
        <v>68</v>
      </c>
      <c r="AD178" s="19" t="n">
        <v>25</v>
      </c>
      <c r="AE178" s="19" t="n">
        <v>49</v>
      </c>
      <c r="AF178" s="19" t="n">
        <v>46</v>
      </c>
      <c r="AG178" s="19" t="n">
        <v>85</v>
      </c>
      <c r="AH178" s="19" t="n">
        <v>48</v>
      </c>
      <c r="AI178" s="5">
        <f>H$1*((-0.000002)*H178^3+0.00032*H178^2+(-0.0021)*H178)+I$1*((-0.000002)*I178^3+0.00032*I178^2+(-0.0021)*I178)+J$1*((-0.000002)*J178^3+0.00032*J178^2+(-0.0021)*J178)+K$1*((-0.000002)*K178^3+0.00032*K178^2+(-0.0021)*K178)+L$1*((-0.000002)*L178^3+0.00032*L178^2+(-0.0021)*L178)</f>
        <v/>
      </c>
      <c r="AJ178" s="5">
        <f>M$1*((-0.000002)*M178^3+0.00032*M178^2+(-0.0021)*M178)+N$1*((-0.000002)*N178^3+0.00032*N178^2+(-0.0021)*N178)+O$1*((-0.000002)*O178^3+0.00032*O178^2+(-0.0021)*O178)</f>
        <v/>
      </c>
      <c r="AK178" s="5">
        <f>IF(AA178&lt;50,W$1*((-0.000002)*W178^3+0.00032*W178^2+(-0.0021)*W178)+X$1*((-0.000002)*X178^3+0.00032*X178^2+(-0.0021)*X178)+Y$1*((-0.000002)*Y178^3+0.00032*Y178^2+(-0.0021)*Y178)+Z$1*((-0.000002)*Z178^3+0.00032*Z178^2+(-0.0021)*Z178),X$2*((-0.000002)*X178^3+0.00032*X178^2+(-0.0021)*X178)+Y$2*((-0.000002)*Y178^3+0.00032*Y178^2+(-0.0021)*Y178)+Z$2*((-0.000002)*Z178^3+0.00032*Z178^2+(-0.0021)*Z178)+AA$2*((-0.000002)*AA178^3+0.00032*AA178^2+(-0.0021)*AA178))</f>
        <v/>
      </c>
      <c r="AL178" s="5">
        <f>AB$1*((-0.000002)*AB178^3+0.00032*AB178^2+(-0.0021)*AB178)+AC$1*((-0.000002)*AC178^3+0.00032*AC178^2+(-0.0021)*AC178)</f>
        <v/>
      </c>
      <c r="AM178" s="5">
        <f>AD$1*((-0.000002)*AD178^3+0.00032*AD178^2+(-0.0021)*AD178)+AE$1*((-0.000002)*AE178^3+0.00032*AE178^2+(-0.0021)*AE178)+AF$1*((-0.000002)*AF178^3+0.00032*AF178^2+(-0.0021)*AF178)+AG$1*((-0.000002)*AG178^3+0.00032*AG178^2+(-0.0021)*AG178)</f>
        <v/>
      </c>
    </row>
    <row r="179" ht="15" customHeight="1" s="27" thickBot="1">
      <c r="A179" s="5">
        <f>(AI179*AI$3+AJ179*AJ$3+AK179*AK$3+AL179*AL$3+AM179*AM$3)*100/(AI$5*AI$3+AJ$5*AJ$3+AK$5*AK$3+AL$5*AL$3+AM$5*AM$3)</f>
        <v/>
      </c>
      <c r="B179" s="16" t="n">
        <v>45</v>
      </c>
      <c r="C179" s="10" t="inlineStr">
        <is>
          <t>Gagne, Victor</t>
        </is>
      </c>
      <c r="D179" s="17" t="inlineStr">
        <is>
          <t>P</t>
        </is>
      </c>
      <c r="E179" s="17" t="inlineStr">
        <is>
          <t>L</t>
        </is>
      </c>
      <c r="F179" s="17" t="inlineStr">
        <is>
          <t>L</t>
        </is>
      </c>
      <c r="G179" s="17" t="n">
        <v>18</v>
      </c>
      <c r="H179" s="17" t="n">
        <v>17</v>
      </c>
      <c r="I179" s="17" t="n">
        <v>5</v>
      </c>
      <c r="J179" s="17" t="n">
        <v>24</v>
      </c>
      <c r="K179" s="17" t="n">
        <v>29</v>
      </c>
      <c r="L179" s="17" t="n">
        <v>16</v>
      </c>
      <c r="M179" s="17" t="n">
        <v>18</v>
      </c>
      <c r="N179" s="17" t="n">
        <v>65</v>
      </c>
      <c r="O179" s="17" t="n">
        <v>69</v>
      </c>
      <c r="P179" s="17" t="n">
        <v>62</v>
      </c>
      <c r="Q179" s="16" t="n">
        <v>45</v>
      </c>
      <c r="R179" s="10" t="inlineStr">
        <is>
          <t>Gagne, Victor</t>
        </is>
      </c>
      <c r="S179" s="17" t="inlineStr">
        <is>
          <t>P</t>
        </is>
      </c>
      <c r="T179" s="17" t="inlineStr">
        <is>
          <t>L</t>
        </is>
      </c>
      <c r="U179" s="17" t="inlineStr">
        <is>
          <t>L</t>
        </is>
      </c>
      <c r="V179" s="17" t="n">
        <v>18</v>
      </c>
      <c r="W179" s="17" t="n">
        <v>22</v>
      </c>
      <c r="X179" s="17" t="n">
        <v>22</v>
      </c>
      <c r="Y179" s="17" t="n">
        <v>58</v>
      </c>
      <c r="Z179" s="17" t="n">
        <v>16</v>
      </c>
      <c r="AA179" s="17" t="n">
        <v>42</v>
      </c>
      <c r="AB179" s="17" t="n">
        <v>30</v>
      </c>
      <c r="AC179" s="17" t="n">
        <v>96</v>
      </c>
      <c r="AD179" s="17" t="n">
        <v>56</v>
      </c>
      <c r="AE179" s="17" t="n">
        <v>52</v>
      </c>
      <c r="AF179" s="17" t="n">
        <v>67</v>
      </c>
      <c r="AG179" s="17" t="n">
        <v>95</v>
      </c>
      <c r="AH179" s="17" t="n">
        <v>62</v>
      </c>
      <c r="AI179" s="5">
        <f>H$1*((-0.000002)*H179^3+0.00032*H179^2+(-0.0021)*H179)+I$1*((-0.000002)*I179^3+0.00032*I179^2+(-0.0021)*I179)+J$1*((-0.000002)*J179^3+0.00032*J179^2+(-0.0021)*J179)+K$1*((-0.000002)*K179^3+0.00032*K179^2+(-0.0021)*K179)+L$1*((-0.000002)*L179^3+0.00032*L179^2+(-0.0021)*L179)</f>
        <v/>
      </c>
      <c r="AJ179" s="5">
        <f>M$1*((-0.000002)*M179^3+0.00032*M179^2+(-0.0021)*M179)+N$1*((-0.000002)*N179^3+0.00032*N179^2+(-0.0021)*N179)+O$1*((-0.000002)*O179^3+0.00032*O179^2+(-0.0021)*O179)</f>
        <v/>
      </c>
      <c r="AK179" s="5">
        <f>IF(AA179&lt;50,W$1*((-0.000002)*W179^3+0.00032*W179^2+(-0.0021)*W179)+X$1*((-0.000002)*X179^3+0.00032*X179^2+(-0.0021)*X179)+Y$1*((-0.000002)*Y179^3+0.00032*Y179^2+(-0.0021)*Y179)+Z$1*((-0.000002)*Z179^3+0.00032*Z179^2+(-0.0021)*Z179),X$2*((-0.000002)*X179^3+0.00032*X179^2+(-0.0021)*X179)+Y$2*((-0.000002)*Y179^3+0.00032*Y179^2+(-0.0021)*Y179)+Z$2*((-0.000002)*Z179^3+0.00032*Z179^2+(-0.0021)*Z179)+AA$2*((-0.000002)*AA179^3+0.00032*AA179^2+(-0.0021)*AA179))</f>
        <v/>
      </c>
      <c r="AL179" s="5">
        <f>AB$1*((-0.000002)*AB179^3+0.00032*AB179^2+(-0.0021)*AB179)+AC$1*((-0.000002)*AC179^3+0.00032*AC179^2+(-0.0021)*AC179)</f>
        <v/>
      </c>
      <c r="AM179" s="5">
        <f>AD$1*((-0.000002)*AD179^3+0.00032*AD179^2+(-0.0021)*AD179)+AE$1*((-0.000002)*AE179^3+0.00032*AE179^2+(-0.0021)*AE179)+AF$1*((-0.000002)*AF179^3+0.00032*AF179^2+(-0.0021)*AF179)+AG$1*((-0.000002)*AG179^3+0.00032*AG179^2+(-0.0021)*AG179)</f>
        <v/>
      </c>
    </row>
    <row r="180" ht="15" customHeight="1" s="27" thickBot="1">
      <c r="A180" s="5">
        <f>(AI180*AI$3+AJ180*AJ$3+AK180*AK$3+AL180*AL$3+AM180*AM$3)*100/(AI$5*AI$3+AJ$5*AJ$3+AK$5*AK$3+AL$5*AL$3+AM$5*AM$3)</f>
        <v/>
      </c>
      <c r="B180" s="16" t="n">
        <v>119</v>
      </c>
      <c r="C180" s="10" t="inlineStr">
        <is>
          <t>Below, Rick</t>
        </is>
      </c>
      <c r="D180" s="17" t="inlineStr">
        <is>
          <t>P</t>
        </is>
      </c>
      <c r="E180" s="17" t="inlineStr">
        <is>
          <t>R</t>
        </is>
      </c>
      <c r="F180" s="17" t="inlineStr">
        <is>
          <t>R</t>
        </is>
      </c>
      <c r="G180" s="17" t="n">
        <v>18</v>
      </c>
      <c r="H180" s="17" t="n">
        <v>14</v>
      </c>
      <c r="I180" s="17" t="n">
        <v>11</v>
      </c>
      <c r="J180" s="17" t="n">
        <v>28</v>
      </c>
      <c r="K180" s="17" t="n">
        <v>20</v>
      </c>
      <c r="L180" s="17" t="n">
        <v>33</v>
      </c>
      <c r="M180" s="17" t="n">
        <v>21</v>
      </c>
      <c r="N180" s="17" t="n">
        <v>71</v>
      </c>
      <c r="O180" s="17" t="n">
        <v>61</v>
      </c>
      <c r="P180" s="17" t="n">
        <v>47</v>
      </c>
      <c r="Q180" s="16" t="n">
        <v>119</v>
      </c>
      <c r="R180" s="10" t="inlineStr">
        <is>
          <t>Below, Rick</t>
        </is>
      </c>
      <c r="S180" s="17" t="inlineStr">
        <is>
          <t>P</t>
        </is>
      </c>
      <c r="T180" s="17" t="inlineStr">
        <is>
          <t>R</t>
        </is>
      </c>
      <c r="U180" s="17" t="inlineStr">
        <is>
          <t>R</t>
        </is>
      </c>
      <c r="V180" s="17" t="n">
        <v>18</v>
      </c>
      <c r="W180" s="17" t="n">
        <v>18</v>
      </c>
      <c r="X180" s="17" t="n">
        <v>40</v>
      </c>
      <c r="Y180" s="17" t="n">
        <v>17</v>
      </c>
      <c r="Z180" s="17" t="n">
        <v>25</v>
      </c>
      <c r="AA180" s="17" t="n">
        <v>25</v>
      </c>
      <c r="AB180" s="17" t="n">
        <v>28</v>
      </c>
      <c r="AC180" s="17" t="n">
        <v>94</v>
      </c>
      <c r="AD180" s="17" t="n">
        <v>16</v>
      </c>
      <c r="AE180" s="17" t="n">
        <v>50</v>
      </c>
      <c r="AF180" s="17" t="n">
        <v>25</v>
      </c>
      <c r="AG180" s="17" t="n">
        <v>75</v>
      </c>
      <c r="AH180" s="17" t="n">
        <v>47</v>
      </c>
      <c r="AI180" s="5">
        <f>H$1*((-0.000002)*H180^3+0.00032*H180^2+(-0.0021)*H180)+I$1*((-0.000002)*I180^3+0.00032*I180^2+(-0.0021)*I180)+J$1*((-0.000002)*J180^3+0.00032*J180^2+(-0.0021)*J180)+K$1*((-0.000002)*K180^3+0.00032*K180^2+(-0.0021)*K180)+L$1*((-0.000002)*L180^3+0.00032*L180^2+(-0.0021)*L180)</f>
        <v/>
      </c>
      <c r="AJ180" s="5">
        <f>M$1*((-0.000002)*M180^3+0.00032*M180^2+(-0.0021)*M180)+N$1*((-0.000002)*N180^3+0.00032*N180^2+(-0.0021)*N180)+O$1*((-0.000002)*O180^3+0.00032*O180^2+(-0.0021)*O180)</f>
        <v/>
      </c>
      <c r="AK180" s="5">
        <f>IF(AA180&lt;50,W$1*((-0.000002)*W180^3+0.00032*W180^2+(-0.0021)*W180)+X$1*((-0.000002)*X180^3+0.00032*X180^2+(-0.0021)*X180)+Y$1*((-0.000002)*Y180^3+0.00032*Y180^2+(-0.0021)*Y180)+Z$1*((-0.000002)*Z180^3+0.00032*Z180^2+(-0.0021)*Z180),X$2*((-0.000002)*X180^3+0.00032*X180^2+(-0.0021)*X180)+Y$2*((-0.000002)*Y180^3+0.00032*Y180^2+(-0.0021)*Y180)+Z$2*((-0.000002)*Z180^3+0.00032*Z180^2+(-0.0021)*Z180)+AA$2*((-0.000002)*AA180^3+0.00032*AA180^2+(-0.0021)*AA180))</f>
        <v/>
      </c>
      <c r="AL180" s="5">
        <f>AB$1*((-0.000002)*AB180^3+0.00032*AB180^2+(-0.0021)*AB180)+AC$1*((-0.000002)*AC180^3+0.00032*AC180^2+(-0.0021)*AC180)</f>
        <v/>
      </c>
      <c r="AM180" s="5">
        <f>AD$1*((-0.000002)*AD180^3+0.00032*AD180^2+(-0.0021)*AD180)+AE$1*((-0.000002)*AE180^3+0.00032*AE180^2+(-0.0021)*AE180)+AF$1*((-0.000002)*AF180^3+0.00032*AF180^2+(-0.0021)*AF180)+AG$1*((-0.000002)*AG180^3+0.00032*AG180^2+(-0.0021)*AG180)</f>
        <v/>
      </c>
    </row>
    <row r="181" ht="15" customHeight="1" s="27" thickBot="1">
      <c r="A181" s="5">
        <f>(AI181*AI$3+AJ181*AJ$3+AK181*AK$3+AL181*AL$3+AM181*AM$3)*100/(AI$5*AI$3+AJ$5*AJ$3+AK$5*AK$3+AL$5*AL$3+AM$5*AM$3)</f>
        <v/>
      </c>
      <c r="B181" s="16" t="n">
        <v>107</v>
      </c>
      <c r="C181" s="10" t="inlineStr">
        <is>
          <t>Egan, Jody</t>
        </is>
      </c>
      <c r="D181" s="17" t="inlineStr">
        <is>
          <t>P</t>
        </is>
      </c>
      <c r="E181" s="17" t="inlineStr">
        <is>
          <t>R</t>
        </is>
      </c>
      <c r="F181" s="17" t="inlineStr">
        <is>
          <t>R</t>
        </is>
      </c>
      <c r="G181" s="17" t="n">
        <v>18</v>
      </c>
      <c r="H181" s="17" t="n">
        <v>17</v>
      </c>
      <c r="I181" s="17" t="n">
        <v>5</v>
      </c>
      <c r="J181" s="17" t="n">
        <v>18</v>
      </c>
      <c r="K181" s="17" t="n">
        <v>26</v>
      </c>
      <c r="L181" s="17" t="n">
        <v>26</v>
      </c>
      <c r="M181" s="17" t="n">
        <v>18</v>
      </c>
      <c r="N181" s="17" t="n">
        <v>69</v>
      </c>
      <c r="O181" s="17" t="n">
        <v>74</v>
      </c>
      <c r="P181" s="17" t="n">
        <v>49</v>
      </c>
      <c r="Q181" s="16" t="n">
        <v>107</v>
      </c>
      <c r="R181" s="10" t="inlineStr">
        <is>
          <t>Egan, Jody</t>
        </is>
      </c>
      <c r="S181" s="17" t="inlineStr">
        <is>
          <t>P</t>
        </is>
      </c>
      <c r="T181" s="17" t="inlineStr">
        <is>
          <t>R</t>
        </is>
      </c>
      <c r="U181" s="17" t="inlineStr">
        <is>
          <t>R</t>
        </is>
      </c>
      <c r="V181" s="17" t="n">
        <v>18</v>
      </c>
      <c r="W181" s="17" t="n">
        <v>26</v>
      </c>
      <c r="X181" s="17" t="n">
        <v>0</v>
      </c>
      <c r="Y181" s="17" t="n">
        <v>23</v>
      </c>
      <c r="Z181" s="17" t="n">
        <v>58</v>
      </c>
      <c r="AA181" s="17" t="n">
        <v>16</v>
      </c>
      <c r="AB181" s="17" t="n">
        <v>29</v>
      </c>
      <c r="AC181" s="17" t="n">
        <v>55</v>
      </c>
      <c r="AD181" s="17" t="n">
        <v>20</v>
      </c>
      <c r="AE181" s="17" t="n">
        <v>58</v>
      </c>
      <c r="AF181" s="17" t="n">
        <v>29</v>
      </c>
      <c r="AG181" s="17" t="n">
        <v>89</v>
      </c>
      <c r="AH181" s="17" t="n">
        <v>49</v>
      </c>
      <c r="AI181" s="5">
        <f>H$1*((-0.000002)*H181^3+0.00032*H181^2+(-0.0021)*H181)+I$1*((-0.000002)*I181^3+0.00032*I181^2+(-0.0021)*I181)+J$1*((-0.000002)*J181^3+0.00032*J181^2+(-0.0021)*J181)+K$1*((-0.000002)*K181^3+0.00032*K181^2+(-0.0021)*K181)+L$1*((-0.000002)*L181^3+0.00032*L181^2+(-0.0021)*L181)</f>
        <v/>
      </c>
      <c r="AJ181" s="5">
        <f>M$1*((-0.000002)*M181^3+0.00032*M181^2+(-0.0021)*M181)+N$1*((-0.000002)*N181^3+0.00032*N181^2+(-0.0021)*N181)+O$1*((-0.000002)*O181^3+0.00032*O181^2+(-0.0021)*O181)</f>
        <v/>
      </c>
      <c r="AK181" s="5">
        <f>IF(AA181&lt;50,W$1*((-0.000002)*W181^3+0.00032*W181^2+(-0.0021)*W181)+X$1*((-0.000002)*X181^3+0.00032*X181^2+(-0.0021)*X181)+Y$1*((-0.000002)*Y181^3+0.00032*Y181^2+(-0.0021)*Y181)+Z$1*((-0.000002)*Z181^3+0.00032*Z181^2+(-0.0021)*Z181),X$2*((-0.000002)*X181^3+0.00032*X181^2+(-0.0021)*X181)+Y$2*((-0.000002)*Y181^3+0.00032*Y181^2+(-0.0021)*Y181)+Z$2*((-0.000002)*Z181^3+0.00032*Z181^2+(-0.0021)*Z181)+AA$2*((-0.000002)*AA181^3+0.00032*AA181^2+(-0.0021)*AA181))</f>
        <v/>
      </c>
      <c r="AL181" s="5">
        <f>AB$1*((-0.000002)*AB181^3+0.00032*AB181^2+(-0.0021)*AB181)+AC$1*((-0.000002)*AC181^3+0.00032*AC181^2+(-0.0021)*AC181)</f>
        <v/>
      </c>
      <c r="AM181" s="5">
        <f>AD$1*((-0.000002)*AD181^3+0.00032*AD181^2+(-0.0021)*AD181)+AE$1*((-0.000002)*AE181^3+0.00032*AE181^2+(-0.0021)*AE181)+AF$1*((-0.000002)*AF181^3+0.00032*AF181^2+(-0.0021)*AF181)+AG$1*((-0.000002)*AG181^3+0.00032*AG181^2+(-0.0021)*AG181)</f>
        <v/>
      </c>
    </row>
    <row r="182" ht="15" customHeight="1" s="27" thickBot="1">
      <c r="A182" s="5">
        <f>(AI182*AI$3+AJ182*AJ$3+AK182*AK$3+AL182*AL$3+AM182*AM$3)*100/(AI$5*AI$3+AJ$5*AJ$3+AK$5*AK$3+AL$5*AL$3+AM$5*AM$3)</f>
        <v/>
      </c>
      <c r="B182" s="16" t="n">
        <v>131</v>
      </c>
      <c r="C182" s="10" t="inlineStr">
        <is>
          <t>Kirk, Clinton</t>
        </is>
      </c>
      <c r="D182" s="17" t="inlineStr">
        <is>
          <t>P</t>
        </is>
      </c>
      <c r="E182" s="17" t="inlineStr">
        <is>
          <t>R</t>
        </is>
      </c>
      <c r="F182" s="17" t="inlineStr">
        <is>
          <t>R</t>
        </is>
      </c>
      <c r="G182" s="17" t="n">
        <v>22</v>
      </c>
      <c r="H182" s="17" t="n">
        <v>0</v>
      </c>
      <c r="I182" s="17" t="n">
        <v>0</v>
      </c>
      <c r="J182" s="17" t="n">
        <v>14</v>
      </c>
      <c r="K182" s="17" t="n">
        <v>0</v>
      </c>
      <c r="L182" s="17" t="n">
        <v>2</v>
      </c>
      <c r="M182" s="17" t="n">
        <v>0</v>
      </c>
      <c r="N182" s="17" t="n">
        <v>49</v>
      </c>
      <c r="O182" s="17" t="n">
        <v>49</v>
      </c>
      <c r="P182" s="17" t="n">
        <v>60</v>
      </c>
      <c r="Q182" s="16" t="n">
        <v>131</v>
      </c>
      <c r="R182" s="10" t="inlineStr">
        <is>
          <t>Kirk, Clinton</t>
        </is>
      </c>
      <c r="S182" s="17" t="inlineStr">
        <is>
          <t>P</t>
        </is>
      </c>
      <c r="T182" s="17" t="inlineStr">
        <is>
          <t>R</t>
        </is>
      </c>
      <c r="U182" s="17" t="inlineStr">
        <is>
          <t>R</t>
        </is>
      </c>
      <c r="V182" s="17" t="n">
        <v>22</v>
      </c>
      <c r="W182" s="17" t="n">
        <v>14</v>
      </c>
      <c r="X182" s="17" t="n">
        <v>73</v>
      </c>
      <c r="Y182" s="17" t="n">
        <v>69</v>
      </c>
      <c r="Z182" s="17" t="n">
        <v>39</v>
      </c>
      <c r="AA182" s="17" t="n">
        <v>54</v>
      </c>
      <c r="AB182" s="17" t="n">
        <v>87</v>
      </c>
      <c r="AC182" s="17" t="n">
        <v>100</v>
      </c>
      <c r="AD182" s="17" t="n">
        <v>12</v>
      </c>
      <c r="AE182" s="17" t="n">
        <v>100</v>
      </c>
      <c r="AF182" s="17" t="n">
        <v>37</v>
      </c>
      <c r="AG182" s="17" t="n">
        <v>65</v>
      </c>
      <c r="AH182" s="17" t="n">
        <v>60</v>
      </c>
      <c r="AI182" s="5">
        <f>H$1*((-0.000002)*H182^3+0.00032*H182^2+(-0.0021)*H182)+I$1*((-0.000002)*I182^3+0.00032*I182^2+(-0.0021)*I182)+J$1*((-0.000002)*J182^3+0.00032*J182^2+(-0.0021)*J182)+K$1*((-0.000002)*K182^3+0.00032*K182^2+(-0.0021)*K182)+L$1*((-0.000002)*L182^3+0.00032*L182^2+(-0.0021)*L182)</f>
        <v/>
      </c>
      <c r="AJ182" s="5">
        <f>M$1*((-0.000002)*M182^3+0.00032*M182^2+(-0.0021)*M182)+N$1*((-0.000002)*N182^3+0.00032*N182^2+(-0.0021)*N182)+O$1*((-0.000002)*O182^3+0.00032*O182^2+(-0.0021)*O182)</f>
        <v/>
      </c>
      <c r="AK182" s="5">
        <f>IF(AA182&lt;50,W$1*((-0.000002)*W182^3+0.00032*W182^2+(-0.0021)*W182)+X$1*((-0.000002)*X182^3+0.00032*X182^2+(-0.0021)*X182)+Y$1*((-0.000002)*Y182^3+0.00032*Y182^2+(-0.0021)*Y182)+Z$1*((-0.000002)*Z182^3+0.00032*Z182^2+(-0.0021)*Z182),X$2*((-0.000002)*X182^3+0.00032*X182^2+(-0.0021)*X182)+Y$2*((-0.000002)*Y182^3+0.00032*Y182^2+(-0.0021)*Y182)+Z$2*((-0.000002)*Z182^3+0.00032*Z182^2+(-0.0021)*Z182)+AA$2*((-0.000002)*AA182^3+0.00032*AA182^2+(-0.0021)*AA182))</f>
        <v/>
      </c>
      <c r="AL182" s="5">
        <f>AB$1*((-0.000002)*AB182^3+0.00032*AB182^2+(-0.0021)*AB182)+AC$1*((-0.000002)*AC182^3+0.00032*AC182^2+(-0.0021)*AC182)</f>
        <v/>
      </c>
      <c r="AM182" s="5">
        <f>AD$1*((-0.000002)*AD182^3+0.00032*AD182^2+(-0.0021)*AD182)+AE$1*((-0.000002)*AE182^3+0.00032*AE182^2+(-0.0021)*AE182)+AF$1*((-0.000002)*AF182^3+0.00032*AF182^2+(-0.0021)*AF182)+AG$1*((-0.000002)*AG182^3+0.00032*AG182^2+(-0.0021)*AG182)</f>
        <v/>
      </c>
    </row>
    <row r="183" ht="15" customHeight="1" s="27" thickBot="1">
      <c r="A183" s="5">
        <f>(AI183*AI$3+AJ183*AJ$3+AK183*AK$3+AL183*AL$3+AM183*AM$3)*100/(AI$5*AI$3+AJ$5*AJ$3+AK$5*AK$3+AL$5*AL$3+AM$5*AM$3)</f>
        <v/>
      </c>
      <c r="B183" s="16" t="n">
        <v>99</v>
      </c>
      <c r="C183" s="10" t="inlineStr">
        <is>
          <t>Rodgers, Gil</t>
        </is>
      </c>
      <c r="D183" s="17" t="inlineStr">
        <is>
          <t>P</t>
        </is>
      </c>
      <c r="E183" s="17" t="inlineStr">
        <is>
          <t>R</t>
        </is>
      </c>
      <c r="F183" s="17" t="inlineStr">
        <is>
          <t>R</t>
        </is>
      </c>
      <c r="G183" s="17" t="n">
        <v>18</v>
      </c>
      <c r="H183" s="17" t="n">
        <v>24</v>
      </c>
      <c r="I183" s="17" t="n">
        <v>13</v>
      </c>
      <c r="J183" s="17" t="n">
        <v>33</v>
      </c>
      <c r="K183" s="17" t="n">
        <v>18</v>
      </c>
      <c r="L183" s="17" t="n">
        <v>22</v>
      </c>
      <c r="M183" s="17" t="n">
        <v>12</v>
      </c>
      <c r="N183" s="17" t="n">
        <v>63</v>
      </c>
      <c r="O183" s="17" t="n">
        <v>69</v>
      </c>
      <c r="P183" s="17" t="n">
        <v>50</v>
      </c>
      <c r="Q183" s="16" t="n">
        <v>99</v>
      </c>
      <c r="R183" s="10" t="inlineStr">
        <is>
          <t>Rodgers, Gil</t>
        </is>
      </c>
      <c r="S183" s="17" t="inlineStr">
        <is>
          <t>P</t>
        </is>
      </c>
      <c r="T183" s="17" t="inlineStr">
        <is>
          <t>R</t>
        </is>
      </c>
      <c r="U183" s="17" t="inlineStr">
        <is>
          <t>R</t>
        </is>
      </c>
      <c r="V183" s="17" t="n">
        <v>18</v>
      </c>
      <c r="W183" s="17" t="n">
        <v>0</v>
      </c>
      <c r="X183" s="17" t="n">
        <v>22</v>
      </c>
      <c r="Y183" s="17" t="n">
        <v>20</v>
      </c>
      <c r="Z183" s="17" t="n">
        <v>38</v>
      </c>
      <c r="AA183" s="17" t="n">
        <v>26</v>
      </c>
      <c r="AB183" s="17" t="n">
        <v>86</v>
      </c>
      <c r="AC183" s="17" t="n">
        <v>95</v>
      </c>
      <c r="AD183" s="17" t="n">
        <v>14</v>
      </c>
      <c r="AE183" s="17" t="n">
        <v>76</v>
      </c>
      <c r="AF183" s="17" t="n">
        <v>46</v>
      </c>
      <c r="AG183" s="17" t="n">
        <v>93</v>
      </c>
      <c r="AH183" s="17" t="n">
        <v>50</v>
      </c>
      <c r="AI183" s="5">
        <f>H$1*((-0.000002)*H183^3+0.00032*H183^2+(-0.0021)*H183)+I$1*((-0.000002)*I183^3+0.00032*I183^2+(-0.0021)*I183)+J$1*((-0.000002)*J183^3+0.00032*J183^2+(-0.0021)*J183)+K$1*((-0.000002)*K183^3+0.00032*K183^2+(-0.0021)*K183)+L$1*((-0.000002)*L183^3+0.00032*L183^2+(-0.0021)*L183)</f>
        <v/>
      </c>
      <c r="AJ183" s="5">
        <f>M$1*((-0.000002)*M183^3+0.00032*M183^2+(-0.0021)*M183)+N$1*((-0.000002)*N183^3+0.00032*N183^2+(-0.0021)*N183)+O$1*((-0.000002)*O183^3+0.00032*O183^2+(-0.0021)*O183)</f>
        <v/>
      </c>
      <c r="AK183" s="5">
        <f>IF(AA183&lt;50,W$1*((-0.000002)*W183^3+0.00032*W183^2+(-0.0021)*W183)+X$1*((-0.000002)*X183^3+0.00032*X183^2+(-0.0021)*X183)+Y$1*((-0.000002)*Y183^3+0.00032*Y183^2+(-0.0021)*Y183)+Z$1*((-0.000002)*Z183^3+0.00032*Z183^2+(-0.0021)*Z183),X$2*((-0.000002)*X183^3+0.00032*X183^2+(-0.0021)*X183)+Y$2*((-0.000002)*Y183^3+0.00032*Y183^2+(-0.0021)*Y183)+Z$2*((-0.000002)*Z183^3+0.00032*Z183^2+(-0.0021)*Z183)+AA$2*((-0.000002)*AA183^3+0.00032*AA183^2+(-0.0021)*AA183))</f>
        <v/>
      </c>
      <c r="AL183" s="5">
        <f>AB$1*((-0.000002)*AB183^3+0.00032*AB183^2+(-0.0021)*AB183)+AC$1*((-0.000002)*AC183^3+0.00032*AC183^2+(-0.0021)*AC183)</f>
        <v/>
      </c>
      <c r="AM183" s="5">
        <f>AD$1*((-0.000002)*AD183^3+0.00032*AD183^2+(-0.0021)*AD183)+AE$1*((-0.000002)*AE183^3+0.00032*AE183^2+(-0.0021)*AE183)+AF$1*((-0.000002)*AF183^3+0.00032*AF183^2+(-0.0021)*AF183)+AG$1*((-0.000002)*AG183^3+0.00032*AG183^2+(-0.0021)*AG183)</f>
        <v/>
      </c>
    </row>
    <row r="184" ht="15" customHeight="1" s="27" thickBot="1">
      <c r="A184" s="5">
        <f>(AI184*AI$3+AJ184*AJ$3+AK184*AK$3+AL184*AL$3+AM184*AM$3)*100/(AI$5*AI$3+AJ$5*AJ$3+AK$5*AK$3+AL$5*AL$3+AM$5*AM$3)</f>
        <v/>
      </c>
      <c r="B184" s="16" t="n">
        <v>87</v>
      </c>
      <c r="C184" s="10" t="inlineStr">
        <is>
          <t>Bantz, Mickey</t>
        </is>
      </c>
      <c r="D184" s="17" t="inlineStr">
        <is>
          <t>P</t>
        </is>
      </c>
      <c r="E184" s="17" t="inlineStr">
        <is>
          <t>R</t>
        </is>
      </c>
      <c r="F184" s="17" t="inlineStr">
        <is>
          <t>R</t>
        </is>
      </c>
      <c r="G184" s="17" t="n">
        <v>18</v>
      </c>
      <c r="H184" s="17" t="n">
        <v>20</v>
      </c>
      <c r="I184" s="17" t="n">
        <v>14</v>
      </c>
      <c r="J184" s="17" t="n">
        <v>23</v>
      </c>
      <c r="K184" s="17" t="n">
        <v>11</v>
      </c>
      <c r="L184" s="17" t="n">
        <v>28</v>
      </c>
      <c r="M184" s="17" t="n">
        <v>9</v>
      </c>
      <c r="N184" s="17" t="n">
        <v>77</v>
      </c>
      <c r="O184" s="17" t="n">
        <v>51</v>
      </c>
      <c r="P184" s="17" t="n">
        <v>53</v>
      </c>
      <c r="Q184" s="16" t="n">
        <v>87</v>
      </c>
      <c r="R184" s="10" t="inlineStr">
        <is>
          <t>Bantz, Mickey</t>
        </is>
      </c>
      <c r="S184" s="17" t="inlineStr">
        <is>
          <t>P</t>
        </is>
      </c>
      <c r="T184" s="17" t="inlineStr">
        <is>
          <t>R</t>
        </is>
      </c>
      <c r="U184" s="17" t="inlineStr">
        <is>
          <t>R</t>
        </is>
      </c>
      <c r="V184" s="17" t="n">
        <v>18</v>
      </c>
      <c r="W184" s="17" t="n">
        <v>12</v>
      </c>
      <c r="X184" s="17" t="n">
        <v>37</v>
      </c>
      <c r="Y184" s="17" t="n">
        <v>27</v>
      </c>
      <c r="Z184" s="17" t="n">
        <v>31</v>
      </c>
      <c r="AA184" s="17" t="n">
        <v>29</v>
      </c>
      <c r="AB184" s="17" t="n">
        <v>38</v>
      </c>
      <c r="AC184" s="17" t="n">
        <v>78</v>
      </c>
      <c r="AD184" s="17" t="n">
        <v>25</v>
      </c>
      <c r="AE184" s="17" t="n">
        <v>66</v>
      </c>
      <c r="AF184" s="17" t="n">
        <v>62</v>
      </c>
      <c r="AG184" s="17" t="n">
        <v>76</v>
      </c>
      <c r="AH184" s="17" t="n">
        <v>53</v>
      </c>
      <c r="AI184" s="5">
        <f>H$1*((-0.000002)*H184^3+0.00032*H184^2+(-0.0021)*H184)+I$1*((-0.000002)*I184^3+0.00032*I184^2+(-0.0021)*I184)+J$1*((-0.000002)*J184^3+0.00032*J184^2+(-0.0021)*J184)+K$1*((-0.000002)*K184^3+0.00032*K184^2+(-0.0021)*K184)+L$1*((-0.000002)*L184^3+0.00032*L184^2+(-0.0021)*L184)</f>
        <v/>
      </c>
      <c r="AJ184" s="5">
        <f>M$1*((-0.000002)*M184^3+0.00032*M184^2+(-0.0021)*M184)+N$1*((-0.000002)*N184^3+0.00032*N184^2+(-0.0021)*N184)+O$1*((-0.000002)*O184^3+0.00032*O184^2+(-0.0021)*O184)</f>
        <v/>
      </c>
      <c r="AK184" s="5">
        <f>IF(AA184&lt;50,W$1*((-0.000002)*W184^3+0.00032*W184^2+(-0.0021)*W184)+X$1*((-0.000002)*X184^3+0.00032*X184^2+(-0.0021)*X184)+Y$1*((-0.000002)*Y184^3+0.00032*Y184^2+(-0.0021)*Y184)+Z$1*((-0.000002)*Z184^3+0.00032*Z184^2+(-0.0021)*Z184),X$2*((-0.000002)*X184^3+0.00032*X184^2+(-0.0021)*X184)+Y$2*((-0.000002)*Y184^3+0.00032*Y184^2+(-0.0021)*Y184)+Z$2*((-0.000002)*Z184^3+0.00032*Z184^2+(-0.0021)*Z184)+AA$2*((-0.000002)*AA184^3+0.00032*AA184^2+(-0.0021)*AA184))</f>
        <v/>
      </c>
      <c r="AL184" s="5">
        <f>AB$1*((-0.000002)*AB184^3+0.00032*AB184^2+(-0.0021)*AB184)+AC$1*((-0.000002)*AC184^3+0.00032*AC184^2+(-0.0021)*AC184)</f>
        <v/>
      </c>
      <c r="AM184" s="5">
        <f>AD$1*((-0.000002)*AD184^3+0.00032*AD184^2+(-0.0021)*AD184)+AE$1*((-0.000002)*AE184^3+0.00032*AE184^2+(-0.0021)*AE184)+AF$1*((-0.000002)*AF184^3+0.00032*AF184^2+(-0.0021)*AF184)+AG$1*((-0.000002)*AG184^3+0.00032*AG184^2+(-0.0021)*AG184)</f>
        <v/>
      </c>
    </row>
    <row r="185" ht="15" customHeight="1" s="27" thickBot="1">
      <c r="A185" s="5">
        <f>(AI185*AI$3+AJ185*AJ$3+AK185*AK$3+AL185*AL$3+AM185*AM$3)*100/(AI$5*AI$3+AJ$5*AJ$3+AK$5*AK$3+AL$5*AL$3+AM$5*AM$3)</f>
        <v/>
      </c>
      <c r="B185" s="16" t="n">
        <v>23</v>
      </c>
      <c r="C185" s="10" t="inlineStr">
        <is>
          <t>Dempster, Aaron</t>
        </is>
      </c>
      <c r="D185" s="17" t="inlineStr">
        <is>
          <t>P</t>
        </is>
      </c>
      <c r="E185" s="17" t="inlineStr">
        <is>
          <t>R</t>
        </is>
      </c>
      <c r="F185" s="17" t="inlineStr">
        <is>
          <t>R</t>
        </is>
      </c>
      <c r="G185" s="17" t="n">
        <v>18</v>
      </c>
      <c r="H185" s="17" t="n">
        <v>25</v>
      </c>
      <c r="I185" s="17" t="n">
        <v>9</v>
      </c>
      <c r="J185" s="17" t="n">
        <v>20</v>
      </c>
      <c r="K185" s="17" t="n">
        <v>16</v>
      </c>
      <c r="L185" s="17" t="n">
        <v>28</v>
      </c>
      <c r="M185" s="17" t="n">
        <v>15</v>
      </c>
      <c r="N185" s="17" t="n">
        <v>57</v>
      </c>
      <c r="O185" s="17" t="n">
        <v>80</v>
      </c>
      <c r="P185" s="17" t="n">
        <v>69</v>
      </c>
      <c r="Q185" s="16" t="n">
        <v>23</v>
      </c>
      <c r="R185" s="10" t="inlineStr">
        <is>
          <t>Dempster, Aaron</t>
        </is>
      </c>
      <c r="S185" s="17" t="inlineStr">
        <is>
          <t>P</t>
        </is>
      </c>
      <c r="T185" s="17" t="inlineStr">
        <is>
          <t>R</t>
        </is>
      </c>
      <c r="U185" s="17" t="inlineStr">
        <is>
          <t>R</t>
        </is>
      </c>
      <c r="V185" s="17" t="n">
        <v>18</v>
      </c>
      <c r="W185" s="17" t="n">
        <v>32</v>
      </c>
      <c r="X185" s="17" t="n">
        <v>18</v>
      </c>
      <c r="Y185" s="17" t="n">
        <v>24</v>
      </c>
      <c r="Z185" s="17" t="n">
        <v>30</v>
      </c>
      <c r="AA185" s="17" t="n">
        <v>16</v>
      </c>
      <c r="AB185" s="17" t="n">
        <v>24</v>
      </c>
      <c r="AC185" s="17" t="n">
        <v>100</v>
      </c>
      <c r="AD185" s="17" t="n">
        <v>29</v>
      </c>
      <c r="AE185" s="17" t="n">
        <v>98</v>
      </c>
      <c r="AF185" s="17" t="n">
        <v>32</v>
      </c>
      <c r="AG185" s="17" t="n">
        <v>94</v>
      </c>
      <c r="AH185" s="17" t="n">
        <v>69</v>
      </c>
      <c r="AI185" s="5">
        <f>H$1*((-0.000002)*H185^3+0.00032*H185^2+(-0.0021)*H185)+I$1*((-0.000002)*I185^3+0.00032*I185^2+(-0.0021)*I185)+J$1*((-0.000002)*J185^3+0.00032*J185^2+(-0.0021)*J185)+K$1*((-0.000002)*K185^3+0.00032*K185^2+(-0.0021)*K185)+L$1*((-0.000002)*L185^3+0.00032*L185^2+(-0.0021)*L185)</f>
        <v/>
      </c>
      <c r="AJ185" s="5">
        <f>M$1*((-0.000002)*M185^3+0.00032*M185^2+(-0.0021)*M185)+N$1*((-0.000002)*N185^3+0.00032*N185^2+(-0.0021)*N185)+O$1*((-0.000002)*O185^3+0.00032*O185^2+(-0.0021)*O185)</f>
        <v/>
      </c>
      <c r="AK185" s="5">
        <f>IF(AA185&lt;50,W$1*((-0.000002)*W185^3+0.00032*W185^2+(-0.0021)*W185)+X$1*((-0.000002)*X185^3+0.00032*X185^2+(-0.0021)*X185)+Y$1*((-0.000002)*Y185^3+0.00032*Y185^2+(-0.0021)*Y185)+Z$1*((-0.000002)*Z185^3+0.00032*Z185^2+(-0.0021)*Z185),X$2*((-0.000002)*X185^3+0.00032*X185^2+(-0.0021)*X185)+Y$2*((-0.000002)*Y185^3+0.00032*Y185^2+(-0.0021)*Y185)+Z$2*((-0.000002)*Z185^3+0.00032*Z185^2+(-0.0021)*Z185)+AA$2*((-0.000002)*AA185^3+0.00032*AA185^2+(-0.0021)*AA185))</f>
        <v/>
      </c>
      <c r="AL185" s="5">
        <f>AB$1*((-0.000002)*AB185^3+0.00032*AB185^2+(-0.0021)*AB185)+AC$1*((-0.000002)*AC185^3+0.00032*AC185^2+(-0.0021)*AC185)</f>
        <v/>
      </c>
      <c r="AM185" s="5">
        <f>AD$1*((-0.000002)*AD185^3+0.00032*AD185^2+(-0.0021)*AD185)+AE$1*((-0.000002)*AE185^3+0.00032*AE185^2+(-0.0021)*AE185)+AF$1*((-0.000002)*AF185^3+0.00032*AF185^2+(-0.0021)*AF185)+AG$1*((-0.000002)*AG185^3+0.00032*AG185^2+(-0.0021)*AG185)</f>
        <v/>
      </c>
    </row>
    <row r="186" ht="15" customHeight="1" s="27" thickBot="1">
      <c r="A186" s="5">
        <f>(AI186*AI$3+AJ186*AJ$3+AK186*AK$3+AL186*AL$3+AM186*AM$3)*100/(AI$5*AI$3+AJ$5*AJ$3+AK$5*AK$3+AL$5*AL$3+AM$5*AM$3)</f>
        <v/>
      </c>
      <c r="B186" s="18" t="n">
        <v>152</v>
      </c>
      <c r="C186" s="11" t="inlineStr">
        <is>
          <t>Lombard, Allen</t>
        </is>
      </c>
      <c r="D186" s="19" t="inlineStr">
        <is>
          <t>P</t>
        </is>
      </c>
      <c r="E186" s="19" t="inlineStr">
        <is>
          <t>L</t>
        </is>
      </c>
      <c r="F186" s="19" t="inlineStr">
        <is>
          <t>L</t>
        </is>
      </c>
      <c r="G186" s="19" t="n">
        <v>18</v>
      </c>
      <c r="H186" s="19" t="n">
        <v>23</v>
      </c>
      <c r="I186" s="19" t="n">
        <v>3</v>
      </c>
      <c r="J186" s="19" t="n">
        <v>14</v>
      </c>
      <c r="K186" s="19" t="n">
        <v>34</v>
      </c>
      <c r="L186" s="19" t="n">
        <v>21</v>
      </c>
      <c r="M186" s="19" t="n">
        <v>14</v>
      </c>
      <c r="N186" s="19" t="n">
        <v>71</v>
      </c>
      <c r="O186" s="19" t="n">
        <v>84</v>
      </c>
      <c r="P186" s="19" t="n">
        <v>40</v>
      </c>
      <c r="Q186" s="18" t="n">
        <v>152</v>
      </c>
      <c r="R186" s="11" t="inlineStr">
        <is>
          <t>Lombard, Allen</t>
        </is>
      </c>
      <c r="S186" s="19" t="inlineStr">
        <is>
          <t>P</t>
        </is>
      </c>
      <c r="T186" s="19" t="inlineStr">
        <is>
          <t>L</t>
        </is>
      </c>
      <c r="U186" s="19" t="inlineStr">
        <is>
          <t>L</t>
        </is>
      </c>
      <c r="V186" s="19" t="n">
        <v>18</v>
      </c>
      <c r="W186" s="19" t="n">
        <v>0</v>
      </c>
      <c r="X186" s="19" t="n">
        <v>40</v>
      </c>
      <c r="Y186" s="19" t="n">
        <v>27</v>
      </c>
      <c r="Z186" s="19" t="n">
        <v>38</v>
      </c>
      <c r="AA186" s="19" t="n">
        <v>18</v>
      </c>
      <c r="AB186" s="19" t="n">
        <v>22</v>
      </c>
      <c r="AC186" s="19" t="n">
        <v>66</v>
      </c>
      <c r="AD186" s="19" t="n">
        <v>10</v>
      </c>
      <c r="AE186" s="19" t="n">
        <v>61</v>
      </c>
      <c r="AF186" s="19" t="n">
        <v>37</v>
      </c>
      <c r="AG186" s="19" t="n">
        <v>53</v>
      </c>
      <c r="AH186" s="19" t="n">
        <v>40</v>
      </c>
      <c r="AI186" s="5">
        <f>H$1*((-0.000002)*H186^3+0.00032*H186^2+(-0.0021)*H186)+I$1*((-0.000002)*I186^3+0.00032*I186^2+(-0.0021)*I186)+J$1*((-0.000002)*J186^3+0.00032*J186^2+(-0.0021)*J186)+K$1*((-0.000002)*K186^3+0.00032*K186^2+(-0.0021)*K186)+L$1*((-0.000002)*L186^3+0.00032*L186^2+(-0.0021)*L186)</f>
        <v/>
      </c>
      <c r="AJ186" s="5">
        <f>M$1*((-0.000002)*M186^3+0.00032*M186^2+(-0.0021)*M186)+N$1*((-0.000002)*N186^3+0.00032*N186^2+(-0.0021)*N186)+O$1*((-0.000002)*O186^3+0.00032*O186^2+(-0.0021)*O186)</f>
        <v/>
      </c>
      <c r="AK186" s="5">
        <f>IF(AA186&lt;50,W$1*((-0.000002)*W186^3+0.00032*W186^2+(-0.0021)*W186)+X$1*((-0.000002)*X186^3+0.00032*X186^2+(-0.0021)*X186)+Y$1*((-0.000002)*Y186^3+0.00032*Y186^2+(-0.0021)*Y186)+Z$1*((-0.000002)*Z186^3+0.00032*Z186^2+(-0.0021)*Z186),X$2*((-0.000002)*X186^3+0.00032*X186^2+(-0.0021)*X186)+Y$2*((-0.000002)*Y186^3+0.00032*Y186^2+(-0.0021)*Y186)+Z$2*((-0.000002)*Z186^3+0.00032*Z186^2+(-0.0021)*Z186)+AA$2*((-0.000002)*AA186^3+0.00032*AA186^2+(-0.0021)*AA186))</f>
        <v/>
      </c>
      <c r="AL186" s="5">
        <f>AB$1*((-0.000002)*AB186^3+0.00032*AB186^2+(-0.0021)*AB186)+AC$1*((-0.000002)*AC186^3+0.00032*AC186^2+(-0.0021)*AC186)</f>
        <v/>
      </c>
      <c r="AM186" s="5">
        <f>AD$1*((-0.000002)*AD186^3+0.00032*AD186^2+(-0.0021)*AD186)+AE$1*((-0.000002)*AE186^3+0.00032*AE186^2+(-0.0021)*AE186)+AF$1*((-0.000002)*AF186^3+0.00032*AF186^2+(-0.0021)*AF186)+AG$1*((-0.000002)*AG186^3+0.00032*AG186^2+(-0.0021)*AG186)</f>
        <v/>
      </c>
    </row>
    <row r="187" ht="15" customHeight="1" s="27" thickBot="1">
      <c r="A187" s="5">
        <f>(AI187*AI$3+AJ187*AJ$3+AK187*AK$3+AL187*AL$3+AM187*AM$3)*100/(AI$5*AI$3+AJ$5*AJ$3+AK$5*AK$3+AL$5*AL$3+AM$5*AM$3)</f>
        <v/>
      </c>
      <c r="B187" s="18" t="n">
        <v>164</v>
      </c>
      <c r="C187" s="11" t="inlineStr">
        <is>
          <t>Oliva, Julian</t>
        </is>
      </c>
      <c r="D187" s="19" t="inlineStr">
        <is>
          <t>P</t>
        </is>
      </c>
      <c r="E187" s="19" t="inlineStr">
        <is>
          <t>R</t>
        </is>
      </c>
      <c r="F187" s="19" t="inlineStr">
        <is>
          <t>R</t>
        </is>
      </c>
      <c r="G187" s="19" t="n">
        <v>18</v>
      </c>
      <c r="H187" s="19" t="n">
        <v>19</v>
      </c>
      <c r="I187" s="19" t="n">
        <v>10</v>
      </c>
      <c r="J187" s="19" t="n">
        <v>14</v>
      </c>
      <c r="K187" s="19" t="n">
        <v>15</v>
      </c>
      <c r="L187" s="19" t="n">
        <v>12</v>
      </c>
      <c r="M187" s="19" t="n">
        <v>10</v>
      </c>
      <c r="N187" s="19" t="n">
        <v>53</v>
      </c>
      <c r="O187" s="19" t="n">
        <v>63</v>
      </c>
      <c r="P187" s="19" t="n">
        <v>38</v>
      </c>
      <c r="Q187" s="18" t="n">
        <v>164</v>
      </c>
      <c r="R187" s="11" t="inlineStr">
        <is>
          <t>Oliva, Julian</t>
        </is>
      </c>
      <c r="S187" s="19" t="inlineStr">
        <is>
          <t>P</t>
        </is>
      </c>
      <c r="T187" s="19" t="inlineStr">
        <is>
          <t>R</t>
        </is>
      </c>
      <c r="U187" s="19" t="inlineStr">
        <is>
          <t>R</t>
        </is>
      </c>
      <c r="V187" s="19" t="n">
        <v>18</v>
      </c>
      <c r="W187" s="19" t="n">
        <v>0</v>
      </c>
      <c r="X187" s="19" t="n">
        <v>0</v>
      </c>
      <c r="Y187" s="19" t="n">
        <v>78</v>
      </c>
      <c r="Z187" s="19" t="n">
        <v>29</v>
      </c>
      <c r="AA187" s="19" t="n">
        <v>16</v>
      </c>
      <c r="AB187" s="19" t="n">
        <v>43</v>
      </c>
      <c r="AC187" s="19" t="n">
        <v>40</v>
      </c>
      <c r="AD187" s="19" t="n">
        <v>24</v>
      </c>
      <c r="AE187" s="19" t="n">
        <v>74</v>
      </c>
      <c r="AF187" s="19" t="n">
        <v>47</v>
      </c>
      <c r="AG187" s="19" t="n">
        <v>90</v>
      </c>
      <c r="AH187" s="19" t="n">
        <v>38</v>
      </c>
      <c r="AI187" s="5">
        <f>H$1*((-0.000002)*H187^3+0.00032*H187^2+(-0.0021)*H187)+I$1*((-0.000002)*I187^3+0.00032*I187^2+(-0.0021)*I187)+J$1*((-0.000002)*J187^3+0.00032*J187^2+(-0.0021)*J187)+K$1*((-0.000002)*K187^3+0.00032*K187^2+(-0.0021)*K187)+L$1*((-0.000002)*L187^3+0.00032*L187^2+(-0.0021)*L187)</f>
        <v/>
      </c>
      <c r="AJ187" s="5">
        <f>M$1*((-0.000002)*M187^3+0.00032*M187^2+(-0.0021)*M187)+N$1*((-0.000002)*N187^3+0.00032*N187^2+(-0.0021)*N187)+O$1*((-0.000002)*O187^3+0.00032*O187^2+(-0.0021)*O187)</f>
        <v/>
      </c>
      <c r="AK187" s="5">
        <f>IF(AA187&lt;50,W$1*((-0.000002)*W187^3+0.00032*W187^2+(-0.0021)*W187)+X$1*((-0.000002)*X187^3+0.00032*X187^2+(-0.0021)*X187)+Y$1*((-0.000002)*Y187^3+0.00032*Y187^2+(-0.0021)*Y187)+Z$1*((-0.000002)*Z187^3+0.00032*Z187^2+(-0.0021)*Z187),X$2*((-0.000002)*X187^3+0.00032*X187^2+(-0.0021)*X187)+Y$2*((-0.000002)*Y187^3+0.00032*Y187^2+(-0.0021)*Y187)+Z$2*((-0.000002)*Z187^3+0.00032*Z187^2+(-0.0021)*Z187)+AA$2*((-0.000002)*AA187^3+0.00032*AA187^2+(-0.0021)*AA187))</f>
        <v/>
      </c>
      <c r="AL187" s="5">
        <f>AB$1*((-0.000002)*AB187^3+0.00032*AB187^2+(-0.0021)*AB187)+AC$1*((-0.000002)*AC187^3+0.00032*AC187^2+(-0.0021)*AC187)</f>
        <v/>
      </c>
      <c r="AM187" s="5">
        <f>AD$1*((-0.000002)*AD187^3+0.00032*AD187^2+(-0.0021)*AD187)+AE$1*((-0.000002)*AE187^3+0.00032*AE187^2+(-0.0021)*AE187)+AF$1*((-0.000002)*AF187^3+0.00032*AF187^2+(-0.0021)*AF187)+AG$1*((-0.000002)*AG187^3+0.00032*AG187^2+(-0.0021)*AG187)</f>
        <v/>
      </c>
    </row>
    <row r="188" ht="15" customHeight="1" s="27" thickBot="1">
      <c r="A188" s="5">
        <f>(AI188*AI$3+AJ188*AJ$3+AK188*AK$3+AL188*AL$3+AM188*AM$3)*100/(AI$5*AI$3+AJ$5*AJ$3+AK$5*AK$3+AL$5*AL$3+AM$5*AM$3)</f>
        <v/>
      </c>
      <c r="B188" s="18" t="n">
        <v>172</v>
      </c>
      <c r="C188" s="11" t="inlineStr">
        <is>
          <t>Taylor, Lonnie</t>
        </is>
      </c>
      <c r="D188" s="19" t="inlineStr">
        <is>
          <t>P</t>
        </is>
      </c>
      <c r="E188" s="19" t="inlineStr">
        <is>
          <t>R</t>
        </is>
      </c>
      <c r="F188" s="19" t="inlineStr">
        <is>
          <t>R</t>
        </is>
      </c>
      <c r="G188" s="19" t="n">
        <v>18</v>
      </c>
      <c r="H188" s="19" t="n">
        <v>19</v>
      </c>
      <c r="I188" s="19" t="n">
        <v>11</v>
      </c>
      <c r="J188" s="19" t="n">
        <v>9</v>
      </c>
      <c r="K188" s="19" t="n">
        <v>13</v>
      </c>
      <c r="L188" s="19" t="n">
        <v>11</v>
      </c>
      <c r="M188" s="19" t="n">
        <v>0</v>
      </c>
      <c r="N188" s="19" t="n">
        <v>52</v>
      </c>
      <c r="O188" s="19" t="n">
        <v>51</v>
      </c>
      <c r="P188" s="19" t="n">
        <v>35</v>
      </c>
      <c r="Q188" s="18" t="n">
        <v>172</v>
      </c>
      <c r="R188" s="11" t="inlineStr">
        <is>
          <t>Taylor, Lonnie</t>
        </is>
      </c>
      <c r="S188" s="19" t="inlineStr">
        <is>
          <t>P</t>
        </is>
      </c>
      <c r="T188" s="19" t="inlineStr">
        <is>
          <t>R</t>
        </is>
      </c>
      <c r="U188" s="19" t="inlineStr">
        <is>
          <t>R</t>
        </is>
      </c>
      <c r="V188" s="19" t="n">
        <v>18</v>
      </c>
      <c r="W188" s="19" t="n">
        <v>0</v>
      </c>
      <c r="X188" s="19" t="n">
        <v>20</v>
      </c>
      <c r="Y188" s="19" t="n">
        <v>62</v>
      </c>
      <c r="Z188" s="19" t="n">
        <v>32</v>
      </c>
      <c r="AA188" s="19" t="n">
        <v>19</v>
      </c>
      <c r="AB188" s="19" t="n">
        <v>76</v>
      </c>
      <c r="AC188" s="19" t="n">
        <v>73</v>
      </c>
      <c r="AD188" s="19" t="n">
        <v>22</v>
      </c>
      <c r="AE188" s="19" t="n">
        <v>79</v>
      </c>
      <c r="AF188" s="19" t="n">
        <v>50</v>
      </c>
      <c r="AG188" s="19" t="n">
        <v>74</v>
      </c>
      <c r="AH188" s="19" t="n">
        <v>35</v>
      </c>
      <c r="AI188" s="5">
        <f>H$1*((-0.000002)*H188^3+0.00032*H188^2+(-0.0021)*H188)+I$1*((-0.000002)*I188^3+0.00032*I188^2+(-0.0021)*I188)+J$1*((-0.000002)*J188^3+0.00032*J188^2+(-0.0021)*J188)+K$1*((-0.000002)*K188^3+0.00032*K188^2+(-0.0021)*K188)+L$1*((-0.000002)*L188^3+0.00032*L188^2+(-0.0021)*L188)</f>
        <v/>
      </c>
      <c r="AJ188" s="5">
        <f>M$1*((-0.000002)*M188^3+0.00032*M188^2+(-0.0021)*M188)+N$1*((-0.000002)*N188^3+0.00032*N188^2+(-0.0021)*N188)+O$1*((-0.000002)*O188^3+0.00032*O188^2+(-0.0021)*O188)</f>
        <v/>
      </c>
      <c r="AK188" s="5">
        <f>IF(AA188&lt;50,W$1*((-0.000002)*W188^3+0.00032*W188^2+(-0.0021)*W188)+X$1*((-0.000002)*X188^3+0.00032*X188^2+(-0.0021)*X188)+Y$1*((-0.000002)*Y188^3+0.00032*Y188^2+(-0.0021)*Y188)+Z$1*((-0.000002)*Z188^3+0.00032*Z188^2+(-0.0021)*Z188),X$2*((-0.000002)*X188^3+0.00032*X188^2+(-0.0021)*X188)+Y$2*((-0.000002)*Y188^3+0.00032*Y188^2+(-0.0021)*Y188)+Z$2*((-0.000002)*Z188^3+0.00032*Z188^2+(-0.0021)*Z188)+AA$2*((-0.000002)*AA188^3+0.00032*AA188^2+(-0.0021)*AA188))</f>
        <v/>
      </c>
      <c r="AL188" s="5">
        <f>AB$1*((-0.000002)*AB188^3+0.00032*AB188^2+(-0.0021)*AB188)+AC$1*((-0.000002)*AC188^3+0.00032*AC188^2+(-0.0021)*AC188)</f>
        <v/>
      </c>
      <c r="AM188" s="5">
        <f>AD$1*((-0.000002)*AD188^3+0.00032*AD188^2+(-0.0021)*AD188)+AE$1*((-0.000002)*AE188^3+0.00032*AE188^2+(-0.0021)*AE188)+AF$1*((-0.000002)*AF188^3+0.00032*AF188^2+(-0.0021)*AF188)+AG$1*((-0.000002)*AG188^3+0.00032*AG188^2+(-0.0021)*AG188)</f>
        <v/>
      </c>
    </row>
    <row r="189" ht="15" customHeight="1" s="27" thickBot="1">
      <c r="A189" s="5">
        <f>(AI189*AI$3+AJ189*AJ$3+AK189*AK$3+AL189*AL$3+AM189*AM$3)*100/(AI$5*AI$3+AJ$5*AJ$3+AK$5*AK$3+AL$5*AL$3+AM$5*AM$3)</f>
        <v/>
      </c>
      <c r="B189" s="16" t="n">
        <v>111</v>
      </c>
      <c r="C189" s="10" t="inlineStr">
        <is>
          <t>Ordonez, Del</t>
        </is>
      </c>
      <c r="D189" s="17" t="inlineStr">
        <is>
          <t>P</t>
        </is>
      </c>
      <c r="E189" s="17" t="inlineStr">
        <is>
          <t>L</t>
        </is>
      </c>
      <c r="F189" s="17" t="inlineStr">
        <is>
          <t>L</t>
        </is>
      </c>
      <c r="G189" s="17" t="n">
        <v>18</v>
      </c>
      <c r="H189" s="17" t="n">
        <v>21</v>
      </c>
      <c r="I189" s="17" t="n">
        <v>0</v>
      </c>
      <c r="J189" s="17" t="n">
        <v>21</v>
      </c>
      <c r="K189" s="17" t="n">
        <v>32</v>
      </c>
      <c r="L189" s="17" t="n">
        <v>15</v>
      </c>
      <c r="M189" s="17" t="n">
        <v>21</v>
      </c>
      <c r="N189" s="17" t="n">
        <v>52</v>
      </c>
      <c r="O189" s="17" t="n">
        <v>70</v>
      </c>
      <c r="P189" s="17" t="n">
        <v>48</v>
      </c>
      <c r="Q189" s="16" t="n">
        <v>111</v>
      </c>
      <c r="R189" s="10" t="inlineStr">
        <is>
          <t>Ordonez, Del</t>
        </is>
      </c>
      <c r="S189" s="17" t="inlineStr">
        <is>
          <t>P</t>
        </is>
      </c>
      <c r="T189" s="17" t="inlineStr">
        <is>
          <t>L</t>
        </is>
      </c>
      <c r="U189" s="17" t="inlineStr">
        <is>
          <t>L</t>
        </is>
      </c>
      <c r="V189" s="17" t="n">
        <v>18</v>
      </c>
      <c r="W189" s="17" t="n">
        <v>0</v>
      </c>
      <c r="X189" s="17" t="n">
        <v>22</v>
      </c>
      <c r="Y189" s="17" t="n">
        <v>23</v>
      </c>
      <c r="Z189" s="17" t="n">
        <v>53</v>
      </c>
      <c r="AA189" s="17" t="n">
        <v>2</v>
      </c>
      <c r="AB189" s="17" t="n">
        <v>33</v>
      </c>
      <c r="AC189" s="17" t="n">
        <v>61</v>
      </c>
      <c r="AD189" s="17" t="n">
        <v>42</v>
      </c>
      <c r="AE189" s="17" t="n">
        <v>33</v>
      </c>
      <c r="AF189" s="17" t="n">
        <v>45</v>
      </c>
      <c r="AG189" s="17" t="n">
        <v>57</v>
      </c>
      <c r="AH189" s="17" t="n">
        <v>48</v>
      </c>
      <c r="AI189" s="5">
        <f>H$1*((-0.000002)*H189^3+0.00032*H189^2+(-0.0021)*H189)+I$1*((-0.000002)*I189^3+0.00032*I189^2+(-0.0021)*I189)+J$1*((-0.000002)*J189^3+0.00032*J189^2+(-0.0021)*J189)+K$1*((-0.000002)*K189^3+0.00032*K189^2+(-0.0021)*K189)+L$1*((-0.000002)*L189^3+0.00032*L189^2+(-0.0021)*L189)</f>
        <v/>
      </c>
      <c r="AJ189" s="5">
        <f>M$1*((-0.000002)*M189^3+0.00032*M189^2+(-0.0021)*M189)+N$1*((-0.000002)*N189^3+0.00032*N189^2+(-0.0021)*N189)+O$1*((-0.000002)*O189^3+0.00032*O189^2+(-0.0021)*O189)</f>
        <v/>
      </c>
      <c r="AK189" s="5">
        <f>IF(AA189&lt;50,W$1*((-0.000002)*W189^3+0.00032*W189^2+(-0.0021)*W189)+X$1*((-0.000002)*X189^3+0.00032*X189^2+(-0.0021)*X189)+Y$1*((-0.000002)*Y189^3+0.00032*Y189^2+(-0.0021)*Y189)+Z$1*((-0.000002)*Z189^3+0.00032*Z189^2+(-0.0021)*Z189),X$2*((-0.000002)*X189^3+0.00032*X189^2+(-0.0021)*X189)+Y$2*((-0.000002)*Y189^3+0.00032*Y189^2+(-0.0021)*Y189)+Z$2*((-0.000002)*Z189^3+0.00032*Z189^2+(-0.0021)*Z189)+AA$2*((-0.000002)*AA189^3+0.00032*AA189^2+(-0.0021)*AA189))</f>
        <v/>
      </c>
      <c r="AL189" s="5">
        <f>AB$1*((-0.000002)*AB189^3+0.00032*AB189^2+(-0.0021)*AB189)+AC$1*((-0.000002)*AC189^3+0.00032*AC189^2+(-0.0021)*AC189)</f>
        <v/>
      </c>
      <c r="AM189" s="5">
        <f>AD$1*((-0.000002)*AD189^3+0.00032*AD189^2+(-0.0021)*AD189)+AE$1*((-0.000002)*AE189^3+0.00032*AE189^2+(-0.0021)*AE189)+AF$1*((-0.000002)*AF189^3+0.00032*AF189^2+(-0.0021)*AF189)+AG$1*((-0.000002)*AG189^3+0.00032*AG189^2+(-0.0021)*AG189)</f>
        <v/>
      </c>
    </row>
    <row r="190" ht="15" customHeight="1" s="27" thickBot="1">
      <c r="A190" s="5">
        <f>(AI190*AI$3+AJ190*AJ$3+AK190*AK$3+AL190*AL$3+AM190*AM$3)*100/(AI$5*AI$3+AJ$5*AJ$3+AK$5*AK$3+AL$5*AL$3+AM$5*AM$3)</f>
        <v/>
      </c>
      <c r="B190" s="16" t="n">
        <v>165</v>
      </c>
      <c r="C190" s="10" t="inlineStr">
        <is>
          <t>Spencer, Bret</t>
        </is>
      </c>
      <c r="D190" s="17" t="inlineStr">
        <is>
          <t>P</t>
        </is>
      </c>
      <c r="E190" s="17" t="inlineStr">
        <is>
          <t>L</t>
        </is>
      </c>
      <c r="F190" s="17" t="inlineStr">
        <is>
          <t>L</t>
        </is>
      </c>
      <c r="G190" s="17" t="n">
        <v>21</v>
      </c>
      <c r="H190" s="17" t="n">
        <v>15</v>
      </c>
      <c r="I190" s="17" t="n">
        <v>0</v>
      </c>
      <c r="J190" s="17" t="n">
        <v>48</v>
      </c>
      <c r="K190" s="17" t="n">
        <v>5</v>
      </c>
      <c r="L190" s="17" t="n">
        <v>18</v>
      </c>
      <c r="M190" s="17" t="n">
        <v>34</v>
      </c>
      <c r="N190" s="17" t="n">
        <v>56</v>
      </c>
      <c r="O190" s="17" t="n">
        <v>78</v>
      </c>
      <c r="P190" s="17" t="n">
        <v>51</v>
      </c>
      <c r="Q190" s="16" t="n">
        <v>165</v>
      </c>
      <c r="R190" s="10" t="inlineStr">
        <is>
          <t>Spencer, Bret</t>
        </is>
      </c>
      <c r="S190" s="17" t="inlineStr">
        <is>
          <t>P</t>
        </is>
      </c>
      <c r="T190" s="17" t="inlineStr">
        <is>
          <t>L</t>
        </is>
      </c>
      <c r="U190" s="17" t="inlineStr">
        <is>
          <t>L</t>
        </is>
      </c>
      <c r="V190" s="17" t="n">
        <v>21</v>
      </c>
      <c r="W190" s="17" t="n">
        <v>30</v>
      </c>
      <c r="X190" s="17" t="n">
        <v>15</v>
      </c>
      <c r="Y190" s="17" t="n">
        <v>41</v>
      </c>
      <c r="Z190" s="17" t="n">
        <v>20</v>
      </c>
      <c r="AA190" s="17" t="n">
        <v>0</v>
      </c>
      <c r="AB190" s="17" t="n">
        <v>36</v>
      </c>
      <c r="AC190" s="17" t="n">
        <v>44</v>
      </c>
      <c r="AD190" s="17" t="n">
        <v>18</v>
      </c>
      <c r="AE190" s="17" t="n">
        <v>93</v>
      </c>
      <c r="AF190" s="17" t="n">
        <v>45</v>
      </c>
      <c r="AG190" s="17" t="n">
        <v>87</v>
      </c>
      <c r="AH190" s="17" t="n">
        <v>51</v>
      </c>
      <c r="AI190" s="5">
        <f>H$1*((-0.000002)*H190^3+0.00032*H190^2+(-0.0021)*H190)+I$1*((-0.000002)*I190^3+0.00032*I190^2+(-0.0021)*I190)+J$1*((-0.000002)*J190^3+0.00032*J190^2+(-0.0021)*J190)+K$1*((-0.000002)*K190^3+0.00032*K190^2+(-0.0021)*K190)+L$1*((-0.000002)*L190^3+0.00032*L190^2+(-0.0021)*L190)</f>
        <v/>
      </c>
      <c r="AJ190" s="5">
        <f>M$1*((-0.000002)*M190^3+0.00032*M190^2+(-0.0021)*M190)+N$1*((-0.000002)*N190^3+0.00032*N190^2+(-0.0021)*N190)+O$1*((-0.000002)*O190^3+0.00032*O190^2+(-0.0021)*O190)</f>
        <v/>
      </c>
      <c r="AK190" s="5">
        <f>IF(AA190&lt;50,W$1*((-0.000002)*W190^3+0.00032*W190^2+(-0.0021)*W190)+X$1*((-0.000002)*X190^3+0.00032*X190^2+(-0.0021)*X190)+Y$1*((-0.000002)*Y190^3+0.00032*Y190^2+(-0.0021)*Y190)+Z$1*((-0.000002)*Z190^3+0.00032*Z190^2+(-0.0021)*Z190),X$2*((-0.000002)*X190^3+0.00032*X190^2+(-0.0021)*X190)+Y$2*((-0.000002)*Y190^3+0.00032*Y190^2+(-0.0021)*Y190)+Z$2*((-0.000002)*Z190^3+0.00032*Z190^2+(-0.0021)*Z190)+AA$2*((-0.000002)*AA190^3+0.00032*AA190^2+(-0.0021)*AA190))</f>
        <v/>
      </c>
      <c r="AL190" s="5">
        <f>AB$1*((-0.000002)*AB190^3+0.00032*AB190^2+(-0.0021)*AB190)+AC$1*((-0.000002)*AC190^3+0.00032*AC190^2+(-0.0021)*AC190)</f>
        <v/>
      </c>
      <c r="AM190" s="5">
        <f>AD$1*((-0.000002)*AD190^3+0.00032*AD190^2+(-0.0021)*AD190)+AE$1*((-0.000002)*AE190^3+0.00032*AE190^2+(-0.0021)*AE190)+AF$1*((-0.000002)*AF190^3+0.00032*AF190^2+(-0.0021)*AF190)+AG$1*((-0.000002)*AG190^3+0.00032*AG190^2+(-0.0021)*AG190)</f>
        <v/>
      </c>
    </row>
    <row r="191" ht="15" customHeight="1" s="27" thickBot="1">
      <c r="A191" s="5">
        <f>(AI191*AI$3+AJ191*AJ$3+AK191*AK$3+AL191*AL$3+AM191*AM$3)*100/(AI$5*AI$3+AJ$5*AJ$3+AK$5*AK$3+AL$5*AL$3+AM$5*AM$3)</f>
        <v/>
      </c>
      <c r="B191" s="18" t="n">
        <v>132</v>
      </c>
      <c r="C191" s="11" t="inlineStr">
        <is>
          <t>Henry, Ron</t>
        </is>
      </c>
      <c r="D191" s="19" t="inlineStr">
        <is>
          <t>P</t>
        </is>
      </c>
      <c r="E191" s="19" t="inlineStr">
        <is>
          <t>R</t>
        </is>
      </c>
      <c r="F191" s="19" t="inlineStr">
        <is>
          <t>R</t>
        </is>
      </c>
      <c r="G191" s="19" t="n">
        <v>18</v>
      </c>
      <c r="H191" s="19" t="n">
        <v>14</v>
      </c>
      <c r="I191" s="19" t="n">
        <v>8</v>
      </c>
      <c r="J191" s="19" t="n">
        <v>30</v>
      </c>
      <c r="K191" s="19" t="n">
        <v>8</v>
      </c>
      <c r="L191" s="19" t="n">
        <v>5</v>
      </c>
      <c r="M191" s="19" t="n">
        <v>16</v>
      </c>
      <c r="N191" s="19" t="n">
        <v>69</v>
      </c>
      <c r="O191" s="19" t="n">
        <v>55</v>
      </c>
      <c r="P191" s="19" t="n">
        <v>44</v>
      </c>
      <c r="Q191" s="18" t="n">
        <v>132</v>
      </c>
      <c r="R191" s="11" t="inlineStr">
        <is>
          <t>Henry, Ron</t>
        </is>
      </c>
      <c r="S191" s="19" t="inlineStr">
        <is>
          <t>P</t>
        </is>
      </c>
      <c r="T191" s="19" t="inlineStr">
        <is>
          <t>R</t>
        </is>
      </c>
      <c r="U191" s="19" t="inlineStr">
        <is>
          <t>R</t>
        </is>
      </c>
      <c r="V191" s="19" t="n">
        <v>18</v>
      </c>
      <c r="W191" s="19" t="n">
        <v>10</v>
      </c>
      <c r="X191" s="19" t="n">
        <v>6</v>
      </c>
      <c r="Y191" s="19" t="n">
        <v>55</v>
      </c>
      <c r="Z191" s="19" t="n">
        <v>29</v>
      </c>
      <c r="AA191" s="19" t="n">
        <v>15</v>
      </c>
      <c r="AB191" s="19" t="n">
        <v>77</v>
      </c>
      <c r="AC191" s="19" t="n">
        <v>82</v>
      </c>
      <c r="AD191" s="19" t="n">
        <v>42</v>
      </c>
      <c r="AE191" s="19" t="n">
        <v>48</v>
      </c>
      <c r="AF191" s="19" t="n">
        <v>30</v>
      </c>
      <c r="AG191" s="19" t="n">
        <v>81</v>
      </c>
      <c r="AH191" s="19" t="n">
        <v>44</v>
      </c>
      <c r="AI191" s="5">
        <f>H$1*((-0.000002)*H191^3+0.00032*H191^2+(-0.0021)*H191)+I$1*((-0.000002)*I191^3+0.00032*I191^2+(-0.0021)*I191)+J$1*((-0.000002)*J191^3+0.00032*J191^2+(-0.0021)*J191)+K$1*((-0.000002)*K191^3+0.00032*K191^2+(-0.0021)*K191)+L$1*((-0.000002)*L191^3+0.00032*L191^2+(-0.0021)*L191)</f>
        <v/>
      </c>
      <c r="AJ191" s="5">
        <f>M$1*((-0.000002)*M191^3+0.00032*M191^2+(-0.0021)*M191)+N$1*((-0.000002)*N191^3+0.00032*N191^2+(-0.0021)*N191)+O$1*((-0.000002)*O191^3+0.00032*O191^2+(-0.0021)*O191)</f>
        <v/>
      </c>
      <c r="AK191" s="5">
        <f>IF(AA191&lt;50,W$1*((-0.000002)*W191^3+0.00032*W191^2+(-0.0021)*W191)+X$1*((-0.000002)*X191^3+0.00032*X191^2+(-0.0021)*X191)+Y$1*((-0.000002)*Y191^3+0.00032*Y191^2+(-0.0021)*Y191)+Z$1*((-0.000002)*Z191^3+0.00032*Z191^2+(-0.0021)*Z191),X$2*((-0.000002)*X191^3+0.00032*X191^2+(-0.0021)*X191)+Y$2*((-0.000002)*Y191^3+0.00032*Y191^2+(-0.0021)*Y191)+Z$2*((-0.000002)*Z191^3+0.00032*Z191^2+(-0.0021)*Z191)+AA$2*((-0.000002)*AA191^3+0.00032*AA191^2+(-0.0021)*AA191))</f>
        <v/>
      </c>
      <c r="AL191" s="5">
        <f>AB$1*((-0.000002)*AB191^3+0.00032*AB191^2+(-0.0021)*AB191)+AC$1*((-0.000002)*AC191^3+0.00032*AC191^2+(-0.0021)*AC191)</f>
        <v/>
      </c>
      <c r="AM191" s="5">
        <f>AD$1*((-0.000002)*AD191^3+0.00032*AD191^2+(-0.0021)*AD191)+AE$1*((-0.000002)*AE191^3+0.00032*AE191^2+(-0.0021)*AE191)+AF$1*((-0.000002)*AF191^3+0.00032*AF191^2+(-0.0021)*AF191)+AG$1*((-0.000002)*AG191^3+0.00032*AG191^2+(-0.0021)*AG191)</f>
        <v/>
      </c>
    </row>
    <row r="192" ht="15" customHeight="1" s="27" thickBot="1">
      <c r="A192" s="5">
        <f>(AI192*AI$3+AJ192*AJ$3+AK192*AK$3+AL192*AL$3+AM192*AM$3)*100/(AI$5*AI$3+AJ$5*AJ$3+AK$5*AK$3+AL$5*AL$3+AM$5*AM$3)</f>
        <v/>
      </c>
      <c r="B192" s="16" t="n">
        <v>41</v>
      </c>
      <c r="C192" s="10" t="inlineStr">
        <is>
          <t>Parrott, Matthew</t>
        </is>
      </c>
      <c r="D192" s="17" t="inlineStr">
        <is>
          <t>P</t>
        </is>
      </c>
      <c r="E192" s="17" t="inlineStr">
        <is>
          <t>R</t>
        </is>
      </c>
      <c r="F192" s="17" t="inlineStr">
        <is>
          <t>R</t>
        </is>
      </c>
      <c r="G192" s="17" t="n">
        <v>18</v>
      </c>
      <c r="H192" s="17" t="n">
        <v>24</v>
      </c>
      <c r="I192" s="17" t="n">
        <v>5</v>
      </c>
      <c r="J192" s="17" t="n">
        <v>22</v>
      </c>
      <c r="K192" s="17" t="n">
        <v>19</v>
      </c>
      <c r="L192" s="17" t="n">
        <v>19</v>
      </c>
      <c r="M192" s="17" t="n">
        <v>27</v>
      </c>
      <c r="N192" s="17" t="n">
        <v>71</v>
      </c>
      <c r="O192" s="17" t="n">
        <v>53</v>
      </c>
      <c r="P192" s="17" t="n">
        <v>63</v>
      </c>
      <c r="Q192" s="16" t="n">
        <v>41</v>
      </c>
      <c r="R192" s="10" t="inlineStr">
        <is>
          <t>Parrott, Matthew</t>
        </is>
      </c>
      <c r="S192" s="17" t="inlineStr">
        <is>
          <t>P</t>
        </is>
      </c>
      <c r="T192" s="17" t="inlineStr">
        <is>
          <t>R</t>
        </is>
      </c>
      <c r="U192" s="17" t="inlineStr">
        <is>
          <t>R</t>
        </is>
      </c>
      <c r="V192" s="17" t="n">
        <v>18</v>
      </c>
      <c r="W192" s="17" t="n">
        <v>0</v>
      </c>
      <c r="X192" s="17" t="n">
        <v>25</v>
      </c>
      <c r="Y192" s="17" t="n">
        <v>25</v>
      </c>
      <c r="Z192" s="17" t="n">
        <v>42</v>
      </c>
      <c r="AA192" s="17" t="n">
        <v>4</v>
      </c>
      <c r="AB192" s="17" t="n">
        <v>47</v>
      </c>
      <c r="AC192" s="17" t="n">
        <v>54</v>
      </c>
      <c r="AD192" s="17" t="n">
        <v>28</v>
      </c>
      <c r="AE192" s="17" t="n">
        <v>82</v>
      </c>
      <c r="AF192" s="17" t="n">
        <v>35</v>
      </c>
      <c r="AG192" s="17" t="n">
        <v>74</v>
      </c>
      <c r="AH192" s="17" t="n">
        <v>63</v>
      </c>
      <c r="AI192" s="5">
        <f>H$1*((-0.000002)*H192^3+0.00032*H192^2+(-0.0021)*H192)+I$1*((-0.000002)*I192^3+0.00032*I192^2+(-0.0021)*I192)+J$1*((-0.000002)*J192^3+0.00032*J192^2+(-0.0021)*J192)+K$1*((-0.000002)*K192^3+0.00032*K192^2+(-0.0021)*K192)+L$1*((-0.000002)*L192^3+0.00032*L192^2+(-0.0021)*L192)</f>
        <v/>
      </c>
      <c r="AJ192" s="5">
        <f>M$1*((-0.000002)*M192^3+0.00032*M192^2+(-0.0021)*M192)+N$1*((-0.000002)*N192^3+0.00032*N192^2+(-0.0021)*N192)+O$1*((-0.000002)*O192^3+0.00032*O192^2+(-0.0021)*O192)</f>
        <v/>
      </c>
      <c r="AK192" s="5">
        <f>IF(AA192&lt;50,W$1*((-0.000002)*W192^3+0.00032*W192^2+(-0.0021)*W192)+X$1*((-0.000002)*X192^3+0.00032*X192^2+(-0.0021)*X192)+Y$1*((-0.000002)*Y192^3+0.00032*Y192^2+(-0.0021)*Y192)+Z$1*((-0.000002)*Z192^3+0.00032*Z192^2+(-0.0021)*Z192),X$2*((-0.000002)*X192^3+0.00032*X192^2+(-0.0021)*X192)+Y$2*((-0.000002)*Y192^3+0.00032*Y192^2+(-0.0021)*Y192)+Z$2*((-0.000002)*Z192^3+0.00032*Z192^2+(-0.0021)*Z192)+AA$2*((-0.000002)*AA192^3+0.00032*AA192^2+(-0.0021)*AA192))</f>
        <v/>
      </c>
      <c r="AL192" s="5">
        <f>AB$1*((-0.000002)*AB192^3+0.00032*AB192^2+(-0.0021)*AB192)+AC$1*((-0.000002)*AC192^3+0.00032*AC192^2+(-0.0021)*AC192)</f>
        <v/>
      </c>
      <c r="AM192" s="5">
        <f>AD$1*((-0.000002)*AD192^3+0.00032*AD192^2+(-0.0021)*AD192)+AE$1*((-0.000002)*AE192^3+0.00032*AE192^2+(-0.0021)*AE192)+AF$1*((-0.000002)*AF192^3+0.00032*AF192^2+(-0.0021)*AF192)+AG$1*((-0.000002)*AG192^3+0.00032*AG192^2+(-0.0021)*AG192)</f>
        <v/>
      </c>
    </row>
    <row r="193" ht="15" customHeight="1" s="27" thickBot="1">
      <c r="A193" s="5">
        <f>(AI193*AI$3+AJ193*AJ$3+AK193*AK$3+AL193*AL$3+AM193*AM$3)*100/(AI$5*AI$3+AJ$5*AJ$3+AK$5*AK$3+AL$5*AL$3+AM$5*AM$3)</f>
        <v/>
      </c>
      <c r="B193" s="16" t="n">
        <v>89</v>
      </c>
      <c r="C193" s="10" t="inlineStr">
        <is>
          <t>McKay, Roy</t>
        </is>
      </c>
      <c r="D193" s="17" t="inlineStr">
        <is>
          <t>P</t>
        </is>
      </c>
      <c r="E193" s="17" t="inlineStr">
        <is>
          <t>L</t>
        </is>
      </c>
      <c r="F193" s="17" t="inlineStr">
        <is>
          <t>L</t>
        </is>
      </c>
      <c r="G193" s="17" t="n">
        <v>18</v>
      </c>
      <c r="H193" s="17" t="n">
        <v>15</v>
      </c>
      <c r="I193" s="17" t="n">
        <v>0</v>
      </c>
      <c r="J193" s="17" t="n">
        <v>23</v>
      </c>
      <c r="K193" s="17" t="n">
        <v>20</v>
      </c>
      <c r="L193" s="17" t="n">
        <v>2</v>
      </c>
      <c r="M193" s="17" t="n">
        <v>17</v>
      </c>
      <c r="N193" s="17" t="n">
        <v>68</v>
      </c>
      <c r="O193" s="17" t="n">
        <v>75</v>
      </c>
      <c r="P193" s="17" t="n">
        <v>53</v>
      </c>
      <c r="Q193" s="16" t="n">
        <v>89</v>
      </c>
      <c r="R193" s="10" t="inlineStr">
        <is>
          <t>McKay, Roy</t>
        </is>
      </c>
      <c r="S193" s="17" t="inlineStr">
        <is>
          <t>P</t>
        </is>
      </c>
      <c r="T193" s="17" t="inlineStr">
        <is>
          <t>L</t>
        </is>
      </c>
      <c r="U193" s="17" t="inlineStr">
        <is>
          <t>L</t>
        </is>
      </c>
      <c r="V193" s="17" t="n">
        <v>18</v>
      </c>
      <c r="W193" s="17" t="n">
        <v>19</v>
      </c>
      <c r="X193" s="17" t="n">
        <v>52</v>
      </c>
      <c r="Y193" s="17" t="n">
        <v>22</v>
      </c>
      <c r="Z193" s="17" t="n">
        <v>30</v>
      </c>
      <c r="AA193" s="17" t="n">
        <v>23</v>
      </c>
      <c r="AB193" s="17" t="n">
        <v>26</v>
      </c>
      <c r="AC193" s="17" t="n">
        <v>96</v>
      </c>
      <c r="AD193" s="17" t="n">
        <v>44</v>
      </c>
      <c r="AE193" s="17" t="n">
        <v>85</v>
      </c>
      <c r="AF193" s="17" t="n">
        <v>41</v>
      </c>
      <c r="AG193" s="17" t="n">
        <v>86</v>
      </c>
      <c r="AH193" s="17" t="n">
        <v>53</v>
      </c>
      <c r="AI193" s="5">
        <f>H$1*((-0.000002)*H193^3+0.00032*H193^2+(-0.0021)*H193)+I$1*((-0.000002)*I193^3+0.00032*I193^2+(-0.0021)*I193)+J$1*((-0.000002)*J193^3+0.00032*J193^2+(-0.0021)*J193)+K$1*((-0.000002)*K193^3+0.00032*K193^2+(-0.0021)*K193)+L$1*((-0.000002)*L193^3+0.00032*L193^2+(-0.0021)*L193)</f>
        <v/>
      </c>
      <c r="AJ193" s="5">
        <f>M$1*((-0.000002)*M193^3+0.00032*M193^2+(-0.0021)*M193)+N$1*((-0.000002)*N193^3+0.00032*N193^2+(-0.0021)*N193)+O$1*((-0.000002)*O193^3+0.00032*O193^2+(-0.0021)*O193)</f>
        <v/>
      </c>
      <c r="AK193" s="5">
        <f>IF(AA193&lt;50,W$1*((-0.000002)*W193^3+0.00032*W193^2+(-0.0021)*W193)+X$1*((-0.000002)*X193^3+0.00032*X193^2+(-0.0021)*X193)+Y$1*((-0.000002)*Y193^3+0.00032*Y193^2+(-0.0021)*Y193)+Z$1*((-0.000002)*Z193^3+0.00032*Z193^2+(-0.0021)*Z193),X$2*((-0.000002)*X193^3+0.00032*X193^2+(-0.0021)*X193)+Y$2*((-0.000002)*Y193^3+0.00032*Y193^2+(-0.0021)*Y193)+Z$2*((-0.000002)*Z193^3+0.00032*Z193^2+(-0.0021)*Z193)+AA$2*((-0.000002)*AA193^3+0.00032*AA193^2+(-0.0021)*AA193))</f>
        <v/>
      </c>
      <c r="AL193" s="5">
        <f>AB$1*((-0.000002)*AB193^3+0.00032*AB193^2+(-0.0021)*AB193)+AC$1*((-0.000002)*AC193^3+0.00032*AC193^2+(-0.0021)*AC193)</f>
        <v/>
      </c>
      <c r="AM193" s="5">
        <f>AD$1*((-0.000002)*AD193^3+0.00032*AD193^2+(-0.0021)*AD193)+AE$1*((-0.000002)*AE193^3+0.00032*AE193^2+(-0.0021)*AE193)+AF$1*((-0.000002)*AF193^3+0.00032*AF193^2+(-0.0021)*AF193)+AG$1*((-0.000002)*AG193^3+0.00032*AG193^2+(-0.0021)*AG193)</f>
        <v/>
      </c>
    </row>
    <row r="194" ht="15" customHeight="1" s="27" thickBot="1">
      <c r="A194" s="5">
        <f>(AI194*AI$3+AJ194*AJ$3+AK194*AK$3+AL194*AL$3+AM194*AM$3)*100/(AI$5*AI$3+AJ$5*AJ$3+AK$5*AK$3+AL$5*AL$3+AM$5*AM$3)</f>
        <v/>
      </c>
      <c r="B194" s="16" t="n">
        <v>123</v>
      </c>
      <c r="C194" s="10" t="inlineStr">
        <is>
          <t>Ordonez, Kendrys</t>
        </is>
      </c>
      <c r="D194" s="17" t="inlineStr">
        <is>
          <t>P</t>
        </is>
      </c>
      <c r="E194" s="17" t="inlineStr">
        <is>
          <t>R</t>
        </is>
      </c>
      <c r="F194" s="17" t="inlineStr">
        <is>
          <t>R</t>
        </is>
      </c>
      <c r="G194" s="17" t="n">
        <v>18</v>
      </c>
      <c r="H194" s="17" t="n">
        <v>7</v>
      </c>
      <c r="I194" s="17" t="n">
        <v>7</v>
      </c>
      <c r="J194" s="17" t="n">
        <v>24</v>
      </c>
      <c r="K194" s="17" t="n">
        <v>19</v>
      </c>
      <c r="L194" s="17" t="n">
        <v>24</v>
      </c>
      <c r="M194" s="17" t="n">
        <v>17</v>
      </c>
      <c r="N194" s="17" t="n">
        <v>76</v>
      </c>
      <c r="O194" s="17" t="n">
        <v>53</v>
      </c>
      <c r="P194" s="17" t="n">
        <v>46</v>
      </c>
      <c r="Q194" s="16" t="n">
        <v>123</v>
      </c>
      <c r="R194" s="10" t="inlineStr">
        <is>
          <t>Ordonez, Kendrys</t>
        </is>
      </c>
      <c r="S194" s="17" t="inlineStr">
        <is>
          <t>P</t>
        </is>
      </c>
      <c r="T194" s="17" t="inlineStr">
        <is>
          <t>R</t>
        </is>
      </c>
      <c r="U194" s="17" t="inlineStr">
        <is>
          <t>R</t>
        </is>
      </c>
      <c r="V194" s="17" t="n">
        <v>18</v>
      </c>
      <c r="W194" s="17" t="n">
        <v>35</v>
      </c>
      <c r="X194" s="17" t="n">
        <v>23</v>
      </c>
      <c r="Y194" s="17" t="n">
        <v>18</v>
      </c>
      <c r="Z194" s="17" t="n">
        <v>36</v>
      </c>
      <c r="AA194" s="17" t="n">
        <v>2</v>
      </c>
      <c r="AB194" s="17" t="n">
        <v>39</v>
      </c>
      <c r="AC194" s="17" t="n">
        <v>58</v>
      </c>
      <c r="AD194" s="17" t="n">
        <v>10</v>
      </c>
      <c r="AE194" s="17" t="n">
        <v>50</v>
      </c>
      <c r="AF194" s="17" t="n">
        <v>38</v>
      </c>
      <c r="AG194" s="17" t="n">
        <v>85</v>
      </c>
      <c r="AH194" s="17" t="n">
        <v>46</v>
      </c>
      <c r="AI194" s="5">
        <f>H$1*((-0.000002)*H194^3+0.00032*H194^2+(-0.0021)*H194)+I$1*((-0.000002)*I194^3+0.00032*I194^2+(-0.0021)*I194)+J$1*((-0.000002)*J194^3+0.00032*J194^2+(-0.0021)*J194)+K$1*((-0.000002)*K194^3+0.00032*K194^2+(-0.0021)*K194)+L$1*((-0.000002)*L194^3+0.00032*L194^2+(-0.0021)*L194)</f>
        <v/>
      </c>
      <c r="AJ194" s="5">
        <f>M$1*((-0.000002)*M194^3+0.00032*M194^2+(-0.0021)*M194)+N$1*((-0.000002)*N194^3+0.00032*N194^2+(-0.0021)*N194)+O$1*((-0.000002)*O194^3+0.00032*O194^2+(-0.0021)*O194)</f>
        <v/>
      </c>
      <c r="AK194" s="5">
        <f>IF(AA194&lt;50,W$1*((-0.000002)*W194^3+0.00032*W194^2+(-0.0021)*W194)+X$1*((-0.000002)*X194^3+0.00032*X194^2+(-0.0021)*X194)+Y$1*((-0.000002)*Y194^3+0.00032*Y194^2+(-0.0021)*Y194)+Z$1*((-0.000002)*Z194^3+0.00032*Z194^2+(-0.0021)*Z194),X$2*((-0.000002)*X194^3+0.00032*X194^2+(-0.0021)*X194)+Y$2*((-0.000002)*Y194^3+0.00032*Y194^2+(-0.0021)*Y194)+Z$2*((-0.000002)*Z194^3+0.00032*Z194^2+(-0.0021)*Z194)+AA$2*((-0.000002)*AA194^3+0.00032*AA194^2+(-0.0021)*AA194))</f>
        <v/>
      </c>
      <c r="AL194" s="5">
        <f>AB$1*((-0.000002)*AB194^3+0.00032*AB194^2+(-0.0021)*AB194)+AC$1*((-0.000002)*AC194^3+0.00032*AC194^2+(-0.0021)*AC194)</f>
        <v/>
      </c>
      <c r="AM194" s="5">
        <f>AD$1*((-0.000002)*AD194^3+0.00032*AD194^2+(-0.0021)*AD194)+AE$1*((-0.000002)*AE194^3+0.00032*AE194^2+(-0.0021)*AE194)+AF$1*((-0.000002)*AF194^3+0.00032*AF194^2+(-0.0021)*AF194)+AG$1*((-0.000002)*AG194^3+0.00032*AG194^2+(-0.0021)*AG194)</f>
        <v/>
      </c>
    </row>
    <row r="195" ht="15" customHeight="1" s="27" thickBot="1">
      <c r="A195" s="5">
        <f>(AI195*AI$3+AJ195*AJ$3+AK195*AK$3+AL195*AL$3+AM195*AM$3)*100/(AI$5*AI$3+AJ$5*AJ$3+AK$5*AK$3+AL$5*AL$3+AM$5*AM$3)</f>
        <v/>
      </c>
      <c r="B195" s="16" t="n">
        <v>51</v>
      </c>
      <c r="C195" s="10" t="inlineStr">
        <is>
          <t>Whitehead, Kevin</t>
        </is>
      </c>
      <c r="D195" s="17" t="inlineStr">
        <is>
          <t>P</t>
        </is>
      </c>
      <c r="E195" s="17" t="inlineStr">
        <is>
          <t>S</t>
        </is>
      </c>
      <c r="F195" s="17" t="inlineStr">
        <is>
          <t>R</t>
        </is>
      </c>
      <c r="G195" s="17" t="n">
        <v>18</v>
      </c>
      <c r="H195" s="17" t="n">
        <v>22</v>
      </c>
      <c r="I195" s="17" t="n">
        <v>7</v>
      </c>
      <c r="J195" s="17" t="n">
        <v>33</v>
      </c>
      <c r="K195" s="17" t="n">
        <v>22</v>
      </c>
      <c r="L195" s="17" t="n">
        <v>12</v>
      </c>
      <c r="M195" s="17" t="n">
        <v>21</v>
      </c>
      <c r="N195" s="17" t="n">
        <v>80</v>
      </c>
      <c r="O195" s="17" t="n">
        <v>45</v>
      </c>
      <c r="P195" s="17" t="n">
        <v>61</v>
      </c>
      <c r="Q195" s="16" t="n">
        <v>51</v>
      </c>
      <c r="R195" s="10" t="inlineStr">
        <is>
          <t>Whitehead, Kevin</t>
        </is>
      </c>
      <c r="S195" s="17" t="inlineStr">
        <is>
          <t>P</t>
        </is>
      </c>
      <c r="T195" s="17" t="inlineStr">
        <is>
          <t>S</t>
        </is>
      </c>
      <c r="U195" s="17" t="inlineStr">
        <is>
          <t>R</t>
        </is>
      </c>
      <c r="V195" s="17" t="n">
        <v>18</v>
      </c>
      <c r="W195" s="17" t="n">
        <v>9</v>
      </c>
      <c r="X195" s="17" t="n">
        <v>25</v>
      </c>
      <c r="Y195" s="17" t="n">
        <v>31</v>
      </c>
      <c r="Z195" s="17" t="n">
        <v>32</v>
      </c>
      <c r="AA195" s="17" t="n">
        <v>22</v>
      </c>
      <c r="AB195" s="17" t="n">
        <v>16</v>
      </c>
      <c r="AC195" s="17" t="n">
        <v>73</v>
      </c>
      <c r="AD195" s="17" t="n">
        <v>71</v>
      </c>
      <c r="AE195" s="17" t="n">
        <v>40</v>
      </c>
      <c r="AF195" s="17" t="n">
        <v>45</v>
      </c>
      <c r="AG195" s="17" t="n">
        <v>86</v>
      </c>
      <c r="AH195" s="17" t="n">
        <v>61</v>
      </c>
      <c r="AI195" s="5">
        <f>H$1*((-0.000002)*H195^3+0.00032*H195^2+(-0.0021)*H195)+I$1*((-0.000002)*I195^3+0.00032*I195^2+(-0.0021)*I195)+J$1*((-0.000002)*J195^3+0.00032*J195^2+(-0.0021)*J195)+K$1*((-0.000002)*K195^3+0.00032*K195^2+(-0.0021)*K195)+L$1*((-0.000002)*L195^3+0.00032*L195^2+(-0.0021)*L195)</f>
        <v/>
      </c>
      <c r="AJ195" s="5">
        <f>M$1*((-0.000002)*M195^3+0.00032*M195^2+(-0.0021)*M195)+N$1*((-0.000002)*N195^3+0.00032*N195^2+(-0.0021)*N195)+O$1*((-0.000002)*O195^3+0.00032*O195^2+(-0.0021)*O195)</f>
        <v/>
      </c>
      <c r="AK195" s="5">
        <f>IF(AA195&lt;50,W$1*((-0.000002)*W195^3+0.00032*W195^2+(-0.0021)*W195)+X$1*((-0.000002)*X195^3+0.00032*X195^2+(-0.0021)*X195)+Y$1*((-0.000002)*Y195^3+0.00032*Y195^2+(-0.0021)*Y195)+Z$1*((-0.000002)*Z195^3+0.00032*Z195^2+(-0.0021)*Z195),X$2*((-0.000002)*X195^3+0.00032*X195^2+(-0.0021)*X195)+Y$2*((-0.000002)*Y195^3+0.00032*Y195^2+(-0.0021)*Y195)+Z$2*((-0.000002)*Z195^3+0.00032*Z195^2+(-0.0021)*Z195)+AA$2*((-0.000002)*AA195^3+0.00032*AA195^2+(-0.0021)*AA195))</f>
        <v/>
      </c>
      <c r="AL195" s="5">
        <f>AB$1*((-0.000002)*AB195^3+0.00032*AB195^2+(-0.0021)*AB195)+AC$1*((-0.000002)*AC195^3+0.00032*AC195^2+(-0.0021)*AC195)</f>
        <v/>
      </c>
      <c r="AM195" s="5">
        <f>AD$1*((-0.000002)*AD195^3+0.00032*AD195^2+(-0.0021)*AD195)+AE$1*((-0.000002)*AE195^3+0.00032*AE195^2+(-0.0021)*AE195)+AF$1*((-0.000002)*AF195^3+0.00032*AF195^2+(-0.0021)*AF195)+AG$1*((-0.000002)*AG195^3+0.00032*AG195^2+(-0.0021)*AG195)</f>
        <v/>
      </c>
    </row>
    <row r="196" ht="15" customHeight="1" s="27" thickBot="1">
      <c r="A196" s="5">
        <f>(AI196*AI$3+AJ196*AJ$3+AK196*AK$3+AL196*AL$3+AM196*AM$3)*100/(AI$5*AI$3+AJ$5*AJ$3+AK$5*AK$3+AL$5*AL$3+AM$5*AM$3)</f>
        <v/>
      </c>
      <c r="B196" s="18" t="n">
        <v>14</v>
      </c>
      <c r="C196" s="11" t="inlineStr">
        <is>
          <t>Howard, Phillip</t>
        </is>
      </c>
      <c r="D196" s="19" t="inlineStr">
        <is>
          <t>P</t>
        </is>
      </c>
      <c r="E196" s="19" t="inlineStr">
        <is>
          <t>R</t>
        </is>
      </c>
      <c r="F196" s="19" t="inlineStr">
        <is>
          <t>R</t>
        </is>
      </c>
      <c r="G196" s="19" t="n">
        <v>18</v>
      </c>
      <c r="H196" s="19" t="n">
        <v>19</v>
      </c>
      <c r="I196" s="19" t="n">
        <v>5</v>
      </c>
      <c r="J196" s="19" t="n">
        <v>35</v>
      </c>
      <c r="K196" s="19" t="n">
        <v>26</v>
      </c>
      <c r="L196" s="19" t="n">
        <v>27</v>
      </c>
      <c r="M196" s="19" t="n">
        <v>8</v>
      </c>
      <c r="N196" s="19" t="n">
        <v>66</v>
      </c>
      <c r="O196" s="19" t="n">
        <v>63</v>
      </c>
      <c r="P196" s="19" t="n">
        <v>73</v>
      </c>
      <c r="Q196" s="18" t="n">
        <v>14</v>
      </c>
      <c r="R196" s="11" t="inlineStr">
        <is>
          <t>Howard, Phillip</t>
        </is>
      </c>
      <c r="S196" s="19" t="inlineStr">
        <is>
          <t>P</t>
        </is>
      </c>
      <c r="T196" s="19" t="inlineStr">
        <is>
          <t>R</t>
        </is>
      </c>
      <c r="U196" s="19" t="inlineStr">
        <is>
          <t>R</t>
        </is>
      </c>
      <c r="V196" s="19" t="n">
        <v>18</v>
      </c>
      <c r="W196" s="19" t="n">
        <v>9</v>
      </c>
      <c r="X196" s="19" t="n">
        <v>0</v>
      </c>
      <c r="Y196" s="19" t="n">
        <v>23</v>
      </c>
      <c r="Z196" s="19" t="n">
        <v>30</v>
      </c>
      <c r="AA196" s="19" t="n">
        <v>8</v>
      </c>
      <c r="AB196" s="19" t="n">
        <v>23</v>
      </c>
      <c r="AC196" s="19" t="n">
        <v>99</v>
      </c>
      <c r="AD196" s="19" t="n">
        <v>35</v>
      </c>
      <c r="AE196" s="19" t="n">
        <v>61</v>
      </c>
      <c r="AF196" s="19" t="n">
        <v>43</v>
      </c>
      <c r="AG196" s="19" t="n">
        <v>71</v>
      </c>
      <c r="AH196" s="19" t="n">
        <v>73</v>
      </c>
      <c r="AI196" s="5">
        <f>H$1*((-0.000002)*H196^3+0.00032*H196^2+(-0.0021)*H196)+I$1*((-0.000002)*I196^3+0.00032*I196^2+(-0.0021)*I196)+J$1*((-0.000002)*J196^3+0.00032*J196^2+(-0.0021)*J196)+K$1*((-0.000002)*K196^3+0.00032*K196^2+(-0.0021)*K196)+L$1*((-0.000002)*L196^3+0.00032*L196^2+(-0.0021)*L196)</f>
        <v/>
      </c>
      <c r="AJ196" s="5">
        <f>M$1*((-0.000002)*M196^3+0.00032*M196^2+(-0.0021)*M196)+N$1*((-0.000002)*N196^3+0.00032*N196^2+(-0.0021)*N196)+O$1*((-0.000002)*O196^3+0.00032*O196^2+(-0.0021)*O196)</f>
        <v/>
      </c>
      <c r="AK196" s="5">
        <f>IF(AA196&lt;50,W$1*((-0.000002)*W196^3+0.00032*W196^2+(-0.0021)*W196)+X$1*((-0.000002)*X196^3+0.00032*X196^2+(-0.0021)*X196)+Y$1*((-0.000002)*Y196^3+0.00032*Y196^2+(-0.0021)*Y196)+Z$1*((-0.000002)*Z196^3+0.00032*Z196^2+(-0.0021)*Z196),X$2*((-0.000002)*X196^3+0.00032*X196^2+(-0.0021)*X196)+Y$2*((-0.000002)*Y196^3+0.00032*Y196^2+(-0.0021)*Y196)+Z$2*((-0.000002)*Z196^3+0.00032*Z196^2+(-0.0021)*Z196)+AA$2*((-0.000002)*AA196^3+0.00032*AA196^2+(-0.0021)*AA196))</f>
        <v/>
      </c>
      <c r="AL196" s="5">
        <f>AB$1*((-0.000002)*AB196^3+0.00032*AB196^2+(-0.0021)*AB196)+AC$1*((-0.000002)*AC196^3+0.00032*AC196^2+(-0.0021)*AC196)</f>
        <v/>
      </c>
      <c r="AM196" s="5">
        <f>AD$1*((-0.000002)*AD196^3+0.00032*AD196^2+(-0.0021)*AD196)+AE$1*((-0.000002)*AE196^3+0.00032*AE196^2+(-0.0021)*AE196)+AF$1*((-0.000002)*AF196^3+0.00032*AF196^2+(-0.0021)*AF196)+AG$1*((-0.000002)*AG196^3+0.00032*AG196^2+(-0.0021)*AG196)</f>
        <v/>
      </c>
    </row>
    <row r="197" ht="15" customHeight="1" s="27" thickBot="1">
      <c r="A197" s="5">
        <f>(AI197*AI$3+AJ197*AJ$3+AK197*AK$3+AL197*AL$3+AM197*AM$3)*100/(AI$5*AI$3+AJ$5*AJ$3+AK$5*AK$3+AL$5*AL$3+AM$5*AM$3)</f>
        <v/>
      </c>
      <c r="B197" s="18" t="n">
        <v>162</v>
      </c>
      <c r="C197" s="11" t="inlineStr">
        <is>
          <t>Toregas, Alexei</t>
        </is>
      </c>
      <c r="D197" s="19" t="inlineStr">
        <is>
          <t>P</t>
        </is>
      </c>
      <c r="E197" s="19" t="inlineStr">
        <is>
          <t>S</t>
        </is>
      </c>
      <c r="F197" s="19" t="inlineStr">
        <is>
          <t>R</t>
        </is>
      </c>
      <c r="G197" s="19" t="n">
        <v>18</v>
      </c>
      <c r="H197" s="19" t="n">
        <v>19</v>
      </c>
      <c r="I197" s="19" t="n">
        <v>10</v>
      </c>
      <c r="J197" s="19" t="n">
        <v>29</v>
      </c>
      <c r="K197" s="19" t="n">
        <v>14</v>
      </c>
      <c r="L197" s="19" t="n">
        <v>3</v>
      </c>
      <c r="M197" s="19" t="n">
        <v>23</v>
      </c>
      <c r="N197" s="19" t="n">
        <v>71</v>
      </c>
      <c r="O197" s="19" t="n">
        <v>59</v>
      </c>
      <c r="P197" s="19" t="n">
        <v>38</v>
      </c>
      <c r="Q197" s="18" t="n">
        <v>162</v>
      </c>
      <c r="R197" s="11" t="inlineStr">
        <is>
          <t>Toregas, Alexei</t>
        </is>
      </c>
      <c r="S197" s="19" t="inlineStr">
        <is>
          <t>P</t>
        </is>
      </c>
      <c r="T197" s="19" t="inlineStr">
        <is>
          <t>S</t>
        </is>
      </c>
      <c r="U197" s="19" t="inlineStr">
        <is>
          <t>R</t>
        </is>
      </c>
      <c r="V197" s="19" t="n">
        <v>18</v>
      </c>
      <c r="W197" s="19" t="n">
        <v>43</v>
      </c>
      <c r="X197" s="19" t="n">
        <v>17</v>
      </c>
      <c r="Y197" s="19" t="n">
        <v>37</v>
      </c>
      <c r="Z197" s="19" t="n">
        <v>13</v>
      </c>
      <c r="AA197" s="19" t="n">
        <v>0</v>
      </c>
      <c r="AB197" s="19" t="n">
        <v>53</v>
      </c>
      <c r="AC197" s="19" t="n">
        <v>77</v>
      </c>
      <c r="AD197" s="19" t="n">
        <v>30</v>
      </c>
      <c r="AE197" s="19" t="n">
        <v>63</v>
      </c>
      <c r="AF197" s="19" t="n">
        <v>10</v>
      </c>
      <c r="AG197" s="19" t="n">
        <v>57</v>
      </c>
      <c r="AH197" s="19" t="n">
        <v>38</v>
      </c>
      <c r="AI197" s="5">
        <f>H$1*((-0.000002)*H197^3+0.00032*H197^2+(-0.0021)*H197)+I$1*((-0.000002)*I197^3+0.00032*I197^2+(-0.0021)*I197)+J$1*((-0.000002)*J197^3+0.00032*J197^2+(-0.0021)*J197)+K$1*((-0.000002)*K197^3+0.00032*K197^2+(-0.0021)*K197)+L$1*((-0.000002)*L197^3+0.00032*L197^2+(-0.0021)*L197)</f>
        <v/>
      </c>
      <c r="AJ197" s="5">
        <f>M$1*((-0.000002)*M197^3+0.00032*M197^2+(-0.0021)*M197)+N$1*((-0.000002)*N197^3+0.00032*N197^2+(-0.0021)*N197)+O$1*((-0.000002)*O197^3+0.00032*O197^2+(-0.0021)*O197)</f>
        <v/>
      </c>
      <c r="AK197" s="5">
        <f>IF(AA197&lt;50,W$1*((-0.000002)*W197^3+0.00032*W197^2+(-0.0021)*W197)+X$1*((-0.000002)*X197^3+0.00032*X197^2+(-0.0021)*X197)+Y$1*((-0.000002)*Y197^3+0.00032*Y197^2+(-0.0021)*Y197)+Z$1*((-0.000002)*Z197^3+0.00032*Z197^2+(-0.0021)*Z197),X$2*((-0.000002)*X197^3+0.00032*X197^2+(-0.0021)*X197)+Y$2*((-0.000002)*Y197^3+0.00032*Y197^2+(-0.0021)*Y197)+Z$2*((-0.000002)*Z197^3+0.00032*Z197^2+(-0.0021)*Z197)+AA$2*((-0.000002)*AA197^3+0.00032*AA197^2+(-0.0021)*AA197))</f>
        <v/>
      </c>
      <c r="AL197" s="5">
        <f>AB$1*((-0.000002)*AB197^3+0.00032*AB197^2+(-0.0021)*AB197)+AC$1*((-0.000002)*AC197^3+0.00032*AC197^2+(-0.0021)*AC197)</f>
        <v/>
      </c>
      <c r="AM197" s="5">
        <f>AD$1*((-0.000002)*AD197^3+0.00032*AD197^2+(-0.0021)*AD197)+AE$1*((-0.000002)*AE197^3+0.00032*AE197^2+(-0.0021)*AE197)+AF$1*((-0.000002)*AF197^3+0.00032*AF197^2+(-0.0021)*AF197)+AG$1*((-0.000002)*AG197^3+0.00032*AG197^2+(-0.0021)*AG197)</f>
        <v/>
      </c>
    </row>
    <row r="198" ht="15" customHeight="1" s="27" thickBot="1">
      <c r="A198" s="5">
        <f>(AI198*AI$3+AJ198*AJ$3+AK198*AK$3+AL198*AL$3+AM198*AM$3)*100/(AI$5*AI$3+AJ$5*AJ$3+AK$5*AK$3+AL$5*AL$3+AM$5*AM$3)</f>
        <v/>
      </c>
      <c r="B198" s="18" t="n">
        <v>134</v>
      </c>
      <c r="C198" s="11" t="inlineStr">
        <is>
          <t>Garcia, Cody</t>
        </is>
      </c>
      <c r="D198" s="19" t="inlineStr">
        <is>
          <t>P</t>
        </is>
      </c>
      <c r="E198" s="19" t="inlineStr">
        <is>
          <t>L</t>
        </is>
      </c>
      <c r="F198" s="19" t="inlineStr">
        <is>
          <t>L</t>
        </is>
      </c>
      <c r="G198" s="19" t="n">
        <v>18</v>
      </c>
      <c r="H198" s="19" t="n">
        <v>2</v>
      </c>
      <c r="I198" s="19" t="n">
        <v>0</v>
      </c>
      <c r="J198" s="19" t="n">
        <v>23</v>
      </c>
      <c r="K198" s="19" t="n">
        <v>28</v>
      </c>
      <c r="L198" s="19" t="n">
        <v>16</v>
      </c>
      <c r="M198" s="19" t="n">
        <v>22</v>
      </c>
      <c r="N198" s="19" t="n">
        <v>67</v>
      </c>
      <c r="O198" s="19" t="n">
        <v>66</v>
      </c>
      <c r="P198" s="19" t="n">
        <v>44</v>
      </c>
      <c r="Q198" s="18" t="n">
        <v>134</v>
      </c>
      <c r="R198" s="11" t="inlineStr">
        <is>
          <t>Garcia, Cody</t>
        </is>
      </c>
      <c r="S198" s="19" t="inlineStr">
        <is>
          <t>P</t>
        </is>
      </c>
      <c r="T198" s="19" t="inlineStr">
        <is>
          <t>L</t>
        </is>
      </c>
      <c r="U198" s="19" t="inlineStr">
        <is>
          <t>L</t>
        </is>
      </c>
      <c r="V198" s="19" t="n">
        <v>18</v>
      </c>
      <c r="W198" s="19" t="n">
        <v>11</v>
      </c>
      <c r="X198" s="19" t="n">
        <v>52</v>
      </c>
      <c r="Y198" s="19" t="n">
        <v>25</v>
      </c>
      <c r="Z198" s="19" t="n">
        <v>18</v>
      </c>
      <c r="AA198" s="19" t="n">
        <v>12</v>
      </c>
      <c r="AB198" s="19" t="n">
        <v>39</v>
      </c>
      <c r="AC198" s="19" t="n">
        <v>56</v>
      </c>
      <c r="AD198" s="19" t="n">
        <v>9</v>
      </c>
      <c r="AE198" s="19" t="n">
        <v>95</v>
      </c>
      <c r="AF198" s="19" t="n">
        <v>40</v>
      </c>
      <c r="AG198" s="19" t="n">
        <v>76</v>
      </c>
      <c r="AH198" s="19" t="n">
        <v>44</v>
      </c>
      <c r="AI198" s="5">
        <f>H$1*((-0.000002)*H198^3+0.00032*H198^2+(-0.0021)*H198)+I$1*((-0.000002)*I198^3+0.00032*I198^2+(-0.0021)*I198)+J$1*((-0.000002)*J198^3+0.00032*J198^2+(-0.0021)*J198)+K$1*((-0.000002)*K198^3+0.00032*K198^2+(-0.0021)*K198)+L$1*((-0.000002)*L198^3+0.00032*L198^2+(-0.0021)*L198)</f>
        <v/>
      </c>
      <c r="AJ198" s="5">
        <f>M$1*((-0.000002)*M198^3+0.00032*M198^2+(-0.0021)*M198)+N$1*((-0.000002)*N198^3+0.00032*N198^2+(-0.0021)*N198)+O$1*((-0.000002)*O198^3+0.00032*O198^2+(-0.0021)*O198)</f>
        <v/>
      </c>
      <c r="AK198" s="5">
        <f>IF(AA198&lt;50,W$1*((-0.000002)*W198^3+0.00032*W198^2+(-0.0021)*W198)+X$1*((-0.000002)*X198^3+0.00032*X198^2+(-0.0021)*X198)+Y$1*((-0.000002)*Y198^3+0.00032*Y198^2+(-0.0021)*Y198)+Z$1*((-0.000002)*Z198^3+0.00032*Z198^2+(-0.0021)*Z198),X$2*((-0.000002)*X198^3+0.00032*X198^2+(-0.0021)*X198)+Y$2*((-0.000002)*Y198^3+0.00032*Y198^2+(-0.0021)*Y198)+Z$2*((-0.000002)*Z198^3+0.00032*Z198^2+(-0.0021)*Z198)+AA$2*((-0.000002)*AA198^3+0.00032*AA198^2+(-0.0021)*AA198))</f>
        <v/>
      </c>
      <c r="AL198" s="5">
        <f>AB$1*((-0.000002)*AB198^3+0.00032*AB198^2+(-0.0021)*AB198)+AC$1*((-0.000002)*AC198^3+0.00032*AC198^2+(-0.0021)*AC198)</f>
        <v/>
      </c>
      <c r="AM198" s="5">
        <f>AD$1*((-0.000002)*AD198^3+0.00032*AD198^2+(-0.0021)*AD198)+AE$1*((-0.000002)*AE198^3+0.00032*AE198^2+(-0.0021)*AE198)+AF$1*((-0.000002)*AF198^3+0.00032*AF198^2+(-0.0021)*AF198)+AG$1*((-0.000002)*AG198^3+0.00032*AG198^2+(-0.0021)*AG198)</f>
        <v/>
      </c>
    </row>
    <row r="199" ht="15" customHeight="1" s="27" thickBot="1">
      <c r="A199" s="5">
        <f>(AI199*AI$3+AJ199*AJ$3+AK199*AK$3+AL199*AL$3+AM199*AM$3)*100/(AI$5*AI$3+AJ$5*AJ$3+AK$5*AK$3+AL$5*AL$3+AM$5*AM$3)</f>
        <v/>
      </c>
      <c r="B199" s="16" t="n">
        <v>127</v>
      </c>
      <c r="C199" s="10" t="inlineStr">
        <is>
          <t>Buckley, Phillippe</t>
        </is>
      </c>
      <c r="D199" s="17" t="inlineStr">
        <is>
          <t>P</t>
        </is>
      </c>
      <c r="E199" s="17" t="inlineStr">
        <is>
          <t>R</t>
        </is>
      </c>
      <c r="F199" s="17" t="inlineStr">
        <is>
          <t>R</t>
        </is>
      </c>
      <c r="G199" s="17" t="n">
        <v>18</v>
      </c>
      <c r="H199" s="17" t="n">
        <v>26</v>
      </c>
      <c r="I199" s="17" t="n">
        <v>23</v>
      </c>
      <c r="J199" s="17" t="n">
        <v>25</v>
      </c>
      <c r="K199" s="17" t="n">
        <v>14</v>
      </c>
      <c r="L199" s="17" t="n">
        <v>17</v>
      </c>
      <c r="M199" s="17" t="n">
        <v>8</v>
      </c>
      <c r="N199" s="17" t="n">
        <v>74</v>
      </c>
      <c r="O199" s="17" t="n">
        <v>77</v>
      </c>
      <c r="P199" s="17" t="n">
        <v>45</v>
      </c>
      <c r="Q199" s="16" t="n">
        <v>127</v>
      </c>
      <c r="R199" s="10" t="inlineStr">
        <is>
          <t>Buckley, Phillippe</t>
        </is>
      </c>
      <c r="S199" s="17" t="inlineStr">
        <is>
          <t>P</t>
        </is>
      </c>
      <c r="T199" s="17" t="inlineStr">
        <is>
          <t>R</t>
        </is>
      </c>
      <c r="U199" s="17" t="inlineStr">
        <is>
          <t>R</t>
        </is>
      </c>
      <c r="V199" s="17" t="n">
        <v>18</v>
      </c>
      <c r="W199" s="17" t="n">
        <v>20</v>
      </c>
      <c r="X199" s="17" t="n">
        <v>14</v>
      </c>
      <c r="Y199" s="17" t="n">
        <v>25</v>
      </c>
      <c r="Z199" s="17" t="n">
        <v>26</v>
      </c>
      <c r="AA199" s="17" t="n">
        <v>7</v>
      </c>
      <c r="AB199" s="17" t="n">
        <v>25</v>
      </c>
      <c r="AC199" s="17" t="n">
        <v>79</v>
      </c>
      <c r="AD199" s="17" t="n">
        <v>28</v>
      </c>
      <c r="AE199" s="17" t="n">
        <v>82</v>
      </c>
      <c r="AF199" s="17" t="n">
        <v>51</v>
      </c>
      <c r="AG199" s="17" t="n">
        <v>80</v>
      </c>
      <c r="AH199" s="17" t="n">
        <v>45</v>
      </c>
      <c r="AI199" s="5">
        <f>H$1*((-0.000002)*H199^3+0.00032*H199^2+(-0.0021)*H199)+I$1*((-0.000002)*I199^3+0.00032*I199^2+(-0.0021)*I199)+J$1*((-0.000002)*J199^3+0.00032*J199^2+(-0.0021)*J199)+K$1*((-0.000002)*K199^3+0.00032*K199^2+(-0.0021)*K199)+L$1*((-0.000002)*L199^3+0.00032*L199^2+(-0.0021)*L199)</f>
        <v/>
      </c>
      <c r="AJ199" s="5">
        <f>M$1*((-0.000002)*M199^3+0.00032*M199^2+(-0.0021)*M199)+N$1*((-0.000002)*N199^3+0.00032*N199^2+(-0.0021)*N199)+O$1*((-0.000002)*O199^3+0.00032*O199^2+(-0.0021)*O199)</f>
        <v/>
      </c>
      <c r="AK199" s="5">
        <f>IF(AA199&lt;50,W$1*((-0.000002)*W199^3+0.00032*W199^2+(-0.0021)*W199)+X$1*((-0.000002)*X199^3+0.00032*X199^2+(-0.0021)*X199)+Y$1*((-0.000002)*Y199^3+0.00032*Y199^2+(-0.0021)*Y199)+Z$1*((-0.000002)*Z199^3+0.00032*Z199^2+(-0.0021)*Z199),X$2*((-0.000002)*X199^3+0.00032*X199^2+(-0.0021)*X199)+Y$2*((-0.000002)*Y199^3+0.00032*Y199^2+(-0.0021)*Y199)+Z$2*((-0.000002)*Z199^3+0.00032*Z199^2+(-0.0021)*Z199)+AA$2*((-0.000002)*AA199^3+0.00032*AA199^2+(-0.0021)*AA199))</f>
        <v/>
      </c>
      <c r="AL199" s="5">
        <f>AB$1*((-0.000002)*AB199^3+0.00032*AB199^2+(-0.0021)*AB199)+AC$1*((-0.000002)*AC199^3+0.00032*AC199^2+(-0.0021)*AC199)</f>
        <v/>
      </c>
      <c r="AM199" s="5">
        <f>AD$1*((-0.000002)*AD199^3+0.00032*AD199^2+(-0.0021)*AD199)+AE$1*((-0.000002)*AE199^3+0.00032*AE199^2+(-0.0021)*AE199)+AF$1*((-0.000002)*AF199^3+0.00032*AF199^2+(-0.0021)*AF199)+AG$1*((-0.000002)*AG199^3+0.00032*AG199^2+(-0.0021)*AG199)</f>
        <v/>
      </c>
    </row>
    <row r="200" ht="15" customHeight="1" s="27" thickBot="1">
      <c r="A200" s="5">
        <f>(AI200*AI$3+AJ200*AJ$3+AK200*AK$3+AL200*AL$3+AM200*AM$3)*100/(AI$5*AI$3+AJ$5*AJ$3+AK$5*AK$3+AL$5*AL$3+AM$5*AM$3)</f>
        <v/>
      </c>
      <c r="B200" s="18" t="n">
        <v>106</v>
      </c>
      <c r="C200" s="11" t="inlineStr">
        <is>
          <t>Carter, Freddie</t>
        </is>
      </c>
      <c r="D200" s="19" t="inlineStr">
        <is>
          <t>P</t>
        </is>
      </c>
      <c r="E200" s="19" t="inlineStr">
        <is>
          <t>S</t>
        </is>
      </c>
      <c r="F200" s="19" t="inlineStr">
        <is>
          <t>L</t>
        </is>
      </c>
      <c r="G200" s="19" t="n">
        <v>18</v>
      </c>
      <c r="H200" s="19" t="n">
        <v>12</v>
      </c>
      <c r="I200" s="19" t="n">
        <v>0</v>
      </c>
      <c r="J200" s="19" t="n">
        <v>29</v>
      </c>
      <c r="K200" s="19" t="n">
        <v>29</v>
      </c>
      <c r="L200" s="19" t="n">
        <v>19</v>
      </c>
      <c r="M200" s="19" t="n">
        <v>16</v>
      </c>
      <c r="N200" s="19" t="n">
        <v>82</v>
      </c>
      <c r="O200" s="19" t="n">
        <v>46</v>
      </c>
      <c r="P200" s="19" t="n">
        <v>49</v>
      </c>
      <c r="Q200" s="18" t="n">
        <v>106</v>
      </c>
      <c r="R200" s="11" t="inlineStr">
        <is>
          <t>Carter, Freddie</t>
        </is>
      </c>
      <c r="S200" s="19" t="inlineStr">
        <is>
          <t>P</t>
        </is>
      </c>
      <c r="T200" s="19" t="inlineStr">
        <is>
          <t>S</t>
        </is>
      </c>
      <c r="U200" s="19" t="inlineStr">
        <is>
          <t>L</t>
        </is>
      </c>
      <c r="V200" s="19" t="n">
        <v>18</v>
      </c>
      <c r="W200" s="19" t="n">
        <v>0</v>
      </c>
      <c r="X200" s="19" t="n">
        <v>18</v>
      </c>
      <c r="Y200" s="19" t="n">
        <v>9</v>
      </c>
      <c r="Z200" s="19" t="n">
        <v>43</v>
      </c>
      <c r="AA200" s="19" t="n">
        <v>18</v>
      </c>
      <c r="AB200" s="19" t="n">
        <v>58</v>
      </c>
      <c r="AC200" s="19" t="n">
        <v>71</v>
      </c>
      <c r="AD200" s="19" t="n">
        <v>17</v>
      </c>
      <c r="AE200" s="19" t="n">
        <v>87</v>
      </c>
      <c r="AF200" s="19" t="n">
        <v>36</v>
      </c>
      <c r="AG200" s="19" t="n">
        <v>73</v>
      </c>
      <c r="AH200" s="19" t="n">
        <v>49</v>
      </c>
      <c r="AI200" s="5">
        <f>H$1*((-0.000002)*H200^3+0.00032*H200^2+(-0.0021)*H200)+I$1*((-0.000002)*I200^3+0.00032*I200^2+(-0.0021)*I200)+J$1*((-0.000002)*J200^3+0.00032*J200^2+(-0.0021)*J200)+K$1*((-0.000002)*K200^3+0.00032*K200^2+(-0.0021)*K200)+L$1*((-0.000002)*L200^3+0.00032*L200^2+(-0.0021)*L200)</f>
        <v/>
      </c>
      <c r="AJ200" s="5">
        <f>M$1*((-0.000002)*M200^3+0.00032*M200^2+(-0.0021)*M200)+N$1*((-0.000002)*N200^3+0.00032*N200^2+(-0.0021)*N200)+O$1*((-0.000002)*O200^3+0.00032*O200^2+(-0.0021)*O200)</f>
        <v/>
      </c>
      <c r="AK200" s="5">
        <f>IF(AA200&lt;50,W$1*((-0.000002)*W200^3+0.00032*W200^2+(-0.0021)*W200)+X$1*((-0.000002)*X200^3+0.00032*X200^2+(-0.0021)*X200)+Y$1*((-0.000002)*Y200^3+0.00032*Y200^2+(-0.0021)*Y200)+Z$1*((-0.000002)*Z200^3+0.00032*Z200^2+(-0.0021)*Z200),X$2*((-0.000002)*X200^3+0.00032*X200^2+(-0.0021)*X200)+Y$2*((-0.000002)*Y200^3+0.00032*Y200^2+(-0.0021)*Y200)+Z$2*((-0.000002)*Z200^3+0.00032*Z200^2+(-0.0021)*Z200)+AA$2*((-0.000002)*AA200^3+0.00032*AA200^2+(-0.0021)*AA200))</f>
        <v/>
      </c>
      <c r="AL200" s="5">
        <f>AB$1*((-0.000002)*AB200^3+0.00032*AB200^2+(-0.0021)*AB200)+AC$1*((-0.000002)*AC200^3+0.00032*AC200^2+(-0.0021)*AC200)</f>
        <v/>
      </c>
      <c r="AM200" s="5">
        <f>AD$1*((-0.000002)*AD200^3+0.00032*AD200^2+(-0.0021)*AD200)+AE$1*((-0.000002)*AE200^3+0.00032*AE200^2+(-0.0021)*AE200)+AF$1*((-0.000002)*AF200^3+0.00032*AF200^2+(-0.0021)*AF200)+AG$1*((-0.000002)*AG200^3+0.00032*AG200^2+(-0.0021)*AG200)</f>
        <v/>
      </c>
    </row>
    <row r="201" ht="15" customHeight="1" s="27" thickBot="1">
      <c r="A201" s="5">
        <f>(AI201*AI$3+AJ201*AJ$3+AK201*AK$3+AL201*AL$3+AM201*AM$3)*100/(AI$5*AI$3+AJ$5*AJ$3+AK$5*AK$3+AL$5*AL$3+AM$5*AM$3)</f>
        <v/>
      </c>
      <c r="B201" s="16" t="n">
        <v>113</v>
      </c>
      <c r="C201" s="10" t="inlineStr">
        <is>
          <t>Bastardo, Juan</t>
        </is>
      </c>
      <c r="D201" s="17" t="inlineStr">
        <is>
          <t>P</t>
        </is>
      </c>
      <c r="E201" s="17" t="inlineStr">
        <is>
          <t>L</t>
        </is>
      </c>
      <c r="F201" s="17" t="inlineStr">
        <is>
          <t>L</t>
        </is>
      </c>
      <c r="G201" s="17" t="n">
        <v>18</v>
      </c>
      <c r="H201" s="17" t="n">
        <v>16</v>
      </c>
      <c r="I201" s="17" t="n">
        <v>11</v>
      </c>
      <c r="J201" s="17" t="n">
        <v>13</v>
      </c>
      <c r="K201" s="17" t="n">
        <v>34</v>
      </c>
      <c r="L201" s="17" t="n">
        <v>18</v>
      </c>
      <c r="M201" s="17" t="n">
        <v>22</v>
      </c>
      <c r="N201" s="17" t="n">
        <v>63</v>
      </c>
      <c r="O201" s="17" t="n">
        <v>71</v>
      </c>
      <c r="P201" s="17" t="n">
        <v>48</v>
      </c>
      <c r="Q201" s="16" t="n">
        <v>113</v>
      </c>
      <c r="R201" s="10" t="inlineStr">
        <is>
          <t>Bastardo, Juan</t>
        </is>
      </c>
      <c r="S201" s="17" t="inlineStr">
        <is>
          <t>P</t>
        </is>
      </c>
      <c r="T201" s="17" t="inlineStr">
        <is>
          <t>L</t>
        </is>
      </c>
      <c r="U201" s="17" t="inlineStr">
        <is>
          <t>L</t>
        </is>
      </c>
      <c r="V201" s="17" t="n">
        <v>18</v>
      </c>
      <c r="W201" s="17" t="n">
        <v>0</v>
      </c>
      <c r="X201" s="17" t="n">
        <v>25</v>
      </c>
      <c r="Y201" s="17" t="n">
        <v>35</v>
      </c>
      <c r="Z201" s="17" t="n">
        <v>23</v>
      </c>
      <c r="AA201" s="17" t="n">
        <v>14</v>
      </c>
      <c r="AB201" s="17" t="n">
        <v>35</v>
      </c>
      <c r="AC201" s="17" t="n">
        <v>88</v>
      </c>
      <c r="AD201" s="17" t="n">
        <v>21</v>
      </c>
      <c r="AE201" s="17" t="n">
        <v>50</v>
      </c>
      <c r="AF201" s="17" t="n">
        <v>42</v>
      </c>
      <c r="AG201" s="17" t="n">
        <v>60</v>
      </c>
      <c r="AH201" s="17" t="n">
        <v>48</v>
      </c>
      <c r="AI201" s="5">
        <f>H$1*((-0.000002)*H201^3+0.00032*H201^2+(-0.0021)*H201)+I$1*((-0.000002)*I201^3+0.00032*I201^2+(-0.0021)*I201)+J$1*((-0.000002)*J201^3+0.00032*J201^2+(-0.0021)*J201)+K$1*((-0.000002)*K201^3+0.00032*K201^2+(-0.0021)*K201)+L$1*((-0.000002)*L201^3+0.00032*L201^2+(-0.0021)*L201)</f>
        <v/>
      </c>
      <c r="AJ201" s="5">
        <f>M$1*((-0.000002)*M201^3+0.00032*M201^2+(-0.0021)*M201)+N$1*((-0.000002)*N201^3+0.00032*N201^2+(-0.0021)*N201)+O$1*((-0.000002)*O201^3+0.00032*O201^2+(-0.0021)*O201)</f>
        <v/>
      </c>
      <c r="AK201" s="5">
        <f>IF(AA201&lt;50,W$1*((-0.000002)*W201^3+0.00032*W201^2+(-0.0021)*W201)+X$1*((-0.000002)*X201^3+0.00032*X201^2+(-0.0021)*X201)+Y$1*((-0.000002)*Y201^3+0.00032*Y201^2+(-0.0021)*Y201)+Z$1*((-0.000002)*Z201^3+0.00032*Z201^2+(-0.0021)*Z201),X$2*((-0.000002)*X201^3+0.00032*X201^2+(-0.0021)*X201)+Y$2*((-0.000002)*Y201^3+0.00032*Y201^2+(-0.0021)*Y201)+Z$2*((-0.000002)*Z201^3+0.00032*Z201^2+(-0.0021)*Z201)+AA$2*((-0.000002)*AA201^3+0.00032*AA201^2+(-0.0021)*AA201))</f>
        <v/>
      </c>
      <c r="AL201" s="5">
        <f>AB$1*((-0.000002)*AB201^3+0.00032*AB201^2+(-0.0021)*AB201)+AC$1*((-0.000002)*AC201^3+0.00032*AC201^2+(-0.0021)*AC201)</f>
        <v/>
      </c>
      <c r="AM201" s="5">
        <f>AD$1*((-0.000002)*AD201^3+0.00032*AD201^2+(-0.0021)*AD201)+AE$1*((-0.000002)*AE201^3+0.00032*AE201^2+(-0.0021)*AE201)+AF$1*((-0.000002)*AF201^3+0.00032*AF201^2+(-0.0021)*AF201)+AG$1*((-0.000002)*AG201^3+0.00032*AG201^2+(-0.0021)*AG201)</f>
        <v/>
      </c>
    </row>
    <row r="202" ht="15" customHeight="1" s="27" thickBot="1">
      <c r="A202" s="5">
        <f>(AI202*AI$3+AJ202*AJ$3+AK202*AK$3+AL202*AL$3+AM202*AM$3)*100/(AI$5*AI$3+AJ$5*AJ$3+AK$5*AK$3+AL$5*AL$3+AM$5*AM$3)</f>
        <v/>
      </c>
      <c r="B202" s="16" t="n">
        <v>153</v>
      </c>
      <c r="C202" s="10" t="inlineStr">
        <is>
          <t>Fleming, Tommy</t>
        </is>
      </c>
      <c r="D202" s="17" t="inlineStr">
        <is>
          <t>P</t>
        </is>
      </c>
      <c r="E202" s="17" t="inlineStr">
        <is>
          <t>R</t>
        </is>
      </c>
      <c r="F202" s="17" t="inlineStr">
        <is>
          <t>R</t>
        </is>
      </c>
      <c r="G202" s="17" t="n">
        <v>18</v>
      </c>
      <c r="H202" s="17" t="n">
        <v>17</v>
      </c>
      <c r="I202" s="17" t="n">
        <v>0</v>
      </c>
      <c r="J202" s="17" t="n">
        <v>36</v>
      </c>
      <c r="K202" s="17" t="n">
        <v>24</v>
      </c>
      <c r="L202" s="17" t="n">
        <v>12</v>
      </c>
      <c r="M202" s="17" t="n">
        <v>17</v>
      </c>
      <c r="N202" s="17" t="n">
        <v>75</v>
      </c>
      <c r="O202" s="17" t="n">
        <v>66</v>
      </c>
      <c r="P202" s="17" t="n">
        <v>40</v>
      </c>
      <c r="Q202" s="16" t="n">
        <v>153</v>
      </c>
      <c r="R202" s="10" t="inlineStr">
        <is>
          <t>Fleming, Tommy</t>
        </is>
      </c>
      <c r="S202" s="17" t="inlineStr">
        <is>
          <t>P</t>
        </is>
      </c>
      <c r="T202" s="17" t="inlineStr">
        <is>
          <t>R</t>
        </is>
      </c>
      <c r="U202" s="17" t="inlineStr">
        <is>
          <t>R</t>
        </is>
      </c>
      <c r="V202" s="17" t="n">
        <v>18</v>
      </c>
      <c r="W202" s="17" t="n">
        <v>22</v>
      </c>
      <c r="X202" s="17" t="n">
        <v>38</v>
      </c>
      <c r="Y202" s="17" t="n">
        <v>28</v>
      </c>
      <c r="Z202" s="17" t="n">
        <v>14</v>
      </c>
      <c r="AA202" s="17" t="n">
        <v>12</v>
      </c>
      <c r="AB202" s="17" t="n">
        <v>29</v>
      </c>
      <c r="AC202" s="17" t="n">
        <v>100</v>
      </c>
      <c r="AD202" s="17" t="n">
        <v>15</v>
      </c>
      <c r="AE202" s="17" t="n">
        <v>78</v>
      </c>
      <c r="AF202" s="17" t="n">
        <v>41</v>
      </c>
      <c r="AG202" s="17" t="n">
        <v>65</v>
      </c>
      <c r="AH202" s="17" t="n">
        <v>40</v>
      </c>
      <c r="AI202" s="5">
        <f>H$1*((-0.000002)*H202^3+0.00032*H202^2+(-0.0021)*H202)+I$1*((-0.000002)*I202^3+0.00032*I202^2+(-0.0021)*I202)+J$1*((-0.000002)*J202^3+0.00032*J202^2+(-0.0021)*J202)+K$1*((-0.000002)*K202^3+0.00032*K202^2+(-0.0021)*K202)+L$1*((-0.000002)*L202^3+0.00032*L202^2+(-0.0021)*L202)</f>
        <v/>
      </c>
      <c r="AJ202" s="5">
        <f>M$1*((-0.000002)*M202^3+0.00032*M202^2+(-0.0021)*M202)+N$1*((-0.000002)*N202^3+0.00032*N202^2+(-0.0021)*N202)+O$1*((-0.000002)*O202^3+0.00032*O202^2+(-0.0021)*O202)</f>
        <v/>
      </c>
      <c r="AK202" s="5">
        <f>IF(AA202&lt;50,W$1*((-0.000002)*W202^3+0.00032*W202^2+(-0.0021)*W202)+X$1*((-0.000002)*X202^3+0.00032*X202^2+(-0.0021)*X202)+Y$1*((-0.000002)*Y202^3+0.00032*Y202^2+(-0.0021)*Y202)+Z$1*((-0.000002)*Z202^3+0.00032*Z202^2+(-0.0021)*Z202),X$2*((-0.000002)*X202^3+0.00032*X202^2+(-0.0021)*X202)+Y$2*((-0.000002)*Y202^3+0.00032*Y202^2+(-0.0021)*Y202)+Z$2*((-0.000002)*Z202^3+0.00032*Z202^2+(-0.0021)*Z202)+AA$2*((-0.000002)*AA202^3+0.00032*AA202^2+(-0.0021)*AA202))</f>
        <v/>
      </c>
      <c r="AL202" s="5">
        <f>AB$1*((-0.000002)*AB202^3+0.00032*AB202^2+(-0.0021)*AB202)+AC$1*((-0.000002)*AC202^3+0.00032*AC202^2+(-0.0021)*AC202)</f>
        <v/>
      </c>
      <c r="AM202" s="5">
        <f>AD$1*((-0.000002)*AD202^3+0.00032*AD202^2+(-0.0021)*AD202)+AE$1*((-0.000002)*AE202^3+0.00032*AE202^2+(-0.0021)*AE202)+AF$1*((-0.000002)*AF202^3+0.00032*AF202^2+(-0.0021)*AF202)+AG$1*((-0.000002)*AG202^3+0.00032*AG202^2+(-0.0021)*AG202)</f>
        <v/>
      </c>
    </row>
    <row r="203" ht="15" customHeight="1" s="27" thickBot="1">
      <c r="A203" s="5">
        <f>(AI203*AI$3+AJ203*AJ$3+AK203*AK$3+AL203*AL$3+AM203*AM$3)*100/(AI$5*AI$3+AJ$5*AJ$3+AK$5*AK$3+AL$5*AL$3+AM$5*AM$3)</f>
        <v/>
      </c>
      <c r="B203" s="18" t="n">
        <v>118</v>
      </c>
      <c r="C203" s="11" t="inlineStr">
        <is>
          <t>Esposito, Rafael</t>
        </is>
      </c>
      <c r="D203" s="19" t="inlineStr">
        <is>
          <t>P</t>
        </is>
      </c>
      <c r="E203" s="19" t="inlineStr">
        <is>
          <t>R</t>
        </is>
      </c>
      <c r="F203" s="19" t="inlineStr">
        <is>
          <t>R</t>
        </is>
      </c>
      <c r="G203" s="19" t="n">
        <v>22</v>
      </c>
      <c r="H203" s="19" t="n">
        <v>1</v>
      </c>
      <c r="I203" s="19" t="n">
        <v>0</v>
      </c>
      <c r="J203" s="19" t="n">
        <v>19</v>
      </c>
      <c r="K203" s="19" t="n">
        <v>0</v>
      </c>
      <c r="L203" s="19" t="n">
        <v>11</v>
      </c>
      <c r="M203" s="19" t="n">
        <v>11</v>
      </c>
      <c r="N203" s="19" t="n">
        <v>52</v>
      </c>
      <c r="O203" s="19" t="n">
        <v>33</v>
      </c>
      <c r="P203" s="19" t="n">
        <v>63</v>
      </c>
      <c r="Q203" s="18" t="n">
        <v>118</v>
      </c>
      <c r="R203" s="11" t="inlineStr">
        <is>
          <t>Esposito, Rafael</t>
        </is>
      </c>
      <c r="S203" s="19" t="inlineStr">
        <is>
          <t>P</t>
        </is>
      </c>
      <c r="T203" s="19" t="inlineStr">
        <is>
          <t>R</t>
        </is>
      </c>
      <c r="U203" s="19" t="inlineStr">
        <is>
          <t>R</t>
        </is>
      </c>
      <c r="V203" s="19" t="n">
        <v>22</v>
      </c>
      <c r="W203" s="19" t="n">
        <v>35</v>
      </c>
      <c r="X203" s="19" t="n">
        <v>65</v>
      </c>
      <c r="Y203" s="19" t="n">
        <v>45</v>
      </c>
      <c r="Z203" s="19" t="n">
        <v>0</v>
      </c>
      <c r="AA203" s="19" t="n">
        <v>54</v>
      </c>
      <c r="AB203" s="19" t="n">
        <v>37</v>
      </c>
      <c r="AC203" s="19" t="n">
        <v>100</v>
      </c>
      <c r="AD203" s="19" t="n">
        <v>16</v>
      </c>
      <c r="AE203" s="19" t="n">
        <v>87</v>
      </c>
      <c r="AF203" s="19" t="n">
        <v>33</v>
      </c>
      <c r="AG203" s="19" t="n">
        <v>73</v>
      </c>
      <c r="AH203" s="19" t="n">
        <v>63</v>
      </c>
      <c r="AI203" s="5">
        <f>H$1*((-0.000002)*H203^3+0.00032*H203^2+(-0.0021)*H203)+I$1*((-0.000002)*I203^3+0.00032*I203^2+(-0.0021)*I203)+J$1*((-0.000002)*J203^3+0.00032*J203^2+(-0.0021)*J203)+K$1*((-0.000002)*K203^3+0.00032*K203^2+(-0.0021)*K203)+L$1*((-0.000002)*L203^3+0.00032*L203^2+(-0.0021)*L203)</f>
        <v/>
      </c>
      <c r="AJ203" s="5">
        <f>M$1*((-0.000002)*M203^3+0.00032*M203^2+(-0.0021)*M203)+N$1*((-0.000002)*N203^3+0.00032*N203^2+(-0.0021)*N203)+O$1*((-0.000002)*O203^3+0.00032*O203^2+(-0.0021)*O203)</f>
        <v/>
      </c>
      <c r="AK203" s="5">
        <f>IF(AA203&lt;50,W$1*((-0.000002)*W203^3+0.00032*W203^2+(-0.0021)*W203)+X$1*((-0.000002)*X203^3+0.00032*X203^2+(-0.0021)*X203)+Y$1*((-0.000002)*Y203^3+0.00032*Y203^2+(-0.0021)*Y203)+Z$1*((-0.000002)*Z203^3+0.00032*Z203^2+(-0.0021)*Z203),X$2*((-0.000002)*X203^3+0.00032*X203^2+(-0.0021)*X203)+Y$2*((-0.000002)*Y203^3+0.00032*Y203^2+(-0.0021)*Y203)+Z$2*((-0.000002)*Z203^3+0.00032*Z203^2+(-0.0021)*Z203)+AA$2*((-0.000002)*AA203^3+0.00032*AA203^2+(-0.0021)*AA203))</f>
        <v/>
      </c>
      <c r="AL203" s="5">
        <f>AB$1*((-0.000002)*AB203^3+0.00032*AB203^2+(-0.0021)*AB203)+AC$1*((-0.000002)*AC203^3+0.00032*AC203^2+(-0.0021)*AC203)</f>
        <v/>
      </c>
      <c r="AM203" s="5">
        <f>AD$1*((-0.000002)*AD203^3+0.00032*AD203^2+(-0.0021)*AD203)+AE$1*((-0.000002)*AE203^3+0.00032*AE203^2+(-0.0021)*AE203)+AF$1*((-0.000002)*AF203^3+0.00032*AF203^2+(-0.0021)*AF203)+AG$1*((-0.000002)*AG203^3+0.00032*AG203^2+(-0.0021)*AG203)</f>
        <v/>
      </c>
    </row>
    <row r="204" ht="15" customHeight="1" s="27" thickBot="1">
      <c r="A204" s="5">
        <f>(AI204*AI$3+AJ204*AJ$3+AK204*AK$3+AL204*AL$3+AM204*AM$3)*100/(AI$5*AI$3+AJ$5*AJ$3+AK$5*AK$3+AL$5*AL$3+AM$5*AM$3)</f>
        <v/>
      </c>
      <c r="B204" s="16" t="n">
        <v>77</v>
      </c>
      <c r="C204" s="10" t="inlineStr">
        <is>
          <t>Osich, Kenny</t>
        </is>
      </c>
      <c r="D204" s="17" t="inlineStr">
        <is>
          <t>P</t>
        </is>
      </c>
      <c r="E204" s="17" t="inlineStr">
        <is>
          <t>R</t>
        </is>
      </c>
      <c r="F204" s="17" t="inlineStr">
        <is>
          <t>R</t>
        </is>
      </c>
      <c r="G204" s="17" t="n">
        <v>18</v>
      </c>
      <c r="H204" s="17" t="n">
        <v>16</v>
      </c>
      <c r="I204" s="17" t="n">
        <v>0</v>
      </c>
      <c r="J204" s="17" t="n">
        <v>29</v>
      </c>
      <c r="K204" s="17" t="n">
        <v>27</v>
      </c>
      <c r="L204" s="17" t="n">
        <v>12</v>
      </c>
      <c r="M204" s="17" t="n">
        <v>17</v>
      </c>
      <c r="N204" s="17" t="n">
        <v>64</v>
      </c>
      <c r="O204" s="17" t="n">
        <v>44</v>
      </c>
      <c r="P204" s="17" t="n">
        <v>56</v>
      </c>
      <c r="Q204" s="16" t="n">
        <v>77</v>
      </c>
      <c r="R204" s="10" t="inlineStr">
        <is>
          <t>Osich, Kenny</t>
        </is>
      </c>
      <c r="S204" s="17" t="inlineStr">
        <is>
          <t>P</t>
        </is>
      </c>
      <c r="T204" s="17" t="inlineStr">
        <is>
          <t>R</t>
        </is>
      </c>
      <c r="U204" s="17" t="inlineStr">
        <is>
          <t>R</t>
        </is>
      </c>
      <c r="V204" s="17" t="n">
        <v>18</v>
      </c>
      <c r="W204" s="17" t="n">
        <v>13</v>
      </c>
      <c r="X204" s="17" t="n">
        <v>23</v>
      </c>
      <c r="Y204" s="17" t="n">
        <v>41</v>
      </c>
      <c r="Z204" s="17" t="n">
        <v>19</v>
      </c>
      <c r="AA204" s="17" t="n">
        <v>28</v>
      </c>
      <c r="AB204" s="17" t="n">
        <v>25</v>
      </c>
      <c r="AC204" s="17" t="n">
        <v>82</v>
      </c>
      <c r="AD204" s="17" t="n">
        <v>40</v>
      </c>
      <c r="AE204" s="17" t="n">
        <v>27</v>
      </c>
      <c r="AF204" s="17" t="n">
        <v>59</v>
      </c>
      <c r="AG204" s="17" t="n">
        <v>50</v>
      </c>
      <c r="AH204" s="17" t="n">
        <v>56</v>
      </c>
      <c r="AI204" s="5">
        <f>H$1*((-0.000002)*H204^3+0.00032*H204^2+(-0.0021)*H204)+I$1*((-0.000002)*I204^3+0.00032*I204^2+(-0.0021)*I204)+J$1*((-0.000002)*J204^3+0.00032*J204^2+(-0.0021)*J204)+K$1*((-0.000002)*K204^3+0.00032*K204^2+(-0.0021)*K204)+L$1*((-0.000002)*L204^3+0.00032*L204^2+(-0.0021)*L204)</f>
        <v/>
      </c>
      <c r="AJ204" s="5">
        <f>M$1*((-0.000002)*M204^3+0.00032*M204^2+(-0.0021)*M204)+N$1*((-0.000002)*N204^3+0.00032*N204^2+(-0.0021)*N204)+O$1*((-0.000002)*O204^3+0.00032*O204^2+(-0.0021)*O204)</f>
        <v/>
      </c>
      <c r="AK204" s="5">
        <f>IF(AA204&lt;50,W$1*((-0.000002)*W204^3+0.00032*W204^2+(-0.0021)*W204)+X$1*((-0.000002)*X204^3+0.00032*X204^2+(-0.0021)*X204)+Y$1*((-0.000002)*Y204^3+0.00032*Y204^2+(-0.0021)*Y204)+Z$1*((-0.000002)*Z204^3+0.00032*Z204^2+(-0.0021)*Z204),X$2*((-0.000002)*X204^3+0.00032*X204^2+(-0.0021)*X204)+Y$2*((-0.000002)*Y204^3+0.00032*Y204^2+(-0.0021)*Y204)+Z$2*((-0.000002)*Z204^3+0.00032*Z204^2+(-0.0021)*Z204)+AA$2*((-0.000002)*AA204^3+0.00032*AA204^2+(-0.0021)*AA204))</f>
        <v/>
      </c>
      <c r="AL204" s="5">
        <f>AB$1*((-0.000002)*AB204^3+0.00032*AB204^2+(-0.0021)*AB204)+AC$1*((-0.000002)*AC204^3+0.00032*AC204^2+(-0.0021)*AC204)</f>
        <v/>
      </c>
      <c r="AM204" s="5">
        <f>AD$1*((-0.000002)*AD204^3+0.00032*AD204^2+(-0.0021)*AD204)+AE$1*((-0.000002)*AE204^3+0.00032*AE204^2+(-0.0021)*AE204)+AF$1*((-0.000002)*AF204^3+0.00032*AF204^2+(-0.0021)*AF204)+AG$1*((-0.000002)*AG204^3+0.00032*AG204^2+(-0.0021)*AG204)</f>
        <v/>
      </c>
    </row>
    <row r="205" ht="15" customHeight="1" s="27" thickBot="1">
      <c r="A205" s="5">
        <f>(AI205*AI$3+AJ205*AJ$3+AK205*AK$3+AL205*AL$3+AM205*AM$3)*100/(AI$5*AI$3+AJ$5*AJ$3+AK$5*AK$3+AL$5*AL$3+AM$5*AM$3)</f>
        <v/>
      </c>
      <c r="B205" s="16" t="n">
        <v>149</v>
      </c>
      <c r="C205" s="10" t="inlineStr">
        <is>
          <t>Stowers, Bill</t>
        </is>
      </c>
      <c r="D205" s="17" t="inlineStr">
        <is>
          <t>P</t>
        </is>
      </c>
      <c r="E205" s="17" t="inlineStr">
        <is>
          <t>S</t>
        </is>
      </c>
      <c r="F205" s="17" t="inlineStr">
        <is>
          <t>R</t>
        </is>
      </c>
      <c r="G205" s="17" t="n">
        <v>18</v>
      </c>
      <c r="H205" s="17" t="n">
        <v>15</v>
      </c>
      <c r="I205" s="17" t="n">
        <v>0</v>
      </c>
      <c r="J205" s="17" t="n">
        <v>29</v>
      </c>
      <c r="K205" s="17" t="n">
        <v>24</v>
      </c>
      <c r="L205" s="17" t="n">
        <v>18</v>
      </c>
      <c r="M205" s="17" t="n">
        <v>16</v>
      </c>
      <c r="N205" s="17" t="n">
        <v>60</v>
      </c>
      <c r="O205" s="17" t="n">
        <v>35</v>
      </c>
      <c r="P205" s="17" t="n">
        <v>42</v>
      </c>
      <c r="Q205" s="16" t="n">
        <v>149</v>
      </c>
      <c r="R205" s="10" t="inlineStr">
        <is>
          <t>Stowers, Bill</t>
        </is>
      </c>
      <c r="S205" s="17" t="inlineStr">
        <is>
          <t>P</t>
        </is>
      </c>
      <c r="T205" s="17" t="inlineStr">
        <is>
          <t>S</t>
        </is>
      </c>
      <c r="U205" s="17" t="inlineStr">
        <is>
          <t>R</t>
        </is>
      </c>
      <c r="V205" s="17" t="n">
        <v>18</v>
      </c>
      <c r="W205" s="17" t="n">
        <v>22</v>
      </c>
      <c r="X205" s="17" t="n">
        <v>26</v>
      </c>
      <c r="Y205" s="17" t="n">
        <v>19</v>
      </c>
      <c r="Z205" s="17" t="n">
        <v>30</v>
      </c>
      <c r="AA205" s="17" t="n">
        <v>2</v>
      </c>
      <c r="AB205" s="17" t="n">
        <v>37</v>
      </c>
      <c r="AC205" s="17" t="n">
        <v>95</v>
      </c>
      <c r="AD205" s="17" t="n">
        <v>4</v>
      </c>
      <c r="AE205" s="17" t="n">
        <v>83</v>
      </c>
      <c r="AF205" s="17" t="n">
        <v>28</v>
      </c>
      <c r="AG205" s="17" t="n">
        <v>52</v>
      </c>
      <c r="AH205" s="17" t="n">
        <v>42</v>
      </c>
      <c r="AI205" s="5">
        <f>H$1*((-0.000002)*H205^3+0.00032*H205^2+(-0.0021)*H205)+I$1*((-0.000002)*I205^3+0.00032*I205^2+(-0.0021)*I205)+J$1*((-0.000002)*J205^3+0.00032*J205^2+(-0.0021)*J205)+K$1*((-0.000002)*K205^3+0.00032*K205^2+(-0.0021)*K205)+L$1*((-0.000002)*L205^3+0.00032*L205^2+(-0.0021)*L205)</f>
        <v/>
      </c>
      <c r="AJ205" s="5">
        <f>M$1*((-0.000002)*M205^3+0.00032*M205^2+(-0.0021)*M205)+N$1*((-0.000002)*N205^3+0.00032*N205^2+(-0.0021)*N205)+O$1*((-0.000002)*O205^3+0.00032*O205^2+(-0.0021)*O205)</f>
        <v/>
      </c>
      <c r="AK205" s="5">
        <f>IF(AA205&lt;50,W$1*((-0.000002)*W205^3+0.00032*W205^2+(-0.0021)*W205)+X$1*((-0.000002)*X205^3+0.00032*X205^2+(-0.0021)*X205)+Y$1*((-0.000002)*Y205^3+0.00032*Y205^2+(-0.0021)*Y205)+Z$1*((-0.000002)*Z205^3+0.00032*Z205^2+(-0.0021)*Z205),X$2*((-0.000002)*X205^3+0.00032*X205^2+(-0.0021)*X205)+Y$2*((-0.000002)*Y205^3+0.00032*Y205^2+(-0.0021)*Y205)+Z$2*((-0.000002)*Z205^3+0.00032*Z205^2+(-0.0021)*Z205)+AA$2*((-0.000002)*AA205^3+0.00032*AA205^2+(-0.0021)*AA205))</f>
        <v/>
      </c>
      <c r="AL205" s="5">
        <f>AB$1*((-0.000002)*AB205^3+0.00032*AB205^2+(-0.0021)*AB205)+AC$1*((-0.000002)*AC205^3+0.00032*AC205^2+(-0.0021)*AC205)</f>
        <v/>
      </c>
      <c r="AM205" s="5">
        <f>AD$1*((-0.000002)*AD205^3+0.00032*AD205^2+(-0.0021)*AD205)+AE$1*((-0.000002)*AE205^3+0.00032*AE205^2+(-0.0021)*AE205)+AF$1*((-0.000002)*AF205^3+0.00032*AF205^2+(-0.0021)*AF205)+AG$1*((-0.000002)*AG205^3+0.00032*AG205^2+(-0.0021)*AG205)</f>
        <v/>
      </c>
    </row>
    <row r="206" ht="15" customHeight="1" s="27" thickBot="1">
      <c r="A206" s="5">
        <f>(AI206*AI$3+AJ206*AJ$3+AK206*AK$3+AL206*AL$3+AM206*AM$3)*100/(AI$5*AI$3+AJ$5*AJ$3+AK$5*AK$3+AL$5*AL$3+AM$5*AM$3)</f>
        <v/>
      </c>
      <c r="B206" s="16" t="n">
        <v>117</v>
      </c>
      <c r="C206" s="10" t="inlineStr">
        <is>
          <t>Walls, Joe</t>
        </is>
      </c>
      <c r="D206" s="17" t="inlineStr">
        <is>
          <t>P</t>
        </is>
      </c>
      <c r="E206" s="17" t="inlineStr">
        <is>
          <t>S</t>
        </is>
      </c>
      <c r="F206" s="17" t="inlineStr">
        <is>
          <t>L</t>
        </is>
      </c>
      <c r="G206" s="17" t="n">
        <v>18</v>
      </c>
      <c r="H206" s="17" t="n">
        <v>21</v>
      </c>
      <c r="I206" s="17" t="n">
        <v>3</v>
      </c>
      <c r="J206" s="17" t="n">
        <v>22</v>
      </c>
      <c r="K206" s="17" t="n">
        <v>34</v>
      </c>
      <c r="L206" s="17" t="n">
        <v>23</v>
      </c>
      <c r="M206" s="17" t="n">
        <v>0</v>
      </c>
      <c r="N206" s="17" t="n">
        <v>63</v>
      </c>
      <c r="O206" s="17" t="n">
        <v>58</v>
      </c>
      <c r="P206" s="17" t="n">
        <v>47</v>
      </c>
      <c r="Q206" s="16" t="n">
        <v>117</v>
      </c>
      <c r="R206" s="10" t="inlineStr">
        <is>
          <t>Walls, Joe</t>
        </is>
      </c>
      <c r="S206" s="17" t="inlineStr">
        <is>
          <t>P</t>
        </is>
      </c>
      <c r="T206" s="17" t="inlineStr">
        <is>
          <t>S</t>
        </is>
      </c>
      <c r="U206" s="17" t="inlineStr">
        <is>
          <t>L</t>
        </is>
      </c>
      <c r="V206" s="17" t="n">
        <v>18</v>
      </c>
      <c r="W206" s="17" t="n">
        <v>0</v>
      </c>
      <c r="X206" s="17" t="n">
        <v>2</v>
      </c>
      <c r="Y206" s="17" t="n">
        <v>4</v>
      </c>
      <c r="Z206" s="17" t="n">
        <v>27</v>
      </c>
      <c r="AA206" s="17" t="n">
        <v>8</v>
      </c>
      <c r="AB206" s="17" t="n">
        <v>27</v>
      </c>
      <c r="AC206" s="17" t="n">
        <v>44</v>
      </c>
      <c r="AD206" s="17" t="n">
        <v>50</v>
      </c>
      <c r="AE206" s="17" t="n">
        <v>67</v>
      </c>
      <c r="AF206" s="17" t="n">
        <v>47</v>
      </c>
      <c r="AG206" s="17" t="n">
        <v>85</v>
      </c>
      <c r="AH206" s="17" t="n">
        <v>47</v>
      </c>
      <c r="AI206" s="5">
        <f>H$1*((-0.000002)*H206^3+0.00032*H206^2+(-0.0021)*H206)+I$1*((-0.000002)*I206^3+0.00032*I206^2+(-0.0021)*I206)+J$1*((-0.000002)*J206^3+0.00032*J206^2+(-0.0021)*J206)+K$1*((-0.000002)*K206^3+0.00032*K206^2+(-0.0021)*K206)+L$1*((-0.000002)*L206^3+0.00032*L206^2+(-0.0021)*L206)</f>
        <v/>
      </c>
      <c r="AJ206" s="5">
        <f>M$1*((-0.000002)*M206^3+0.00032*M206^2+(-0.0021)*M206)+N$1*((-0.000002)*N206^3+0.00032*N206^2+(-0.0021)*N206)+O$1*((-0.000002)*O206^3+0.00032*O206^2+(-0.0021)*O206)</f>
        <v/>
      </c>
      <c r="AK206" s="5">
        <f>IF(AA206&lt;50,W$1*((-0.000002)*W206^3+0.00032*W206^2+(-0.0021)*W206)+X$1*((-0.000002)*X206^3+0.00032*X206^2+(-0.0021)*X206)+Y$1*((-0.000002)*Y206^3+0.00032*Y206^2+(-0.0021)*Y206)+Z$1*((-0.000002)*Z206^3+0.00032*Z206^2+(-0.0021)*Z206),X$2*((-0.000002)*X206^3+0.00032*X206^2+(-0.0021)*X206)+Y$2*((-0.000002)*Y206^3+0.00032*Y206^2+(-0.0021)*Y206)+Z$2*((-0.000002)*Z206^3+0.00032*Z206^2+(-0.0021)*Z206)+AA$2*((-0.000002)*AA206^3+0.00032*AA206^2+(-0.0021)*AA206))</f>
        <v/>
      </c>
      <c r="AL206" s="5">
        <f>AB$1*((-0.000002)*AB206^3+0.00032*AB206^2+(-0.0021)*AB206)+AC$1*((-0.000002)*AC206^3+0.00032*AC206^2+(-0.0021)*AC206)</f>
        <v/>
      </c>
      <c r="AM206" s="5">
        <f>AD$1*((-0.000002)*AD206^3+0.00032*AD206^2+(-0.0021)*AD206)+AE$1*((-0.000002)*AE206^3+0.00032*AE206^2+(-0.0021)*AE206)+AF$1*((-0.000002)*AF206^3+0.00032*AF206^2+(-0.0021)*AF206)+AG$1*((-0.000002)*AG206^3+0.00032*AG206^2+(-0.0021)*AG206)</f>
        <v/>
      </c>
    </row>
    <row r="207" ht="15" customHeight="1" s="27" thickBot="1">
      <c r="A207" s="5">
        <f>(AI207*AI$3+AJ207*AJ$3+AK207*AK$3+AL207*AL$3+AM207*AM$3)*100/(AI$5*AI$3+AJ$5*AJ$3+AK$5*AK$3+AL$5*AL$3+AM$5*AM$3)</f>
        <v/>
      </c>
      <c r="B207" s="18" t="n">
        <v>174</v>
      </c>
      <c r="C207" s="11" t="inlineStr">
        <is>
          <t>Ogea, Ryan</t>
        </is>
      </c>
      <c r="D207" s="19" t="inlineStr">
        <is>
          <t>P</t>
        </is>
      </c>
      <c r="E207" s="19" t="inlineStr">
        <is>
          <t>R</t>
        </is>
      </c>
      <c r="F207" s="19" t="inlineStr">
        <is>
          <t>R</t>
        </is>
      </c>
      <c r="G207" s="19" t="n">
        <v>18</v>
      </c>
      <c r="H207" s="19" t="n">
        <v>26</v>
      </c>
      <c r="I207" s="19" t="n">
        <v>10</v>
      </c>
      <c r="J207" s="19" t="n">
        <v>28</v>
      </c>
      <c r="K207" s="19" t="n">
        <v>13</v>
      </c>
      <c r="L207" s="19" t="n">
        <v>11</v>
      </c>
      <c r="M207" s="19" t="n">
        <v>18</v>
      </c>
      <c r="N207" s="19" t="n">
        <v>78</v>
      </c>
      <c r="O207" s="19" t="n">
        <v>63</v>
      </c>
      <c r="P207" s="19" t="n">
        <v>32</v>
      </c>
      <c r="Q207" s="18" t="n">
        <v>174</v>
      </c>
      <c r="R207" s="11" t="inlineStr">
        <is>
          <t>Ogea, Ryan</t>
        </is>
      </c>
      <c r="S207" s="19" t="inlineStr">
        <is>
          <t>P</t>
        </is>
      </c>
      <c r="T207" s="19" t="inlineStr">
        <is>
          <t>R</t>
        </is>
      </c>
      <c r="U207" s="19" t="inlineStr">
        <is>
          <t>R</t>
        </is>
      </c>
      <c r="V207" s="19" t="n">
        <v>18</v>
      </c>
      <c r="W207" s="19" t="n">
        <v>24</v>
      </c>
      <c r="X207" s="19" t="n">
        <v>27</v>
      </c>
      <c r="Y207" s="19" t="n">
        <v>14</v>
      </c>
      <c r="Z207" s="19" t="n">
        <v>18</v>
      </c>
      <c r="AA207" s="19" t="n">
        <v>6</v>
      </c>
      <c r="AB207" s="19" t="n">
        <v>47</v>
      </c>
      <c r="AC207" s="19" t="n">
        <v>66</v>
      </c>
      <c r="AD207" s="19" t="n">
        <v>22</v>
      </c>
      <c r="AE207" s="19" t="n">
        <v>70</v>
      </c>
      <c r="AF207" s="19" t="n">
        <v>34</v>
      </c>
      <c r="AG207" s="19" t="n">
        <v>73</v>
      </c>
      <c r="AH207" s="19" t="n">
        <v>32</v>
      </c>
      <c r="AI207" s="5">
        <f>H$1*((-0.000002)*H207^3+0.00032*H207^2+(-0.0021)*H207)+I$1*((-0.000002)*I207^3+0.00032*I207^2+(-0.0021)*I207)+J$1*((-0.000002)*J207^3+0.00032*J207^2+(-0.0021)*J207)+K$1*((-0.000002)*K207^3+0.00032*K207^2+(-0.0021)*K207)+L$1*((-0.000002)*L207^3+0.00032*L207^2+(-0.0021)*L207)</f>
        <v/>
      </c>
      <c r="AJ207" s="5">
        <f>M$1*((-0.000002)*M207^3+0.00032*M207^2+(-0.0021)*M207)+N$1*((-0.000002)*N207^3+0.00032*N207^2+(-0.0021)*N207)+O$1*((-0.000002)*O207^3+0.00032*O207^2+(-0.0021)*O207)</f>
        <v/>
      </c>
      <c r="AK207" s="5">
        <f>IF(AA207&lt;50,W$1*((-0.000002)*W207^3+0.00032*W207^2+(-0.0021)*W207)+X$1*((-0.000002)*X207^3+0.00032*X207^2+(-0.0021)*X207)+Y$1*((-0.000002)*Y207^3+0.00032*Y207^2+(-0.0021)*Y207)+Z$1*((-0.000002)*Z207^3+0.00032*Z207^2+(-0.0021)*Z207),X$2*((-0.000002)*X207^3+0.00032*X207^2+(-0.0021)*X207)+Y$2*((-0.000002)*Y207^3+0.00032*Y207^2+(-0.0021)*Y207)+Z$2*((-0.000002)*Z207^3+0.00032*Z207^2+(-0.0021)*Z207)+AA$2*((-0.000002)*AA207^3+0.00032*AA207^2+(-0.0021)*AA207))</f>
        <v/>
      </c>
      <c r="AL207" s="5">
        <f>AB$1*((-0.000002)*AB207^3+0.00032*AB207^2+(-0.0021)*AB207)+AC$1*((-0.000002)*AC207^3+0.00032*AC207^2+(-0.0021)*AC207)</f>
        <v/>
      </c>
      <c r="AM207" s="5">
        <f>AD$1*((-0.000002)*AD207^3+0.00032*AD207^2+(-0.0021)*AD207)+AE$1*((-0.000002)*AE207^3+0.00032*AE207^2+(-0.0021)*AE207)+AF$1*((-0.000002)*AF207^3+0.00032*AF207^2+(-0.0021)*AF207)+AG$1*((-0.000002)*AG207^3+0.00032*AG207^2+(-0.0021)*AG207)</f>
        <v/>
      </c>
    </row>
    <row r="208" ht="15" customHeight="1" s="27" thickBot="1">
      <c r="A208">
        <f>(AI208*AI$3+AJ208*AJ$3+AK208*AK$3+AL208*AL$3+AM208*AM$3)*100/(AI$5*AI$3+AJ$5*AJ$3+AK$5*AK$3+AL$5*AL$3+AM$5*AM$3)</f>
        <v/>
      </c>
      <c r="B208" s="18" t="n"/>
      <c r="C208" s="11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8" t="n"/>
      <c r="R208" s="11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5">
        <f>H$1*((-0.000002)*H208^3+0.00032*H208^2+(-0.0021)*H208)+I$1*((-0.000002)*I208^3+0.00032*I208^2+(-0.0021)*I208)+J$1*((-0.000002)*J208^3+0.00032*J208^2+(-0.0021)*J208)+K$1*((-0.000002)*K208^3+0.00032*K208^2+(-0.0021)*K208)+L$1*((-0.000002)*L208^3+0.00032*L208^2+(-0.0021)*L208)</f>
        <v/>
      </c>
      <c r="AJ208" s="5">
        <f>M$1*((-0.000002)*M208^3+0.00032*M208^2+(-0.0021)*M208)+N$1*((-0.000002)*N208^3+0.00032*N208^2+(-0.0021)*N208)+O$1*((-0.000002)*O208^3+0.00032*O208^2+(-0.0021)*O208)</f>
        <v/>
      </c>
      <c r="AK208" s="5">
        <f>IF(AA208&lt;50,W$1*((-0.000002)*W208^3+0.00032*W208^2+(-0.0021)*W208)+X$1*((-0.000002)*X208^3+0.00032*X208^2+(-0.0021)*X208)+Y$1*((-0.000002)*Y208^3+0.00032*Y208^2+(-0.0021)*Y208)+Z$1*((-0.000002)*Z208^3+0.00032*Z208^2+(-0.0021)*Z208),X$2*((-0.000002)*X208^3+0.00032*X208^2+(-0.0021)*X208)+Y$2*((-0.000002)*Y208^3+0.00032*Y208^2+(-0.0021)*Y208)+Z$2*((-0.000002)*Z208^3+0.00032*Z208^2+(-0.0021)*Z208)+AA$2*((-0.000002)*AA208^3+0.00032*AA208^2+(-0.0021)*AA208))</f>
        <v/>
      </c>
      <c r="AL208" s="5">
        <f>AB$1*((-0.000002)*AB208^3+0.00032*AB208^2+(-0.0021)*AB208)+AC$1*((-0.000002)*AC208^3+0.00032*AC208^2+(-0.0021)*AC208)</f>
        <v/>
      </c>
      <c r="AM208" s="5">
        <f>AD$1*((-0.000002)*AD208^3+0.00032*AD208^2+(-0.0021)*AD208)+AE$1*((-0.000002)*AE208^3+0.00032*AE208^2+(-0.0021)*AE208)+AF$1*((-0.000002)*AF208^3+0.00032*AF208^2+(-0.0021)*AF208)+AG$1*((-0.000002)*AG208^3+0.00032*AG208^2+(-0.0021)*AG208)</f>
        <v/>
      </c>
    </row>
    <row r="209" ht="15" customHeight="1" s="27" thickBot="1">
      <c r="A209">
        <f>(AI209*AI$3+AJ209*AJ$3+AK209*AK$3+AL209*AL$3+AM209*AM$3)*100/(AI$5*AI$3+AJ$5*AJ$3+AK$5*AK$3+AL$5*AL$3+AM$5*AM$3)</f>
        <v/>
      </c>
      <c r="B209" s="16" t="n"/>
      <c r="C209" s="10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6" t="n"/>
      <c r="R209" s="10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5">
        <f>H$1*((-0.000002)*H209^3+0.00032*H209^2+(-0.0021)*H209)+I$1*((-0.000002)*I209^3+0.00032*I209^2+(-0.0021)*I209)+J$1*((-0.000002)*J209^3+0.00032*J209^2+(-0.0021)*J209)+K$1*((-0.000002)*K209^3+0.00032*K209^2+(-0.0021)*K209)+L$1*((-0.000002)*L209^3+0.00032*L209^2+(-0.0021)*L209)</f>
        <v/>
      </c>
      <c r="AJ209" s="5">
        <f>M$1*((-0.000002)*M209^3+0.00032*M209^2+(-0.0021)*M209)+N$1*((-0.000002)*N209^3+0.00032*N209^2+(-0.0021)*N209)+O$1*((-0.000002)*O209^3+0.00032*O209^2+(-0.0021)*O209)</f>
        <v/>
      </c>
      <c r="AK209" s="5">
        <f>IF(AA209&lt;50,W$1*((-0.000002)*W209^3+0.00032*W209^2+(-0.0021)*W209)+X$1*((-0.000002)*X209^3+0.00032*X209^2+(-0.0021)*X209)+Y$1*((-0.000002)*Y209^3+0.00032*Y209^2+(-0.0021)*Y209)+Z$1*((-0.000002)*Z209^3+0.00032*Z209^2+(-0.0021)*Z209),X$2*((-0.000002)*X209^3+0.00032*X209^2+(-0.0021)*X209)+Y$2*((-0.000002)*Y209^3+0.00032*Y209^2+(-0.0021)*Y209)+Z$2*((-0.000002)*Z209^3+0.00032*Z209^2+(-0.0021)*Z209)+AA$2*((-0.000002)*AA209^3+0.00032*AA209^2+(-0.0021)*AA209))</f>
        <v/>
      </c>
      <c r="AL209" s="5">
        <f>AB$1*((-0.000002)*AB209^3+0.00032*AB209^2+(-0.0021)*AB209)+AC$1*((-0.000002)*AC209^3+0.00032*AC209^2+(-0.0021)*AC209)</f>
        <v/>
      </c>
      <c r="AM209" s="5">
        <f>AD$1*((-0.000002)*AD209^3+0.00032*AD209^2+(-0.0021)*AD209)+AE$1*((-0.000002)*AE209^3+0.00032*AE209^2+(-0.0021)*AE209)+AF$1*((-0.000002)*AF209^3+0.00032*AF209^2+(-0.0021)*AF209)+AG$1*((-0.000002)*AG209^3+0.00032*AG209^2+(-0.0021)*AG209)</f>
        <v/>
      </c>
    </row>
    <row r="210" ht="15" customHeight="1" s="27" thickBot="1">
      <c r="A210">
        <f>(AI210*AI$3+AJ210*AJ$3+AK210*AK$3+AL210*AL$3+AM210*AM$3)*100/(AI$5*AI$3+AJ$5*AJ$3+AK$5*AK$3+AL$5*AL$3+AM$5*AM$3)</f>
        <v/>
      </c>
      <c r="B210" s="18" t="n"/>
      <c r="C210" s="11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8" t="n"/>
      <c r="R210" s="11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  <c r="AG210" s="19" t="n"/>
      <c r="AH210" s="19" t="n"/>
      <c r="AI210" s="5">
        <f>H$1*((-0.000002)*H210^3+0.00032*H210^2+(-0.0021)*H210)+I$1*((-0.000002)*I210^3+0.00032*I210^2+(-0.0021)*I210)+J$1*((-0.000002)*J210^3+0.00032*J210^2+(-0.0021)*J210)+K$1*((-0.000002)*K210^3+0.00032*K210^2+(-0.0021)*K210)+L$1*((-0.000002)*L210^3+0.00032*L210^2+(-0.0021)*L210)</f>
        <v/>
      </c>
      <c r="AJ210" s="5">
        <f>M$1*((-0.000002)*M210^3+0.00032*M210^2+(-0.0021)*M210)+N$1*((-0.000002)*N210^3+0.00032*N210^2+(-0.0021)*N210)+O$1*((-0.000002)*O210^3+0.00032*O210^2+(-0.0021)*O210)</f>
        <v/>
      </c>
      <c r="AK210" s="5">
        <f>IF(AA210&lt;50,W$1*((-0.000002)*W210^3+0.00032*W210^2+(-0.0021)*W210)+X$1*((-0.000002)*X210^3+0.00032*X210^2+(-0.0021)*X210)+Y$1*((-0.000002)*Y210^3+0.00032*Y210^2+(-0.0021)*Y210)+Z$1*((-0.000002)*Z210^3+0.00032*Z210^2+(-0.0021)*Z210),X$2*((-0.000002)*X210^3+0.00032*X210^2+(-0.0021)*X210)+Y$2*((-0.000002)*Y210^3+0.00032*Y210^2+(-0.0021)*Y210)+Z$2*((-0.000002)*Z210^3+0.00032*Z210^2+(-0.0021)*Z210)+AA$2*((-0.000002)*AA210^3+0.00032*AA210^2+(-0.0021)*AA210))</f>
        <v/>
      </c>
      <c r="AL210" s="5">
        <f>AB$1*((-0.000002)*AB210^3+0.00032*AB210^2+(-0.0021)*AB210)+AC$1*((-0.000002)*AC210^3+0.00032*AC210^2+(-0.0021)*AC210)</f>
        <v/>
      </c>
      <c r="AM210" s="5">
        <f>AD$1*((-0.000002)*AD210^3+0.00032*AD210^2+(-0.0021)*AD210)+AE$1*((-0.000002)*AE210^3+0.00032*AE210^2+(-0.0021)*AE210)+AF$1*((-0.000002)*AF210^3+0.00032*AF210^2+(-0.0021)*AF210)+AG$1*((-0.000002)*AG210^3+0.00032*AG210^2+(-0.0021)*AG210)</f>
        <v/>
      </c>
    </row>
    <row r="211" ht="15" customHeight="1" s="27" thickBot="1">
      <c r="A211">
        <f>(AI211*AI$3+AJ211*AJ$3+AK211*AK$3+AL211*AL$3+AM211*AM$3)*100/(AI$5*AI$3+AJ$5*AJ$3+AK$5*AK$3+AL$5*AL$3+AM$5*AM$3)</f>
        <v/>
      </c>
      <c r="B211" s="16" t="n"/>
      <c r="C211" s="10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6" t="n"/>
      <c r="R211" s="10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5">
        <f>H$1*((-0.000002)*H211^3+0.00032*H211^2+(-0.0021)*H211)+I$1*((-0.000002)*I211^3+0.00032*I211^2+(-0.0021)*I211)+J$1*((-0.000002)*J211^3+0.00032*J211^2+(-0.0021)*J211)+K$1*((-0.000002)*K211^3+0.00032*K211^2+(-0.0021)*K211)+L$1*((-0.000002)*L211^3+0.00032*L211^2+(-0.0021)*L211)</f>
        <v/>
      </c>
      <c r="AJ211" s="5">
        <f>M$1*((-0.000002)*M211^3+0.00032*M211^2+(-0.0021)*M211)+N$1*((-0.000002)*N211^3+0.00032*N211^2+(-0.0021)*N211)+O$1*((-0.000002)*O211^3+0.00032*O211^2+(-0.0021)*O211)</f>
        <v/>
      </c>
      <c r="AK211" s="5">
        <f>IF(AA211&lt;50,W$1*((-0.000002)*W211^3+0.00032*W211^2+(-0.0021)*W211)+X$1*((-0.000002)*X211^3+0.00032*X211^2+(-0.0021)*X211)+Y$1*((-0.000002)*Y211^3+0.00032*Y211^2+(-0.0021)*Y211)+Z$1*((-0.000002)*Z211^3+0.00032*Z211^2+(-0.0021)*Z211),X$2*((-0.000002)*X211^3+0.00032*X211^2+(-0.0021)*X211)+Y$2*((-0.000002)*Y211^3+0.00032*Y211^2+(-0.0021)*Y211)+Z$2*((-0.000002)*Z211^3+0.00032*Z211^2+(-0.0021)*Z211)+AA$2*((-0.000002)*AA211^3+0.00032*AA211^2+(-0.0021)*AA211))</f>
        <v/>
      </c>
      <c r="AL211" s="5">
        <f>AB$1*((-0.000002)*AB211^3+0.00032*AB211^2+(-0.0021)*AB211)+AC$1*((-0.000002)*AC211^3+0.00032*AC211^2+(-0.0021)*AC211)</f>
        <v/>
      </c>
      <c r="AM211" s="5">
        <f>AD$1*((-0.000002)*AD211^3+0.00032*AD211^2+(-0.0021)*AD211)+AE$1*((-0.000002)*AE211^3+0.00032*AE211^2+(-0.0021)*AE211)+AF$1*((-0.000002)*AF211^3+0.00032*AF211^2+(-0.0021)*AF211)+AG$1*((-0.000002)*AG211^3+0.00032*AG211^2+(-0.0021)*AG211)</f>
        <v/>
      </c>
    </row>
    <row r="212" ht="15" customHeight="1" s="27" thickBot="1">
      <c r="A212">
        <f>(AI212*AI$3+AJ212*AJ$3+AK212*AK$3+AL212*AL$3+AM212*AM$3)*100/(AI$5*AI$3+AJ$5*AJ$3+AK$5*AK$3+AL$5*AL$3+AM$5*AM$3)</f>
        <v/>
      </c>
      <c r="B212" s="18" t="n"/>
      <c r="C212" s="11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8" t="n"/>
      <c r="R212" s="11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  <c r="AI212" s="5">
        <f>H$1*((-0.000002)*H212^3+0.00032*H212^2+(-0.0021)*H212)+I$1*((-0.000002)*I212^3+0.00032*I212^2+(-0.0021)*I212)+J$1*((-0.000002)*J212^3+0.00032*J212^2+(-0.0021)*J212)+K$1*((-0.000002)*K212^3+0.00032*K212^2+(-0.0021)*K212)+L$1*((-0.000002)*L212^3+0.00032*L212^2+(-0.0021)*L212)</f>
        <v/>
      </c>
      <c r="AJ212" s="5">
        <f>M$1*((-0.000002)*M212^3+0.00032*M212^2+(-0.0021)*M212)+N$1*((-0.000002)*N212^3+0.00032*N212^2+(-0.0021)*N212)+O$1*((-0.000002)*O212^3+0.00032*O212^2+(-0.0021)*O212)</f>
        <v/>
      </c>
      <c r="AK212" s="5">
        <f>IF(AA212&lt;50,W$1*((-0.000002)*W212^3+0.00032*W212^2+(-0.0021)*W212)+X$1*((-0.000002)*X212^3+0.00032*X212^2+(-0.0021)*X212)+Y$1*((-0.000002)*Y212^3+0.00032*Y212^2+(-0.0021)*Y212)+Z$1*((-0.000002)*Z212^3+0.00032*Z212^2+(-0.0021)*Z212),X$2*((-0.000002)*X212^3+0.00032*X212^2+(-0.0021)*X212)+Y$2*((-0.000002)*Y212^3+0.00032*Y212^2+(-0.0021)*Y212)+Z$2*((-0.000002)*Z212^3+0.00032*Z212^2+(-0.0021)*Z212)+AA$2*((-0.000002)*AA212^3+0.00032*AA212^2+(-0.0021)*AA212))</f>
        <v/>
      </c>
      <c r="AL212" s="5">
        <f>AB$1*((-0.000002)*AB212^3+0.00032*AB212^2+(-0.0021)*AB212)+AC$1*((-0.000002)*AC212^3+0.00032*AC212^2+(-0.0021)*AC212)</f>
        <v/>
      </c>
      <c r="AM212" s="5">
        <f>AD$1*((-0.000002)*AD212^3+0.00032*AD212^2+(-0.0021)*AD212)+AE$1*((-0.000002)*AE212^3+0.00032*AE212^2+(-0.0021)*AE212)+AF$1*((-0.000002)*AF212^3+0.00032*AF212^2+(-0.0021)*AF212)+AG$1*((-0.000002)*AG212^3+0.00032*AG212^2+(-0.0021)*AG212)</f>
        <v/>
      </c>
    </row>
    <row r="213" ht="15" customHeight="1" s="27" thickBot="1">
      <c r="A213">
        <f>(AI213*AI$3+AJ213*AJ$3+AK213*AK$3+AL213*AL$3+AM213*AM$3)*100/(AI$5*AI$3+AJ$5*AJ$3+AK$5*AK$3+AL$5*AL$3+AM$5*AM$3)</f>
        <v/>
      </c>
      <c r="B213" s="16" t="n"/>
      <c r="C213" s="10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6" t="n"/>
      <c r="R213" s="10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5">
        <f>H$1*((-0.000002)*H213^3+0.00032*H213^2+(-0.0021)*H213)+I$1*((-0.000002)*I213^3+0.00032*I213^2+(-0.0021)*I213)+J$1*((-0.000002)*J213^3+0.00032*J213^2+(-0.0021)*J213)+K$1*((-0.000002)*K213^3+0.00032*K213^2+(-0.0021)*K213)+L$1*((-0.000002)*L213^3+0.00032*L213^2+(-0.0021)*L213)</f>
        <v/>
      </c>
      <c r="AJ213" s="5">
        <f>M$1*((-0.000002)*M213^3+0.00032*M213^2+(-0.0021)*M213)+N$1*((-0.000002)*N213^3+0.00032*N213^2+(-0.0021)*N213)+O$1*((-0.000002)*O213^3+0.00032*O213^2+(-0.0021)*O213)</f>
        <v/>
      </c>
      <c r="AK213" s="5">
        <f>IF(AA213&lt;50,W$1*((-0.000002)*W213^3+0.00032*W213^2+(-0.0021)*W213)+X$1*((-0.000002)*X213^3+0.00032*X213^2+(-0.0021)*X213)+Y$1*((-0.000002)*Y213^3+0.00032*Y213^2+(-0.0021)*Y213)+Z$1*((-0.000002)*Z213^3+0.00032*Z213^2+(-0.0021)*Z213),X$2*((-0.000002)*X213^3+0.00032*X213^2+(-0.0021)*X213)+Y$2*((-0.000002)*Y213^3+0.00032*Y213^2+(-0.0021)*Y213)+Z$2*((-0.000002)*Z213^3+0.00032*Z213^2+(-0.0021)*Z213)+AA$2*((-0.000002)*AA213^3+0.00032*AA213^2+(-0.0021)*AA213))</f>
        <v/>
      </c>
      <c r="AL213" s="5">
        <f>AB$1*((-0.000002)*AB213^3+0.00032*AB213^2+(-0.0021)*AB213)+AC$1*((-0.000002)*AC213^3+0.00032*AC213^2+(-0.0021)*AC213)</f>
        <v/>
      </c>
      <c r="AM213" s="5">
        <f>AD$1*((-0.000002)*AD213^3+0.00032*AD213^2+(-0.0021)*AD213)+AE$1*((-0.000002)*AE213^3+0.00032*AE213^2+(-0.0021)*AE213)+AF$1*((-0.000002)*AF213^3+0.00032*AF213^2+(-0.0021)*AF213)+AG$1*((-0.000002)*AG213^3+0.00032*AG213^2+(-0.0021)*AG213)</f>
        <v/>
      </c>
    </row>
    <row r="214" ht="15" customHeight="1" s="27" thickBot="1">
      <c r="A214">
        <f>(AI214*AI$3+AJ214*AJ$3+AK214*AK$3+AL214*AL$3+AM214*AM$3)*100/(AI$5*AI$3+AJ$5*AJ$3+AK$5*AK$3+AL$5*AL$3+AM$5*AM$3)</f>
        <v/>
      </c>
      <c r="B214" s="18" t="n"/>
      <c r="C214" s="11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8" t="n"/>
      <c r="R214" s="11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  <c r="AG214" s="19" t="n"/>
      <c r="AH214" s="19" t="n"/>
      <c r="AI214" s="5">
        <f>H$1*((-0.000002)*H214^3+0.00032*H214^2+(-0.0021)*H214)+I$1*((-0.000002)*I214^3+0.00032*I214^2+(-0.0021)*I214)+J$1*((-0.000002)*J214^3+0.00032*J214^2+(-0.0021)*J214)+K$1*((-0.000002)*K214^3+0.00032*K214^2+(-0.0021)*K214)+L$1*((-0.000002)*L214^3+0.00032*L214^2+(-0.0021)*L214)</f>
        <v/>
      </c>
      <c r="AJ214" s="5">
        <f>M$1*((-0.000002)*M214^3+0.00032*M214^2+(-0.0021)*M214)+N$1*((-0.000002)*N214^3+0.00032*N214^2+(-0.0021)*N214)+O$1*((-0.000002)*O214^3+0.00032*O214^2+(-0.0021)*O214)</f>
        <v/>
      </c>
      <c r="AK214" s="5">
        <f>IF(AA214&lt;50,W$1*((-0.000002)*W214^3+0.00032*W214^2+(-0.0021)*W214)+X$1*((-0.000002)*X214^3+0.00032*X214^2+(-0.0021)*X214)+Y$1*((-0.000002)*Y214^3+0.00032*Y214^2+(-0.0021)*Y214)+Z$1*((-0.000002)*Z214^3+0.00032*Z214^2+(-0.0021)*Z214),X$2*((-0.000002)*X214^3+0.00032*X214^2+(-0.0021)*X214)+Y$2*((-0.000002)*Y214^3+0.00032*Y214^2+(-0.0021)*Y214)+Z$2*((-0.000002)*Z214^3+0.00032*Z214^2+(-0.0021)*Z214)+AA$2*((-0.000002)*AA214^3+0.00032*AA214^2+(-0.0021)*AA214))</f>
        <v/>
      </c>
      <c r="AL214" s="5">
        <f>AB$1*((-0.000002)*AB214^3+0.00032*AB214^2+(-0.0021)*AB214)+AC$1*((-0.000002)*AC214^3+0.00032*AC214^2+(-0.0021)*AC214)</f>
        <v/>
      </c>
      <c r="AM214" s="5">
        <f>AD$1*((-0.000002)*AD214^3+0.00032*AD214^2+(-0.0021)*AD214)+AE$1*((-0.000002)*AE214^3+0.00032*AE214^2+(-0.0021)*AE214)+AF$1*((-0.000002)*AF214^3+0.00032*AF214^2+(-0.0021)*AF214)+AG$1*((-0.000002)*AG214^3+0.00032*AG214^2+(-0.0021)*AG214)</f>
        <v/>
      </c>
    </row>
    <row r="215" ht="15" customHeight="1" s="27" thickBot="1">
      <c r="A215">
        <f>(AI215*AI$3+AJ215*AJ$3+AK215*AK$3+AL215*AL$3+AM215*AM$3)*100/(AI$5*AI$3+AJ$5*AJ$3+AK$5*AK$3+AL$5*AL$3+AM$5*AM$3)</f>
        <v/>
      </c>
      <c r="B215" s="16" t="n"/>
      <c r="C215" s="10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6" t="n"/>
      <c r="R215" s="10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5">
        <f>H$1*((-0.000002)*H215^3+0.00032*H215^2+(-0.0021)*H215)+I$1*((-0.000002)*I215^3+0.00032*I215^2+(-0.0021)*I215)+J$1*((-0.000002)*J215^3+0.00032*J215^2+(-0.0021)*J215)+K$1*((-0.000002)*K215^3+0.00032*K215^2+(-0.0021)*K215)+L$1*((-0.000002)*L215^3+0.00032*L215^2+(-0.0021)*L215)</f>
        <v/>
      </c>
      <c r="AJ215" s="5">
        <f>M$1*((-0.000002)*M215^3+0.00032*M215^2+(-0.0021)*M215)+N$1*((-0.000002)*N215^3+0.00032*N215^2+(-0.0021)*N215)+O$1*((-0.000002)*O215^3+0.00032*O215^2+(-0.0021)*O215)</f>
        <v/>
      </c>
      <c r="AK215" s="5">
        <f>IF(AA215&lt;50,W$1*((-0.000002)*W215^3+0.00032*W215^2+(-0.0021)*W215)+X$1*((-0.000002)*X215^3+0.00032*X215^2+(-0.0021)*X215)+Y$1*((-0.000002)*Y215^3+0.00032*Y215^2+(-0.0021)*Y215)+Z$1*((-0.000002)*Z215^3+0.00032*Z215^2+(-0.0021)*Z215),X$2*((-0.000002)*X215^3+0.00032*X215^2+(-0.0021)*X215)+Y$2*((-0.000002)*Y215^3+0.00032*Y215^2+(-0.0021)*Y215)+Z$2*((-0.000002)*Z215^3+0.00032*Z215^2+(-0.0021)*Z215)+AA$2*((-0.000002)*AA215^3+0.00032*AA215^2+(-0.0021)*AA215))</f>
        <v/>
      </c>
      <c r="AL215" s="5">
        <f>AB$1*((-0.000002)*AB215^3+0.00032*AB215^2+(-0.0021)*AB215)+AC$1*((-0.000002)*AC215^3+0.00032*AC215^2+(-0.0021)*AC215)</f>
        <v/>
      </c>
      <c r="AM215" s="5">
        <f>AD$1*((-0.000002)*AD215^3+0.00032*AD215^2+(-0.0021)*AD215)+AE$1*((-0.000002)*AE215^3+0.00032*AE215^2+(-0.0021)*AE215)+AF$1*((-0.000002)*AF215^3+0.00032*AF215^2+(-0.0021)*AF215)+AG$1*((-0.000002)*AG215^3+0.00032*AG215^2+(-0.0021)*AG215)</f>
        <v/>
      </c>
    </row>
    <row r="216" ht="15" customHeight="1" s="27" thickBot="1">
      <c r="A216">
        <f>(AI216*AI$3+AJ216*AJ$3+AK216*AK$3+AL216*AL$3+AM216*AM$3)*100/(AI$5*AI$3+AJ$5*AJ$3+AK$5*AK$3+AL$5*AL$3+AM$5*AM$3)</f>
        <v/>
      </c>
      <c r="B216" s="18" t="n"/>
      <c r="C216" s="11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8" t="n"/>
      <c r="R216" s="11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  <c r="AI216" s="5">
        <f>H$1*((-0.000002)*H216^3+0.00032*H216^2+(-0.0021)*H216)+I$1*((-0.000002)*I216^3+0.00032*I216^2+(-0.0021)*I216)+J$1*((-0.000002)*J216^3+0.00032*J216^2+(-0.0021)*J216)+K$1*((-0.000002)*K216^3+0.00032*K216^2+(-0.0021)*K216)+L$1*((-0.000002)*L216^3+0.00032*L216^2+(-0.0021)*L216)</f>
        <v/>
      </c>
      <c r="AJ216" s="5">
        <f>M$1*((-0.000002)*M216^3+0.00032*M216^2+(-0.0021)*M216)+N$1*((-0.000002)*N216^3+0.00032*N216^2+(-0.0021)*N216)+O$1*((-0.000002)*O216^3+0.00032*O216^2+(-0.0021)*O216)</f>
        <v/>
      </c>
      <c r="AK216" s="5">
        <f>IF(AA216&lt;50,W$1*((-0.000002)*W216^3+0.00032*W216^2+(-0.0021)*W216)+X$1*((-0.000002)*X216^3+0.00032*X216^2+(-0.0021)*X216)+Y$1*((-0.000002)*Y216^3+0.00032*Y216^2+(-0.0021)*Y216)+Z$1*((-0.000002)*Z216^3+0.00032*Z216^2+(-0.0021)*Z216),X$2*((-0.000002)*X216^3+0.00032*X216^2+(-0.0021)*X216)+Y$2*((-0.000002)*Y216^3+0.00032*Y216^2+(-0.0021)*Y216)+Z$2*((-0.000002)*Z216^3+0.00032*Z216^2+(-0.0021)*Z216)+AA$2*((-0.000002)*AA216^3+0.00032*AA216^2+(-0.0021)*AA216))</f>
        <v/>
      </c>
      <c r="AL216" s="5">
        <f>AB$1*((-0.000002)*AB216^3+0.00032*AB216^2+(-0.0021)*AB216)+AC$1*((-0.000002)*AC216^3+0.00032*AC216^2+(-0.0021)*AC216)</f>
        <v/>
      </c>
      <c r="AM216" s="5">
        <f>AD$1*((-0.000002)*AD216^3+0.00032*AD216^2+(-0.0021)*AD216)+AE$1*((-0.000002)*AE216^3+0.00032*AE216^2+(-0.0021)*AE216)+AF$1*((-0.000002)*AF216^3+0.00032*AF216^2+(-0.0021)*AF216)+AG$1*((-0.000002)*AG216^3+0.00032*AG216^2+(-0.0021)*AG216)</f>
        <v/>
      </c>
    </row>
    <row r="217" ht="15" customHeight="1" s="27" thickBot="1">
      <c r="A217">
        <f>(AI217*AI$3+AJ217*AJ$3+AK217*AK$3+AL217*AL$3+AM217*AM$3)*100/(AI$5*AI$3+AJ$5*AJ$3+AK$5*AK$3+AL$5*AL$3+AM$5*AM$3)</f>
        <v/>
      </c>
      <c r="B217" s="16" t="n"/>
      <c r="C217" s="10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6" t="n"/>
      <c r="R217" s="10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5">
        <f>H$1*((-0.000002)*H217^3+0.00032*H217^2+(-0.0021)*H217)+I$1*((-0.000002)*I217^3+0.00032*I217^2+(-0.0021)*I217)+J$1*((-0.000002)*J217^3+0.00032*J217^2+(-0.0021)*J217)+K$1*((-0.000002)*K217^3+0.00032*K217^2+(-0.0021)*K217)+L$1*((-0.000002)*L217^3+0.00032*L217^2+(-0.0021)*L217)</f>
        <v/>
      </c>
      <c r="AJ217" s="5">
        <f>M$1*((-0.000002)*M217^3+0.00032*M217^2+(-0.0021)*M217)+N$1*((-0.000002)*N217^3+0.00032*N217^2+(-0.0021)*N217)+O$1*((-0.000002)*O217^3+0.00032*O217^2+(-0.0021)*O217)</f>
        <v/>
      </c>
      <c r="AK217" s="5">
        <f>IF(AA217&lt;50,W$1*((-0.000002)*W217^3+0.00032*W217^2+(-0.0021)*W217)+X$1*((-0.000002)*X217^3+0.00032*X217^2+(-0.0021)*X217)+Y$1*((-0.000002)*Y217^3+0.00032*Y217^2+(-0.0021)*Y217)+Z$1*((-0.000002)*Z217^3+0.00032*Z217^2+(-0.0021)*Z217),X$2*((-0.000002)*X217^3+0.00032*X217^2+(-0.0021)*X217)+Y$2*((-0.000002)*Y217^3+0.00032*Y217^2+(-0.0021)*Y217)+Z$2*((-0.000002)*Z217^3+0.00032*Z217^2+(-0.0021)*Z217)+AA$2*((-0.000002)*AA217^3+0.00032*AA217^2+(-0.0021)*AA217))</f>
        <v/>
      </c>
      <c r="AL217" s="5">
        <f>AB$1*((-0.000002)*AB217^3+0.00032*AB217^2+(-0.0021)*AB217)+AC$1*((-0.000002)*AC217^3+0.00032*AC217^2+(-0.0021)*AC217)</f>
        <v/>
      </c>
      <c r="AM217" s="5">
        <f>AD$1*((-0.000002)*AD217^3+0.00032*AD217^2+(-0.0021)*AD217)+AE$1*((-0.000002)*AE217^3+0.00032*AE217^2+(-0.0021)*AE217)+AF$1*((-0.000002)*AF217^3+0.00032*AF217^2+(-0.0021)*AF217)+AG$1*((-0.000002)*AG217^3+0.00032*AG217^2+(-0.0021)*AG217)</f>
        <v/>
      </c>
    </row>
    <row r="218" ht="15" customHeight="1" s="27" thickBot="1">
      <c r="A218">
        <f>(AI218*AI$3+AJ218*AJ$3+AK218*AK$3+AL218*AL$3+AM218*AM$3)*100/(AI$5*AI$3+AJ$5*AJ$3+AK$5*AK$3+AL$5*AL$3+AM$5*AM$3)</f>
        <v/>
      </c>
      <c r="B218" s="18" t="n"/>
      <c r="C218" s="11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8" t="n"/>
      <c r="R218" s="11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  <c r="AI218" s="5">
        <f>H$1*((-0.000002)*H218^3+0.00032*H218^2+(-0.0021)*H218)+I$1*((-0.000002)*I218^3+0.00032*I218^2+(-0.0021)*I218)+J$1*((-0.000002)*J218^3+0.00032*J218^2+(-0.0021)*J218)+K$1*((-0.000002)*K218^3+0.00032*K218^2+(-0.0021)*K218)+L$1*((-0.000002)*L218^3+0.00032*L218^2+(-0.0021)*L218)</f>
        <v/>
      </c>
      <c r="AJ218" s="5">
        <f>M$1*((-0.000002)*M218^3+0.00032*M218^2+(-0.0021)*M218)+N$1*((-0.000002)*N218^3+0.00032*N218^2+(-0.0021)*N218)+O$1*((-0.000002)*O218^3+0.00032*O218^2+(-0.0021)*O218)</f>
        <v/>
      </c>
      <c r="AK218" s="5">
        <f>IF(AA218&lt;50,W$1*((-0.000002)*W218^3+0.00032*W218^2+(-0.0021)*W218)+X$1*((-0.000002)*X218^3+0.00032*X218^2+(-0.0021)*X218)+Y$1*((-0.000002)*Y218^3+0.00032*Y218^2+(-0.0021)*Y218)+Z$1*((-0.000002)*Z218^3+0.00032*Z218^2+(-0.0021)*Z218),X$2*((-0.000002)*X218^3+0.00032*X218^2+(-0.0021)*X218)+Y$2*((-0.000002)*Y218^3+0.00032*Y218^2+(-0.0021)*Y218)+Z$2*((-0.000002)*Z218^3+0.00032*Z218^2+(-0.0021)*Z218)+AA$2*((-0.000002)*AA218^3+0.00032*AA218^2+(-0.0021)*AA218))</f>
        <v/>
      </c>
      <c r="AL218" s="5">
        <f>AB$1*((-0.000002)*AB218^3+0.00032*AB218^2+(-0.0021)*AB218)+AC$1*((-0.000002)*AC218^3+0.00032*AC218^2+(-0.0021)*AC218)</f>
        <v/>
      </c>
      <c r="AM218" s="5">
        <f>AD$1*((-0.000002)*AD218^3+0.00032*AD218^2+(-0.0021)*AD218)+AE$1*((-0.000002)*AE218^3+0.00032*AE218^2+(-0.0021)*AE218)+AF$1*((-0.000002)*AF218^3+0.00032*AF218^2+(-0.0021)*AF218)+AG$1*((-0.000002)*AG218^3+0.00032*AG218^2+(-0.0021)*AG218)</f>
        <v/>
      </c>
    </row>
    <row r="219" ht="15" customHeight="1" s="27" thickBot="1">
      <c r="A219">
        <f>(AI219*AI$3+AJ219*AJ$3+AK219*AK$3+AL219*AL$3+AM219*AM$3)*100/(AI$5*AI$3+AJ$5*AJ$3+AK$5*AK$3+AL$5*AL$3+AM$5*AM$3)</f>
        <v/>
      </c>
      <c r="B219" s="16" t="n"/>
      <c r="C219" s="10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6" t="n"/>
      <c r="R219" s="10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5">
        <f>H$1*((-0.000002)*H219^3+0.00032*H219^2+(-0.0021)*H219)+I$1*((-0.000002)*I219^3+0.00032*I219^2+(-0.0021)*I219)+J$1*((-0.000002)*J219^3+0.00032*J219^2+(-0.0021)*J219)+K$1*((-0.000002)*K219^3+0.00032*K219^2+(-0.0021)*K219)+L$1*((-0.000002)*L219^3+0.00032*L219^2+(-0.0021)*L219)</f>
        <v/>
      </c>
      <c r="AJ219" s="5">
        <f>M$1*((-0.000002)*M219^3+0.00032*M219^2+(-0.0021)*M219)+N$1*((-0.000002)*N219^3+0.00032*N219^2+(-0.0021)*N219)+O$1*((-0.000002)*O219^3+0.00032*O219^2+(-0.0021)*O219)</f>
        <v/>
      </c>
      <c r="AK219" s="5">
        <f>IF(AA219&lt;50,W$1*((-0.000002)*W219^3+0.00032*W219^2+(-0.0021)*W219)+X$1*((-0.000002)*X219^3+0.00032*X219^2+(-0.0021)*X219)+Y$1*((-0.000002)*Y219^3+0.00032*Y219^2+(-0.0021)*Y219)+Z$1*((-0.000002)*Z219^3+0.00032*Z219^2+(-0.0021)*Z219),X$2*((-0.000002)*X219^3+0.00032*X219^2+(-0.0021)*X219)+Y$2*((-0.000002)*Y219^3+0.00032*Y219^2+(-0.0021)*Y219)+Z$2*((-0.000002)*Z219^3+0.00032*Z219^2+(-0.0021)*Z219)+AA$2*((-0.000002)*AA219^3+0.00032*AA219^2+(-0.0021)*AA219))</f>
        <v/>
      </c>
      <c r="AL219" s="5">
        <f>AB$1*((-0.000002)*AB219^3+0.00032*AB219^2+(-0.0021)*AB219)+AC$1*((-0.000002)*AC219^3+0.00032*AC219^2+(-0.0021)*AC219)</f>
        <v/>
      </c>
      <c r="AM219" s="5">
        <f>AD$1*((-0.000002)*AD219^3+0.00032*AD219^2+(-0.0021)*AD219)+AE$1*((-0.000002)*AE219^3+0.00032*AE219^2+(-0.0021)*AE219)+AF$1*((-0.000002)*AF219^3+0.00032*AF219^2+(-0.0021)*AF219)+AG$1*((-0.000002)*AG219^3+0.00032*AG219^2+(-0.0021)*AG219)</f>
        <v/>
      </c>
    </row>
    <row r="220" ht="15" customHeight="1" s="27" thickBot="1">
      <c r="A220">
        <f>(AI220*AI$3+AJ220*AJ$3+AK220*AK$3+AL220*AL$3+AM220*AM$3)*100/(AI$5*AI$3+AJ$5*AJ$3+AK$5*AK$3+AL$5*AL$3+AM$5*AM$3)</f>
        <v/>
      </c>
      <c r="B220" s="18" t="n"/>
      <c r="C220" s="11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8" t="n"/>
      <c r="R220" s="11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5">
        <f>H$1*((-0.000002)*H220^3+0.00032*H220^2+(-0.0021)*H220)+I$1*((-0.000002)*I220^3+0.00032*I220^2+(-0.0021)*I220)+J$1*((-0.000002)*J220^3+0.00032*J220^2+(-0.0021)*J220)+K$1*((-0.000002)*K220^3+0.00032*K220^2+(-0.0021)*K220)+L$1*((-0.000002)*L220^3+0.00032*L220^2+(-0.0021)*L220)</f>
        <v/>
      </c>
      <c r="AJ220" s="5">
        <f>M$1*((-0.000002)*M220^3+0.00032*M220^2+(-0.0021)*M220)+N$1*((-0.000002)*N220^3+0.00032*N220^2+(-0.0021)*N220)+O$1*((-0.000002)*O220^3+0.00032*O220^2+(-0.0021)*O220)</f>
        <v/>
      </c>
      <c r="AK220" s="5">
        <f>IF(AA220&lt;50,W$1*((-0.000002)*W220^3+0.00032*W220^2+(-0.0021)*W220)+X$1*((-0.000002)*X220^3+0.00032*X220^2+(-0.0021)*X220)+Y$1*((-0.000002)*Y220^3+0.00032*Y220^2+(-0.0021)*Y220)+Z$1*((-0.000002)*Z220^3+0.00032*Z220^2+(-0.0021)*Z220),X$2*((-0.000002)*X220^3+0.00032*X220^2+(-0.0021)*X220)+Y$2*((-0.000002)*Y220^3+0.00032*Y220^2+(-0.0021)*Y220)+Z$2*((-0.000002)*Z220^3+0.00032*Z220^2+(-0.0021)*Z220)+AA$2*((-0.000002)*AA220^3+0.00032*AA220^2+(-0.0021)*AA220))</f>
        <v/>
      </c>
      <c r="AL220" s="5">
        <f>AB$1*((-0.000002)*AB220^3+0.00032*AB220^2+(-0.0021)*AB220)+AC$1*((-0.000002)*AC220^3+0.00032*AC220^2+(-0.0021)*AC220)</f>
        <v/>
      </c>
      <c r="AM220" s="5">
        <f>AD$1*((-0.000002)*AD220^3+0.00032*AD220^2+(-0.0021)*AD220)+AE$1*((-0.000002)*AE220^3+0.00032*AE220^2+(-0.0021)*AE220)+AF$1*((-0.000002)*AF220^3+0.00032*AF220^2+(-0.0021)*AF220)+AG$1*((-0.000002)*AG220^3+0.00032*AG220^2+(-0.0021)*AG220)</f>
        <v/>
      </c>
    </row>
    <row r="221" ht="15" customHeight="1" s="27" thickBot="1">
      <c r="A221">
        <f>(AI221*AI$3+AJ221*AJ$3+AK221*AK$3+AL221*AL$3+AM221*AM$3)*100/(AI$5*AI$3+AJ$5*AJ$3+AK$5*AK$3+AL$5*AL$3+AM$5*AM$3)</f>
        <v/>
      </c>
      <c r="B221" s="16" t="n"/>
      <c r="C221" s="10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6" t="n"/>
      <c r="R221" s="10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5">
        <f>H$1*((-0.000002)*H221^3+0.00032*H221^2+(-0.0021)*H221)+I$1*((-0.000002)*I221^3+0.00032*I221^2+(-0.0021)*I221)+J$1*((-0.000002)*J221^3+0.00032*J221^2+(-0.0021)*J221)+K$1*((-0.000002)*K221^3+0.00032*K221^2+(-0.0021)*K221)+L$1*((-0.000002)*L221^3+0.00032*L221^2+(-0.0021)*L221)</f>
        <v/>
      </c>
      <c r="AJ221" s="5">
        <f>M$1*((-0.000002)*M221^3+0.00032*M221^2+(-0.0021)*M221)+N$1*((-0.000002)*N221^3+0.00032*N221^2+(-0.0021)*N221)+O$1*((-0.000002)*O221^3+0.00032*O221^2+(-0.0021)*O221)</f>
        <v/>
      </c>
      <c r="AK221" s="5">
        <f>IF(AA221&lt;50,W$1*((-0.000002)*W221^3+0.00032*W221^2+(-0.0021)*W221)+X$1*((-0.000002)*X221^3+0.00032*X221^2+(-0.0021)*X221)+Y$1*((-0.000002)*Y221^3+0.00032*Y221^2+(-0.0021)*Y221)+Z$1*((-0.000002)*Z221^3+0.00032*Z221^2+(-0.0021)*Z221),X$2*((-0.000002)*X221^3+0.00032*X221^2+(-0.0021)*X221)+Y$2*((-0.000002)*Y221^3+0.00032*Y221^2+(-0.0021)*Y221)+Z$2*((-0.000002)*Z221^3+0.00032*Z221^2+(-0.0021)*Z221)+AA$2*((-0.000002)*AA221^3+0.00032*AA221^2+(-0.0021)*AA221))</f>
        <v/>
      </c>
      <c r="AL221" s="5">
        <f>AB$1*((-0.000002)*AB221^3+0.00032*AB221^2+(-0.0021)*AB221)+AC$1*((-0.000002)*AC221^3+0.00032*AC221^2+(-0.0021)*AC221)</f>
        <v/>
      </c>
      <c r="AM221" s="5">
        <f>AD$1*((-0.000002)*AD221^3+0.00032*AD221^2+(-0.0021)*AD221)+AE$1*((-0.000002)*AE221^3+0.00032*AE221^2+(-0.0021)*AE221)+AF$1*((-0.000002)*AF221^3+0.00032*AF221^2+(-0.0021)*AF221)+AG$1*((-0.000002)*AG221^3+0.00032*AG221^2+(-0.0021)*AG221)</f>
        <v/>
      </c>
    </row>
    <row r="222" ht="15" customHeight="1" s="27" thickBot="1">
      <c r="A222">
        <f>(AI222*AI$3+AJ222*AJ$3+AK222*AK$3+AL222*AL$3+AM222*AM$3)*100/(AI$5*AI$3+AJ$5*AJ$3+AK$5*AK$3+AL$5*AL$3+AM$5*AM$3)</f>
        <v/>
      </c>
      <c r="B222" s="18" t="n"/>
      <c r="C222" s="11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8" t="n"/>
      <c r="R222" s="11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  <c r="AI222" s="5">
        <f>H$1*((-0.000002)*H222^3+0.00032*H222^2+(-0.0021)*H222)+I$1*((-0.000002)*I222^3+0.00032*I222^2+(-0.0021)*I222)+J$1*((-0.000002)*J222^3+0.00032*J222^2+(-0.0021)*J222)+K$1*((-0.000002)*K222^3+0.00032*K222^2+(-0.0021)*K222)+L$1*((-0.000002)*L222^3+0.00032*L222^2+(-0.0021)*L222)</f>
        <v/>
      </c>
      <c r="AJ222" s="5">
        <f>M$1*((-0.000002)*M222^3+0.00032*M222^2+(-0.0021)*M222)+N$1*((-0.000002)*N222^3+0.00032*N222^2+(-0.0021)*N222)+O$1*((-0.000002)*O222^3+0.00032*O222^2+(-0.0021)*O222)</f>
        <v/>
      </c>
      <c r="AK222" s="5">
        <f>IF(AA222&lt;50,W$1*((-0.000002)*W222^3+0.00032*W222^2+(-0.0021)*W222)+X$1*((-0.000002)*X222^3+0.00032*X222^2+(-0.0021)*X222)+Y$1*((-0.000002)*Y222^3+0.00032*Y222^2+(-0.0021)*Y222)+Z$1*((-0.000002)*Z222^3+0.00032*Z222^2+(-0.0021)*Z222),X$2*((-0.000002)*X222^3+0.00032*X222^2+(-0.0021)*X222)+Y$2*((-0.000002)*Y222^3+0.00032*Y222^2+(-0.0021)*Y222)+Z$2*((-0.000002)*Z222^3+0.00032*Z222^2+(-0.0021)*Z222)+AA$2*((-0.000002)*AA222^3+0.00032*AA222^2+(-0.0021)*AA222))</f>
        <v/>
      </c>
      <c r="AL222" s="5">
        <f>AB$1*((-0.000002)*AB222^3+0.00032*AB222^2+(-0.0021)*AB222)+AC$1*((-0.000002)*AC222^3+0.00032*AC222^2+(-0.0021)*AC222)</f>
        <v/>
      </c>
      <c r="AM222" s="5">
        <f>AD$1*((-0.000002)*AD222^3+0.00032*AD222^2+(-0.0021)*AD222)+AE$1*((-0.000002)*AE222^3+0.00032*AE222^2+(-0.0021)*AE222)+AF$1*((-0.000002)*AF222^3+0.00032*AF222^2+(-0.0021)*AF222)+AG$1*((-0.000002)*AG222^3+0.00032*AG222^2+(-0.0021)*AG222)</f>
        <v/>
      </c>
    </row>
    <row r="223" ht="15" customHeight="1" s="27" thickBot="1">
      <c r="A223">
        <f>(AI223*AI$3+AJ223*AJ$3+AK223*AK$3+AL223*AL$3+AM223*AM$3)*100/(AI$5*AI$3+AJ$5*AJ$3+AK$5*AK$3+AL$5*AL$3+AM$5*AM$3)</f>
        <v/>
      </c>
      <c r="B223" s="16" t="n"/>
      <c r="C223" s="10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6" t="n"/>
      <c r="R223" s="10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5">
        <f>H$1*((-0.000002)*H223^3+0.00032*H223^2+(-0.0021)*H223)+I$1*((-0.000002)*I223^3+0.00032*I223^2+(-0.0021)*I223)+J$1*((-0.000002)*J223^3+0.00032*J223^2+(-0.0021)*J223)+K$1*((-0.000002)*K223^3+0.00032*K223^2+(-0.0021)*K223)+L$1*((-0.000002)*L223^3+0.00032*L223^2+(-0.0021)*L223)</f>
        <v/>
      </c>
      <c r="AJ223" s="5">
        <f>M$1*((-0.000002)*M223^3+0.00032*M223^2+(-0.0021)*M223)+N$1*((-0.000002)*N223^3+0.00032*N223^2+(-0.0021)*N223)+O$1*((-0.000002)*O223^3+0.00032*O223^2+(-0.0021)*O223)</f>
        <v/>
      </c>
      <c r="AK223" s="5">
        <f>IF(AA223&lt;50,W$1*((-0.000002)*W223^3+0.00032*W223^2+(-0.0021)*W223)+X$1*((-0.000002)*X223^3+0.00032*X223^2+(-0.0021)*X223)+Y$1*((-0.000002)*Y223^3+0.00032*Y223^2+(-0.0021)*Y223)+Z$1*((-0.000002)*Z223^3+0.00032*Z223^2+(-0.0021)*Z223),X$2*((-0.000002)*X223^3+0.00032*X223^2+(-0.0021)*X223)+Y$2*((-0.000002)*Y223^3+0.00032*Y223^2+(-0.0021)*Y223)+Z$2*((-0.000002)*Z223^3+0.00032*Z223^2+(-0.0021)*Z223)+AA$2*((-0.000002)*AA223^3+0.00032*AA223^2+(-0.0021)*AA223))</f>
        <v/>
      </c>
      <c r="AL223" s="5">
        <f>AB$1*((-0.000002)*AB223^3+0.00032*AB223^2+(-0.0021)*AB223)+AC$1*((-0.000002)*AC223^3+0.00032*AC223^2+(-0.0021)*AC223)</f>
        <v/>
      </c>
      <c r="AM223" s="5">
        <f>AD$1*((-0.000002)*AD223^3+0.00032*AD223^2+(-0.0021)*AD223)+AE$1*((-0.000002)*AE223^3+0.00032*AE223^2+(-0.0021)*AE223)+AF$1*((-0.000002)*AF223^3+0.00032*AF223^2+(-0.0021)*AF223)+AG$1*((-0.000002)*AG223^3+0.00032*AG223^2+(-0.0021)*AG223)</f>
        <v/>
      </c>
    </row>
    <row r="224" ht="15" customHeight="1" s="27" thickBot="1">
      <c r="A224">
        <f>(AI224*AI$3+AJ224*AJ$3+AK224*AK$3+AL224*AL$3+AM224*AM$3)*100/(AI$5*AI$3+AJ$5*AJ$3+AK$5*AK$3+AL$5*AL$3+AM$5*AM$3)</f>
        <v/>
      </c>
      <c r="B224" s="18" t="n"/>
      <c r="C224" s="11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8" t="n"/>
      <c r="R224" s="11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5">
        <f>H$1*((-0.000002)*H224^3+0.00032*H224^2+(-0.0021)*H224)+I$1*((-0.000002)*I224^3+0.00032*I224^2+(-0.0021)*I224)+J$1*((-0.000002)*J224^3+0.00032*J224^2+(-0.0021)*J224)+K$1*((-0.000002)*K224^3+0.00032*K224^2+(-0.0021)*K224)+L$1*((-0.000002)*L224^3+0.00032*L224^2+(-0.0021)*L224)</f>
        <v/>
      </c>
      <c r="AJ224" s="5">
        <f>M$1*((-0.000002)*M224^3+0.00032*M224^2+(-0.0021)*M224)+N$1*((-0.000002)*N224^3+0.00032*N224^2+(-0.0021)*N224)+O$1*((-0.000002)*O224^3+0.00032*O224^2+(-0.0021)*O224)</f>
        <v/>
      </c>
      <c r="AK224" s="5">
        <f>IF(AA224&lt;50,W$1*((-0.000002)*W224^3+0.00032*W224^2+(-0.0021)*W224)+X$1*((-0.000002)*X224^3+0.00032*X224^2+(-0.0021)*X224)+Y$1*((-0.000002)*Y224^3+0.00032*Y224^2+(-0.0021)*Y224)+Z$1*((-0.000002)*Z224^3+0.00032*Z224^2+(-0.0021)*Z224),X$2*((-0.000002)*X224^3+0.00032*X224^2+(-0.0021)*X224)+Y$2*((-0.000002)*Y224^3+0.00032*Y224^2+(-0.0021)*Y224)+Z$2*((-0.000002)*Z224^3+0.00032*Z224^2+(-0.0021)*Z224)+AA$2*((-0.000002)*AA224^3+0.00032*AA224^2+(-0.0021)*AA224))</f>
        <v/>
      </c>
      <c r="AL224" s="5">
        <f>AB$1*((-0.000002)*AB224^3+0.00032*AB224^2+(-0.0021)*AB224)+AC$1*((-0.000002)*AC224^3+0.00032*AC224^2+(-0.0021)*AC224)</f>
        <v/>
      </c>
      <c r="AM224" s="5">
        <f>AD$1*((-0.000002)*AD224^3+0.00032*AD224^2+(-0.0021)*AD224)+AE$1*((-0.000002)*AE224^3+0.00032*AE224^2+(-0.0021)*AE224)+AF$1*((-0.000002)*AF224^3+0.00032*AF224^2+(-0.0021)*AF224)+AG$1*((-0.000002)*AG224^3+0.00032*AG224^2+(-0.0021)*AG224)</f>
        <v/>
      </c>
    </row>
    <row r="225" ht="15" customHeight="1" s="27" thickBot="1">
      <c r="A225">
        <f>(AI225*AI$3+AJ225*AJ$3+AK225*AK$3+AL225*AL$3+AM225*AM$3)*100/(AI$5*AI$3+AJ$5*AJ$3+AK$5*AK$3+AL$5*AL$3+AM$5*AM$3)</f>
        <v/>
      </c>
      <c r="B225" s="16" t="n"/>
      <c r="C225" s="10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6" t="n"/>
      <c r="R225" s="10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5">
        <f>H$1*((-0.000002)*H225^3+0.00032*H225^2+(-0.0021)*H225)+I$1*((-0.000002)*I225^3+0.00032*I225^2+(-0.0021)*I225)+J$1*((-0.000002)*J225^3+0.00032*J225^2+(-0.0021)*J225)+K$1*((-0.000002)*K225^3+0.00032*K225^2+(-0.0021)*K225)+L$1*((-0.000002)*L225^3+0.00032*L225^2+(-0.0021)*L225)</f>
        <v/>
      </c>
      <c r="AJ225" s="5">
        <f>M$1*((-0.000002)*M225^3+0.00032*M225^2+(-0.0021)*M225)+N$1*((-0.000002)*N225^3+0.00032*N225^2+(-0.0021)*N225)+O$1*((-0.000002)*O225^3+0.00032*O225^2+(-0.0021)*O225)</f>
        <v/>
      </c>
      <c r="AK225" s="5">
        <f>IF(AA225&lt;50,W$1*((-0.000002)*W225^3+0.00032*W225^2+(-0.0021)*W225)+X$1*((-0.000002)*X225^3+0.00032*X225^2+(-0.0021)*X225)+Y$1*((-0.000002)*Y225^3+0.00032*Y225^2+(-0.0021)*Y225)+Z$1*((-0.000002)*Z225^3+0.00032*Z225^2+(-0.0021)*Z225),X$2*((-0.000002)*X225^3+0.00032*X225^2+(-0.0021)*X225)+Y$2*((-0.000002)*Y225^3+0.00032*Y225^2+(-0.0021)*Y225)+Z$2*((-0.000002)*Z225^3+0.00032*Z225^2+(-0.0021)*Z225)+AA$2*((-0.000002)*AA225^3+0.00032*AA225^2+(-0.0021)*AA225))</f>
        <v/>
      </c>
      <c r="AL225" s="5">
        <f>AB$1*((-0.000002)*AB225^3+0.00032*AB225^2+(-0.0021)*AB225)+AC$1*((-0.000002)*AC225^3+0.00032*AC225^2+(-0.0021)*AC225)</f>
        <v/>
      </c>
      <c r="AM225" s="5">
        <f>AD$1*((-0.000002)*AD225^3+0.00032*AD225^2+(-0.0021)*AD225)+AE$1*((-0.000002)*AE225^3+0.00032*AE225^2+(-0.0021)*AE225)+AF$1*((-0.000002)*AF225^3+0.00032*AF225^2+(-0.0021)*AF225)+AG$1*((-0.000002)*AG225^3+0.00032*AG225^2+(-0.0021)*AG225)</f>
        <v/>
      </c>
    </row>
    <row r="226" ht="15" customHeight="1" s="27" thickBot="1">
      <c r="A226">
        <f>(AI226*AI$3+AJ226*AJ$3+AK226*AK$3+AL226*AL$3+AM226*AM$3)*100/(AI$5*AI$3+AJ$5*AJ$3+AK$5*AK$3+AL$5*AL$3+AM$5*AM$3)</f>
        <v/>
      </c>
      <c r="B226" s="18" t="n"/>
      <c r="C226" s="11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8" t="n"/>
      <c r="R226" s="11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  <c r="AI226" s="5">
        <f>H$1*((-0.000002)*H226^3+0.00032*H226^2+(-0.0021)*H226)+I$1*((-0.000002)*I226^3+0.00032*I226^2+(-0.0021)*I226)+J$1*((-0.000002)*J226^3+0.00032*J226^2+(-0.0021)*J226)+K$1*((-0.000002)*K226^3+0.00032*K226^2+(-0.0021)*K226)+L$1*((-0.000002)*L226^3+0.00032*L226^2+(-0.0021)*L226)</f>
        <v/>
      </c>
      <c r="AJ226" s="5">
        <f>M$1*((-0.000002)*M226^3+0.00032*M226^2+(-0.0021)*M226)+N$1*((-0.000002)*N226^3+0.00032*N226^2+(-0.0021)*N226)+O$1*((-0.000002)*O226^3+0.00032*O226^2+(-0.0021)*O226)</f>
        <v/>
      </c>
      <c r="AK226" s="5">
        <f>IF(AA226&lt;50,W$1*((-0.000002)*W226^3+0.00032*W226^2+(-0.0021)*W226)+X$1*((-0.000002)*X226^3+0.00032*X226^2+(-0.0021)*X226)+Y$1*((-0.000002)*Y226^3+0.00032*Y226^2+(-0.0021)*Y226)+Z$1*((-0.000002)*Z226^3+0.00032*Z226^2+(-0.0021)*Z226),X$2*((-0.000002)*X226^3+0.00032*X226^2+(-0.0021)*X226)+Y$2*((-0.000002)*Y226^3+0.00032*Y226^2+(-0.0021)*Y226)+Z$2*((-0.000002)*Z226^3+0.00032*Z226^2+(-0.0021)*Z226)+AA$2*((-0.000002)*AA226^3+0.00032*AA226^2+(-0.0021)*AA226))</f>
        <v/>
      </c>
      <c r="AL226" s="5">
        <f>AB$1*((-0.000002)*AB226^3+0.00032*AB226^2+(-0.0021)*AB226)+AC$1*((-0.000002)*AC226^3+0.00032*AC226^2+(-0.0021)*AC226)</f>
        <v/>
      </c>
      <c r="AM226" s="5">
        <f>AD$1*((-0.000002)*AD226^3+0.00032*AD226^2+(-0.0021)*AD226)+AE$1*((-0.000002)*AE226^3+0.00032*AE226^2+(-0.0021)*AE226)+AF$1*((-0.000002)*AF226^3+0.00032*AF226^2+(-0.0021)*AF226)+AG$1*((-0.000002)*AG226^3+0.00032*AG226^2+(-0.0021)*AG226)</f>
        <v/>
      </c>
    </row>
    <row r="227" ht="15" customHeight="1" s="27" thickBot="1">
      <c r="A227">
        <f>(AI227*AI$3+AJ227*AJ$3+AK227*AK$3+AL227*AL$3+AM227*AM$3)*100/(AI$5*AI$3+AJ$5*AJ$3+AK$5*AK$3+AL$5*AL$3+AM$5*AM$3)</f>
        <v/>
      </c>
      <c r="B227" s="16" t="n"/>
      <c r="C227" s="10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6" t="n"/>
      <c r="R227" s="10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5">
        <f>H$1*((-0.000002)*H227^3+0.00032*H227^2+(-0.0021)*H227)+I$1*((-0.000002)*I227^3+0.00032*I227^2+(-0.0021)*I227)+J$1*((-0.000002)*J227^3+0.00032*J227^2+(-0.0021)*J227)+K$1*((-0.000002)*K227^3+0.00032*K227^2+(-0.0021)*K227)+L$1*((-0.000002)*L227^3+0.00032*L227^2+(-0.0021)*L227)</f>
        <v/>
      </c>
      <c r="AJ227" s="5">
        <f>M$1*((-0.000002)*M227^3+0.00032*M227^2+(-0.0021)*M227)+N$1*((-0.000002)*N227^3+0.00032*N227^2+(-0.0021)*N227)+O$1*((-0.000002)*O227^3+0.00032*O227^2+(-0.0021)*O227)</f>
        <v/>
      </c>
      <c r="AK227" s="5">
        <f>IF(AA227&lt;50,W$1*((-0.000002)*W227^3+0.00032*W227^2+(-0.0021)*W227)+X$1*((-0.000002)*X227^3+0.00032*X227^2+(-0.0021)*X227)+Y$1*((-0.000002)*Y227^3+0.00032*Y227^2+(-0.0021)*Y227)+Z$1*((-0.000002)*Z227^3+0.00032*Z227^2+(-0.0021)*Z227),X$2*((-0.000002)*X227^3+0.00032*X227^2+(-0.0021)*X227)+Y$2*((-0.000002)*Y227^3+0.00032*Y227^2+(-0.0021)*Y227)+Z$2*((-0.000002)*Z227^3+0.00032*Z227^2+(-0.0021)*Z227)+AA$2*((-0.000002)*AA227^3+0.00032*AA227^2+(-0.0021)*AA227))</f>
        <v/>
      </c>
      <c r="AL227" s="5">
        <f>AB$1*((-0.000002)*AB227^3+0.00032*AB227^2+(-0.0021)*AB227)+AC$1*((-0.000002)*AC227^3+0.00032*AC227^2+(-0.0021)*AC227)</f>
        <v/>
      </c>
      <c r="AM227" s="5">
        <f>AD$1*((-0.000002)*AD227^3+0.00032*AD227^2+(-0.0021)*AD227)+AE$1*((-0.000002)*AE227^3+0.00032*AE227^2+(-0.0021)*AE227)+AF$1*((-0.000002)*AF227^3+0.00032*AF227^2+(-0.0021)*AF227)+AG$1*((-0.000002)*AG227^3+0.00032*AG227^2+(-0.0021)*AG227)</f>
        <v/>
      </c>
    </row>
    <row r="228" ht="15" customHeight="1" s="27" thickBot="1">
      <c r="A228">
        <f>(AI228*AI$3+AJ228*AJ$3+AK228*AK$3+AL228*AL$3+AM228*AM$3)*100/(AI$5*AI$3+AJ$5*AJ$3+AK$5*AK$3+AL$5*AL$3+AM$5*AM$3)</f>
        <v/>
      </c>
      <c r="B228" s="18" t="n"/>
      <c r="C228" s="11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8" t="n"/>
      <c r="R228" s="11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5">
        <f>H$1*((-0.000002)*H228^3+0.00032*H228^2+(-0.0021)*H228)+I$1*((-0.000002)*I228^3+0.00032*I228^2+(-0.0021)*I228)+J$1*((-0.000002)*J228^3+0.00032*J228^2+(-0.0021)*J228)+K$1*((-0.000002)*K228^3+0.00032*K228^2+(-0.0021)*K228)+L$1*((-0.000002)*L228^3+0.00032*L228^2+(-0.0021)*L228)</f>
        <v/>
      </c>
      <c r="AJ228" s="5">
        <f>M$1*((-0.000002)*M228^3+0.00032*M228^2+(-0.0021)*M228)+N$1*((-0.000002)*N228^3+0.00032*N228^2+(-0.0021)*N228)+O$1*((-0.000002)*O228^3+0.00032*O228^2+(-0.0021)*O228)</f>
        <v/>
      </c>
      <c r="AK228" s="5">
        <f>IF(AA228&lt;50,W$1*((-0.000002)*W228^3+0.00032*W228^2+(-0.0021)*W228)+X$1*((-0.000002)*X228^3+0.00032*X228^2+(-0.0021)*X228)+Y$1*((-0.000002)*Y228^3+0.00032*Y228^2+(-0.0021)*Y228)+Z$1*((-0.000002)*Z228^3+0.00032*Z228^2+(-0.0021)*Z228),X$2*((-0.000002)*X228^3+0.00032*X228^2+(-0.0021)*X228)+Y$2*((-0.000002)*Y228^3+0.00032*Y228^2+(-0.0021)*Y228)+Z$2*((-0.000002)*Z228^3+0.00032*Z228^2+(-0.0021)*Z228)+AA$2*((-0.000002)*AA228^3+0.00032*AA228^2+(-0.0021)*AA228))</f>
        <v/>
      </c>
      <c r="AL228" s="5">
        <f>AB$1*((-0.000002)*AB228^3+0.00032*AB228^2+(-0.0021)*AB228)+AC$1*((-0.000002)*AC228^3+0.00032*AC228^2+(-0.0021)*AC228)</f>
        <v/>
      </c>
      <c r="AM228" s="5">
        <f>AD$1*((-0.000002)*AD228^3+0.00032*AD228^2+(-0.0021)*AD228)+AE$1*((-0.000002)*AE228^3+0.00032*AE228^2+(-0.0021)*AE228)+AF$1*((-0.000002)*AF228^3+0.00032*AF228^2+(-0.0021)*AF228)+AG$1*((-0.000002)*AG228^3+0.00032*AG228^2+(-0.0021)*AG228)</f>
        <v/>
      </c>
    </row>
    <row r="229" ht="15" customHeight="1" s="27" thickBot="1">
      <c r="A229">
        <f>(AI229*AI$3+AJ229*AJ$3+AK229*AK$3+AL229*AL$3+AM229*AM$3)*100/(AI$5*AI$3+AJ$5*AJ$3+AK$5*AK$3+AL$5*AL$3+AM$5*AM$3)</f>
        <v/>
      </c>
      <c r="B229" s="16" t="n"/>
      <c r="C229" s="10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6" t="n"/>
      <c r="R229" s="10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5">
        <f>H$1*((-0.000002)*H229^3+0.00032*H229^2+(-0.0021)*H229)+I$1*((-0.000002)*I229^3+0.00032*I229^2+(-0.0021)*I229)+J$1*((-0.000002)*J229^3+0.00032*J229^2+(-0.0021)*J229)+K$1*((-0.000002)*K229^3+0.00032*K229^2+(-0.0021)*K229)+L$1*((-0.000002)*L229^3+0.00032*L229^2+(-0.0021)*L229)</f>
        <v/>
      </c>
      <c r="AJ229" s="5">
        <f>M$1*((-0.000002)*M229^3+0.00032*M229^2+(-0.0021)*M229)+N$1*((-0.000002)*N229^3+0.00032*N229^2+(-0.0021)*N229)+O$1*((-0.000002)*O229^3+0.00032*O229^2+(-0.0021)*O229)</f>
        <v/>
      </c>
      <c r="AK229" s="5">
        <f>IF(AA229&lt;50,W$1*((-0.000002)*W229^3+0.00032*W229^2+(-0.0021)*W229)+X$1*((-0.000002)*X229^3+0.00032*X229^2+(-0.0021)*X229)+Y$1*((-0.000002)*Y229^3+0.00032*Y229^2+(-0.0021)*Y229)+Z$1*((-0.000002)*Z229^3+0.00032*Z229^2+(-0.0021)*Z229),X$2*((-0.000002)*X229^3+0.00032*X229^2+(-0.0021)*X229)+Y$2*((-0.000002)*Y229^3+0.00032*Y229^2+(-0.0021)*Y229)+Z$2*((-0.000002)*Z229^3+0.00032*Z229^2+(-0.0021)*Z229)+AA$2*((-0.000002)*AA229^3+0.00032*AA229^2+(-0.0021)*AA229))</f>
        <v/>
      </c>
      <c r="AL229" s="5">
        <f>AB$1*((-0.000002)*AB229^3+0.00032*AB229^2+(-0.0021)*AB229)+AC$1*((-0.000002)*AC229^3+0.00032*AC229^2+(-0.0021)*AC229)</f>
        <v/>
      </c>
      <c r="AM229" s="5">
        <f>AD$1*((-0.000002)*AD229^3+0.00032*AD229^2+(-0.0021)*AD229)+AE$1*((-0.000002)*AE229^3+0.00032*AE229^2+(-0.0021)*AE229)+AF$1*((-0.000002)*AF229^3+0.00032*AF229^2+(-0.0021)*AF229)+AG$1*((-0.000002)*AG229^3+0.00032*AG229^2+(-0.0021)*AG229)</f>
        <v/>
      </c>
    </row>
    <row r="230" ht="15" customHeight="1" s="27" thickBot="1">
      <c r="A230">
        <f>(AI230*AI$3+AJ230*AJ$3+AK230*AK$3+AL230*AL$3+AM230*AM$3)*100/(AI$5*AI$3+AJ$5*AJ$3+AK$5*AK$3+AL$5*AL$3+AM$5*AM$3)</f>
        <v/>
      </c>
      <c r="B230" s="18" t="n"/>
      <c r="C230" s="11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8" t="n"/>
      <c r="R230" s="11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  <c r="AI230" s="5">
        <f>H$1*((-0.000002)*H230^3+0.00032*H230^2+(-0.0021)*H230)+I$1*((-0.000002)*I230^3+0.00032*I230^2+(-0.0021)*I230)+J$1*((-0.000002)*J230^3+0.00032*J230^2+(-0.0021)*J230)+K$1*((-0.000002)*K230^3+0.00032*K230^2+(-0.0021)*K230)+L$1*((-0.000002)*L230^3+0.00032*L230^2+(-0.0021)*L230)</f>
        <v/>
      </c>
      <c r="AJ230" s="5">
        <f>M$1*((-0.000002)*M230^3+0.00032*M230^2+(-0.0021)*M230)+N$1*((-0.000002)*N230^3+0.00032*N230^2+(-0.0021)*N230)+O$1*((-0.000002)*O230^3+0.00032*O230^2+(-0.0021)*O230)</f>
        <v/>
      </c>
      <c r="AK230" s="5">
        <f>IF(AA230&lt;50,W$1*((-0.000002)*W230^3+0.00032*W230^2+(-0.0021)*W230)+X$1*((-0.000002)*X230^3+0.00032*X230^2+(-0.0021)*X230)+Y$1*((-0.000002)*Y230^3+0.00032*Y230^2+(-0.0021)*Y230)+Z$1*((-0.000002)*Z230^3+0.00032*Z230^2+(-0.0021)*Z230),X$2*((-0.000002)*X230^3+0.00032*X230^2+(-0.0021)*X230)+Y$2*((-0.000002)*Y230^3+0.00032*Y230^2+(-0.0021)*Y230)+Z$2*((-0.000002)*Z230^3+0.00032*Z230^2+(-0.0021)*Z230)+AA$2*((-0.000002)*AA230^3+0.00032*AA230^2+(-0.0021)*AA230))</f>
        <v/>
      </c>
      <c r="AL230" s="5">
        <f>AB$1*((-0.000002)*AB230^3+0.00032*AB230^2+(-0.0021)*AB230)+AC$1*((-0.000002)*AC230^3+0.00032*AC230^2+(-0.0021)*AC230)</f>
        <v/>
      </c>
      <c r="AM230" s="5">
        <f>AD$1*((-0.000002)*AD230^3+0.00032*AD230^2+(-0.0021)*AD230)+AE$1*((-0.000002)*AE230^3+0.00032*AE230^2+(-0.0021)*AE230)+AF$1*((-0.000002)*AF230^3+0.00032*AF230^2+(-0.0021)*AF230)+AG$1*((-0.000002)*AG230^3+0.00032*AG230^2+(-0.0021)*AG230)</f>
        <v/>
      </c>
    </row>
    <row r="231" ht="15" customHeight="1" s="27" thickBot="1">
      <c r="A231">
        <f>(AI231*AI$3+AJ231*AJ$3+AK231*AK$3+AL231*AL$3+AM231*AM$3)*100/(AI$5*AI$3+AJ$5*AJ$3+AK$5*AK$3+AL$5*AL$3+AM$5*AM$3)</f>
        <v/>
      </c>
      <c r="B231" s="16" t="n"/>
      <c r="C231" s="10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6" t="n"/>
      <c r="R231" s="10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5">
        <f>H$1*((-0.000002)*H231^3+0.00032*H231^2+(-0.0021)*H231)+I$1*((-0.000002)*I231^3+0.00032*I231^2+(-0.0021)*I231)+J$1*((-0.000002)*J231^3+0.00032*J231^2+(-0.0021)*J231)+K$1*((-0.000002)*K231^3+0.00032*K231^2+(-0.0021)*K231)+L$1*((-0.000002)*L231^3+0.00032*L231^2+(-0.0021)*L231)</f>
        <v/>
      </c>
      <c r="AJ231" s="5">
        <f>M$1*((-0.000002)*M231^3+0.00032*M231^2+(-0.0021)*M231)+N$1*((-0.000002)*N231^3+0.00032*N231^2+(-0.0021)*N231)+O$1*((-0.000002)*O231^3+0.00032*O231^2+(-0.0021)*O231)</f>
        <v/>
      </c>
      <c r="AK231" s="5">
        <f>IF(AA231&lt;50,W$1*((-0.000002)*W231^3+0.00032*W231^2+(-0.0021)*W231)+X$1*((-0.000002)*X231^3+0.00032*X231^2+(-0.0021)*X231)+Y$1*((-0.000002)*Y231^3+0.00032*Y231^2+(-0.0021)*Y231)+Z$1*((-0.000002)*Z231^3+0.00032*Z231^2+(-0.0021)*Z231),X$2*((-0.000002)*X231^3+0.00032*X231^2+(-0.0021)*X231)+Y$2*((-0.000002)*Y231^3+0.00032*Y231^2+(-0.0021)*Y231)+Z$2*((-0.000002)*Z231^3+0.00032*Z231^2+(-0.0021)*Z231)+AA$2*((-0.000002)*AA231^3+0.00032*AA231^2+(-0.0021)*AA231))</f>
        <v/>
      </c>
      <c r="AL231" s="5">
        <f>AB$1*((-0.000002)*AB231^3+0.00032*AB231^2+(-0.0021)*AB231)+AC$1*((-0.000002)*AC231^3+0.00032*AC231^2+(-0.0021)*AC231)</f>
        <v/>
      </c>
      <c r="AM231" s="5">
        <f>AD$1*((-0.000002)*AD231^3+0.00032*AD231^2+(-0.0021)*AD231)+AE$1*((-0.000002)*AE231^3+0.00032*AE231^2+(-0.0021)*AE231)+AF$1*((-0.000002)*AF231^3+0.00032*AF231^2+(-0.0021)*AF231)+AG$1*((-0.000002)*AG231^3+0.00032*AG231^2+(-0.0021)*AG231)</f>
        <v/>
      </c>
    </row>
    <row r="232" ht="15" customHeight="1" s="27" thickBot="1">
      <c r="A232">
        <f>(AI232*AI$3+AJ232*AJ$3+AK232*AK$3+AL232*AL$3+AM232*AM$3)*100/(AI$5*AI$3+AJ$5*AJ$3+AK$5*AK$3+AL$5*AL$3+AM$5*AM$3)</f>
        <v/>
      </c>
      <c r="B232" s="18" t="n"/>
      <c r="C232" s="11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8" t="n"/>
      <c r="R232" s="11" t="n"/>
      <c r="S232" s="19" t="n"/>
      <c r="T232" s="19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  <c r="AG232" s="19" t="n"/>
      <c r="AH232" s="19" t="n"/>
      <c r="AI232" s="5">
        <f>H$1*((-0.000002)*H232^3+0.00032*H232^2+(-0.0021)*H232)+I$1*((-0.000002)*I232^3+0.00032*I232^2+(-0.0021)*I232)+J$1*((-0.000002)*J232^3+0.00032*J232^2+(-0.0021)*J232)+K$1*((-0.000002)*K232^3+0.00032*K232^2+(-0.0021)*K232)+L$1*((-0.000002)*L232^3+0.00032*L232^2+(-0.0021)*L232)</f>
        <v/>
      </c>
      <c r="AJ232" s="5">
        <f>M$1*((-0.000002)*M232^3+0.00032*M232^2+(-0.0021)*M232)+N$1*((-0.000002)*N232^3+0.00032*N232^2+(-0.0021)*N232)+O$1*((-0.000002)*O232^3+0.00032*O232^2+(-0.0021)*O232)</f>
        <v/>
      </c>
      <c r="AK232" s="5">
        <f>IF(AA232&lt;50,W$1*((-0.000002)*W232^3+0.00032*W232^2+(-0.0021)*W232)+X$1*((-0.000002)*X232^3+0.00032*X232^2+(-0.0021)*X232)+Y$1*((-0.000002)*Y232^3+0.00032*Y232^2+(-0.0021)*Y232)+Z$1*((-0.000002)*Z232^3+0.00032*Z232^2+(-0.0021)*Z232),X$2*((-0.000002)*X232^3+0.00032*X232^2+(-0.0021)*X232)+Y$2*((-0.000002)*Y232^3+0.00032*Y232^2+(-0.0021)*Y232)+Z$2*((-0.000002)*Z232^3+0.00032*Z232^2+(-0.0021)*Z232)+AA$2*((-0.000002)*AA232^3+0.00032*AA232^2+(-0.0021)*AA232))</f>
        <v/>
      </c>
      <c r="AL232" s="5">
        <f>AB$1*((-0.000002)*AB232^3+0.00032*AB232^2+(-0.0021)*AB232)+AC$1*((-0.000002)*AC232^3+0.00032*AC232^2+(-0.0021)*AC232)</f>
        <v/>
      </c>
      <c r="AM232" s="5">
        <f>AD$1*((-0.000002)*AD232^3+0.00032*AD232^2+(-0.0021)*AD232)+AE$1*((-0.000002)*AE232^3+0.00032*AE232^2+(-0.0021)*AE232)+AF$1*((-0.000002)*AF232^3+0.00032*AF232^2+(-0.0021)*AF232)+AG$1*((-0.000002)*AG232^3+0.00032*AG232^2+(-0.0021)*AG232)</f>
        <v/>
      </c>
    </row>
    <row r="233" ht="15" customHeight="1" s="27" thickBot="1">
      <c r="A233">
        <f>(AI233*AI$3+AJ233*AJ$3+AK233*AK$3+AL233*AL$3+AM233*AM$3)*100/(AI$5*AI$3+AJ$5*AJ$3+AK$5*AK$3+AL$5*AL$3+AM$5*AM$3)</f>
        <v/>
      </c>
      <c r="B233" s="16" t="n"/>
      <c r="C233" s="10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6" t="n"/>
      <c r="R233" s="10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5">
        <f>H$1*((-0.000002)*H233^3+0.00032*H233^2+(-0.0021)*H233)+I$1*((-0.000002)*I233^3+0.00032*I233^2+(-0.0021)*I233)+J$1*((-0.000002)*J233^3+0.00032*J233^2+(-0.0021)*J233)+K$1*((-0.000002)*K233^3+0.00032*K233^2+(-0.0021)*K233)+L$1*((-0.000002)*L233^3+0.00032*L233^2+(-0.0021)*L233)</f>
        <v/>
      </c>
      <c r="AJ233" s="5">
        <f>M$1*((-0.000002)*M233^3+0.00032*M233^2+(-0.0021)*M233)+N$1*((-0.000002)*N233^3+0.00032*N233^2+(-0.0021)*N233)+O$1*((-0.000002)*O233^3+0.00032*O233^2+(-0.0021)*O233)</f>
        <v/>
      </c>
      <c r="AK233" s="5">
        <f>IF(AA233&lt;50,W$1*((-0.000002)*W233^3+0.00032*W233^2+(-0.0021)*W233)+X$1*((-0.000002)*X233^3+0.00032*X233^2+(-0.0021)*X233)+Y$1*((-0.000002)*Y233^3+0.00032*Y233^2+(-0.0021)*Y233)+Z$1*((-0.000002)*Z233^3+0.00032*Z233^2+(-0.0021)*Z233),X$2*((-0.000002)*X233^3+0.00032*X233^2+(-0.0021)*X233)+Y$2*((-0.000002)*Y233^3+0.00032*Y233^2+(-0.0021)*Y233)+Z$2*((-0.000002)*Z233^3+0.00032*Z233^2+(-0.0021)*Z233)+AA$2*((-0.000002)*AA233^3+0.00032*AA233^2+(-0.0021)*AA233))</f>
        <v/>
      </c>
      <c r="AL233" s="5">
        <f>AB$1*((-0.000002)*AB233^3+0.00032*AB233^2+(-0.0021)*AB233)+AC$1*((-0.000002)*AC233^3+0.00032*AC233^2+(-0.0021)*AC233)</f>
        <v/>
      </c>
      <c r="AM233" s="5">
        <f>AD$1*((-0.000002)*AD233^3+0.00032*AD233^2+(-0.0021)*AD233)+AE$1*((-0.000002)*AE233^3+0.00032*AE233^2+(-0.0021)*AE233)+AF$1*((-0.000002)*AF233^3+0.00032*AF233^2+(-0.0021)*AF233)+AG$1*((-0.000002)*AG233^3+0.00032*AG233^2+(-0.0021)*AG233)</f>
        <v/>
      </c>
    </row>
    <row r="234" ht="15" customHeight="1" s="27" thickBot="1">
      <c r="A234">
        <f>(AI234*AI$3+AJ234*AJ$3+AK234*AK$3+AL234*AL$3+AM234*AM$3)*100/(AI$5*AI$3+AJ$5*AJ$3+AK$5*AK$3+AL$5*AL$3+AM$5*AM$3)</f>
        <v/>
      </c>
      <c r="B234" s="18" t="n"/>
      <c r="C234" s="11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8" t="n"/>
      <c r="R234" s="11" t="n"/>
      <c r="S234" s="19" t="n"/>
      <c r="T234" s="19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  <c r="AG234" s="19" t="n"/>
      <c r="AH234" s="19" t="n"/>
      <c r="AI234" s="5">
        <f>H$1*((-0.000002)*H234^3+0.00032*H234^2+(-0.0021)*H234)+I$1*((-0.000002)*I234^3+0.00032*I234^2+(-0.0021)*I234)+J$1*((-0.000002)*J234^3+0.00032*J234^2+(-0.0021)*J234)+K$1*((-0.000002)*K234^3+0.00032*K234^2+(-0.0021)*K234)+L$1*((-0.000002)*L234^3+0.00032*L234^2+(-0.0021)*L234)</f>
        <v/>
      </c>
      <c r="AJ234" s="5">
        <f>M$1*((-0.000002)*M234^3+0.00032*M234^2+(-0.0021)*M234)+N$1*((-0.000002)*N234^3+0.00032*N234^2+(-0.0021)*N234)+O$1*((-0.000002)*O234^3+0.00032*O234^2+(-0.0021)*O234)</f>
        <v/>
      </c>
      <c r="AK234" s="5">
        <f>IF(AA234&lt;50,W$1*((-0.000002)*W234^3+0.00032*W234^2+(-0.0021)*W234)+X$1*((-0.000002)*X234^3+0.00032*X234^2+(-0.0021)*X234)+Y$1*((-0.000002)*Y234^3+0.00032*Y234^2+(-0.0021)*Y234)+Z$1*((-0.000002)*Z234^3+0.00032*Z234^2+(-0.0021)*Z234),X$2*((-0.000002)*X234^3+0.00032*X234^2+(-0.0021)*X234)+Y$2*((-0.000002)*Y234^3+0.00032*Y234^2+(-0.0021)*Y234)+Z$2*((-0.000002)*Z234^3+0.00032*Z234^2+(-0.0021)*Z234)+AA$2*((-0.000002)*AA234^3+0.00032*AA234^2+(-0.0021)*AA234))</f>
        <v/>
      </c>
      <c r="AL234" s="5">
        <f>AB$1*((-0.000002)*AB234^3+0.00032*AB234^2+(-0.0021)*AB234)+AC$1*((-0.000002)*AC234^3+0.00032*AC234^2+(-0.0021)*AC234)</f>
        <v/>
      </c>
      <c r="AM234" s="5">
        <f>AD$1*((-0.000002)*AD234^3+0.00032*AD234^2+(-0.0021)*AD234)+AE$1*((-0.000002)*AE234^3+0.00032*AE234^2+(-0.0021)*AE234)+AF$1*((-0.000002)*AF234^3+0.00032*AF234^2+(-0.0021)*AF234)+AG$1*((-0.000002)*AG234^3+0.00032*AG234^2+(-0.0021)*AG234)</f>
        <v/>
      </c>
    </row>
    <row r="235" ht="15" customHeight="1" s="27" thickBot="1">
      <c r="A235">
        <f>(AI235*AI$3+AJ235*AJ$3+AK235*AK$3+AL235*AL$3+AM235*AM$3)*100/(AI$5*AI$3+AJ$5*AJ$3+AK$5*AK$3+AL$5*AL$3+AM$5*AM$3)</f>
        <v/>
      </c>
      <c r="B235" s="16" t="n"/>
      <c r="C235" s="10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6" t="n"/>
      <c r="R235" s="10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5">
        <f>H$1*((-0.000002)*H235^3+0.00032*H235^2+(-0.0021)*H235)+I$1*((-0.000002)*I235^3+0.00032*I235^2+(-0.0021)*I235)+J$1*((-0.000002)*J235^3+0.00032*J235^2+(-0.0021)*J235)+K$1*((-0.000002)*K235^3+0.00032*K235^2+(-0.0021)*K235)+L$1*((-0.000002)*L235^3+0.00032*L235^2+(-0.0021)*L235)</f>
        <v/>
      </c>
      <c r="AJ235" s="5">
        <f>M$1*((-0.000002)*M235^3+0.00032*M235^2+(-0.0021)*M235)+N$1*((-0.000002)*N235^3+0.00032*N235^2+(-0.0021)*N235)+O$1*((-0.000002)*O235^3+0.00032*O235^2+(-0.0021)*O235)</f>
        <v/>
      </c>
      <c r="AK235" s="5">
        <f>IF(AA235&lt;50,W$1*((-0.000002)*W235^3+0.00032*W235^2+(-0.0021)*W235)+X$1*((-0.000002)*X235^3+0.00032*X235^2+(-0.0021)*X235)+Y$1*((-0.000002)*Y235^3+0.00032*Y235^2+(-0.0021)*Y235)+Z$1*((-0.000002)*Z235^3+0.00032*Z235^2+(-0.0021)*Z235),X$2*((-0.000002)*X235^3+0.00032*X235^2+(-0.0021)*X235)+Y$2*((-0.000002)*Y235^3+0.00032*Y235^2+(-0.0021)*Y235)+Z$2*((-0.000002)*Z235^3+0.00032*Z235^2+(-0.0021)*Z235)+AA$2*((-0.000002)*AA235^3+0.00032*AA235^2+(-0.0021)*AA235))</f>
        <v/>
      </c>
      <c r="AL235" s="5">
        <f>AB$1*((-0.000002)*AB235^3+0.00032*AB235^2+(-0.0021)*AB235)+AC$1*((-0.000002)*AC235^3+0.00032*AC235^2+(-0.0021)*AC235)</f>
        <v/>
      </c>
      <c r="AM235" s="5">
        <f>AD$1*((-0.000002)*AD235^3+0.00032*AD235^2+(-0.0021)*AD235)+AE$1*((-0.000002)*AE235^3+0.00032*AE235^2+(-0.0021)*AE235)+AF$1*((-0.000002)*AF235^3+0.00032*AF235^2+(-0.0021)*AF235)+AG$1*((-0.000002)*AG235^3+0.00032*AG235^2+(-0.0021)*AG235)</f>
        <v/>
      </c>
    </row>
    <row r="236" ht="15" customHeight="1" s="27" thickBot="1">
      <c r="A236">
        <f>(AI236*AI$3+AJ236*AJ$3+AK236*AK$3+AL236*AL$3+AM236*AM$3)*100/(AI$5*AI$3+AJ$5*AJ$3+AK$5*AK$3+AL$5*AL$3+AM$5*AM$3)</f>
        <v/>
      </c>
      <c r="B236" s="18" t="n"/>
      <c r="C236" s="11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8" t="n"/>
      <c r="R236" s="11" t="n"/>
      <c r="S236" s="19" t="n"/>
      <c r="T236" s="19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  <c r="AG236" s="19" t="n"/>
      <c r="AH236" s="19" t="n"/>
      <c r="AI236" s="5">
        <f>H$1*((-0.000002)*H236^3+0.00032*H236^2+(-0.0021)*H236)+I$1*((-0.000002)*I236^3+0.00032*I236^2+(-0.0021)*I236)+J$1*((-0.000002)*J236^3+0.00032*J236^2+(-0.0021)*J236)+K$1*((-0.000002)*K236^3+0.00032*K236^2+(-0.0021)*K236)+L$1*((-0.000002)*L236^3+0.00032*L236^2+(-0.0021)*L236)</f>
        <v/>
      </c>
      <c r="AJ236" s="5">
        <f>M$1*((-0.000002)*M236^3+0.00032*M236^2+(-0.0021)*M236)+N$1*((-0.000002)*N236^3+0.00032*N236^2+(-0.0021)*N236)+O$1*((-0.000002)*O236^3+0.00032*O236^2+(-0.0021)*O236)</f>
        <v/>
      </c>
      <c r="AK236" s="5">
        <f>IF(AA236&lt;50,W$1*((-0.000002)*W236^3+0.00032*W236^2+(-0.0021)*W236)+X$1*((-0.000002)*X236^3+0.00032*X236^2+(-0.0021)*X236)+Y$1*((-0.000002)*Y236^3+0.00032*Y236^2+(-0.0021)*Y236)+Z$1*((-0.000002)*Z236^3+0.00032*Z236^2+(-0.0021)*Z236),X$2*((-0.000002)*X236^3+0.00032*X236^2+(-0.0021)*X236)+Y$2*((-0.000002)*Y236^3+0.00032*Y236^2+(-0.0021)*Y236)+Z$2*((-0.000002)*Z236^3+0.00032*Z236^2+(-0.0021)*Z236)+AA$2*((-0.000002)*AA236^3+0.00032*AA236^2+(-0.0021)*AA236))</f>
        <v/>
      </c>
      <c r="AL236" s="5">
        <f>AB$1*((-0.000002)*AB236^3+0.00032*AB236^2+(-0.0021)*AB236)+AC$1*((-0.000002)*AC236^3+0.00032*AC236^2+(-0.0021)*AC236)</f>
        <v/>
      </c>
      <c r="AM236" s="5">
        <f>AD$1*((-0.000002)*AD236^3+0.00032*AD236^2+(-0.0021)*AD236)+AE$1*((-0.000002)*AE236^3+0.00032*AE236^2+(-0.0021)*AE236)+AF$1*((-0.000002)*AF236^3+0.00032*AF236^2+(-0.0021)*AF236)+AG$1*((-0.000002)*AG236^3+0.00032*AG236^2+(-0.0021)*AG236)</f>
        <v/>
      </c>
    </row>
    <row r="237" ht="15" customHeight="1" s="27" thickBot="1">
      <c r="A237">
        <f>(AI237*AI$3+AJ237*AJ$3+AK237*AK$3+AL237*AL$3+AM237*AM$3)*100/(AI$5*AI$3+AJ$5*AJ$3+AK$5*AK$3+AL$5*AL$3+AM$5*AM$3)</f>
        <v/>
      </c>
      <c r="B237" s="16" t="n"/>
      <c r="C237" s="10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6" t="n"/>
      <c r="R237" s="10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5">
        <f>H$1*((-0.000002)*H237^3+0.00032*H237^2+(-0.0021)*H237)+I$1*((-0.000002)*I237^3+0.00032*I237^2+(-0.0021)*I237)+J$1*((-0.000002)*J237^3+0.00032*J237^2+(-0.0021)*J237)+K$1*((-0.000002)*K237^3+0.00032*K237^2+(-0.0021)*K237)+L$1*((-0.000002)*L237^3+0.00032*L237^2+(-0.0021)*L237)</f>
        <v/>
      </c>
      <c r="AJ237" s="5">
        <f>M$1*((-0.000002)*M237^3+0.00032*M237^2+(-0.0021)*M237)+N$1*((-0.000002)*N237^3+0.00032*N237^2+(-0.0021)*N237)+O$1*((-0.000002)*O237^3+0.00032*O237^2+(-0.0021)*O237)</f>
        <v/>
      </c>
      <c r="AK237" s="5">
        <f>IF(AA237&lt;50,W$1*((-0.000002)*W237^3+0.00032*W237^2+(-0.0021)*W237)+X$1*((-0.000002)*X237^3+0.00032*X237^2+(-0.0021)*X237)+Y$1*((-0.000002)*Y237^3+0.00032*Y237^2+(-0.0021)*Y237)+Z$1*((-0.000002)*Z237^3+0.00032*Z237^2+(-0.0021)*Z237),X$2*((-0.000002)*X237^3+0.00032*X237^2+(-0.0021)*X237)+Y$2*((-0.000002)*Y237^3+0.00032*Y237^2+(-0.0021)*Y237)+Z$2*((-0.000002)*Z237^3+0.00032*Z237^2+(-0.0021)*Z237)+AA$2*((-0.000002)*AA237^3+0.00032*AA237^2+(-0.0021)*AA237))</f>
        <v/>
      </c>
      <c r="AL237" s="5">
        <f>AB$1*((-0.000002)*AB237^3+0.00032*AB237^2+(-0.0021)*AB237)+AC$1*((-0.000002)*AC237^3+0.00032*AC237^2+(-0.0021)*AC237)</f>
        <v/>
      </c>
      <c r="AM237" s="5">
        <f>AD$1*((-0.000002)*AD237^3+0.00032*AD237^2+(-0.0021)*AD237)+AE$1*((-0.000002)*AE237^3+0.00032*AE237^2+(-0.0021)*AE237)+AF$1*((-0.000002)*AF237^3+0.00032*AF237^2+(-0.0021)*AF237)+AG$1*((-0.000002)*AG237^3+0.00032*AG237^2+(-0.0021)*AG237)</f>
        <v/>
      </c>
    </row>
    <row r="238" ht="15" customHeight="1" s="27" thickBot="1">
      <c r="A238">
        <f>(AI238*AI$3+AJ238*AJ$3+AK238*AK$3+AL238*AL$3+AM238*AM$3)*100/(AI$5*AI$3+AJ$5*AJ$3+AK$5*AK$3+AL$5*AL$3+AM$5*AM$3)</f>
        <v/>
      </c>
      <c r="B238" s="18" t="n"/>
      <c r="C238" s="11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8" t="n"/>
      <c r="R238" s="11" t="n"/>
      <c r="S238" s="19" t="n"/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5">
        <f>H$1*((-0.000002)*H238^3+0.00032*H238^2+(-0.0021)*H238)+I$1*((-0.000002)*I238^3+0.00032*I238^2+(-0.0021)*I238)+J$1*((-0.000002)*J238^3+0.00032*J238^2+(-0.0021)*J238)+K$1*((-0.000002)*K238^3+0.00032*K238^2+(-0.0021)*K238)+L$1*((-0.000002)*L238^3+0.00032*L238^2+(-0.0021)*L238)</f>
        <v/>
      </c>
      <c r="AJ238" s="5">
        <f>M$1*((-0.000002)*M238^3+0.00032*M238^2+(-0.0021)*M238)+N$1*((-0.000002)*N238^3+0.00032*N238^2+(-0.0021)*N238)+O$1*((-0.000002)*O238^3+0.00032*O238^2+(-0.0021)*O238)</f>
        <v/>
      </c>
      <c r="AK238" s="5">
        <f>IF(AA238&lt;50,W$1*((-0.000002)*W238^3+0.00032*W238^2+(-0.0021)*W238)+X$1*((-0.000002)*X238^3+0.00032*X238^2+(-0.0021)*X238)+Y$1*((-0.000002)*Y238^3+0.00032*Y238^2+(-0.0021)*Y238)+Z$1*((-0.000002)*Z238^3+0.00032*Z238^2+(-0.0021)*Z238),X$2*((-0.000002)*X238^3+0.00032*X238^2+(-0.0021)*X238)+Y$2*((-0.000002)*Y238^3+0.00032*Y238^2+(-0.0021)*Y238)+Z$2*((-0.000002)*Z238^3+0.00032*Z238^2+(-0.0021)*Z238)+AA$2*((-0.000002)*AA238^3+0.00032*AA238^2+(-0.0021)*AA238))</f>
        <v/>
      </c>
      <c r="AL238" s="5">
        <f>AB$1*((-0.000002)*AB238^3+0.00032*AB238^2+(-0.0021)*AB238)+AC$1*((-0.000002)*AC238^3+0.00032*AC238^2+(-0.0021)*AC238)</f>
        <v/>
      </c>
      <c r="AM238" s="5">
        <f>AD$1*((-0.000002)*AD238^3+0.00032*AD238^2+(-0.0021)*AD238)+AE$1*((-0.000002)*AE238^3+0.00032*AE238^2+(-0.0021)*AE238)+AF$1*((-0.000002)*AF238^3+0.00032*AF238^2+(-0.0021)*AF238)+AG$1*((-0.000002)*AG238^3+0.00032*AG238^2+(-0.0021)*AG238)</f>
        <v/>
      </c>
    </row>
    <row r="239" ht="15" customHeight="1" s="27" thickBot="1">
      <c r="A239">
        <f>(AI239*AI$3+AJ239*AJ$3+AK239*AK$3+AL239*AL$3+AM239*AM$3)*100/(AI$5*AI$3+AJ$5*AJ$3+AK$5*AK$3+AL$5*AL$3+AM$5*AM$3)</f>
        <v/>
      </c>
      <c r="B239" s="16" t="n"/>
      <c r="C239" s="10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6" t="n"/>
      <c r="R239" s="10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5">
        <f>H$1*((-0.000002)*H239^3+0.00032*H239^2+(-0.0021)*H239)+I$1*((-0.000002)*I239^3+0.00032*I239^2+(-0.0021)*I239)+J$1*((-0.000002)*J239^3+0.00032*J239^2+(-0.0021)*J239)+K$1*((-0.000002)*K239^3+0.00032*K239^2+(-0.0021)*K239)+L$1*((-0.000002)*L239^3+0.00032*L239^2+(-0.0021)*L239)</f>
        <v/>
      </c>
      <c r="AJ239" s="5">
        <f>M$1*((-0.000002)*M239^3+0.00032*M239^2+(-0.0021)*M239)+N$1*((-0.000002)*N239^3+0.00032*N239^2+(-0.0021)*N239)+O$1*((-0.000002)*O239^3+0.00032*O239^2+(-0.0021)*O239)</f>
        <v/>
      </c>
      <c r="AK239" s="5">
        <f>IF(AA239&lt;50,W$1*((-0.000002)*W239^3+0.00032*W239^2+(-0.0021)*W239)+X$1*((-0.000002)*X239^3+0.00032*X239^2+(-0.0021)*X239)+Y$1*((-0.000002)*Y239^3+0.00032*Y239^2+(-0.0021)*Y239)+Z$1*((-0.000002)*Z239^3+0.00032*Z239^2+(-0.0021)*Z239),X$2*((-0.000002)*X239^3+0.00032*X239^2+(-0.0021)*X239)+Y$2*((-0.000002)*Y239^3+0.00032*Y239^2+(-0.0021)*Y239)+Z$2*((-0.000002)*Z239^3+0.00032*Z239^2+(-0.0021)*Z239)+AA$2*((-0.000002)*AA239^3+0.00032*AA239^2+(-0.0021)*AA239))</f>
        <v/>
      </c>
      <c r="AL239" s="5">
        <f>AB$1*((-0.000002)*AB239^3+0.00032*AB239^2+(-0.0021)*AB239)+AC$1*((-0.000002)*AC239^3+0.00032*AC239^2+(-0.0021)*AC239)</f>
        <v/>
      </c>
      <c r="AM239" s="5">
        <f>AD$1*((-0.000002)*AD239^3+0.00032*AD239^2+(-0.0021)*AD239)+AE$1*((-0.000002)*AE239^3+0.00032*AE239^2+(-0.0021)*AE239)+AF$1*((-0.000002)*AF239^3+0.00032*AF239^2+(-0.0021)*AF239)+AG$1*((-0.000002)*AG239^3+0.00032*AG239^2+(-0.0021)*AG239)</f>
        <v/>
      </c>
    </row>
    <row r="240" ht="15" customHeight="1" s="27" thickBot="1">
      <c r="A240">
        <f>(AI240*AI$3+AJ240*AJ$3+AK240*AK$3+AL240*AL$3+AM240*AM$3)*100/(AI$5*AI$3+AJ$5*AJ$3+AK$5*AK$3+AL$5*AL$3+AM$5*AM$3)</f>
        <v/>
      </c>
      <c r="B240" s="18" t="n"/>
      <c r="C240" s="11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8" t="n"/>
      <c r="R240" s="11" t="n"/>
      <c r="S240" s="19" t="n"/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  <c r="AH240" s="19" t="n"/>
      <c r="AI240" s="5">
        <f>H$1*((-0.000002)*H240^3+0.00032*H240^2+(-0.0021)*H240)+I$1*((-0.000002)*I240^3+0.00032*I240^2+(-0.0021)*I240)+J$1*((-0.000002)*J240^3+0.00032*J240^2+(-0.0021)*J240)+K$1*((-0.000002)*K240^3+0.00032*K240^2+(-0.0021)*K240)+L$1*((-0.000002)*L240^3+0.00032*L240^2+(-0.0021)*L240)</f>
        <v/>
      </c>
      <c r="AJ240" s="5">
        <f>M$1*((-0.000002)*M240^3+0.00032*M240^2+(-0.0021)*M240)+N$1*((-0.000002)*N240^3+0.00032*N240^2+(-0.0021)*N240)+O$1*((-0.000002)*O240^3+0.00032*O240^2+(-0.0021)*O240)</f>
        <v/>
      </c>
      <c r="AK240" s="5">
        <f>IF(AA240&lt;50,W$1*((-0.000002)*W240^3+0.00032*W240^2+(-0.0021)*W240)+X$1*((-0.000002)*X240^3+0.00032*X240^2+(-0.0021)*X240)+Y$1*((-0.000002)*Y240^3+0.00032*Y240^2+(-0.0021)*Y240)+Z$1*((-0.000002)*Z240^3+0.00032*Z240^2+(-0.0021)*Z240),X$2*((-0.000002)*X240^3+0.00032*X240^2+(-0.0021)*X240)+Y$2*((-0.000002)*Y240^3+0.00032*Y240^2+(-0.0021)*Y240)+Z$2*((-0.000002)*Z240^3+0.00032*Z240^2+(-0.0021)*Z240)+AA$2*((-0.000002)*AA240^3+0.00032*AA240^2+(-0.0021)*AA240))</f>
        <v/>
      </c>
      <c r="AL240" s="5">
        <f>AB$1*((-0.000002)*AB240^3+0.00032*AB240^2+(-0.0021)*AB240)+AC$1*((-0.000002)*AC240^3+0.00032*AC240^2+(-0.0021)*AC240)</f>
        <v/>
      </c>
      <c r="AM240" s="5">
        <f>AD$1*((-0.000002)*AD240^3+0.00032*AD240^2+(-0.0021)*AD240)+AE$1*((-0.000002)*AE240^3+0.00032*AE240^2+(-0.0021)*AE240)+AF$1*((-0.000002)*AF240^3+0.00032*AF240^2+(-0.0021)*AF240)+AG$1*((-0.000002)*AG240^3+0.00032*AG240^2+(-0.0021)*AG240)</f>
        <v/>
      </c>
    </row>
    <row r="241" ht="15" customHeight="1" s="27" thickBot="1">
      <c r="A241">
        <f>(AI241*AI$3+AJ241*AJ$3+AK241*AK$3+AL241*AL$3+AM241*AM$3)*100/(AI$5*AI$3+AJ$5*AJ$3+AK$5*AK$3+AL$5*AL$3+AM$5*AM$3)</f>
        <v/>
      </c>
      <c r="B241" s="16" t="n"/>
      <c r="C241" s="10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6" t="n"/>
      <c r="R241" s="10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5">
        <f>H$1*((-0.000002)*H241^3+0.00032*H241^2+(-0.0021)*H241)+I$1*((-0.000002)*I241^3+0.00032*I241^2+(-0.0021)*I241)+J$1*((-0.000002)*J241^3+0.00032*J241^2+(-0.0021)*J241)+K$1*((-0.000002)*K241^3+0.00032*K241^2+(-0.0021)*K241)+L$1*((-0.000002)*L241^3+0.00032*L241^2+(-0.0021)*L241)</f>
        <v/>
      </c>
      <c r="AJ241" s="5">
        <f>M$1*((-0.000002)*M241^3+0.00032*M241^2+(-0.0021)*M241)+N$1*((-0.000002)*N241^3+0.00032*N241^2+(-0.0021)*N241)+O$1*((-0.000002)*O241^3+0.00032*O241^2+(-0.0021)*O241)</f>
        <v/>
      </c>
      <c r="AK241" s="5">
        <f>IF(AA241&lt;50,W$1*((-0.000002)*W241^3+0.00032*W241^2+(-0.0021)*W241)+X$1*((-0.000002)*X241^3+0.00032*X241^2+(-0.0021)*X241)+Y$1*((-0.000002)*Y241^3+0.00032*Y241^2+(-0.0021)*Y241)+Z$1*((-0.000002)*Z241^3+0.00032*Z241^2+(-0.0021)*Z241),X$2*((-0.000002)*X241^3+0.00032*X241^2+(-0.0021)*X241)+Y$2*((-0.000002)*Y241^3+0.00032*Y241^2+(-0.0021)*Y241)+Z$2*((-0.000002)*Z241^3+0.00032*Z241^2+(-0.0021)*Z241)+AA$2*((-0.000002)*AA241^3+0.00032*AA241^2+(-0.0021)*AA241))</f>
        <v/>
      </c>
      <c r="AL241" s="5">
        <f>AB$1*((-0.000002)*AB241^3+0.00032*AB241^2+(-0.0021)*AB241)+AC$1*((-0.000002)*AC241^3+0.00032*AC241^2+(-0.0021)*AC241)</f>
        <v/>
      </c>
      <c r="AM241" s="5">
        <f>AD$1*((-0.000002)*AD241^3+0.00032*AD241^2+(-0.0021)*AD241)+AE$1*((-0.000002)*AE241^3+0.00032*AE241^2+(-0.0021)*AE241)+AF$1*((-0.000002)*AF241^3+0.00032*AF241^2+(-0.0021)*AF241)+AG$1*((-0.000002)*AG241^3+0.00032*AG241^2+(-0.0021)*AG241)</f>
        <v/>
      </c>
    </row>
    <row r="242" ht="15" customHeight="1" s="27" thickBot="1">
      <c r="A242">
        <f>(AI242*AI$3+AJ242*AJ$3+AK242*AK$3+AL242*AL$3+AM242*AM$3)*100/(AI$5*AI$3+AJ$5*AJ$3+AK$5*AK$3+AL$5*AL$3+AM$5*AM$3)</f>
        <v/>
      </c>
      <c r="B242" s="18" t="n"/>
      <c r="C242" s="11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8" t="n"/>
      <c r="R242" s="11" t="n"/>
      <c r="S242" s="19" t="n"/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  <c r="AI242" s="5">
        <f>H$1*((-0.000002)*H242^3+0.00032*H242^2+(-0.0021)*H242)+I$1*((-0.000002)*I242^3+0.00032*I242^2+(-0.0021)*I242)+J$1*((-0.000002)*J242^3+0.00032*J242^2+(-0.0021)*J242)+K$1*((-0.000002)*K242^3+0.00032*K242^2+(-0.0021)*K242)+L$1*((-0.000002)*L242^3+0.00032*L242^2+(-0.0021)*L242)</f>
        <v/>
      </c>
      <c r="AJ242" s="5">
        <f>M$1*((-0.000002)*M242^3+0.00032*M242^2+(-0.0021)*M242)+N$1*((-0.000002)*N242^3+0.00032*N242^2+(-0.0021)*N242)+O$1*((-0.000002)*O242^3+0.00032*O242^2+(-0.0021)*O242)</f>
        <v/>
      </c>
      <c r="AK242" s="5">
        <f>IF(AA242&lt;50,W$1*((-0.000002)*W242^3+0.00032*W242^2+(-0.0021)*W242)+X$1*((-0.000002)*X242^3+0.00032*X242^2+(-0.0021)*X242)+Y$1*((-0.000002)*Y242^3+0.00032*Y242^2+(-0.0021)*Y242)+Z$1*((-0.000002)*Z242^3+0.00032*Z242^2+(-0.0021)*Z242),X$2*((-0.000002)*X242^3+0.00032*X242^2+(-0.0021)*X242)+Y$2*((-0.000002)*Y242^3+0.00032*Y242^2+(-0.0021)*Y242)+Z$2*((-0.000002)*Z242^3+0.00032*Z242^2+(-0.0021)*Z242)+AA$2*((-0.000002)*AA242^3+0.00032*AA242^2+(-0.0021)*AA242))</f>
        <v/>
      </c>
      <c r="AL242" s="5">
        <f>AB$1*((-0.000002)*AB242^3+0.00032*AB242^2+(-0.0021)*AB242)+AC$1*((-0.000002)*AC242^3+0.00032*AC242^2+(-0.0021)*AC242)</f>
        <v/>
      </c>
      <c r="AM242" s="5">
        <f>AD$1*((-0.000002)*AD242^3+0.00032*AD242^2+(-0.0021)*AD242)+AE$1*((-0.000002)*AE242^3+0.00032*AE242^2+(-0.0021)*AE242)+AF$1*((-0.000002)*AF242^3+0.00032*AF242^2+(-0.0021)*AF242)+AG$1*((-0.000002)*AG242^3+0.00032*AG242^2+(-0.0021)*AG242)</f>
        <v/>
      </c>
    </row>
    <row r="243" ht="15" customHeight="1" s="27" thickBot="1">
      <c r="A243">
        <f>(AI243*AI$3+AJ243*AJ$3+AK243*AK$3+AL243*AL$3+AM243*AM$3)*100/(AI$5*AI$3+AJ$5*AJ$3+AK$5*AK$3+AL$5*AL$3+AM$5*AM$3)</f>
        <v/>
      </c>
      <c r="B243" s="16" t="n"/>
      <c r="C243" s="10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6" t="n"/>
      <c r="R243" s="10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5">
        <f>H$1*((-0.000002)*H243^3+0.00032*H243^2+(-0.0021)*H243)+I$1*((-0.000002)*I243^3+0.00032*I243^2+(-0.0021)*I243)+J$1*((-0.000002)*J243^3+0.00032*J243^2+(-0.0021)*J243)+K$1*((-0.000002)*K243^3+0.00032*K243^2+(-0.0021)*K243)+L$1*((-0.000002)*L243^3+0.00032*L243^2+(-0.0021)*L243)</f>
        <v/>
      </c>
      <c r="AJ243" s="5">
        <f>M$1*((-0.000002)*M243^3+0.00032*M243^2+(-0.0021)*M243)+N$1*((-0.000002)*N243^3+0.00032*N243^2+(-0.0021)*N243)+O$1*((-0.000002)*O243^3+0.00032*O243^2+(-0.0021)*O243)</f>
        <v/>
      </c>
      <c r="AK243" s="5">
        <f>IF(AA243&lt;50,W$1*((-0.000002)*W243^3+0.00032*W243^2+(-0.0021)*W243)+X$1*((-0.000002)*X243^3+0.00032*X243^2+(-0.0021)*X243)+Y$1*((-0.000002)*Y243^3+0.00032*Y243^2+(-0.0021)*Y243)+Z$1*((-0.000002)*Z243^3+0.00032*Z243^2+(-0.0021)*Z243),X$2*((-0.000002)*X243^3+0.00032*X243^2+(-0.0021)*X243)+Y$2*((-0.000002)*Y243^3+0.00032*Y243^2+(-0.0021)*Y243)+Z$2*((-0.000002)*Z243^3+0.00032*Z243^2+(-0.0021)*Z243)+AA$2*((-0.000002)*AA243^3+0.00032*AA243^2+(-0.0021)*AA243))</f>
        <v/>
      </c>
      <c r="AL243" s="5">
        <f>AB$1*((-0.000002)*AB243^3+0.00032*AB243^2+(-0.0021)*AB243)+AC$1*((-0.000002)*AC243^3+0.00032*AC243^2+(-0.0021)*AC243)</f>
        <v/>
      </c>
      <c r="AM243" s="5">
        <f>AD$1*((-0.000002)*AD243^3+0.00032*AD243^2+(-0.0021)*AD243)+AE$1*((-0.000002)*AE243^3+0.00032*AE243^2+(-0.0021)*AE243)+AF$1*((-0.000002)*AF243^3+0.00032*AF243^2+(-0.0021)*AF243)+AG$1*((-0.000002)*AG243^3+0.00032*AG243^2+(-0.0021)*AG243)</f>
        <v/>
      </c>
    </row>
    <row r="244" ht="15" customHeight="1" s="27" thickBot="1">
      <c r="A244">
        <f>(AI244*AI$3+AJ244*AJ$3+AK244*AK$3+AL244*AL$3+AM244*AM$3)*100/(AI$5*AI$3+AJ$5*AJ$3+AK$5*AK$3+AL$5*AL$3+AM$5*AM$3)</f>
        <v/>
      </c>
      <c r="B244" s="18" t="n"/>
      <c r="C244" s="11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8" t="n"/>
      <c r="R244" s="11" t="n"/>
      <c r="S244" s="19" t="n"/>
      <c r="T244" s="19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  <c r="AI244" s="5">
        <f>H$1*((-0.000002)*H244^3+0.00032*H244^2+(-0.0021)*H244)+I$1*((-0.000002)*I244^3+0.00032*I244^2+(-0.0021)*I244)+J$1*((-0.000002)*J244^3+0.00032*J244^2+(-0.0021)*J244)+K$1*((-0.000002)*K244^3+0.00032*K244^2+(-0.0021)*K244)+L$1*((-0.000002)*L244^3+0.00032*L244^2+(-0.0021)*L244)</f>
        <v/>
      </c>
      <c r="AJ244" s="5">
        <f>M$1*((-0.000002)*M244^3+0.00032*M244^2+(-0.0021)*M244)+N$1*((-0.000002)*N244^3+0.00032*N244^2+(-0.0021)*N244)+O$1*((-0.000002)*O244^3+0.00032*O244^2+(-0.0021)*O244)</f>
        <v/>
      </c>
      <c r="AK244" s="5">
        <f>IF(AA244&lt;50,W$1*((-0.000002)*W244^3+0.00032*W244^2+(-0.0021)*W244)+X$1*((-0.000002)*X244^3+0.00032*X244^2+(-0.0021)*X244)+Y$1*((-0.000002)*Y244^3+0.00032*Y244^2+(-0.0021)*Y244)+Z$1*((-0.000002)*Z244^3+0.00032*Z244^2+(-0.0021)*Z244),X$2*((-0.000002)*X244^3+0.00032*X244^2+(-0.0021)*X244)+Y$2*((-0.000002)*Y244^3+0.00032*Y244^2+(-0.0021)*Y244)+Z$2*((-0.000002)*Z244^3+0.00032*Z244^2+(-0.0021)*Z244)+AA$2*((-0.000002)*AA244^3+0.00032*AA244^2+(-0.0021)*AA244))</f>
        <v/>
      </c>
      <c r="AL244" s="5">
        <f>AB$1*((-0.000002)*AB244^3+0.00032*AB244^2+(-0.0021)*AB244)+AC$1*((-0.000002)*AC244^3+0.00032*AC244^2+(-0.0021)*AC244)</f>
        <v/>
      </c>
      <c r="AM244" s="5">
        <f>AD$1*((-0.000002)*AD244^3+0.00032*AD244^2+(-0.0021)*AD244)+AE$1*((-0.000002)*AE244^3+0.00032*AE244^2+(-0.0021)*AE244)+AF$1*((-0.000002)*AF244^3+0.00032*AF244^2+(-0.0021)*AF244)+AG$1*((-0.000002)*AG244^3+0.00032*AG244^2+(-0.0021)*AG244)</f>
        <v/>
      </c>
    </row>
    <row r="245" ht="15" customHeight="1" s="27" thickBot="1">
      <c r="A245">
        <f>(AI245*AI$3+AJ245*AJ$3+AK245*AK$3+AL245*AL$3+AM245*AM$3)*100/(AI$5*AI$3+AJ$5*AJ$3+AK$5*AK$3+AL$5*AL$3+AM$5*AM$3)</f>
        <v/>
      </c>
      <c r="B245" s="16" t="n"/>
      <c r="C245" s="10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6" t="n"/>
      <c r="R245" s="10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5">
        <f>H$1*((-0.000002)*H245^3+0.00032*H245^2+(-0.0021)*H245)+I$1*((-0.000002)*I245^3+0.00032*I245^2+(-0.0021)*I245)+J$1*((-0.000002)*J245^3+0.00032*J245^2+(-0.0021)*J245)+K$1*((-0.000002)*K245^3+0.00032*K245^2+(-0.0021)*K245)+L$1*((-0.000002)*L245^3+0.00032*L245^2+(-0.0021)*L245)</f>
        <v/>
      </c>
      <c r="AJ245" s="5">
        <f>M$1*((-0.000002)*M245^3+0.00032*M245^2+(-0.0021)*M245)+N$1*((-0.000002)*N245^3+0.00032*N245^2+(-0.0021)*N245)+O$1*((-0.000002)*O245^3+0.00032*O245^2+(-0.0021)*O245)</f>
        <v/>
      </c>
      <c r="AK245" s="5">
        <f>IF(AA245&lt;50,W$1*((-0.000002)*W245^3+0.00032*W245^2+(-0.0021)*W245)+X$1*((-0.000002)*X245^3+0.00032*X245^2+(-0.0021)*X245)+Y$1*((-0.000002)*Y245^3+0.00032*Y245^2+(-0.0021)*Y245)+Z$1*((-0.000002)*Z245^3+0.00032*Z245^2+(-0.0021)*Z245),X$2*((-0.000002)*X245^3+0.00032*X245^2+(-0.0021)*X245)+Y$2*((-0.000002)*Y245^3+0.00032*Y245^2+(-0.0021)*Y245)+Z$2*((-0.000002)*Z245^3+0.00032*Z245^2+(-0.0021)*Z245)+AA$2*((-0.000002)*AA245^3+0.00032*AA245^2+(-0.0021)*AA245))</f>
        <v/>
      </c>
      <c r="AL245" s="5">
        <f>AB$1*((-0.000002)*AB245^3+0.00032*AB245^2+(-0.0021)*AB245)+AC$1*((-0.000002)*AC245^3+0.00032*AC245^2+(-0.0021)*AC245)</f>
        <v/>
      </c>
      <c r="AM245" s="5">
        <f>AD$1*((-0.000002)*AD245^3+0.00032*AD245^2+(-0.0021)*AD245)+AE$1*((-0.000002)*AE245^3+0.00032*AE245^2+(-0.0021)*AE245)+AF$1*((-0.000002)*AF245^3+0.00032*AF245^2+(-0.0021)*AF245)+AG$1*((-0.000002)*AG245^3+0.00032*AG245^2+(-0.0021)*AG245)</f>
        <v/>
      </c>
    </row>
    <row r="246" ht="15" customHeight="1" s="27" thickBot="1">
      <c r="A246">
        <f>(AI246*AI$3+AJ246*AJ$3+AK246*AK$3+AL246*AL$3+AM246*AM$3)*100/(AI$5*AI$3+AJ$5*AJ$3+AK$5*AK$3+AL$5*AL$3+AM$5*AM$3)</f>
        <v/>
      </c>
      <c r="B246" s="18" t="n"/>
      <c r="C246" s="11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8" t="n"/>
      <c r="R246" s="11" t="n"/>
      <c r="S246" s="19" t="n"/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  <c r="AI246" s="5">
        <f>H$1*((-0.000002)*H246^3+0.00032*H246^2+(-0.0021)*H246)+I$1*((-0.000002)*I246^3+0.00032*I246^2+(-0.0021)*I246)+J$1*((-0.000002)*J246^3+0.00032*J246^2+(-0.0021)*J246)+K$1*((-0.000002)*K246^3+0.00032*K246^2+(-0.0021)*K246)+L$1*((-0.000002)*L246^3+0.00032*L246^2+(-0.0021)*L246)</f>
        <v/>
      </c>
      <c r="AJ246" s="5">
        <f>M$1*((-0.000002)*M246^3+0.00032*M246^2+(-0.0021)*M246)+N$1*((-0.000002)*N246^3+0.00032*N246^2+(-0.0021)*N246)+O$1*((-0.000002)*O246^3+0.00032*O246^2+(-0.0021)*O246)</f>
        <v/>
      </c>
      <c r="AK246" s="5">
        <f>IF(AA246&lt;50,W$1*((-0.000002)*W246^3+0.00032*W246^2+(-0.0021)*W246)+X$1*((-0.000002)*X246^3+0.00032*X246^2+(-0.0021)*X246)+Y$1*((-0.000002)*Y246^3+0.00032*Y246^2+(-0.0021)*Y246)+Z$1*((-0.000002)*Z246^3+0.00032*Z246^2+(-0.0021)*Z246),X$2*((-0.000002)*X246^3+0.00032*X246^2+(-0.0021)*X246)+Y$2*((-0.000002)*Y246^3+0.00032*Y246^2+(-0.0021)*Y246)+Z$2*((-0.000002)*Z246^3+0.00032*Z246^2+(-0.0021)*Z246)+AA$2*((-0.000002)*AA246^3+0.00032*AA246^2+(-0.0021)*AA246))</f>
        <v/>
      </c>
      <c r="AL246" s="5">
        <f>AB$1*((-0.000002)*AB246^3+0.00032*AB246^2+(-0.0021)*AB246)+AC$1*((-0.000002)*AC246^3+0.00032*AC246^2+(-0.0021)*AC246)</f>
        <v/>
      </c>
      <c r="AM246" s="5">
        <f>AD$1*((-0.000002)*AD246^3+0.00032*AD246^2+(-0.0021)*AD246)+AE$1*((-0.000002)*AE246^3+0.00032*AE246^2+(-0.0021)*AE246)+AF$1*((-0.000002)*AF246^3+0.00032*AF246^2+(-0.0021)*AF246)+AG$1*((-0.000002)*AG246^3+0.00032*AG246^2+(-0.0021)*AG246)</f>
        <v/>
      </c>
    </row>
    <row r="247" ht="15" customHeight="1" s="27" thickBot="1">
      <c r="A247">
        <f>(AI247*AI$3+AJ247*AJ$3+AK247*AK$3+AL247*AL$3+AM247*AM$3)*100/(AI$5*AI$3+AJ$5*AJ$3+AK$5*AK$3+AL$5*AL$3+AM$5*AM$3)</f>
        <v/>
      </c>
      <c r="B247" s="16" t="n"/>
      <c r="C247" s="10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6" t="n"/>
      <c r="R247" s="10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5">
        <f>H$1*((-0.000002)*H247^3+0.00032*H247^2+(-0.0021)*H247)+I$1*((-0.000002)*I247^3+0.00032*I247^2+(-0.0021)*I247)+J$1*((-0.000002)*J247^3+0.00032*J247^2+(-0.0021)*J247)+K$1*((-0.000002)*K247^3+0.00032*K247^2+(-0.0021)*K247)+L$1*((-0.000002)*L247^3+0.00032*L247^2+(-0.0021)*L247)</f>
        <v/>
      </c>
      <c r="AJ247" s="5">
        <f>M$1*((-0.000002)*M247^3+0.00032*M247^2+(-0.0021)*M247)+N$1*((-0.000002)*N247^3+0.00032*N247^2+(-0.0021)*N247)+O$1*((-0.000002)*O247^3+0.00032*O247^2+(-0.0021)*O247)</f>
        <v/>
      </c>
      <c r="AK247" s="5">
        <f>IF(AA247&lt;50,W$1*((-0.000002)*W247^3+0.00032*W247^2+(-0.0021)*W247)+X$1*((-0.000002)*X247^3+0.00032*X247^2+(-0.0021)*X247)+Y$1*((-0.000002)*Y247^3+0.00032*Y247^2+(-0.0021)*Y247)+Z$1*((-0.000002)*Z247^3+0.00032*Z247^2+(-0.0021)*Z247),X$2*((-0.000002)*X247^3+0.00032*X247^2+(-0.0021)*X247)+Y$2*((-0.000002)*Y247^3+0.00032*Y247^2+(-0.0021)*Y247)+Z$2*((-0.000002)*Z247^3+0.00032*Z247^2+(-0.0021)*Z247)+AA$2*((-0.000002)*AA247^3+0.00032*AA247^2+(-0.0021)*AA247))</f>
        <v/>
      </c>
      <c r="AL247" s="5">
        <f>AB$1*((-0.000002)*AB247^3+0.00032*AB247^2+(-0.0021)*AB247)+AC$1*((-0.000002)*AC247^3+0.00032*AC247^2+(-0.0021)*AC247)</f>
        <v/>
      </c>
      <c r="AM247" s="5">
        <f>AD$1*((-0.000002)*AD247^3+0.00032*AD247^2+(-0.0021)*AD247)+AE$1*((-0.000002)*AE247^3+0.00032*AE247^2+(-0.0021)*AE247)+AF$1*((-0.000002)*AF247^3+0.00032*AF247^2+(-0.0021)*AF247)+AG$1*((-0.000002)*AG247^3+0.00032*AG247^2+(-0.0021)*AG247)</f>
        <v/>
      </c>
    </row>
    <row r="248" ht="15" customHeight="1" s="27" thickBot="1">
      <c r="A248">
        <f>(AI248*AI$3+AJ248*AJ$3+AK248*AK$3+AL248*AL$3+AM248*AM$3)*100/(AI$5*AI$3+AJ$5*AJ$3+AK$5*AK$3+AL$5*AL$3+AM$5*AM$3)</f>
        <v/>
      </c>
      <c r="B248" s="18" t="n"/>
      <c r="C248" s="11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8" t="n"/>
      <c r="R248" s="11" t="n"/>
      <c r="S248" s="19" t="n"/>
      <c r="T248" s="19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  <c r="AG248" s="19" t="n"/>
      <c r="AH248" s="19" t="n"/>
      <c r="AI248" s="5">
        <f>H$1*((-0.000002)*H248^3+0.00032*H248^2+(-0.0021)*H248)+I$1*((-0.000002)*I248^3+0.00032*I248^2+(-0.0021)*I248)+J$1*((-0.000002)*J248^3+0.00032*J248^2+(-0.0021)*J248)+K$1*((-0.000002)*K248^3+0.00032*K248^2+(-0.0021)*K248)+L$1*((-0.000002)*L248^3+0.00032*L248^2+(-0.0021)*L248)</f>
        <v/>
      </c>
      <c r="AJ248" s="5">
        <f>M$1*((-0.000002)*M248^3+0.00032*M248^2+(-0.0021)*M248)+N$1*((-0.000002)*N248^3+0.00032*N248^2+(-0.0021)*N248)+O$1*((-0.000002)*O248^3+0.00032*O248^2+(-0.0021)*O248)</f>
        <v/>
      </c>
      <c r="AK248" s="5">
        <f>IF(AA248&lt;50,W$1*((-0.000002)*W248^3+0.00032*W248^2+(-0.0021)*W248)+X$1*((-0.000002)*X248^3+0.00032*X248^2+(-0.0021)*X248)+Y$1*((-0.000002)*Y248^3+0.00032*Y248^2+(-0.0021)*Y248)+Z$1*((-0.000002)*Z248^3+0.00032*Z248^2+(-0.0021)*Z248),X$2*((-0.000002)*X248^3+0.00032*X248^2+(-0.0021)*X248)+Y$2*((-0.000002)*Y248^3+0.00032*Y248^2+(-0.0021)*Y248)+Z$2*((-0.000002)*Z248^3+0.00032*Z248^2+(-0.0021)*Z248)+AA$2*((-0.000002)*AA248^3+0.00032*AA248^2+(-0.0021)*AA248))</f>
        <v/>
      </c>
      <c r="AL248" s="5">
        <f>AB$1*((-0.000002)*AB248^3+0.00032*AB248^2+(-0.0021)*AB248)+AC$1*((-0.000002)*AC248^3+0.00032*AC248^2+(-0.0021)*AC248)</f>
        <v/>
      </c>
      <c r="AM248" s="5">
        <f>AD$1*((-0.000002)*AD248^3+0.00032*AD248^2+(-0.0021)*AD248)+AE$1*((-0.000002)*AE248^3+0.00032*AE248^2+(-0.0021)*AE248)+AF$1*((-0.000002)*AF248^3+0.00032*AF248^2+(-0.0021)*AF248)+AG$1*((-0.000002)*AG248^3+0.00032*AG248^2+(-0.0021)*AG248)</f>
        <v/>
      </c>
    </row>
    <row r="249" ht="15" customHeight="1" s="27" thickBot="1">
      <c r="A249">
        <f>(AI249*AI$3+AJ249*AJ$3+AK249*AK$3+AL249*AL$3+AM249*AM$3)*100/(AI$5*AI$3+AJ$5*AJ$3+AK$5*AK$3+AL$5*AL$3+AM$5*AM$3)</f>
        <v/>
      </c>
      <c r="B249" s="16" t="n"/>
      <c r="C249" s="10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6" t="n"/>
      <c r="R249" s="10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5">
        <f>H$1*((-0.000002)*H249^3+0.00032*H249^2+(-0.0021)*H249)+I$1*((-0.000002)*I249^3+0.00032*I249^2+(-0.0021)*I249)+J$1*((-0.000002)*J249^3+0.00032*J249^2+(-0.0021)*J249)+K$1*((-0.000002)*K249^3+0.00032*K249^2+(-0.0021)*K249)+L$1*((-0.000002)*L249^3+0.00032*L249^2+(-0.0021)*L249)</f>
        <v/>
      </c>
      <c r="AJ249" s="5">
        <f>M$1*((-0.000002)*M249^3+0.00032*M249^2+(-0.0021)*M249)+N$1*((-0.000002)*N249^3+0.00032*N249^2+(-0.0021)*N249)+O$1*((-0.000002)*O249^3+0.00032*O249^2+(-0.0021)*O249)</f>
        <v/>
      </c>
      <c r="AK249" s="5">
        <f>IF(AA249&lt;50,W$1*((-0.000002)*W249^3+0.00032*W249^2+(-0.0021)*W249)+X$1*((-0.000002)*X249^3+0.00032*X249^2+(-0.0021)*X249)+Y$1*((-0.000002)*Y249^3+0.00032*Y249^2+(-0.0021)*Y249)+Z$1*((-0.000002)*Z249^3+0.00032*Z249^2+(-0.0021)*Z249),X$2*((-0.000002)*X249^3+0.00032*X249^2+(-0.0021)*X249)+Y$2*((-0.000002)*Y249^3+0.00032*Y249^2+(-0.0021)*Y249)+Z$2*((-0.000002)*Z249^3+0.00032*Z249^2+(-0.0021)*Z249)+AA$2*((-0.000002)*AA249^3+0.00032*AA249^2+(-0.0021)*AA249))</f>
        <v/>
      </c>
      <c r="AL249" s="5">
        <f>AB$1*((-0.000002)*AB249^3+0.00032*AB249^2+(-0.0021)*AB249)+AC$1*((-0.000002)*AC249^3+0.00032*AC249^2+(-0.0021)*AC249)</f>
        <v/>
      </c>
      <c r="AM249" s="5">
        <f>AD$1*((-0.000002)*AD249^3+0.00032*AD249^2+(-0.0021)*AD249)+AE$1*((-0.000002)*AE249^3+0.00032*AE249^2+(-0.0021)*AE249)+AF$1*((-0.000002)*AF249^3+0.00032*AF249^2+(-0.0021)*AF249)+AG$1*((-0.000002)*AG249^3+0.00032*AG249^2+(-0.0021)*AG249)</f>
        <v/>
      </c>
    </row>
    <row r="250" ht="15" customHeight="1" s="27" thickBot="1">
      <c r="A250">
        <f>(AI250*AI$3+AJ250*AJ$3+AK250*AK$3+AL250*AL$3+AM250*AM$3)*100/(AI$5*AI$3+AJ$5*AJ$3+AK$5*AK$3+AL$5*AL$3+AM$5*AM$3)</f>
        <v/>
      </c>
      <c r="B250" s="18" t="n"/>
      <c r="C250" s="11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8" t="n"/>
      <c r="R250" s="11" t="n"/>
      <c r="S250" s="19" t="n"/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5">
        <f>H$1*((-0.000002)*H250^3+0.00032*H250^2+(-0.0021)*H250)+I$1*((-0.000002)*I250^3+0.00032*I250^2+(-0.0021)*I250)+J$1*((-0.000002)*J250^3+0.00032*J250^2+(-0.0021)*J250)+K$1*((-0.000002)*K250^3+0.00032*K250^2+(-0.0021)*K250)+L$1*((-0.000002)*L250^3+0.00032*L250^2+(-0.0021)*L250)</f>
        <v/>
      </c>
      <c r="AJ250" s="5">
        <f>M$1*((-0.000002)*M250^3+0.00032*M250^2+(-0.0021)*M250)+N$1*((-0.000002)*N250^3+0.00032*N250^2+(-0.0021)*N250)+O$1*((-0.000002)*O250^3+0.00032*O250^2+(-0.0021)*O250)</f>
        <v/>
      </c>
      <c r="AK250" s="5">
        <f>IF(AA250&lt;50,W$1*((-0.000002)*W250^3+0.00032*W250^2+(-0.0021)*W250)+X$1*((-0.000002)*X250^3+0.00032*X250^2+(-0.0021)*X250)+Y$1*((-0.000002)*Y250^3+0.00032*Y250^2+(-0.0021)*Y250)+Z$1*((-0.000002)*Z250^3+0.00032*Z250^2+(-0.0021)*Z250),X$2*((-0.000002)*X250^3+0.00032*X250^2+(-0.0021)*X250)+Y$2*((-0.000002)*Y250^3+0.00032*Y250^2+(-0.0021)*Y250)+Z$2*((-0.000002)*Z250^3+0.00032*Z250^2+(-0.0021)*Z250)+AA$2*((-0.000002)*AA250^3+0.00032*AA250^2+(-0.0021)*AA250))</f>
        <v/>
      </c>
      <c r="AL250" s="5">
        <f>AB$1*((-0.000002)*AB250^3+0.00032*AB250^2+(-0.0021)*AB250)+AC$1*((-0.000002)*AC250^3+0.00032*AC250^2+(-0.0021)*AC250)</f>
        <v/>
      </c>
      <c r="AM250" s="5">
        <f>AD$1*((-0.000002)*AD250^3+0.00032*AD250^2+(-0.0021)*AD250)+AE$1*((-0.000002)*AE250^3+0.00032*AE250^2+(-0.0021)*AE250)+AF$1*((-0.000002)*AF250^3+0.00032*AF250^2+(-0.0021)*AF250)+AG$1*((-0.000002)*AG250^3+0.00032*AG250^2+(-0.0021)*AG250)</f>
        <v/>
      </c>
    </row>
    <row r="251" ht="15" customHeight="1" s="27" thickBot="1">
      <c r="A251">
        <f>(AI251*AI$3+AJ251*AJ$3+AK251*AK$3+AL251*AL$3+AM251*AM$3)*100/(AI$5*AI$3+AJ$5*AJ$3+AK$5*AK$3+AL$5*AL$3+AM$5*AM$3)</f>
        <v/>
      </c>
      <c r="B251" s="16" t="n"/>
      <c r="C251" s="10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6" t="n"/>
      <c r="R251" s="10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5">
        <f>H$1*((-0.000002)*H251^3+0.00032*H251^2+(-0.0021)*H251)+I$1*((-0.000002)*I251^3+0.00032*I251^2+(-0.0021)*I251)+J$1*((-0.000002)*J251^3+0.00032*J251^2+(-0.0021)*J251)+K$1*((-0.000002)*K251^3+0.00032*K251^2+(-0.0021)*K251)+L$1*((-0.000002)*L251^3+0.00032*L251^2+(-0.0021)*L251)</f>
        <v/>
      </c>
      <c r="AJ251" s="5">
        <f>M$1*((-0.000002)*M251^3+0.00032*M251^2+(-0.0021)*M251)+N$1*((-0.000002)*N251^3+0.00032*N251^2+(-0.0021)*N251)+O$1*((-0.000002)*O251^3+0.00032*O251^2+(-0.0021)*O251)</f>
        <v/>
      </c>
      <c r="AK251" s="5">
        <f>IF(AA251&lt;50,W$1*((-0.000002)*W251^3+0.00032*W251^2+(-0.0021)*W251)+X$1*((-0.000002)*X251^3+0.00032*X251^2+(-0.0021)*X251)+Y$1*((-0.000002)*Y251^3+0.00032*Y251^2+(-0.0021)*Y251)+Z$1*((-0.000002)*Z251^3+0.00032*Z251^2+(-0.0021)*Z251),X$2*((-0.000002)*X251^3+0.00032*X251^2+(-0.0021)*X251)+Y$2*((-0.000002)*Y251^3+0.00032*Y251^2+(-0.0021)*Y251)+Z$2*((-0.000002)*Z251^3+0.00032*Z251^2+(-0.0021)*Z251)+AA$2*((-0.000002)*AA251^3+0.00032*AA251^2+(-0.0021)*AA251))</f>
        <v/>
      </c>
      <c r="AL251" s="5">
        <f>AB$1*((-0.000002)*AB251^3+0.00032*AB251^2+(-0.0021)*AB251)+AC$1*((-0.000002)*AC251^3+0.00032*AC251^2+(-0.0021)*AC251)</f>
        <v/>
      </c>
      <c r="AM251" s="5">
        <f>AD$1*((-0.000002)*AD251^3+0.00032*AD251^2+(-0.0021)*AD251)+AE$1*((-0.000002)*AE251^3+0.00032*AE251^2+(-0.0021)*AE251)+AF$1*((-0.000002)*AF251^3+0.00032*AF251^2+(-0.0021)*AF251)+AG$1*((-0.000002)*AG251^3+0.00032*AG251^2+(-0.0021)*AG251)</f>
        <v/>
      </c>
    </row>
    <row r="252" ht="15" customHeight="1" s="27" thickBot="1">
      <c r="A252">
        <f>(AI252*AI$3+AJ252*AJ$3+AK252*AK$3+AL252*AL$3+AM252*AM$3)*100/(AI$5*AI$3+AJ$5*AJ$3+AK$5*AK$3+AL$5*AL$3+AM$5*AM$3)</f>
        <v/>
      </c>
      <c r="B252" s="18" t="n"/>
      <c r="C252" s="11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8" t="n"/>
      <c r="R252" s="11" t="n"/>
      <c r="S252" s="19" t="n"/>
      <c r="T252" s="19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  <c r="AG252" s="19" t="n"/>
      <c r="AH252" s="19" t="n"/>
      <c r="AI252" s="5">
        <f>H$1*((-0.000002)*H252^3+0.00032*H252^2+(-0.0021)*H252)+I$1*((-0.000002)*I252^3+0.00032*I252^2+(-0.0021)*I252)+J$1*((-0.000002)*J252^3+0.00032*J252^2+(-0.0021)*J252)+K$1*((-0.000002)*K252^3+0.00032*K252^2+(-0.0021)*K252)+L$1*((-0.000002)*L252^3+0.00032*L252^2+(-0.0021)*L252)</f>
        <v/>
      </c>
      <c r="AJ252" s="5">
        <f>M$1*((-0.000002)*M252^3+0.00032*M252^2+(-0.0021)*M252)+N$1*((-0.000002)*N252^3+0.00032*N252^2+(-0.0021)*N252)+O$1*((-0.000002)*O252^3+0.00032*O252^2+(-0.0021)*O252)</f>
        <v/>
      </c>
      <c r="AK252" s="5">
        <f>IF(AA252&lt;50,W$1*((-0.000002)*W252^3+0.00032*W252^2+(-0.0021)*W252)+X$1*((-0.000002)*X252^3+0.00032*X252^2+(-0.0021)*X252)+Y$1*((-0.000002)*Y252^3+0.00032*Y252^2+(-0.0021)*Y252)+Z$1*((-0.000002)*Z252^3+0.00032*Z252^2+(-0.0021)*Z252),X$2*((-0.000002)*X252^3+0.00032*X252^2+(-0.0021)*X252)+Y$2*((-0.000002)*Y252^3+0.00032*Y252^2+(-0.0021)*Y252)+Z$2*((-0.000002)*Z252^3+0.00032*Z252^2+(-0.0021)*Z252)+AA$2*((-0.000002)*AA252^3+0.00032*AA252^2+(-0.0021)*AA252))</f>
        <v/>
      </c>
      <c r="AL252" s="5">
        <f>AB$1*((-0.000002)*AB252^3+0.00032*AB252^2+(-0.0021)*AB252)+AC$1*((-0.000002)*AC252^3+0.00032*AC252^2+(-0.0021)*AC252)</f>
        <v/>
      </c>
      <c r="AM252" s="5">
        <f>AD$1*((-0.000002)*AD252^3+0.00032*AD252^2+(-0.0021)*AD252)+AE$1*((-0.000002)*AE252^3+0.00032*AE252^2+(-0.0021)*AE252)+AF$1*((-0.000002)*AF252^3+0.00032*AF252^2+(-0.0021)*AF252)+AG$1*((-0.000002)*AG252^3+0.00032*AG252^2+(-0.0021)*AG252)</f>
        <v/>
      </c>
    </row>
    <row r="253" ht="15" customHeight="1" s="27" thickBot="1">
      <c r="A253">
        <f>(AI253*AI$3+AJ253*AJ$3+AK253*AK$3+AL253*AL$3+AM253*AM$3)*100/(AI$5*AI$3+AJ$5*AJ$3+AK$5*AK$3+AL$5*AL$3+AM$5*AM$3)</f>
        <v/>
      </c>
      <c r="B253" s="16" t="n"/>
      <c r="C253" s="10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6" t="n"/>
      <c r="R253" s="10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5">
        <f>H$1*((-0.000002)*H253^3+0.00032*H253^2+(-0.0021)*H253)+I$1*((-0.000002)*I253^3+0.00032*I253^2+(-0.0021)*I253)+J$1*((-0.000002)*J253^3+0.00032*J253^2+(-0.0021)*J253)+K$1*((-0.000002)*K253^3+0.00032*K253^2+(-0.0021)*K253)+L$1*((-0.000002)*L253^3+0.00032*L253^2+(-0.0021)*L253)</f>
        <v/>
      </c>
      <c r="AJ253" s="5">
        <f>M$1*((-0.000002)*M253^3+0.00032*M253^2+(-0.0021)*M253)+N$1*((-0.000002)*N253^3+0.00032*N253^2+(-0.0021)*N253)+O$1*((-0.000002)*O253^3+0.00032*O253^2+(-0.0021)*O253)</f>
        <v/>
      </c>
      <c r="AK253" s="5">
        <f>IF(AA253&lt;50,W$1*((-0.000002)*W253^3+0.00032*W253^2+(-0.0021)*W253)+X$1*((-0.000002)*X253^3+0.00032*X253^2+(-0.0021)*X253)+Y$1*((-0.000002)*Y253^3+0.00032*Y253^2+(-0.0021)*Y253)+Z$1*((-0.000002)*Z253^3+0.00032*Z253^2+(-0.0021)*Z253),X$2*((-0.000002)*X253^3+0.00032*X253^2+(-0.0021)*X253)+Y$2*((-0.000002)*Y253^3+0.00032*Y253^2+(-0.0021)*Y253)+Z$2*((-0.000002)*Z253^3+0.00032*Z253^2+(-0.0021)*Z253)+AA$2*((-0.000002)*AA253^3+0.00032*AA253^2+(-0.0021)*AA253))</f>
        <v/>
      </c>
      <c r="AL253" s="5">
        <f>AB$1*((-0.000002)*AB253^3+0.00032*AB253^2+(-0.0021)*AB253)+AC$1*((-0.000002)*AC253^3+0.00032*AC253^2+(-0.0021)*AC253)</f>
        <v/>
      </c>
      <c r="AM253" s="5">
        <f>AD$1*((-0.000002)*AD253^3+0.00032*AD253^2+(-0.0021)*AD253)+AE$1*((-0.000002)*AE253^3+0.00032*AE253^2+(-0.0021)*AE253)+AF$1*((-0.000002)*AF253^3+0.00032*AF253^2+(-0.0021)*AF253)+AG$1*((-0.000002)*AG253^3+0.00032*AG253^2+(-0.0021)*AG253)</f>
        <v/>
      </c>
    </row>
    <row r="254" ht="15" customHeight="1" s="27" thickBot="1">
      <c r="A254">
        <f>(AI254*AI$3+AJ254*AJ$3+AK254*AK$3+AL254*AL$3+AM254*AM$3)*100/(AI$5*AI$3+AJ$5*AJ$3+AK$5*AK$3+AL$5*AL$3+AM$5*AM$3)</f>
        <v/>
      </c>
      <c r="B254" s="18" t="n"/>
      <c r="C254" s="11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8" t="n"/>
      <c r="R254" s="11" t="n"/>
      <c r="S254" s="19" t="n"/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5">
        <f>H$1*((-0.000002)*H254^3+0.00032*H254^2+(-0.0021)*H254)+I$1*((-0.000002)*I254^3+0.00032*I254^2+(-0.0021)*I254)+J$1*((-0.000002)*J254^3+0.00032*J254^2+(-0.0021)*J254)+K$1*((-0.000002)*K254^3+0.00032*K254^2+(-0.0021)*K254)+L$1*((-0.000002)*L254^3+0.00032*L254^2+(-0.0021)*L254)</f>
        <v/>
      </c>
      <c r="AJ254" s="5">
        <f>M$1*((-0.000002)*M254^3+0.00032*M254^2+(-0.0021)*M254)+N$1*((-0.000002)*N254^3+0.00032*N254^2+(-0.0021)*N254)+O$1*((-0.000002)*O254^3+0.00032*O254^2+(-0.0021)*O254)</f>
        <v/>
      </c>
      <c r="AK254" s="5">
        <f>IF(AA254&lt;50,W$1*((-0.000002)*W254^3+0.00032*W254^2+(-0.0021)*W254)+X$1*((-0.000002)*X254^3+0.00032*X254^2+(-0.0021)*X254)+Y$1*((-0.000002)*Y254^3+0.00032*Y254^2+(-0.0021)*Y254)+Z$1*((-0.000002)*Z254^3+0.00032*Z254^2+(-0.0021)*Z254),X$2*((-0.000002)*X254^3+0.00032*X254^2+(-0.0021)*X254)+Y$2*((-0.000002)*Y254^3+0.00032*Y254^2+(-0.0021)*Y254)+Z$2*((-0.000002)*Z254^3+0.00032*Z254^2+(-0.0021)*Z254)+AA$2*((-0.000002)*AA254^3+0.00032*AA254^2+(-0.0021)*AA254))</f>
        <v/>
      </c>
      <c r="AL254" s="5">
        <f>AB$1*((-0.000002)*AB254^3+0.00032*AB254^2+(-0.0021)*AB254)+AC$1*((-0.000002)*AC254^3+0.00032*AC254^2+(-0.0021)*AC254)</f>
        <v/>
      </c>
      <c r="AM254" s="5">
        <f>AD$1*((-0.000002)*AD254^3+0.00032*AD254^2+(-0.0021)*AD254)+AE$1*((-0.000002)*AE254^3+0.00032*AE254^2+(-0.0021)*AE254)+AF$1*((-0.000002)*AF254^3+0.00032*AF254^2+(-0.0021)*AF254)+AG$1*((-0.000002)*AG254^3+0.00032*AG254^2+(-0.0021)*AG254)</f>
        <v/>
      </c>
    </row>
    <row r="255" ht="15" customHeight="1" s="27" thickBot="1">
      <c r="A255">
        <f>(AI255*AI$3+AJ255*AJ$3+AK255*AK$3+AL255*AL$3+AM255*AM$3)*100/(AI$5*AI$3+AJ$5*AJ$3+AK$5*AK$3+AL$5*AL$3+AM$5*AM$3)</f>
        <v/>
      </c>
      <c r="B255" s="16" t="n"/>
      <c r="C255" s="10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6" t="n"/>
      <c r="R255" s="10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5">
        <f>H$1*((-0.000002)*H255^3+0.00032*H255^2+(-0.0021)*H255)+I$1*((-0.000002)*I255^3+0.00032*I255^2+(-0.0021)*I255)+J$1*((-0.000002)*J255^3+0.00032*J255^2+(-0.0021)*J255)+K$1*((-0.000002)*K255^3+0.00032*K255^2+(-0.0021)*K255)+L$1*((-0.000002)*L255^3+0.00032*L255^2+(-0.0021)*L255)</f>
        <v/>
      </c>
      <c r="AJ255" s="5">
        <f>M$1*((-0.000002)*M255^3+0.00032*M255^2+(-0.0021)*M255)+N$1*((-0.000002)*N255^3+0.00032*N255^2+(-0.0021)*N255)+O$1*((-0.000002)*O255^3+0.00032*O255^2+(-0.0021)*O255)</f>
        <v/>
      </c>
      <c r="AK255" s="5">
        <f>IF(AA255&lt;50,W$1*((-0.000002)*W255^3+0.00032*W255^2+(-0.0021)*W255)+X$1*((-0.000002)*X255^3+0.00032*X255^2+(-0.0021)*X255)+Y$1*((-0.000002)*Y255^3+0.00032*Y255^2+(-0.0021)*Y255)+Z$1*((-0.000002)*Z255^3+0.00032*Z255^2+(-0.0021)*Z255),X$2*((-0.000002)*X255^3+0.00032*X255^2+(-0.0021)*X255)+Y$2*((-0.000002)*Y255^3+0.00032*Y255^2+(-0.0021)*Y255)+Z$2*((-0.000002)*Z255^3+0.00032*Z255^2+(-0.0021)*Z255)+AA$2*((-0.000002)*AA255^3+0.00032*AA255^2+(-0.0021)*AA255))</f>
        <v/>
      </c>
      <c r="AL255" s="5">
        <f>AB$1*((-0.000002)*AB255^3+0.00032*AB255^2+(-0.0021)*AB255)+AC$1*((-0.000002)*AC255^3+0.00032*AC255^2+(-0.0021)*AC255)</f>
        <v/>
      </c>
      <c r="AM255" s="5">
        <f>AD$1*((-0.000002)*AD255^3+0.00032*AD255^2+(-0.0021)*AD255)+AE$1*((-0.000002)*AE255^3+0.00032*AE255^2+(-0.0021)*AE255)+AF$1*((-0.000002)*AF255^3+0.00032*AF255^2+(-0.0021)*AF255)+AG$1*((-0.000002)*AG255^3+0.00032*AG255^2+(-0.0021)*AG255)</f>
        <v/>
      </c>
    </row>
    <row r="256" ht="15" customHeight="1" s="27" thickBot="1">
      <c r="A256">
        <f>(AI256*AI$3+AJ256*AJ$3+AK256*AK$3+AL256*AL$3+AM256*AM$3)*100/(AI$5*AI$3+AJ$5*AJ$3+AK$5*AK$3+AL$5*AL$3+AM$5*AM$3)</f>
        <v/>
      </c>
      <c r="B256" s="18" t="n"/>
      <c r="C256" s="11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8" t="n"/>
      <c r="R256" s="11" t="n"/>
      <c r="S256" s="19" t="n"/>
      <c r="T256" s="19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  <c r="AG256" s="19" t="n"/>
      <c r="AH256" s="19" t="n"/>
      <c r="AI256" s="5">
        <f>H$1*((-0.000002)*H256^3+0.00032*H256^2+(-0.0021)*H256)+I$1*((-0.000002)*I256^3+0.00032*I256^2+(-0.0021)*I256)+J$1*((-0.000002)*J256^3+0.00032*J256^2+(-0.0021)*J256)+K$1*((-0.000002)*K256^3+0.00032*K256^2+(-0.0021)*K256)+L$1*((-0.000002)*L256^3+0.00032*L256^2+(-0.0021)*L256)</f>
        <v/>
      </c>
      <c r="AJ256" s="5">
        <f>M$1*((-0.000002)*M256^3+0.00032*M256^2+(-0.0021)*M256)+N$1*((-0.000002)*N256^3+0.00032*N256^2+(-0.0021)*N256)+O$1*((-0.000002)*O256^3+0.00032*O256^2+(-0.0021)*O256)</f>
        <v/>
      </c>
      <c r="AK256" s="5">
        <f>IF(AA256&lt;50,W$1*((-0.000002)*W256^3+0.00032*W256^2+(-0.0021)*W256)+X$1*((-0.000002)*X256^3+0.00032*X256^2+(-0.0021)*X256)+Y$1*((-0.000002)*Y256^3+0.00032*Y256^2+(-0.0021)*Y256)+Z$1*((-0.000002)*Z256^3+0.00032*Z256^2+(-0.0021)*Z256),X$2*((-0.000002)*X256^3+0.00032*X256^2+(-0.0021)*X256)+Y$2*((-0.000002)*Y256^3+0.00032*Y256^2+(-0.0021)*Y256)+Z$2*((-0.000002)*Z256^3+0.00032*Z256^2+(-0.0021)*Z256)+AA$2*((-0.000002)*AA256^3+0.00032*AA256^2+(-0.0021)*AA256))</f>
        <v/>
      </c>
      <c r="AL256" s="5">
        <f>AB$1*((-0.000002)*AB256^3+0.00032*AB256^2+(-0.0021)*AB256)+AC$1*((-0.000002)*AC256^3+0.00032*AC256^2+(-0.0021)*AC256)</f>
        <v/>
      </c>
      <c r="AM256" s="5">
        <f>AD$1*((-0.000002)*AD256^3+0.00032*AD256^2+(-0.0021)*AD256)+AE$1*((-0.000002)*AE256^3+0.00032*AE256^2+(-0.0021)*AE256)+AF$1*((-0.000002)*AF256^3+0.00032*AF256^2+(-0.0021)*AF256)+AG$1*((-0.000002)*AG256^3+0.00032*AG256^2+(-0.0021)*AG256)</f>
        <v/>
      </c>
    </row>
    <row r="257" ht="15" customHeight="1" s="27" thickBot="1">
      <c r="A257">
        <f>(AI257*AI$3+AJ257*AJ$3+AK257*AK$3+AL257*AL$3+AM257*AM$3)*100/(AI$5*AI$3+AJ$5*AJ$3+AK$5*AK$3+AL$5*AL$3+AM$5*AM$3)</f>
        <v/>
      </c>
      <c r="B257" s="16" t="n"/>
      <c r="C257" s="10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6" t="n"/>
      <c r="R257" s="10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5">
        <f>H$1*((-0.000002)*H257^3+0.00032*H257^2+(-0.0021)*H257)+I$1*((-0.000002)*I257^3+0.00032*I257^2+(-0.0021)*I257)+J$1*((-0.000002)*J257^3+0.00032*J257^2+(-0.0021)*J257)+K$1*((-0.000002)*K257^3+0.00032*K257^2+(-0.0021)*K257)+L$1*((-0.000002)*L257^3+0.00032*L257^2+(-0.0021)*L257)</f>
        <v/>
      </c>
      <c r="AJ257" s="5">
        <f>M$1*((-0.000002)*M257^3+0.00032*M257^2+(-0.0021)*M257)+N$1*((-0.000002)*N257^3+0.00032*N257^2+(-0.0021)*N257)+O$1*((-0.000002)*O257^3+0.00032*O257^2+(-0.0021)*O257)</f>
        <v/>
      </c>
      <c r="AK257" s="5">
        <f>IF(AA257&lt;50,W$1*((-0.000002)*W257^3+0.00032*W257^2+(-0.0021)*W257)+X$1*((-0.000002)*X257^3+0.00032*X257^2+(-0.0021)*X257)+Y$1*((-0.000002)*Y257^3+0.00032*Y257^2+(-0.0021)*Y257)+Z$1*((-0.000002)*Z257^3+0.00032*Z257^2+(-0.0021)*Z257),X$2*((-0.000002)*X257^3+0.00032*X257^2+(-0.0021)*X257)+Y$2*((-0.000002)*Y257^3+0.00032*Y257^2+(-0.0021)*Y257)+Z$2*((-0.000002)*Z257^3+0.00032*Z257^2+(-0.0021)*Z257)+AA$2*((-0.000002)*AA257^3+0.00032*AA257^2+(-0.0021)*AA257))</f>
        <v/>
      </c>
      <c r="AL257" s="5">
        <f>AB$1*((-0.000002)*AB257^3+0.00032*AB257^2+(-0.0021)*AB257)+AC$1*((-0.000002)*AC257^3+0.00032*AC257^2+(-0.0021)*AC257)</f>
        <v/>
      </c>
      <c r="AM257" s="5">
        <f>AD$1*((-0.000002)*AD257^3+0.00032*AD257^2+(-0.0021)*AD257)+AE$1*((-0.000002)*AE257^3+0.00032*AE257^2+(-0.0021)*AE257)+AF$1*((-0.000002)*AF257^3+0.00032*AF257^2+(-0.0021)*AF257)+AG$1*((-0.000002)*AG257^3+0.00032*AG257^2+(-0.0021)*AG257)</f>
        <v/>
      </c>
    </row>
    <row r="258" ht="15" customHeight="1" s="27" thickBot="1">
      <c r="A258">
        <f>(AI258*AI$3+AJ258*AJ$3+AK258*AK$3+AL258*AL$3+AM258*AM$3)*100/(AI$5*AI$3+AJ$5*AJ$3+AK$5*AK$3+AL$5*AL$3+AM$5*AM$3)</f>
        <v/>
      </c>
      <c r="B258" s="18" t="n"/>
      <c r="C258" s="11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8" t="n"/>
      <c r="R258" s="11" t="n"/>
      <c r="S258" s="19" t="n"/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  <c r="AI258" s="5">
        <f>H$1*((-0.000002)*H258^3+0.00032*H258^2+(-0.0021)*H258)+I$1*((-0.000002)*I258^3+0.00032*I258^2+(-0.0021)*I258)+J$1*((-0.000002)*J258^3+0.00032*J258^2+(-0.0021)*J258)+K$1*((-0.000002)*K258^3+0.00032*K258^2+(-0.0021)*K258)+L$1*((-0.000002)*L258^3+0.00032*L258^2+(-0.0021)*L258)</f>
        <v/>
      </c>
      <c r="AJ258" s="5">
        <f>M$1*((-0.000002)*M258^3+0.00032*M258^2+(-0.0021)*M258)+N$1*((-0.000002)*N258^3+0.00032*N258^2+(-0.0021)*N258)+O$1*((-0.000002)*O258^3+0.00032*O258^2+(-0.0021)*O258)</f>
        <v/>
      </c>
      <c r="AK258" s="5">
        <f>IF(AA258&lt;50,W$1*((-0.000002)*W258^3+0.00032*W258^2+(-0.0021)*W258)+X$1*((-0.000002)*X258^3+0.00032*X258^2+(-0.0021)*X258)+Y$1*((-0.000002)*Y258^3+0.00032*Y258^2+(-0.0021)*Y258)+Z$1*((-0.000002)*Z258^3+0.00032*Z258^2+(-0.0021)*Z258),X$2*((-0.000002)*X258^3+0.00032*X258^2+(-0.0021)*X258)+Y$2*((-0.000002)*Y258^3+0.00032*Y258^2+(-0.0021)*Y258)+Z$2*((-0.000002)*Z258^3+0.00032*Z258^2+(-0.0021)*Z258)+AA$2*((-0.000002)*AA258^3+0.00032*AA258^2+(-0.0021)*AA258))</f>
        <v/>
      </c>
      <c r="AL258" s="5">
        <f>AB$1*((-0.000002)*AB258^3+0.00032*AB258^2+(-0.0021)*AB258)+AC$1*((-0.000002)*AC258^3+0.00032*AC258^2+(-0.0021)*AC258)</f>
        <v/>
      </c>
      <c r="AM258" s="5">
        <f>AD$1*((-0.000002)*AD258^3+0.00032*AD258^2+(-0.0021)*AD258)+AE$1*((-0.000002)*AE258^3+0.00032*AE258^2+(-0.0021)*AE258)+AF$1*((-0.000002)*AF258^3+0.00032*AF258^2+(-0.0021)*AF258)+AG$1*((-0.000002)*AG258^3+0.00032*AG258^2+(-0.0021)*AG258)</f>
        <v/>
      </c>
    </row>
    <row r="259" ht="15" customHeight="1" s="27" thickBot="1">
      <c r="A259">
        <f>(AI259*AI$3+AJ259*AJ$3+AK259*AK$3+AL259*AL$3+AM259*AM$3)*100/(AI$5*AI$3+AJ$5*AJ$3+AK$5*AK$3+AL$5*AL$3+AM$5*AM$3)</f>
        <v/>
      </c>
      <c r="B259" s="16" t="n"/>
      <c r="C259" s="10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6" t="n"/>
      <c r="R259" s="10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5">
        <f>H$1*((-0.000002)*H259^3+0.00032*H259^2+(-0.0021)*H259)+I$1*((-0.000002)*I259^3+0.00032*I259^2+(-0.0021)*I259)+J$1*((-0.000002)*J259^3+0.00032*J259^2+(-0.0021)*J259)+K$1*((-0.000002)*K259^3+0.00032*K259^2+(-0.0021)*K259)+L$1*((-0.000002)*L259^3+0.00032*L259^2+(-0.0021)*L259)</f>
        <v/>
      </c>
      <c r="AJ259" s="5">
        <f>M$1*((-0.000002)*M259^3+0.00032*M259^2+(-0.0021)*M259)+N$1*((-0.000002)*N259^3+0.00032*N259^2+(-0.0021)*N259)+O$1*((-0.000002)*O259^3+0.00032*O259^2+(-0.0021)*O259)</f>
        <v/>
      </c>
      <c r="AK259" s="5">
        <f>IF(AA259&lt;50,W$1*((-0.000002)*W259^3+0.00032*W259^2+(-0.0021)*W259)+X$1*((-0.000002)*X259^3+0.00032*X259^2+(-0.0021)*X259)+Y$1*((-0.000002)*Y259^3+0.00032*Y259^2+(-0.0021)*Y259)+Z$1*((-0.000002)*Z259^3+0.00032*Z259^2+(-0.0021)*Z259),X$2*((-0.000002)*X259^3+0.00032*X259^2+(-0.0021)*X259)+Y$2*((-0.000002)*Y259^3+0.00032*Y259^2+(-0.0021)*Y259)+Z$2*((-0.000002)*Z259^3+0.00032*Z259^2+(-0.0021)*Z259)+AA$2*((-0.000002)*AA259^3+0.00032*AA259^2+(-0.0021)*AA259))</f>
        <v/>
      </c>
      <c r="AL259" s="5">
        <f>AB$1*((-0.000002)*AB259^3+0.00032*AB259^2+(-0.0021)*AB259)+AC$1*((-0.000002)*AC259^3+0.00032*AC259^2+(-0.0021)*AC259)</f>
        <v/>
      </c>
      <c r="AM259" s="5">
        <f>AD$1*((-0.000002)*AD259^3+0.00032*AD259^2+(-0.0021)*AD259)+AE$1*((-0.000002)*AE259^3+0.00032*AE259^2+(-0.0021)*AE259)+AF$1*((-0.000002)*AF259^3+0.00032*AF259^2+(-0.0021)*AF259)+AG$1*((-0.000002)*AG259^3+0.00032*AG259^2+(-0.0021)*AG259)</f>
        <v/>
      </c>
    </row>
    <row r="260" ht="15" customHeight="1" s="27" thickBot="1">
      <c r="A260">
        <f>(AI260*AI$3+AJ260*AJ$3+AK260*AK$3+AL260*AL$3+AM260*AM$3)*100/(AI$5*AI$3+AJ$5*AJ$3+AK$5*AK$3+AL$5*AL$3+AM$5*AM$3)</f>
        <v/>
      </c>
      <c r="B260" s="18" t="n"/>
      <c r="C260" s="11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8" t="n"/>
      <c r="R260" s="11" t="n"/>
      <c r="S260" s="19" t="n"/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  <c r="AI260" s="5">
        <f>H$1*((-0.000002)*H260^3+0.00032*H260^2+(-0.0021)*H260)+I$1*((-0.000002)*I260^3+0.00032*I260^2+(-0.0021)*I260)+J$1*((-0.000002)*J260^3+0.00032*J260^2+(-0.0021)*J260)+K$1*((-0.000002)*K260^3+0.00032*K260^2+(-0.0021)*K260)+L$1*((-0.000002)*L260^3+0.00032*L260^2+(-0.0021)*L260)</f>
        <v/>
      </c>
      <c r="AJ260" s="5">
        <f>M$1*((-0.000002)*M260^3+0.00032*M260^2+(-0.0021)*M260)+N$1*((-0.000002)*N260^3+0.00032*N260^2+(-0.0021)*N260)+O$1*((-0.000002)*O260^3+0.00032*O260^2+(-0.0021)*O260)</f>
        <v/>
      </c>
      <c r="AK260" s="5">
        <f>IF(AA260&lt;50,W$1*((-0.000002)*W260^3+0.00032*W260^2+(-0.0021)*W260)+X$1*((-0.000002)*X260^3+0.00032*X260^2+(-0.0021)*X260)+Y$1*((-0.000002)*Y260^3+0.00032*Y260^2+(-0.0021)*Y260)+Z$1*((-0.000002)*Z260^3+0.00032*Z260^2+(-0.0021)*Z260),X$2*((-0.000002)*X260^3+0.00032*X260^2+(-0.0021)*X260)+Y$2*((-0.000002)*Y260^3+0.00032*Y260^2+(-0.0021)*Y260)+Z$2*((-0.000002)*Z260^3+0.00032*Z260^2+(-0.0021)*Z260)+AA$2*((-0.000002)*AA260^3+0.00032*AA260^2+(-0.0021)*AA260))</f>
        <v/>
      </c>
      <c r="AL260" s="5">
        <f>AB$1*((-0.000002)*AB260^3+0.00032*AB260^2+(-0.0021)*AB260)+AC$1*((-0.000002)*AC260^3+0.00032*AC260^2+(-0.0021)*AC260)</f>
        <v/>
      </c>
      <c r="AM260" s="5">
        <f>AD$1*((-0.000002)*AD260^3+0.00032*AD260^2+(-0.0021)*AD260)+AE$1*((-0.000002)*AE260^3+0.00032*AE260^2+(-0.0021)*AE260)+AF$1*((-0.000002)*AF260^3+0.00032*AF260^2+(-0.0021)*AF260)+AG$1*((-0.000002)*AG260^3+0.00032*AG260^2+(-0.0021)*AG260)</f>
        <v/>
      </c>
    </row>
    <row r="261" ht="15" customHeight="1" s="27" thickBot="1">
      <c r="A261">
        <f>(AI261*AI$3+AJ261*AJ$3+AK261*AK$3+AL261*AL$3+AM261*AM$3)*100/(AI$5*AI$3+AJ$5*AJ$3+AK$5*AK$3+AL$5*AL$3+AM$5*AM$3)</f>
        <v/>
      </c>
      <c r="B261" s="16" t="n"/>
      <c r="C261" s="10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6" t="n"/>
      <c r="R261" s="10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5">
        <f>H$1*((-0.000002)*H261^3+0.00032*H261^2+(-0.0021)*H261)+I$1*((-0.000002)*I261^3+0.00032*I261^2+(-0.0021)*I261)+J$1*((-0.000002)*J261^3+0.00032*J261^2+(-0.0021)*J261)+K$1*((-0.000002)*K261^3+0.00032*K261^2+(-0.0021)*K261)+L$1*((-0.000002)*L261^3+0.00032*L261^2+(-0.0021)*L261)</f>
        <v/>
      </c>
      <c r="AJ261" s="5">
        <f>M$1*((-0.000002)*M261^3+0.00032*M261^2+(-0.0021)*M261)+N$1*((-0.000002)*N261^3+0.00032*N261^2+(-0.0021)*N261)+O$1*((-0.000002)*O261^3+0.00032*O261^2+(-0.0021)*O261)</f>
        <v/>
      </c>
      <c r="AK261" s="5">
        <f>IF(AA261&lt;50,W$1*((-0.000002)*W261^3+0.00032*W261^2+(-0.0021)*W261)+X$1*((-0.000002)*X261^3+0.00032*X261^2+(-0.0021)*X261)+Y$1*((-0.000002)*Y261^3+0.00032*Y261^2+(-0.0021)*Y261)+Z$1*((-0.000002)*Z261^3+0.00032*Z261^2+(-0.0021)*Z261),X$2*((-0.000002)*X261^3+0.00032*X261^2+(-0.0021)*X261)+Y$2*((-0.000002)*Y261^3+0.00032*Y261^2+(-0.0021)*Y261)+Z$2*((-0.000002)*Z261^3+0.00032*Z261^2+(-0.0021)*Z261)+AA$2*((-0.000002)*AA261^3+0.00032*AA261^2+(-0.0021)*AA261))</f>
        <v/>
      </c>
      <c r="AL261" s="5">
        <f>AB$1*((-0.000002)*AB261^3+0.00032*AB261^2+(-0.0021)*AB261)+AC$1*((-0.000002)*AC261^3+0.00032*AC261^2+(-0.0021)*AC261)</f>
        <v/>
      </c>
      <c r="AM261" s="5">
        <f>AD$1*((-0.000002)*AD261^3+0.00032*AD261^2+(-0.0021)*AD261)+AE$1*((-0.000002)*AE261^3+0.00032*AE261^2+(-0.0021)*AE261)+AF$1*((-0.000002)*AF261^3+0.00032*AF261^2+(-0.0021)*AF261)+AG$1*((-0.000002)*AG261^3+0.00032*AG261^2+(-0.0021)*AG261)</f>
        <v/>
      </c>
    </row>
    <row r="262" ht="15" customHeight="1" s="27" thickBot="1">
      <c r="A262">
        <f>(AI262*AI$3+AJ262*AJ$3+AK262*AK$3+AL262*AL$3+AM262*AM$3)*100/(AI$5*AI$3+AJ$5*AJ$3+AK$5*AK$3+AL$5*AL$3+AM$5*AM$3)</f>
        <v/>
      </c>
      <c r="B262" s="18" t="n"/>
      <c r="C262" s="11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8" t="n"/>
      <c r="R262" s="11" t="n"/>
      <c r="S262" s="19" t="n"/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  <c r="AI262" s="5">
        <f>H$1*((-0.000002)*H262^3+0.00032*H262^2+(-0.0021)*H262)+I$1*((-0.000002)*I262^3+0.00032*I262^2+(-0.0021)*I262)+J$1*((-0.000002)*J262^3+0.00032*J262^2+(-0.0021)*J262)+K$1*((-0.000002)*K262^3+0.00032*K262^2+(-0.0021)*K262)+L$1*((-0.000002)*L262^3+0.00032*L262^2+(-0.0021)*L262)</f>
        <v/>
      </c>
      <c r="AJ262" s="5">
        <f>M$1*((-0.000002)*M262^3+0.00032*M262^2+(-0.0021)*M262)+N$1*((-0.000002)*N262^3+0.00032*N262^2+(-0.0021)*N262)+O$1*((-0.000002)*O262^3+0.00032*O262^2+(-0.0021)*O262)</f>
        <v/>
      </c>
      <c r="AK262" s="5">
        <f>IF(AA262&lt;50,W$1*((-0.000002)*W262^3+0.00032*W262^2+(-0.0021)*W262)+X$1*((-0.000002)*X262^3+0.00032*X262^2+(-0.0021)*X262)+Y$1*((-0.000002)*Y262^3+0.00032*Y262^2+(-0.0021)*Y262)+Z$1*((-0.000002)*Z262^3+0.00032*Z262^2+(-0.0021)*Z262),X$2*((-0.000002)*X262^3+0.00032*X262^2+(-0.0021)*X262)+Y$2*((-0.000002)*Y262^3+0.00032*Y262^2+(-0.0021)*Y262)+Z$2*((-0.000002)*Z262^3+0.00032*Z262^2+(-0.0021)*Z262)+AA$2*((-0.000002)*AA262^3+0.00032*AA262^2+(-0.0021)*AA262))</f>
        <v/>
      </c>
      <c r="AL262" s="5">
        <f>AB$1*((-0.000002)*AB262^3+0.00032*AB262^2+(-0.0021)*AB262)+AC$1*((-0.000002)*AC262^3+0.00032*AC262^2+(-0.0021)*AC262)</f>
        <v/>
      </c>
      <c r="AM262" s="5">
        <f>AD$1*((-0.000002)*AD262^3+0.00032*AD262^2+(-0.0021)*AD262)+AE$1*((-0.000002)*AE262^3+0.00032*AE262^2+(-0.0021)*AE262)+AF$1*((-0.000002)*AF262^3+0.00032*AF262^2+(-0.0021)*AF262)+AG$1*((-0.000002)*AG262^3+0.00032*AG262^2+(-0.0021)*AG262)</f>
        <v/>
      </c>
    </row>
    <row r="263" ht="15" customHeight="1" s="27" thickBot="1">
      <c r="A263">
        <f>(AI263*AI$3+AJ263*AJ$3+AK263*AK$3+AL263*AL$3+AM263*AM$3)*100/(AI$5*AI$3+AJ$5*AJ$3+AK$5*AK$3+AL$5*AL$3+AM$5*AM$3)</f>
        <v/>
      </c>
      <c r="B263" s="16" t="n"/>
      <c r="C263" s="10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6" t="n"/>
      <c r="R263" s="10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5">
        <f>H$1*((-0.000002)*H263^3+0.00032*H263^2+(-0.0021)*H263)+I$1*((-0.000002)*I263^3+0.00032*I263^2+(-0.0021)*I263)+J$1*((-0.000002)*J263^3+0.00032*J263^2+(-0.0021)*J263)+K$1*((-0.000002)*K263^3+0.00032*K263^2+(-0.0021)*K263)+L$1*((-0.000002)*L263^3+0.00032*L263^2+(-0.0021)*L263)</f>
        <v/>
      </c>
      <c r="AJ263" s="5">
        <f>M$1*((-0.000002)*M263^3+0.00032*M263^2+(-0.0021)*M263)+N$1*((-0.000002)*N263^3+0.00032*N263^2+(-0.0021)*N263)+O$1*((-0.000002)*O263^3+0.00032*O263^2+(-0.0021)*O263)</f>
        <v/>
      </c>
      <c r="AK263" s="5">
        <f>IF(AA263&lt;50,W$1*((-0.000002)*W263^3+0.00032*W263^2+(-0.0021)*W263)+X$1*((-0.000002)*X263^3+0.00032*X263^2+(-0.0021)*X263)+Y$1*((-0.000002)*Y263^3+0.00032*Y263^2+(-0.0021)*Y263)+Z$1*((-0.000002)*Z263^3+0.00032*Z263^2+(-0.0021)*Z263),X$2*((-0.000002)*X263^3+0.00032*X263^2+(-0.0021)*X263)+Y$2*((-0.000002)*Y263^3+0.00032*Y263^2+(-0.0021)*Y263)+Z$2*((-0.000002)*Z263^3+0.00032*Z263^2+(-0.0021)*Z263)+AA$2*((-0.000002)*AA263^3+0.00032*AA263^2+(-0.0021)*AA263))</f>
        <v/>
      </c>
      <c r="AL263" s="5">
        <f>AB$1*((-0.000002)*AB263^3+0.00032*AB263^2+(-0.0021)*AB263)+AC$1*((-0.000002)*AC263^3+0.00032*AC263^2+(-0.0021)*AC263)</f>
        <v/>
      </c>
      <c r="AM263" s="5">
        <f>AD$1*((-0.000002)*AD263^3+0.00032*AD263^2+(-0.0021)*AD263)+AE$1*((-0.000002)*AE263^3+0.00032*AE263^2+(-0.0021)*AE263)+AF$1*((-0.000002)*AF263^3+0.00032*AF263^2+(-0.0021)*AF263)+AG$1*((-0.000002)*AG263^3+0.00032*AG263^2+(-0.0021)*AG263)</f>
        <v/>
      </c>
    </row>
    <row r="264" ht="15" customHeight="1" s="27" thickBot="1">
      <c r="A264">
        <f>(AI264*AI$3+AJ264*AJ$3+AK264*AK$3+AL264*AL$3+AM264*AM$3)*100/(AI$5*AI$3+AJ$5*AJ$3+AK$5*AK$3+AL$5*AL$3+AM$5*AM$3)</f>
        <v/>
      </c>
      <c r="B264" s="18" t="n"/>
      <c r="C264" s="11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8" t="n"/>
      <c r="R264" s="11" t="n"/>
      <c r="S264" s="19" t="n"/>
      <c r="T264" s="19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  <c r="AG264" s="19" t="n"/>
      <c r="AH264" s="19" t="n"/>
      <c r="AI264" s="5">
        <f>H$1*((-0.000002)*H264^3+0.00032*H264^2+(-0.0021)*H264)+I$1*((-0.000002)*I264^3+0.00032*I264^2+(-0.0021)*I264)+J$1*((-0.000002)*J264^3+0.00032*J264^2+(-0.0021)*J264)+K$1*((-0.000002)*K264^3+0.00032*K264^2+(-0.0021)*K264)+L$1*((-0.000002)*L264^3+0.00032*L264^2+(-0.0021)*L264)</f>
        <v/>
      </c>
      <c r="AJ264" s="5">
        <f>M$1*((-0.000002)*M264^3+0.00032*M264^2+(-0.0021)*M264)+N$1*((-0.000002)*N264^3+0.00032*N264^2+(-0.0021)*N264)+O$1*((-0.000002)*O264^3+0.00032*O264^2+(-0.0021)*O264)</f>
        <v/>
      </c>
      <c r="AK264" s="5">
        <f>IF(AA264&lt;50,W$1*((-0.000002)*W264^3+0.00032*W264^2+(-0.0021)*W264)+X$1*((-0.000002)*X264^3+0.00032*X264^2+(-0.0021)*X264)+Y$1*((-0.000002)*Y264^3+0.00032*Y264^2+(-0.0021)*Y264)+Z$1*((-0.000002)*Z264^3+0.00032*Z264^2+(-0.0021)*Z264),X$2*((-0.000002)*X264^3+0.00032*X264^2+(-0.0021)*X264)+Y$2*((-0.000002)*Y264^3+0.00032*Y264^2+(-0.0021)*Y264)+Z$2*((-0.000002)*Z264^3+0.00032*Z264^2+(-0.0021)*Z264)+AA$2*((-0.000002)*AA264^3+0.00032*AA264^2+(-0.0021)*AA264))</f>
        <v/>
      </c>
      <c r="AL264" s="5">
        <f>AB$1*((-0.000002)*AB264^3+0.00032*AB264^2+(-0.0021)*AB264)+AC$1*((-0.000002)*AC264^3+0.00032*AC264^2+(-0.0021)*AC264)</f>
        <v/>
      </c>
      <c r="AM264" s="5">
        <f>AD$1*((-0.000002)*AD264^3+0.00032*AD264^2+(-0.0021)*AD264)+AE$1*((-0.000002)*AE264^3+0.00032*AE264^2+(-0.0021)*AE264)+AF$1*((-0.000002)*AF264^3+0.00032*AF264^2+(-0.0021)*AF264)+AG$1*((-0.000002)*AG264^3+0.00032*AG264^2+(-0.0021)*AG264)</f>
        <v/>
      </c>
    </row>
    <row r="265" ht="15" customHeight="1" s="27" thickBot="1">
      <c r="A265">
        <f>(AI265*AI$3+AJ265*AJ$3+AK265*AK$3+AL265*AL$3+AM265*AM$3)*100/(AI$5*AI$3+AJ$5*AJ$3+AK$5*AK$3+AL$5*AL$3+AM$5*AM$3)</f>
        <v/>
      </c>
      <c r="B265" s="16" t="n"/>
      <c r="C265" s="10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6" t="n"/>
      <c r="R265" s="10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5">
        <f>H$1*((-0.000002)*H265^3+0.00032*H265^2+(-0.0021)*H265)+I$1*((-0.000002)*I265^3+0.00032*I265^2+(-0.0021)*I265)+J$1*((-0.000002)*J265^3+0.00032*J265^2+(-0.0021)*J265)+K$1*((-0.000002)*K265^3+0.00032*K265^2+(-0.0021)*K265)+L$1*((-0.000002)*L265^3+0.00032*L265^2+(-0.0021)*L265)</f>
        <v/>
      </c>
      <c r="AJ265" s="5">
        <f>M$1*((-0.000002)*M265^3+0.00032*M265^2+(-0.0021)*M265)+N$1*((-0.000002)*N265^3+0.00032*N265^2+(-0.0021)*N265)+O$1*((-0.000002)*O265^3+0.00032*O265^2+(-0.0021)*O265)</f>
        <v/>
      </c>
      <c r="AK265" s="5">
        <f>IF(AA265&lt;50,W$1*((-0.000002)*W265^3+0.00032*W265^2+(-0.0021)*W265)+X$1*((-0.000002)*X265^3+0.00032*X265^2+(-0.0021)*X265)+Y$1*((-0.000002)*Y265^3+0.00032*Y265^2+(-0.0021)*Y265)+Z$1*((-0.000002)*Z265^3+0.00032*Z265^2+(-0.0021)*Z265),X$2*((-0.000002)*X265^3+0.00032*X265^2+(-0.0021)*X265)+Y$2*((-0.000002)*Y265^3+0.00032*Y265^2+(-0.0021)*Y265)+Z$2*((-0.000002)*Z265^3+0.00032*Z265^2+(-0.0021)*Z265)+AA$2*((-0.000002)*AA265^3+0.00032*AA265^2+(-0.0021)*AA265))</f>
        <v/>
      </c>
      <c r="AL265" s="5">
        <f>AB$1*((-0.000002)*AB265^3+0.00032*AB265^2+(-0.0021)*AB265)+AC$1*((-0.000002)*AC265^3+0.00032*AC265^2+(-0.0021)*AC265)</f>
        <v/>
      </c>
      <c r="AM265" s="5">
        <f>AD$1*((-0.000002)*AD265^3+0.00032*AD265^2+(-0.0021)*AD265)+AE$1*((-0.000002)*AE265^3+0.00032*AE265^2+(-0.0021)*AE265)+AF$1*((-0.000002)*AF265^3+0.00032*AF265^2+(-0.0021)*AF265)+AG$1*((-0.000002)*AG265^3+0.00032*AG265^2+(-0.0021)*AG265)</f>
        <v/>
      </c>
    </row>
    <row r="266" ht="15" customHeight="1" s="27" thickBot="1">
      <c r="A266">
        <f>(AI266*AI$3+AJ266*AJ$3+AK266*AK$3+AL266*AL$3+AM266*AM$3)*100/(AI$5*AI$3+AJ$5*AJ$3+AK$5*AK$3+AL$5*AL$3+AM$5*AM$3)</f>
        <v/>
      </c>
      <c r="B266" s="18" t="n"/>
      <c r="C266" s="11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8" t="n"/>
      <c r="R266" s="11" t="n"/>
      <c r="S266" s="19" t="n"/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  <c r="AI266" s="5">
        <f>H$1*((-0.000002)*H266^3+0.00032*H266^2+(-0.0021)*H266)+I$1*((-0.000002)*I266^3+0.00032*I266^2+(-0.0021)*I266)+J$1*((-0.000002)*J266^3+0.00032*J266^2+(-0.0021)*J266)+K$1*((-0.000002)*K266^3+0.00032*K266^2+(-0.0021)*K266)+L$1*((-0.000002)*L266^3+0.00032*L266^2+(-0.0021)*L266)</f>
        <v/>
      </c>
      <c r="AJ266" s="5">
        <f>M$1*((-0.000002)*M266^3+0.00032*M266^2+(-0.0021)*M266)+N$1*((-0.000002)*N266^3+0.00032*N266^2+(-0.0021)*N266)+O$1*((-0.000002)*O266^3+0.00032*O266^2+(-0.0021)*O266)</f>
        <v/>
      </c>
      <c r="AK266" s="5">
        <f>IF(AA266&lt;50,W$1*((-0.000002)*W266^3+0.00032*W266^2+(-0.0021)*W266)+X$1*((-0.000002)*X266^3+0.00032*X266^2+(-0.0021)*X266)+Y$1*((-0.000002)*Y266^3+0.00032*Y266^2+(-0.0021)*Y266)+Z$1*((-0.000002)*Z266^3+0.00032*Z266^2+(-0.0021)*Z266),X$2*((-0.000002)*X266^3+0.00032*X266^2+(-0.0021)*X266)+Y$2*((-0.000002)*Y266^3+0.00032*Y266^2+(-0.0021)*Y266)+Z$2*((-0.000002)*Z266^3+0.00032*Z266^2+(-0.0021)*Z266)+AA$2*((-0.000002)*AA266^3+0.00032*AA266^2+(-0.0021)*AA266))</f>
        <v/>
      </c>
      <c r="AL266" s="5">
        <f>AB$1*((-0.000002)*AB266^3+0.00032*AB266^2+(-0.0021)*AB266)+AC$1*((-0.000002)*AC266^3+0.00032*AC266^2+(-0.0021)*AC266)</f>
        <v/>
      </c>
      <c r="AM266" s="5">
        <f>AD$1*((-0.000002)*AD266^3+0.00032*AD266^2+(-0.0021)*AD266)+AE$1*((-0.000002)*AE266^3+0.00032*AE266^2+(-0.0021)*AE266)+AF$1*((-0.000002)*AF266^3+0.00032*AF266^2+(-0.0021)*AF266)+AG$1*((-0.000002)*AG266^3+0.00032*AG266^2+(-0.0021)*AG266)</f>
        <v/>
      </c>
    </row>
    <row r="267" ht="15" customHeight="1" s="27" thickBot="1">
      <c r="A267">
        <f>(AI267*AI$3+AJ267*AJ$3+AK267*AK$3+AL267*AL$3+AM267*AM$3)*100/(AI$5*AI$3+AJ$5*AJ$3+AK$5*AK$3+AL$5*AL$3+AM$5*AM$3)</f>
        <v/>
      </c>
      <c r="B267" s="16" t="n"/>
      <c r="C267" s="10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6" t="n"/>
      <c r="R267" s="10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5">
        <f>H$1*((-0.000002)*H267^3+0.00032*H267^2+(-0.0021)*H267)+I$1*((-0.000002)*I267^3+0.00032*I267^2+(-0.0021)*I267)+J$1*((-0.000002)*J267^3+0.00032*J267^2+(-0.0021)*J267)+K$1*((-0.000002)*K267^3+0.00032*K267^2+(-0.0021)*K267)+L$1*((-0.000002)*L267^3+0.00032*L267^2+(-0.0021)*L267)</f>
        <v/>
      </c>
      <c r="AJ267" s="5">
        <f>M$1*((-0.000002)*M267^3+0.00032*M267^2+(-0.0021)*M267)+N$1*((-0.000002)*N267^3+0.00032*N267^2+(-0.0021)*N267)+O$1*((-0.000002)*O267^3+0.00032*O267^2+(-0.0021)*O267)</f>
        <v/>
      </c>
      <c r="AK267" s="5">
        <f>IF(AA267&lt;50,W$1*((-0.000002)*W267^3+0.00032*W267^2+(-0.0021)*W267)+X$1*((-0.000002)*X267^3+0.00032*X267^2+(-0.0021)*X267)+Y$1*((-0.000002)*Y267^3+0.00032*Y267^2+(-0.0021)*Y267)+Z$1*((-0.000002)*Z267^3+0.00032*Z267^2+(-0.0021)*Z267),X$2*((-0.000002)*X267^3+0.00032*X267^2+(-0.0021)*X267)+Y$2*((-0.000002)*Y267^3+0.00032*Y267^2+(-0.0021)*Y267)+Z$2*((-0.000002)*Z267^3+0.00032*Z267^2+(-0.0021)*Z267)+AA$2*((-0.000002)*AA267^3+0.00032*AA267^2+(-0.0021)*AA267))</f>
        <v/>
      </c>
      <c r="AL267" s="5">
        <f>AB$1*((-0.000002)*AB267^3+0.00032*AB267^2+(-0.0021)*AB267)+AC$1*((-0.000002)*AC267^3+0.00032*AC267^2+(-0.0021)*AC267)</f>
        <v/>
      </c>
      <c r="AM267" s="5">
        <f>AD$1*((-0.000002)*AD267^3+0.00032*AD267^2+(-0.0021)*AD267)+AE$1*((-0.000002)*AE267^3+0.00032*AE267^2+(-0.0021)*AE267)+AF$1*((-0.000002)*AF267^3+0.00032*AF267^2+(-0.0021)*AF267)+AG$1*((-0.000002)*AG267^3+0.00032*AG267^2+(-0.0021)*AG267)</f>
        <v/>
      </c>
    </row>
    <row r="268" ht="15" customHeight="1" s="27" thickBot="1">
      <c r="A268">
        <f>(AI268*AI$3+AJ268*AJ$3+AK268*AK$3+AL268*AL$3+AM268*AM$3)*100/(AI$5*AI$3+AJ$5*AJ$3+AK$5*AK$3+AL$5*AL$3+AM$5*AM$3)</f>
        <v/>
      </c>
      <c r="B268" s="18" t="n"/>
      <c r="C268" s="11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8" t="n"/>
      <c r="R268" s="11" t="n"/>
      <c r="S268" s="19" t="n"/>
      <c r="T268" s="19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  <c r="AH268" s="19" t="n"/>
      <c r="AI268" s="5">
        <f>H$1*((-0.000002)*H268^3+0.00032*H268^2+(-0.0021)*H268)+I$1*((-0.000002)*I268^3+0.00032*I268^2+(-0.0021)*I268)+J$1*((-0.000002)*J268^3+0.00032*J268^2+(-0.0021)*J268)+K$1*((-0.000002)*K268^3+0.00032*K268^2+(-0.0021)*K268)+L$1*((-0.000002)*L268^3+0.00032*L268^2+(-0.0021)*L268)</f>
        <v/>
      </c>
      <c r="AJ268" s="5">
        <f>M$1*((-0.000002)*M268^3+0.00032*M268^2+(-0.0021)*M268)+N$1*((-0.000002)*N268^3+0.00032*N268^2+(-0.0021)*N268)+O$1*((-0.000002)*O268^3+0.00032*O268^2+(-0.0021)*O268)</f>
        <v/>
      </c>
      <c r="AK268" s="5">
        <f>IF(AA268&lt;50,W$1*((-0.000002)*W268^3+0.00032*W268^2+(-0.0021)*W268)+X$1*((-0.000002)*X268^3+0.00032*X268^2+(-0.0021)*X268)+Y$1*((-0.000002)*Y268^3+0.00032*Y268^2+(-0.0021)*Y268)+Z$1*((-0.000002)*Z268^3+0.00032*Z268^2+(-0.0021)*Z268),X$2*((-0.000002)*X268^3+0.00032*X268^2+(-0.0021)*X268)+Y$2*((-0.000002)*Y268^3+0.00032*Y268^2+(-0.0021)*Y268)+Z$2*((-0.000002)*Z268^3+0.00032*Z268^2+(-0.0021)*Z268)+AA$2*((-0.000002)*AA268^3+0.00032*AA268^2+(-0.0021)*AA268))</f>
        <v/>
      </c>
      <c r="AL268" s="5">
        <f>AB$1*((-0.000002)*AB268^3+0.00032*AB268^2+(-0.0021)*AB268)+AC$1*((-0.000002)*AC268^3+0.00032*AC268^2+(-0.0021)*AC268)</f>
        <v/>
      </c>
      <c r="AM268" s="5">
        <f>AD$1*((-0.000002)*AD268^3+0.00032*AD268^2+(-0.0021)*AD268)+AE$1*((-0.000002)*AE268^3+0.00032*AE268^2+(-0.0021)*AE268)+AF$1*((-0.000002)*AF268^3+0.00032*AF268^2+(-0.0021)*AF268)+AG$1*((-0.000002)*AG268^3+0.00032*AG268^2+(-0.0021)*AG268)</f>
        <v/>
      </c>
    </row>
    <row r="269" ht="15" customHeight="1" s="27" thickBot="1">
      <c r="A269">
        <f>(AI269*AI$3+AJ269*AJ$3+AK269*AK$3+AL269*AL$3+AM269*AM$3)*100/(AI$5*AI$3+AJ$5*AJ$3+AK$5*AK$3+AL$5*AL$3+AM$5*AM$3)</f>
        <v/>
      </c>
      <c r="B269" s="16" t="n"/>
      <c r="C269" s="10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6" t="n"/>
      <c r="R269" s="10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5">
        <f>H$1*((-0.000002)*H269^3+0.00032*H269^2+(-0.0021)*H269)+I$1*((-0.000002)*I269^3+0.00032*I269^2+(-0.0021)*I269)+J$1*((-0.000002)*J269^3+0.00032*J269^2+(-0.0021)*J269)+K$1*((-0.000002)*K269^3+0.00032*K269^2+(-0.0021)*K269)+L$1*((-0.000002)*L269^3+0.00032*L269^2+(-0.0021)*L269)</f>
        <v/>
      </c>
      <c r="AJ269" s="5">
        <f>M$1*((-0.000002)*M269^3+0.00032*M269^2+(-0.0021)*M269)+N$1*((-0.000002)*N269^3+0.00032*N269^2+(-0.0021)*N269)+O$1*((-0.000002)*O269^3+0.00032*O269^2+(-0.0021)*O269)</f>
        <v/>
      </c>
      <c r="AK269" s="5">
        <f>IF(AA269&lt;50,W$1*((-0.000002)*W269^3+0.00032*W269^2+(-0.0021)*W269)+X$1*((-0.000002)*X269^3+0.00032*X269^2+(-0.0021)*X269)+Y$1*((-0.000002)*Y269^3+0.00032*Y269^2+(-0.0021)*Y269)+Z$1*((-0.000002)*Z269^3+0.00032*Z269^2+(-0.0021)*Z269),X$2*((-0.000002)*X269^3+0.00032*X269^2+(-0.0021)*X269)+Y$2*((-0.000002)*Y269^3+0.00032*Y269^2+(-0.0021)*Y269)+Z$2*((-0.000002)*Z269^3+0.00032*Z269^2+(-0.0021)*Z269)+AA$2*((-0.000002)*AA269^3+0.00032*AA269^2+(-0.0021)*AA269))</f>
        <v/>
      </c>
      <c r="AL269" s="5">
        <f>AB$1*((-0.000002)*AB269^3+0.00032*AB269^2+(-0.0021)*AB269)+AC$1*((-0.000002)*AC269^3+0.00032*AC269^2+(-0.0021)*AC269)</f>
        <v/>
      </c>
      <c r="AM269" s="5">
        <f>AD$1*((-0.000002)*AD269^3+0.00032*AD269^2+(-0.0021)*AD269)+AE$1*((-0.000002)*AE269^3+0.00032*AE269^2+(-0.0021)*AE269)+AF$1*((-0.000002)*AF269^3+0.00032*AF269^2+(-0.0021)*AF269)+AG$1*((-0.000002)*AG269^3+0.00032*AG269^2+(-0.0021)*AG269)</f>
        <v/>
      </c>
    </row>
    <row r="270" ht="15" customHeight="1" s="27" thickBot="1">
      <c r="A270">
        <f>(AI270*AI$3+AJ270*AJ$3+AK270*AK$3+AL270*AL$3+AM270*AM$3)*100/(AI$5*AI$3+AJ$5*AJ$3+AK$5*AK$3+AL$5*AL$3+AM$5*AM$3)</f>
        <v/>
      </c>
      <c r="B270" s="18" t="n"/>
      <c r="C270" s="11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8" t="n"/>
      <c r="R270" s="11" t="n"/>
      <c r="S270" s="19" t="n"/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  <c r="AI270" s="5">
        <f>H$1*((-0.000002)*H270^3+0.00032*H270^2+(-0.0021)*H270)+I$1*((-0.000002)*I270^3+0.00032*I270^2+(-0.0021)*I270)+J$1*((-0.000002)*J270^3+0.00032*J270^2+(-0.0021)*J270)+K$1*((-0.000002)*K270^3+0.00032*K270^2+(-0.0021)*K270)+L$1*((-0.000002)*L270^3+0.00032*L270^2+(-0.0021)*L270)</f>
        <v/>
      </c>
      <c r="AJ270" s="5">
        <f>M$1*((-0.000002)*M270^3+0.00032*M270^2+(-0.0021)*M270)+N$1*((-0.000002)*N270^3+0.00032*N270^2+(-0.0021)*N270)+O$1*((-0.000002)*O270^3+0.00032*O270^2+(-0.0021)*O270)</f>
        <v/>
      </c>
      <c r="AK270" s="5">
        <f>IF(AA270&lt;50,W$1*((-0.000002)*W270^3+0.00032*W270^2+(-0.0021)*W270)+X$1*((-0.000002)*X270^3+0.00032*X270^2+(-0.0021)*X270)+Y$1*((-0.000002)*Y270^3+0.00032*Y270^2+(-0.0021)*Y270)+Z$1*((-0.000002)*Z270^3+0.00032*Z270^2+(-0.0021)*Z270),X$2*((-0.000002)*X270^3+0.00032*X270^2+(-0.0021)*X270)+Y$2*((-0.000002)*Y270^3+0.00032*Y270^2+(-0.0021)*Y270)+Z$2*((-0.000002)*Z270^3+0.00032*Z270^2+(-0.0021)*Z270)+AA$2*((-0.000002)*AA270^3+0.00032*AA270^2+(-0.0021)*AA270))</f>
        <v/>
      </c>
      <c r="AL270" s="5">
        <f>AB$1*((-0.000002)*AB270^3+0.00032*AB270^2+(-0.0021)*AB270)+AC$1*((-0.000002)*AC270^3+0.00032*AC270^2+(-0.0021)*AC270)</f>
        <v/>
      </c>
      <c r="AM270" s="5">
        <f>AD$1*((-0.000002)*AD270^3+0.00032*AD270^2+(-0.0021)*AD270)+AE$1*((-0.000002)*AE270^3+0.00032*AE270^2+(-0.0021)*AE270)+AF$1*((-0.000002)*AF270^3+0.00032*AF270^2+(-0.0021)*AF270)+AG$1*((-0.000002)*AG270^3+0.00032*AG270^2+(-0.0021)*AG270)</f>
        <v/>
      </c>
    </row>
    <row r="271" ht="15" customHeight="1" s="27" thickBot="1">
      <c r="A271">
        <f>(AI271*AI$3+AJ271*AJ$3+AK271*AK$3+AL271*AL$3+AM271*AM$3)*100/(AI$5*AI$3+AJ$5*AJ$3+AK$5*AK$3+AL$5*AL$3+AM$5*AM$3)</f>
        <v/>
      </c>
      <c r="B271" s="16" t="n"/>
      <c r="C271" s="10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6" t="n"/>
      <c r="R271" s="10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5">
        <f>H$1*((-0.000002)*H271^3+0.00032*H271^2+(-0.0021)*H271)+I$1*((-0.000002)*I271^3+0.00032*I271^2+(-0.0021)*I271)+J$1*((-0.000002)*J271^3+0.00032*J271^2+(-0.0021)*J271)+K$1*((-0.000002)*K271^3+0.00032*K271^2+(-0.0021)*K271)+L$1*((-0.000002)*L271^3+0.00032*L271^2+(-0.0021)*L271)</f>
        <v/>
      </c>
      <c r="AJ271" s="5">
        <f>M$1*((-0.000002)*M271^3+0.00032*M271^2+(-0.0021)*M271)+N$1*((-0.000002)*N271^3+0.00032*N271^2+(-0.0021)*N271)+O$1*((-0.000002)*O271^3+0.00032*O271^2+(-0.0021)*O271)</f>
        <v/>
      </c>
      <c r="AK271" s="5">
        <f>IF(AA271&lt;50,W$1*((-0.000002)*W271^3+0.00032*W271^2+(-0.0021)*W271)+X$1*((-0.000002)*X271^3+0.00032*X271^2+(-0.0021)*X271)+Y$1*((-0.000002)*Y271^3+0.00032*Y271^2+(-0.0021)*Y271)+Z$1*((-0.000002)*Z271^3+0.00032*Z271^2+(-0.0021)*Z271),X$2*((-0.000002)*X271^3+0.00032*X271^2+(-0.0021)*X271)+Y$2*((-0.000002)*Y271^3+0.00032*Y271^2+(-0.0021)*Y271)+Z$2*((-0.000002)*Z271^3+0.00032*Z271^2+(-0.0021)*Z271)+AA$2*((-0.000002)*AA271^3+0.00032*AA271^2+(-0.0021)*AA271))</f>
        <v/>
      </c>
      <c r="AL271" s="5">
        <f>AB$1*((-0.000002)*AB271^3+0.00032*AB271^2+(-0.0021)*AB271)+AC$1*((-0.000002)*AC271^3+0.00032*AC271^2+(-0.0021)*AC271)</f>
        <v/>
      </c>
      <c r="AM271" s="5">
        <f>AD$1*((-0.000002)*AD271^3+0.00032*AD271^2+(-0.0021)*AD271)+AE$1*((-0.000002)*AE271^3+0.00032*AE271^2+(-0.0021)*AE271)+AF$1*((-0.000002)*AF271^3+0.00032*AF271^2+(-0.0021)*AF271)+AG$1*((-0.000002)*AG271^3+0.00032*AG271^2+(-0.0021)*AG271)</f>
        <v/>
      </c>
    </row>
    <row r="272" ht="15" customHeight="1" s="27" thickBot="1">
      <c r="A272">
        <f>(AI272*AI$3+AJ272*AJ$3+AK272*AK$3+AL272*AL$3+AM272*AM$3)*100/(AI$5*AI$3+AJ$5*AJ$3+AK$5*AK$3+AL$5*AL$3+AM$5*AM$3)</f>
        <v/>
      </c>
      <c r="B272" s="18" t="n"/>
      <c r="C272" s="11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8" t="n"/>
      <c r="R272" s="11" t="n"/>
      <c r="S272" s="19" t="n"/>
      <c r="T272" s="19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  <c r="AI272" s="5">
        <f>H$1*((-0.000002)*H272^3+0.00032*H272^2+(-0.0021)*H272)+I$1*((-0.000002)*I272^3+0.00032*I272^2+(-0.0021)*I272)+J$1*((-0.000002)*J272^3+0.00032*J272^2+(-0.0021)*J272)+K$1*((-0.000002)*K272^3+0.00032*K272^2+(-0.0021)*K272)+L$1*((-0.000002)*L272^3+0.00032*L272^2+(-0.0021)*L272)</f>
        <v/>
      </c>
      <c r="AJ272" s="5">
        <f>M$1*((-0.000002)*M272^3+0.00032*M272^2+(-0.0021)*M272)+N$1*((-0.000002)*N272^3+0.00032*N272^2+(-0.0021)*N272)+O$1*((-0.000002)*O272^3+0.00032*O272^2+(-0.0021)*O272)</f>
        <v/>
      </c>
      <c r="AK272" s="5">
        <f>IF(AA272&lt;50,W$1*((-0.000002)*W272^3+0.00032*W272^2+(-0.0021)*W272)+X$1*((-0.000002)*X272^3+0.00032*X272^2+(-0.0021)*X272)+Y$1*((-0.000002)*Y272^3+0.00032*Y272^2+(-0.0021)*Y272)+Z$1*((-0.000002)*Z272^3+0.00032*Z272^2+(-0.0021)*Z272),X$2*((-0.000002)*X272^3+0.00032*X272^2+(-0.0021)*X272)+Y$2*((-0.000002)*Y272^3+0.00032*Y272^2+(-0.0021)*Y272)+Z$2*((-0.000002)*Z272^3+0.00032*Z272^2+(-0.0021)*Z272)+AA$2*((-0.000002)*AA272^3+0.00032*AA272^2+(-0.0021)*AA272))</f>
        <v/>
      </c>
      <c r="AL272" s="5">
        <f>AB$1*((-0.000002)*AB272^3+0.00032*AB272^2+(-0.0021)*AB272)+AC$1*((-0.000002)*AC272^3+0.00032*AC272^2+(-0.0021)*AC272)</f>
        <v/>
      </c>
      <c r="AM272" s="5">
        <f>AD$1*((-0.000002)*AD272^3+0.00032*AD272^2+(-0.0021)*AD272)+AE$1*((-0.000002)*AE272^3+0.00032*AE272^2+(-0.0021)*AE272)+AF$1*((-0.000002)*AF272^3+0.00032*AF272^2+(-0.0021)*AF272)+AG$1*((-0.000002)*AG272^3+0.00032*AG272^2+(-0.0021)*AG272)</f>
        <v/>
      </c>
    </row>
    <row r="273" ht="15" customHeight="1" s="27" thickBot="1">
      <c r="A273">
        <f>(AI273*AI$3+AJ273*AJ$3+AK273*AK$3+AL273*AL$3+AM273*AM$3)*100/(AI$5*AI$3+AJ$5*AJ$3+AK$5*AK$3+AL$5*AL$3+AM$5*AM$3)</f>
        <v/>
      </c>
      <c r="B273" s="16" t="n"/>
      <c r="C273" s="10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6" t="n"/>
      <c r="R273" s="10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5">
        <f>H$1*((-0.000002)*H273^3+0.00032*H273^2+(-0.0021)*H273)+I$1*((-0.000002)*I273^3+0.00032*I273^2+(-0.0021)*I273)+J$1*((-0.000002)*J273^3+0.00032*J273^2+(-0.0021)*J273)+K$1*((-0.000002)*K273^3+0.00032*K273^2+(-0.0021)*K273)+L$1*((-0.000002)*L273^3+0.00032*L273^2+(-0.0021)*L273)</f>
        <v/>
      </c>
      <c r="AJ273" s="5">
        <f>M$1*((-0.000002)*M273^3+0.00032*M273^2+(-0.0021)*M273)+N$1*((-0.000002)*N273^3+0.00032*N273^2+(-0.0021)*N273)+O$1*((-0.000002)*O273^3+0.00032*O273^2+(-0.0021)*O273)</f>
        <v/>
      </c>
      <c r="AK273" s="5">
        <f>IF(AA273&lt;50,W$1*((-0.000002)*W273^3+0.00032*W273^2+(-0.0021)*W273)+X$1*((-0.000002)*X273^3+0.00032*X273^2+(-0.0021)*X273)+Y$1*((-0.000002)*Y273^3+0.00032*Y273^2+(-0.0021)*Y273)+Z$1*((-0.000002)*Z273^3+0.00032*Z273^2+(-0.0021)*Z273),X$2*((-0.000002)*X273^3+0.00032*X273^2+(-0.0021)*X273)+Y$2*((-0.000002)*Y273^3+0.00032*Y273^2+(-0.0021)*Y273)+Z$2*((-0.000002)*Z273^3+0.00032*Z273^2+(-0.0021)*Z273)+AA$2*((-0.000002)*AA273^3+0.00032*AA273^2+(-0.0021)*AA273))</f>
        <v/>
      </c>
      <c r="AL273" s="5">
        <f>AB$1*((-0.000002)*AB273^3+0.00032*AB273^2+(-0.0021)*AB273)+AC$1*((-0.000002)*AC273^3+0.00032*AC273^2+(-0.0021)*AC273)</f>
        <v/>
      </c>
      <c r="AM273" s="5">
        <f>AD$1*((-0.000002)*AD273^3+0.00032*AD273^2+(-0.0021)*AD273)+AE$1*((-0.000002)*AE273^3+0.00032*AE273^2+(-0.0021)*AE273)+AF$1*((-0.000002)*AF273^3+0.00032*AF273^2+(-0.0021)*AF273)+AG$1*((-0.000002)*AG273^3+0.00032*AG273^2+(-0.0021)*AG273)</f>
        <v/>
      </c>
    </row>
    <row r="274" ht="15" customHeight="1" s="27" thickBot="1">
      <c r="A274">
        <f>(AI274*AI$3+AJ274*AJ$3+AK274*AK$3+AL274*AL$3+AM274*AM$3)*100/(AI$5*AI$3+AJ$5*AJ$3+AK$5*AK$3+AL$5*AL$3+AM$5*AM$3)</f>
        <v/>
      </c>
      <c r="B274" s="18" t="n"/>
      <c r="C274" s="11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8" t="n"/>
      <c r="R274" s="11" t="n"/>
      <c r="S274" s="19" t="n"/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  <c r="AI274" s="5">
        <f>H$1*((-0.000002)*H274^3+0.00032*H274^2+(-0.0021)*H274)+I$1*((-0.000002)*I274^3+0.00032*I274^2+(-0.0021)*I274)+J$1*((-0.000002)*J274^3+0.00032*J274^2+(-0.0021)*J274)+K$1*((-0.000002)*K274^3+0.00032*K274^2+(-0.0021)*K274)+L$1*((-0.000002)*L274^3+0.00032*L274^2+(-0.0021)*L274)</f>
        <v/>
      </c>
      <c r="AJ274" s="5">
        <f>M$1*((-0.000002)*M274^3+0.00032*M274^2+(-0.0021)*M274)+N$1*((-0.000002)*N274^3+0.00032*N274^2+(-0.0021)*N274)+O$1*((-0.000002)*O274^3+0.00032*O274^2+(-0.0021)*O274)</f>
        <v/>
      </c>
      <c r="AK274" s="5">
        <f>IF(AA274&lt;50,W$1*((-0.000002)*W274^3+0.00032*W274^2+(-0.0021)*W274)+X$1*((-0.000002)*X274^3+0.00032*X274^2+(-0.0021)*X274)+Y$1*((-0.000002)*Y274^3+0.00032*Y274^2+(-0.0021)*Y274)+Z$1*((-0.000002)*Z274^3+0.00032*Z274^2+(-0.0021)*Z274),X$2*((-0.000002)*X274^3+0.00032*X274^2+(-0.0021)*X274)+Y$2*((-0.000002)*Y274^3+0.00032*Y274^2+(-0.0021)*Y274)+Z$2*((-0.000002)*Z274^3+0.00032*Z274^2+(-0.0021)*Z274)+AA$2*((-0.000002)*AA274^3+0.00032*AA274^2+(-0.0021)*AA274))</f>
        <v/>
      </c>
      <c r="AL274" s="5">
        <f>AB$1*((-0.000002)*AB274^3+0.00032*AB274^2+(-0.0021)*AB274)+AC$1*((-0.000002)*AC274^3+0.00032*AC274^2+(-0.0021)*AC274)</f>
        <v/>
      </c>
      <c r="AM274" s="5">
        <f>AD$1*((-0.000002)*AD274^3+0.00032*AD274^2+(-0.0021)*AD274)+AE$1*((-0.000002)*AE274^3+0.00032*AE274^2+(-0.0021)*AE274)+AF$1*((-0.000002)*AF274^3+0.00032*AF274^2+(-0.0021)*AF274)+AG$1*((-0.000002)*AG274^3+0.00032*AG274^2+(-0.0021)*AG274)</f>
        <v/>
      </c>
    </row>
    <row r="275" ht="15" customHeight="1" s="27" thickBot="1">
      <c r="A275">
        <f>(AI275*AI$3+AJ275*AJ$3+AK275*AK$3+AL275*AL$3+AM275*AM$3)*100/(AI$5*AI$3+AJ$5*AJ$3+AK$5*AK$3+AL$5*AL$3+AM$5*AM$3)</f>
        <v/>
      </c>
      <c r="B275" s="16" t="n"/>
      <c r="C275" s="10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6" t="n"/>
      <c r="R275" s="10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5">
        <f>H$1*((-0.000002)*H275^3+0.00032*H275^2+(-0.0021)*H275)+I$1*((-0.000002)*I275^3+0.00032*I275^2+(-0.0021)*I275)+J$1*((-0.000002)*J275^3+0.00032*J275^2+(-0.0021)*J275)+K$1*((-0.000002)*K275^3+0.00032*K275^2+(-0.0021)*K275)+L$1*((-0.000002)*L275^3+0.00032*L275^2+(-0.0021)*L275)</f>
        <v/>
      </c>
      <c r="AJ275" s="5">
        <f>M$1*((-0.000002)*M275^3+0.00032*M275^2+(-0.0021)*M275)+N$1*((-0.000002)*N275^3+0.00032*N275^2+(-0.0021)*N275)+O$1*((-0.000002)*O275^3+0.00032*O275^2+(-0.0021)*O275)</f>
        <v/>
      </c>
      <c r="AK275" s="5">
        <f>IF(AA275&lt;50,W$1*((-0.000002)*W275^3+0.00032*W275^2+(-0.0021)*W275)+X$1*((-0.000002)*X275^3+0.00032*X275^2+(-0.0021)*X275)+Y$1*((-0.000002)*Y275^3+0.00032*Y275^2+(-0.0021)*Y275)+Z$1*((-0.000002)*Z275^3+0.00032*Z275^2+(-0.0021)*Z275),X$2*((-0.000002)*X275^3+0.00032*X275^2+(-0.0021)*X275)+Y$2*((-0.000002)*Y275^3+0.00032*Y275^2+(-0.0021)*Y275)+Z$2*((-0.000002)*Z275^3+0.00032*Z275^2+(-0.0021)*Z275)+AA$2*((-0.000002)*AA275^3+0.00032*AA275^2+(-0.0021)*AA275))</f>
        <v/>
      </c>
      <c r="AL275" s="5">
        <f>AB$1*((-0.000002)*AB275^3+0.00032*AB275^2+(-0.0021)*AB275)+AC$1*((-0.000002)*AC275^3+0.00032*AC275^2+(-0.0021)*AC275)</f>
        <v/>
      </c>
      <c r="AM275" s="5">
        <f>AD$1*((-0.000002)*AD275^3+0.00032*AD275^2+(-0.0021)*AD275)+AE$1*((-0.000002)*AE275^3+0.00032*AE275^2+(-0.0021)*AE275)+AF$1*((-0.000002)*AF275^3+0.00032*AF275^2+(-0.0021)*AF275)+AG$1*((-0.000002)*AG275^3+0.00032*AG275^2+(-0.0021)*AG275)</f>
        <v/>
      </c>
    </row>
    <row r="276" ht="15" customHeight="1" s="27" thickBot="1">
      <c r="A276">
        <f>(AI276*AI$3+AJ276*AJ$3+AK276*AK$3+AL276*AL$3+AM276*AM$3)*100/(AI$5*AI$3+AJ$5*AJ$3+AK$5*AK$3+AL$5*AL$3+AM$5*AM$3)</f>
        <v/>
      </c>
      <c r="B276" s="18" t="n"/>
      <c r="C276" s="11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8" t="n"/>
      <c r="R276" s="11" t="n"/>
      <c r="S276" s="19" t="n"/>
      <c r="T276" s="19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  <c r="AG276" s="19" t="n"/>
      <c r="AH276" s="19" t="n"/>
      <c r="AI276" s="5">
        <f>H$1*((-0.000002)*H276^3+0.00032*H276^2+(-0.0021)*H276)+I$1*((-0.000002)*I276^3+0.00032*I276^2+(-0.0021)*I276)+J$1*((-0.000002)*J276^3+0.00032*J276^2+(-0.0021)*J276)+K$1*((-0.000002)*K276^3+0.00032*K276^2+(-0.0021)*K276)+L$1*((-0.000002)*L276^3+0.00032*L276^2+(-0.0021)*L276)</f>
        <v/>
      </c>
      <c r="AJ276" s="5">
        <f>M$1*((-0.000002)*M276^3+0.00032*M276^2+(-0.0021)*M276)+N$1*((-0.000002)*N276^3+0.00032*N276^2+(-0.0021)*N276)+O$1*((-0.000002)*O276^3+0.00032*O276^2+(-0.0021)*O276)</f>
        <v/>
      </c>
      <c r="AK276" s="5">
        <f>IF(AA276&lt;50,W$1*((-0.000002)*W276^3+0.00032*W276^2+(-0.0021)*W276)+X$1*((-0.000002)*X276^3+0.00032*X276^2+(-0.0021)*X276)+Y$1*((-0.000002)*Y276^3+0.00032*Y276^2+(-0.0021)*Y276)+Z$1*((-0.000002)*Z276^3+0.00032*Z276^2+(-0.0021)*Z276),X$2*((-0.000002)*X276^3+0.00032*X276^2+(-0.0021)*X276)+Y$2*((-0.000002)*Y276^3+0.00032*Y276^2+(-0.0021)*Y276)+Z$2*((-0.000002)*Z276^3+0.00032*Z276^2+(-0.0021)*Z276)+AA$2*((-0.000002)*AA276^3+0.00032*AA276^2+(-0.0021)*AA276))</f>
        <v/>
      </c>
      <c r="AL276" s="5">
        <f>AB$1*((-0.000002)*AB276^3+0.00032*AB276^2+(-0.0021)*AB276)+AC$1*((-0.000002)*AC276^3+0.00032*AC276^2+(-0.0021)*AC276)</f>
        <v/>
      </c>
      <c r="AM276" s="5">
        <f>AD$1*((-0.000002)*AD276^3+0.00032*AD276^2+(-0.0021)*AD276)+AE$1*((-0.000002)*AE276^3+0.00032*AE276^2+(-0.0021)*AE276)+AF$1*((-0.000002)*AF276^3+0.00032*AF276^2+(-0.0021)*AF276)+AG$1*((-0.000002)*AG276^3+0.00032*AG276^2+(-0.0021)*AG276)</f>
        <v/>
      </c>
    </row>
    <row r="277" ht="15" customHeight="1" s="27" thickBot="1">
      <c r="A277">
        <f>(AI277*AI$3+AJ277*AJ$3+AK277*AK$3+AL277*AL$3+AM277*AM$3)*100/(AI$5*AI$3+AJ$5*AJ$3+AK$5*AK$3+AL$5*AL$3+AM$5*AM$3)</f>
        <v/>
      </c>
      <c r="B277" s="16" t="n"/>
      <c r="C277" s="10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6" t="n"/>
      <c r="R277" s="10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5">
        <f>H$1*((-0.000002)*H277^3+0.00032*H277^2+(-0.0021)*H277)+I$1*((-0.000002)*I277^3+0.00032*I277^2+(-0.0021)*I277)+J$1*((-0.000002)*J277^3+0.00032*J277^2+(-0.0021)*J277)+K$1*((-0.000002)*K277^3+0.00032*K277^2+(-0.0021)*K277)+L$1*((-0.000002)*L277^3+0.00032*L277^2+(-0.0021)*L277)</f>
        <v/>
      </c>
      <c r="AJ277" s="5">
        <f>M$1*((-0.000002)*M277^3+0.00032*M277^2+(-0.0021)*M277)+N$1*((-0.000002)*N277^3+0.00032*N277^2+(-0.0021)*N277)+O$1*((-0.000002)*O277^3+0.00032*O277^2+(-0.0021)*O277)</f>
        <v/>
      </c>
      <c r="AK277" s="5">
        <f>IF(AA277&lt;50,W$1*((-0.000002)*W277^3+0.00032*W277^2+(-0.0021)*W277)+X$1*((-0.000002)*X277^3+0.00032*X277^2+(-0.0021)*X277)+Y$1*((-0.000002)*Y277^3+0.00032*Y277^2+(-0.0021)*Y277)+Z$1*((-0.000002)*Z277^3+0.00032*Z277^2+(-0.0021)*Z277),X$2*((-0.000002)*X277^3+0.00032*X277^2+(-0.0021)*X277)+Y$2*((-0.000002)*Y277^3+0.00032*Y277^2+(-0.0021)*Y277)+Z$2*((-0.000002)*Z277^3+0.00032*Z277^2+(-0.0021)*Z277)+AA$2*((-0.000002)*AA277^3+0.00032*AA277^2+(-0.0021)*AA277))</f>
        <v/>
      </c>
      <c r="AL277" s="5">
        <f>AB$1*((-0.000002)*AB277^3+0.00032*AB277^2+(-0.0021)*AB277)+AC$1*((-0.000002)*AC277^3+0.00032*AC277^2+(-0.0021)*AC277)</f>
        <v/>
      </c>
      <c r="AM277" s="5">
        <f>AD$1*((-0.000002)*AD277^3+0.00032*AD277^2+(-0.0021)*AD277)+AE$1*((-0.000002)*AE277^3+0.00032*AE277^2+(-0.0021)*AE277)+AF$1*((-0.000002)*AF277^3+0.00032*AF277^2+(-0.0021)*AF277)+AG$1*((-0.000002)*AG277^3+0.00032*AG277^2+(-0.0021)*AG277)</f>
        <v/>
      </c>
    </row>
    <row r="278" ht="15" customHeight="1" s="27" thickBot="1">
      <c r="A278">
        <f>(AI278*AI$3+AJ278*AJ$3+AK278*AK$3+AL278*AL$3+AM278*AM$3)*100/(AI$5*AI$3+AJ$5*AJ$3+AK$5*AK$3+AL$5*AL$3+AM$5*AM$3)</f>
        <v/>
      </c>
      <c r="B278" s="18" t="n"/>
      <c r="C278" s="11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8" t="n"/>
      <c r="R278" s="11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  <c r="AH278" s="19" t="n"/>
      <c r="AI278" s="5">
        <f>H$1*((-0.000002)*H278^3+0.00032*H278^2+(-0.0021)*H278)+I$1*((-0.000002)*I278^3+0.00032*I278^2+(-0.0021)*I278)+J$1*((-0.000002)*J278^3+0.00032*J278^2+(-0.0021)*J278)+K$1*((-0.000002)*K278^3+0.00032*K278^2+(-0.0021)*K278)+L$1*((-0.000002)*L278^3+0.00032*L278^2+(-0.0021)*L278)</f>
        <v/>
      </c>
      <c r="AJ278" s="5">
        <f>M$1*((-0.000002)*M278^3+0.00032*M278^2+(-0.0021)*M278)+N$1*((-0.000002)*N278^3+0.00032*N278^2+(-0.0021)*N278)+O$1*((-0.000002)*O278^3+0.00032*O278^2+(-0.0021)*O278)</f>
        <v/>
      </c>
      <c r="AK278" s="5">
        <f>IF(AA278&lt;50,W$1*((-0.000002)*W278^3+0.00032*W278^2+(-0.0021)*W278)+X$1*((-0.000002)*X278^3+0.00032*X278^2+(-0.0021)*X278)+Y$1*((-0.000002)*Y278^3+0.00032*Y278^2+(-0.0021)*Y278)+Z$1*((-0.000002)*Z278^3+0.00032*Z278^2+(-0.0021)*Z278),X$2*((-0.000002)*X278^3+0.00032*X278^2+(-0.0021)*X278)+Y$2*((-0.000002)*Y278^3+0.00032*Y278^2+(-0.0021)*Y278)+Z$2*((-0.000002)*Z278^3+0.00032*Z278^2+(-0.0021)*Z278)+AA$2*((-0.000002)*AA278^3+0.00032*AA278^2+(-0.0021)*AA278))</f>
        <v/>
      </c>
      <c r="AL278" s="5">
        <f>AB$1*((-0.000002)*AB278^3+0.00032*AB278^2+(-0.0021)*AB278)+AC$1*((-0.000002)*AC278^3+0.00032*AC278^2+(-0.0021)*AC278)</f>
        <v/>
      </c>
      <c r="AM278" s="5">
        <f>AD$1*((-0.000002)*AD278^3+0.00032*AD278^2+(-0.0021)*AD278)+AE$1*((-0.000002)*AE278^3+0.00032*AE278^2+(-0.0021)*AE278)+AF$1*((-0.000002)*AF278^3+0.00032*AF278^2+(-0.0021)*AF278)+AG$1*((-0.000002)*AG278^3+0.00032*AG278^2+(-0.0021)*AG278)</f>
        <v/>
      </c>
    </row>
    <row r="279" ht="15" customHeight="1" s="27" thickBot="1">
      <c r="A279">
        <f>(AI279*AI$3+AJ279*AJ$3+AK279*AK$3+AL279*AL$3+AM279*AM$3)*100/(AI$5*AI$3+AJ$5*AJ$3+AK$5*AK$3+AL$5*AL$3+AM$5*AM$3)</f>
        <v/>
      </c>
      <c r="B279" s="16" t="n"/>
      <c r="C279" s="10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6" t="n"/>
      <c r="R279" s="10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5">
        <f>H$1*((-0.000002)*H279^3+0.00032*H279^2+(-0.0021)*H279)+I$1*((-0.000002)*I279^3+0.00032*I279^2+(-0.0021)*I279)+J$1*((-0.000002)*J279^3+0.00032*J279^2+(-0.0021)*J279)+K$1*((-0.000002)*K279^3+0.00032*K279^2+(-0.0021)*K279)+L$1*((-0.000002)*L279^3+0.00032*L279^2+(-0.0021)*L279)</f>
        <v/>
      </c>
      <c r="AJ279" s="5">
        <f>M$1*((-0.000002)*M279^3+0.00032*M279^2+(-0.0021)*M279)+N$1*((-0.000002)*N279^3+0.00032*N279^2+(-0.0021)*N279)+O$1*((-0.000002)*O279^3+0.00032*O279^2+(-0.0021)*O279)</f>
        <v/>
      </c>
      <c r="AK279" s="5">
        <f>IF(AA279&lt;50,W$1*((-0.000002)*W279^3+0.00032*W279^2+(-0.0021)*W279)+X$1*((-0.000002)*X279^3+0.00032*X279^2+(-0.0021)*X279)+Y$1*((-0.000002)*Y279^3+0.00032*Y279^2+(-0.0021)*Y279)+Z$1*((-0.000002)*Z279^3+0.00032*Z279^2+(-0.0021)*Z279),X$2*((-0.000002)*X279^3+0.00032*X279^2+(-0.0021)*X279)+Y$2*((-0.000002)*Y279^3+0.00032*Y279^2+(-0.0021)*Y279)+Z$2*((-0.000002)*Z279^3+0.00032*Z279^2+(-0.0021)*Z279)+AA$2*((-0.000002)*AA279^3+0.00032*AA279^2+(-0.0021)*AA279))</f>
        <v/>
      </c>
      <c r="AL279" s="5">
        <f>AB$1*((-0.000002)*AB279^3+0.00032*AB279^2+(-0.0021)*AB279)+AC$1*((-0.000002)*AC279^3+0.00032*AC279^2+(-0.0021)*AC279)</f>
        <v/>
      </c>
      <c r="AM279" s="5">
        <f>AD$1*((-0.000002)*AD279^3+0.00032*AD279^2+(-0.0021)*AD279)+AE$1*((-0.000002)*AE279^3+0.00032*AE279^2+(-0.0021)*AE279)+AF$1*((-0.000002)*AF279^3+0.00032*AF279^2+(-0.0021)*AF279)+AG$1*((-0.000002)*AG279^3+0.00032*AG279^2+(-0.0021)*AG279)</f>
        <v/>
      </c>
    </row>
    <row r="280" ht="15" customHeight="1" s="27" thickBot="1">
      <c r="A280">
        <f>(AI280*AI$3+AJ280*AJ$3+AK280*AK$3+AL280*AL$3+AM280*AM$3)*100/(AI$5*AI$3+AJ$5*AJ$3+AK$5*AK$3+AL$5*AL$3+AM$5*AM$3)</f>
        <v/>
      </c>
      <c r="B280" s="18" t="n"/>
      <c r="C280" s="11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8" t="n"/>
      <c r="R280" s="11" t="n"/>
      <c r="S280" s="19" t="n"/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  <c r="AH280" s="19" t="n"/>
      <c r="AI280" s="5">
        <f>H$1*((-0.000002)*H280^3+0.00032*H280^2+(-0.0021)*H280)+I$1*((-0.000002)*I280^3+0.00032*I280^2+(-0.0021)*I280)+J$1*((-0.000002)*J280^3+0.00032*J280^2+(-0.0021)*J280)+K$1*((-0.000002)*K280^3+0.00032*K280^2+(-0.0021)*K280)+L$1*((-0.000002)*L280^3+0.00032*L280^2+(-0.0021)*L280)</f>
        <v/>
      </c>
      <c r="AJ280" s="5">
        <f>M$1*((-0.000002)*M280^3+0.00032*M280^2+(-0.0021)*M280)+N$1*((-0.000002)*N280^3+0.00032*N280^2+(-0.0021)*N280)+O$1*((-0.000002)*O280^3+0.00032*O280^2+(-0.0021)*O280)</f>
        <v/>
      </c>
      <c r="AK280" s="5">
        <f>IF(AA280&lt;50,W$1*((-0.000002)*W280^3+0.00032*W280^2+(-0.0021)*W280)+X$1*((-0.000002)*X280^3+0.00032*X280^2+(-0.0021)*X280)+Y$1*((-0.000002)*Y280^3+0.00032*Y280^2+(-0.0021)*Y280)+Z$1*((-0.000002)*Z280^3+0.00032*Z280^2+(-0.0021)*Z280),X$2*((-0.000002)*X280^3+0.00032*X280^2+(-0.0021)*X280)+Y$2*((-0.000002)*Y280^3+0.00032*Y280^2+(-0.0021)*Y280)+Z$2*((-0.000002)*Z280^3+0.00032*Z280^2+(-0.0021)*Z280)+AA$2*((-0.000002)*AA280^3+0.00032*AA280^2+(-0.0021)*AA280))</f>
        <v/>
      </c>
      <c r="AL280" s="5">
        <f>AB$1*((-0.000002)*AB280^3+0.00032*AB280^2+(-0.0021)*AB280)+AC$1*((-0.000002)*AC280^3+0.00032*AC280^2+(-0.0021)*AC280)</f>
        <v/>
      </c>
      <c r="AM280" s="5">
        <f>AD$1*((-0.000002)*AD280^3+0.00032*AD280^2+(-0.0021)*AD280)+AE$1*((-0.000002)*AE280^3+0.00032*AE280^2+(-0.0021)*AE280)+AF$1*((-0.000002)*AF280^3+0.00032*AF280^2+(-0.0021)*AF280)+AG$1*((-0.000002)*AG280^3+0.00032*AG280^2+(-0.0021)*AG280)</f>
        <v/>
      </c>
    </row>
    <row r="281" ht="15" customHeight="1" s="27" thickBot="1">
      <c r="A281">
        <f>(AI281*AI$3+AJ281*AJ$3+AK281*AK$3+AL281*AL$3+AM281*AM$3)*100/(AI$5*AI$3+AJ$5*AJ$3+AK$5*AK$3+AL$5*AL$3+AM$5*AM$3)</f>
        <v/>
      </c>
      <c r="B281" s="16" t="n"/>
      <c r="C281" s="10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6" t="n"/>
      <c r="R281" s="10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5">
        <f>H$1*((-0.000002)*H281^3+0.00032*H281^2+(-0.0021)*H281)+I$1*((-0.000002)*I281^3+0.00032*I281^2+(-0.0021)*I281)+J$1*((-0.000002)*J281^3+0.00032*J281^2+(-0.0021)*J281)+K$1*((-0.000002)*K281^3+0.00032*K281^2+(-0.0021)*K281)+L$1*((-0.000002)*L281^3+0.00032*L281^2+(-0.0021)*L281)</f>
        <v/>
      </c>
      <c r="AJ281" s="5">
        <f>M$1*((-0.000002)*M281^3+0.00032*M281^2+(-0.0021)*M281)+N$1*((-0.000002)*N281^3+0.00032*N281^2+(-0.0021)*N281)+O$1*((-0.000002)*O281^3+0.00032*O281^2+(-0.0021)*O281)</f>
        <v/>
      </c>
      <c r="AK281" s="5">
        <f>IF(AA281&lt;50,W$1*((-0.000002)*W281^3+0.00032*W281^2+(-0.0021)*W281)+X$1*((-0.000002)*X281^3+0.00032*X281^2+(-0.0021)*X281)+Y$1*((-0.000002)*Y281^3+0.00032*Y281^2+(-0.0021)*Y281)+Z$1*((-0.000002)*Z281^3+0.00032*Z281^2+(-0.0021)*Z281),X$2*((-0.000002)*X281^3+0.00032*X281^2+(-0.0021)*X281)+Y$2*((-0.000002)*Y281^3+0.00032*Y281^2+(-0.0021)*Y281)+Z$2*((-0.000002)*Z281^3+0.00032*Z281^2+(-0.0021)*Z281)+AA$2*((-0.000002)*AA281^3+0.00032*AA281^2+(-0.0021)*AA281))</f>
        <v/>
      </c>
      <c r="AL281" s="5">
        <f>AB$1*((-0.000002)*AB281^3+0.00032*AB281^2+(-0.0021)*AB281)+AC$1*((-0.000002)*AC281^3+0.00032*AC281^2+(-0.0021)*AC281)</f>
        <v/>
      </c>
      <c r="AM281" s="5">
        <f>AD$1*((-0.000002)*AD281^3+0.00032*AD281^2+(-0.0021)*AD281)+AE$1*((-0.000002)*AE281^3+0.00032*AE281^2+(-0.0021)*AE281)+AF$1*((-0.000002)*AF281^3+0.00032*AF281^2+(-0.0021)*AF281)+AG$1*((-0.000002)*AG281^3+0.00032*AG281^2+(-0.0021)*AG281)</f>
        <v/>
      </c>
    </row>
    <row r="282" ht="15" customHeight="1" s="27" thickBot="1">
      <c r="A282">
        <f>(AI282*AI$3+AJ282*AJ$3+AK282*AK$3+AL282*AL$3+AM282*AM$3)*100/(AI$5*AI$3+AJ$5*AJ$3+AK$5*AK$3+AL$5*AL$3+AM$5*AM$3)</f>
        <v/>
      </c>
      <c r="B282" s="18" t="n"/>
      <c r="C282" s="11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8" t="n"/>
      <c r="R282" s="11" t="n"/>
      <c r="S282" s="19" t="n"/>
      <c r="T282" s="19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  <c r="AH282" s="19" t="n"/>
      <c r="AI282" s="5">
        <f>H$1*((-0.000002)*H282^3+0.00032*H282^2+(-0.0021)*H282)+I$1*((-0.000002)*I282^3+0.00032*I282^2+(-0.0021)*I282)+J$1*((-0.000002)*J282^3+0.00032*J282^2+(-0.0021)*J282)+K$1*((-0.000002)*K282^3+0.00032*K282^2+(-0.0021)*K282)+L$1*((-0.000002)*L282^3+0.00032*L282^2+(-0.0021)*L282)</f>
        <v/>
      </c>
      <c r="AJ282" s="5">
        <f>M$1*((-0.000002)*M282^3+0.00032*M282^2+(-0.0021)*M282)+N$1*((-0.000002)*N282^3+0.00032*N282^2+(-0.0021)*N282)+O$1*((-0.000002)*O282^3+0.00032*O282^2+(-0.0021)*O282)</f>
        <v/>
      </c>
      <c r="AK282" s="5">
        <f>IF(AA282&lt;50,W$1*((-0.000002)*W282^3+0.00032*W282^2+(-0.0021)*W282)+X$1*((-0.000002)*X282^3+0.00032*X282^2+(-0.0021)*X282)+Y$1*((-0.000002)*Y282^3+0.00032*Y282^2+(-0.0021)*Y282)+Z$1*((-0.000002)*Z282^3+0.00032*Z282^2+(-0.0021)*Z282),X$2*((-0.000002)*X282^3+0.00032*X282^2+(-0.0021)*X282)+Y$2*((-0.000002)*Y282^3+0.00032*Y282^2+(-0.0021)*Y282)+Z$2*((-0.000002)*Z282^3+0.00032*Z282^2+(-0.0021)*Z282)+AA$2*((-0.000002)*AA282^3+0.00032*AA282^2+(-0.0021)*AA282))</f>
        <v/>
      </c>
      <c r="AL282" s="5">
        <f>AB$1*((-0.000002)*AB282^3+0.00032*AB282^2+(-0.0021)*AB282)+AC$1*((-0.000002)*AC282^3+0.00032*AC282^2+(-0.0021)*AC282)</f>
        <v/>
      </c>
      <c r="AM282" s="5">
        <f>AD$1*((-0.000002)*AD282^3+0.00032*AD282^2+(-0.0021)*AD282)+AE$1*((-0.000002)*AE282^3+0.00032*AE282^2+(-0.0021)*AE282)+AF$1*((-0.000002)*AF282^3+0.00032*AF282^2+(-0.0021)*AF282)+AG$1*((-0.000002)*AG282^3+0.00032*AG282^2+(-0.0021)*AG282)</f>
        <v/>
      </c>
    </row>
    <row r="283" ht="15" customHeight="1" s="27" thickBot="1">
      <c r="A283">
        <f>(AI283*AI$3+AJ283*AJ$3+AK283*AK$3+AL283*AL$3+AM283*AM$3)*100/(AI$5*AI$3+AJ$5*AJ$3+AK$5*AK$3+AL$5*AL$3+AM$5*AM$3)</f>
        <v/>
      </c>
      <c r="B283" s="16" t="n"/>
      <c r="C283" s="10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6" t="n"/>
      <c r="R283" s="10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5">
        <f>H$1*((-0.000002)*H283^3+0.00032*H283^2+(-0.0021)*H283)+I$1*((-0.000002)*I283^3+0.00032*I283^2+(-0.0021)*I283)+J$1*((-0.000002)*J283^3+0.00032*J283^2+(-0.0021)*J283)+K$1*((-0.000002)*K283^3+0.00032*K283^2+(-0.0021)*K283)+L$1*((-0.000002)*L283^3+0.00032*L283^2+(-0.0021)*L283)</f>
        <v/>
      </c>
      <c r="AJ283" s="5">
        <f>M$1*((-0.000002)*M283^3+0.00032*M283^2+(-0.0021)*M283)+N$1*((-0.000002)*N283^3+0.00032*N283^2+(-0.0021)*N283)+O$1*((-0.000002)*O283^3+0.00032*O283^2+(-0.0021)*O283)</f>
        <v/>
      </c>
      <c r="AK283" s="5">
        <f>IF(AA283&lt;50,W$1*((-0.000002)*W283^3+0.00032*W283^2+(-0.0021)*W283)+X$1*((-0.000002)*X283^3+0.00032*X283^2+(-0.0021)*X283)+Y$1*((-0.000002)*Y283^3+0.00032*Y283^2+(-0.0021)*Y283)+Z$1*((-0.000002)*Z283^3+0.00032*Z283^2+(-0.0021)*Z283),X$2*((-0.000002)*X283^3+0.00032*X283^2+(-0.0021)*X283)+Y$2*((-0.000002)*Y283^3+0.00032*Y283^2+(-0.0021)*Y283)+Z$2*((-0.000002)*Z283^3+0.00032*Z283^2+(-0.0021)*Z283)+AA$2*((-0.000002)*AA283^3+0.00032*AA283^2+(-0.0021)*AA283))</f>
        <v/>
      </c>
      <c r="AL283" s="5">
        <f>AB$1*((-0.000002)*AB283^3+0.00032*AB283^2+(-0.0021)*AB283)+AC$1*((-0.000002)*AC283^3+0.00032*AC283^2+(-0.0021)*AC283)</f>
        <v/>
      </c>
      <c r="AM283" s="5">
        <f>AD$1*((-0.000002)*AD283^3+0.00032*AD283^2+(-0.0021)*AD283)+AE$1*((-0.000002)*AE283^3+0.00032*AE283^2+(-0.0021)*AE283)+AF$1*((-0.000002)*AF283^3+0.00032*AF283^2+(-0.0021)*AF283)+AG$1*((-0.000002)*AG283^3+0.00032*AG283^2+(-0.0021)*AG283)</f>
        <v/>
      </c>
    </row>
    <row r="284" ht="15" customHeight="1" s="27" thickBot="1">
      <c r="A284">
        <f>(AI284*AI$3+AJ284*AJ$3+AK284*AK$3+AL284*AL$3+AM284*AM$3)*100/(AI$5*AI$3+AJ$5*AJ$3+AK$5*AK$3+AL$5*AL$3+AM$5*AM$3)</f>
        <v/>
      </c>
      <c r="B284" s="18" t="n"/>
      <c r="C284" s="11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8" t="n"/>
      <c r="R284" s="11" t="n"/>
      <c r="S284" s="19" t="n"/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  <c r="AI284" s="5">
        <f>H$1*((-0.000002)*H284^3+0.00032*H284^2+(-0.0021)*H284)+I$1*((-0.000002)*I284^3+0.00032*I284^2+(-0.0021)*I284)+J$1*((-0.000002)*J284^3+0.00032*J284^2+(-0.0021)*J284)+K$1*((-0.000002)*K284^3+0.00032*K284^2+(-0.0021)*K284)+L$1*((-0.000002)*L284^3+0.00032*L284^2+(-0.0021)*L284)</f>
        <v/>
      </c>
      <c r="AJ284" s="5">
        <f>M$1*((-0.000002)*M284^3+0.00032*M284^2+(-0.0021)*M284)+N$1*((-0.000002)*N284^3+0.00032*N284^2+(-0.0021)*N284)+O$1*((-0.000002)*O284^3+0.00032*O284^2+(-0.0021)*O284)</f>
        <v/>
      </c>
      <c r="AK284" s="5">
        <f>IF(AA284&lt;50,W$1*((-0.000002)*W284^3+0.00032*W284^2+(-0.0021)*W284)+X$1*((-0.000002)*X284^3+0.00032*X284^2+(-0.0021)*X284)+Y$1*((-0.000002)*Y284^3+0.00032*Y284^2+(-0.0021)*Y284)+Z$1*((-0.000002)*Z284^3+0.00032*Z284^2+(-0.0021)*Z284),X$2*((-0.000002)*X284^3+0.00032*X284^2+(-0.0021)*X284)+Y$2*((-0.000002)*Y284^3+0.00032*Y284^2+(-0.0021)*Y284)+Z$2*((-0.000002)*Z284^3+0.00032*Z284^2+(-0.0021)*Z284)+AA$2*((-0.000002)*AA284^3+0.00032*AA284^2+(-0.0021)*AA284))</f>
        <v/>
      </c>
      <c r="AL284" s="5">
        <f>AB$1*((-0.000002)*AB284^3+0.00032*AB284^2+(-0.0021)*AB284)+AC$1*((-0.000002)*AC284^3+0.00032*AC284^2+(-0.0021)*AC284)</f>
        <v/>
      </c>
      <c r="AM284" s="5">
        <f>AD$1*((-0.000002)*AD284^3+0.00032*AD284^2+(-0.0021)*AD284)+AE$1*((-0.000002)*AE284^3+0.00032*AE284^2+(-0.0021)*AE284)+AF$1*((-0.000002)*AF284^3+0.00032*AF284^2+(-0.0021)*AF284)+AG$1*((-0.000002)*AG284^3+0.00032*AG284^2+(-0.0021)*AG284)</f>
        <v/>
      </c>
    </row>
    <row r="285" ht="15" customHeight="1" s="27" thickBot="1">
      <c r="A285">
        <f>(AI285*AI$3+AJ285*AJ$3+AK285*AK$3+AL285*AL$3+AM285*AM$3)*100/(AI$5*AI$3+AJ$5*AJ$3+AK$5*AK$3+AL$5*AL$3+AM$5*AM$3)</f>
        <v/>
      </c>
      <c r="B285" s="16" t="n"/>
      <c r="C285" s="10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6" t="n"/>
      <c r="R285" s="10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5">
        <f>H$1*((-0.000002)*H285^3+0.00032*H285^2+(-0.0021)*H285)+I$1*((-0.000002)*I285^3+0.00032*I285^2+(-0.0021)*I285)+J$1*((-0.000002)*J285^3+0.00032*J285^2+(-0.0021)*J285)+K$1*((-0.000002)*K285^3+0.00032*K285^2+(-0.0021)*K285)+L$1*((-0.000002)*L285^3+0.00032*L285^2+(-0.0021)*L285)</f>
        <v/>
      </c>
      <c r="AJ285" s="5">
        <f>M$1*((-0.000002)*M285^3+0.00032*M285^2+(-0.0021)*M285)+N$1*((-0.000002)*N285^3+0.00032*N285^2+(-0.0021)*N285)+O$1*((-0.000002)*O285^3+0.00032*O285^2+(-0.0021)*O285)</f>
        <v/>
      </c>
      <c r="AK285" s="5">
        <f>IF(AA285&lt;50,W$1*((-0.000002)*W285^3+0.00032*W285^2+(-0.0021)*W285)+X$1*((-0.000002)*X285^3+0.00032*X285^2+(-0.0021)*X285)+Y$1*((-0.000002)*Y285^3+0.00032*Y285^2+(-0.0021)*Y285)+Z$1*((-0.000002)*Z285^3+0.00032*Z285^2+(-0.0021)*Z285),X$2*((-0.000002)*X285^3+0.00032*X285^2+(-0.0021)*X285)+Y$2*((-0.000002)*Y285^3+0.00032*Y285^2+(-0.0021)*Y285)+Z$2*((-0.000002)*Z285^3+0.00032*Z285^2+(-0.0021)*Z285)+AA$2*((-0.000002)*AA285^3+0.00032*AA285^2+(-0.0021)*AA285))</f>
        <v/>
      </c>
      <c r="AL285" s="5">
        <f>AB$1*((-0.000002)*AB285^3+0.00032*AB285^2+(-0.0021)*AB285)+AC$1*((-0.000002)*AC285^3+0.00032*AC285^2+(-0.0021)*AC285)</f>
        <v/>
      </c>
      <c r="AM285" s="5">
        <f>AD$1*((-0.000002)*AD285^3+0.00032*AD285^2+(-0.0021)*AD285)+AE$1*((-0.000002)*AE285^3+0.00032*AE285^2+(-0.0021)*AE285)+AF$1*((-0.000002)*AF285^3+0.00032*AF285^2+(-0.0021)*AF285)+AG$1*((-0.000002)*AG285^3+0.00032*AG285^2+(-0.0021)*AG285)</f>
        <v/>
      </c>
    </row>
    <row r="286" ht="15" customHeight="1" s="27" thickBot="1">
      <c r="A286">
        <f>(AI286*AI$3+AJ286*AJ$3+AK286*AK$3+AL286*AL$3+AM286*AM$3)*100/(AI$5*AI$3+AJ$5*AJ$3+AK$5*AK$3+AL$5*AL$3+AM$5*AM$3)</f>
        <v/>
      </c>
      <c r="B286" s="18" t="n"/>
      <c r="C286" s="11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8" t="n"/>
      <c r="R286" s="11" t="n"/>
      <c r="S286" s="19" t="n"/>
      <c r="T286" s="19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  <c r="AG286" s="19" t="n"/>
      <c r="AH286" s="19" t="n"/>
      <c r="AI286" s="5">
        <f>H$1*((-0.000002)*H286^3+0.00032*H286^2+(-0.0021)*H286)+I$1*((-0.000002)*I286^3+0.00032*I286^2+(-0.0021)*I286)+J$1*((-0.000002)*J286^3+0.00032*J286^2+(-0.0021)*J286)+K$1*((-0.000002)*K286^3+0.00032*K286^2+(-0.0021)*K286)+L$1*((-0.000002)*L286^3+0.00032*L286^2+(-0.0021)*L286)</f>
        <v/>
      </c>
      <c r="AJ286" s="5">
        <f>M$1*((-0.000002)*M286^3+0.00032*M286^2+(-0.0021)*M286)+N$1*((-0.000002)*N286^3+0.00032*N286^2+(-0.0021)*N286)+O$1*((-0.000002)*O286^3+0.00032*O286^2+(-0.0021)*O286)</f>
        <v/>
      </c>
      <c r="AK286" s="5">
        <f>IF(AA286&lt;50,W$1*((-0.000002)*W286^3+0.00032*W286^2+(-0.0021)*W286)+X$1*((-0.000002)*X286^3+0.00032*X286^2+(-0.0021)*X286)+Y$1*((-0.000002)*Y286^3+0.00032*Y286^2+(-0.0021)*Y286)+Z$1*((-0.000002)*Z286^3+0.00032*Z286^2+(-0.0021)*Z286),X$2*((-0.000002)*X286^3+0.00032*X286^2+(-0.0021)*X286)+Y$2*((-0.000002)*Y286^3+0.00032*Y286^2+(-0.0021)*Y286)+Z$2*((-0.000002)*Z286^3+0.00032*Z286^2+(-0.0021)*Z286)+AA$2*((-0.000002)*AA286^3+0.00032*AA286^2+(-0.0021)*AA286))</f>
        <v/>
      </c>
      <c r="AL286" s="5">
        <f>AB$1*((-0.000002)*AB286^3+0.00032*AB286^2+(-0.0021)*AB286)+AC$1*((-0.000002)*AC286^3+0.00032*AC286^2+(-0.0021)*AC286)</f>
        <v/>
      </c>
      <c r="AM286" s="5">
        <f>AD$1*((-0.000002)*AD286^3+0.00032*AD286^2+(-0.0021)*AD286)+AE$1*((-0.000002)*AE286^3+0.00032*AE286^2+(-0.0021)*AE286)+AF$1*((-0.000002)*AF286^3+0.00032*AF286^2+(-0.0021)*AF286)+AG$1*((-0.000002)*AG286^3+0.00032*AG286^2+(-0.0021)*AG286)</f>
        <v/>
      </c>
    </row>
    <row r="287" ht="15" customHeight="1" s="27" thickBot="1">
      <c r="A287">
        <f>(AI287*AI$3+AJ287*AJ$3+AK287*AK$3+AL287*AL$3+AM287*AM$3)*100/(AI$5*AI$3+AJ$5*AJ$3+AK$5*AK$3+AL$5*AL$3+AM$5*AM$3)</f>
        <v/>
      </c>
      <c r="B287" s="16" t="n"/>
      <c r="C287" s="10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6" t="n"/>
      <c r="R287" s="10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5">
        <f>H$1*((-0.000002)*H287^3+0.00032*H287^2+(-0.0021)*H287)+I$1*((-0.000002)*I287^3+0.00032*I287^2+(-0.0021)*I287)+J$1*((-0.000002)*J287^3+0.00032*J287^2+(-0.0021)*J287)+K$1*((-0.000002)*K287^3+0.00032*K287^2+(-0.0021)*K287)+L$1*((-0.000002)*L287^3+0.00032*L287^2+(-0.0021)*L287)</f>
        <v/>
      </c>
      <c r="AJ287" s="5">
        <f>M$1*((-0.000002)*M287^3+0.00032*M287^2+(-0.0021)*M287)+N$1*((-0.000002)*N287^3+0.00032*N287^2+(-0.0021)*N287)+O$1*((-0.000002)*O287^3+0.00032*O287^2+(-0.0021)*O287)</f>
        <v/>
      </c>
      <c r="AK287" s="5">
        <f>IF(AA287&lt;50,W$1*((-0.000002)*W287^3+0.00032*W287^2+(-0.0021)*W287)+X$1*((-0.000002)*X287^3+0.00032*X287^2+(-0.0021)*X287)+Y$1*((-0.000002)*Y287^3+0.00032*Y287^2+(-0.0021)*Y287)+Z$1*((-0.000002)*Z287^3+0.00032*Z287^2+(-0.0021)*Z287),X$2*((-0.000002)*X287^3+0.00032*X287^2+(-0.0021)*X287)+Y$2*((-0.000002)*Y287^3+0.00032*Y287^2+(-0.0021)*Y287)+Z$2*((-0.000002)*Z287^3+0.00032*Z287^2+(-0.0021)*Z287)+AA$2*((-0.000002)*AA287^3+0.00032*AA287^2+(-0.0021)*AA287))</f>
        <v/>
      </c>
      <c r="AL287" s="5">
        <f>AB$1*((-0.000002)*AB287^3+0.00032*AB287^2+(-0.0021)*AB287)+AC$1*((-0.000002)*AC287^3+0.00032*AC287^2+(-0.0021)*AC287)</f>
        <v/>
      </c>
      <c r="AM287" s="5">
        <f>AD$1*((-0.000002)*AD287^3+0.00032*AD287^2+(-0.0021)*AD287)+AE$1*((-0.000002)*AE287^3+0.00032*AE287^2+(-0.0021)*AE287)+AF$1*((-0.000002)*AF287^3+0.00032*AF287^2+(-0.0021)*AF287)+AG$1*((-0.000002)*AG287^3+0.00032*AG287^2+(-0.0021)*AG287)</f>
        <v/>
      </c>
    </row>
    <row r="288" ht="15" customHeight="1" s="27" thickBot="1">
      <c r="A288">
        <f>(AI288*AI$3+AJ288*AJ$3+AK288*AK$3+AL288*AL$3+AM288*AM$3)*100/(AI$5*AI$3+AJ$5*AJ$3+AK$5*AK$3+AL$5*AL$3+AM$5*AM$3)</f>
        <v/>
      </c>
      <c r="B288" s="18" t="n"/>
      <c r="C288" s="11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8" t="n"/>
      <c r="R288" s="11" t="n"/>
      <c r="S288" s="19" t="n"/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  <c r="AI288" s="5">
        <f>H$1*((-0.000002)*H288^3+0.00032*H288^2+(-0.0021)*H288)+I$1*((-0.000002)*I288^3+0.00032*I288^2+(-0.0021)*I288)+J$1*((-0.000002)*J288^3+0.00032*J288^2+(-0.0021)*J288)+K$1*((-0.000002)*K288^3+0.00032*K288^2+(-0.0021)*K288)+L$1*((-0.000002)*L288^3+0.00032*L288^2+(-0.0021)*L288)</f>
        <v/>
      </c>
      <c r="AJ288" s="5">
        <f>M$1*((-0.000002)*M288^3+0.00032*M288^2+(-0.0021)*M288)+N$1*((-0.000002)*N288^3+0.00032*N288^2+(-0.0021)*N288)+O$1*((-0.000002)*O288^3+0.00032*O288^2+(-0.0021)*O288)</f>
        <v/>
      </c>
      <c r="AK288" s="5">
        <f>IF(AA288&lt;50,W$1*((-0.000002)*W288^3+0.00032*W288^2+(-0.0021)*W288)+X$1*((-0.000002)*X288^3+0.00032*X288^2+(-0.0021)*X288)+Y$1*((-0.000002)*Y288^3+0.00032*Y288^2+(-0.0021)*Y288)+Z$1*((-0.000002)*Z288^3+0.00032*Z288^2+(-0.0021)*Z288),X$2*((-0.000002)*X288^3+0.00032*X288^2+(-0.0021)*X288)+Y$2*((-0.000002)*Y288^3+0.00032*Y288^2+(-0.0021)*Y288)+Z$2*((-0.000002)*Z288^3+0.00032*Z288^2+(-0.0021)*Z288)+AA$2*((-0.000002)*AA288^3+0.00032*AA288^2+(-0.0021)*AA288))</f>
        <v/>
      </c>
      <c r="AL288" s="5">
        <f>AB$1*((-0.000002)*AB288^3+0.00032*AB288^2+(-0.0021)*AB288)+AC$1*((-0.000002)*AC288^3+0.00032*AC288^2+(-0.0021)*AC288)</f>
        <v/>
      </c>
      <c r="AM288" s="5">
        <f>AD$1*((-0.000002)*AD288^3+0.00032*AD288^2+(-0.0021)*AD288)+AE$1*((-0.000002)*AE288^3+0.00032*AE288^2+(-0.0021)*AE288)+AF$1*((-0.000002)*AF288^3+0.00032*AF288^2+(-0.0021)*AF288)+AG$1*((-0.000002)*AG288^3+0.00032*AG288^2+(-0.0021)*AG288)</f>
        <v/>
      </c>
    </row>
    <row r="289" ht="15" customHeight="1" s="27" thickBot="1">
      <c r="A289">
        <f>(AI289*AI$3+AJ289*AJ$3+AK289*AK$3+AL289*AL$3+AM289*AM$3)*100/(AI$5*AI$3+AJ$5*AJ$3+AK$5*AK$3+AL$5*AL$3+AM$5*AM$3)</f>
        <v/>
      </c>
      <c r="B289" s="16" t="n"/>
      <c r="C289" s="10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6" t="n"/>
      <c r="R289" s="10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5">
        <f>H$1*((-0.000002)*H289^3+0.00032*H289^2+(-0.0021)*H289)+I$1*((-0.000002)*I289^3+0.00032*I289^2+(-0.0021)*I289)+J$1*((-0.000002)*J289^3+0.00032*J289^2+(-0.0021)*J289)+K$1*((-0.000002)*K289^3+0.00032*K289^2+(-0.0021)*K289)+L$1*((-0.000002)*L289^3+0.00032*L289^2+(-0.0021)*L289)</f>
        <v/>
      </c>
      <c r="AJ289" s="5">
        <f>M$1*((-0.000002)*M289^3+0.00032*M289^2+(-0.0021)*M289)+N$1*((-0.000002)*N289^3+0.00032*N289^2+(-0.0021)*N289)+O$1*((-0.000002)*O289^3+0.00032*O289^2+(-0.0021)*O289)</f>
        <v/>
      </c>
      <c r="AK289" s="5">
        <f>IF(AA289&lt;50,W$1*((-0.000002)*W289^3+0.00032*W289^2+(-0.0021)*W289)+X$1*((-0.000002)*X289^3+0.00032*X289^2+(-0.0021)*X289)+Y$1*((-0.000002)*Y289^3+0.00032*Y289^2+(-0.0021)*Y289)+Z$1*((-0.000002)*Z289^3+0.00032*Z289^2+(-0.0021)*Z289),X$2*((-0.000002)*X289^3+0.00032*X289^2+(-0.0021)*X289)+Y$2*((-0.000002)*Y289^3+0.00032*Y289^2+(-0.0021)*Y289)+Z$2*((-0.000002)*Z289^3+0.00032*Z289^2+(-0.0021)*Z289)+AA$2*((-0.000002)*AA289^3+0.00032*AA289^2+(-0.0021)*AA289))</f>
        <v/>
      </c>
      <c r="AL289" s="5">
        <f>AB$1*((-0.000002)*AB289^3+0.00032*AB289^2+(-0.0021)*AB289)+AC$1*((-0.000002)*AC289^3+0.00032*AC289^2+(-0.0021)*AC289)</f>
        <v/>
      </c>
      <c r="AM289" s="5">
        <f>AD$1*((-0.000002)*AD289^3+0.00032*AD289^2+(-0.0021)*AD289)+AE$1*((-0.000002)*AE289^3+0.00032*AE289^2+(-0.0021)*AE289)+AF$1*((-0.000002)*AF289^3+0.00032*AF289^2+(-0.0021)*AF289)+AG$1*((-0.000002)*AG289^3+0.00032*AG289^2+(-0.0021)*AG289)</f>
        <v/>
      </c>
    </row>
    <row r="290" ht="15" customHeight="1" s="27" thickBot="1">
      <c r="A290">
        <f>(AI290*AI$3+AJ290*AJ$3+AK290*AK$3+AL290*AL$3+AM290*AM$3)*100/(AI$5*AI$3+AJ$5*AJ$3+AK$5*AK$3+AL$5*AL$3+AM$5*AM$3)</f>
        <v/>
      </c>
      <c r="B290" s="18" t="n"/>
      <c r="C290" s="11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8" t="n"/>
      <c r="R290" s="11" t="n"/>
      <c r="S290" s="19" t="n"/>
      <c r="T290" s="19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  <c r="AG290" s="19" t="n"/>
      <c r="AH290" s="19" t="n"/>
      <c r="AI290" s="5">
        <f>H$1*((-0.000002)*H290^3+0.00032*H290^2+(-0.0021)*H290)+I$1*((-0.000002)*I290^3+0.00032*I290^2+(-0.0021)*I290)+J$1*((-0.000002)*J290^3+0.00032*J290^2+(-0.0021)*J290)+K$1*((-0.000002)*K290^3+0.00032*K290^2+(-0.0021)*K290)+L$1*((-0.000002)*L290^3+0.00032*L290^2+(-0.0021)*L290)</f>
        <v/>
      </c>
      <c r="AJ290" s="5">
        <f>M$1*((-0.000002)*M290^3+0.00032*M290^2+(-0.0021)*M290)+N$1*((-0.000002)*N290^3+0.00032*N290^2+(-0.0021)*N290)+O$1*((-0.000002)*O290^3+0.00032*O290^2+(-0.0021)*O290)</f>
        <v/>
      </c>
      <c r="AK290" s="5">
        <f>IF(AA290&lt;50,W$1*((-0.000002)*W290^3+0.00032*W290^2+(-0.0021)*W290)+X$1*((-0.000002)*X290^3+0.00032*X290^2+(-0.0021)*X290)+Y$1*((-0.000002)*Y290^3+0.00032*Y290^2+(-0.0021)*Y290)+Z$1*((-0.000002)*Z290^3+0.00032*Z290^2+(-0.0021)*Z290),X$2*((-0.000002)*X290^3+0.00032*X290^2+(-0.0021)*X290)+Y$2*((-0.000002)*Y290^3+0.00032*Y290^2+(-0.0021)*Y290)+Z$2*((-0.000002)*Z290^3+0.00032*Z290^2+(-0.0021)*Z290)+AA$2*((-0.000002)*AA290^3+0.00032*AA290^2+(-0.0021)*AA290))</f>
        <v/>
      </c>
      <c r="AL290" s="5">
        <f>AB$1*((-0.000002)*AB290^3+0.00032*AB290^2+(-0.0021)*AB290)+AC$1*((-0.000002)*AC290^3+0.00032*AC290^2+(-0.0021)*AC290)</f>
        <v/>
      </c>
      <c r="AM290" s="5">
        <f>AD$1*((-0.000002)*AD290^3+0.00032*AD290^2+(-0.0021)*AD290)+AE$1*((-0.000002)*AE290^3+0.00032*AE290^2+(-0.0021)*AE290)+AF$1*((-0.000002)*AF290^3+0.00032*AF290^2+(-0.0021)*AF290)+AG$1*((-0.000002)*AG290^3+0.00032*AG290^2+(-0.0021)*AG290)</f>
        <v/>
      </c>
    </row>
    <row r="291" ht="15" customHeight="1" s="27" thickBot="1">
      <c r="A291">
        <f>(AI291*AI$3+AJ291*AJ$3+AK291*AK$3+AL291*AL$3+AM291*AM$3)*100/(AI$5*AI$3+AJ$5*AJ$3+AK$5*AK$3+AL$5*AL$3+AM$5*AM$3)</f>
        <v/>
      </c>
      <c r="B291" s="16" t="n"/>
      <c r="C291" s="10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6" t="n"/>
      <c r="R291" s="10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5">
        <f>H$1*((-0.000002)*H291^3+0.00032*H291^2+(-0.0021)*H291)+I$1*((-0.000002)*I291^3+0.00032*I291^2+(-0.0021)*I291)+J$1*((-0.000002)*J291^3+0.00032*J291^2+(-0.0021)*J291)+K$1*((-0.000002)*K291^3+0.00032*K291^2+(-0.0021)*K291)+L$1*((-0.000002)*L291^3+0.00032*L291^2+(-0.0021)*L291)</f>
        <v/>
      </c>
      <c r="AJ291" s="5">
        <f>M$1*((-0.000002)*M291^3+0.00032*M291^2+(-0.0021)*M291)+N$1*((-0.000002)*N291^3+0.00032*N291^2+(-0.0021)*N291)+O$1*((-0.000002)*O291^3+0.00032*O291^2+(-0.0021)*O291)</f>
        <v/>
      </c>
      <c r="AK291" s="5">
        <f>IF(AA291&lt;50,W$1*((-0.000002)*W291^3+0.00032*W291^2+(-0.0021)*W291)+X$1*((-0.000002)*X291^3+0.00032*X291^2+(-0.0021)*X291)+Y$1*((-0.000002)*Y291^3+0.00032*Y291^2+(-0.0021)*Y291)+Z$1*((-0.000002)*Z291^3+0.00032*Z291^2+(-0.0021)*Z291),X$2*((-0.000002)*X291^3+0.00032*X291^2+(-0.0021)*X291)+Y$2*((-0.000002)*Y291^3+0.00032*Y291^2+(-0.0021)*Y291)+Z$2*((-0.000002)*Z291^3+0.00032*Z291^2+(-0.0021)*Z291)+AA$2*((-0.000002)*AA291^3+0.00032*AA291^2+(-0.0021)*AA291))</f>
        <v/>
      </c>
      <c r="AL291" s="5">
        <f>AB$1*((-0.000002)*AB291^3+0.00032*AB291^2+(-0.0021)*AB291)+AC$1*((-0.000002)*AC291^3+0.00032*AC291^2+(-0.0021)*AC291)</f>
        <v/>
      </c>
      <c r="AM291" s="5">
        <f>AD$1*((-0.000002)*AD291^3+0.00032*AD291^2+(-0.0021)*AD291)+AE$1*((-0.000002)*AE291^3+0.00032*AE291^2+(-0.0021)*AE291)+AF$1*((-0.000002)*AF291^3+0.00032*AF291^2+(-0.0021)*AF291)+AG$1*((-0.000002)*AG291^3+0.00032*AG291^2+(-0.0021)*AG291)</f>
        <v/>
      </c>
    </row>
    <row r="292" ht="15" customHeight="1" s="27" thickBot="1">
      <c r="A292">
        <f>(AI292*AI$3+AJ292*AJ$3+AK292*AK$3+AL292*AL$3+AM292*AM$3)*100/(AI$5*AI$3+AJ$5*AJ$3+AK$5*AK$3+AL$5*AL$3+AM$5*AM$3)</f>
        <v/>
      </c>
      <c r="B292" s="18" t="n"/>
      <c r="C292" s="11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8" t="n"/>
      <c r="R292" s="11" t="n"/>
      <c r="S292" s="19" t="n"/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  <c r="AI292" s="5">
        <f>H$1*((-0.000002)*H292^3+0.00032*H292^2+(-0.0021)*H292)+I$1*((-0.000002)*I292^3+0.00032*I292^2+(-0.0021)*I292)+J$1*((-0.000002)*J292^3+0.00032*J292^2+(-0.0021)*J292)+K$1*((-0.000002)*K292^3+0.00032*K292^2+(-0.0021)*K292)+L$1*((-0.000002)*L292^3+0.00032*L292^2+(-0.0021)*L292)</f>
        <v/>
      </c>
      <c r="AJ292" s="5">
        <f>M$1*((-0.000002)*M292^3+0.00032*M292^2+(-0.0021)*M292)+N$1*((-0.000002)*N292^3+0.00032*N292^2+(-0.0021)*N292)+O$1*((-0.000002)*O292^3+0.00032*O292^2+(-0.0021)*O292)</f>
        <v/>
      </c>
      <c r="AK292" s="5">
        <f>IF(AA292&lt;50,W$1*((-0.000002)*W292^3+0.00032*W292^2+(-0.0021)*W292)+X$1*((-0.000002)*X292^3+0.00032*X292^2+(-0.0021)*X292)+Y$1*((-0.000002)*Y292^3+0.00032*Y292^2+(-0.0021)*Y292)+Z$1*((-0.000002)*Z292^3+0.00032*Z292^2+(-0.0021)*Z292),X$2*((-0.000002)*X292^3+0.00032*X292^2+(-0.0021)*X292)+Y$2*((-0.000002)*Y292^3+0.00032*Y292^2+(-0.0021)*Y292)+Z$2*((-0.000002)*Z292^3+0.00032*Z292^2+(-0.0021)*Z292)+AA$2*((-0.000002)*AA292^3+0.00032*AA292^2+(-0.0021)*AA292))</f>
        <v/>
      </c>
      <c r="AL292" s="5">
        <f>AB$1*((-0.000002)*AB292^3+0.00032*AB292^2+(-0.0021)*AB292)+AC$1*((-0.000002)*AC292^3+0.00032*AC292^2+(-0.0021)*AC292)</f>
        <v/>
      </c>
      <c r="AM292" s="5">
        <f>AD$1*((-0.000002)*AD292^3+0.00032*AD292^2+(-0.0021)*AD292)+AE$1*((-0.000002)*AE292^3+0.00032*AE292^2+(-0.0021)*AE292)+AF$1*((-0.000002)*AF292^3+0.00032*AF292^2+(-0.0021)*AF292)+AG$1*((-0.000002)*AG292^3+0.00032*AG292^2+(-0.0021)*AG292)</f>
        <v/>
      </c>
    </row>
    <row r="293" ht="15" customHeight="1" s="27" thickBot="1">
      <c r="A293">
        <f>(AI293*AI$3+AJ293*AJ$3+AK293*AK$3+AL293*AL$3+AM293*AM$3)*100/(AI$5*AI$3+AJ$5*AJ$3+AK$5*AK$3+AL$5*AL$3+AM$5*AM$3)</f>
        <v/>
      </c>
      <c r="B293" s="16" t="n"/>
      <c r="C293" s="10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6" t="n"/>
      <c r="R293" s="10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5">
        <f>H$1*((-0.000002)*H293^3+0.00032*H293^2+(-0.0021)*H293)+I$1*((-0.000002)*I293^3+0.00032*I293^2+(-0.0021)*I293)+J$1*((-0.000002)*J293^3+0.00032*J293^2+(-0.0021)*J293)+K$1*((-0.000002)*K293^3+0.00032*K293^2+(-0.0021)*K293)+L$1*((-0.000002)*L293^3+0.00032*L293^2+(-0.0021)*L293)</f>
        <v/>
      </c>
      <c r="AJ293" s="5">
        <f>M$1*((-0.000002)*M293^3+0.00032*M293^2+(-0.0021)*M293)+N$1*((-0.000002)*N293^3+0.00032*N293^2+(-0.0021)*N293)+O$1*((-0.000002)*O293^3+0.00032*O293^2+(-0.0021)*O293)</f>
        <v/>
      </c>
      <c r="AK293" s="5">
        <f>IF(AA293&lt;50,W$1*((-0.000002)*W293^3+0.00032*W293^2+(-0.0021)*W293)+X$1*((-0.000002)*X293^3+0.00032*X293^2+(-0.0021)*X293)+Y$1*((-0.000002)*Y293^3+0.00032*Y293^2+(-0.0021)*Y293)+Z$1*((-0.000002)*Z293^3+0.00032*Z293^2+(-0.0021)*Z293),X$2*((-0.000002)*X293^3+0.00032*X293^2+(-0.0021)*X293)+Y$2*((-0.000002)*Y293^3+0.00032*Y293^2+(-0.0021)*Y293)+Z$2*((-0.000002)*Z293^3+0.00032*Z293^2+(-0.0021)*Z293)+AA$2*((-0.000002)*AA293^3+0.00032*AA293^2+(-0.0021)*AA293))</f>
        <v/>
      </c>
      <c r="AL293" s="5">
        <f>AB$1*((-0.000002)*AB293^3+0.00032*AB293^2+(-0.0021)*AB293)+AC$1*((-0.000002)*AC293^3+0.00032*AC293^2+(-0.0021)*AC293)</f>
        <v/>
      </c>
      <c r="AM293" s="5">
        <f>AD$1*((-0.000002)*AD293^3+0.00032*AD293^2+(-0.0021)*AD293)+AE$1*((-0.000002)*AE293^3+0.00032*AE293^2+(-0.0021)*AE293)+AF$1*((-0.000002)*AF293^3+0.00032*AF293^2+(-0.0021)*AF293)+AG$1*((-0.000002)*AG293^3+0.00032*AG293^2+(-0.0021)*AG293)</f>
        <v/>
      </c>
    </row>
    <row r="294" ht="15" customHeight="1" s="27" thickBot="1">
      <c r="A294">
        <f>(AI294*AI$3+AJ294*AJ$3+AK294*AK$3+AL294*AL$3+AM294*AM$3)*100/(AI$5*AI$3+AJ$5*AJ$3+AK$5*AK$3+AL$5*AL$3+AM$5*AM$3)</f>
        <v/>
      </c>
      <c r="B294" s="18" t="n"/>
      <c r="C294" s="11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8" t="n"/>
      <c r="R294" s="11" t="n"/>
      <c r="S294" s="19" t="n"/>
      <c r="T294" s="19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  <c r="AI294" s="5">
        <f>H$1*((-0.000002)*H294^3+0.00032*H294^2+(-0.0021)*H294)+I$1*((-0.000002)*I294^3+0.00032*I294^2+(-0.0021)*I294)+J$1*((-0.000002)*J294^3+0.00032*J294^2+(-0.0021)*J294)+K$1*((-0.000002)*K294^3+0.00032*K294^2+(-0.0021)*K294)+L$1*((-0.000002)*L294^3+0.00032*L294^2+(-0.0021)*L294)</f>
        <v/>
      </c>
      <c r="AJ294" s="5">
        <f>M$1*((-0.000002)*M294^3+0.00032*M294^2+(-0.0021)*M294)+N$1*((-0.000002)*N294^3+0.00032*N294^2+(-0.0021)*N294)+O$1*((-0.000002)*O294^3+0.00032*O294^2+(-0.0021)*O294)</f>
        <v/>
      </c>
      <c r="AK294" s="5">
        <f>IF(AA294&lt;50,W$1*((-0.000002)*W294^3+0.00032*W294^2+(-0.0021)*W294)+X$1*((-0.000002)*X294^3+0.00032*X294^2+(-0.0021)*X294)+Y$1*((-0.000002)*Y294^3+0.00032*Y294^2+(-0.0021)*Y294)+Z$1*((-0.000002)*Z294^3+0.00032*Z294^2+(-0.0021)*Z294),X$2*((-0.000002)*X294^3+0.00032*X294^2+(-0.0021)*X294)+Y$2*((-0.000002)*Y294^3+0.00032*Y294^2+(-0.0021)*Y294)+Z$2*((-0.000002)*Z294^3+0.00032*Z294^2+(-0.0021)*Z294)+AA$2*((-0.000002)*AA294^3+0.00032*AA294^2+(-0.0021)*AA294))</f>
        <v/>
      </c>
      <c r="AL294" s="5">
        <f>AB$1*((-0.000002)*AB294^3+0.00032*AB294^2+(-0.0021)*AB294)+AC$1*((-0.000002)*AC294^3+0.00032*AC294^2+(-0.0021)*AC294)</f>
        <v/>
      </c>
      <c r="AM294" s="5">
        <f>AD$1*((-0.000002)*AD294^3+0.00032*AD294^2+(-0.0021)*AD294)+AE$1*((-0.000002)*AE294^3+0.00032*AE294^2+(-0.0021)*AE294)+AF$1*((-0.000002)*AF294^3+0.00032*AF294^2+(-0.0021)*AF294)+AG$1*((-0.000002)*AG294^3+0.00032*AG294^2+(-0.0021)*AG294)</f>
        <v/>
      </c>
    </row>
    <row r="295" ht="15" customHeight="1" s="27" thickBot="1">
      <c r="A295">
        <f>(AI295*AI$3+AJ295*AJ$3+AK295*AK$3+AL295*AL$3+AM295*AM$3)*100/(AI$5*AI$3+AJ$5*AJ$3+AK$5*AK$3+AL$5*AL$3+AM$5*AM$3)</f>
        <v/>
      </c>
      <c r="B295" s="16" t="n"/>
      <c r="C295" s="10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6" t="n"/>
      <c r="R295" s="10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5">
        <f>H$1*((-0.000002)*H295^3+0.00032*H295^2+(-0.0021)*H295)+I$1*((-0.000002)*I295^3+0.00032*I295^2+(-0.0021)*I295)+J$1*((-0.000002)*J295^3+0.00032*J295^2+(-0.0021)*J295)+K$1*((-0.000002)*K295^3+0.00032*K295^2+(-0.0021)*K295)+L$1*((-0.000002)*L295^3+0.00032*L295^2+(-0.0021)*L295)</f>
        <v/>
      </c>
      <c r="AJ295" s="5">
        <f>M$1*((-0.000002)*M295^3+0.00032*M295^2+(-0.0021)*M295)+N$1*((-0.000002)*N295^3+0.00032*N295^2+(-0.0021)*N295)+O$1*((-0.000002)*O295^3+0.00032*O295^2+(-0.0021)*O295)</f>
        <v/>
      </c>
      <c r="AK295" s="5">
        <f>IF(AA295&lt;50,W$1*((-0.000002)*W295^3+0.00032*W295^2+(-0.0021)*W295)+X$1*((-0.000002)*X295^3+0.00032*X295^2+(-0.0021)*X295)+Y$1*((-0.000002)*Y295^3+0.00032*Y295^2+(-0.0021)*Y295)+Z$1*((-0.000002)*Z295^3+0.00032*Z295^2+(-0.0021)*Z295),X$2*((-0.000002)*X295^3+0.00032*X295^2+(-0.0021)*X295)+Y$2*((-0.000002)*Y295^3+0.00032*Y295^2+(-0.0021)*Y295)+Z$2*((-0.000002)*Z295^3+0.00032*Z295^2+(-0.0021)*Z295)+AA$2*((-0.000002)*AA295^3+0.00032*AA295^2+(-0.0021)*AA295))</f>
        <v/>
      </c>
      <c r="AL295" s="5">
        <f>AB$1*((-0.000002)*AB295^3+0.00032*AB295^2+(-0.0021)*AB295)+AC$1*((-0.000002)*AC295^3+0.00032*AC295^2+(-0.0021)*AC295)</f>
        <v/>
      </c>
      <c r="AM295" s="5">
        <f>AD$1*((-0.000002)*AD295^3+0.00032*AD295^2+(-0.0021)*AD295)+AE$1*((-0.000002)*AE295^3+0.00032*AE295^2+(-0.0021)*AE295)+AF$1*((-0.000002)*AF295^3+0.00032*AF295^2+(-0.0021)*AF295)+AG$1*((-0.000002)*AG295^3+0.00032*AG295^2+(-0.0021)*AG295)</f>
        <v/>
      </c>
    </row>
    <row r="296" ht="15" customHeight="1" s="27" thickBot="1">
      <c r="A296">
        <f>(AI296*AI$3+AJ296*AJ$3+AK296*AK$3+AL296*AL$3+AM296*AM$3)*100/(AI$5*AI$3+AJ$5*AJ$3+AK$5*AK$3+AL$5*AL$3+AM$5*AM$3)</f>
        <v/>
      </c>
      <c r="B296" s="18" t="n"/>
      <c r="C296" s="11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8" t="n"/>
      <c r="R296" s="11" t="n"/>
      <c r="S296" s="19" t="n"/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5">
        <f>H$1*((-0.000002)*H296^3+0.00032*H296^2+(-0.0021)*H296)+I$1*((-0.000002)*I296^3+0.00032*I296^2+(-0.0021)*I296)+J$1*((-0.000002)*J296^3+0.00032*J296^2+(-0.0021)*J296)+K$1*((-0.000002)*K296^3+0.00032*K296^2+(-0.0021)*K296)+L$1*((-0.000002)*L296^3+0.00032*L296^2+(-0.0021)*L296)</f>
        <v/>
      </c>
      <c r="AJ296" s="5">
        <f>M$1*((-0.000002)*M296^3+0.00032*M296^2+(-0.0021)*M296)+N$1*((-0.000002)*N296^3+0.00032*N296^2+(-0.0021)*N296)+O$1*((-0.000002)*O296^3+0.00032*O296^2+(-0.0021)*O296)</f>
        <v/>
      </c>
      <c r="AK296" s="5">
        <f>IF(AA296&lt;50,W$1*((-0.000002)*W296^3+0.00032*W296^2+(-0.0021)*W296)+X$1*((-0.000002)*X296^3+0.00032*X296^2+(-0.0021)*X296)+Y$1*((-0.000002)*Y296^3+0.00032*Y296^2+(-0.0021)*Y296)+Z$1*((-0.000002)*Z296^3+0.00032*Z296^2+(-0.0021)*Z296),X$2*((-0.000002)*X296^3+0.00032*X296^2+(-0.0021)*X296)+Y$2*((-0.000002)*Y296^3+0.00032*Y296^2+(-0.0021)*Y296)+Z$2*((-0.000002)*Z296^3+0.00032*Z296^2+(-0.0021)*Z296)+AA$2*((-0.000002)*AA296^3+0.00032*AA296^2+(-0.0021)*AA296))</f>
        <v/>
      </c>
      <c r="AL296" s="5">
        <f>AB$1*((-0.000002)*AB296^3+0.00032*AB296^2+(-0.0021)*AB296)+AC$1*((-0.000002)*AC296^3+0.00032*AC296^2+(-0.0021)*AC296)</f>
        <v/>
      </c>
      <c r="AM296" s="5">
        <f>AD$1*((-0.000002)*AD296^3+0.00032*AD296^2+(-0.0021)*AD296)+AE$1*((-0.000002)*AE296^3+0.00032*AE296^2+(-0.0021)*AE296)+AF$1*((-0.000002)*AF296^3+0.00032*AF296^2+(-0.0021)*AF296)+AG$1*((-0.000002)*AG296^3+0.00032*AG296^2+(-0.0021)*AG296)</f>
        <v/>
      </c>
    </row>
    <row r="297" ht="15" customHeight="1" s="27" thickBot="1">
      <c r="A297">
        <f>(AI297*AI$3+AJ297*AJ$3+AK297*AK$3+AL297*AL$3+AM297*AM$3)*100/(AI$5*AI$3+AJ$5*AJ$3+AK$5*AK$3+AL$5*AL$3+AM$5*AM$3)</f>
        <v/>
      </c>
      <c r="B297" s="16" t="n"/>
      <c r="C297" s="10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6" t="n"/>
      <c r="R297" s="10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5">
        <f>H$1*((-0.000002)*H297^3+0.00032*H297^2+(-0.0021)*H297)+I$1*((-0.000002)*I297^3+0.00032*I297^2+(-0.0021)*I297)+J$1*((-0.000002)*J297^3+0.00032*J297^2+(-0.0021)*J297)+K$1*((-0.000002)*K297^3+0.00032*K297^2+(-0.0021)*K297)+L$1*((-0.000002)*L297^3+0.00032*L297^2+(-0.0021)*L297)</f>
        <v/>
      </c>
      <c r="AJ297" s="5">
        <f>M$1*((-0.000002)*M297^3+0.00032*M297^2+(-0.0021)*M297)+N$1*((-0.000002)*N297^3+0.00032*N297^2+(-0.0021)*N297)+O$1*((-0.000002)*O297^3+0.00032*O297^2+(-0.0021)*O297)</f>
        <v/>
      </c>
      <c r="AK297" s="5">
        <f>IF(AA297&lt;50,W$1*((-0.000002)*W297^3+0.00032*W297^2+(-0.0021)*W297)+X$1*((-0.000002)*X297^3+0.00032*X297^2+(-0.0021)*X297)+Y$1*((-0.000002)*Y297^3+0.00032*Y297^2+(-0.0021)*Y297)+Z$1*((-0.000002)*Z297^3+0.00032*Z297^2+(-0.0021)*Z297),X$2*((-0.000002)*X297^3+0.00032*X297^2+(-0.0021)*X297)+Y$2*((-0.000002)*Y297^3+0.00032*Y297^2+(-0.0021)*Y297)+Z$2*((-0.000002)*Z297^3+0.00032*Z297^2+(-0.0021)*Z297)+AA$2*((-0.000002)*AA297^3+0.00032*AA297^2+(-0.0021)*AA297))</f>
        <v/>
      </c>
      <c r="AL297" s="5">
        <f>AB$1*((-0.000002)*AB297^3+0.00032*AB297^2+(-0.0021)*AB297)+AC$1*((-0.000002)*AC297^3+0.00032*AC297^2+(-0.0021)*AC297)</f>
        <v/>
      </c>
      <c r="AM297" s="5">
        <f>AD$1*((-0.000002)*AD297^3+0.00032*AD297^2+(-0.0021)*AD297)+AE$1*((-0.000002)*AE297^3+0.00032*AE297^2+(-0.0021)*AE297)+AF$1*((-0.000002)*AF297^3+0.00032*AF297^2+(-0.0021)*AF297)+AG$1*((-0.000002)*AG297^3+0.00032*AG297^2+(-0.0021)*AG297)</f>
        <v/>
      </c>
    </row>
    <row r="298" ht="15" customHeight="1" s="27" thickBot="1">
      <c r="A298">
        <f>(AI298*AI$3+AJ298*AJ$3+AK298*AK$3+AL298*AL$3+AM298*AM$3)*100/(AI$5*AI$3+AJ$5*AJ$3+AK$5*AK$3+AL$5*AL$3+AM$5*AM$3)</f>
        <v/>
      </c>
      <c r="B298" s="18" t="n"/>
      <c r="C298" s="11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8" t="n"/>
      <c r="R298" s="11" t="n"/>
      <c r="S298" s="19" t="n"/>
      <c r="T298" s="19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  <c r="AH298" s="19" t="n"/>
      <c r="AI298" s="5">
        <f>H$1*((-0.000002)*H298^3+0.00032*H298^2+(-0.0021)*H298)+I$1*((-0.000002)*I298^3+0.00032*I298^2+(-0.0021)*I298)+J$1*((-0.000002)*J298^3+0.00032*J298^2+(-0.0021)*J298)+K$1*((-0.000002)*K298^3+0.00032*K298^2+(-0.0021)*K298)+L$1*((-0.000002)*L298^3+0.00032*L298^2+(-0.0021)*L298)</f>
        <v/>
      </c>
      <c r="AJ298" s="5">
        <f>M$1*((-0.000002)*M298^3+0.00032*M298^2+(-0.0021)*M298)+N$1*((-0.000002)*N298^3+0.00032*N298^2+(-0.0021)*N298)+O$1*((-0.000002)*O298^3+0.00032*O298^2+(-0.0021)*O298)</f>
        <v/>
      </c>
      <c r="AK298" s="5">
        <f>IF(AA298&lt;50,W$1*((-0.000002)*W298^3+0.00032*W298^2+(-0.0021)*W298)+X$1*((-0.000002)*X298^3+0.00032*X298^2+(-0.0021)*X298)+Y$1*((-0.000002)*Y298^3+0.00032*Y298^2+(-0.0021)*Y298)+Z$1*((-0.000002)*Z298^3+0.00032*Z298^2+(-0.0021)*Z298),X$2*((-0.000002)*X298^3+0.00032*X298^2+(-0.0021)*X298)+Y$2*((-0.000002)*Y298^3+0.00032*Y298^2+(-0.0021)*Y298)+Z$2*((-0.000002)*Z298^3+0.00032*Z298^2+(-0.0021)*Z298)+AA$2*((-0.000002)*AA298^3+0.00032*AA298^2+(-0.0021)*AA298))</f>
        <v/>
      </c>
      <c r="AL298" s="5">
        <f>AB$1*((-0.000002)*AB298^3+0.00032*AB298^2+(-0.0021)*AB298)+AC$1*((-0.000002)*AC298^3+0.00032*AC298^2+(-0.0021)*AC298)</f>
        <v/>
      </c>
      <c r="AM298" s="5">
        <f>AD$1*((-0.000002)*AD298^3+0.00032*AD298^2+(-0.0021)*AD298)+AE$1*((-0.000002)*AE298^3+0.00032*AE298^2+(-0.0021)*AE298)+AF$1*((-0.000002)*AF298^3+0.00032*AF298^2+(-0.0021)*AF298)+AG$1*((-0.000002)*AG298^3+0.00032*AG298^2+(-0.0021)*AG298)</f>
        <v/>
      </c>
    </row>
    <row r="299" ht="15" customHeight="1" s="27" thickBot="1">
      <c r="A299">
        <f>(AI299*AI$3+AJ299*AJ$3+AK299*AK$3+AL299*AL$3+AM299*AM$3)*100/(AI$5*AI$3+AJ$5*AJ$3+AK$5*AK$3+AL$5*AL$3+AM$5*AM$3)</f>
        <v/>
      </c>
      <c r="B299" s="16" t="n"/>
      <c r="C299" s="10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6" t="n"/>
      <c r="R299" s="10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5">
        <f>H$1*((-0.000002)*H299^3+0.00032*H299^2+(-0.0021)*H299)+I$1*((-0.000002)*I299^3+0.00032*I299^2+(-0.0021)*I299)+J$1*((-0.000002)*J299^3+0.00032*J299^2+(-0.0021)*J299)+K$1*((-0.000002)*K299^3+0.00032*K299^2+(-0.0021)*K299)+L$1*((-0.000002)*L299^3+0.00032*L299^2+(-0.0021)*L299)</f>
        <v/>
      </c>
      <c r="AJ299" s="5">
        <f>M$1*((-0.000002)*M299^3+0.00032*M299^2+(-0.0021)*M299)+N$1*((-0.000002)*N299^3+0.00032*N299^2+(-0.0021)*N299)+O$1*((-0.000002)*O299^3+0.00032*O299^2+(-0.0021)*O299)</f>
        <v/>
      </c>
      <c r="AK299" s="5">
        <f>IF(AA299&lt;50,W$1*((-0.000002)*W299^3+0.00032*W299^2+(-0.0021)*W299)+X$1*((-0.000002)*X299^3+0.00032*X299^2+(-0.0021)*X299)+Y$1*((-0.000002)*Y299^3+0.00032*Y299^2+(-0.0021)*Y299)+Z$1*((-0.000002)*Z299^3+0.00032*Z299^2+(-0.0021)*Z299),X$2*((-0.000002)*X299^3+0.00032*X299^2+(-0.0021)*X299)+Y$2*((-0.000002)*Y299^3+0.00032*Y299^2+(-0.0021)*Y299)+Z$2*((-0.000002)*Z299^3+0.00032*Z299^2+(-0.0021)*Z299)+AA$2*((-0.000002)*AA299^3+0.00032*AA299^2+(-0.0021)*AA299))</f>
        <v/>
      </c>
      <c r="AL299" s="5">
        <f>AB$1*((-0.000002)*AB299^3+0.00032*AB299^2+(-0.0021)*AB299)+AC$1*((-0.000002)*AC299^3+0.00032*AC299^2+(-0.0021)*AC299)</f>
        <v/>
      </c>
      <c r="AM299" s="5">
        <f>AD$1*((-0.000002)*AD299^3+0.00032*AD299^2+(-0.0021)*AD299)+AE$1*((-0.000002)*AE299^3+0.00032*AE299^2+(-0.0021)*AE299)+AF$1*((-0.000002)*AF299^3+0.00032*AF299^2+(-0.0021)*AF299)+AG$1*((-0.000002)*AG299^3+0.00032*AG299^2+(-0.0021)*AG299)</f>
        <v/>
      </c>
    </row>
    <row r="300" ht="15" customHeight="1" s="27" thickBot="1">
      <c r="A300">
        <f>(AI300*AI$3+AJ300*AJ$3+AK300*AK$3+AL300*AL$3+AM300*AM$3)*100/(AI$5*AI$3+AJ$5*AJ$3+AK$5*AK$3+AL$5*AL$3+AM$5*AM$3)</f>
        <v/>
      </c>
      <c r="B300" s="18" t="n"/>
      <c r="C300" s="11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8" t="n"/>
      <c r="R300" s="11" t="n"/>
      <c r="S300" s="19" t="n"/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5">
        <f>H$1*((-0.000002)*H300^3+0.00032*H300^2+(-0.0021)*H300)+I$1*((-0.000002)*I300^3+0.00032*I300^2+(-0.0021)*I300)+J$1*((-0.000002)*J300^3+0.00032*J300^2+(-0.0021)*J300)+K$1*((-0.000002)*K300^3+0.00032*K300^2+(-0.0021)*K300)+L$1*((-0.000002)*L300^3+0.00032*L300^2+(-0.0021)*L300)</f>
        <v/>
      </c>
      <c r="AJ300" s="5">
        <f>M$1*((-0.000002)*M300^3+0.00032*M300^2+(-0.0021)*M300)+N$1*((-0.000002)*N300^3+0.00032*N300^2+(-0.0021)*N300)+O$1*((-0.000002)*O300^3+0.00032*O300^2+(-0.0021)*O300)</f>
        <v/>
      </c>
      <c r="AK300" s="5">
        <f>IF(AA300&lt;50,W$1*((-0.000002)*W300^3+0.00032*W300^2+(-0.0021)*W300)+X$1*((-0.000002)*X300^3+0.00032*X300^2+(-0.0021)*X300)+Y$1*((-0.000002)*Y300^3+0.00032*Y300^2+(-0.0021)*Y300)+Z$1*((-0.000002)*Z300^3+0.00032*Z300^2+(-0.0021)*Z300),X$2*((-0.000002)*X300^3+0.00032*X300^2+(-0.0021)*X300)+Y$2*((-0.000002)*Y300^3+0.00032*Y300^2+(-0.0021)*Y300)+Z$2*((-0.000002)*Z300^3+0.00032*Z300^2+(-0.0021)*Z300)+AA$2*((-0.000002)*AA300^3+0.00032*AA300^2+(-0.0021)*AA300))</f>
        <v/>
      </c>
      <c r="AL300" s="5">
        <f>AB$1*((-0.000002)*AB300^3+0.00032*AB300^2+(-0.0021)*AB300)+AC$1*((-0.000002)*AC300^3+0.00032*AC300^2+(-0.0021)*AC300)</f>
        <v/>
      </c>
      <c r="AM300" s="5">
        <f>AD$1*((-0.000002)*AD300^3+0.00032*AD300^2+(-0.0021)*AD300)+AE$1*((-0.000002)*AE300^3+0.00032*AE300^2+(-0.0021)*AE300)+AF$1*((-0.000002)*AF300^3+0.00032*AF300^2+(-0.0021)*AF300)+AG$1*((-0.000002)*AG300^3+0.00032*AG300^2+(-0.0021)*AG300)</f>
        <v/>
      </c>
    </row>
    <row r="301" ht="15" customHeight="1" s="27" thickBot="1">
      <c r="A301">
        <f>(AI301*AI$3+AJ301*AJ$3+AK301*AK$3+AL301*AL$3+AM301*AM$3)*100/(AI$5*AI$3+AJ$5*AJ$3+AK$5*AK$3+AL$5*AL$3+AM$5*AM$3)</f>
        <v/>
      </c>
      <c r="B301" s="16" t="n"/>
      <c r="C301" s="10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6" t="n"/>
      <c r="R301" s="10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5">
        <f>H$1*((-0.000002)*H301^3+0.00032*H301^2+(-0.0021)*H301)+I$1*((-0.000002)*I301^3+0.00032*I301^2+(-0.0021)*I301)+J$1*((-0.000002)*J301^3+0.00032*J301^2+(-0.0021)*J301)+K$1*((-0.000002)*K301^3+0.00032*K301^2+(-0.0021)*K301)+L$1*((-0.000002)*L301^3+0.00032*L301^2+(-0.0021)*L301)</f>
        <v/>
      </c>
      <c r="AJ301" s="5">
        <f>M$1*((-0.000002)*M301^3+0.00032*M301^2+(-0.0021)*M301)+N$1*((-0.000002)*N301^3+0.00032*N301^2+(-0.0021)*N301)+O$1*((-0.000002)*O301^3+0.00032*O301^2+(-0.0021)*O301)</f>
        <v/>
      </c>
      <c r="AK301" s="5">
        <f>IF(AA301&lt;50,W$1*((-0.000002)*W301^3+0.00032*W301^2+(-0.0021)*W301)+X$1*((-0.000002)*X301^3+0.00032*X301^2+(-0.0021)*X301)+Y$1*((-0.000002)*Y301^3+0.00032*Y301^2+(-0.0021)*Y301)+Z$1*((-0.000002)*Z301^3+0.00032*Z301^2+(-0.0021)*Z301),X$2*((-0.000002)*X301^3+0.00032*X301^2+(-0.0021)*X301)+Y$2*((-0.000002)*Y301^3+0.00032*Y301^2+(-0.0021)*Y301)+Z$2*((-0.000002)*Z301^3+0.00032*Z301^2+(-0.0021)*Z301)+AA$2*((-0.000002)*AA301^3+0.00032*AA301^2+(-0.0021)*AA301))</f>
        <v/>
      </c>
      <c r="AL301" s="5">
        <f>AB$1*((-0.000002)*AB301^3+0.00032*AB301^2+(-0.0021)*AB301)+AC$1*((-0.000002)*AC301^3+0.00032*AC301^2+(-0.0021)*AC301)</f>
        <v/>
      </c>
      <c r="AM301" s="5">
        <f>AD$1*((-0.000002)*AD301^3+0.00032*AD301^2+(-0.0021)*AD301)+AE$1*((-0.000002)*AE301^3+0.00032*AE301^2+(-0.0021)*AE301)+AF$1*((-0.000002)*AF301^3+0.00032*AF301^2+(-0.0021)*AF301)+AG$1*((-0.000002)*AG301^3+0.00032*AG301^2+(-0.0021)*AG301)</f>
        <v/>
      </c>
    </row>
    <row r="302" ht="15" customHeight="1" s="27" thickBot="1">
      <c r="A302">
        <f>(AI302*AI$3+AJ302*AJ$3+AK302*AK$3+AL302*AL$3+AM302*AM$3)*100/(AI$5*AI$3+AJ$5*AJ$3+AK$5*AK$3+AL$5*AL$3+AM$5*AM$3)</f>
        <v/>
      </c>
      <c r="B302" s="18" t="n"/>
      <c r="C302" s="11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8" t="n"/>
      <c r="R302" s="11" t="n"/>
      <c r="S302" s="19" t="n"/>
      <c r="T302" s="19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  <c r="AI302" s="5">
        <f>H$1*((-0.000002)*H302^3+0.00032*H302^2+(-0.0021)*H302)+I$1*((-0.000002)*I302^3+0.00032*I302^2+(-0.0021)*I302)+J$1*((-0.000002)*J302^3+0.00032*J302^2+(-0.0021)*J302)+K$1*((-0.000002)*K302^3+0.00032*K302^2+(-0.0021)*K302)+L$1*((-0.000002)*L302^3+0.00032*L302^2+(-0.0021)*L302)</f>
        <v/>
      </c>
      <c r="AJ302" s="5">
        <f>M$1*((-0.000002)*M302^3+0.00032*M302^2+(-0.0021)*M302)+N$1*((-0.000002)*N302^3+0.00032*N302^2+(-0.0021)*N302)+O$1*((-0.000002)*O302^3+0.00032*O302^2+(-0.0021)*O302)</f>
        <v/>
      </c>
      <c r="AK302" s="5">
        <f>IF(AA302&lt;50,W$1*((-0.000002)*W302^3+0.00032*W302^2+(-0.0021)*W302)+X$1*((-0.000002)*X302^3+0.00032*X302^2+(-0.0021)*X302)+Y$1*((-0.000002)*Y302^3+0.00032*Y302^2+(-0.0021)*Y302)+Z$1*((-0.000002)*Z302^3+0.00032*Z302^2+(-0.0021)*Z302),X$2*((-0.000002)*X302^3+0.00032*X302^2+(-0.0021)*X302)+Y$2*((-0.000002)*Y302^3+0.00032*Y302^2+(-0.0021)*Y302)+Z$2*((-0.000002)*Z302^3+0.00032*Z302^2+(-0.0021)*Z302)+AA$2*((-0.000002)*AA302^3+0.00032*AA302^2+(-0.0021)*AA302))</f>
        <v/>
      </c>
      <c r="AL302" s="5">
        <f>AB$1*((-0.000002)*AB302^3+0.00032*AB302^2+(-0.0021)*AB302)+AC$1*((-0.000002)*AC302^3+0.00032*AC302^2+(-0.0021)*AC302)</f>
        <v/>
      </c>
      <c r="AM302" s="5">
        <f>AD$1*((-0.000002)*AD302^3+0.00032*AD302^2+(-0.0021)*AD302)+AE$1*((-0.000002)*AE302^3+0.00032*AE302^2+(-0.0021)*AE302)+AF$1*((-0.000002)*AF302^3+0.00032*AF302^2+(-0.0021)*AF302)+AG$1*((-0.000002)*AG302^3+0.00032*AG302^2+(-0.0021)*AG302)</f>
        <v/>
      </c>
    </row>
    <row r="303" ht="15" customHeight="1" s="27" thickBot="1">
      <c r="A303">
        <f>(AI303*AI$3+AJ303*AJ$3+AK303*AK$3+AL303*AL$3+AM303*AM$3)*100/(AI$5*AI$3+AJ$5*AJ$3+AK$5*AK$3+AL$5*AL$3+AM$5*AM$3)</f>
        <v/>
      </c>
      <c r="B303" s="16" t="n"/>
      <c r="C303" s="10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6" t="n"/>
      <c r="R303" s="10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5">
        <f>H$1*((-0.000002)*H303^3+0.00032*H303^2+(-0.0021)*H303)+I$1*((-0.000002)*I303^3+0.00032*I303^2+(-0.0021)*I303)+J$1*((-0.000002)*J303^3+0.00032*J303^2+(-0.0021)*J303)+K$1*((-0.000002)*K303^3+0.00032*K303^2+(-0.0021)*K303)+L$1*((-0.000002)*L303^3+0.00032*L303^2+(-0.0021)*L303)</f>
        <v/>
      </c>
      <c r="AJ303" s="5">
        <f>M$1*((-0.000002)*M303^3+0.00032*M303^2+(-0.0021)*M303)+N$1*((-0.000002)*N303^3+0.00032*N303^2+(-0.0021)*N303)+O$1*((-0.000002)*O303^3+0.00032*O303^2+(-0.0021)*O303)</f>
        <v/>
      </c>
      <c r="AK303" s="5">
        <f>IF(AA303&lt;50,W$1*((-0.000002)*W303^3+0.00032*W303^2+(-0.0021)*W303)+X$1*((-0.000002)*X303^3+0.00032*X303^2+(-0.0021)*X303)+Y$1*((-0.000002)*Y303^3+0.00032*Y303^2+(-0.0021)*Y303)+Z$1*((-0.000002)*Z303^3+0.00032*Z303^2+(-0.0021)*Z303),X$2*((-0.000002)*X303^3+0.00032*X303^2+(-0.0021)*X303)+Y$2*((-0.000002)*Y303^3+0.00032*Y303^2+(-0.0021)*Y303)+Z$2*((-0.000002)*Z303^3+0.00032*Z303^2+(-0.0021)*Z303)+AA$2*((-0.000002)*AA303^3+0.00032*AA303^2+(-0.0021)*AA303))</f>
        <v/>
      </c>
      <c r="AL303" s="5">
        <f>AB$1*((-0.000002)*AB303^3+0.00032*AB303^2+(-0.0021)*AB303)+AC$1*((-0.000002)*AC303^3+0.00032*AC303^2+(-0.0021)*AC303)</f>
        <v/>
      </c>
      <c r="AM303" s="5">
        <f>AD$1*((-0.000002)*AD303^3+0.00032*AD303^2+(-0.0021)*AD303)+AE$1*((-0.000002)*AE303^3+0.00032*AE303^2+(-0.0021)*AE303)+AF$1*((-0.000002)*AF303^3+0.00032*AF303^2+(-0.0021)*AF303)+AG$1*((-0.000002)*AG303^3+0.00032*AG303^2+(-0.0021)*AG303)</f>
        <v/>
      </c>
    </row>
    <row r="304" ht="15" customHeight="1" s="27" thickBot="1">
      <c r="A304">
        <f>(AI304*AI$3+AJ304*AJ$3+AK304*AK$3+AL304*AL$3+AM304*AM$3)*100/(AI$5*AI$3+AJ$5*AJ$3+AK$5*AK$3+AL$5*AL$3+AM$5*AM$3)</f>
        <v/>
      </c>
      <c r="B304" s="18" t="n"/>
      <c r="C304" s="11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8" t="n"/>
      <c r="R304" s="11" t="n"/>
      <c r="S304" s="19" t="n"/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5">
        <f>H$1*((-0.000002)*H304^3+0.00032*H304^2+(-0.0021)*H304)+I$1*((-0.000002)*I304^3+0.00032*I304^2+(-0.0021)*I304)+J$1*((-0.000002)*J304^3+0.00032*J304^2+(-0.0021)*J304)+K$1*((-0.000002)*K304^3+0.00032*K304^2+(-0.0021)*K304)+L$1*((-0.000002)*L304^3+0.00032*L304^2+(-0.0021)*L304)</f>
        <v/>
      </c>
      <c r="AJ304" s="5">
        <f>M$1*((-0.000002)*M304^3+0.00032*M304^2+(-0.0021)*M304)+N$1*((-0.000002)*N304^3+0.00032*N304^2+(-0.0021)*N304)+O$1*((-0.000002)*O304^3+0.00032*O304^2+(-0.0021)*O304)</f>
        <v/>
      </c>
      <c r="AK304" s="5">
        <f>IF(AA304&lt;50,W$1*((-0.000002)*W304^3+0.00032*W304^2+(-0.0021)*W304)+X$1*((-0.000002)*X304^3+0.00032*X304^2+(-0.0021)*X304)+Y$1*((-0.000002)*Y304^3+0.00032*Y304^2+(-0.0021)*Y304)+Z$1*((-0.000002)*Z304^3+0.00032*Z304^2+(-0.0021)*Z304),X$2*((-0.000002)*X304^3+0.00032*X304^2+(-0.0021)*X304)+Y$2*((-0.000002)*Y304^3+0.00032*Y304^2+(-0.0021)*Y304)+Z$2*((-0.000002)*Z304^3+0.00032*Z304^2+(-0.0021)*Z304)+AA$2*((-0.000002)*AA304^3+0.00032*AA304^2+(-0.0021)*AA304))</f>
        <v/>
      </c>
      <c r="AL304" s="5">
        <f>AB$1*((-0.000002)*AB304^3+0.00032*AB304^2+(-0.0021)*AB304)+AC$1*((-0.000002)*AC304^3+0.00032*AC304^2+(-0.0021)*AC304)</f>
        <v/>
      </c>
      <c r="AM304" s="5">
        <f>AD$1*((-0.000002)*AD304^3+0.00032*AD304^2+(-0.0021)*AD304)+AE$1*((-0.000002)*AE304^3+0.00032*AE304^2+(-0.0021)*AE304)+AF$1*((-0.000002)*AF304^3+0.00032*AF304^2+(-0.0021)*AF304)+AG$1*((-0.000002)*AG304^3+0.00032*AG304^2+(-0.0021)*AG304)</f>
        <v/>
      </c>
    </row>
    <row r="305" ht="15" customHeight="1" s="27" thickBot="1">
      <c r="A305">
        <f>(AI305*AI$3+AJ305*AJ$3+AK305*AK$3+AL305*AL$3+AM305*AM$3)*100/(AI$5*AI$3+AJ$5*AJ$3+AK$5*AK$3+AL$5*AL$3+AM$5*AM$3)</f>
        <v/>
      </c>
      <c r="B305" s="16" t="n"/>
      <c r="C305" s="10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6" t="n"/>
      <c r="R305" s="10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5">
        <f>H$1*((-0.000002)*H305^3+0.00032*H305^2+(-0.0021)*H305)+I$1*((-0.000002)*I305^3+0.00032*I305^2+(-0.0021)*I305)+J$1*((-0.000002)*J305^3+0.00032*J305^2+(-0.0021)*J305)+K$1*((-0.000002)*K305^3+0.00032*K305^2+(-0.0021)*K305)+L$1*((-0.000002)*L305^3+0.00032*L305^2+(-0.0021)*L305)</f>
        <v/>
      </c>
      <c r="AJ305" s="5">
        <f>M$1*((-0.000002)*M305^3+0.00032*M305^2+(-0.0021)*M305)+N$1*((-0.000002)*N305^3+0.00032*N305^2+(-0.0021)*N305)+O$1*((-0.000002)*O305^3+0.00032*O305^2+(-0.0021)*O305)</f>
        <v/>
      </c>
      <c r="AK305" s="5">
        <f>IF(AA305&lt;50,W$1*((-0.000002)*W305^3+0.00032*W305^2+(-0.0021)*W305)+X$1*((-0.000002)*X305^3+0.00032*X305^2+(-0.0021)*X305)+Y$1*((-0.000002)*Y305^3+0.00032*Y305^2+(-0.0021)*Y305)+Z$1*((-0.000002)*Z305^3+0.00032*Z305^2+(-0.0021)*Z305),X$2*((-0.000002)*X305^3+0.00032*X305^2+(-0.0021)*X305)+Y$2*((-0.000002)*Y305^3+0.00032*Y305^2+(-0.0021)*Y305)+Z$2*((-0.000002)*Z305^3+0.00032*Z305^2+(-0.0021)*Z305)+AA$2*((-0.000002)*AA305^3+0.00032*AA305^2+(-0.0021)*AA305))</f>
        <v/>
      </c>
      <c r="AL305" s="5">
        <f>AB$1*((-0.000002)*AB305^3+0.00032*AB305^2+(-0.0021)*AB305)+AC$1*((-0.000002)*AC305^3+0.00032*AC305^2+(-0.0021)*AC305)</f>
        <v/>
      </c>
      <c r="AM305" s="5">
        <f>AD$1*((-0.000002)*AD305^3+0.00032*AD305^2+(-0.0021)*AD305)+AE$1*((-0.000002)*AE305^3+0.00032*AE305^2+(-0.0021)*AE305)+AF$1*((-0.000002)*AF305^3+0.00032*AF305^2+(-0.0021)*AF305)+AG$1*((-0.000002)*AG305^3+0.00032*AG305^2+(-0.0021)*AG305)</f>
        <v/>
      </c>
    </row>
    <row r="306" ht="15" customHeight="1" s="27" thickBot="1">
      <c r="A306">
        <f>(AI306*AI$3+AJ306*AJ$3+AK306*AK$3+AL306*AL$3+AM306*AM$3)*100/(AI$5*AI$3+AJ$5*AJ$3+AK$5*AK$3+AL$5*AL$3+AM$5*AM$3)</f>
        <v/>
      </c>
      <c r="B306" s="18" t="n"/>
      <c r="C306" s="11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8" t="n"/>
      <c r="R306" s="11" t="n"/>
      <c r="S306" s="19" t="n"/>
      <c r="T306" s="19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  <c r="AG306" s="19" t="n"/>
      <c r="AH306" s="19" t="n"/>
      <c r="AI306" s="5">
        <f>H$1*((-0.000002)*H306^3+0.00032*H306^2+(-0.0021)*H306)+I$1*((-0.000002)*I306^3+0.00032*I306^2+(-0.0021)*I306)+J$1*((-0.000002)*J306^3+0.00032*J306^2+(-0.0021)*J306)+K$1*((-0.000002)*K306^3+0.00032*K306^2+(-0.0021)*K306)+L$1*((-0.000002)*L306^3+0.00032*L306^2+(-0.0021)*L306)</f>
        <v/>
      </c>
      <c r="AJ306" s="5">
        <f>M$1*((-0.000002)*M306^3+0.00032*M306^2+(-0.0021)*M306)+N$1*((-0.000002)*N306^3+0.00032*N306^2+(-0.0021)*N306)+O$1*((-0.000002)*O306^3+0.00032*O306^2+(-0.0021)*O306)</f>
        <v/>
      </c>
      <c r="AK306" s="5">
        <f>IF(AA306&lt;50,W$1*((-0.000002)*W306^3+0.00032*W306^2+(-0.0021)*W306)+X$1*((-0.000002)*X306^3+0.00032*X306^2+(-0.0021)*X306)+Y$1*((-0.000002)*Y306^3+0.00032*Y306^2+(-0.0021)*Y306)+Z$1*((-0.000002)*Z306^3+0.00032*Z306^2+(-0.0021)*Z306),X$2*((-0.000002)*X306^3+0.00032*X306^2+(-0.0021)*X306)+Y$2*((-0.000002)*Y306^3+0.00032*Y306^2+(-0.0021)*Y306)+Z$2*((-0.000002)*Z306^3+0.00032*Z306^2+(-0.0021)*Z306)+AA$2*((-0.000002)*AA306^3+0.00032*AA306^2+(-0.0021)*AA306))</f>
        <v/>
      </c>
      <c r="AL306" s="5">
        <f>AB$1*((-0.000002)*AB306^3+0.00032*AB306^2+(-0.0021)*AB306)+AC$1*((-0.000002)*AC306^3+0.00032*AC306^2+(-0.0021)*AC306)</f>
        <v/>
      </c>
      <c r="AM306" s="5">
        <f>AD$1*((-0.000002)*AD306^3+0.00032*AD306^2+(-0.0021)*AD306)+AE$1*((-0.000002)*AE306^3+0.00032*AE306^2+(-0.0021)*AE306)+AF$1*((-0.000002)*AF306^3+0.00032*AF306^2+(-0.0021)*AF306)+AG$1*((-0.000002)*AG306^3+0.00032*AG306^2+(-0.0021)*AG306)</f>
        <v/>
      </c>
    </row>
    <row r="307" ht="15" customHeight="1" s="27" thickBot="1">
      <c r="A307">
        <f>(AI307*AI$3+AJ307*AJ$3+AK307*AK$3+AL307*AL$3+AM307*AM$3)*100/(AI$5*AI$3+AJ$5*AJ$3+AK$5*AK$3+AL$5*AL$3+AM$5*AM$3)</f>
        <v/>
      </c>
      <c r="B307" s="16" t="n"/>
      <c r="C307" s="10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6" t="n"/>
      <c r="R307" s="10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5">
        <f>H$1*((-0.000002)*H307^3+0.00032*H307^2+(-0.0021)*H307)+I$1*((-0.000002)*I307^3+0.00032*I307^2+(-0.0021)*I307)+J$1*((-0.000002)*J307^3+0.00032*J307^2+(-0.0021)*J307)+K$1*((-0.000002)*K307^3+0.00032*K307^2+(-0.0021)*K307)+L$1*((-0.000002)*L307^3+0.00032*L307^2+(-0.0021)*L307)</f>
        <v/>
      </c>
      <c r="AJ307" s="5">
        <f>M$1*((-0.000002)*M307^3+0.00032*M307^2+(-0.0021)*M307)+N$1*((-0.000002)*N307^3+0.00032*N307^2+(-0.0021)*N307)+O$1*((-0.000002)*O307^3+0.00032*O307^2+(-0.0021)*O307)</f>
        <v/>
      </c>
      <c r="AK307" s="5">
        <f>IF(AA307&lt;50,W$1*((-0.000002)*W307^3+0.00032*W307^2+(-0.0021)*W307)+X$1*((-0.000002)*X307^3+0.00032*X307^2+(-0.0021)*X307)+Y$1*((-0.000002)*Y307^3+0.00032*Y307^2+(-0.0021)*Y307)+Z$1*((-0.000002)*Z307^3+0.00032*Z307^2+(-0.0021)*Z307),X$2*((-0.000002)*X307^3+0.00032*X307^2+(-0.0021)*X307)+Y$2*((-0.000002)*Y307^3+0.00032*Y307^2+(-0.0021)*Y307)+Z$2*((-0.000002)*Z307^3+0.00032*Z307^2+(-0.0021)*Z307)+AA$2*((-0.000002)*AA307^3+0.00032*AA307^2+(-0.0021)*AA307))</f>
        <v/>
      </c>
      <c r="AL307" s="5">
        <f>AB$1*((-0.000002)*AB307^3+0.00032*AB307^2+(-0.0021)*AB307)+AC$1*((-0.000002)*AC307^3+0.00032*AC307^2+(-0.0021)*AC307)</f>
        <v/>
      </c>
      <c r="AM307" s="5">
        <f>AD$1*((-0.000002)*AD307^3+0.00032*AD307^2+(-0.0021)*AD307)+AE$1*((-0.000002)*AE307^3+0.00032*AE307^2+(-0.0021)*AE307)+AF$1*((-0.000002)*AF307^3+0.00032*AF307^2+(-0.0021)*AF307)+AG$1*((-0.000002)*AG307^3+0.00032*AG307^2+(-0.0021)*AG307)</f>
        <v/>
      </c>
    </row>
    <row r="308" ht="15" customHeight="1" s="27" thickBot="1">
      <c r="A308">
        <f>(AI308*AI$3+AJ308*AJ$3+AK308*AK$3+AL308*AL$3+AM308*AM$3)*100/(AI$5*AI$3+AJ$5*AJ$3+AK$5*AK$3+AL$5*AL$3+AM$5*AM$3)</f>
        <v/>
      </c>
      <c r="B308" s="18" t="n"/>
      <c r="C308" s="11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8" t="n"/>
      <c r="R308" s="11" t="n"/>
      <c r="S308" s="19" t="n"/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5">
        <f>H$1*((-0.000002)*H308^3+0.00032*H308^2+(-0.0021)*H308)+I$1*((-0.000002)*I308^3+0.00032*I308^2+(-0.0021)*I308)+J$1*((-0.000002)*J308^3+0.00032*J308^2+(-0.0021)*J308)+K$1*((-0.000002)*K308^3+0.00032*K308^2+(-0.0021)*K308)+L$1*((-0.000002)*L308^3+0.00032*L308^2+(-0.0021)*L308)</f>
        <v/>
      </c>
      <c r="AJ308" s="5">
        <f>M$1*((-0.000002)*M308^3+0.00032*M308^2+(-0.0021)*M308)+N$1*((-0.000002)*N308^3+0.00032*N308^2+(-0.0021)*N308)+O$1*((-0.000002)*O308^3+0.00032*O308^2+(-0.0021)*O308)</f>
        <v/>
      </c>
      <c r="AK308" s="5">
        <f>IF(AA308&lt;50,W$1*((-0.000002)*W308^3+0.00032*W308^2+(-0.0021)*W308)+X$1*((-0.000002)*X308^3+0.00032*X308^2+(-0.0021)*X308)+Y$1*((-0.000002)*Y308^3+0.00032*Y308^2+(-0.0021)*Y308)+Z$1*((-0.000002)*Z308^3+0.00032*Z308^2+(-0.0021)*Z308),X$2*((-0.000002)*X308^3+0.00032*X308^2+(-0.0021)*X308)+Y$2*((-0.000002)*Y308^3+0.00032*Y308^2+(-0.0021)*Y308)+Z$2*((-0.000002)*Z308^3+0.00032*Z308^2+(-0.0021)*Z308)+AA$2*((-0.000002)*AA308^3+0.00032*AA308^2+(-0.0021)*AA308))</f>
        <v/>
      </c>
      <c r="AL308" s="5">
        <f>AB$1*((-0.000002)*AB308^3+0.00032*AB308^2+(-0.0021)*AB308)+AC$1*((-0.000002)*AC308^3+0.00032*AC308^2+(-0.0021)*AC308)</f>
        <v/>
      </c>
      <c r="AM308" s="5">
        <f>AD$1*((-0.000002)*AD308^3+0.00032*AD308^2+(-0.0021)*AD308)+AE$1*((-0.000002)*AE308^3+0.00032*AE308^2+(-0.0021)*AE308)+AF$1*((-0.000002)*AF308^3+0.00032*AF308^2+(-0.0021)*AF308)+AG$1*((-0.000002)*AG308^3+0.00032*AG308^2+(-0.0021)*AG308)</f>
        <v/>
      </c>
    </row>
    <row r="309" ht="15" customHeight="1" s="27" thickBot="1">
      <c r="A309">
        <f>(AI309*AI$3+AJ309*AJ$3+AK309*AK$3+AL309*AL$3+AM309*AM$3)*100/(AI$5*AI$3+AJ$5*AJ$3+AK$5*AK$3+AL$5*AL$3+AM$5*AM$3)</f>
        <v/>
      </c>
      <c r="B309" s="16" t="n"/>
      <c r="C309" s="10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6" t="n"/>
      <c r="R309" s="10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5">
        <f>H$1*((-0.000002)*H309^3+0.00032*H309^2+(-0.0021)*H309)+I$1*((-0.000002)*I309^3+0.00032*I309^2+(-0.0021)*I309)+J$1*((-0.000002)*J309^3+0.00032*J309^2+(-0.0021)*J309)+K$1*((-0.000002)*K309^3+0.00032*K309^2+(-0.0021)*K309)+L$1*((-0.000002)*L309^3+0.00032*L309^2+(-0.0021)*L309)</f>
        <v/>
      </c>
      <c r="AJ309" s="5">
        <f>M$1*((-0.000002)*M309^3+0.00032*M309^2+(-0.0021)*M309)+N$1*((-0.000002)*N309^3+0.00032*N309^2+(-0.0021)*N309)+O$1*((-0.000002)*O309^3+0.00032*O309^2+(-0.0021)*O309)</f>
        <v/>
      </c>
      <c r="AK309" s="5">
        <f>IF(AA309&lt;50,W$1*((-0.000002)*W309^3+0.00032*W309^2+(-0.0021)*W309)+X$1*((-0.000002)*X309^3+0.00032*X309^2+(-0.0021)*X309)+Y$1*((-0.000002)*Y309^3+0.00032*Y309^2+(-0.0021)*Y309)+Z$1*((-0.000002)*Z309^3+0.00032*Z309^2+(-0.0021)*Z309),X$2*((-0.000002)*X309^3+0.00032*X309^2+(-0.0021)*X309)+Y$2*((-0.000002)*Y309^3+0.00032*Y309^2+(-0.0021)*Y309)+Z$2*((-0.000002)*Z309^3+0.00032*Z309^2+(-0.0021)*Z309)+AA$2*((-0.000002)*AA309^3+0.00032*AA309^2+(-0.0021)*AA309))</f>
        <v/>
      </c>
      <c r="AL309" s="5">
        <f>AB$1*((-0.000002)*AB309^3+0.00032*AB309^2+(-0.0021)*AB309)+AC$1*((-0.000002)*AC309^3+0.00032*AC309^2+(-0.0021)*AC309)</f>
        <v/>
      </c>
      <c r="AM309" s="5">
        <f>AD$1*((-0.000002)*AD309^3+0.00032*AD309^2+(-0.0021)*AD309)+AE$1*((-0.000002)*AE309^3+0.00032*AE309^2+(-0.0021)*AE309)+AF$1*((-0.000002)*AF309^3+0.00032*AF309^2+(-0.0021)*AF309)+AG$1*((-0.000002)*AG309^3+0.00032*AG309^2+(-0.0021)*AG309)</f>
        <v/>
      </c>
    </row>
    <row r="310" ht="15" customHeight="1" s="27" thickBot="1">
      <c r="A310">
        <f>(AI310*AI$3+AJ310*AJ$3+AK310*AK$3+AL310*AL$3+AM310*AM$3)*100/(AI$5*AI$3+AJ$5*AJ$3+AK$5*AK$3+AL$5*AL$3+AM$5*AM$3)</f>
        <v/>
      </c>
      <c r="B310" s="18" t="n"/>
      <c r="C310" s="11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8" t="n"/>
      <c r="R310" s="11" t="n"/>
      <c r="S310" s="19" t="n"/>
      <c r="T310" s="19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  <c r="AG310" s="19" t="n"/>
      <c r="AH310" s="19" t="n"/>
      <c r="AI310" s="5">
        <f>H$1*((-0.000002)*H310^3+0.00032*H310^2+(-0.0021)*H310)+I$1*((-0.000002)*I310^3+0.00032*I310^2+(-0.0021)*I310)+J$1*((-0.000002)*J310^3+0.00032*J310^2+(-0.0021)*J310)+K$1*((-0.000002)*K310^3+0.00032*K310^2+(-0.0021)*K310)+L$1*((-0.000002)*L310^3+0.00032*L310^2+(-0.0021)*L310)</f>
        <v/>
      </c>
      <c r="AJ310" s="5">
        <f>M$1*((-0.000002)*M310^3+0.00032*M310^2+(-0.0021)*M310)+N$1*((-0.000002)*N310^3+0.00032*N310^2+(-0.0021)*N310)+O$1*((-0.000002)*O310^3+0.00032*O310^2+(-0.0021)*O310)</f>
        <v/>
      </c>
      <c r="AK310" s="5">
        <f>IF(AA310&lt;50,W$1*((-0.000002)*W310^3+0.00032*W310^2+(-0.0021)*W310)+X$1*((-0.000002)*X310^3+0.00032*X310^2+(-0.0021)*X310)+Y$1*((-0.000002)*Y310^3+0.00032*Y310^2+(-0.0021)*Y310)+Z$1*((-0.000002)*Z310^3+0.00032*Z310^2+(-0.0021)*Z310),X$2*((-0.000002)*X310^3+0.00032*X310^2+(-0.0021)*X310)+Y$2*((-0.000002)*Y310^3+0.00032*Y310^2+(-0.0021)*Y310)+Z$2*((-0.000002)*Z310^3+0.00032*Z310^2+(-0.0021)*Z310)+AA$2*((-0.000002)*AA310^3+0.00032*AA310^2+(-0.0021)*AA310))</f>
        <v/>
      </c>
      <c r="AL310" s="5">
        <f>AB$1*((-0.000002)*AB310^3+0.00032*AB310^2+(-0.0021)*AB310)+AC$1*((-0.000002)*AC310^3+0.00032*AC310^2+(-0.0021)*AC310)</f>
        <v/>
      </c>
      <c r="AM310" s="5">
        <f>AD$1*((-0.000002)*AD310^3+0.00032*AD310^2+(-0.0021)*AD310)+AE$1*((-0.000002)*AE310^3+0.00032*AE310^2+(-0.0021)*AE310)+AF$1*((-0.000002)*AF310^3+0.00032*AF310^2+(-0.0021)*AF310)+AG$1*((-0.000002)*AG310^3+0.00032*AG310^2+(-0.0021)*AG310)</f>
        <v/>
      </c>
    </row>
    <row r="311" ht="15" customHeight="1" s="27" thickBot="1">
      <c r="A311">
        <f>(AI311*AI$3+AJ311*AJ$3+AK311*AK$3+AL311*AL$3+AM311*AM$3)*100/(AI$5*AI$3+AJ$5*AJ$3+AK$5*AK$3+AL$5*AL$3+AM$5*AM$3)</f>
        <v/>
      </c>
      <c r="B311" s="16" t="n"/>
      <c r="C311" s="10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6" t="n"/>
      <c r="R311" s="10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5">
        <f>H$1*((-0.000002)*H311^3+0.00032*H311^2+(-0.0021)*H311)+I$1*((-0.000002)*I311^3+0.00032*I311^2+(-0.0021)*I311)+J$1*((-0.000002)*J311^3+0.00032*J311^2+(-0.0021)*J311)+K$1*((-0.000002)*K311^3+0.00032*K311^2+(-0.0021)*K311)+L$1*((-0.000002)*L311^3+0.00032*L311^2+(-0.0021)*L311)</f>
        <v/>
      </c>
      <c r="AJ311" s="5">
        <f>M$1*((-0.000002)*M311^3+0.00032*M311^2+(-0.0021)*M311)+N$1*((-0.000002)*N311^3+0.00032*N311^2+(-0.0021)*N311)+O$1*((-0.000002)*O311^3+0.00032*O311^2+(-0.0021)*O311)</f>
        <v/>
      </c>
      <c r="AK311" s="5">
        <f>IF(AA311&lt;50,W$1*((-0.000002)*W311^3+0.00032*W311^2+(-0.0021)*W311)+X$1*((-0.000002)*X311^3+0.00032*X311^2+(-0.0021)*X311)+Y$1*((-0.000002)*Y311^3+0.00032*Y311^2+(-0.0021)*Y311)+Z$1*((-0.000002)*Z311^3+0.00032*Z311^2+(-0.0021)*Z311),X$2*((-0.000002)*X311^3+0.00032*X311^2+(-0.0021)*X311)+Y$2*((-0.000002)*Y311^3+0.00032*Y311^2+(-0.0021)*Y311)+Z$2*((-0.000002)*Z311^3+0.00032*Z311^2+(-0.0021)*Z311)+AA$2*((-0.000002)*AA311^3+0.00032*AA311^2+(-0.0021)*AA311))</f>
        <v/>
      </c>
      <c r="AL311" s="5">
        <f>AB$1*((-0.000002)*AB311^3+0.00032*AB311^2+(-0.0021)*AB311)+AC$1*((-0.000002)*AC311^3+0.00032*AC311^2+(-0.0021)*AC311)</f>
        <v/>
      </c>
      <c r="AM311" s="5">
        <f>AD$1*((-0.000002)*AD311^3+0.00032*AD311^2+(-0.0021)*AD311)+AE$1*((-0.000002)*AE311^3+0.00032*AE311^2+(-0.0021)*AE311)+AF$1*((-0.000002)*AF311^3+0.00032*AF311^2+(-0.0021)*AF311)+AG$1*((-0.000002)*AG311^3+0.00032*AG311^2+(-0.0021)*AG311)</f>
        <v/>
      </c>
    </row>
    <row r="312" ht="15" customHeight="1" s="27" thickBot="1">
      <c r="A312">
        <f>(AI312*AI$3+AJ312*AJ$3+AK312*AK$3+AL312*AL$3+AM312*AM$3)*100/(AI$5*AI$3+AJ$5*AJ$3+AK$5*AK$3+AL$5*AL$3+AM$5*AM$3)</f>
        <v/>
      </c>
      <c r="B312" s="18" t="n"/>
      <c r="C312" s="11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8" t="n"/>
      <c r="R312" s="11" t="n"/>
      <c r="S312" s="19" t="n"/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  <c r="AI312" s="5">
        <f>H$1*((-0.000002)*H312^3+0.00032*H312^2+(-0.0021)*H312)+I$1*((-0.000002)*I312^3+0.00032*I312^2+(-0.0021)*I312)+J$1*((-0.000002)*J312^3+0.00032*J312^2+(-0.0021)*J312)+K$1*((-0.000002)*K312^3+0.00032*K312^2+(-0.0021)*K312)+L$1*((-0.000002)*L312^3+0.00032*L312^2+(-0.0021)*L312)</f>
        <v/>
      </c>
      <c r="AJ312" s="5">
        <f>M$1*((-0.000002)*M312^3+0.00032*M312^2+(-0.0021)*M312)+N$1*((-0.000002)*N312^3+0.00032*N312^2+(-0.0021)*N312)+O$1*((-0.000002)*O312^3+0.00032*O312^2+(-0.0021)*O312)</f>
        <v/>
      </c>
      <c r="AK312" s="5">
        <f>IF(AA312&lt;50,W$1*((-0.000002)*W312^3+0.00032*W312^2+(-0.0021)*W312)+X$1*((-0.000002)*X312^3+0.00032*X312^2+(-0.0021)*X312)+Y$1*((-0.000002)*Y312^3+0.00032*Y312^2+(-0.0021)*Y312)+Z$1*((-0.000002)*Z312^3+0.00032*Z312^2+(-0.0021)*Z312),X$2*((-0.000002)*X312^3+0.00032*X312^2+(-0.0021)*X312)+Y$2*((-0.000002)*Y312^3+0.00032*Y312^2+(-0.0021)*Y312)+Z$2*((-0.000002)*Z312^3+0.00032*Z312^2+(-0.0021)*Z312)+AA$2*((-0.000002)*AA312^3+0.00032*AA312^2+(-0.0021)*AA312))</f>
        <v/>
      </c>
      <c r="AL312" s="5">
        <f>AB$1*((-0.000002)*AB312^3+0.00032*AB312^2+(-0.0021)*AB312)+AC$1*((-0.000002)*AC312^3+0.00032*AC312^2+(-0.0021)*AC312)</f>
        <v/>
      </c>
      <c r="AM312" s="5">
        <f>AD$1*((-0.000002)*AD312^3+0.00032*AD312^2+(-0.0021)*AD312)+AE$1*((-0.000002)*AE312^3+0.00032*AE312^2+(-0.0021)*AE312)+AF$1*((-0.000002)*AF312^3+0.00032*AF312^2+(-0.0021)*AF312)+AG$1*((-0.000002)*AG312^3+0.00032*AG312^2+(-0.0021)*AG312)</f>
        <v/>
      </c>
    </row>
    <row r="313" ht="15" customHeight="1" s="27" thickBot="1">
      <c r="A313">
        <f>(AI313*AI$3+AJ313*AJ$3+AK313*AK$3+AL313*AL$3+AM313*AM$3)*100/(AI$5*AI$3+AJ$5*AJ$3+AK$5*AK$3+AL$5*AL$3+AM$5*AM$3)</f>
        <v/>
      </c>
      <c r="B313" s="16" t="n"/>
      <c r="C313" s="10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6" t="n"/>
      <c r="R313" s="10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5">
        <f>H$1*((-0.000002)*H313^3+0.00032*H313^2+(-0.0021)*H313)+I$1*((-0.000002)*I313^3+0.00032*I313^2+(-0.0021)*I313)+J$1*((-0.000002)*J313^3+0.00032*J313^2+(-0.0021)*J313)+K$1*((-0.000002)*K313^3+0.00032*K313^2+(-0.0021)*K313)+L$1*((-0.000002)*L313^3+0.00032*L313^2+(-0.0021)*L313)</f>
        <v/>
      </c>
      <c r="AJ313" s="5">
        <f>M$1*((-0.000002)*M313^3+0.00032*M313^2+(-0.0021)*M313)+N$1*((-0.000002)*N313^3+0.00032*N313^2+(-0.0021)*N313)+O$1*((-0.000002)*O313^3+0.00032*O313^2+(-0.0021)*O313)</f>
        <v/>
      </c>
      <c r="AK313" s="5">
        <f>IF(AA313&lt;50,W$1*((-0.000002)*W313^3+0.00032*W313^2+(-0.0021)*W313)+X$1*((-0.000002)*X313^3+0.00032*X313^2+(-0.0021)*X313)+Y$1*((-0.000002)*Y313^3+0.00032*Y313^2+(-0.0021)*Y313)+Z$1*((-0.000002)*Z313^3+0.00032*Z313^2+(-0.0021)*Z313),X$2*((-0.000002)*X313^3+0.00032*X313^2+(-0.0021)*X313)+Y$2*((-0.000002)*Y313^3+0.00032*Y313^2+(-0.0021)*Y313)+Z$2*((-0.000002)*Z313^3+0.00032*Z313^2+(-0.0021)*Z313)+AA$2*((-0.000002)*AA313^3+0.00032*AA313^2+(-0.0021)*AA313))</f>
        <v/>
      </c>
      <c r="AL313" s="5">
        <f>AB$1*((-0.000002)*AB313^3+0.00032*AB313^2+(-0.0021)*AB313)+AC$1*((-0.000002)*AC313^3+0.00032*AC313^2+(-0.0021)*AC313)</f>
        <v/>
      </c>
      <c r="AM313" s="5">
        <f>AD$1*((-0.000002)*AD313^3+0.00032*AD313^2+(-0.0021)*AD313)+AE$1*((-0.000002)*AE313^3+0.00032*AE313^2+(-0.0021)*AE313)+AF$1*((-0.000002)*AF313^3+0.00032*AF313^2+(-0.0021)*AF313)+AG$1*((-0.000002)*AG313^3+0.00032*AG313^2+(-0.0021)*AG313)</f>
        <v/>
      </c>
    </row>
    <row r="314" ht="15" customHeight="1" s="27" thickBot="1">
      <c r="A314">
        <f>(AI314*AI$3+AJ314*AJ$3+AK314*AK$3+AL314*AL$3+AM314*AM$3)*100/(AI$5*AI$3+AJ$5*AJ$3+AK$5*AK$3+AL$5*AL$3+AM$5*AM$3)</f>
        <v/>
      </c>
      <c r="B314" s="18" t="n"/>
      <c r="C314" s="11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8" t="n"/>
      <c r="R314" s="11" t="n"/>
      <c r="S314" s="19" t="n"/>
      <c r="T314" s="19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  <c r="AH314" s="19" t="n"/>
      <c r="AI314" s="5">
        <f>H$1*((-0.000002)*H314^3+0.00032*H314^2+(-0.0021)*H314)+I$1*((-0.000002)*I314^3+0.00032*I314^2+(-0.0021)*I314)+J$1*((-0.000002)*J314^3+0.00032*J314^2+(-0.0021)*J314)+K$1*((-0.000002)*K314^3+0.00032*K314^2+(-0.0021)*K314)+L$1*((-0.000002)*L314^3+0.00032*L314^2+(-0.0021)*L314)</f>
        <v/>
      </c>
      <c r="AJ314" s="5">
        <f>M$1*((-0.000002)*M314^3+0.00032*M314^2+(-0.0021)*M314)+N$1*((-0.000002)*N314^3+0.00032*N314^2+(-0.0021)*N314)+O$1*((-0.000002)*O314^3+0.00032*O314^2+(-0.0021)*O314)</f>
        <v/>
      </c>
      <c r="AK314" s="5">
        <f>IF(AA314&lt;50,W$1*((-0.000002)*W314^3+0.00032*W314^2+(-0.0021)*W314)+X$1*((-0.000002)*X314^3+0.00032*X314^2+(-0.0021)*X314)+Y$1*((-0.000002)*Y314^3+0.00032*Y314^2+(-0.0021)*Y314)+Z$1*((-0.000002)*Z314^3+0.00032*Z314^2+(-0.0021)*Z314),X$2*((-0.000002)*X314^3+0.00032*X314^2+(-0.0021)*X314)+Y$2*((-0.000002)*Y314^3+0.00032*Y314^2+(-0.0021)*Y314)+Z$2*((-0.000002)*Z314^3+0.00032*Z314^2+(-0.0021)*Z314)+AA$2*((-0.000002)*AA314^3+0.00032*AA314^2+(-0.0021)*AA314))</f>
        <v/>
      </c>
      <c r="AL314" s="5">
        <f>AB$1*((-0.000002)*AB314^3+0.00032*AB314^2+(-0.0021)*AB314)+AC$1*((-0.000002)*AC314^3+0.00032*AC314^2+(-0.0021)*AC314)</f>
        <v/>
      </c>
      <c r="AM314" s="5">
        <f>AD$1*((-0.000002)*AD314^3+0.00032*AD314^2+(-0.0021)*AD314)+AE$1*((-0.000002)*AE314^3+0.00032*AE314^2+(-0.0021)*AE314)+AF$1*((-0.000002)*AF314^3+0.00032*AF314^2+(-0.0021)*AF314)+AG$1*((-0.000002)*AG314^3+0.00032*AG314^2+(-0.0021)*AG314)</f>
        <v/>
      </c>
    </row>
    <row r="315" ht="15" customHeight="1" s="27" thickBot="1">
      <c r="A315">
        <f>(AI315*AI$3+AJ315*AJ$3+AK315*AK$3+AL315*AL$3+AM315*AM$3)*100/(AI$5*AI$3+AJ$5*AJ$3+AK$5*AK$3+AL$5*AL$3+AM$5*AM$3)</f>
        <v/>
      </c>
      <c r="B315" s="16" t="n"/>
      <c r="C315" s="10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6" t="n"/>
      <c r="R315" s="10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5">
        <f>H$1*((-0.000002)*H315^3+0.00032*H315^2+(-0.0021)*H315)+I$1*((-0.000002)*I315^3+0.00032*I315^2+(-0.0021)*I315)+J$1*((-0.000002)*J315^3+0.00032*J315^2+(-0.0021)*J315)+K$1*((-0.000002)*K315^3+0.00032*K315^2+(-0.0021)*K315)+L$1*((-0.000002)*L315^3+0.00032*L315^2+(-0.0021)*L315)</f>
        <v/>
      </c>
      <c r="AJ315" s="5">
        <f>M$1*((-0.000002)*M315^3+0.00032*M315^2+(-0.0021)*M315)+N$1*((-0.000002)*N315^3+0.00032*N315^2+(-0.0021)*N315)+O$1*((-0.000002)*O315^3+0.00032*O315^2+(-0.0021)*O315)</f>
        <v/>
      </c>
      <c r="AK315" s="5">
        <f>IF(AA315&lt;50,W$1*((-0.000002)*W315^3+0.00032*W315^2+(-0.0021)*W315)+X$1*((-0.000002)*X315^3+0.00032*X315^2+(-0.0021)*X315)+Y$1*((-0.000002)*Y315^3+0.00032*Y315^2+(-0.0021)*Y315)+Z$1*((-0.000002)*Z315^3+0.00032*Z315^2+(-0.0021)*Z315),X$2*((-0.000002)*X315^3+0.00032*X315^2+(-0.0021)*X315)+Y$2*((-0.000002)*Y315^3+0.00032*Y315^2+(-0.0021)*Y315)+Z$2*((-0.000002)*Z315^3+0.00032*Z315^2+(-0.0021)*Z315)+AA$2*((-0.000002)*AA315^3+0.00032*AA315^2+(-0.0021)*AA315))</f>
        <v/>
      </c>
      <c r="AL315" s="5">
        <f>AB$1*((-0.000002)*AB315^3+0.00032*AB315^2+(-0.0021)*AB315)+AC$1*((-0.000002)*AC315^3+0.00032*AC315^2+(-0.0021)*AC315)</f>
        <v/>
      </c>
      <c r="AM315" s="5">
        <f>AD$1*((-0.000002)*AD315^3+0.00032*AD315^2+(-0.0021)*AD315)+AE$1*((-0.000002)*AE315^3+0.00032*AE315^2+(-0.0021)*AE315)+AF$1*((-0.000002)*AF315^3+0.00032*AF315^2+(-0.0021)*AF315)+AG$1*((-0.000002)*AG315^3+0.00032*AG315^2+(-0.0021)*AG315)</f>
        <v/>
      </c>
    </row>
    <row r="316" ht="15" customHeight="1" s="27" thickBot="1">
      <c r="A316">
        <f>(AI316*AI$3+AJ316*AJ$3+AK316*AK$3+AL316*AL$3+AM316*AM$3)*100/(AI$5*AI$3+AJ$5*AJ$3+AK$5*AK$3+AL$5*AL$3+AM$5*AM$3)</f>
        <v/>
      </c>
      <c r="B316" s="18" t="n"/>
      <c r="C316" s="11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8" t="n"/>
      <c r="R316" s="11" t="n"/>
      <c r="S316" s="19" t="n"/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5">
        <f>H$1*((-0.000002)*H316^3+0.00032*H316^2+(-0.0021)*H316)+I$1*((-0.000002)*I316^3+0.00032*I316^2+(-0.0021)*I316)+J$1*((-0.000002)*J316^3+0.00032*J316^2+(-0.0021)*J316)+K$1*((-0.000002)*K316^3+0.00032*K316^2+(-0.0021)*K316)+L$1*((-0.000002)*L316^3+0.00032*L316^2+(-0.0021)*L316)</f>
        <v/>
      </c>
      <c r="AJ316" s="5">
        <f>M$1*((-0.000002)*M316^3+0.00032*M316^2+(-0.0021)*M316)+N$1*((-0.000002)*N316^3+0.00032*N316^2+(-0.0021)*N316)+O$1*((-0.000002)*O316^3+0.00032*O316^2+(-0.0021)*O316)</f>
        <v/>
      </c>
      <c r="AK316" s="5">
        <f>IF(AA316&lt;50,W$1*((-0.000002)*W316^3+0.00032*W316^2+(-0.0021)*W316)+X$1*((-0.000002)*X316^3+0.00032*X316^2+(-0.0021)*X316)+Y$1*((-0.000002)*Y316^3+0.00032*Y316^2+(-0.0021)*Y316)+Z$1*((-0.000002)*Z316^3+0.00032*Z316^2+(-0.0021)*Z316),X$2*((-0.000002)*X316^3+0.00032*X316^2+(-0.0021)*X316)+Y$2*((-0.000002)*Y316^3+0.00032*Y316^2+(-0.0021)*Y316)+Z$2*((-0.000002)*Z316^3+0.00032*Z316^2+(-0.0021)*Z316)+AA$2*((-0.000002)*AA316^3+0.00032*AA316^2+(-0.0021)*AA316))</f>
        <v/>
      </c>
      <c r="AL316" s="5">
        <f>AB$1*((-0.000002)*AB316^3+0.00032*AB316^2+(-0.0021)*AB316)+AC$1*((-0.000002)*AC316^3+0.00032*AC316^2+(-0.0021)*AC316)</f>
        <v/>
      </c>
      <c r="AM316" s="5">
        <f>AD$1*((-0.000002)*AD316^3+0.00032*AD316^2+(-0.0021)*AD316)+AE$1*((-0.000002)*AE316^3+0.00032*AE316^2+(-0.0021)*AE316)+AF$1*((-0.000002)*AF316^3+0.00032*AF316^2+(-0.0021)*AF316)+AG$1*((-0.000002)*AG316^3+0.00032*AG316^2+(-0.0021)*AG316)</f>
        <v/>
      </c>
    </row>
    <row r="317" ht="15" customHeight="1" s="27" thickBot="1">
      <c r="A317">
        <f>(AI317*AI$3+AJ317*AJ$3+AK317*AK$3+AL317*AL$3+AM317*AM$3)*100/(AI$5*AI$3+AJ$5*AJ$3+AK$5*AK$3+AL$5*AL$3+AM$5*AM$3)</f>
        <v/>
      </c>
      <c r="B317" s="16" t="n"/>
      <c r="C317" s="10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6" t="n"/>
      <c r="R317" s="10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5">
        <f>H$1*((-0.000002)*H317^3+0.00032*H317^2+(-0.0021)*H317)+I$1*((-0.000002)*I317^3+0.00032*I317^2+(-0.0021)*I317)+J$1*((-0.000002)*J317^3+0.00032*J317^2+(-0.0021)*J317)+K$1*((-0.000002)*K317^3+0.00032*K317^2+(-0.0021)*K317)+L$1*((-0.000002)*L317^3+0.00032*L317^2+(-0.0021)*L317)</f>
        <v/>
      </c>
      <c r="AJ317" s="5">
        <f>M$1*((-0.000002)*M317^3+0.00032*M317^2+(-0.0021)*M317)+N$1*((-0.000002)*N317^3+0.00032*N317^2+(-0.0021)*N317)+O$1*((-0.000002)*O317^3+0.00032*O317^2+(-0.0021)*O317)</f>
        <v/>
      </c>
      <c r="AK317" s="5">
        <f>IF(AA317&lt;50,W$1*((-0.000002)*W317^3+0.00032*W317^2+(-0.0021)*W317)+X$1*((-0.000002)*X317^3+0.00032*X317^2+(-0.0021)*X317)+Y$1*((-0.000002)*Y317^3+0.00032*Y317^2+(-0.0021)*Y317)+Z$1*((-0.000002)*Z317^3+0.00032*Z317^2+(-0.0021)*Z317),X$2*((-0.000002)*X317^3+0.00032*X317^2+(-0.0021)*X317)+Y$2*((-0.000002)*Y317^3+0.00032*Y317^2+(-0.0021)*Y317)+Z$2*((-0.000002)*Z317^3+0.00032*Z317^2+(-0.0021)*Z317)+AA$2*((-0.000002)*AA317^3+0.00032*AA317^2+(-0.0021)*AA317))</f>
        <v/>
      </c>
      <c r="AL317" s="5">
        <f>AB$1*((-0.000002)*AB317^3+0.00032*AB317^2+(-0.0021)*AB317)+AC$1*((-0.000002)*AC317^3+0.00032*AC317^2+(-0.0021)*AC317)</f>
        <v/>
      </c>
      <c r="AM317" s="5">
        <f>AD$1*((-0.000002)*AD317^3+0.00032*AD317^2+(-0.0021)*AD317)+AE$1*((-0.000002)*AE317^3+0.00032*AE317^2+(-0.0021)*AE317)+AF$1*((-0.000002)*AF317^3+0.00032*AF317^2+(-0.0021)*AF317)+AG$1*((-0.000002)*AG317^3+0.00032*AG317^2+(-0.0021)*AG317)</f>
        <v/>
      </c>
    </row>
    <row r="318" ht="15" customHeight="1" s="27" thickBot="1">
      <c r="A318">
        <f>(AI318*AI$3+AJ318*AJ$3+AK318*AK$3+AL318*AL$3+AM318*AM$3)*100/(AI$5*AI$3+AJ$5*AJ$3+AK$5*AK$3+AL$5*AL$3+AM$5*AM$3)</f>
        <v/>
      </c>
      <c r="B318" s="18" t="n"/>
      <c r="C318" s="11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8" t="n"/>
      <c r="R318" s="11" t="n"/>
      <c r="S318" s="19" t="n"/>
      <c r="T318" s="19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  <c r="AG318" s="19" t="n"/>
      <c r="AH318" s="19" t="n"/>
      <c r="AI318" s="5">
        <f>H$1*((-0.000002)*H318^3+0.00032*H318^2+(-0.0021)*H318)+I$1*((-0.000002)*I318^3+0.00032*I318^2+(-0.0021)*I318)+J$1*((-0.000002)*J318^3+0.00032*J318^2+(-0.0021)*J318)+K$1*((-0.000002)*K318^3+0.00032*K318^2+(-0.0021)*K318)+L$1*((-0.000002)*L318^3+0.00032*L318^2+(-0.0021)*L318)</f>
        <v/>
      </c>
      <c r="AJ318" s="5">
        <f>M$1*((-0.000002)*M318^3+0.00032*M318^2+(-0.0021)*M318)+N$1*((-0.000002)*N318^3+0.00032*N318^2+(-0.0021)*N318)+O$1*((-0.000002)*O318^3+0.00032*O318^2+(-0.0021)*O318)</f>
        <v/>
      </c>
      <c r="AK318" s="5">
        <f>IF(AA318&lt;50,W$1*((-0.000002)*W318^3+0.00032*W318^2+(-0.0021)*W318)+X$1*((-0.000002)*X318^3+0.00032*X318^2+(-0.0021)*X318)+Y$1*((-0.000002)*Y318^3+0.00032*Y318^2+(-0.0021)*Y318)+Z$1*((-0.000002)*Z318^3+0.00032*Z318^2+(-0.0021)*Z318),X$2*((-0.000002)*X318^3+0.00032*X318^2+(-0.0021)*X318)+Y$2*((-0.000002)*Y318^3+0.00032*Y318^2+(-0.0021)*Y318)+Z$2*((-0.000002)*Z318^3+0.00032*Z318^2+(-0.0021)*Z318)+AA$2*((-0.000002)*AA318^3+0.00032*AA318^2+(-0.0021)*AA318))</f>
        <v/>
      </c>
      <c r="AL318" s="5">
        <f>AB$1*((-0.000002)*AB318^3+0.00032*AB318^2+(-0.0021)*AB318)+AC$1*((-0.000002)*AC318^3+0.00032*AC318^2+(-0.0021)*AC318)</f>
        <v/>
      </c>
      <c r="AM318" s="5">
        <f>AD$1*((-0.000002)*AD318^3+0.00032*AD318^2+(-0.0021)*AD318)+AE$1*((-0.000002)*AE318^3+0.00032*AE318^2+(-0.0021)*AE318)+AF$1*((-0.000002)*AF318^3+0.00032*AF318^2+(-0.0021)*AF318)+AG$1*((-0.000002)*AG318^3+0.00032*AG318^2+(-0.0021)*AG318)</f>
        <v/>
      </c>
    </row>
    <row r="319" ht="15" customHeight="1" s="27" thickBot="1">
      <c r="A319">
        <f>(AI319*AI$3+AJ319*AJ$3+AK319*AK$3+AL319*AL$3+AM319*AM$3)*100/(AI$5*AI$3+AJ$5*AJ$3+AK$5*AK$3+AL$5*AL$3+AM$5*AM$3)</f>
        <v/>
      </c>
      <c r="B319" s="16" t="n"/>
      <c r="C319" s="10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6" t="n"/>
      <c r="R319" s="10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5">
        <f>H$1*((-0.000002)*H319^3+0.00032*H319^2+(-0.0021)*H319)+I$1*((-0.000002)*I319^3+0.00032*I319^2+(-0.0021)*I319)+J$1*((-0.000002)*J319^3+0.00032*J319^2+(-0.0021)*J319)+K$1*((-0.000002)*K319^3+0.00032*K319^2+(-0.0021)*K319)+L$1*((-0.000002)*L319^3+0.00032*L319^2+(-0.0021)*L319)</f>
        <v/>
      </c>
      <c r="AJ319" s="5">
        <f>M$1*((-0.000002)*M319^3+0.00032*M319^2+(-0.0021)*M319)+N$1*((-0.000002)*N319^3+0.00032*N319^2+(-0.0021)*N319)+O$1*((-0.000002)*O319^3+0.00032*O319^2+(-0.0021)*O319)</f>
        <v/>
      </c>
      <c r="AK319" s="5">
        <f>IF(AA319&lt;50,W$1*((-0.000002)*W319^3+0.00032*W319^2+(-0.0021)*W319)+X$1*((-0.000002)*X319^3+0.00032*X319^2+(-0.0021)*X319)+Y$1*((-0.000002)*Y319^3+0.00032*Y319^2+(-0.0021)*Y319)+Z$1*((-0.000002)*Z319^3+0.00032*Z319^2+(-0.0021)*Z319),X$2*((-0.000002)*X319^3+0.00032*X319^2+(-0.0021)*X319)+Y$2*((-0.000002)*Y319^3+0.00032*Y319^2+(-0.0021)*Y319)+Z$2*((-0.000002)*Z319^3+0.00032*Z319^2+(-0.0021)*Z319)+AA$2*((-0.000002)*AA319^3+0.00032*AA319^2+(-0.0021)*AA319))</f>
        <v/>
      </c>
      <c r="AL319" s="5">
        <f>AB$1*((-0.000002)*AB319^3+0.00032*AB319^2+(-0.0021)*AB319)+AC$1*((-0.000002)*AC319^3+0.00032*AC319^2+(-0.0021)*AC319)</f>
        <v/>
      </c>
      <c r="AM319" s="5">
        <f>AD$1*((-0.000002)*AD319^3+0.00032*AD319^2+(-0.0021)*AD319)+AE$1*((-0.000002)*AE319^3+0.00032*AE319^2+(-0.0021)*AE319)+AF$1*((-0.000002)*AF319^3+0.00032*AF319^2+(-0.0021)*AF319)+AG$1*((-0.000002)*AG319^3+0.00032*AG319^2+(-0.0021)*AG319)</f>
        <v/>
      </c>
    </row>
    <row r="320" ht="15" customHeight="1" s="27" thickBot="1">
      <c r="A320">
        <f>(AI320*AI$3+AJ320*AJ$3+AK320*AK$3+AL320*AL$3+AM320*AM$3)*100/(AI$5*AI$3+AJ$5*AJ$3+AK$5*AK$3+AL$5*AL$3+AM$5*AM$3)</f>
        <v/>
      </c>
      <c r="B320" s="18" t="n"/>
      <c r="C320" s="11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8" t="n"/>
      <c r="R320" s="11" t="n"/>
      <c r="S320" s="19" t="n"/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5">
        <f>H$1*((-0.000002)*H320^3+0.00032*H320^2+(-0.0021)*H320)+I$1*((-0.000002)*I320^3+0.00032*I320^2+(-0.0021)*I320)+J$1*((-0.000002)*J320^3+0.00032*J320^2+(-0.0021)*J320)+K$1*((-0.000002)*K320^3+0.00032*K320^2+(-0.0021)*K320)+L$1*((-0.000002)*L320^3+0.00032*L320^2+(-0.0021)*L320)</f>
        <v/>
      </c>
      <c r="AJ320" s="5">
        <f>M$1*((-0.000002)*M320^3+0.00032*M320^2+(-0.0021)*M320)+N$1*((-0.000002)*N320^3+0.00032*N320^2+(-0.0021)*N320)+O$1*((-0.000002)*O320^3+0.00032*O320^2+(-0.0021)*O320)</f>
        <v/>
      </c>
      <c r="AK320" s="5">
        <f>IF(AA320&lt;50,W$1*((-0.000002)*W320^3+0.00032*W320^2+(-0.0021)*W320)+X$1*((-0.000002)*X320^3+0.00032*X320^2+(-0.0021)*X320)+Y$1*((-0.000002)*Y320^3+0.00032*Y320^2+(-0.0021)*Y320)+Z$1*((-0.000002)*Z320^3+0.00032*Z320^2+(-0.0021)*Z320),X$2*((-0.000002)*X320^3+0.00032*X320^2+(-0.0021)*X320)+Y$2*((-0.000002)*Y320^3+0.00032*Y320^2+(-0.0021)*Y320)+Z$2*((-0.000002)*Z320^3+0.00032*Z320^2+(-0.0021)*Z320)+AA$2*((-0.000002)*AA320^3+0.00032*AA320^2+(-0.0021)*AA320))</f>
        <v/>
      </c>
      <c r="AL320" s="5">
        <f>AB$1*((-0.000002)*AB320^3+0.00032*AB320^2+(-0.0021)*AB320)+AC$1*((-0.000002)*AC320^3+0.00032*AC320^2+(-0.0021)*AC320)</f>
        <v/>
      </c>
      <c r="AM320" s="5">
        <f>AD$1*((-0.000002)*AD320^3+0.00032*AD320^2+(-0.0021)*AD320)+AE$1*((-0.000002)*AE320^3+0.00032*AE320^2+(-0.0021)*AE320)+AF$1*((-0.000002)*AF320^3+0.00032*AF320^2+(-0.0021)*AF320)+AG$1*((-0.000002)*AG320^3+0.00032*AG320^2+(-0.0021)*AG320)</f>
        <v/>
      </c>
    </row>
    <row r="321" ht="15" customHeight="1" s="27" thickBot="1">
      <c r="A321">
        <f>(AI321*AI$3+AJ321*AJ$3+AK321*AK$3+AL321*AL$3+AM321*AM$3)*100/(AI$5*AI$3+AJ$5*AJ$3+AK$5*AK$3+AL$5*AL$3+AM$5*AM$3)</f>
        <v/>
      </c>
      <c r="B321" s="16" t="n"/>
      <c r="C321" s="10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6" t="n"/>
      <c r="R321" s="10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5">
        <f>H$1*((-0.000002)*H321^3+0.00032*H321^2+(-0.0021)*H321)+I$1*((-0.000002)*I321^3+0.00032*I321^2+(-0.0021)*I321)+J$1*((-0.000002)*J321^3+0.00032*J321^2+(-0.0021)*J321)+K$1*((-0.000002)*K321^3+0.00032*K321^2+(-0.0021)*K321)+L$1*((-0.000002)*L321^3+0.00032*L321^2+(-0.0021)*L321)</f>
        <v/>
      </c>
      <c r="AJ321" s="5">
        <f>M$1*((-0.000002)*M321^3+0.00032*M321^2+(-0.0021)*M321)+N$1*((-0.000002)*N321^3+0.00032*N321^2+(-0.0021)*N321)+O$1*((-0.000002)*O321^3+0.00032*O321^2+(-0.0021)*O321)</f>
        <v/>
      </c>
      <c r="AK321" s="5">
        <f>IF(AA321&lt;50,W$1*((-0.000002)*W321^3+0.00032*W321^2+(-0.0021)*W321)+X$1*((-0.000002)*X321^3+0.00032*X321^2+(-0.0021)*X321)+Y$1*((-0.000002)*Y321^3+0.00032*Y321^2+(-0.0021)*Y321)+Z$1*((-0.000002)*Z321^3+0.00032*Z321^2+(-0.0021)*Z321),X$2*((-0.000002)*X321^3+0.00032*X321^2+(-0.0021)*X321)+Y$2*((-0.000002)*Y321^3+0.00032*Y321^2+(-0.0021)*Y321)+Z$2*((-0.000002)*Z321^3+0.00032*Z321^2+(-0.0021)*Z321)+AA$2*((-0.000002)*AA321^3+0.00032*AA321^2+(-0.0021)*AA321))</f>
        <v/>
      </c>
      <c r="AL321" s="5">
        <f>AB$1*((-0.000002)*AB321^3+0.00032*AB321^2+(-0.0021)*AB321)+AC$1*((-0.000002)*AC321^3+0.00032*AC321^2+(-0.0021)*AC321)</f>
        <v/>
      </c>
      <c r="AM321" s="5">
        <f>AD$1*((-0.000002)*AD321^3+0.00032*AD321^2+(-0.0021)*AD321)+AE$1*((-0.000002)*AE321^3+0.00032*AE321^2+(-0.0021)*AE321)+AF$1*((-0.000002)*AF321^3+0.00032*AF321^2+(-0.0021)*AF321)+AG$1*((-0.000002)*AG321^3+0.00032*AG321^2+(-0.0021)*AG321)</f>
        <v/>
      </c>
    </row>
    <row r="322" ht="15" customHeight="1" s="27" thickBot="1">
      <c r="A322">
        <f>(AI322*AI$3+AJ322*AJ$3+AK322*AK$3+AL322*AL$3+AM322*AM$3)*100/(AI$5*AI$3+AJ$5*AJ$3+AK$5*AK$3+AL$5*AL$3+AM$5*AM$3)</f>
        <v/>
      </c>
      <c r="B322" s="18" t="n"/>
      <c r="C322" s="11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8" t="n"/>
      <c r="R322" s="11" t="n"/>
      <c r="S322" s="19" t="n"/>
      <c r="T322" s="19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  <c r="AG322" s="19" t="n"/>
      <c r="AH322" s="19" t="n"/>
      <c r="AI322" s="5">
        <f>H$1*((-0.000002)*H322^3+0.00032*H322^2+(-0.0021)*H322)+I$1*((-0.000002)*I322^3+0.00032*I322^2+(-0.0021)*I322)+J$1*((-0.000002)*J322^3+0.00032*J322^2+(-0.0021)*J322)+K$1*((-0.000002)*K322^3+0.00032*K322^2+(-0.0021)*K322)+L$1*((-0.000002)*L322^3+0.00032*L322^2+(-0.0021)*L322)</f>
        <v/>
      </c>
      <c r="AJ322" s="5">
        <f>M$1*((-0.000002)*M322^3+0.00032*M322^2+(-0.0021)*M322)+N$1*((-0.000002)*N322^3+0.00032*N322^2+(-0.0021)*N322)+O$1*((-0.000002)*O322^3+0.00032*O322^2+(-0.0021)*O322)</f>
        <v/>
      </c>
      <c r="AK322" s="5">
        <f>IF(AA322&lt;50,W$1*((-0.000002)*W322^3+0.00032*W322^2+(-0.0021)*W322)+X$1*((-0.000002)*X322^3+0.00032*X322^2+(-0.0021)*X322)+Y$1*((-0.000002)*Y322^3+0.00032*Y322^2+(-0.0021)*Y322)+Z$1*((-0.000002)*Z322^3+0.00032*Z322^2+(-0.0021)*Z322),X$2*((-0.000002)*X322^3+0.00032*X322^2+(-0.0021)*X322)+Y$2*((-0.000002)*Y322^3+0.00032*Y322^2+(-0.0021)*Y322)+Z$2*((-0.000002)*Z322^3+0.00032*Z322^2+(-0.0021)*Z322)+AA$2*((-0.000002)*AA322^3+0.00032*AA322^2+(-0.0021)*AA322))</f>
        <v/>
      </c>
      <c r="AL322" s="5">
        <f>AB$1*((-0.000002)*AB322^3+0.00032*AB322^2+(-0.0021)*AB322)+AC$1*((-0.000002)*AC322^3+0.00032*AC322^2+(-0.0021)*AC322)</f>
        <v/>
      </c>
      <c r="AM322" s="5">
        <f>AD$1*((-0.000002)*AD322^3+0.00032*AD322^2+(-0.0021)*AD322)+AE$1*((-0.000002)*AE322^3+0.00032*AE322^2+(-0.0021)*AE322)+AF$1*((-0.000002)*AF322^3+0.00032*AF322^2+(-0.0021)*AF322)+AG$1*((-0.000002)*AG322^3+0.00032*AG322^2+(-0.0021)*AG322)</f>
        <v/>
      </c>
    </row>
    <row r="323" ht="15" customHeight="1" s="27" thickBot="1">
      <c r="A323">
        <f>(AI323*AI$3+AJ323*AJ$3+AK323*AK$3+AL323*AL$3+AM323*AM$3)*100/(AI$5*AI$3+AJ$5*AJ$3+AK$5*AK$3+AL$5*AL$3+AM$5*AM$3)</f>
        <v/>
      </c>
      <c r="B323" s="16" t="n"/>
      <c r="C323" s="10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6" t="n"/>
      <c r="R323" s="10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5">
        <f>H$1*((-0.000002)*H323^3+0.00032*H323^2+(-0.0021)*H323)+I$1*((-0.000002)*I323^3+0.00032*I323^2+(-0.0021)*I323)+J$1*((-0.000002)*J323^3+0.00032*J323^2+(-0.0021)*J323)+K$1*((-0.000002)*K323^3+0.00032*K323^2+(-0.0021)*K323)+L$1*((-0.000002)*L323^3+0.00032*L323^2+(-0.0021)*L323)</f>
        <v/>
      </c>
      <c r="AJ323" s="5">
        <f>M$1*((-0.000002)*M323^3+0.00032*M323^2+(-0.0021)*M323)+N$1*((-0.000002)*N323^3+0.00032*N323^2+(-0.0021)*N323)+O$1*((-0.000002)*O323^3+0.00032*O323^2+(-0.0021)*O323)</f>
        <v/>
      </c>
      <c r="AK323" s="5">
        <f>IF(AA323&lt;50,W$1*((-0.000002)*W323^3+0.00032*W323^2+(-0.0021)*W323)+X$1*((-0.000002)*X323^3+0.00032*X323^2+(-0.0021)*X323)+Y$1*((-0.000002)*Y323^3+0.00032*Y323^2+(-0.0021)*Y323)+Z$1*((-0.000002)*Z323^3+0.00032*Z323^2+(-0.0021)*Z323),X$2*((-0.000002)*X323^3+0.00032*X323^2+(-0.0021)*X323)+Y$2*((-0.000002)*Y323^3+0.00032*Y323^2+(-0.0021)*Y323)+Z$2*((-0.000002)*Z323^3+0.00032*Z323^2+(-0.0021)*Z323)+AA$2*((-0.000002)*AA323^3+0.00032*AA323^2+(-0.0021)*AA323))</f>
        <v/>
      </c>
      <c r="AL323" s="5">
        <f>AB$1*((-0.000002)*AB323^3+0.00032*AB323^2+(-0.0021)*AB323)+AC$1*((-0.000002)*AC323^3+0.00032*AC323^2+(-0.0021)*AC323)</f>
        <v/>
      </c>
      <c r="AM323" s="5">
        <f>AD$1*((-0.000002)*AD323^3+0.00032*AD323^2+(-0.0021)*AD323)+AE$1*((-0.000002)*AE323^3+0.00032*AE323^2+(-0.0021)*AE323)+AF$1*((-0.000002)*AF323^3+0.00032*AF323^2+(-0.0021)*AF323)+AG$1*((-0.000002)*AG323^3+0.00032*AG323^2+(-0.0021)*AG323)</f>
        <v/>
      </c>
    </row>
    <row r="324" ht="15" customHeight="1" s="27" thickBot="1">
      <c r="A324">
        <f>(AI324*AI$3+AJ324*AJ$3+AK324*AK$3+AL324*AL$3+AM324*AM$3)*100/(AI$5*AI$3+AJ$5*AJ$3+AK$5*AK$3+AL$5*AL$3+AM$5*AM$3)</f>
        <v/>
      </c>
      <c r="B324" s="18" t="n"/>
      <c r="C324" s="11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8" t="n"/>
      <c r="R324" s="11" t="n"/>
      <c r="S324" s="19" t="n"/>
      <c r="T324" s="19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  <c r="AH324" s="19" t="n"/>
      <c r="AI324" s="5">
        <f>H$1*((-0.000002)*H324^3+0.00032*H324^2+(-0.0021)*H324)+I$1*((-0.000002)*I324^3+0.00032*I324^2+(-0.0021)*I324)+J$1*((-0.000002)*J324^3+0.00032*J324^2+(-0.0021)*J324)+K$1*((-0.000002)*K324^3+0.00032*K324^2+(-0.0021)*K324)+L$1*((-0.000002)*L324^3+0.00032*L324^2+(-0.0021)*L324)</f>
        <v/>
      </c>
      <c r="AJ324" s="5">
        <f>M$1*((-0.000002)*M324^3+0.00032*M324^2+(-0.0021)*M324)+N$1*((-0.000002)*N324^3+0.00032*N324^2+(-0.0021)*N324)+O$1*((-0.000002)*O324^3+0.00032*O324^2+(-0.0021)*O324)</f>
        <v/>
      </c>
      <c r="AK324" s="5">
        <f>IF(AA324&lt;50,W$1*((-0.000002)*W324^3+0.00032*W324^2+(-0.0021)*W324)+X$1*((-0.000002)*X324^3+0.00032*X324^2+(-0.0021)*X324)+Y$1*((-0.000002)*Y324^3+0.00032*Y324^2+(-0.0021)*Y324)+Z$1*((-0.000002)*Z324^3+0.00032*Z324^2+(-0.0021)*Z324),X$2*((-0.000002)*X324^3+0.00032*X324^2+(-0.0021)*X324)+Y$2*((-0.000002)*Y324^3+0.00032*Y324^2+(-0.0021)*Y324)+Z$2*((-0.000002)*Z324^3+0.00032*Z324^2+(-0.0021)*Z324)+AA$2*((-0.000002)*AA324^3+0.00032*AA324^2+(-0.0021)*AA324))</f>
        <v/>
      </c>
      <c r="AL324" s="5">
        <f>AB$1*((-0.000002)*AB324^3+0.00032*AB324^2+(-0.0021)*AB324)+AC$1*((-0.000002)*AC324^3+0.00032*AC324^2+(-0.0021)*AC324)</f>
        <v/>
      </c>
      <c r="AM324" s="5">
        <f>AD$1*((-0.000002)*AD324^3+0.00032*AD324^2+(-0.0021)*AD324)+AE$1*((-0.000002)*AE324^3+0.00032*AE324^2+(-0.0021)*AE324)+AF$1*((-0.000002)*AF324^3+0.00032*AF324^2+(-0.0021)*AF324)+AG$1*((-0.000002)*AG324^3+0.00032*AG324^2+(-0.0021)*AG324)</f>
        <v/>
      </c>
    </row>
    <row r="325" ht="15" customHeight="1" s="27" thickBot="1">
      <c r="A325">
        <f>(AI325*AI$3+AJ325*AJ$3+AK325*AK$3+AL325*AL$3+AM325*AM$3)*100/(AI$5*AI$3+AJ$5*AJ$3+AK$5*AK$3+AL$5*AL$3+AM$5*AM$3)</f>
        <v/>
      </c>
      <c r="B325" s="16" t="n"/>
      <c r="C325" s="10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6" t="n"/>
      <c r="R325" s="10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5">
        <f>H$1*((-0.000002)*H325^3+0.00032*H325^2+(-0.0021)*H325)+I$1*((-0.000002)*I325^3+0.00032*I325^2+(-0.0021)*I325)+J$1*((-0.000002)*J325^3+0.00032*J325^2+(-0.0021)*J325)+K$1*((-0.000002)*K325^3+0.00032*K325^2+(-0.0021)*K325)+L$1*((-0.000002)*L325^3+0.00032*L325^2+(-0.0021)*L325)</f>
        <v/>
      </c>
      <c r="AJ325" s="5">
        <f>M$1*((-0.000002)*M325^3+0.00032*M325^2+(-0.0021)*M325)+N$1*((-0.000002)*N325^3+0.00032*N325^2+(-0.0021)*N325)+O$1*((-0.000002)*O325^3+0.00032*O325^2+(-0.0021)*O325)</f>
        <v/>
      </c>
      <c r="AK325" s="5">
        <f>IF(AA325&lt;50,W$1*((-0.000002)*W325^3+0.00032*W325^2+(-0.0021)*W325)+X$1*((-0.000002)*X325^3+0.00032*X325^2+(-0.0021)*X325)+Y$1*((-0.000002)*Y325^3+0.00032*Y325^2+(-0.0021)*Y325)+Z$1*((-0.000002)*Z325^3+0.00032*Z325^2+(-0.0021)*Z325),X$2*((-0.000002)*X325^3+0.00032*X325^2+(-0.0021)*X325)+Y$2*((-0.000002)*Y325^3+0.00032*Y325^2+(-0.0021)*Y325)+Z$2*((-0.000002)*Z325^3+0.00032*Z325^2+(-0.0021)*Z325)+AA$2*((-0.000002)*AA325^3+0.00032*AA325^2+(-0.0021)*AA325))</f>
        <v/>
      </c>
      <c r="AL325" s="5">
        <f>AB$1*((-0.000002)*AB325^3+0.00032*AB325^2+(-0.0021)*AB325)+AC$1*((-0.000002)*AC325^3+0.00032*AC325^2+(-0.0021)*AC325)</f>
        <v/>
      </c>
      <c r="AM325" s="5">
        <f>AD$1*((-0.000002)*AD325^3+0.00032*AD325^2+(-0.0021)*AD325)+AE$1*((-0.000002)*AE325^3+0.00032*AE325^2+(-0.0021)*AE325)+AF$1*((-0.000002)*AF325^3+0.00032*AF325^2+(-0.0021)*AF325)+AG$1*((-0.000002)*AG325^3+0.00032*AG325^2+(-0.0021)*AG325)</f>
        <v/>
      </c>
    </row>
    <row r="326" ht="15" customHeight="1" s="27" thickBot="1">
      <c r="A326">
        <f>(AI326*AI$3+AJ326*AJ$3+AK326*AK$3+AL326*AL$3+AM326*AM$3)*100/(AI$5*AI$3+AJ$5*AJ$3+AK$5*AK$3+AL$5*AL$3+AM$5*AM$3)</f>
        <v/>
      </c>
      <c r="B326" s="18" t="n"/>
      <c r="C326" s="11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8" t="n"/>
      <c r="R326" s="11" t="n"/>
      <c r="S326" s="19" t="n"/>
      <c r="T326" s="19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  <c r="AG326" s="19" t="n"/>
      <c r="AH326" s="19" t="n"/>
      <c r="AI326" s="5">
        <f>H$1*((-0.000002)*H326^3+0.00032*H326^2+(-0.0021)*H326)+I$1*((-0.000002)*I326^3+0.00032*I326^2+(-0.0021)*I326)+J$1*((-0.000002)*J326^3+0.00032*J326^2+(-0.0021)*J326)+K$1*((-0.000002)*K326^3+0.00032*K326^2+(-0.0021)*K326)+L$1*((-0.000002)*L326^3+0.00032*L326^2+(-0.0021)*L326)</f>
        <v/>
      </c>
      <c r="AJ326" s="5">
        <f>M$1*((-0.000002)*M326^3+0.00032*M326^2+(-0.0021)*M326)+N$1*((-0.000002)*N326^3+0.00032*N326^2+(-0.0021)*N326)+O$1*((-0.000002)*O326^3+0.00032*O326^2+(-0.0021)*O326)</f>
        <v/>
      </c>
      <c r="AK326" s="5">
        <f>IF(AA326&lt;50,W$1*((-0.000002)*W326^3+0.00032*W326^2+(-0.0021)*W326)+X$1*((-0.000002)*X326^3+0.00032*X326^2+(-0.0021)*X326)+Y$1*((-0.000002)*Y326^3+0.00032*Y326^2+(-0.0021)*Y326)+Z$1*((-0.000002)*Z326^3+0.00032*Z326^2+(-0.0021)*Z326),X$2*((-0.000002)*X326^3+0.00032*X326^2+(-0.0021)*X326)+Y$2*((-0.000002)*Y326^3+0.00032*Y326^2+(-0.0021)*Y326)+Z$2*((-0.000002)*Z326^3+0.00032*Z326^2+(-0.0021)*Z326)+AA$2*((-0.000002)*AA326^3+0.00032*AA326^2+(-0.0021)*AA326))</f>
        <v/>
      </c>
      <c r="AL326" s="5">
        <f>AB$1*((-0.000002)*AB326^3+0.00032*AB326^2+(-0.0021)*AB326)+AC$1*((-0.000002)*AC326^3+0.00032*AC326^2+(-0.0021)*AC326)</f>
        <v/>
      </c>
      <c r="AM326" s="5">
        <f>AD$1*((-0.000002)*AD326^3+0.00032*AD326^2+(-0.0021)*AD326)+AE$1*((-0.000002)*AE326^3+0.00032*AE326^2+(-0.0021)*AE326)+AF$1*((-0.000002)*AF326^3+0.00032*AF326^2+(-0.0021)*AF326)+AG$1*((-0.000002)*AG326^3+0.00032*AG326^2+(-0.0021)*AG326)</f>
        <v/>
      </c>
    </row>
    <row r="327" ht="15" customHeight="1" s="27" thickBot="1">
      <c r="A327">
        <f>(AI327*AI$3+AJ327*AJ$3+AK327*AK$3+AL327*AL$3+AM327*AM$3)*100/(AI$5*AI$3+AJ$5*AJ$3+AK$5*AK$3+AL$5*AL$3+AM$5*AM$3)</f>
        <v/>
      </c>
      <c r="B327" s="16" t="n"/>
      <c r="C327" s="10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6" t="n"/>
      <c r="R327" s="10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5">
        <f>H$1*((-0.000002)*H327^3+0.00032*H327^2+(-0.0021)*H327)+I$1*((-0.000002)*I327^3+0.00032*I327^2+(-0.0021)*I327)+J$1*((-0.000002)*J327^3+0.00032*J327^2+(-0.0021)*J327)+K$1*((-0.000002)*K327^3+0.00032*K327^2+(-0.0021)*K327)+L$1*((-0.000002)*L327^3+0.00032*L327^2+(-0.0021)*L327)</f>
        <v/>
      </c>
      <c r="AJ327" s="5">
        <f>M$1*((-0.000002)*M327^3+0.00032*M327^2+(-0.0021)*M327)+N$1*((-0.000002)*N327^3+0.00032*N327^2+(-0.0021)*N327)+O$1*((-0.000002)*O327^3+0.00032*O327^2+(-0.0021)*O327)</f>
        <v/>
      </c>
      <c r="AK327" s="5">
        <f>IF(AA327&lt;50,W$1*((-0.000002)*W327^3+0.00032*W327^2+(-0.0021)*W327)+X$1*((-0.000002)*X327^3+0.00032*X327^2+(-0.0021)*X327)+Y$1*((-0.000002)*Y327^3+0.00032*Y327^2+(-0.0021)*Y327)+Z$1*((-0.000002)*Z327^3+0.00032*Z327^2+(-0.0021)*Z327),X$2*((-0.000002)*X327^3+0.00032*X327^2+(-0.0021)*X327)+Y$2*((-0.000002)*Y327^3+0.00032*Y327^2+(-0.0021)*Y327)+Z$2*((-0.000002)*Z327^3+0.00032*Z327^2+(-0.0021)*Z327)+AA$2*((-0.000002)*AA327^3+0.00032*AA327^2+(-0.0021)*AA327))</f>
        <v/>
      </c>
      <c r="AL327" s="5">
        <f>AB$1*((-0.000002)*AB327^3+0.00032*AB327^2+(-0.0021)*AB327)+AC$1*((-0.000002)*AC327^3+0.00032*AC327^2+(-0.0021)*AC327)</f>
        <v/>
      </c>
      <c r="AM327" s="5">
        <f>AD$1*((-0.000002)*AD327^3+0.00032*AD327^2+(-0.0021)*AD327)+AE$1*((-0.000002)*AE327^3+0.00032*AE327^2+(-0.0021)*AE327)+AF$1*((-0.000002)*AF327^3+0.00032*AF327^2+(-0.0021)*AF327)+AG$1*((-0.000002)*AG327^3+0.00032*AG327^2+(-0.0021)*AG327)</f>
        <v/>
      </c>
    </row>
    <row r="328" ht="15" customHeight="1" s="27" thickBot="1">
      <c r="A328">
        <f>(AI328*AI$3+AJ328*AJ$3+AK328*AK$3+AL328*AL$3+AM328*AM$3)*100/(AI$5*AI$3+AJ$5*AJ$3+AK$5*AK$3+AL$5*AL$3+AM$5*AM$3)</f>
        <v/>
      </c>
      <c r="B328" s="18" t="n"/>
      <c r="C328" s="11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8" t="n"/>
      <c r="R328" s="11" t="n"/>
      <c r="S328" s="19" t="n"/>
      <c r="T328" s="19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  <c r="AG328" s="19" t="n"/>
      <c r="AH328" s="19" t="n"/>
      <c r="AI328" s="5">
        <f>H$1*((-0.000002)*H328^3+0.00032*H328^2+(-0.0021)*H328)+I$1*((-0.000002)*I328^3+0.00032*I328^2+(-0.0021)*I328)+J$1*((-0.000002)*J328^3+0.00032*J328^2+(-0.0021)*J328)+K$1*((-0.000002)*K328^3+0.00032*K328^2+(-0.0021)*K328)+L$1*((-0.000002)*L328^3+0.00032*L328^2+(-0.0021)*L328)</f>
        <v/>
      </c>
      <c r="AJ328" s="5">
        <f>M$1*((-0.000002)*M328^3+0.00032*M328^2+(-0.0021)*M328)+N$1*((-0.000002)*N328^3+0.00032*N328^2+(-0.0021)*N328)+O$1*((-0.000002)*O328^3+0.00032*O328^2+(-0.0021)*O328)</f>
        <v/>
      </c>
      <c r="AK328" s="5">
        <f>IF(AA328&lt;50,W$1*((-0.000002)*W328^3+0.00032*W328^2+(-0.0021)*W328)+X$1*((-0.000002)*X328^3+0.00032*X328^2+(-0.0021)*X328)+Y$1*((-0.000002)*Y328^3+0.00032*Y328^2+(-0.0021)*Y328)+Z$1*((-0.000002)*Z328^3+0.00032*Z328^2+(-0.0021)*Z328),X$2*((-0.000002)*X328^3+0.00032*X328^2+(-0.0021)*X328)+Y$2*((-0.000002)*Y328^3+0.00032*Y328^2+(-0.0021)*Y328)+Z$2*((-0.000002)*Z328^3+0.00032*Z328^2+(-0.0021)*Z328)+AA$2*((-0.000002)*AA328^3+0.00032*AA328^2+(-0.0021)*AA328))</f>
        <v/>
      </c>
      <c r="AL328" s="5">
        <f>AB$1*((-0.000002)*AB328^3+0.00032*AB328^2+(-0.0021)*AB328)+AC$1*((-0.000002)*AC328^3+0.00032*AC328^2+(-0.0021)*AC328)</f>
        <v/>
      </c>
      <c r="AM328" s="5">
        <f>AD$1*((-0.000002)*AD328^3+0.00032*AD328^2+(-0.0021)*AD328)+AE$1*((-0.000002)*AE328^3+0.00032*AE328^2+(-0.0021)*AE328)+AF$1*((-0.000002)*AF328^3+0.00032*AF328^2+(-0.0021)*AF328)+AG$1*((-0.000002)*AG328^3+0.00032*AG328^2+(-0.0021)*AG328)</f>
        <v/>
      </c>
    </row>
    <row r="329" ht="15" customHeight="1" s="27" thickBot="1">
      <c r="A329">
        <f>(AI329*AI$3+AJ329*AJ$3+AK329*AK$3+AL329*AL$3+AM329*AM$3)*100/(AI$5*AI$3+AJ$5*AJ$3+AK$5*AK$3+AL$5*AL$3+AM$5*AM$3)</f>
        <v/>
      </c>
      <c r="B329" s="16" t="n"/>
      <c r="C329" s="10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6" t="n"/>
      <c r="R329" s="10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5">
        <f>H$1*((-0.000002)*H329^3+0.00032*H329^2+(-0.0021)*H329)+I$1*((-0.000002)*I329^3+0.00032*I329^2+(-0.0021)*I329)+J$1*((-0.000002)*J329^3+0.00032*J329^2+(-0.0021)*J329)+K$1*((-0.000002)*K329^3+0.00032*K329^2+(-0.0021)*K329)+L$1*((-0.000002)*L329^3+0.00032*L329^2+(-0.0021)*L329)</f>
        <v/>
      </c>
      <c r="AJ329" s="5">
        <f>M$1*((-0.000002)*M329^3+0.00032*M329^2+(-0.0021)*M329)+N$1*((-0.000002)*N329^3+0.00032*N329^2+(-0.0021)*N329)+O$1*((-0.000002)*O329^3+0.00032*O329^2+(-0.0021)*O329)</f>
        <v/>
      </c>
      <c r="AK329" s="5">
        <f>IF(AA329&lt;50,W$1*((-0.000002)*W329^3+0.00032*W329^2+(-0.0021)*W329)+X$1*((-0.000002)*X329^3+0.00032*X329^2+(-0.0021)*X329)+Y$1*((-0.000002)*Y329^3+0.00032*Y329^2+(-0.0021)*Y329)+Z$1*((-0.000002)*Z329^3+0.00032*Z329^2+(-0.0021)*Z329),X$2*((-0.000002)*X329^3+0.00032*X329^2+(-0.0021)*X329)+Y$2*((-0.000002)*Y329^3+0.00032*Y329^2+(-0.0021)*Y329)+Z$2*((-0.000002)*Z329^3+0.00032*Z329^2+(-0.0021)*Z329)+AA$2*((-0.000002)*AA329^3+0.00032*AA329^2+(-0.0021)*AA329))</f>
        <v/>
      </c>
      <c r="AL329" s="5">
        <f>AB$1*((-0.000002)*AB329^3+0.00032*AB329^2+(-0.0021)*AB329)+AC$1*((-0.000002)*AC329^3+0.00032*AC329^2+(-0.0021)*AC329)</f>
        <v/>
      </c>
      <c r="AM329" s="5">
        <f>AD$1*((-0.000002)*AD329^3+0.00032*AD329^2+(-0.0021)*AD329)+AE$1*((-0.000002)*AE329^3+0.00032*AE329^2+(-0.0021)*AE329)+AF$1*((-0.000002)*AF329^3+0.00032*AF329^2+(-0.0021)*AF329)+AG$1*((-0.000002)*AG329^3+0.00032*AG329^2+(-0.0021)*AG329)</f>
        <v/>
      </c>
    </row>
    <row r="330" ht="15" customHeight="1" s="27" thickBot="1">
      <c r="A330">
        <f>(AI330*AI$3+AJ330*AJ$3+AK330*AK$3+AL330*AL$3+AM330*AM$3)*100/(AI$5*AI$3+AJ$5*AJ$3+AK$5*AK$3+AL$5*AL$3+AM$5*AM$3)</f>
        <v/>
      </c>
      <c r="B330" s="18" t="n"/>
      <c r="C330" s="11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8" t="n"/>
      <c r="R330" s="11" t="n"/>
      <c r="S330" s="19" t="n"/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  <c r="AI330" s="5">
        <f>H$1*((-0.000002)*H330^3+0.00032*H330^2+(-0.0021)*H330)+I$1*((-0.000002)*I330^3+0.00032*I330^2+(-0.0021)*I330)+J$1*((-0.000002)*J330^3+0.00032*J330^2+(-0.0021)*J330)+K$1*((-0.000002)*K330^3+0.00032*K330^2+(-0.0021)*K330)+L$1*((-0.000002)*L330^3+0.00032*L330^2+(-0.0021)*L330)</f>
        <v/>
      </c>
      <c r="AJ330" s="5">
        <f>M$1*((-0.000002)*M330^3+0.00032*M330^2+(-0.0021)*M330)+N$1*((-0.000002)*N330^3+0.00032*N330^2+(-0.0021)*N330)+O$1*((-0.000002)*O330^3+0.00032*O330^2+(-0.0021)*O330)</f>
        <v/>
      </c>
      <c r="AK330" s="5">
        <f>IF(AA330&lt;50,W$1*((-0.000002)*W330^3+0.00032*W330^2+(-0.0021)*W330)+X$1*((-0.000002)*X330^3+0.00032*X330^2+(-0.0021)*X330)+Y$1*((-0.000002)*Y330^3+0.00032*Y330^2+(-0.0021)*Y330)+Z$1*((-0.000002)*Z330^3+0.00032*Z330^2+(-0.0021)*Z330),X$2*((-0.000002)*X330^3+0.00032*X330^2+(-0.0021)*X330)+Y$2*((-0.000002)*Y330^3+0.00032*Y330^2+(-0.0021)*Y330)+Z$2*((-0.000002)*Z330^3+0.00032*Z330^2+(-0.0021)*Z330)+AA$2*((-0.000002)*AA330^3+0.00032*AA330^2+(-0.0021)*AA330))</f>
        <v/>
      </c>
      <c r="AL330" s="5">
        <f>AB$1*((-0.000002)*AB330^3+0.00032*AB330^2+(-0.0021)*AB330)+AC$1*((-0.000002)*AC330^3+0.00032*AC330^2+(-0.0021)*AC330)</f>
        <v/>
      </c>
      <c r="AM330" s="5">
        <f>AD$1*((-0.000002)*AD330^3+0.00032*AD330^2+(-0.0021)*AD330)+AE$1*((-0.000002)*AE330^3+0.00032*AE330^2+(-0.0021)*AE330)+AF$1*((-0.000002)*AF330^3+0.00032*AF330^2+(-0.0021)*AF330)+AG$1*((-0.000002)*AG330^3+0.00032*AG330^2+(-0.0021)*AG330)</f>
        <v/>
      </c>
    </row>
    <row r="331" ht="15" customHeight="1" s="27" thickBot="1">
      <c r="A331">
        <f>(AI331*AI$3+AJ331*AJ$3+AK331*AK$3+AL331*AL$3+AM331*AM$3)*100/(AI$5*AI$3+AJ$5*AJ$3+AK$5*AK$3+AL$5*AL$3+AM$5*AM$3)</f>
        <v/>
      </c>
      <c r="B331" s="16" t="n"/>
      <c r="C331" s="10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6" t="n"/>
      <c r="R331" s="10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5">
        <f>H$1*((-0.000002)*H331^3+0.00032*H331^2+(-0.0021)*H331)+I$1*((-0.000002)*I331^3+0.00032*I331^2+(-0.0021)*I331)+J$1*((-0.000002)*J331^3+0.00032*J331^2+(-0.0021)*J331)+K$1*((-0.000002)*K331^3+0.00032*K331^2+(-0.0021)*K331)+L$1*((-0.000002)*L331^3+0.00032*L331^2+(-0.0021)*L331)</f>
        <v/>
      </c>
      <c r="AJ331" s="5">
        <f>M$1*((-0.000002)*M331^3+0.00032*M331^2+(-0.0021)*M331)+N$1*((-0.000002)*N331^3+0.00032*N331^2+(-0.0021)*N331)+O$1*((-0.000002)*O331^3+0.00032*O331^2+(-0.0021)*O331)</f>
        <v/>
      </c>
      <c r="AK331" s="5">
        <f>IF(AA331&lt;50,W$1*((-0.000002)*W331^3+0.00032*W331^2+(-0.0021)*W331)+X$1*((-0.000002)*X331^3+0.00032*X331^2+(-0.0021)*X331)+Y$1*((-0.000002)*Y331^3+0.00032*Y331^2+(-0.0021)*Y331)+Z$1*((-0.000002)*Z331^3+0.00032*Z331^2+(-0.0021)*Z331),X$2*((-0.000002)*X331^3+0.00032*X331^2+(-0.0021)*X331)+Y$2*((-0.000002)*Y331^3+0.00032*Y331^2+(-0.0021)*Y331)+Z$2*((-0.000002)*Z331^3+0.00032*Z331^2+(-0.0021)*Z331)+AA$2*((-0.000002)*AA331^3+0.00032*AA331^2+(-0.0021)*AA331))</f>
        <v/>
      </c>
      <c r="AL331" s="5">
        <f>AB$1*((-0.000002)*AB331^3+0.00032*AB331^2+(-0.0021)*AB331)+AC$1*((-0.000002)*AC331^3+0.00032*AC331^2+(-0.0021)*AC331)</f>
        <v/>
      </c>
      <c r="AM331" s="5">
        <f>AD$1*((-0.000002)*AD331^3+0.00032*AD331^2+(-0.0021)*AD331)+AE$1*((-0.000002)*AE331^3+0.00032*AE331^2+(-0.0021)*AE331)+AF$1*((-0.000002)*AF331^3+0.00032*AF331^2+(-0.0021)*AF331)+AG$1*((-0.000002)*AG331^3+0.00032*AG331^2+(-0.0021)*AG331)</f>
        <v/>
      </c>
    </row>
    <row r="332" ht="15" customHeight="1" s="27" thickBot="1">
      <c r="A332">
        <f>(AI332*AI$3+AJ332*AJ$3+AK332*AK$3+AL332*AL$3+AM332*AM$3)*100/(AI$5*AI$3+AJ$5*AJ$3+AK$5*AK$3+AL$5*AL$3+AM$5*AM$3)</f>
        <v/>
      </c>
      <c r="B332" s="18" t="n"/>
      <c r="C332" s="11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8" t="n"/>
      <c r="R332" s="11" t="n"/>
      <c r="S332" s="19" t="n"/>
      <c r="T332" s="19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  <c r="AH332" s="19" t="n"/>
      <c r="AI332" s="5">
        <f>H$1*((-0.000002)*H332^3+0.00032*H332^2+(-0.0021)*H332)+I$1*((-0.000002)*I332^3+0.00032*I332^2+(-0.0021)*I332)+J$1*((-0.000002)*J332^3+0.00032*J332^2+(-0.0021)*J332)+K$1*((-0.000002)*K332^3+0.00032*K332^2+(-0.0021)*K332)+L$1*((-0.000002)*L332^3+0.00032*L332^2+(-0.0021)*L332)</f>
        <v/>
      </c>
      <c r="AJ332" s="5">
        <f>M$1*((-0.000002)*M332^3+0.00032*M332^2+(-0.0021)*M332)+N$1*((-0.000002)*N332^3+0.00032*N332^2+(-0.0021)*N332)+O$1*((-0.000002)*O332^3+0.00032*O332^2+(-0.0021)*O332)</f>
        <v/>
      </c>
      <c r="AK332" s="5">
        <f>IF(AA332&lt;50,W$1*((-0.000002)*W332^3+0.00032*W332^2+(-0.0021)*W332)+X$1*((-0.000002)*X332^3+0.00032*X332^2+(-0.0021)*X332)+Y$1*((-0.000002)*Y332^3+0.00032*Y332^2+(-0.0021)*Y332)+Z$1*((-0.000002)*Z332^3+0.00032*Z332^2+(-0.0021)*Z332),X$2*((-0.000002)*X332^3+0.00032*X332^2+(-0.0021)*X332)+Y$2*((-0.000002)*Y332^3+0.00032*Y332^2+(-0.0021)*Y332)+Z$2*((-0.000002)*Z332^3+0.00032*Z332^2+(-0.0021)*Z332)+AA$2*((-0.000002)*AA332^3+0.00032*AA332^2+(-0.0021)*AA332))</f>
        <v/>
      </c>
      <c r="AL332" s="5">
        <f>AB$1*((-0.000002)*AB332^3+0.00032*AB332^2+(-0.0021)*AB332)+AC$1*((-0.000002)*AC332^3+0.00032*AC332^2+(-0.0021)*AC332)</f>
        <v/>
      </c>
      <c r="AM332" s="5">
        <f>AD$1*((-0.000002)*AD332^3+0.00032*AD332^2+(-0.0021)*AD332)+AE$1*((-0.000002)*AE332^3+0.00032*AE332^2+(-0.0021)*AE332)+AF$1*((-0.000002)*AF332^3+0.00032*AF332^2+(-0.0021)*AF332)+AG$1*((-0.000002)*AG332^3+0.00032*AG332^2+(-0.0021)*AG332)</f>
        <v/>
      </c>
    </row>
    <row r="333" ht="15" customHeight="1" s="27" thickBot="1">
      <c r="A333">
        <f>(AI333*AI$3+AJ333*AJ$3+AK333*AK$3+AL333*AL$3+AM333*AM$3)*100/(AI$5*AI$3+AJ$5*AJ$3+AK$5*AK$3+AL$5*AL$3+AM$5*AM$3)</f>
        <v/>
      </c>
      <c r="B333" s="16" t="n"/>
      <c r="C333" s="10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6" t="n"/>
      <c r="R333" s="10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5">
        <f>H$1*((-0.000002)*H333^3+0.00032*H333^2+(-0.0021)*H333)+I$1*((-0.000002)*I333^3+0.00032*I333^2+(-0.0021)*I333)+J$1*((-0.000002)*J333^3+0.00032*J333^2+(-0.0021)*J333)+K$1*((-0.000002)*K333^3+0.00032*K333^2+(-0.0021)*K333)+L$1*((-0.000002)*L333^3+0.00032*L333^2+(-0.0021)*L333)</f>
        <v/>
      </c>
      <c r="AJ333" s="5">
        <f>M$1*((-0.000002)*M333^3+0.00032*M333^2+(-0.0021)*M333)+N$1*((-0.000002)*N333^3+0.00032*N333^2+(-0.0021)*N333)+O$1*((-0.000002)*O333^3+0.00032*O333^2+(-0.0021)*O333)</f>
        <v/>
      </c>
      <c r="AK333" s="5">
        <f>IF(AA333&lt;50,W$1*((-0.000002)*W333^3+0.00032*W333^2+(-0.0021)*W333)+X$1*((-0.000002)*X333^3+0.00032*X333^2+(-0.0021)*X333)+Y$1*((-0.000002)*Y333^3+0.00032*Y333^2+(-0.0021)*Y333)+Z$1*((-0.000002)*Z333^3+0.00032*Z333^2+(-0.0021)*Z333),X$2*((-0.000002)*X333^3+0.00032*X333^2+(-0.0021)*X333)+Y$2*((-0.000002)*Y333^3+0.00032*Y333^2+(-0.0021)*Y333)+Z$2*((-0.000002)*Z333^3+0.00032*Z333^2+(-0.0021)*Z333)+AA$2*((-0.000002)*AA333^3+0.00032*AA333^2+(-0.0021)*AA333))</f>
        <v/>
      </c>
      <c r="AL333" s="5">
        <f>AB$1*((-0.000002)*AB333^3+0.00032*AB333^2+(-0.0021)*AB333)+AC$1*((-0.000002)*AC333^3+0.00032*AC333^2+(-0.0021)*AC333)</f>
        <v/>
      </c>
      <c r="AM333" s="5">
        <f>AD$1*((-0.000002)*AD333^3+0.00032*AD333^2+(-0.0021)*AD333)+AE$1*((-0.000002)*AE333^3+0.00032*AE333^2+(-0.0021)*AE333)+AF$1*((-0.000002)*AF333^3+0.00032*AF333^2+(-0.0021)*AF333)+AG$1*((-0.000002)*AG333^3+0.00032*AG333^2+(-0.0021)*AG333)</f>
        <v/>
      </c>
    </row>
    <row r="334" ht="15" customHeight="1" s="27" thickBot="1">
      <c r="A334">
        <f>(AI334*AI$3+AJ334*AJ$3+AK334*AK$3+AL334*AL$3+AM334*AM$3)*100/(AI$5*AI$3+AJ$5*AJ$3+AK$5*AK$3+AL$5*AL$3+AM$5*AM$3)</f>
        <v/>
      </c>
      <c r="B334" s="18" t="n"/>
      <c r="C334" s="11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8" t="n"/>
      <c r="R334" s="11" t="n"/>
      <c r="S334" s="19" t="n"/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5">
        <f>H$1*((-0.000002)*H334^3+0.00032*H334^2+(-0.0021)*H334)+I$1*((-0.000002)*I334^3+0.00032*I334^2+(-0.0021)*I334)+J$1*((-0.000002)*J334^3+0.00032*J334^2+(-0.0021)*J334)+K$1*((-0.000002)*K334^3+0.00032*K334^2+(-0.0021)*K334)+L$1*((-0.000002)*L334^3+0.00032*L334^2+(-0.0021)*L334)</f>
        <v/>
      </c>
      <c r="AJ334" s="5">
        <f>M$1*((-0.000002)*M334^3+0.00032*M334^2+(-0.0021)*M334)+N$1*((-0.000002)*N334^3+0.00032*N334^2+(-0.0021)*N334)+O$1*((-0.000002)*O334^3+0.00032*O334^2+(-0.0021)*O334)</f>
        <v/>
      </c>
      <c r="AK334" s="5">
        <f>IF(AA334&lt;50,W$1*((-0.000002)*W334^3+0.00032*W334^2+(-0.0021)*W334)+X$1*((-0.000002)*X334^3+0.00032*X334^2+(-0.0021)*X334)+Y$1*((-0.000002)*Y334^3+0.00032*Y334^2+(-0.0021)*Y334)+Z$1*((-0.000002)*Z334^3+0.00032*Z334^2+(-0.0021)*Z334),X$2*((-0.000002)*X334^3+0.00032*X334^2+(-0.0021)*X334)+Y$2*((-0.000002)*Y334^3+0.00032*Y334^2+(-0.0021)*Y334)+Z$2*((-0.000002)*Z334^3+0.00032*Z334^2+(-0.0021)*Z334)+AA$2*((-0.000002)*AA334^3+0.00032*AA334^2+(-0.0021)*AA334))</f>
        <v/>
      </c>
      <c r="AL334" s="5">
        <f>AB$1*((-0.000002)*AB334^3+0.00032*AB334^2+(-0.0021)*AB334)+AC$1*((-0.000002)*AC334^3+0.00032*AC334^2+(-0.0021)*AC334)</f>
        <v/>
      </c>
      <c r="AM334" s="5">
        <f>AD$1*((-0.000002)*AD334^3+0.00032*AD334^2+(-0.0021)*AD334)+AE$1*((-0.000002)*AE334^3+0.00032*AE334^2+(-0.0021)*AE334)+AF$1*((-0.000002)*AF334^3+0.00032*AF334^2+(-0.0021)*AF334)+AG$1*((-0.000002)*AG334^3+0.00032*AG334^2+(-0.0021)*AG334)</f>
        <v/>
      </c>
    </row>
    <row r="335" ht="15" customHeight="1" s="27" thickBot="1">
      <c r="A335">
        <f>(AI335*AI$3+AJ335*AJ$3+AK335*AK$3+AL335*AL$3+AM335*AM$3)*100/(AI$5*AI$3+AJ$5*AJ$3+AK$5*AK$3+AL$5*AL$3+AM$5*AM$3)</f>
        <v/>
      </c>
      <c r="B335" s="16" t="n"/>
      <c r="C335" s="10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6" t="n"/>
      <c r="R335" s="10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5">
        <f>H$1*((-0.000002)*H335^3+0.00032*H335^2+(-0.0021)*H335)+I$1*((-0.000002)*I335^3+0.00032*I335^2+(-0.0021)*I335)+J$1*((-0.000002)*J335^3+0.00032*J335^2+(-0.0021)*J335)+K$1*((-0.000002)*K335^3+0.00032*K335^2+(-0.0021)*K335)+L$1*((-0.000002)*L335^3+0.00032*L335^2+(-0.0021)*L335)</f>
        <v/>
      </c>
      <c r="AJ335" s="5">
        <f>M$1*((-0.000002)*M335^3+0.00032*M335^2+(-0.0021)*M335)+N$1*((-0.000002)*N335^3+0.00032*N335^2+(-0.0021)*N335)+O$1*((-0.000002)*O335^3+0.00032*O335^2+(-0.0021)*O335)</f>
        <v/>
      </c>
      <c r="AK335" s="5">
        <f>IF(AA335&lt;50,W$1*((-0.000002)*W335^3+0.00032*W335^2+(-0.0021)*W335)+X$1*((-0.000002)*X335^3+0.00032*X335^2+(-0.0021)*X335)+Y$1*((-0.000002)*Y335^3+0.00032*Y335^2+(-0.0021)*Y335)+Z$1*((-0.000002)*Z335^3+0.00032*Z335^2+(-0.0021)*Z335),X$2*((-0.000002)*X335^3+0.00032*X335^2+(-0.0021)*X335)+Y$2*((-0.000002)*Y335^3+0.00032*Y335^2+(-0.0021)*Y335)+Z$2*((-0.000002)*Z335^3+0.00032*Z335^2+(-0.0021)*Z335)+AA$2*((-0.000002)*AA335^3+0.00032*AA335^2+(-0.0021)*AA335))</f>
        <v/>
      </c>
      <c r="AL335" s="5">
        <f>AB$1*((-0.000002)*AB335^3+0.00032*AB335^2+(-0.0021)*AB335)+AC$1*((-0.000002)*AC335^3+0.00032*AC335^2+(-0.0021)*AC335)</f>
        <v/>
      </c>
      <c r="AM335" s="5">
        <f>AD$1*((-0.000002)*AD335^3+0.00032*AD335^2+(-0.0021)*AD335)+AE$1*((-0.000002)*AE335^3+0.00032*AE335^2+(-0.0021)*AE335)+AF$1*((-0.000002)*AF335^3+0.00032*AF335^2+(-0.0021)*AF335)+AG$1*((-0.000002)*AG335^3+0.00032*AG335^2+(-0.0021)*AG335)</f>
        <v/>
      </c>
    </row>
    <row r="336" ht="15" customHeight="1" s="27" thickBot="1">
      <c r="A336">
        <f>(AI336*AI$3+AJ336*AJ$3+AK336*AK$3+AL336*AL$3+AM336*AM$3)*100/(AI$5*AI$3+AJ$5*AJ$3+AK$5*AK$3+AL$5*AL$3+AM$5*AM$3)</f>
        <v/>
      </c>
      <c r="B336" s="18" t="n"/>
      <c r="C336" s="11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8" t="n"/>
      <c r="R336" s="11" t="n"/>
      <c r="S336" s="19" t="n"/>
      <c r="T336" s="19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  <c r="AG336" s="19" t="n"/>
      <c r="AH336" s="19" t="n"/>
      <c r="AI336" s="5">
        <f>H$1*((-0.000002)*H336^3+0.00032*H336^2+(-0.0021)*H336)+I$1*((-0.000002)*I336^3+0.00032*I336^2+(-0.0021)*I336)+J$1*((-0.000002)*J336^3+0.00032*J336^2+(-0.0021)*J336)+K$1*((-0.000002)*K336^3+0.00032*K336^2+(-0.0021)*K336)+L$1*((-0.000002)*L336^3+0.00032*L336^2+(-0.0021)*L336)</f>
        <v/>
      </c>
      <c r="AJ336" s="5">
        <f>M$1*((-0.000002)*M336^3+0.00032*M336^2+(-0.0021)*M336)+N$1*((-0.000002)*N336^3+0.00032*N336^2+(-0.0021)*N336)+O$1*((-0.000002)*O336^3+0.00032*O336^2+(-0.0021)*O336)</f>
        <v/>
      </c>
      <c r="AK336" s="5">
        <f>IF(AA336&lt;50,W$1*((-0.000002)*W336^3+0.00032*W336^2+(-0.0021)*W336)+X$1*((-0.000002)*X336^3+0.00032*X336^2+(-0.0021)*X336)+Y$1*((-0.000002)*Y336^3+0.00032*Y336^2+(-0.0021)*Y336)+Z$1*((-0.000002)*Z336^3+0.00032*Z336^2+(-0.0021)*Z336),X$2*((-0.000002)*X336^3+0.00032*X336^2+(-0.0021)*X336)+Y$2*((-0.000002)*Y336^3+0.00032*Y336^2+(-0.0021)*Y336)+Z$2*((-0.000002)*Z336^3+0.00032*Z336^2+(-0.0021)*Z336)+AA$2*((-0.000002)*AA336^3+0.00032*AA336^2+(-0.0021)*AA336))</f>
        <v/>
      </c>
      <c r="AL336" s="5">
        <f>AB$1*((-0.000002)*AB336^3+0.00032*AB336^2+(-0.0021)*AB336)+AC$1*((-0.000002)*AC336^3+0.00032*AC336^2+(-0.0021)*AC336)</f>
        <v/>
      </c>
      <c r="AM336" s="5">
        <f>AD$1*((-0.000002)*AD336^3+0.00032*AD336^2+(-0.0021)*AD336)+AE$1*((-0.000002)*AE336^3+0.00032*AE336^2+(-0.0021)*AE336)+AF$1*((-0.000002)*AF336^3+0.00032*AF336^2+(-0.0021)*AF336)+AG$1*((-0.000002)*AG336^3+0.00032*AG336^2+(-0.0021)*AG336)</f>
        <v/>
      </c>
    </row>
    <row r="337" ht="15" customHeight="1" s="27" thickBot="1">
      <c r="A337">
        <f>(AI337*AI$3+AJ337*AJ$3+AK337*AK$3+AL337*AL$3+AM337*AM$3)*100/(AI$5*AI$3+AJ$5*AJ$3+AK$5*AK$3+AL$5*AL$3+AM$5*AM$3)</f>
        <v/>
      </c>
      <c r="B337" s="16" t="n"/>
      <c r="C337" s="10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6" t="n"/>
      <c r="R337" s="10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5">
        <f>H$1*((-0.000002)*H337^3+0.00032*H337^2+(-0.0021)*H337)+I$1*((-0.000002)*I337^3+0.00032*I337^2+(-0.0021)*I337)+J$1*((-0.000002)*J337^3+0.00032*J337^2+(-0.0021)*J337)+K$1*((-0.000002)*K337^3+0.00032*K337^2+(-0.0021)*K337)+L$1*((-0.000002)*L337^3+0.00032*L337^2+(-0.0021)*L337)</f>
        <v/>
      </c>
      <c r="AJ337" s="5">
        <f>M$1*((-0.000002)*M337^3+0.00032*M337^2+(-0.0021)*M337)+N$1*((-0.000002)*N337^3+0.00032*N337^2+(-0.0021)*N337)+O$1*((-0.000002)*O337^3+0.00032*O337^2+(-0.0021)*O337)</f>
        <v/>
      </c>
      <c r="AK337" s="5">
        <f>IF(AA337&lt;50,W$1*((-0.000002)*W337^3+0.00032*W337^2+(-0.0021)*W337)+X$1*((-0.000002)*X337^3+0.00032*X337^2+(-0.0021)*X337)+Y$1*((-0.000002)*Y337^3+0.00032*Y337^2+(-0.0021)*Y337)+Z$1*((-0.000002)*Z337^3+0.00032*Z337^2+(-0.0021)*Z337),X$2*((-0.000002)*X337^3+0.00032*X337^2+(-0.0021)*X337)+Y$2*((-0.000002)*Y337^3+0.00032*Y337^2+(-0.0021)*Y337)+Z$2*((-0.000002)*Z337^3+0.00032*Z337^2+(-0.0021)*Z337)+AA$2*((-0.000002)*AA337^3+0.00032*AA337^2+(-0.0021)*AA337))</f>
        <v/>
      </c>
      <c r="AL337" s="5">
        <f>AB$1*((-0.000002)*AB337^3+0.00032*AB337^2+(-0.0021)*AB337)+AC$1*((-0.000002)*AC337^3+0.00032*AC337^2+(-0.0021)*AC337)</f>
        <v/>
      </c>
      <c r="AM337" s="5">
        <f>AD$1*((-0.000002)*AD337^3+0.00032*AD337^2+(-0.0021)*AD337)+AE$1*((-0.000002)*AE337^3+0.00032*AE337^2+(-0.0021)*AE337)+AF$1*((-0.000002)*AF337^3+0.00032*AF337^2+(-0.0021)*AF337)+AG$1*((-0.000002)*AG337^3+0.00032*AG337^2+(-0.0021)*AG337)</f>
        <v/>
      </c>
    </row>
    <row r="338" ht="15" customHeight="1" s="27" thickBot="1">
      <c r="A338">
        <f>(AI338*AI$3+AJ338*AJ$3+AK338*AK$3+AL338*AL$3+AM338*AM$3)*100/(AI$5*AI$3+AJ$5*AJ$3+AK$5*AK$3+AL$5*AL$3+AM$5*AM$3)</f>
        <v/>
      </c>
      <c r="B338" s="18" t="n"/>
      <c r="C338" s="11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8" t="n"/>
      <c r="R338" s="11" t="n"/>
      <c r="S338" s="19" t="n"/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  <c r="AI338" s="5">
        <f>H$1*((-0.000002)*H338^3+0.00032*H338^2+(-0.0021)*H338)+I$1*((-0.000002)*I338^3+0.00032*I338^2+(-0.0021)*I338)+J$1*((-0.000002)*J338^3+0.00032*J338^2+(-0.0021)*J338)+K$1*((-0.000002)*K338^3+0.00032*K338^2+(-0.0021)*K338)+L$1*((-0.000002)*L338^3+0.00032*L338^2+(-0.0021)*L338)</f>
        <v/>
      </c>
      <c r="AJ338" s="5">
        <f>M$1*((-0.000002)*M338^3+0.00032*M338^2+(-0.0021)*M338)+N$1*((-0.000002)*N338^3+0.00032*N338^2+(-0.0021)*N338)+O$1*((-0.000002)*O338^3+0.00032*O338^2+(-0.0021)*O338)</f>
        <v/>
      </c>
      <c r="AK338" s="5">
        <f>IF(AA338&lt;50,W$1*((-0.000002)*W338^3+0.00032*W338^2+(-0.0021)*W338)+X$1*((-0.000002)*X338^3+0.00032*X338^2+(-0.0021)*X338)+Y$1*((-0.000002)*Y338^3+0.00032*Y338^2+(-0.0021)*Y338)+Z$1*((-0.000002)*Z338^3+0.00032*Z338^2+(-0.0021)*Z338),X$2*((-0.000002)*X338^3+0.00032*X338^2+(-0.0021)*X338)+Y$2*((-0.000002)*Y338^3+0.00032*Y338^2+(-0.0021)*Y338)+Z$2*((-0.000002)*Z338^3+0.00032*Z338^2+(-0.0021)*Z338)+AA$2*((-0.000002)*AA338^3+0.00032*AA338^2+(-0.0021)*AA338))</f>
        <v/>
      </c>
      <c r="AL338" s="5">
        <f>AB$1*((-0.000002)*AB338^3+0.00032*AB338^2+(-0.0021)*AB338)+AC$1*((-0.000002)*AC338^3+0.00032*AC338^2+(-0.0021)*AC338)</f>
        <v/>
      </c>
      <c r="AM338" s="5">
        <f>AD$1*((-0.000002)*AD338^3+0.00032*AD338^2+(-0.0021)*AD338)+AE$1*((-0.000002)*AE338^3+0.00032*AE338^2+(-0.0021)*AE338)+AF$1*((-0.000002)*AF338^3+0.00032*AF338^2+(-0.0021)*AF338)+AG$1*((-0.000002)*AG338^3+0.00032*AG338^2+(-0.0021)*AG338)</f>
        <v/>
      </c>
    </row>
    <row r="339" ht="15" customHeight="1" s="27" thickBot="1">
      <c r="A339">
        <f>(AI339*AI$3+AJ339*AJ$3+AK339*AK$3+AL339*AL$3+AM339*AM$3)*100/(AI$5*AI$3+AJ$5*AJ$3+AK$5*AK$3+AL$5*AL$3+AM$5*AM$3)</f>
        <v/>
      </c>
      <c r="B339" s="16" t="n"/>
      <c r="C339" s="10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6" t="n"/>
      <c r="R339" s="10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5">
        <f>H$1*((-0.000002)*H339^3+0.00032*H339^2+(-0.0021)*H339)+I$1*((-0.000002)*I339^3+0.00032*I339^2+(-0.0021)*I339)+J$1*((-0.000002)*J339^3+0.00032*J339^2+(-0.0021)*J339)+K$1*((-0.000002)*K339^3+0.00032*K339^2+(-0.0021)*K339)+L$1*((-0.000002)*L339^3+0.00032*L339^2+(-0.0021)*L339)</f>
        <v/>
      </c>
      <c r="AJ339" s="5">
        <f>M$1*((-0.000002)*M339^3+0.00032*M339^2+(-0.0021)*M339)+N$1*((-0.000002)*N339^3+0.00032*N339^2+(-0.0021)*N339)+O$1*((-0.000002)*O339^3+0.00032*O339^2+(-0.0021)*O339)</f>
        <v/>
      </c>
      <c r="AK339" s="5">
        <f>IF(AA339&lt;50,W$1*((-0.000002)*W339^3+0.00032*W339^2+(-0.0021)*W339)+X$1*((-0.000002)*X339^3+0.00032*X339^2+(-0.0021)*X339)+Y$1*((-0.000002)*Y339^3+0.00032*Y339^2+(-0.0021)*Y339)+Z$1*((-0.000002)*Z339^3+0.00032*Z339^2+(-0.0021)*Z339),X$2*((-0.000002)*X339^3+0.00032*X339^2+(-0.0021)*X339)+Y$2*((-0.000002)*Y339^3+0.00032*Y339^2+(-0.0021)*Y339)+Z$2*((-0.000002)*Z339^3+0.00032*Z339^2+(-0.0021)*Z339)+AA$2*((-0.000002)*AA339^3+0.00032*AA339^2+(-0.0021)*AA339))</f>
        <v/>
      </c>
      <c r="AL339" s="5">
        <f>AB$1*((-0.000002)*AB339^3+0.00032*AB339^2+(-0.0021)*AB339)+AC$1*((-0.000002)*AC339^3+0.00032*AC339^2+(-0.0021)*AC339)</f>
        <v/>
      </c>
      <c r="AM339" s="5">
        <f>AD$1*((-0.000002)*AD339^3+0.00032*AD339^2+(-0.0021)*AD339)+AE$1*((-0.000002)*AE339^3+0.00032*AE339^2+(-0.0021)*AE339)+AF$1*((-0.000002)*AF339^3+0.00032*AF339^2+(-0.0021)*AF339)+AG$1*((-0.000002)*AG339^3+0.00032*AG339^2+(-0.0021)*AG339)</f>
        <v/>
      </c>
    </row>
    <row r="340" ht="15" customHeight="1" s="27" thickBot="1">
      <c r="A340">
        <f>(AI340*AI$3+AJ340*AJ$3+AK340*AK$3+AL340*AL$3+AM340*AM$3)*100/(AI$5*AI$3+AJ$5*AJ$3+AK$5*AK$3+AL$5*AL$3+AM$5*AM$3)</f>
        <v/>
      </c>
      <c r="B340" s="18" t="n"/>
      <c r="C340" s="11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8" t="n"/>
      <c r="R340" s="11" t="n"/>
      <c r="S340" s="19" t="n"/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  <c r="AH340" s="19" t="n"/>
      <c r="AI340" s="5">
        <f>H$1*((-0.000002)*H340^3+0.00032*H340^2+(-0.0021)*H340)+I$1*((-0.000002)*I340^3+0.00032*I340^2+(-0.0021)*I340)+J$1*((-0.000002)*J340^3+0.00032*J340^2+(-0.0021)*J340)+K$1*((-0.000002)*K340^3+0.00032*K340^2+(-0.0021)*K340)+L$1*((-0.000002)*L340^3+0.00032*L340^2+(-0.0021)*L340)</f>
        <v/>
      </c>
      <c r="AJ340" s="5">
        <f>M$1*((-0.000002)*M340^3+0.00032*M340^2+(-0.0021)*M340)+N$1*((-0.000002)*N340^3+0.00032*N340^2+(-0.0021)*N340)+O$1*((-0.000002)*O340^3+0.00032*O340^2+(-0.0021)*O340)</f>
        <v/>
      </c>
      <c r="AK340" s="5">
        <f>IF(AA340&lt;50,W$1*((-0.000002)*W340^3+0.00032*W340^2+(-0.0021)*W340)+X$1*((-0.000002)*X340^3+0.00032*X340^2+(-0.0021)*X340)+Y$1*((-0.000002)*Y340^3+0.00032*Y340^2+(-0.0021)*Y340)+Z$1*((-0.000002)*Z340^3+0.00032*Z340^2+(-0.0021)*Z340),X$2*((-0.000002)*X340^3+0.00032*X340^2+(-0.0021)*X340)+Y$2*((-0.000002)*Y340^3+0.00032*Y340^2+(-0.0021)*Y340)+Z$2*((-0.000002)*Z340^3+0.00032*Z340^2+(-0.0021)*Z340)+AA$2*((-0.000002)*AA340^3+0.00032*AA340^2+(-0.0021)*AA340))</f>
        <v/>
      </c>
      <c r="AL340" s="5">
        <f>AB$1*((-0.000002)*AB340^3+0.00032*AB340^2+(-0.0021)*AB340)+AC$1*((-0.000002)*AC340^3+0.00032*AC340^2+(-0.0021)*AC340)</f>
        <v/>
      </c>
      <c r="AM340" s="5">
        <f>AD$1*((-0.000002)*AD340^3+0.00032*AD340^2+(-0.0021)*AD340)+AE$1*((-0.000002)*AE340^3+0.00032*AE340^2+(-0.0021)*AE340)+AF$1*((-0.000002)*AF340^3+0.00032*AF340^2+(-0.0021)*AF340)+AG$1*((-0.000002)*AG340^3+0.00032*AG340^2+(-0.0021)*AG340)</f>
        <v/>
      </c>
    </row>
    <row r="341" ht="15" customHeight="1" s="27" thickBot="1">
      <c r="A341">
        <f>(AI341*AI$3+AJ341*AJ$3+AK341*AK$3+AL341*AL$3+AM341*AM$3)*100/(AI$5*AI$3+AJ$5*AJ$3+AK$5*AK$3+AL$5*AL$3+AM$5*AM$3)</f>
        <v/>
      </c>
      <c r="B341" s="16" t="n"/>
      <c r="C341" s="10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6" t="n"/>
      <c r="R341" s="10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5">
        <f>H$1*((-0.000002)*H341^3+0.00032*H341^2+(-0.0021)*H341)+I$1*((-0.000002)*I341^3+0.00032*I341^2+(-0.0021)*I341)+J$1*((-0.000002)*J341^3+0.00032*J341^2+(-0.0021)*J341)+K$1*((-0.000002)*K341^3+0.00032*K341^2+(-0.0021)*K341)+L$1*((-0.000002)*L341^3+0.00032*L341^2+(-0.0021)*L341)</f>
        <v/>
      </c>
      <c r="AJ341" s="5">
        <f>M$1*((-0.000002)*M341^3+0.00032*M341^2+(-0.0021)*M341)+N$1*((-0.000002)*N341^3+0.00032*N341^2+(-0.0021)*N341)+O$1*((-0.000002)*O341^3+0.00032*O341^2+(-0.0021)*O341)</f>
        <v/>
      </c>
      <c r="AK341" s="5">
        <f>IF(AA341&lt;50,W$1*((-0.000002)*W341^3+0.00032*W341^2+(-0.0021)*W341)+X$1*((-0.000002)*X341^3+0.00032*X341^2+(-0.0021)*X341)+Y$1*((-0.000002)*Y341^3+0.00032*Y341^2+(-0.0021)*Y341)+Z$1*((-0.000002)*Z341^3+0.00032*Z341^2+(-0.0021)*Z341),X$2*((-0.000002)*X341^3+0.00032*X341^2+(-0.0021)*X341)+Y$2*((-0.000002)*Y341^3+0.00032*Y341^2+(-0.0021)*Y341)+Z$2*((-0.000002)*Z341^3+0.00032*Z341^2+(-0.0021)*Z341)+AA$2*((-0.000002)*AA341^3+0.00032*AA341^2+(-0.0021)*AA341))</f>
        <v/>
      </c>
      <c r="AL341" s="5">
        <f>AB$1*((-0.000002)*AB341^3+0.00032*AB341^2+(-0.0021)*AB341)+AC$1*((-0.000002)*AC341^3+0.00032*AC341^2+(-0.0021)*AC341)</f>
        <v/>
      </c>
      <c r="AM341" s="5">
        <f>AD$1*((-0.000002)*AD341^3+0.00032*AD341^2+(-0.0021)*AD341)+AE$1*((-0.000002)*AE341^3+0.00032*AE341^2+(-0.0021)*AE341)+AF$1*((-0.000002)*AF341^3+0.00032*AF341^2+(-0.0021)*AF341)+AG$1*((-0.000002)*AG341^3+0.00032*AG341^2+(-0.0021)*AG341)</f>
        <v/>
      </c>
    </row>
    <row r="342" ht="15" customHeight="1" s="27" thickBot="1">
      <c r="A342">
        <f>(AI342*AI$3+AJ342*AJ$3+AK342*AK$3+AL342*AL$3+AM342*AM$3)*100/(AI$5*AI$3+AJ$5*AJ$3+AK$5*AK$3+AL$5*AL$3+AM$5*AM$3)</f>
        <v/>
      </c>
      <c r="B342" s="18" t="n"/>
      <c r="C342" s="11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8" t="n"/>
      <c r="R342" s="11" t="n"/>
      <c r="S342" s="19" t="n"/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  <c r="AI342" s="5">
        <f>H$1*((-0.000002)*H342^3+0.00032*H342^2+(-0.0021)*H342)+I$1*((-0.000002)*I342^3+0.00032*I342^2+(-0.0021)*I342)+J$1*((-0.000002)*J342^3+0.00032*J342^2+(-0.0021)*J342)+K$1*((-0.000002)*K342^3+0.00032*K342^2+(-0.0021)*K342)+L$1*((-0.000002)*L342^3+0.00032*L342^2+(-0.0021)*L342)</f>
        <v/>
      </c>
      <c r="AJ342" s="5">
        <f>M$1*((-0.000002)*M342^3+0.00032*M342^2+(-0.0021)*M342)+N$1*((-0.000002)*N342^3+0.00032*N342^2+(-0.0021)*N342)+O$1*((-0.000002)*O342^3+0.00032*O342^2+(-0.0021)*O342)</f>
        <v/>
      </c>
      <c r="AK342" s="5">
        <f>IF(AA342&lt;50,W$1*((-0.000002)*W342^3+0.00032*W342^2+(-0.0021)*W342)+X$1*((-0.000002)*X342^3+0.00032*X342^2+(-0.0021)*X342)+Y$1*((-0.000002)*Y342^3+0.00032*Y342^2+(-0.0021)*Y342)+Z$1*((-0.000002)*Z342^3+0.00032*Z342^2+(-0.0021)*Z342),X$2*((-0.000002)*X342^3+0.00032*X342^2+(-0.0021)*X342)+Y$2*((-0.000002)*Y342^3+0.00032*Y342^2+(-0.0021)*Y342)+Z$2*((-0.000002)*Z342^3+0.00032*Z342^2+(-0.0021)*Z342)+AA$2*((-0.000002)*AA342^3+0.00032*AA342^2+(-0.0021)*AA342))</f>
        <v/>
      </c>
      <c r="AL342" s="5">
        <f>AB$1*((-0.000002)*AB342^3+0.00032*AB342^2+(-0.0021)*AB342)+AC$1*((-0.000002)*AC342^3+0.00032*AC342^2+(-0.0021)*AC342)</f>
        <v/>
      </c>
      <c r="AM342" s="5">
        <f>AD$1*((-0.000002)*AD342^3+0.00032*AD342^2+(-0.0021)*AD342)+AE$1*((-0.000002)*AE342^3+0.00032*AE342^2+(-0.0021)*AE342)+AF$1*((-0.000002)*AF342^3+0.00032*AF342^2+(-0.0021)*AF342)+AG$1*((-0.000002)*AG342^3+0.00032*AG342^2+(-0.0021)*AG342)</f>
        <v/>
      </c>
    </row>
    <row r="343" ht="15" customHeight="1" s="27" thickBot="1">
      <c r="A343">
        <f>(AI343*AI$3+AJ343*AJ$3+AK343*AK$3+AL343*AL$3+AM343*AM$3)*100/(AI$5*AI$3+AJ$5*AJ$3+AK$5*AK$3+AL$5*AL$3+AM$5*AM$3)</f>
        <v/>
      </c>
      <c r="B343" s="16" t="n"/>
      <c r="C343" s="10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6" t="n"/>
      <c r="R343" s="10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5">
        <f>H$1*((-0.000002)*H343^3+0.00032*H343^2+(-0.0021)*H343)+I$1*((-0.000002)*I343^3+0.00032*I343^2+(-0.0021)*I343)+J$1*((-0.000002)*J343^3+0.00032*J343^2+(-0.0021)*J343)+K$1*((-0.000002)*K343^3+0.00032*K343^2+(-0.0021)*K343)+L$1*((-0.000002)*L343^3+0.00032*L343^2+(-0.0021)*L343)</f>
        <v/>
      </c>
      <c r="AJ343" s="5">
        <f>M$1*((-0.000002)*M343^3+0.00032*M343^2+(-0.0021)*M343)+N$1*((-0.000002)*N343^3+0.00032*N343^2+(-0.0021)*N343)+O$1*((-0.000002)*O343^3+0.00032*O343^2+(-0.0021)*O343)</f>
        <v/>
      </c>
      <c r="AK343" s="5">
        <f>IF(AA343&lt;50,W$1*((-0.000002)*W343^3+0.00032*W343^2+(-0.0021)*W343)+X$1*((-0.000002)*X343^3+0.00032*X343^2+(-0.0021)*X343)+Y$1*((-0.000002)*Y343^3+0.00032*Y343^2+(-0.0021)*Y343)+Z$1*((-0.000002)*Z343^3+0.00032*Z343^2+(-0.0021)*Z343),X$2*((-0.000002)*X343^3+0.00032*X343^2+(-0.0021)*X343)+Y$2*((-0.000002)*Y343^3+0.00032*Y343^2+(-0.0021)*Y343)+Z$2*((-0.000002)*Z343^3+0.00032*Z343^2+(-0.0021)*Z343)+AA$2*((-0.000002)*AA343^3+0.00032*AA343^2+(-0.0021)*AA343))</f>
        <v/>
      </c>
      <c r="AL343" s="5">
        <f>AB$1*((-0.000002)*AB343^3+0.00032*AB343^2+(-0.0021)*AB343)+AC$1*((-0.000002)*AC343^3+0.00032*AC343^2+(-0.0021)*AC343)</f>
        <v/>
      </c>
      <c r="AM343" s="5">
        <f>AD$1*((-0.000002)*AD343^3+0.00032*AD343^2+(-0.0021)*AD343)+AE$1*((-0.000002)*AE343^3+0.00032*AE343^2+(-0.0021)*AE343)+AF$1*((-0.000002)*AF343^3+0.00032*AF343^2+(-0.0021)*AF343)+AG$1*((-0.000002)*AG343^3+0.00032*AG343^2+(-0.0021)*AG343)</f>
        <v/>
      </c>
    </row>
    <row r="344" ht="15" customHeight="1" s="27" thickBot="1">
      <c r="A344">
        <f>(AI344*AI$3+AJ344*AJ$3+AK344*AK$3+AL344*AL$3+AM344*AM$3)*100/(AI$5*AI$3+AJ$5*AJ$3+AK$5*AK$3+AL$5*AL$3+AM$5*AM$3)</f>
        <v/>
      </c>
      <c r="B344" s="18" t="n"/>
      <c r="C344" s="11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8" t="n"/>
      <c r="R344" s="11" t="n"/>
      <c r="S344" s="19" t="n"/>
      <c r="T344" s="19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  <c r="AG344" s="19" t="n"/>
      <c r="AH344" s="19" t="n"/>
      <c r="AI344" s="5">
        <f>H$1*((-0.000002)*H344^3+0.00032*H344^2+(-0.0021)*H344)+I$1*((-0.000002)*I344^3+0.00032*I344^2+(-0.0021)*I344)+J$1*((-0.000002)*J344^3+0.00032*J344^2+(-0.0021)*J344)+K$1*((-0.000002)*K344^3+0.00032*K344^2+(-0.0021)*K344)+L$1*((-0.000002)*L344^3+0.00032*L344^2+(-0.0021)*L344)</f>
        <v/>
      </c>
      <c r="AJ344" s="5">
        <f>M$1*((-0.000002)*M344^3+0.00032*M344^2+(-0.0021)*M344)+N$1*((-0.000002)*N344^3+0.00032*N344^2+(-0.0021)*N344)+O$1*((-0.000002)*O344^3+0.00032*O344^2+(-0.0021)*O344)</f>
        <v/>
      </c>
      <c r="AK344" s="5">
        <f>IF(AA344&lt;50,W$1*((-0.000002)*W344^3+0.00032*W344^2+(-0.0021)*W344)+X$1*((-0.000002)*X344^3+0.00032*X344^2+(-0.0021)*X344)+Y$1*((-0.000002)*Y344^3+0.00032*Y344^2+(-0.0021)*Y344)+Z$1*((-0.000002)*Z344^3+0.00032*Z344^2+(-0.0021)*Z344),X$2*((-0.000002)*X344^3+0.00032*X344^2+(-0.0021)*X344)+Y$2*((-0.000002)*Y344^3+0.00032*Y344^2+(-0.0021)*Y344)+Z$2*((-0.000002)*Z344^3+0.00032*Z344^2+(-0.0021)*Z344)+AA$2*((-0.000002)*AA344^3+0.00032*AA344^2+(-0.0021)*AA344))</f>
        <v/>
      </c>
      <c r="AL344" s="5">
        <f>AB$1*((-0.000002)*AB344^3+0.00032*AB344^2+(-0.0021)*AB344)+AC$1*((-0.000002)*AC344^3+0.00032*AC344^2+(-0.0021)*AC344)</f>
        <v/>
      </c>
      <c r="AM344" s="5">
        <f>AD$1*((-0.000002)*AD344^3+0.00032*AD344^2+(-0.0021)*AD344)+AE$1*((-0.000002)*AE344^3+0.00032*AE344^2+(-0.0021)*AE344)+AF$1*((-0.000002)*AF344^3+0.00032*AF344^2+(-0.0021)*AF344)+AG$1*((-0.000002)*AG344^3+0.00032*AG344^2+(-0.0021)*AG344)</f>
        <v/>
      </c>
    </row>
    <row r="345" ht="15" customHeight="1" s="27" thickBot="1">
      <c r="A345">
        <f>(AI345*AI$3+AJ345*AJ$3+AK345*AK$3+AL345*AL$3+AM345*AM$3)*100/(AI$5*AI$3+AJ$5*AJ$3+AK$5*AK$3+AL$5*AL$3+AM$5*AM$3)</f>
        <v/>
      </c>
      <c r="B345" s="16" t="n"/>
      <c r="C345" s="10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6" t="n"/>
      <c r="R345" s="10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5">
        <f>H$1*((-0.000002)*H345^3+0.00032*H345^2+(-0.0021)*H345)+I$1*((-0.000002)*I345^3+0.00032*I345^2+(-0.0021)*I345)+J$1*((-0.000002)*J345^3+0.00032*J345^2+(-0.0021)*J345)+K$1*((-0.000002)*K345^3+0.00032*K345^2+(-0.0021)*K345)+L$1*((-0.000002)*L345^3+0.00032*L345^2+(-0.0021)*L345)</f>
        <v/>
      </c>
      <c r="AJ345" s="5">
        <f>M$1*((-0.000002)*M345^3+0.00032*M345^2+(-0.0021)*M345)+N$1*((-0.000002)*N345^3+0.00032*N345^2+(-0.0021)*N345)+O$1*((-0.000002)*O345^3+0.00032*O345^2+(-0.0021)*O345)</f>
        <v/>
      </c>
      <c r="AK345" s="5">
        <f>IF(AA345&lt;50,W$1*((-0.000002)*W345^3+0.00032*W345^2+(-0.0021)*W345)+X$1*((-0.000002)*X345^3+0.00032*X345^2+(-0.0021)*X345)+Y$1*((-0.000002)*Y345^3+0.00032*Y345^2+(-0.0021)*Y345)+Z$1*((-0.000002)*Z345^3+0.00032*Z345^2+(-0.0021)*Z345),X$2*((-0.000002)*X345^3+0.00032*X345^2+(-0.0021)*X345)+Y$2*((-0.000002)*Y345^3+0.00032*Y345^2+(-0.0021)*Y345)+Z$2*((-0.000002)*Z345^3+0.00032*Z345^2+(-0.0021)*Z345)+AA$2*((-0.000002)*AA345^3+0.00032*AA345^2+(-0.0021)*AA345))</f>
        <v/>
      </c>
      <c r="AL345" s="5">
        <f>AB$1*((-0.000002)*AB345^3+0.00032*AB345^2+(-0.0021)*AB345)+AC$1*((-0.000002)*AC345^3+0.00032*AC345^2+(-0.0021)*AC345)</f>
        <v/>
      </c>
      <c r="AM345" s="5">
        <f>AD$1*((-0.000002)*AD345^3+0.00032*AD345^2+(-0.0021)*AD345)+AE$1*((-0.000002)*AE345^3+0.00032*AE345^2+(-0.0021)*AE345)+AF$1*((-0.000002)*AF345^3+0.00032*AF345^2+(-0.0021)*AF345)+AG$1*((-0.000002)*AG345^3+0.00032*AG345^2+(-0.0021)*AG345)</f>
        <v/>
      </c>
    </row>
    <row r="346" ht="15" customHeight="1" s="27" thickBot="1">
      <c r="A346">
        <f>(AI346*AI$3+AJ346*AJ$3+AK346*AK$3+AL346*AL$3+AM346*AM$3)*100/(AI$5*AI$3+AJ$5*AJ$3+AK$5*AK$3+AL$5*AL$3+AM$5*AM$3)</f>
        <v/>
      </c>
      <c r="B346" s="18" t="n"/>
      <c r="C346" s="11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8" t="n"/>
      <c r="R346" s="11" t="n"/>
      <c r="S346" s="19" t="n"/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  <c r="AI346" s="5">
        <f>H$1*((-0.000002)*H346^3+0.00032*H346^2+(-0.0021)*H346)+I$1*((-0.000002)*I346^3+0.00032*I346^2+(-0.0021)*I346)+J$1*((-0.000002)*J346^3+0.00032*J346^2+(-0.0021)*J346)+K$1*((-0.000002)*K346^3+0.00032*K346^2+(-0.0021)*K346)+L$1*((-0.000002)*L346^3+0.00032*L346^2+(-0.0021)*L346)</f>
        <v/>
      </c>
      <c r="AJ346" s="5">
        <f>M$1*((-0.000002)*M346^3+0.00032*M346^2+(-0.0021)*M346)+N$1*((-0.000002)*N346^3+0.00032*N346^2+(-0.0021)*N346)+O$1*((-0.000002)*O346^3+0.00032*O346^2+(-0.0021)*O346)</f>
        <v/>
      </c>
      <c r="AK346" s="5">
        <f>IF(AA346&lt;50,W$1*((-0.000002)*W346^3+0.00032*W346^2+(-0.0021)*W346)+X$1*((-0.000002)*X346^3+0.00032*X346^2+(-0.0021)*X346)+Y$1*((-0.000002)*Y346^3+0.00032*Y346^2+(-0.0021)*Y346)+Z$1*((-0.000002)*Z346^3+0.00032*Z346^2+(-0.0021)*Z346),X$2*((-0.000002)*X346^3+0.00032*X346^2+(-0.0021)*X346)+Y$2*((-0.000002)*Y346^3+0.00032*Y346^2+(-0.0021)*Y346)+Z$2*((-0.000002)*Z346^3+0.00032*Z346^2+(-0.0021)*Z346)+AA$2*((-0.000002)*AA346^3+0.00032*AA346^2+(-0.0021)*AA346))</f>
        <v/>
      </c>
      <c r="AL346" s="5">
        <f>AB$1*((-0.000002)*AB346^3+0.00032*AB346^2+(-0.0021)*AB346)+AC$1*((-0.000002)*AC346^3+0.00032*AC346^2+(-0.0021)*AC346)</f>
        <v/>
      </c>
      <c r="AM346" s="5">
        <f>AD$1*((-0.000002)*AD346^3+0.00032*AD346^2+(-0.0021)*AD346)+AE$1*((-0.000002)*AE346^3+0.00032*AE346^2+(-0.0021)*AE346)+AF$1*((-0.000002)*AF346^3+0.00032*AF346^2+(-0.0021)*AF346)+AG$1*((-0.000002)*AG346^3+0.00032*AG346^2+(-0.0021)*AG346)</f>
        <v/>
      </c>
    </row>
    <row r="347" ht="15" customHeight="1" s="27" thickBot="1">
      <c r="A347">
        <f>(AI347*AI$3+AJ347*AJ$3+AK347*AK$3+AL347*AL$3+AM347*AM$3)*100/(AI$5*AI$3+AJ$5*AJ$3+AK$5*AK$3+AL$5*AL$3+AM$5*AM$3)</f>
        <v/>
      </c>
      <c r="B347" s="16" t="n"/>
      <c r="C347" s="10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6" t="n"/>
      <c r="R347" s="10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5">
        <f>H$1*((-0.000002)*H347^3+0.00032*H347^2+(-0.0021)*H347)+I$1*((-0.000002)*I347^3+0.00032*I347^2+(-0.0021)*I347)+J$1*((-0.000002)*J347^3+0.00032*J347^2+(-0.0021)*J347)+K$1*((-0.000002)*K347^3+0.00032*K347^2+(-0.0021)*K347)+L$1*((-0.000002)*L347^3+0.00032*L347^2+(-0.0021)*L347)</f>
        <v/>
      </c>
      <c r="AJ347" s="5">
        <f>M$1*((-0.000002)*M347^3+0.00032*M347^2+(-0.0021)*M347)+N$1*((-0.000002)*N347^3+0.00032*N347^2+(-0.0021)*N347)+O$1*((-0.000002)*O347^3+0.00032*O347^2+(-0.0021)*O347)</f>
        <v/>
      </c>
      <c r="AK347" s="5">
        <f>IF(AA347&lt;50,W$1*((-0.000002)*W347^3+0.00032*W347^2+(-0.0021)*W347)+X$1*((-0.000002)*X347^3+0.00032*X347^2+(-0.0021)*X347)+Y$1*((-0.000002)*Y347^3+0.00032*Y347^2+(-0.0021)*Y347)+Z$1*((-0.000002)*Z347^3+0.00032*Z347^2+(-0.0021)*Z347),X$2*((-0.000002)*X347^3+0.00032*X347^2+(-0.0021)*X347)+Y$2*((-0.000002)*Y347^3+0.00032*Y347^2+(-0.0021)*Y347)+Z$2*((-0.000002)*Z347^3+0.00032*Z347^2+(-0.0021)*Z347)+AA$2*((-0.000002)*AA347^3+0.00032*AA347^2+(-0.0021)*AA347))</f>
        <v/>
      </c>
      <c r="AL347" s="5">
        <f>AB$1*((-0.000002)*AB347^3+0.00032*AB347^2+(-0.0021)*AB347)+AC$1*((-0.000002)*AC347^3+0.00032*AC347^2+(-0.0021)*AC347)</f>
        <v/>
      </c>
      <c r="AM347" s="5">
        <f>AD$1*((-0.000002)*AD347^3+0.00032*AD347^2+(-0.0021)*AD347)+AE$1*((-0.000002)*AE347^3+0.00032*AE347^2+(-0.0021)*AE347)+AF$1*((-0.000002)*AF347^3+0.00032*AF347^2+(-0.0021)*AF347)+AG$1*((-0.000002)*AG347^3+0.00032*AG347^2+(-0.0021)*AG347)</f>
        <v/>
      </c>
    </row>
    <row r="348" ht="15" customHeight="1" s="27" thickBot="1">
      <c r="A348">
        <f>(AI348*AI$3+AJ348*AJ$3+AK348*AK$3+AL348*AL$3+AM348*AM$3)*100/(AI$5*AI$3+AJ$5*AJ$3+AK$5*AK$3+AL$5*AL$3+AM$5*AM$3)</f>
        <v/>
      </c>
      <c r="B348" s="18" t="n"/>
      <c r="C348" s="11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8" t="n"/>
      <c r="R348" s="11" t="n"/>
      <c r="S348" s="19" t="n"/>
      <c r="T348" s="19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  <c r="AG348" s="19" t="n"/>
      <c r="AH348" s="19" t="n"/>
      <c r="AI348" s="5">
        <f>H$1*((-0.000002)*H348^3+0.00032*H348^2+(-0.0021)*H348)+I$1*((-0.000002)*I348^3+0.00032*I348^2+(-0.0021)*I348)+J$1*((-0.000002)*J348^3+0.00032*J348^2+(-0.0021)*J348)+K$1*((-0.000002)*K348^3+0.00032*K348^2+(-0.0021)*K348)+L$1*((-0.000002)*L348^3+0.00032*L348^2+(-0.0021)*L348)</f>
        <v/>
      </c>
      <c r="AJ348" s="5">
        <f>M$1*((-0.000002)*M348^3+0.00032*M348^2+(-0.0021)*M348)+N$1*((-0.000002)*N348^3+0.00032*N348^2+(-0.0021)*N348)+O$1*((-0.000002)*O348^3+0.00032*O348^2+(-0.0021)*O348)</f>
        <v/>
      </c>
      <c r="AK348" s="5">
        <f>IF(AA348&lt;50,W$1*((-0.000002)*W348^3+0.00032*W348^2+(-0.0021)*W348)+X$1*((-0.000002)*X348^3+0.00032*X348^2+(-0.0021)*X348)+Y$1*((-0.000002)*Y348^3+0.00032*Y348^2+(-0.0021)*Y348)+Z$1*((-0.000002)*Z348^3+0.00032*Z348^2+(-0.0021)*Z348),X$2*((-0.000002)*X348^3+0.00032*X348^2+(-0.0021)*X348)+Y$2*((-0.000002)*Y348^3+0.00032*Y348^2+(-0.0021)*Y348)+Z$2*((-0.000002)*Z348^3+0.00032*Z348^2+(-0.0021)*Z348)+AA$2*((-0.000002)*AA348^3+0.00032*AA348^2+(-0.0021)*AA348))</f>
        <v/>
      </c>
      <c r="AL348" s="5">
        <f>AB$1*((-0.000002)*AB348^3+0.00032*AB348^2+(-0.0021)*AB348)+AC$1*((-0.000002)*AC348^3+0.00032*AC348^2+(-0.0021)*AC348)</f>
        <v/>
      </c>
      <c r="AM348" s="5">
        <f>AD$1*((-0.000002)*AD348^3+0.00032*AD348^2+(-0.0021)*AD348)+AE$1*((-0.000002)*AE348^3+0.00032*AE348^2+(-0.0021)*AE348)+AF$1*((-0.000002)*AF348^3+0.00032*AF348^2+(-0.0021)*AF348)+AG$1*((-0.000002)*AG348^3+0.00032*AG348^2+(-0.0021)*AG348)</f>
        <v/>
      </c>
    </row>
    <row r="349" ht="15" customHeight="1" s="27" thickBot="1">
      <c r="A349">
        <f>(AI349*AI$3+AJ349*AJ$3+AK349*AK$3+AL349*AL$3+AM349*AM$3)*100/(AI$5*AI$3+AJ$5*AJ$3+AK$5*AK$3+AL$5*AL$3+AM$5*AM$3)</f>
        <v/>
      </c>
      <c r="B349" s="16" t="n"/>
      <c r="C349" s="10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6" t="n"/>
      <c r="R349" s="10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5">
        <f>H$1*((-0.000002)*H349^3+0.00032*H349^2+(-0.0021)*H349)+I$1*((-0.000002)*I349^3+0.00032*I349^2+(-0.0021)*I349)+J$1*((-0.000002)*J349^3+0.00032*J349^2+(-0.0021)*J349)+K$1*((-0.000002)*K349^3+0.00032*K349^2+(-0.0021)*K349)+L$1*((-0.000002)*L349^3+0.00032*L349^2+(-0.0021)*L349)</f>
        <v/>
      </c>
      <c r="AJ349" s="5">
        <f>M$1*((-0.000002)*M349^3+0.00032*M349^2+(-0.0021)*M349)+N$1*((-0.000002)*N349^3+0.00032*N349^2+(-0.0021)*N349)+O$1*((-0.000002)*O349^3+0.00032*O349^2+(-0.0021)*O349)</f>
        <v/>
      </c>
      <c r="AK349" s="5">
        <f>IF(AA349&lt;50,W$1*((-0.000002)*W349^3+0.00032*W349^2+(-0.0021)*W349)+X$1*((-0.000002)*X349^3+0.00032*X349^2+(-0.0021)*X349)+Y$1*((-0.000002)*Y349^3+0.00032*Y349^2+(-0.0021)*Y349)+Z$1*((-0.000002)*Z349^3+0.00032*Z349^2+(-0.0021)*Z349),X$2*((-0.000002)*X349^3+0.00032*X349^2+(-0.0021)*X349)+Y$2*((-0.000002)*Y349^3+0.00032*Y349^2+(-0.0021)*Y349)+Z$2*((-0.000002)*Z349^3+0.00032*Z349^2+(-0.0021)*Z349)+AA$2*((-0.000002)*AA349^3+0.00032*AA349^2+(-0.0021)*AA349))</f>
        <v/>
      </c>
      <c r="AL349" s="5">
        <f>AB$1*((-0.000002)*AB349^3+0.00032*AB349^2+(-0.0021)*AB349)+AC$1*((-0.000002)*AC349^3+0.00032*AC349^2+(-0.0021)*AC349)</f>
        <v/>
      </c>
      <c r="AM349" s="5">
        <f>AD$1*((-0.000002)*AD349^3+0.00032*AD349^2+(-0.0021)*AD349)+AE$1*((-0.000002)*AE349^3+0.00032*AE349^2+(-0.0021)*AE349)+AF$1*((-0.000002)*AF349^3+0.00032*AF349^2+(-0.0021)*AF349)+AG$1*((-0.000002)*AG349^3+0.00032*AG349^2+(-0.0021)*AG349)</f>
        <v/>
      </c>
    </row>
    <row r="350" ht="15" customHeight="1" s="27" thickBot="1">
      <c r="A350">
        <f>(AI350*AI$3+AJ350*AJ$3+AK350*AK$3+AL350*AL$3+AM350*AM$3)*100/(AI$5*AI$3+AJ$5*AJ$3+AK$5*AK$3+AL$5*AL$3+AM$5*AM$3)</f>
        <v/>
      </c>
      <c r="B350" s="18" t="n"/>
      <c r="C350" s="11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8" t="n"/>
      <c r="R350" s="11" t="n"/>
      <c r="S350" s="19" t="n"/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  <c r="AI350" s="5">
        <f>H$1*((-0.000002)*H350^3+0.00032*H350^2+(-0.0021)*H350)+I$1*((-0.000002)*I350^3+0.00032*I350^2+(-0.0021)*I350)+J$1*((-0.000002)*J350^3+0.00032*J350^2+(-0.0021)*J350)+K$1*((-0.000002)*K350^3+0.00032*K350^2+(-0.0021)*K350)+L$1*((-0.000002)*L350^3+0.00032*L350^2+(-0.0021)*L350)</f>
        <v/>
      </c>
      <c r="AJ350" s="5">
        <f>M$1*((-0.000002)*M350^3+0.00032*M350^2+(-0.0021)*M350)+N$1*((-0.000002)*N350^3+0.00032*N350^2+(-0.0021)*N350)+O$1*((-0.000002)*O350^3+0.00032*O350^2+(-0.0021)*O350)</f>
        <v/>
      </c>
      <c r="AK350" s="5">
        <f>IF(AA350&lt;50,W$1*((-0.000002)*W350^3+0.00032*W350^2+(-0.0021)*W350)+X$1*((-0.000002)*X350^3+0.00032*X350^2+(-0.0021)*X350)+Y$1*((-0.000002)*Y350^3+0.00032*Y350^2+(-0.0021)*Y350)+Z$1*((-0.000002)*Z350^3+0.00032*Z350^2+(-0.0021)*Z350),X$2*((-0.000002)*X350^3+0.00032*X350^2+(-0.0021)*X350)+Y$2*((-0.000002)*Y350^3+0.00032*Y350^2+(-0.0021)*Y350)+Z$2*((-0.000002)*Z350^3+0.00032*Z350^2+(-0.0021)*Z350)+AA$2*((-0.000002)*AA350^3+0.00032*AA350^2+(-0.0021)*AA350))</f>
        <v/>
      </c>
      <c r="AL350" s="5">
        <f>AB$1*((-0.000002)*AB350^3+0.00032*AB350^2+(-0.0021)*AB350)+AC$1*((-0.000002)*AC350^3+0.00032*AC350^2+(-0.0021)*AC350)</f>
        <v/>
      </c>
      <c r="AM350" s="5">
        <f>AD$1*((-0.000002)*AD350^3+0.00032*AD350^2+(-0.0021)*AD350)+AE$1*((-0.000002)*AE350^3+0.00032*AE350^2+(-0.0021)*AE350)+AF$1*((-0.000002)*AF350^3+0.00032*AF350^2+(-0.0021)*AF350)+AG$1*((-0.000002)*AG350^3+0.00032*AG350^2+(-0.0021)*AG350)</f>
        <v/>
      </c>
    </row>
    <row r="351" ht="15" customHeight="1" s="27" thickBot="1">
      <c r="A351">
        <f>(AI351*AI$3+AJ351*AJ$3+AK351*AK$3+AL351*AL$3+AM351*AM$3)*100/(AI$5*AI$3+AJ$5*AJ$3+AK$5*AK$3+AL$5*AL$3+AM$5*AM$3)</f>
        <v/>
      </c>
      <c r="B351" s="16" t="n"/>
      <c r="C351" s="10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6" t="n"/>
      <c r="R351" s="10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5">
        <f>H$1*((-0.000002)*H351^3+0.00032*H351^2+(-0.0021)*H351)+I$1*((-0.000002)*I351^3+0.00032*I351^2+(-0.0021)*I351)+J$1*((-0.000002)*J351^3+0.00032*J351^2+(-0.0021)*J351)+K$1*((-0.000002)*K351^3+0.00032*K351^2+(-0.0021)*K351)+L$1*((-0.000002)*L351^3+0.00032*L351^2+(-0.0021)*L351)</f>
        <v/>
      </c>
      <c r="AJ351" s="5">
        <f>M$1*((-0.000002)*M351^3+0.00032*M351^2+(-0.0021)*M351)+N$1*((-0.000002)*N351^3+0.00032*N351^2+(-0.0021)*N351)+O$1*((-0.000002)*O351^3+0.00032*O351^2+(-0.0021)*O351)</f>
        <v/>
      </c>
      <c r="AK351" s="5">
        <f>IF(AA351&lt;50,W$1*((-0.000002)*W351^3+0.00032*W351^2+(-0.0021)*W351)+X$1*((-0.000002)*X351^3+0.00032*X351^2+(-0.0021)*X351)+Y$1*((-0.000002)*Y351^3+0.00032*Y351^2+(-0.0021)*Y351)+Z$1*((-0.000002)*Z351^3+0.00032*Z351^2+(-0.0021)*Z351),X$2*((-0.000002)*X351^3+0.00032*X351^2+(-0.0021)*X351)+Y$2*((-0.000002)*Y351^3+0.00032*Y351^2+(-0.0021)*Y351)+Z$2*((-0.000002)*Z351^3+0.00032*Z351^2+(-0.0021)*Z351)+AA$2*((-0.000002)*AA351^3+0.00032*AA351^2+(-0.0021)*AA351))</f>
        <v/>
      </c>
      <c r="AL351" s="5">
        <f>AB$1*((-0.000002)*AB351^3+0.00032*AB351^2+(-0.0021)*AB351)+AC$1*((-0.000002)*AC351^3+0.00032*AC351^2+(-0.0021)*AC351)</f>
        <v/>
      </c>
      <c r="AM351" s="5">
        <f>AD$1*((-0.000002)*AD351^3+0.00032*AD351^2+(-0.0021)*AD351)+AE$1*((-0.000002)*AE351^3+0.00032*AE351^2+(-0.0021)*AE351)+AF$1*((-0.000002)*AF351^3+0.00032*AF351^2+(-0.0021)*AF351)+AG$1*((-0.000002)*AG351^3+0.00032*AG351^2+(-0.0021)*AG351)</f>
        <v/>
      </c>
    </row>
    <row r="352" ht="15" customHeight="1" s="27" thickBot="1">
      <c r="A352">
        <f>(AI352*AI$3+AJ352*AJ$3+AK352*AK$3+AL352*AL$3+AM352*AM$3)*100/(AI$5*AI$3+AJ$5*AJ$3+AK$5*AK$3+AL$5*AL$3+AM$5*AM$3)</f>
        <v/>
      </c>
      <c r="B352" s="18" t="n"/>
      <c r="C352" s="11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8" t="n"/>
      <c r="R352" s="11" t="n"/>
      <c r="S352" s="19" t="n"/>
      <c r="T352" s="19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  <c r="AG352" s="19" t="n"/>
      <c r="AH352" s="19" t="n"/>
      <c r="AI352" s="5">
        <f>H$1*((-0.000002)*H352^3+0.00032*H352^2+(-0.0021)*H352)+I$1*((-0.000002)*I352^3+0.00032*I352^2+(-0.0021)*I352)+J$1*((-0.000002)*J352^3+0.00032*J352^2+(-0.0021)*J352)+K$1*((-0.000002)*K352^3+0.00032*K352^2+(-0.0021)*K352)+L$1*((-0.000002)*L352^3+0.00032*L352^2+(-0.0021)*L352)</f>
        <v/>
      </c>
      <c r="AJ352" s="5">
        <f>M$1*((-0.000002)*M352^3+0.00032*M352^2+(-0.0021)*M352)+N$1*((-0.000002)*N352^3+0.00032*N352^2+(-0.0021)*N352)+O$1*((-0.000002)*O352^3+0.00032*O352^2+(-0.0021)*O352)</f>
        <v/>
      </c>
      <c r="AK352" s="5">
        <f>IF(AA352&lt;50,W$1*((-0.000002)*W352^3+0.00032*W352^2+(-0.0021)*W352)+X$1*((-0.000002)*X352^3+0.00032*X352^2+(-0.0021)*X352)+Y$1*((-0.000002)*Y352^3+0.00032*Y352^2+(-0.0021)*Y352)+Z$1*((-0.000002)*Z352^3+0.00032*Z352^2+(-0.0021)*Z352),X$2*((-0.000002)*X352^3+0.00032*X352^2+(-0.0021)*X352)+Y$2*((-0.000002)*Y352^3+0.00032*Y352^2+(-0.0021)*Y352)+Z$2*((-0.000002)*Z352^3+0.00032*Z352^2+(-0.0021)*Z352)+AA$2*((-0.000002)*AA352^3+0.00032*AA352^2+(-0.0021)*AA352))</f>
        <v/>
      </c>
      <c r="AL352" s="5">
        <f>AB$1*((-0.000002)*AB352^3+0.00032*AB352^2+(-0.0021)*AB352)+AC$1*((-0.000002)*AC352^3+0.00032*AC352^2+(-0.0021)*AC352)</f>
        <v/>
      </c>
      <c r="AM352" s="5">
        <f>AD$1*((-0.000002)*AD352^3+0.00032*AD352^2+(-0.0021)*AD352)+AE$1*((-0.000002)*AE352^3+0.00032*AE352^2+(-0.0021)*AE352)+AF$1*((-0.000002)*AF352^3+0.00032*AF352^2+(-0.0021)*AF352)+AG$1*((-0.000002)*AG352^3+0.00032*AG352^2+(-0.0021)*AG352)</f>
        <v/>
      </c>
    </row>
    <row r="353" ht="15" customHeight="1" s="27" thickBot="1">
      <c r="A353">
        <f>(AI353*AI$3+AJ353*AJ$3+AK353*AK$3+AL353*AL$3+AM353*AM$3)*100/(AI$5*AI$3+AJ$5*AJ$3+AK$5*AK$3+AL$5*AL$3+AM$5*AM$3)</f>
        <v/>
      </c>
      <c r="B353" s="16" t="n"/>
      <c r="C353" s="10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6" t="n"/>
      <c r="R353" s="10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5">
        <f>H$1*((-0.000002)*H353^3+0.00032*H353^2+(-0.0021)*H353)+I$1*((-0.000002)*I353^3+0.00032*I353^2+(-0.0021)*I353)+J$1*((-0.000002)*J353^3+0.00032*J353^2+(-0.0021)*J353)+K$1*((-0.000002)*K353^3+0.00032*K353^2+(-0.0021)*K353)+L$1*((-0.000002)*L353^3+0.00032*L353^2+(-0.0021)*L353)</f>
        <v/>
      </c>
      <c r="AJ353" s="5">
        <f>M$1*((-0.000002)*M353^3+0.00032*M353^2+(-0.0021)*M353)+N$1*((-0.000002)*N353^3+0.00032*N353^2+(-0.0021)*N353)+O$1*((-0.000002)*O353^3+0.00032*O353^2+(-0.0021)*O353)</f>
        <v/>
      </c>
      <c r="AK353" s="5">
        <f>IF(AA353&lt;50,W$1*((-0.000002)*W353^3+0.00032*W353^2+(-0.0021)*W353)+X$1*((-0.000002)*X353^3+0.00032*X353^2+(-0.0021)*X353)+Y$1*((-0.000002)*Y353^3+0.00032*Y353^2+(-0.0021)*Y353)+Z$1*((-0.000002)*Z353^3+0.00032*Z353^2+(-0.0021)*Z353),X$2*((-0.000002)*X353^3+0.00032*X353^2+(-0.0021)*X353)+Y$2*((-0.000002)*Y353^3+0.00032*Y353^2+(-0.0021)*Y353)+Z$2*((-0.000002)*Z353^3+0.00032*Z353^2+(-0.0021)*Z353)+AA$2*((-0.000002)*AA353^3+0.00032*AA353^2+(-0.0021)*AA353))</f>
        <v/>
      </c>
      <c r="AL353" s="5">
        <f>AB$1*((-0.000002)*AB353^3+0.00032*AB353^2+(-0.0021)*AB353)+AC$1*((-0.000002)*AC353^3+0.00032*AC353^2+(-0.0021)*AC353)</f>
        <v/>
      </c>
      <c r="AM353" s="5">
        <f>AD$1*((-0.000002)*AD353^3+0.00032*AD353^2+(-0.0021)*AD353)+AE$1*((-0.000002)*AE353^3+0.00032*AE353^2+(-0.0021)*AE353)+AF$1*((-0.000002)*AF353^3+0.00032*AF353^2+(-0.0021)*AF353)+AG$1*((-0.000002)*AG353^3+0.00032*AG353^2+(-0.0021)*AG353)</f>
        <v/>
      </c>
    </row>
    <row r="354" ht="15" customHeight="1" s="27" thickBot="1">
      <c r="A354">
        <f>(AI354*AI$3+AJ354*AJ$3+AK354*AK$3+AL354*AL$3+AM354*AM$3)*100/(AI$5*AI$3+AJ$5*AJ$3+AK$5*AK$3+AL$5*AL$3+AM$5*AM$3)</f>
        <v/>
      </c>
      <c r="B354" s="18" t="n"/>
      <c r="C354" s="11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8" t="n"/>
      <c r="R354" s="11" t="n"/>
      <c r="S354" s="19" t="n"/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  <c r="AI354" s="5">
        <f>H$1*((-0.000002)*H354^3+0.00032*H354^2+(-0.0021)*H354)+I$1*((-0.000002)*I354^3+0.00032*I354^2+(-0.0021)*I354)+J$1*((-0.000002)*J354^3+0.00032*J354^2+(-0.0021)*J354)+K$1*((-0.000002)*K354^3+0.00032*K354^2+(-0.0021)*K354)+L$1*((-0.000002)*L354^3+0.00032*L354^2+(-0.0021)*L354)</f>
        <v/>
      </c>
      <c r="AJ354" s="5">
        <f>M$1*((-0.000002)*M354^3+0.00032*M354^2+(-0.0021)*M354)+N$1*((-0.000002)*N354^3+0.00032*N354^2+(-0.0021)*N354)+O$1*((-0.000002)*O354^3+0.00032*O354^2+(-0.0021)*O354)</f>
        <v/>
      </c>
      <c r="AK354" s="5">
        <f>IF(AA354&lt;50,W$1*((-0.000002)*W354^3+0.00032*W354^2+(-0.0021)*W354)+X$1*((-0.000002)*X354^3+0.00032*X354^2+(-0.0021)*X354)+Y$1*((-0.000002)*Y354^3+0.00032*Y354^2+(-0.0021)*Y354)+Z$1*((-0.000002)*Z354^3+0.00032*Z354^2+(-0.0021)*Z354),X$2*((-0.000002)*X354^3+0.00032*X354^2+(-0.0021)*X354)+Y$2*((-0.000002)*Y354^3+0.00032*Y354^2+(-0.0021)*Y354)+Z$2*((-0.000002)*Z354^3+0.00032*Z354^2+(-0.0021)*Z354)+AA$2*((-0.000002)*AA354^3+0.00032*AA354^2+(-0.0021)*AA354))</f>
        <v/>
      </c>
      <c r="AL354" s="5">
        <f>AB$1*((-0.000002)*AB354^3+0.00032*AB354^2+(-0.0021)*AB354)+AC$1*((-0.000002)*AC354^3+0.00032*AC354^2+(-0.0021)*AC354)</f>
        <v/>
      </c>
      <c r="AM354" s="5">
        <f>AD$1*((-0.000002)*AD354^3+0.00032*AD354^2+(-0.0021)*AD354)+AE$1*((-0.000002)*AE354^3+0.00032*AE354^2+(-0.0021)*AE354)+AF$1*((-0.000002)*AF354^3+0.00032*AF354^2+(-0.0021)*AF354)+AG$1*((-0.000002)*AG354^3+0.00032*AG354^2+(-0.0021)*AG354)</f>
        <v/>
      </c>
    </row>
    <row r="355" ht="15" customHeight="1" s="27" thickBot="1">
      <c r="A355">
        <f>(AI355*AI$3+AJ355*AJ$3+AK355*AK$3+AL355*AL$3+AM355*AM$3)*100/(AI$5*AI$3+AJ$5*AJ$3+AK$5*AK$3+AL$5*AL$3+AM$5*AM$3)</f>
        <v/>
      </c>
      <c r="B355" s="16" t="n"/>
      <c r="C355" s="10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6" t="n"/>
      <c r="R355" s="10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5">
        <f>H$1*((-0.000002)*H355^3+0.00032*H355^2+(-0.0021)*H355)+I$1*((-0.000002)*I355^3+0.00032*I355^2+(-0.0021)*I355)+J$1*((-0.000002)*J355^3+0.00032*J355^2+(-0.0021)*J355)+K$1*((-0.000002)*K355^3+0.00032*K355^2+(-0.0021)*K355)+L$1*((-0.000002)*L355^3+0.00032*L355^2+(-0.0021)*L355)</f>
        <v/>
      </c>
      <c r="AJ355" s="5">
        <f>M$1*((-0.000002)*M355^3+0.00032*M355^2+(-0.0021)*M355)+N$1*((-0.000002)*N355^3+0.00032*N355^2+(-0.0021)*N355)+O$1*((-0.000002)*O355^3+0.00032*O355^2+(-0.0021)*O355)</f>
        <v/>
      </c>
      <c r="AK355" s="5">
        <f>IF(AA355&lt;50,W$1*((-0.000002)*W355^3+0.00032*W355^2+(-0.0021)*W355)+X$1*((-0.000002)*X355^3+0.00032*X355^2+(-0.0021)*X355)+Y$1*((-0.000002)*Y355^3+0.00032*Y355^2+(-0.0021)*Y355)+Z$1*((-0.000002)*Z355^3+0.00032*Z355^2+(-0.0021)*Z355),X$2*((-0.000002)*X355^3+0.00032*X355^2+(-0.0021)*X355)+Y$2*((-0.000002)*Y355^3+0.00032*Y355^2+(-0.0021)*Y355)+Z$2*((-0.000002)*Z355^3+0.00032*Z355^2+(-0.0021)*Z355)+AA$2*((-0.000002)*AA355^3+0.00032*AA355^2+(-0.0021)*AA355))</f>
        <v/>
      </c>
      <c r="AL355" s="5">
        <f>AB$1*((-0.000002)*AB355^3+0.00032*AB355^2+(-0.0021)*AB355)+AC$1*((-0.000002)*AC355^3+0.00032*AC355^2+(-0.0021)*AC355)</f>
        <v/>
      </c>
      <c r="AM355" s="5">
        <f>AD$1*((-0.000002)*AD355^3+0.00032*AD355^2+(-0.0021)*AD355)+AE$1*((-0.000002)*AE355^3+0.00032*AE355^2+(-0.0021)*AE355)+AF$1*((-0.000002)*AF355^3+0.00032*AF355^2+(-0.0021)*AF355)+AG$1*((-0.000002)*AG355^3+0.00032*AG355^2+(-0.0021)*AG355)</f>
        <v/>
      </c>
    </row>
    <row r="356" ht="15" customHeight="1" s="27" thickBot="1">
      <c r="A356">
        <f>(AI356*AI$3+AJ356*AJ$3+AK356*AK$3+AL356*AL$3+AM356*AM$3)*100/(AI$5*AI$3+AJ$5*AJ$3+AK$5*AK$3+AL$5*AL$3+AM$5*AM$3)</f>
        <v/>
      </c>
      <c r="B356" s="18" t="n"/>
      <c r="C356" s="11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8" t="n"/>
      <c r="R356" s="11" t="n"/>
      <c r="S356" s="19" t="n"/>
      <c r="T356" s="19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  <c r="AG356" s="19" t="n"/>
      <c r="AH356" s="19" t="n"/>
      <c r="AI356" s="5">
        <f>H$1*((-0.000002)*H356^3+0.00032*H356^2+(-0.0021)*H356)+I$1*((-0.000002)*I356^3+0.00032*I356^2+(-0.0021)*I356)+J$1*((-0.000002)*J356^3+0.00032*J356^2+(-0.0021)*J356)+K$1*((-0.000002)*K356^3+0.00032*K356^2+(-0.0021)*K356)+L$1*((-0.000002)*L356^3+0.00032*L356^2+(-0.0021)*L356)</f>
        <v/>
      </c>
      <c r="AJ356" s="5">
        <f>M$1*((-0.000002)*M356^3+0.00032*M356^2+(-0.0021)*M356)+N$1*((-0.000002)*N356^3+0.00032*N356^2+(-0.0021)*N356)+O$1*((-0.000002)*O356^3+0.00032*O356^2+(-0.0021)*O356)</f>
        <v/>
      </c>
      <c r="AK356" s="5">
        <f>IF(AA356&lt;50,W$1*((-0.000002)*W356^3+0.00032*W356^2+(-0.0021)*W356)+X$1*((-0.000002)*X356^3+0.00032*X356^2+(-0.0021)*X356)+Y$1*((-0.000002)*Y356^3+0.00032*Y356^2+(-0.0021)*Y356)+Z$1*((-0.000002)*Z356^3+0.00032*Z356^2+(-0.0021)*Z356),X$2*((-0.000002)*X356^3+0.00032*X356^2+(-0.0021)*X356)+Y$2*((-0.000002)*Y356^3+0.00032*Y356^2+(-0.0021)*Y356)+Z$2*((-0.000002)*Z356^3+0.00032*Z356^2+(-0.0021)*Z356)+AA$2*((-0.000002)*AA356^3+0.00032*AA356^2+(-0.0021)*AA356))</f>
        <v/>
      </c>
      <c r="AL356" s="5">
        <f>AB$1*((-0.000002)*AB356^3+0.00032*AB356^2+(-0.0021)*AB356)+AC$1*((-0.000002)*AC356^3+0.00032*AC356^2+(-0.0021)*AC356)</f>
        <v/>
      </c>
      <c r="AM356" s="5">
        <f>AD$1*((-0.000002)*AD356^3+0.00032*AD356^2+(-0.0021)*AD356)+AE$1*((-0.000002)*AE356^3+0.00032*AE356^2+(-0.0021)*AE356)+AF$1*((-0.000002)*AF356^3+0.00032*AF356^2+(-0.0021)*AF356)+AG$1*((-0.000002)*AG356^3+0.00032*AG356^2+(-0.0021)*AG356)</f>
        <v/>
      </c>
    </row>
    <row r="357" ht="15" customHeight="1" s="27" thickBot="1">
      <c r="A357">
        <f>(AI357*AI$3+AJ357*AJ$3+AK357*AK$3+AL357*AL$3+AM357*AM$3)*100/(AI$5*AI$3+AJ$5*AJ$3+AK$5*AK$3+AL$5*AL$3+AM$5*AM$3)</f>
        <v/>
      </c>
      <c r="B357" s="16" t="n"/>
      <c r="C357" s="10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6" t="n"/>
      <c r="R357" s="10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5">
        <f>H$1*((-0.000002)*H357^3+0.00032*H357^2+(-0.0021)*H357)+I$1*((-0.000002)*I357^3+0.00032*I357^2+(-0.0021)*I357)+J$1*((-0.000002)*J357^3+0.00032*J357^2+(-0.0021)*J357)+K$1*((-0.000002)*K357^3+0.00032*K357^2+(-0.0021)*K357)+L$1*((-0.000002)*L357^3+0.00032*L357^2+(-0.0021)*L357)</f>
        <v/>
      </c>
      <c r="AJ357" s="5">
        <f>M$1*((-0.000002)*M357^3+0.00032*M357^2+(-0.0021)*M357)+N$1*((-0.000002)*N357^3+0.00032*N357^2+(-0.0021)*N357)+O$1*((-0.000002)*O357^3+0.00032*O357^2+(-0.0021)*O357)</f>
        <v/>
      </c>
      <c r="AK357" s="5">
        <f>IF(AA357&lt;50,W$1*((-0.000002)*W357^3+0.00032*W357^2+(-0.0021)*W357)+X$1*((-0.000002)*X357^3+0.00032*X357^2+(-0.0021)*X357)+Y$1*((-0.000002)*Y357^3+0.00032*Y357^2+(-0.0021)*Y357)+Z$1*((-0.000002)*Z357^3+0.00032*Z357^2+(-0.0021)*Z357),X$2*((-0.000002)*X357^3+0.00032*X357^2+(-0.0021)*X357)+Y$2*((-0.000002)*Y357^3+0.00032*Y357^2+(-0.0021)*Y357)+Z$2*((-0.000002)*Z357^3+0.00032*Z357^2+(-0.0021)*Z357)+AA$2*((-0.000002)*AA357^3+0.00032*AA357^2+(-0.0021)*AA357))</f>
        <v/>
      </c>
      <c r="AL357" s="5">
        <f>AB$1*((-0.000002)*AB357^3+0.00032*AB357^2+(-0.0021)*AB357)+AC$1*((-0.000002)*AC357^3+0.00032*AC357^2+(-0.0021)*AC357)</f>
        <v/>
      </c>
      <c r="AM357" s="5">
        <f>AD$1*((-0.000002)*AD357^3+0.00032*AD357^2+(-0.0021)*AD357)+AE$1*((-0.000002)*AE357^3+0.00032*AE357^2+(-0.0021)*AE357)+AF$1*((-0.000002)*AF357^3+0.00032*AF357^2+(-0.0021)*AF357)+AG$1*((-0.000002)*AG357^3+0.00032*AG357^2+(-0.0021)*AG357)</f>
        <v/>
      </c>
    </row>
    <row r="358" ht="15" customHeight="1" s="27" thickBot="1">
      <c r="A358">
        <f>(AI358*AI$3+AJ358*AJ$3+AK358*AK$3+AL358*AL$3+AM358*AM$3)*100/(AI$5*AI$3+AJ$5*AJ$3+AK$5*AK$3+AL$5*AL$3+AM$5*AM$3)</f>
        <v/>
      </c>
      <c r="B358" s="18" t="n"/>
      <c r="C358" s="11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8" t="n"/>
      <c r="R358" s="11" t="n"/>
      <c r="S358" s="19" t="n"/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  <c r="AI358" s="5">
        <f>H$1*((-0.000002)*H358^3+0.00032*H358^2+(-0.0021)*H358)+I$1*((-0.000002)*I358^3+0.00032*I358^2+(-0.0021)*I358)+J$1*((-0.000002)*J358^3+0.00032*J358^2+(-0.0021)*J358)+K$1*((-0.000002)*K358^3+0.00032*K358^2+(-0.0021)*K358)+L$1*((-0.000002)*L358^3+0.00032*L358^2+(-0.0021)*L358)</f>
        <v/>
      </c>
      <c r="AJ358" s="5">
        <f>M$1*((-0.000002)*M358^3+0.00032*M358^2+(-0.0021)*M358)+N$1*((-0.000002)*N358^3+0.00032*N358^2+(-0.0021)*N358)+O$1*((-0.000002)*O358^3+0.00032*O358^2+(-0.0021)*O358)</f>
        <v/>
      </c>
      <c r="AK358" s="5">
        <f>IF(AA358&lt;50,W$1*((-0.000002)*W358^3+0.00032*W358^2+(-0.0021)*W358)+X$1*((-0.000002)*X358^3+0.00032*X358^2+(-0.0021)*X358)+Y$1*((-0.000002)*Y358^3+0.00032*Y358^2+(-0.0021)*Y358)+Z$1*((-0.000002)*Z358^3+0.00032*Z358^2+(-0.0021)*Z358),X$2*((-0.000002)*X358^3+0.00032*X358^2+(-0.0021)*X358)+Y$2*((-0.000002)*Y358^3+0.00032*Y358^2+(-0.0021)*Y358)+Z$2*((-0.000002)*Z358^3+0.00032*Z358^2+(-0.0021)*Z358)+AA$2*((-0.000002)*AA358^3+0.00032*AA358^2+(-0.0021)*AA358))</f>
        <v/>
      </c>
      <c r="AL358" s="5">
        <f>AB$1*((-0.000002)*AB358^3+0.00032*AB358^2+(-0.0021)*AB358)+AC$1*((-0.000002)*AC358^3+0.00032*AC358^2+(-0.0021)*AC358)</f>
        <v/>
      </c>
      <c r="AM358" s="5">
        <f>AD$1*((-0.000002)*AD358^3+0.00032*AD358^2+(-0.0021)*AD358)+AE$1*((-0.000002)*AE358^3+0.00032*AE358^2+(-0.0021)*AE358)+AF$1*((-0.000002)*AF358^3+0.00032*AF358^2+(-0.0021)*AF358)+AG$1*((-0.000002)*AG358^3+0.00032*AG358^2+(-0.0021)*AG358)</f>
        <v/>
      </c>
    </row>
    <row r="359" ht="15" customHeight="1" s="27" thickBot="1">
      <c r="A359">
        <f>(AI359*AI$3+AJ359*AJ$3+AK359*AK$3+AL359*AL$3+AM359*AM$3)*100/(AI$5*AI$3+AJ$5*AJ$3+AK$5*AK$3+AL$5*AL$3+AM$5*AM$3)</f>
        <v/>
      </c>
      <c r="B359" s="16" t="n"/>
      <c r="C359" s="10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6" t="n"/>
      <c r="R359" s="10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5">
        <f>H$1*((-0.000002)*H359^3+0.00032*H359^2+(-0.0021)*H359)+I$1*((-0.000002)*I359^3+0.00032*I359^2+(-0.0021)*I359)+J$1*((-0.000002)*J359^3+0.00032*J359^2+(-0.0021)*J359)+K$1*((-0.000002)*K359^3+0.00032*K359^2+(-0.0021)*K359)+L$1*((-0.000002)*L359^3+0.00032*L359^2+(-0.0021)*L359)</f>
        <v/>
      </c>
      <c r="AJ359" s="5">
        <f>M$1*((-0.000002)*M359^3+0.00032*M359^2+(-0.0021)*M359)+N$1*((-0.000002)*N359^3+0.00032*N359^2+(-0.0021)*N359)+O$1*((-0.000002)*O359^3+0.00032*O359^2+(-0.0021)*O359)</f>
        <v/>
      </c>
      <c r="AK359" s="5">
        <f>IF(AA359&lt;50,W$1*((-0.000002)*W359^3+0.00032*W359^2+(-0.0021)*W359)+X$1*((-0.000002)*X359^3+0.00032*X359^2+(-0.0021)*X359)+Y$1*((-0.000002)*Y359^3+0.00032*Y359^2+(-0.0021)*Y359)+Z$1*((-0.000002)*Z359^3+0.00032*Z359^2+(-0.0021)*Z359),X$2*((-0.000002)*X359^3+0.00032*X359^2+(-0.0021)*X359)+Y$2*((-0.000002)*Y359^3+0.00032*Y359^2+(-0.0021)*Y359)+Z$2*((-0.000002)*Z359^3+0.00032*Z359^2+(-0.0021)*Z359)+AA$2*((-0.000002)*AA359^3+0.00032*AA359^2+(-0.0021)*AA359))</f>
        <v/>
      </c>
      <c r="AL359" s="5">
        <f>AB$1*((-0.000002)*AB359^3+0.00032*AB359^2+(-0.0021)*AB359)+AC$1*((-0.000002)*AC359^3+0.00032*AC359^2+(-0.0021)*AC359)</f>
        <v/>
      </c>
      <c r="AM359" s="5">
        <f>AD$1*((-0.000002)*AD359^3+0.00032*AD359^2+(-0.0021)*AD359)+AE$1*((-0.000002)*AE359^3+0.00032*AE359^2+(-0.0021)*AE359)+AF$1*((-0.000002)*AF359^3+0.00032*AF359^2+(-0.0021)*AF359)+AG$1*((-0.000002)*AG359^3+0.00032*AG359^2+(-0.0021)*AG359)</f>
        <v/>
      </c>
    </row>
    <row r="360" ht="15" customHeight="1" s="27" thickBot="1">
      <c r="A360">
        <f>(AI360*AI$3+AJ360*AJ$3+AK360*AK$3+AL360*AL$3+AM360*AM$3)*100/(AI$5*AI$3+AJ$5*AJ$3+AK$5*AK$3+AL$5*AL$3+AM$5*AM$3)</f>
        <v/>
      </c>
      <c r="B360" s="18" t="n"/>
      <c r="C360" s="11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8" t="n"/>
      <c r="R360" s="11" t="n"/>
      <c r="S360" s="19" t="n"/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  <c r="AH360" s="19" t="n"/>
      <c r="AI360" s="5">
        <f>H$1*((-0.000002)*H360^3+0.00032*H360^2+(-0.0021)*H360)+I$1*((-0.000002)*I360^3+0.00032*I360^2+(-0.0021)*I360)+J$1*((-0.000002)*J360^3+0.00032*J360^2+(-0.0021)*J360)+K$1*((-0.000002)*K360^3+0.00032*K360^2+(-0.0021)*K360)+L$1*((-0.000002)*L360^3+0.00032*L360^2+(-0.0021)*L360)</f>
        <v/>
      </c>
      <c r="AJ360" s="5">
        <f>M$1*((-0.000002)*M360^3+0.00032*M360^2+(-0.0021)*M360)+N$1*((-0.000002)*N360^3+0.00032*N360^2+(-0.0021)*N360)+O$1*((-0.000002)*O360^3+0.00032*O360^2+(-0.0021)*O360)</f>
        <v/>
      </c>
      <c r="AK360" s="5">
        <f>IF(AA360&lt;50,W$1*((-0.000002)*W360^3+0.00032*W360^2+(-0.0021)*W360)+X$1*((-0.000002)*X360^3+0.00032*X360^2+(-0.0021)*X360)+Y$1*((-0.000002)*Y360^3+0.00032*Y360^2+(-0.0021)*Y360)+Z$1*((-0.000002)*Z360^3+0.00032*Z360^2+(-0.0021)*Z360),X$2*((-0.000002)*X360^3+0.00032*X360^2+(-0.0021)*X360)+Y$2*((-0.000002)*Y360^3+0.00032*Y360^2+(-0.0021)*Y360)+Z$2*((-0.000002)*Z360^3+0.00032*Z360^2+(-0.0021)*Z360)+AA$2*((-0.000002)*AA360^3+0.00032*AA360^2+(-0.0021)*AA360))</f>
        <v/>
      </c>
      <c r="AL360" s="5">
        <f>AB$1*((-0.000002)*AB360^3+0.00032*AB360^2+(-0.0021)*AB360)+AC$1*((-0.000002)*AC360^3+0.00032*AC360^2+(-0.0021)*AC360)</f>
        <v/>
      </c>
      <c r="AM360" s="5">
        <f>AD$1*((-0.000002)*AD360^3+0.00032*AD360^2+(-0.0021)*AD360)+AE$1*((-0.000002)*AE360^3+0.00032*AE360^2+(-0.0021)*AE360)+AF$1*((-0.000002)*AF360^3+0.00032*AF360^2+(-0.0021)*AF360)+AG$1*((-0.000002)*AG360^3+0.00032*AG360^2+(-0.0021)*AG360)</f>
        <v/>
      </c>
    </row>
    <row r="361" ht="15" customHeight="1" s="27" thickBot="1">
      <c r="A361">
        <f>(AI361*AI$3+AJ361*AJ$3+AK361*AK$3+AL361*AL$3+AM361*AM$3)*100/(AI$5*AI$3+AJ$5*AJ$3+AK$5*AK$3+AL$5*AL$3+AM$5*AM$3)</f>
        <v/>
      </c>
      <c r="B361" s="16" t="n"/>
      <c r="C361" s="10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6" t="n"/>
      <c r="R361" s="10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5">
        <f>H$1*((-0.000002)*H361^3+0.00032*H361^2+(-0.0021)*H361)+I$1*((-0.000002)*I361^3+0.00032*I361^2+(-0.0021)*I361)+J$1*((-0.000002)*J361^3+0.00032*J361^2+(-0.0021)*J361)+K$1*((-0.000002)*K361^3+0.00032*K361^2+(-0.0021)*K361)+L$1*((-0.000002)*L361^3+0.00032*L361^2+(-0.0021)*L361)</f>
        <v/>
      </c>
      <c r="AJ361" s="5">
        <f>M$1*((-0.000002)*M361^3+0.00032*M361^2+(-0.0021)*M361)+N$1*((-0.000002)*N361^3+0.00032*N361^2+(-0.0021)*N361)+O$1*((-0.000002)*O361^3+0.00032*O361^2+(-0.0021)*O361)</f>
        <v/>
      </c>
      <c r="AK361" s="5">
        <f>IF(AA361&lt;50,W$1*((-0.000002)*W361^3+0.00032*W361^2+(-0.0021)*W361)+X$1*((-0.000002)*X361^3+0.00032*X361^2+(-0.0021)*X361)+Y$1*((-0.000002)*Y361^3+0.00032*Y361^2+(-0.0021)*Y361)+Z$1*((-0.000002)*Z361^3+0.00032*Z361^2+(-0.0021)*Z361),X$2*((-0.000002)*X361^3+0.00032*X361^2+(-0.0021)*X361)+Y$2*((-0.000002)*Y361^3+0.00032*Y361^2+(-0.0021)*Y361)+Z$2*((-0.000002)*Z361^3+0.00032*Z361^2+(-0.0021)*Z361)+AA$2*((-0.000002)*AA361^3+0.00032*AA361^2+(-0.0021)*AA361))</f>
        <v/>
      </c>
      <c r="AL361" s="5">
        <f>AB$1*((-0.000002)*AB361^3+0.00032*AB361^2+(-0.0021)*AB361)+AC$1*((-0.000002)*AC361^3+0.00032*AC361^2+(-0.0021)*AC361)</f>
        <v/>
      </c>
      <c r="AM361" s="5">
        <f>AD$1*((-0.000002)*AD361^3+0.00032*AD361^2+(-0.0021)*AD361)+AE$1*((-0.000002)*AE361^3+0.00032*AE361^2+(-0.0021)*AE361)+AF$1*((-0.000002)*AF361^3+0.00032*AF361^2+(-0.0021)*AF361)+AG$1*((-0.000002)*AG361^3+0.00032*AG361^2+(-0.0021)*AG361)</f>
        <v/>
      </c>
    </row>
    <row r="362" ht="15" customHeight="1" s="27" thickBot="1">
      <c r="A362">
        <f>(AI362*AI$3+AJ362*AJ$3+AK362*AK$3+AL362*AL$3+AM362*AM$3)*100/(AI$5*AI$3+AJ$5*AJ$3+AK$5*AK$3+AL$5*AL$3+AM$5*AM$3)</f>
        <v/>
      </c>
      <c r="B362" s="18" t="n"/>
      <c r="C362" s="11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8" t="n"/>
      <c r="R362" s="11" t="n"/>
      <c r="S362" s="19" t="n"/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  <c r="AI362" s="5">
        <f>H$1*((-0.000002)*H362^3+0.00032*H362^2+(-0.0021)*H362)+I$1*((-0.000002)*I362^3+0.00032*I362^2+(-0.0021)*I362)+J$1*((-0.000002)*J362^3+0.00032*J362^2+(-0.0021)*J362)+K$1*((-0.000002)*K362^3+0.00032*K362^2+(-0.0021)*K362)+L$1*((-0.000002)*L362^3+0.00032*L362^2+(-0.0021)*L362)</f>
        <v/>
      </c>
      <c r="AJ362" s="5">
        <f>M$1*((-0.000002)*M362^3+0.00032*M362^2+(-0.0021)*M362)+N$1*((-0.000002)*N362^3+0.00032*N362^2+(-0.0021)*N362)+O$1*((-0.000002)*O362^3+0.00032*O362^2+(-0.0021)*O362)</f>
        <v/>
      </c>
      <c r="AK362" s="5">
        <f>IF(AA362&lt;50,W$1*((-0.000002)*W362^3+0.00032*W362^2+(-0.0021)*W362)+X$1*((-0.000002)*X362^3+0.00032*X362^2+(-0.0021)*X362)+Y$1*((-0.000002)*Y362^3+0.00032*Y362^2+(-0.0021)*Y362)+Z$1*((-0.000002)*Z362^3+0.00032*Z362^2+(-0.0021)*Z362),X$2*((-0.000002)*X362^3+0.00032*X362^2+(-0.0021)*X362)+Y$2*((-0.000002)*Y362^3+0.00032*Y362^2+(-0.0021)*Y362)+Z$2*((-0.000002)*Z362^3+0.00032*Z362^2+(-0.0021)*Z362)+AA$2*((-0.000002)*AA362^3+0.00032*AA362^2+(-0.0021)*AA362))</f>
        <v/>
      </c>
      <c r="AL362" s="5">
        <f>AB$1*((-0.000002)*AB362^3+0.00032*AB362^2+(-0.0021)*AB362)+AC$1*((-0.000002)*AC362^3+0.00032*AC362^2+(-0.0021)*AC362)</f>
        <v/>
      </c>
      <c r="AM362" s="5">
        <f>AD$1*((-0.000002)*AD362^3+0.00032*AD362^2+(-0.0021)*AD362)+AE$1*((-0.000002)*AE362^3+0.00032*AE362^2+(-0.0021)*AE362)+AF$1*((-0.000002)*AF362^3+0.00032*AF362^2+(-0.0021)*AF362)+AG$1*((-0.000002)*AG362^3+0.00032*AG362^2+(-0.0021)*AG362)</f>
        <v/>
      </c>
    </row>
    <row r="363" ht="15" customHeight="1" s="27" thickBot="1">
      <c r="A363">
        <f>(AI363*AI$3+AJ363*AJ$3+AK363*AK$3+AL363*AL$3+AM363*AM$3)*100/(AI$5*AI$3+AJ$5*AJ$3+AK$5*AK$3+AL$5*AL$3+AM$5*AM$3)</f>
        <v/>
      </c>
      <c r="B363" s="16" t="n"/>
      <c r="C363" s="10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6" t="n"/>
      <c r="R363" s="10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5">
        <f>H$1*((-0.000002)*H363^3+0.00032*H363^2+(-0.0021)*H363)+I$1*((-0.000002)*I363^3+0.00032*I363^2+(-0.0021)*I363)+J$1*((-0.000002)*J363^3+0.00032*J363^2+(-0.0021)*J363)+K$1*((-0.000002)*K363^3+0.00032*K363^2+(-0.0021)*K363)+L$1*((-0.000002)*L363^3+0.00032*L363^2+(-0.0021)*L363)</f>
        <v/>
      </c>
      <c r="AJ363" s="5">
        <f>M$1*((-0.000002)*M363^3+0.00032*M363^2+(-0.0021)*M363)+N$1*((-0.000002)*N363^3+0.00032*N363^2+(-0.0021)*N363)+O$1*((-0.000002)*O363^3+0.00032*O363^2+(-0.0021)*O363)</f>
        <v/>
      </c>
      <c r="AK363" s="5">
        <f>IF(AA363&lt;50,W$1*((-0.000002)*W363^3+0.00032*W363^2+(-0.0021)*W363)+X$1*((-0.000002)*X363^3+0.00032*X363^2+(-0.0021)*X363)+Y$1*((-0.000002)*Y363^3+0.00032*Y363^2+(-0.0021)*Y363)+Z$1*((-0.000002)*Z363^3+0.00032*Z363^2+(-0.0021)*Z363),X$2*((-0.000002)*X363^3+0.00032*X363^2+(-0.0021)*X363)+Y$2*((-0.000002)*Y363^3+0.00032*Y363^2+(-0.0021)*Y363)+Z$2*((-0.000002)*Z363^3+0.00032*Z363^2+(-0.0021)*Z363)+AA$2*((-0.000002)*AA363^3+0.00032*AA363^2+(-0.0021)*AA363))</f>
        <v/>
      </c>
      <c r="AL363" s="5">
        <f>AB$1*((-0.000002)*AB363^3+0.00032*AB363^2+(-0.0021)*AB363)+AC$1*((-0.000002)*AC363^3+0.00032*AC363^2+(-0.0021)*AC363)</f>
        <v/>
      </c>
      <c r="AM363" s="5">
        <f>AD$1*((-0.000002)*AD363^3+0.00032*AD363^2+(-0.0021)*AD363)+AE$1*((-0.000002)*AE363^3+0.00032*AE363^2+(-0.0021)*AE363)+AF$1*((-0.000002)*AF363^3+0.00032*AF363^2+(-0.0021)*AF363)+AG$1*((-0.000002)*AG363^3+0.00032*AG363^2+(-0.0021)*AG363)</f>
        <v/>
      </c>
    </row>
    <row r="364" ht="15" customHeight="1" s="27" thickBot="1">
      <c r="A364">
        <f>(AI364*AI$3+AJ364*AJ$3+AK364*AK$3+AL364*AL$3+AM364*AM$3)*100/(AI$5*AI$3+AJ$5*AJ$3+AK$5*AK$3+AL$5*AL$3+AM$5*AM$3)</f>
        <v/>
      </c>
      <c r="B364" s="18" t="n"/>
      <c r="C364" s="11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8" t="n"/>
      <c r="R364" s="11" t="n"/>
      <c r="S364" s="19" t="n"/>
      <c r="T364" s="19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  <c r="AG364" s="19" t="n"/>
      <c r="AH364" s="19" t="n"/>
      <c r="AI364" s="5">
        <f>H$1*((-0.000002)*H364^3+0.00032*H364^2+(-0.0021)*H364)+I$1*((-0.000002)*I364^3+0.00032*I364^2+(-0.0021)*I364)+J$1*((-0.000002)*J364^3+0.00032*J364^2+(-0.0021)*J364)+K$1*((-0.000002)*K364^3+0.00032*K364^2+(-0.0021)*K364)+L$1*((-0.000002)*L364^3+0.00032*L364^2+(-0.0021)*L364)</f>
        <v/>
      </c>
      <c r="AJ364" s="5">
        <f>M$1*((-0.000002)*M364^3+0.00032*M364^2+(-0.0021)*M364)+N$1*((-0.000002)*N364^3+0.00032*N364^2+(-0.0021)*N364)+O$1*((-0.000002)*O364^3+0.00032*O364^2+(-0.0021)*O364)</f>
        <v/>
      </c>
      <c r="AK364" s="5">
        <f>IF(AA364&lt;50,W$1*((-0.000002)*W364^3+0.00032*W364^2+(-0.0021)*W364)+X$1*((-0.000002)*X364^3+0.00032*X364^2+(-0.0021)*X364)+Y$1*((-0.000002)*Y364^3+0.00032*Y364^2+(-0.0021)*Y364)+Z$1*((-0.000002)*Z364^3+0.00032*Z364^2+(-0.0021)*Z364),X$2*((-0.000002)*X364^3+0.00032*X364^2+(-0.0021)*X364)+Y$2*((-0.000002)*Y364^3+0.00032*Y364^2+(-0.0021)*Y364)+Z$2*((-0.000002)*Z364^3+0.00032*Z364^2+(-0.0021)*Z364)+AA$2*((-0.000002)*AA364^3+0.00032*AA364^2+(-0.0021)*AA364))</f>
        <v/>
      </c>
      <c r="AL364" s="5">
        <f>AB$1*((-0.000002)*AB364^3+0.00032*AB364^2+(-0.0021)*AB364)+AC$1*((-0.000002)*AC364^3+0.00032*AC364^2+(-0.0021)*AC364)</f>
        <v/>
      </c>
      <c r="AM364" s="5">
        <f>AD$1*((-0.000002)*AD364^3+0.00032*AD364^2+(-0.0021)*AD364)+AE$1*((-0.000002)*AE364^3+0.00032*AE364^2+(-0.0021)*AE364)+AF$1*((-0.000002)*AF364^3+0.00032*AF364^2+(-0.0021)*AF364)+AG$1*((-0.000002)*AG364^3+0.00032*AG364^2+(-0.0021)*AG364)</f>
        <v/>
      </c>
    </row>
    <row r="365" ht="15" customHeight="1" s="27" thickBot="1">
      <c r="A365">
        <f>(AI365*AI$3+AJ365*AJ$3+AK365*AK$3+AL365*AL$3+AM365*AM$3)*100/(AI$5*AI$3+AJ$5*AJ$3+AK$5*AK$3+AL$5*AL$3+AM$5*AM$3)</f>
        <v/>
      </c>
      <c r="B365" s="16" t="n"/>
      <c r="C365" s="10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6" t="n"/>
      <c r="R365" s="10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5">
        <f>H$1*((-0.000002)*H365^3+0.00032*H365^2+(-0.0021)*H365)+I$1*((-0.000002)*I365^3+0.00032*I365^2+(-0.0021)*I365)+J$1*((-0.000002)*J365^3+0.00032*J365^2+(-0.0021)*J365)+K$1*((-0.000002)*K365^3+0.00032*K365^2+(-0.0021)*K365)+L$1*((-0.000002)*L365^3+0.00032*L365^2+(-0.0021)*L365)</f>
        <v/>
      </c>
      <c r="AJ365" s="5">
        <f>M$1*((-0.000002)*M365^3+0.00032*M365^2+(-0.0021)*M365)+N$1*((-0.000002)*N365^3+0.00032*N365^2+(-0.0021)*N365)+O$1*((-0.000002)*O365^3+0.00032*O365^2+(-0.0021)*O365)</f>
        <v/>
      </c>
      <c r="AK365" s="5">
        <f>IF(AA365&lt;50,W$1*((-0.000002)*W365^3+0.00032*W365^2+(-0.0021)*W365)+X$1*((-0.000002)*X365^3+0.00032*X365^2+(-0.0021)*X365)+Y$1*((-0.000002)*Y365^3+0.00032*Y365^2+(-0.0021)*Y365)+Z$1*((-0.000002)*Z365^3+0.00032*Z365^2+(-0.0021)*Z365),X$2*((-0.000002)*X365^3+0.00032*X365^2+(-0.0021)*X365)+Y$2*((-0.000002)*Y365^3+0.00032*Y365^2+(-0.0021)*Y365)+Z$2*((-0.000002)*Z365^3+0.00032*Z365^2+(-0.0021)*Z365)+AA$2*((-0.000002)*AA365^3+0.00032*AA365^2+(-0.0021)*AA365))</f>
        <v/>
      </c>
      <c r="AL365" s="5">
        <f>AB$1*((-0.000002)*AB365^3+0.00032*AB365^2+(-0.0021)*AB365)+AC$1*((-0.000002)*AC365^3+0.00032*AC365^2+(-0.0021)*AC365)</f>
        <v/>
      </c>
      <c r="AM365" s="5">
        <f>AD$1*((-0.000002)*AD365^3+0.00032*AD365^2+(-0.0021)*AD365)+AE$1*((-0.000002)*AE365^3+0.00032*AE365^2+(-0.0021)*AE365)+AF$1*((-0.000002)*AF365^3+0.00032*AF365^2+(-0.0021)*AF365)+AG$1*((-0.000002)*AG365^3+0.00032*AG365^2+(-0.0021)*AG365)</f>
        <v/>
      </c>
    </row>
    <row r="366" ht="15" customHeight="1" s="27" thickBot="1">
      <c r="A366">
        <f>(AI366*AI$3+AJ366*AJ$3+AK366*AK$3+AL366*AL$3+AM366*AM$3)*100/(AI$5*AI$3+AJ$5*AJ$3+AK$5*AK$3+AL$5*AL$3+AM$5*AM$3)</f>
        <v/>
      </c>
      <c r="B366" s="18" t="n"/>
      <c r="C366" s="11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8" t="n"/>
      <c r="R366" s="11" t="n"/>
      <c r="S366" s="19" t="n"/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  <c r="AI366" s="5">
        <f>H$1*((-0.000002)*H366^3+0.00032*H366^2+(-0.0021)*H366)+I$1*((-0.000002)*I366^3+0.00032*I366^2+(-0.0021)*I366)+J$1*((-0.000002)*J366^3+0.00032*J366^2+(-0.0021)*J366)+K$1*((-0.000002)*K366^3+0.00032*K366^2+(-0.0021)*K366)+L$1*((-0.000002)*L366^3+0.00032*L366^2+(-0.0021)*L366)</f>
        <v/>
      </c>
      <c r="AJ366" s="5">
        <f>M$1*((-0.000002)*M366^3+0.00032*M366^2+(-0.0021)*M366)+N$1*((-0.000002)*N366^3+0.00032*N366^2+(-0.0021)*N366)+O$1*((-0.000002)*O366^3+0.00032*O366^2+(-0.0021)*O366)</f>
        <v/>
      </c>
      <c r="AK366" s="5">
        <f>IF(AA366&lt;50,W$1*((-0.000002)*W366^3+0.00032*W366^2+(-0.0021)*W366)+X$1*((-0.000002)*X366^3+0.00032*X366^2+(-0.0021)*X366)+Y$1*((-0.000002)*Y366^3+0.00032*Y366^2+(-0.0021)*Y366)+Z$1*((-0.000002)*Z366^3+0.00032*Z366^2+(-0.0021)*Z366),X$2*((-0.000002)*X366^3+0.00032*X366^2+(-0.0021)*X366)+Y$2*((-0.000002)*Y366^3+0.00032*Y366^2+(-0.0021)*Y366)+Z$2*((-0.000002)*Z366^3+0.00032*Z366^2+(-0.0021)*Z366)+AA$2*((-0.000002)*AA366^3+0.00032*AA366^2+(-0.0021)*AA366))</f>
        <v/>
      </c>
      <c r="AL366" s="5">
        <f>AB$1*((-0.000002)*AB366^3+0.00032*AB366^2+(-0.0021)*AB366)+AC$1*((-0.000002)*AC366^3+0.00032*AC366^2+(-0.0021)*AC366)</f>
        <v/>
      </c>
      <c r="AM366" s="5">
        <f>AD$1*((-0.000002)*AD366^3+0.00032*AD366^2+(-0.0021)*AD366)+AE$1*((-0.000002)*AE366^3+0.00032*AE366^2+(-0.0021)*AE366)+AF$1*((-0.000002)*AF366^3+0.00032*AF366^2+(-0.0021)*AF366)+AG$1*((-0.000002)*AG366^3+0.00032*AG366^2+(-0.0021)*AG366)</f>
        <v/>
      </c>
    </row>
    <row r="367" ht="15" customHeight="1" s="27" thickBot="1">
      <c r="A367">
        <f>(AI367*AI$3+AJ367*AJ$3+AK367*AK$3+AL367*AL$3+AM367*AM$3)*100/(AI$5*AI$3+AJ$5*AJ$3+AK$5*AK$3+AL$5*AL$3+AM$5*AM$3)</f>
        <v/>
      </c>
      <c r="B367" s="16" t="n"/>
      <c r="C367" s="10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6" t="n"/>
      <c r="R367" s="10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5">
        <f>H$1*((-0.000002)*H367^3+0.00032*H367^2+(-0.0021)*H367)+I$1*((-0.000002)*I367^3+0.00032*I367^2+(-0.0021)*I367)+J$1*((-0.000002)*J367^3+0.00032*J367^2+(-0.0021)*J367)+K$1*((-0.000002)*K367^3+0.00032*K367^2+(-0.0021)*K367)+L$1*((-0.000002)*L367^3+0.00032*L367^2+(-0.0021)*L367)</f>
        <v/>
      </c>
      <c r="AJ367" s="5">
        <f>M$1*((-0.000002)*M367^3+0.00032*M367^2+(-0.0021)*M367)+N$1*((-0.000002)*N367^3+0.00032*N367^2+(-0.0021)*N367)+O$1*((-0.000002)*O367^3+0.00032*O367^2+(-0.0021)*O367)</f>
        <v/>
      </c>
      <c r="AK367" s="5">
        <f>IF(AA367&lt;50,W$1*((-0.000002)*W367^3+0.00032*W367^2+(-0.0021)*W367)+X$1*((-0.000002)*X367^3+0.00032*X367^2+(-0.0021)*X367)+Y$1*((-0.000002)*Y367^3+0.00032*Y367^2+(-0.0021)*Y367)+Z$1*((-0.000002)*Z367^3+0.00032*Z367^2+(-0.0021)*Z367),X$2*((-0.000002)*X367^3+0.00032*X367^2+(-0.0021)*X367)+Y$2*((-0.000002)*Y367^3+0.00032*Y367^2+(-0.0021)*Y367)+Z$2*((-0.000002)*Z367^3+0.00032*Z367^2+(-0.0021)*Z367)+AA$2*((-0.000002)*AA367^3+0.00032*AA367^2+(-0.0021)*AA367))</f>
        <v/>
      </c>
      <c r="AL367" s="5">
        <f>AB$1*((-0.000002)*AB367^3+0.00032*AB367^2+(-0.0021)*AB367)+AC$1*((-0.000002)*AC367^3+0.00032*AC367^2+(-0.0021)*AC367)</f>
        <v/>
      </c>
      <c r="AM367" s="5">
        <f>AD$1*((-0.000002)*AD367^3+0.00032*AD367^2+(-0.0021)*AD367)+AE$1*((-0.000002)*AE367^3+0.00032*AE367^2+(-0.0021)*AE367)+AF$1*((-0.000002)*AF367^3+0.00032*AF367^2+(-0.0021)*AF367)+AG$1*((-0.000002)*AG367^3+0.00032*AG367^2+(-0.0021)*AG367)</f>
        <v/>
      </c>
    </row>
    <row r="368" ht="15" customHeight="1" s="27" thickBot="1">
      <c r="A368">
        <f>(AI368*AI$3+AJ368*AJ$3+AK368*AK$3+AL368*AL$3+AM368*AM$3)*100/(AI$5*AI$3+AJ$5*AJ$3+AK$5*AK$3+AL$5*AL$3+AM$5*AM$3)</f>
        <v/>
      </c>
      <c r="B368" s="18" t="n"/>
      <c r="C368" s="11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8" t="n"/>
      <c r="R368" s="11" t="n"/>
      <c r="S368" s="19" t="n"/>
      <c r="T368" s="19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  <c r="AG368" s="19" t="n"/>
      <c r="AH368" s="19" t="n"/>
      <c r="AI368" s="5">
        <f>H$1*((-0.000002)*H368^3+0.00032*H368^2+(-0.0021)*H368)+I$1*((-0.000002)*I368^3+0.00032*I368^2+(-0.0021)*I368)+J$1*((-0.000002)*J368^3+0.00032*J368^2+(-0.0021)*J368)+K$1*((-0.000002)*K368^3+0.00032*K368^2+(-0.0021)*K368)+L$1*((-0.000002)*L368^3+0.00032*L368^2+(-0.0021)*L368)</f>
        <v/>
      </c>
      <c r="AJ368" s="5">
        <f>M$1*((-0.000002)*M368^3+0.00032*M368^2+(-0.0021)*M368)+N$1*((-0.000002)*N368^3+0.00032*N368^2+(-0.0021)*N368)+O$1*((-0.000002)*O368^3+0.00032*O368^2+(-0.0021)*O368)</f>
        <v/>
      </c>
      <c r="AK368" s="5">
        <f>IF(AA368&lt;50,W$1*((-0.000002)*W368^3+0.00032*W368^2+(-0.0021)*W368)+X$1*((-0.000002)*X368^3+0.00032*X368^2+(-0.0021)*X368)+Y$1*((-0.000002)*Y368^3+0.00032*Y368^2+(-0.0021)*Y368)+Z$1*((-0.000002)*Z368^3+0.00032*Z368^2+(-0.0021)*Z368),X$2*((-0.000002)*X368^3+0.00032*X368^2+(-0.0021)*X368)+Y$2*((-0.000002)*Y368^3+0.00032*Y368^2+(-0.0021)*Y368)+Z$2*((-0.000002)*Z368^3+0.00032*Z368^2+(-0.0021)*Z368)+AA$2*((-0.000002)*AA368^3+0.00032*AA368^2+(-0.0021)*AA368))</f>
        <v/>
      </c>
      <c r="AL368" s="5">
        <f>AB$1*((-0.000002)*AB368^3+0.00032*AB368^2+(-0.0021)*AB368)+AC$1*((-0.000002)*AC368^3+0.00032*AC368^2+(-0.0021)*AC368)</f>
        <v/>
      </c>
      <c r="AM368" s="5">
        <f>AD$1*((-0.000002)*AD368^3+0.00032*AD368^2+(-0.0021)*AD368)+AE$1*((-0.000002)*AE368^3+0.00032*AE368^2+(-0.0021)*AE368)+AF$1*((-0.000002)*AF368^3+0.00032*AF368^2+(-0.0021)*AF368)+AG$1*((-0.000002)*AG368^3+0.00032*AG368^2+(-0.0021)*AG368)</f>
        <v/>
      </c>
    </row>
    <row r="369" ht="15" customHeight="1" s="27" thickBot="1">
      <c r="A369">
        <f>(AI369*AI$3+AJ369*AJ$3+AK369*AK$3+AL369*AL$3+AM369*AM$3)*100/(AI$5*AI$3+AJ$5*AJ$3+AK$5*AK$3+AL$5*AL$3+AM$5*AM$3)</f>
        <v/>
      </c>
      <c r="B369" s="16" t="n"/>
      <c r="C369" s="10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6" t="n"/>
      <c r="R369" s="10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5">
        <f>H$1*((-0.000002)*H369^3+0.00032*H369^2+(-0.0021)*H369)+I$1*((-0.000002)*I369^3+0.00032*I369^2+(-0.0021)*I369)+J$1*((-0.000002)*J369^3+0.00032*J369^2+(-0.0021)*J369)+K$1*((-0.000002)*K369^3+0.00032*K369^2+(-0.0021)*K369)+L$1*((-0.000002)*L369^3+0.00032*L369^2+(-0.0021)*L369)</f>
        <v/>
      </c>
      <c r="AJ369" s="5">
        <f>M$1*((-0.000002)*M369^3+0.00032*M369^2+(-0.0021)*M369)+N$1*((-0.000002)*N369^3+0.00032*N369^2+(-0.0021)*N369)+O$1*((-0.000002)*O369^3+0.00032*O369^2+(-0.0021)*O369)</f>
        <v/>
      </c>
      <c r="AK369" s="5">
        <f>IF(AA369&lt;50,W$1*((-0.000002)*W369^3+0.00032*W369^2+(-0.0021)*W369)+X$1*((-0.000002)*X369^3+0.00032*X369^2+(-0.0021)*X369)+Y$1*((-0.000002)*Y369^3+0.00032*Y369^2+(-0.0021)*Y369)+Z$1*((-0.000002)*Z369^3+0.00032*Z369^2+(-0.0021)*Z369),X$2*((-0.000002)*X369^3+0.00032*X369^2+(-0.0021)*X369)+Y$2*((-0.000002)*Y369^3+0.00032*Y369^2+(-0.0021)*Y369)+Z$2*((-0.000002)*Z369^3+0.00032*Z369^2+(-0.0021)*Z369)+AA$2*((-0.000002)*AA369^3+0.00032*AA369^2+(-0.0021)*AA369))</f>
        <v/>
      </c>
      <c r="AL369" s="5">
        <f>AB$1*((-0.000002)*AB369^3+0.00032*AB369^2+(-0.0021)*AB369)+AC$1*((-0.000002)*AC369^3+0.00032*AC369^2+(-0.0021)*AC369)</f>
        <v/>
      </c>
      <c r="AM369" s="5">
        <f>AD$1*((-0.000002)*AD369^3+0.00032*AD369^2+(-0.0021)*AD369)+AE$1*((-0.000002)*AE369^3+0.00032*AE369^2+(-0.0021)*AE369)+AF$1*((-0.000002)*AF369^3+0.00032*AF369^2+(-0.0021)*AF369)+AG$1*((-0.000002)*AG369^3+0.00032*AG369^2+(-0.0021)*AG369)</f>
        <v/>
      </c>
    </row>
    <row r="370" ht="15" customHeight="1" s="27" thickBot="1">
      <c r="A370">
        <f>(AI370*AI$3+AJ370*AJ$3+AK370*AK$3+AL370*AL$3+AM370*AM$3)*100/(AI$5*AI$3+AJ$5*AJ$3+AK$5*AK$3+AL$5*AL$3+AM$5*AM$3)</f>
        <v/>
      </c>
      <c r="B370" s="18" t="n"/>
      <c r="C370" s="11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8" t="n"/>
      <c r="R370" s="11" t="n"/>
      <c r="S370" s="19" t="n"/>
      <c r="T370" s="19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  <c r="AG370" s="19" t="n"/>
      <c r="AH370" s="19" t="n"/>
      <c r="AI370" s="5">
        <f>H$1*((-0.000002)*H370^3+0.00032*H370^2+(-0.0021)*H370)+I$1*((-0.000002)*I370^3+0.00032*I370^2+(-0.0021)*I370)+J$1*((-0.000002)*J370^3+0.00032*J370^2+(-0.0021)*J370)+K$1*((-0.000002)*K370^3+0.00032*K370^2+(-0.0021)*K370)+L$1*((-0.000002)*L370^3+0.00032*L370^2+(-0.0021)*L370)</f>
        <v/>
      </c>
      <c r="AJ370" s="5">
        <f>M$1*((-0.000002)*M370^3+0.00032*M370^2+(-0.0021)*M370)+N$1*((-0.000002)*N370^3+0.00032*N370^2+(-0.0021)*N370)+O$1*((-0.000002)*O370^3+0.00032*O370^2+(-0.0021)*O370)</f>
        <v/>
      </c>
      <c r="AK370" s="5">
        <f>IF(AA370&lt;50,W$1*((-0.000002)*W370^3+0.00032*W370^2+(-0.0021)*W370)+X$1*((-0.000002)*X370^3+0.00032*X370^2+(-0.0021)*X370)+Y$1*((-0.000002)*Y370^3+0.00032*Y370^2+(-0.0021)*Y370)+Z$1*((-0.000002)*Z370^3+0.00032*Z370^2+(-0.0021)*Z370),X$2*((-0.000002)*X370^3+0.00032*X370^2+(-0.0021)*X370)+Y$2*((-0.000002)*Y370^3+0.00032*Y370^2+(-0.0021)*Y370)+Z$2*((-0.000002)*Z370^3+0.00032*Z370^2+(-0.0021)*Z370)+AA$2*((-0.000002)*AA370^3+0.00032*AA370^2+(-0.0021)*AA370))</f>
        <v/>
      </c>
      <c r="AL370" s="5">
        <f>AB$1*((-0.000002)*AB370^3+0.00032*AB370^2+(-0.0021)*AB370)+AC$1*((-0.000002)*AC370^3+0.00032*AC370^2+(-0.0021)*AC370)</f>
        <v/>
      </c>
      <c r="AM370" s="5">
        <f>AD$1*((-0.000002)*AD370^3+0.00032*AD370^2+(-0.0021)*AD370)+AE$1*((-0.000002)*AE370^3+0.00032*AE370^2+(-0.0021)*AE370)+AF$1*((-0.000002)*AF370^3+0.00032*AF370^2+(-0.0021)*AF370)+AG$1*((-0.000002)*AG370^3+0.00032*AG370^2+(-0.0021)*AG370)</f>
        <v/>
      </c>
    </row>
    <row r="371" ht="15" customHeight="1" s="27" thickBot="1">
      <c r="A371">
        <f>(AI371*AI$3+AJ371*AJ$3+AK371*AK$3+AL371*AL$3+AM371*AM$3)*100/(AI$5*AI$3+AJ$5*AJ$3+AK$5*AK$3+AL$5*AL$3+AM$5*AM$3)</f>
        <v/>
      </c>
      <c r="B371" s="16" t="n"/>
      <c r="C371" s="10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6" t="n"/>
      <c r="R371" s="10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5">
        <f>H$1*((-0.000002)*H371^3+0.00032*H371^2+(-0.0021)*H371)+I$1*((-0.000002)*I371^3+0.00032*I371^2+(-0.0021)*I371)+J$1*((-0.000002)*J371^3+0.00032*J371^2+(-0.0021)*J371)+K$1*((-0.000002)*K371^3+0.00032*K371^2+(-0.0021)*K371)+L$1*((-0.000002)*L371^3+0.00032*L371^2+(-0.0021)*L371)</f>
        <v/>
      </c>
      <c r="AJ371" s="5">
        <f>M$1*((-0.000002)*M371^3+0.00032*M371^2+(-0.0021)*M371)+N$1*((-0.000002)*N371^3+0.00032*N371^2+(-0.0021)*N371)+O$1*((-0.000002)*O371^3+0.00032*O371^2+(-0.0021)*O371)</f>
        <v/>
      </c>
      <c r="AK371" s="5">
        <f>IF(AA371&lt;50,W$1*((-0.000002)*W371^3+0.00032*W371^2+(-0.0021)*W371)+X$1*((-0.000002)*X371^3+0.00032*X371^2+(-0.0021)*X371)+Y$1*((-0.000002)*Y371^3+0.00032*Y371^2+(-0.0021)*Y371)+Z$1*((-0.000002)*Z371^3+0.00032*Z371^2+(-0.0021)*Z371),X$2*((-0.000002)*X371^3+0.00032*X371^2+(-0.0021)*X371)+Y$2*((-0.000002)*Y371^3+0.00032*Y371^2+(-0.0021)*Y371)+Z$2*((-0.000002)*Z371^3+0.00032*Z371^2+(-0.0021)*Z371)+AA$2*((-0.000002)*AA371^3+0.00032*AA371^2+(-0.0021)*AA371))</f>
        <v/>
      </c>
      <c r="AL371" s="5">
        <f>AB$1*((-0.000002)*AB371^3+0.00032*AB371^2+(-0.0021)*AB371)+AC$1*((-0.000002)*AC371^3+0.00032*AC371^2+(-0.0021)*AC371)</f>
        <v/>
      </c>
      <c r="AM371" s="5">
        <f>AD$1*((-0.000002)*AD371^3+0.00032*AD371^2+(-0.0021)*AD371)+AE$1*((-0.000002)*AE371^3+0.00032*AE371^2+(-0.0021)*AE371)+AF$1*((-0.000002)*AF371^3+0.00032*AF371^2+(-0.0021)*AF371)+AG$1*((-0.000002)*AG371^3+0.00032*AG371^2+(-0.0021)*AG371)</f>
        <v/>
      </c>
    </row>
    <row r="372" ht="15" customHeight="1" s="27" thickBot="1">
      <c r="A372">
        <f>(AI372*AI$3+AJ372*AJ$3+AK372*AK$3+AL372*AL$3+AM372*AM$3)*100/(AI$5*AI$3+AJ$5*AJ$3+AK$5*AK$3+AL$5*AL$3+AM$5*AM$3)</f>
        <v/>
      </c>
      <c r="B372" s="18" t="n"/>
      <c r="C372" s="11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8" t="n"/>
      <c r="R372" s="11" t="n"/>
      <c r="S372" s="19" t="n"/>
      <c r="T372" s="19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  <c r="AG372" s="19" t="n"/>
      <c r="AH372" s="19" t="n"/>
      <c r="AI372" s="5">
        <f>H$1*((-0.000002)*H372^3+0.00032*H372^2+(-0.0021)*H372)+I$1*((-0.000002)*I372^3+0.00032*I372^2+(-0.0021)*I372)+J$1*((-0.000002)*J372^3+0.00032*J372^2+(-0.0021)*J372)+K$1*((-0.000002)*K372^3+0.00032*K372^2+(-0.0021)*K372)+L$1*((-0.000002)*L372^3+0.00032*L372^2+(-0.0021)*L372)</f>
        <v/>
      </c>
      <c r="AJ372" s="5">
        <f>M$1*((-0.000002)*M372^3+0.00032*M372^2+(-0.0021)*M372)+N$1*((-0.000002)*N372^3+0.00032*N372^2+(-0.0021)*N372)+O$1*((-0.000002)*O372^3+0.00032*O372^2+(-0.0021)*O372)</f>
        <v/>
      </c>
      <c r="AK372" s="5">
        <f>IF(AA372&lt;50,W$1*((-0.000002)*W372^3+0.00032*W372^2+(-0.0021)*W372)+X$1*((-0.000002)*X372^3+0.00032*X372^2+(-0.0021)*X372)+Y$1*((-0.000002)*Y372^3+0.00032*Y372^2+(-0.0021)*Y372)+Z$1*((-0.000002)*Z372^3+0.00032*Z372^2+(-0.0021)*Z372),X$2*((-0.000002)*X372^3+0.00032*X372^2+(-0.0021)*X372)+Y$2*((-0.000002)*Y372^3+0.00032*Y372^2+(-0.0021)*Y372)+Z$2*((-0.000002)*Z372^3+0.00032*Z372^2+(-0.0021)*Z372)+AA$2*((-0.000002)*AA372^3+0.00032*AA372^2+(-0.0021)*AA372))</f>
        <v/>
      </c>
      <c r="AL372" s="5">
        <f>AB$1*((-0.000002)*AB372^3+0.00032*AB372^2+(-0.0021)*AB372)+AC$1*((-0.000002)*AC372^3+0.00032*AC372^2+(-0.0021)*AC372)</f>
        <v/>
      </c>
      <c r="AM372" s="5">
        <f>AD$1*((-0.000002)*AD372^3+0.00032*AD372^2+(-0.0021)*AD372)+AE$1*((-0.000002)*AE372^3+0.00032*AE372^2+(-0.0021)*AE372)+AF$1*((-0.000002)*AF372^3+0.00032*AF372^2+(-0.0021)*AF372)+AG$1*((-0.000002)*AG372^3+0.00032*AG372^2+(-0.0021)*AG372)</f>
        <v/>
      </c>
    </row>
    <row r="373" ht="15" customHeight="1" s="27" thickBot="1">
      <c r="A373">
        <f>(AI373*AI$3+AJ373*AJ$3+AK373*AK$3+AL373*AL$3+AM373*AM$3)*100/(AI$5*AI$3+AJ$5*AJ$3+AK$5*AK$3+AL$5*AL$3+AM$5*AM$3)</f>
        <v/>
      </c>
      <c r="B373" s="16" t="n"/>
      <c r="C373" s="10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6" t="n"/>
      <c r="R373" s="10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5">
        <f>H$1*((-0.000002)*H373^3+0.00032*H373^2+(-0.0021)*H373)+I$1*((-0.000002)*I373^3+0.00032*I373^2+(-0.0021)*I373)+J$1*((-0.000002)*J373^3+0.00032*J373^2+(-0.0021)*J373)+K$1*((-0.000002)*K373^3+0.00032*K373^2+(-0.0021)*K373)+L$1*((-0.000002)*L373^3+0.00032*L373^2+(-0.0021)*L373)</f>
        <v/>
      </c>
      <c r="AJ373" s="5">
        <f>M$1*((-0.000002)*M373^3+0.00032*M373^2+(-0.0021)*M373)+N$1*((-0.000002)*N373^3+0.00032*N373^2+(-0.0021)*N373)+O$1*((-0.000002)*O373^3+0.00032*O373^2+(-0.0021)*O373)</f>
        <v/>
      </c>
      <c r="AK373" s="5">
        <f>IF(AA373&lt;50,W$1*((-0.000002)*W373^3+0.00032*W373^2+(-0.0021)*W373)+X$1*((-0.000002)*X373^3+0.00032*X373^2+(-0.0021)*X373)+Y$1*((-0.000002)*Y373^3+0.00032*Y373^2+(-0.0021)*Y373)+Z$1*((-0.000002)*Z373^3+0.00032*Z373^2+(-0.0021)*Z373),X$2*((-0.000002)*X373^3+0.00032*X373^2+(-0.0021)*X373)+Y$2*((-0.000002)*Y373^3+0.00032*Y373^2+(-0.0021)*Y373)+Z$2*((-0.000002)*Z373^3+0.00032*Z373^2+(-0.0021)*Z373)+AA$2*((-0.000002)*AA373^3+0.00032*AA373^2+(-0.0021)*AA373))</f>
        <v/>
      </c>
      <c r="AL373" s="5">
        <f>AB$1*((-0.000002)*AB373^3+0.00032*AB373^2+(-0.0021)*AB373)+AC$1*((-0.000002)*AC373^3+0.00032*AC373^2+(-0.0021)*AC373)</f>
        <v/>
      </c>
      <c r="AM373" s="5">
        <f>AD$1*((-0.000002)*AD373^3+0.00032*AD373^2+(-0.0021)*AD373)+AE$1*((-0.000002)*AE373^3+0.00032*AE373^2+(-0.0021)*AE373)+AF$1*((-0.000002)*AF373^3+0.00032*AF373^2+(-0.0021)*AF373)+AG$1*((-0.000002)*AG373^3+0.00032*AG373^2+(-0.0021)*AG373)</f>
        <v/>
      </c>
    </row>
    <row r="374" ht="15" customHeight="1" s="27" thickBot="1">
      <c r="A374">
        <f>(AI374*AI$3+AJ374*AJ$3+AK374*AK$3+AL374*AL$3+AM374*AM$3)*100/(AI$5*AI$3+AJ$5*AJ$3+AK$5*AK$3+AL$5*AL$3+AM$5*AM$3)</f>
        <v/>
      </c>
      <c r="B374" s="18" t="n"/>
      <c r="C374" s="11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8" t="n"/>
      <c r="R374" s="11" t="n"/>
      <c r="S374" s="19" t="n"/>
      <c r="T374" s="19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  <c r="AG374" s="19" t="n"/>
      <c r="AH374" s="19" t="n"/>
      <c r="AI374" s="5">
        <f>H$1*((-0.000002)*H374^3+0.00032*H374^2+(-0.0021)*H374)+I$1*((-0.000002)*I374^3+0.00032*I374^2+(-0.0021)*I374)+J$1*((-0.000002)*J374^3+0.00032*J374^2+(-0.0021)*J374)+K$1*((-0.000002)*K374^3+0.00032*K374^2+(-0.0021)*K374)+L$1*((-0.000002)*L374^3+0.00032*L374^2+(-0.0021)*L374)</f>
        <v/>
      </c>
      <c r="AJ374" s="5">
        <f>M$1*((-0.000002)*M374^3+0.00032*M374^2+(-0.0021)*M374)+N$1*((-0.000002)*N374^3+0.00032*N374^2+(-0.0021)*N374)+O$1*((-0.000002)*O374^3+0.00032*O374^2+(-0.0021)*O374)</f>
        <v/>
      </c>
      <c r="AK374" s="5">
        <f>IF(AA374&lt;50,W$1*((-0.000002)*W374^3+0.00032*W374^2+(-0.0021)*W374)+X$1*((-0.000002)*X374^3+0.00032*X374^2+(-0.0021)*X374)+Y$1*((-0.000002)*Y374^3+0.00032*Y374^2+(-0.0021)*Y374)+Z$1*((-0.000002)*Z374^3+0.00032*Z374^2+(-0.0021)*Z374),X$2*((-0.000002)*X374^3+0.00032*X374^2+(-0.0021)*X374)+Y$2*((-0.000002)*Y374^3+0.00032*Y374^2+(-0.0021)*Y374)+Z$2*((-0.000002)*Z374^3+0.00032*Z374^2+(-0.0021)*Z374)+AA$2*((-0.000002)*AA374^3+0.00032*AA374^2+(-0.0021)*AA374))</f>
        <v/>
      </c>
      <c r="AL374" s="5">
        <f>AB$1*((-0.000002)*AB374^3+0.00032*AB374^2+(-0.0021)*AB374)+AC$1*((-0.000002)*AC374^3+0.00032*AC374^2+(-0.0021)*AC374)</f>
        <v/>
      </c>
      <c r="AM374" s="5">
        <f>AD$1*((-0.000002)*AD374^3+0.00032*AD374^2+(-0.0021)*AD374)+AE$1*((-0.000002)*AE374^3+0.00032*AE374^2+(-0.0021)*AE374)+AF$1*((-0.000002)*AF374^3+0.00032*AF374^2+(-0.0021)*AF374)+AG$1*((-0.000002)*AG374^3+0.00032*AG374^2+(-0.0021)*AG374)</f>
        <v/>
      </c>
    </row>
    <row r="375" ht="15" customHeight="1" s="27" thickBot="1">
      <c r="A375">
        <f>(AI375*AI$3+AJ375*AJ$3+AK375*AK$3+AL375*AL$3+AM375*AM$3)*100/(AI$5*AI$3+AJ$5*AJ$3+AK$5*AK$3+AL$5*AL$3+AM$5*AM$3)</f>
        <v/>
      </c>
      <c r="B375" s="16" t="n"/>
      <c r="C375" s="10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6" t="n"/>
      <c r="R375" s="10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5">
        <f>H$1*((-0.000002)*H375^3+0.00032*H375^2+(-0.0021)*H375)+I$1*((-0.000002)*I375^3+0.00032*I375^2+(-0.0021)*I375)+J$1*((-0.000002)*J375^3+0.00032*J375^2+(-0.0021)*J375)+K$1*((-0.000002)*K375^3+0.00032*K375^2+(-0.0021)*K375)+L$1*((-0.000002)*L375^3+0.00032*L375^2+(-0.0021)*L375)</f>
        <v/>
      </c>
      <c r="AJ375" s="5">
        <f>M$1*((-0.000002)*M375^3+0.00032*M375^2+(-0.0021)*M375)+N$1*((-0.000002)*N375^3+0.00032*N375^2+(-0.0021)*N375)+O$1*((-0.000002)*O375^3+0.00032*O375^2+(-0.0021)*O375)</f>
        <v/>
      </c>
      <c r="AK375" s="5">
        <f>IF(AA375&lt;50,W$1*((-0.000002)*W375^3+0.00032*W375^2+(-0.0021)*W375)+X$1*((-0.000002)*X375^3+0.00032*X375^2+(-0.0021)*X375)+Y$1*((-0.000002)*Y375^3+0.00032*Y375^2+(-0.0021)*Y375)+Z$1*((-0.000002)*Z375^3+0.00032*Z375^2+(-0.0021)*Z375),X$2*((-0.000002)*X375^3+0.00032*X375^2+(-0.0021)*X375)+Y$2*((-0.000002)*Y375^3+0.00032*Y375^2+(-0.0021)*Y375)+Z$2*((-0.000002)*Z375^3+0.00032*Z375^2+(-0.0021)*Z375)+AA$2*((-0.000002)*AA375^3+0.00032*AA375^2+(-0.0021)*AA375))</f>
        <v/>
      </c>
      <c r="AL375" s="5">
        <f>AB$1*((-0.000002)*AB375^3+0.00032*AB375^2+(-0.0021)*AB375)+AC$1*((-0.000002)*AC375^3+0.00032*AC375^2+(-0.0021)*AC375)</f>
        <v/>
      </c>
      <c r="AM375" s="5">
        <f>AD$1*((-0.000002)*AD375^3+0.00032*AD375^2+(-0.0021)*AD375)+AE$1*((-0.000002)*AE375^3+0.00032*AE375^2+(-0.0021)*AE375)+AF$1*((-0.000002)*AF375^3+0.00032*AF375^2+(-0.0021)*AF375)+AG$1*((-0.000002)*AG375^3+0.00032*AG375^2+(-0.0021)*AG375)</f>
        <v/>
      </c>
    </row>
    <row r="376" ht="15" customHeight="1" s="27" thickBot="1">
      <c r="A376">
        <f>(AI376*AI$3+AJ376*AJ$3+AK376*AK$3+AL376*AL$3+AM376*AM$3)*100/(AI$5*AI$3+AJ$5*AJ$3+AK$5*AK$3+AL$5*AL$3+AM$5*AM$3)</f>
        <v/>
      </c>
      <c r="B376" s="18" t="n"/>
      <c r="C376" s="11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8" t="n"/>
      <c r="R376" s="11" t="n"/>
      <c r="S376" s="19" t="n"/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  <c r="AI376" s="5">
        <f>H$1*((-0.000002)*H376^3+0.00032*H376^2+(-0.0021)*H376)+I$1*((-0.000002)*I376^3+0.00032*I376^2+(-0.0021)*I376)+J$1*((-0.000002)*J376^3+0.00032*J376^2+(-0.0021)*J376)+K$1*((-0.000002)*K376^3+0.00032*K376^2+(-0.0021)*K376)+L$1*((-0.000002)*L376^3+0.00032*L376^2+(-0.0021)*L376)</f>
        <v/>
      </c>
      <c r="AJ376" s="5">
        <f>M$1*((-0.000002)*M376^3+0.00032*M376^2+(-0.0021)*M376)+N$1*((-0.000002)*N376^3+0.00032*N376^2+(-0.0021)*N376)+O$1*((-0.000002)*O376^3+0.00032*O376^2+(-0.0021)*O376)</f>
        <v/>
      </c>
      <c r="AK376" s="5">
        <f>IF(AA376&lt;50,W$1*((-0.000002)*W376^3+0.00032*W376^2+(-0.0021)*W376)+X$1*((-0.000002)*X376^3+0.00032*X376^2+(-0.0021)*X376)+Y$1*((-0.000002)*Y376^3+0.00032*Y376^2+(-0.0021)*Y376)+Z$1*((-0.000002)*Z376^3+0.00032*Z376^2+(-0.0021)*Z376),X$2*((-0.000002)*X376^3+0.00032*X376^2+(-0.0021)*X376)+Y$2*((-0.000002)*Y376^3+0.00032*Y376^2+(-0.0021)*Y376)+Z$2*((-0.000002)*Z376^3+0.00032*Z376^2+(-0.0021)*Z376)+AA$2*((-0.000002)*AA376^3+0.00032*AA376^2+(-0.0021)*AA376))</f>
        <v/>
      </c>
      <c r="AL376" s="5">
        <f>AB$1*((-0.000002)*AB376^3+0.00032*AB376^2+(-0.0021)*AB376)+AC$1*((-0.000002)*AC376^3+0.00032*AC376^2+(-0.0021)*AC376)</f>
        <v/>
      </c>
      <c r="AM376" s="5">
        <f>AD$1*((-0.000002)*AD376^3+0.00032*AD376^2+(-0.0021)*AD376)+AE$1*((-0.000002)*AE376^3+0.00032*AE376^2+(-0.0021)*AE376)+AF$1*((-0.000002)*AF376^3+0.00032*AF376^2+(-0.0021)*AF376)+AG$1*((-0.000002)*AG376^3+0.00032*AG376^2+(-0.0021)*AG376)</f>
        <v/>
      </c>
    </row>
    <row r="377" ht="15" customHeight="1" s="27" thickBot="1">
      <c r="A377">
        <f>(AI377*AI$3+AJ377*AJ$3+AK377*AK$3+AL377*AL$3+AM377*AM$3)*100/(AI$5*AI$3+AJ$5*AJ$3+AK$5*AK$3+AL$5*AL$3+AM$5*AM$3)</f>
        <v/>
      </c>
      <c r="B377" s="16" t="n"/>
      <c r="C377" s="10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6" t="n"/>
      <c r="R377" s="10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5">
        <f>H$1*((-0.000002)*H377^3+0.00032*H377^2+(-0.0021)*H377)+I$1*((-0.000002)*I377^3+0.00032*I377^2+(-0.0021)*I377)+J$1*((-0.000002)*J377^3+0.00032*J377^2+(-0.0021)*J377)+K$1*((-0.000002)*K377^3+0.00032*K377^2+(-0.0021)*K377)+L$1*((-0.000002)*L377^3+0.00032*L377^2+(-0.0021)*L377)</f>
        <v/>
      </c>
      <c r="AJ377" s="5">
        <f>M$1*((-0.000002)*M377^3+0.00032*M377^2+(-0.0021)*M377)+N$1*((-0.000002)*N377^3+0.00032*N377^2+(-0.0021)*N377)+O$1*((-0.000002)*O377^3+0.00032*O377^2+(-0.0021)*O377)</f>
        <v/>
      </c>
      <c r="AK377" s="5">
        <f>IF(AA377&lt;50,W$1*((-0.000002)*W377^3+0.00032*W377^2+(-0.0021)*W377)+X$1*((-0.000002)*X377^3+0.00032*X377^2+(-0.0021)*X377)+Y$1*((-0.000002)*Y377^3+0.00032*Y377^2+(-0.0021)*Y377)+Z$1*((-0.000002)*Z377^3+0.00032*Z377^2+(-0.0021)*Z377),X$2*((-0.000002)*X377^3+0.00032*X377^2+(-0.0021)*X377)+Y$2*((-0.000002)*Y377^3+0.00032*Y377^2+(-0.0021)*Y377)+Z$2*((-0.000002)*Z377^3+0.00032*Z377^2+(-0.0021)*Z377)+AA$2*((-0.000002)*AA377^3+0.00032*AA377^2+(-0.0021)*AA377))</f>
        <v/>
      </c>
      <c r="AL377" s="5">
        <f>AB$1*((-0.000002)*AB377^3+0.00032*AB377^2+(-0.0021)*AB377)+AC$1*((-0.000002)*AC377^3+0.00032*AC377^2+(-0.0021)*AC377)</f>
        <v/>
      </c>
      <c r="AM377" s="5">
        <f>AD$1*((-0.000002)*AD377^3+0.00032*AD377^2+(-0.0021)*AD377)+AE$1*((-0.000002)*AE377^3+0.00032*AE377^2+(-0.0021)*AE377)+AF$1*((-0.000002)*AF377^3+0.00032*AF377^2+(-0.0021)*AF377)+AG$1*((-0.000002)*AG377^3+0.00032*AG377^2+(-0.0021)*AG377)</f>
        <v/>
      </c>
    </row>
    <row r="378" ht="15" customHeight="1" s="27" thickBot="1">
      <c r="A378">
        <f>(AI378*AI$3+AJ378*AJ$3+AK378*AK$3+AL378*AL$3+AM378*AM$3)*100/(AI$5*AI$3+AJ$5*AJ$3+AK$5*AK$3+AL$5*AL$3+AM$5*AM$3)</f>
        <v/>
      </c>
      <c r="B378" s="18" t="n"/>
      <c r="C378" s="11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8" t="n"/>
      <c r="R378" s="11" t="n"/>
      <c r="S378" s="19" t="n"/>
      <c r="T378" s="19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  <c r="AG378" s="19" t="n"/>
      <c r="AH378" s="19" t="n"/>
      <c r="AI378" s="5">
        <f>H$1*((-0.000002)*H378^3+0.00032*H378^2+(-0.0021)*H378)+I$1*((-0.000002)*I378^3+0.00032*I378^2+(-0.0021)*I378)+J$1*((-0.000002)*J378^3+0.00032*J378^2+(-0.0021)*J378)+K$1*((-0.000002)*K378^3+0.00032*K378^2+(-0.0021)*K378)+L$1*((-0.000002)*L378^3+0.00032*L378^2+(-0.0021)*L378)</f>
        <v/>
      </c>
      <c r="AJ378" s="5">
        <f>M$1*((-0.000002)*M378^3+0.00032*M378^2+(-0.0021)*M378)+N$1*((-0.000002)*N378^3+0.00032*N378^2+(-0.0021)*N378)+O$1*((-0.000002)*O378^3+0.00032*O378^2+(-0.0021)*O378)</f>
        <v/>
      </c>
      <c r="AK378" s="5">
        <f>IF(AA378&lt;50,W$1*((-0.000002)*W378^3+0.00032*W378^2+(-0.0021)*W378)+X$1*((-0.000002)*X378^3+0.00032*X378^2+(-0.0021)*X378)+Y$1*((-0.000002)*Y378^3+0.00032*Y378^2+(-0.0021)*Y378)+Z$1*((-0.000002)*Z378^3+0.00032*Z378^2+(-0.0021)*Z378),X$2*((-0.000002)*X378^3+0.00032*X378^2+(-0.0021)*X378)+Y$2*((-0.000002)*Y378^3+0.00032*Y378^2+(-0.0021)*Y378)+Z$2*((-0.000002)*Z378^3+0.00032*Z378^2+(-0.0021)*Z378)+AA$2*((-0.000002)*AA378^3+0.00032*AA378^2+(-0.0021)*AA378))</f>
        <v/>
      </c>
      <c r="AL378" s="5">
        <f>AB$1*((-0.000002)*AB378^3+0.00032*AB378^2+(-0.0021)*AB378)+AC$1*((-0.000002)*AC378^3+0.00032*AC378^2+(-0.0021)*AC378)</f>
        <v/>
      </c>
      <c r="AM378" s="5">
        <f>AD$1*((-0.000002)*AD378^3+0.00032*AD378^2+(-0.0021)*AD378)+AE$1*((-0.000002)*AE378^3+0.00032*AE378^2+(-0.0021)*AE378)+AF$1*((-0.000002)*AF378^3+0.00032*AF378^2+(-0.0021)*AF378)+AG$1*((-0.000002)*AG378^3+0.00032*AG378^2+(-0.0021)*AG378)</f>
        <v/>
      </c>
    </row>
    <row r="379" ht="15" customHeight="1" s="27" thickBot="1">
      <c r="A379">
        <f>(AI379*AI$3+AJ379*AJ$3+AK379*AK$3+AL379*AL$3+AM379*AM$3)*100/(AI$5*AI$3+AJ$5*AJ$3+AK$5*AK$3+AL$5*AL$3+AM$5*AM$3)</f>
        <v/>
      </c>
      <c r="B379" s="16" t="n"/>
      <c r="C379" s="10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6" t="n"/>
      <c r="R379" s="10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5">
        <f>H$1*((-0.000002)*H379^3+0.00032*H379^2+(-0.0021)*H379)+I$1*((-0.000002)*I379^3+0.00032*I379^2+(-0.0021)*I379)+J$1*((-0.000002)*J379^3+0.00032*J379^2+(-0.0021)*J379)+K$1*((-0.000002)*K379^3+0.00032*K379^2+(-0.0021)*K379)+L$1*((-0.000002)*L379^3+0.00032*L379^2+(-0.0021)*L379)</f>
        <v/>
      </c>
      <c r="AJ379" s="5">
        <f>M$1*((-0.000002)*M379^3+0.00032*M379^2+(-0.0021)*M379)+N$1*((-0.000002)*N379^3+0.00032*N379^2+(-0.0021)*N379)+O$1*((-0.000002)*O379^3+0.00032*O379^2+(-0.0021)*O379)</f>
        <v/>
      </c>
      <c r="AK379" s="5">
        <f>IF(AA379&lt;50,W$1*((-0.000002)*W379^3+0.00032*W379^2+(-0.0021)*W379)+X$1*((-0.000002)*X379^3+0.00032*X379^2+(-0.0021)*X379)+Y$1*((-0.000002)*Y379^3+0.00032*Y379^2+(-0.0021)*Y379)+Z$1*((-0.000002)*Z379^3+0.00032*Z379^2+(-0.0021)*Z379),X$2*((-0.000002)*X379^3+0.00032*X379^2+(-0.0021)*X379)+Y$2*((-0.000002)*Y379^3+0.00032*Y379^2+(-0.0021)*Y379)+Z$2*((-0.000002)*Z379^3+0.00032*Z379^2+(-0.0021)*Z379)+AA$2*((-0.000002)*AA379^3+0.00032*AA379^2+(-0.0021)*AA379))</f>
        <v/>
      </c>
      <c r="AL379" s="5">
        <f>AB$1*((-0.000002)*AB379^3+0.00032*AB379^2+(-0.0021)*AB379)+AC$1*((-0.000002)*AC379^3+0.00032*AC379^2+(-0.0021)*AC379)</f>
        <v/>
      </c>
      <c r="AM379" s="5">
        <f>AD$1*((-0.000002)*AD379^3+0.00032*AD379^2+(-0.0021)*AD379)+AE$1*((-0.000002)*AE379^3+0.00032*AE379^2+(-0.0021)*AE379)+AF$1*((-0.000002)*AF379^3+0.00032*AF379^2+(-0.0021)*AF379)+AG$1*((-0.000002)*AG379^3+0.00032*AG379^2+(-0.0021)*AG379)</f>
        <v/>
      </c>
    </row>
    <row r="380" ht="15" customHeight="1" s="27" thickBot="1">
      <c r="A380">
        <f>(AI380*AI$3+AJ380*AJ$3+AK380*AK$3+AL380*AL$3+AM380*AM$3)*100/(AI$5*AI$3+AJ$5*AJ$3+AK$5*AK$3+AL$5*AL$3+AM$5*AM$3)</f>
        <v/>
      </c>
      <c r="B380" s="18" t="n"/>
      <c r="C380" s="11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8" t="n"/>
      <c r="R380" s="11" t="n"/>
      <c r="S380" s="19" t="n"/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5">
        <f>H$1*((-0.000002)*H380^3+0.00032*H380^2+(-0.0021)*H380)+I$1*((-0.000002)*I380^3+0.00032*I380^2+(-0.0021)*I380)+J$1*((-0.000002)*J380^3+0.00032*J380^2+(-0.0021)*J380)+K$1*((-0.000002)*K380^3+0.00032*K380^2+(-0.0021)*K380)+L$1*((-0.000002)*L380^3+0.00032*L380^2+(-0.0021)*L380)</f>
        <v/>
      </c>
      <c r="AJ380" s="5">
        <f>M$1*((-0.000002)*M380^3+0.00032*M380^2+(-0.0021)*M380)+N$1*((-0.000002)*N380^3+0.00032*N380^2+(-0.0021)*N380)+O$1*((-0.000002)*O380^3+0.00032*O380^2+(-0.0021)*O380)</f>
        <v/>
      </c>
      <c r="AK380" s="5">
        <f>IF(AA380&lt;50,W$1*((-0.000002)*W380^3+0.00032*W380^2+(-0.0021)*W380)+X$1*((-0.000002)*X380^3+0.00032*X380^2+(-0.0021)*X380)+Y$1*((-0.000002)*Y380^3+0.00032*Y380^2+(-0.0021)*Y380)+Z$1*((-0.000002)*Z380^3+0.00032*Z380^2+(-0.0021)*Z380),X$2*((-0.000002)*X380^3+0.00032*X380^2+(-0.0021)*X380)+Y$2*((-0.000002)*Y380^3+0.00032*Y380^2+(-0.0021)*Y380)+Z$2*((-0.000002)*Z380^3+0.00032*Z380^2+(-0.0021)*Z380)+AA$2*((-0.000002)*AA380^3+0.00032*AA380^2+(-0.0021)*AA380))</f>
        <v/>
      </c>
      <c r="AL380" s="5">
        <f>AB$1*((-0.000002)*AB380^3+0.00032*AB380^2+(-0.0021)*AB380)+AC$1*((-0.000002)*AC380^3+0.00032*AC380^2+(-0.0021)*AC380)</f>
        <v/>
      </c>
      <c r="AM380" s="5">
        <f>AD$1*((-0.000002)*AD380^3+0.00032*AD380^2+(-0.0021)*AD380)+AE$1*((-0.000002)*AE380^3+0.00032*AE380^2+(-0.0021)*AE380)+AF$1*((-0.000002)*AF380^3+0.00032*AF380^2+(-0.0021)*AF380)+AG$1*((-0.000002)*AG380^3+0.00032*AG380^2+(-0.0021)*AG380)</f>
        <v/>
      </c>
    </row>
    <row r="381" ht="15" customHeight="1" s="27" thickBot="1">
      <c r="A381">
        <f>(AI381*AI$3+AJ381*AJ$3+AK381*AK$3+AL381*AL$3+AM381*AM$3)*100/(AI$5*AI$3+AJ$5*AJ$3+AK$5*AK$3+AL$5*AL$3+AM$5*AM$3)</f>
        <v/>
      </c>
      <c r="B381" s="16" t="n"/>
      <c r="C381" s="10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6" t="n"/>
      <c r="R381" s="10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5">
        <f>H$1*((-0.000002)*H381^3+0.00032*H381^2+(-0.0021)*H381)+I$1*((-0.000002)*I381^3+0.00032*I381^2+(-0.0021)*I381)+J$1*((-0.000002)*J381^3+0.00032*J381^2+(-0.0021)*J381)+K$1*((-0.000002)*K381^3+0.00032*K381^2+(-0.0021)*K381)+L$1*((-0.000002)*L381^3+0.00032*L381^2+(-0.0021)*L381)</f>
        <v/>
      </c>
      <c r="AJ381" s="5">
        <f>M$1*((-0.000002)*M381^3+0.00032*M381^2+(-0.0021)*M381)+N$1*((-0.000002)*N381^3+0.00032*N381^2+(-0.0021)*N381)+O$1*((-0.000002)*O381^3+0.00032*O381^2+(-0.0021)*O381)</f>
        <v/>
      </c>
      <c r="AK381" s="5">
        <f>IF(AA381&lt;50,W$1*((-0.000002)*W381^3+0.00032*W381^2+(-0.0021)*W381)+X$1*((-0.000002)*X381^3+0.00032*X381^2+(-0.0021)*X381)+Y$1*((-0.000002)*Y381^3+0.00032*Y381^2+(-0.0021)*Y381)+Z$1*((-0.000002)*Z381^3+0.00032*Z381^2+(-0.0021)*Z381),X$2*((-0.000002)*X381^3+0.00032*X381^2+(-0.0021)*X381)+Y$2*((-0.000002)*Y381^3+0.00032*Y381^2+(-0.0021)*Y381)+Z$2*((-0.000002)*Z381^3+0.00032*Z381^2+(-0.0021)*Z381)+AA$2*((-0.000002)*AA381^3+0.00032*AA381^2+(-0.0021)*AA381))</f>
        <v/>
      </c>
      <c r="AL381" s="5">
        <f>AB$1*((-0.000002)*AB381^3+0.00032*AB381^2+(-0.0021)*AB381)+AC$1*((-0.000002)*AC381^3+0.00032*AC381^2+(-0.0021)*AC381)</f>
        <v/>
      </c>
      <c r="AM381" s="5">
        <f>AD$1*((-0.000002)*AD381^3+0.00032*AD381^2+(-0.0021)*AD381)+AE$1*((-0.000002)*AE381^3+0.00032*AE381^2+(-0.0021)*AE381)+AF$1*((-0.000002)*AF381^3+0.00032*AF381^2+(-0.0021)*AF381)+AG$1*((-0.000002)*AG381^3+0.00032*AG381^2+(-0.0021)*AG381)</f>
        <v/>
      </c>
    </row>
    <row r="382" ht="15" customHeight="1" s="27" thickBot="1">
      <c r="A382">
        <f>(AI382*AI$3+AJ382*AJ$3+AK382*AK$3+AL382*AL$3+AM382*AM$3)*100/(AI$5*AI$3+AJ$5*AJ$3+AK$5*AK$3+AL$5*AL$3+AM$5*AM$3)</f>
        <v/>
      </c>
      <c r="B382" s="18" t="n"/>
      <c r="C382" s="11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8" t="n"/>
      <c r="R382" s="11" t="n"/>
      <c r="S382" s="19" t="n"/>
      <c r="T382" s="19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  <c r="AG382" s="19" t="n"/>
      <c r="AH382" s="19" t="n"/>
      <c r="AI382" s="5">
        <f>H$1*((-0.000002)*H382^3+0.00032*H382^2+(-0.0021)*H382)+I$1*((-0.000002)*I382^3+0.00032*I382^2+(-0.0021)*I382)+J$1*((-0.000002)*J382^3+0.00032*J382^2+(-0.0021)*J382)+K$1*((-0.000002)*K382^3+0.00032*K382^2+(-0.0021)*K382)+L$1*((-0.000002)*L382^3+0.00032*L382^2+(-0.0021)*L382)</f>
        <v/>
      </c>
      <c r="AJ382" s="5">
        <f>M$1*((-0.000002)*M382^3+0.00032*M382^2+(-0.0021)*M382)+N$1*((-0.000002)*N382^3+0.00032*N382^2+(-0.0021)*N382)+O$1*((-0.000002)*O382^3+0.00032*O382^2+(-0.0021)*O382)</f>
        <v/>
      </c>
      <c r="AK382" s="5">
        <f>IF(AA382&lt;50,W$1*((-0.000002)*W382^3+0.00032*W382^2+(-0.0021)*W382)+X$1*((-0.000002)*X382^3+0.00032*X382^2+(-0.0021)*X382)+Y$1*((-0.000002)*Y382^3+0.00032*Y382^2+(-0.0021)*Y382)+Z$1*((-0.000002)*Z382^3+0.00032*Z382^2+(-0.0021)*Z382),X$2*((-0.000002)*X382^3+0.00032*X382^2+(-0.0021)*X382)+Y$2*((-0.000002)*Y382^3+0.00032*Y382^2+(-0.0021)*Y382)+Z$2*((-0.000002)*Z382^3+0.00032*Z382^2+(-0.0021)*Z382)+AA$2*((-0.000002)*AA382^3+0.00032*AA382^2+(-0.0021)*AA382))</f>
        <v/>
      </c>
      <c r="AL382" s="5">
        <f>AB$1*((-0.000002)*AB382^3+0.00032*AB382^2+(-0.0021)*AB382)+AC$1*((-0.000002)*AC382^3+0.00032*AC382^2+(-0.0021)*AC382)</f>
        <v/>
      </c>
      <c r="AM382" s="5">
        <f>AD$1*((-0.000002)*AD382^3+0.00032*AD382^2+(-0.0021)*AD382)+AE$1*((-0.000002)*AE382^3+0.00032*AE382^2+(-0.0021)*AE382)+AF$1*((-0.000002)*AF382^3+0.00032*AF382^2+(-0.0021)*AF382)+AG$1*((-0.000002)*AG382^3+0.00032*AG382^2+(-0.0021)*AG382)</f>
        <v/>
      </c>
    </row>
    <row r="383" ht="15" customHeight="1" s="27" thickBot="1">
      <c r="A383">
        <f>(AI383*AI$3+AJ383*AJ$3+AK383*AK$3+AL383*AL$3+AM383*AM$3)*100/(AI$5*AI$3+AJ$5*AJ$3+AK$5*AK$3+AL$5*AL$3+AM$5*AM$3)</f>
        <v/>
      </c>
      <c r="B383" s="16" t="n"/>
      <c r="C383" s="10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6" t="n"/>
      <c r="R383" s="10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5">
        <f>H$1*((-0.000002)*H383^3+0.00032*H383^2+(-0.0021)*H383)+I$1*((-0.000002)*I383^3+0.00032*I383^2+(-0.0021)*I383)+J$1*((-0.000002)*J383^3+0.00032*J383^2+(-0.0021)*J383)+K$1*((-0.000002)*K383^3+0.00032*K383^2+(-0.0021)*K383)+L$1*((-0.000002)*L383^3+0.00032*L383^2+(-0.0021)*L383)</f>
        <v/>
      </c>
      <c r="AJ383" s="5">
        <f>M$1*((-0.000002)*M383^3+0.00032*M383^2+(-0.0021)*M383)+N$1*((-0.000002)*N383^3+0.00032*N383^2+(-0.0021)*N383)+O$1*((-0.000002)*O383^3+0.00032*O383^2+(-0.0021)*O383)</f>
        <v/>
      </c>
      <c r="AK383" s="5">
        <f>IF(AA383&lt;50,W$1*((-0.000002)*W383^3+0.00032*W383^2+(-0.0021)*W383)+X$1*((-0.000002)*X383^3+0.00032*X383^2+(-0.0021)*X383)+Y$1*((-0.000002)*Y383^3+0.00032*Y383^2+(-0.0021)*Y383)+Z$1*((-0.000002)*Z383^3+0.00032*Z383^2+(-0.0021)*Z383),X$2*((-0.000002)*X383^3+0.00032*X383^2+(-0.0021)*X383)+Y$2*((-0.000002)*Y383^3+0.00032*Y383^2+(-0.0021)*Y383)+Z$2*((-0.000002)*Z383^3+0.00032*Z383^2+(-0.0021)*Z383)+AA$2*((-0.000002)*AA383^3+0.00032*AA383^2+(-0.0021)*AA383))</f>
        <v/>
      </c>
      <c r="AL383" s="5">
        <f>AB$1*((-0.000002)*AB383^3+0.00032*AB383^2+(-0.0021)*AB383)+AC$1*((-0.000002)*AC383^3+0.00032*AC383^2+(-0.0021)*AC383)</f>
        <v/>
      </c>
      <c r="AM383" s="5">
        <f>AD$1*((-0.000002)*AD383^3+0.00032*AD383^2+(-0.0021)*AD383)+AE$1*((-0.000002)*AE383^3+0.00032*AE383^2+(-0.0021)*AE383)+AF$1*((-0.000002)*AF383^3+0.00032*AF383^2+(-0.0021)*AF383)+AG$1*((-0.000002)*AG383^3+0.00032*AG383^2+(-0.0021)*AG383)</f>
        <v/>
      </c>
    </row>
    <row r="384" ht="15" customHeight="1" s="27" thickBot="1">
      <c r="A384">
        <f>(AI384*AI$3+AJ384*AJ$3+AK384*AK$3+AL384*AL$3+AM384*AM$3)*100/(AI$5*AI$3+AJ$5*AJ$3+AK$5*AK$3+AL$5*AL$3+AM$5*AM$3)</f>
        <v/>
      </c>
      <c r="B384" s="18" t="n"/>
      <c r="C384" s="11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8" t="n"/>
      <c r="R384" s="11" t="n"/>
      <c r="S384" s="19" t="n"/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  <c r="AI384" s="5">
        <f>H$1*((-0.000002)*H384^3+0.00032*H384^2+(-0.0021)*H384)+I$1*((-0.000002)*I384^3+0.00032*I384^2+(-0.0021)*I384)+J$1*((-0.000002)*J384^3+0.00032*J384^2+(-0.0021)*J384)+K$1*((-0.000002)*K384^3+0.00032*K384^2+(-0.0021)*K384)+L$1*((-0.000002)*L384^3+0.00032*L384^2+(-0.0021)*L384)</f>
        <v/>
      </c>
      <c r="AJ384" s="5">
        <f>M$1*((-0.000002)*M384^3+0.00032*M384^2+(-0.0021)*M384)+N$1*((-0.000002)*N384^3+0.00032*N384^2+(-0.0021)*N384)+O$1*((-0.000002)*O384^3+0.00032*O384^2+(-0.0021)*O384)</f>
        <v/>
      </c>
      <c r="AK384" s="5">
        <f>IF(AA384&lt;50,W$1*((-0.000002)*W384^3+0.00032*W384^2+(-0.0021)*W384)+X$1*((-0.000002)*X384^3+0.00032*X384^2+(-0.0021)*X384)+Y$1*((-0.000002)*Y384^3+0.00032*Y384^2+(-0.0021)*Y384)+Z$1*((-0.000002)*Z384^3+0.00032*Z384^2+(-0.0021)*Z384),X$2*((-0.000002)*X384^3+0.00032*X384^2+(-0.0021)*X384)+Y$2*((-0.000002)*Y384^3+0.00032*Y384^2+(-0.0021)*Y384)+Z$2*((-0.000002)*Z384^3+0.00032*Z384^2+(-0.0021)*Z384)+AA$2*((-0.000002)*AA384^3+0.00032*AA384^2+(-0.0021)*AA384))</f>
        <v/>
      </c>
      <c r="AL384" s="5">
        <f>AB$1*((-0.000002)*AB384^3+0.00032*AB384^2+(-0.0021)*AB384)+AC$1*((-0.000002)*AC384^3+0.00032*AC384^2+(-0.0021)*AC384)</f>
        <v/>
      </c>
      <c r="AM384" s="5">
        <f>AD$1*((-0.000002)*AD384^3+0.00032*AD384^2+(-0.0021)*AD384)+AE$1*((-0.000002)*AE384^3+0.00032*AE384^2+(-0.0021)*AE384)+AF$1*((-0.000002)*AF384^3+0.00032*AF384^2+(-0.0021)*AF384)+AG$1*((-0.000002)*AG384^3+0.00032*AG384^2+(-0.0021)*AG384)</f>
        <v/>
      </c>
    </row>
    <row r="385" ht="15" customHeight="1" s="27" thickBot="1">
      <c r="A385">
        <f>(AI385*AI$3+AJ385*AJ$3+AK385*AK$3+AL385*AL$3+AM385*AM$3)*100/(AI$5*AI$3+AJ$5*AJ$3+AK$5*AK$3+AL$5*AL$3+AM$5*AM$3)</f>
        <v/>
      </c>
      <c r="B385" s="16" t="n"/>
      <c r="C385" s="10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6" t="n"/>
      <c r="R385" s="10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5">
        <f>H$1*((-0.000002)*H385^3+0.00032*H385^2+(-0.0021)*H385)+I$1*((-0.000002)*I385^3+0.00032*I385^2+(-0.0021)*I385)+J$1*((-0.000002)*J385^3+0.00032*J385^2+(-0.0021)*J385)+K$1*((-0.000002)*K385^3+0.00032*K385^2+(-0.0021)*K385)+L$1*((-0.000002)*L385^3+0.00032*L385^2+(-0.0021)*L385)</f>
        <v/>
      </c>
      <c r="AJ385" s="5">
        <f>M$1*((-0.000002)*M385^3+0.00032*M385^2+(-0.0021)*M385)+N$1*((-0.000002)*N385^3+0.00032*N385^2+(-0.0021)*N385)+O$1*((-0.000002)*O385^3+0.00032*O385^2+(-0.0021)*O385)</f>
        <v/>
      </c>
      <c r="AK385" s="5">
        <f>IF(AA385&lt;50,W$1*((-0.000002)*W385^3+0.00032*W385^2+(-0.0021)*W385)+X$1*((-0.000002)*X385^3+0.00032*X385^2+(-0.0021)*X385)+Y$1*((-0.000002)*Y385^3+0.00032*Y385^2+(-0.0021)*Y385)+Z$1*((-0.000002)*Z385^3+0.00032*Z385^2+(-0.0021)*Z385),X$2*((-0.000002)*X385^3+0.00032*X385^2+(-0.0021)*X385)+Y$2*((-0.000002)*Y385^3+0.00032*Y385^2+(-0.0021)*Y385)+Z$2*((-0.000002)*Z385^3+0.00032*Z385^2+(-0.0021)*Z385)+AA$2*((-0.000002)*AA385^3+0.00032*AA385^2+(-0.0021)*AA385))</f>
        <v/>
      </c>
      <c r="AL385" s="5">
        <f>AB$1*((-0.000002)*AB385^3+0.00032*AB385^2+(-0.0021)*AB385)+AC$1*((-0.000002)*AC385^3+0.00032*AC385^2+(-0.0021)*AC385)</f>
        <v/>
      </c>
      <c r="AM385" s="5">
        <f>AD$1*((-0.000002)*AD385^3+0.00032*AD385^2+(-0.0021)*AD385)+AE$1*((-0.000002)*AE385^3+0.00032*AE385^2+(-0.0021)*AE385)+AF$1*((-0.000002)*AF385^3+0.00032*AF385^2+(-0.0021)*AF385)+AG$1*((-0.000002)*AG385^3+0.00032*AG385^2+(-0.0021)*AG385)</f>
        <v/>
      </c>
    </row>
    <row r="386" ht="15" customHeight="1" s="27" thickBot="1">
      <c r="A386">
        <f>(AI386*AI$3+AJ386*AJ$3+AK386*AK$3+AL386*AL$3+AM386*AM$3)*100/(AI$5*AI$3+AJ$5*AJ$3+AK$5*AK$3+AL$5*AL$3+AM$5*AM$3)</f>
        <v/>
      </c>
      <c r="B386" s="18" t="n"/>
      <c r="C386" s="11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8" t="n"/>
      <c r="R386" s="11" t="n"/>
      <c r="S386" s="19" t="n"/>
      <c r="T386" s="19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  <c r="AG386" s="19" t="n"/>
      <c r="AH386" s="19" t="n"/>
      <c r="AI386" s="5">
        <f>H$1*((-0.000002)*H386^3+0.00032*H386^2+(-0.0021)*H386)+I$1*((-0.000002)*I386^3+0.00032*I386^2+(-0.0021)*I386)+J$1*((-0.000002)*J386^3+0.00032*J386^2+(-0.0021)*J386)+K$1*((-0.000002)*K386^3+0.00032*K386^2+(-0.0021)*K386)+L$1*((-0.000002)*L386^3+0.00032*L386^2+(-0.0021)*L386)</f>
        <v/>
      </c>
      <c r="AJ386" s="5">
        <f>M$1*((-0.000002)*M386^3+0.00032*M386^2+(-0.0021)*M386)+N$1*((-0.000002)*N386^3+0.00032*N386^2+(-0.0021)*N386)+O$1*((-0.000002)*O386^3+0.00032*O386^2+(-0.0021)*O386)</f>
        <v/>
      </c>
      <c r="AK386" s="5">
        <f>IF(AA386&lt;50,W$1*((-0.000002)*W386^3+0.00032*W386^2+(-0.0021)*W386)+X$1*((-0.000002)*X386^3+0.00032*X386^2+(-0.0021)*X386)+Y$1*((-0.000002)*Y386^3+0.00032*Y386^2+(-0.0021)*Y386)+Z$1*((-0.000002)*Z386^3+0.00032*Z386^2+(-0.0021)*Z386),X$2*((-0.000002)*X386^3+0.00032*X386^2+(-0.0021)*X386)+Y$2*((-0.000002)*Y386^3+0.00032*Y386^2+(-0.0021)*Y386)+Z$2*((-0.000002)*Z386^3+0.00032*Z386^2+(-0.0021)*Z386)+AA$2*((-0.000002)*AA386^3+0.00032*AA386^2+(-0.0021)*AA386))</f>
        <v/>
      </c>
      <c r="AL386" s="5">
        <f>AB$1*((-0.000002)*AB386^3+0.00032*AB386^2+(-0.0021)*AB386)+AC$1*((-0.000002)*AC386^3+0.00032*AC386^2+(-0.0021)*AC386)</f>
        <v/>
      </c>
      <c r="AM386" s="5">
        <f>AD$1*((-0.000002)*AD386^3+0.00032*AD386^2+(-0.0021)*AD386)+AE$1*((-0.000002)*AE386^3+0.00032*AE386^2+(-0.0021)*AE386)+AF$1*((-0.000002)*AF386^3+0.00032*AF386^2+(-0.0021)*AF386)+AG$1*((-0.000002)*AG386^3+0.00032*AG386^2+(-0.0021)*AG386)</f>
        <v/>
      </c>
    </row>
    <row r="387" ht="15" customHeight="1" s="27" thickBot="1">
      <c r="A387">
        <f>(AI387*AI$3+AJ387*AJ$3+AK387*AK$3+AL387*AL$3+AM387*AM$3)*100/(AI$5*AI$3+AJ$5*AJ$3+AK$5*AK$3+AL$5*AL$3+AM$5*AM$3)</f>
        <v/>
      </c>
      <c r="B387" s="16" t="n"/>
      <c r="C387" s="10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6" t="n"/>
      <c r="R387" s="10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5">
        <f>H$1*((-0.000002)*H387^3+0.00032*H387^2+(-0.0021)*H387)+I$1*((-0.000002)*I387^3+0.00032*I387^2+(-0.0021)*I387)+J$1*((-0.000002)*J387^3+0.00032*J387^2+(-0.0021)*J387)+K$1*((-0.000002)*K387^3+0.00032*K387^2+(-0.0021)*K387)+L$1*((-0.000002)*L387^3+0.00032*L387^2+(-0.0021)*L387)</f>
        <v/>
      </c>
      <c r="AJ387" s="5">
        <f>M$1*((-0.000002)*M387^3+0.00032*M387^2+(-0.0021)*M387)+N$1*((-0.000002)*N387^3+0.00032*N387^2+(-0.0021)*N387)+O$1*((-0.000002)*O387^3+0.00032*O387^2+(-0.0021)*O387)</f>
        <v/>
      </c>
      <c r="AK387" s="5">
        <f>IF(AA387&lt;50,W$1*((-0.000002)*W387^3+0.00032*W387^2+(-0.0021)*W387)+X$1*((-0.000002)*X387^3+0.00032*X387^2+(-0.0021)*X387)+Y$1*((-0.000002)*Y387^3+0.00032*Y387^2+(-0.0021)*Y387)+Z$1*((-0.000002)*Z387^3+0.00032*Z387^2+(-0.0021)*Z387),X$2*((-0.000002)*X387^3+0.00032*X387^2+(-0.0021)*X387)+Y$2*((-0.000002)*Y387^3+0.00032*Y387^2+(-0.0021)*Y387)+Z$2*((-0.000002)*Z387^3+0.00032*Z387^2+(-0.0021)*Z387)+AA$2*((-0.000002)*AA387^3+0.00032*AA387^2+(-0.0021)*AA387))</f>
        <v/>
      </c>
      <c r="AL387" s="5">
        <f>AB$1*((-0.000002)*AB387^3+0.00032*AB387^2+(-0.0021)*AB387)+AC$1*((-0.000002)*AC387^3+0.00032*AC387^2+(-0.0021)*AC387)</f>
        <v/>
      </c>
      <c r="AM387" s="5">
        <f>AD$1*((-0.000002)*AD387^3+0.00032*AD387^2+(-0.0021)*AD387)+AE$1*((-0.000002)*AE387^3+0.00032*AE387^2+(-0.0021)*AE387)+AF$1*((-0.000002)*AF387^3+0.00032*AF387^2+(-0.0021)*AF387)+AG$1*((-0.000002)*AG387^3+0.00032*AG387^2+(-0.0021)*AG387)</f>
        <v/>
      </c>
    </row>
    <row r="388" ht="15" customHeight="1" s="27" thickBot="1">
      <c r="A388">
        <f>(AI388*AI$3+AJ388*AJ$3+AK388*AK$3+AL388*AL$3+AM388*AM$3)*100/(AI$5*AI$3+AJ$5*AJ$3+AK$5*AK$3+AL$5*AL$3+AM$5*AM$3)</f>
        <v/>
      </c>
      <c r="B388" s="18" t="n"/>
      <c r="C388" s="11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8" t="n"/>
      <c r="R388" s="11" t="n"/>
      <c r="S388" s="19" t="n"/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  <c r="AI388" s="5">
        <f>H$1*((-0.000002)*H388^3+0.00032*H388^2+(-0.0021)*H388)+I$1*((-0.000002)*I388^3+0.00032*I388^2+(-0.0021)*I388)+J$1*((-0.000002)*J388^3+0.00032*J388^2+(-0.0021)*J388)+K$1*((-0.000002)*K388^3+0.00032*K388^2+(-0.0021)*K388)+L$1*((-0.000002)*L388^3+0.00032*L388^2+(-0.0021)*L388)</f>
        <v/>
      </c>
      <c r="AJ388" s="5">
        <f>M$1*((-0.000002)*M388^3+0.00032*M388^2+(-0.0021)*M388)+N$1*((-0.000002)*N388^3+0.00032*N388^2+(-0.0021)*N388)+O$1*((-0.000002)*O388^3+0.00032*O388^2+(-0.0021)*O388)</f>
        <v/>
      </c>
      <c r="AK388" s="5">
        <f>IF(AA388&lt;50,W$1*((-0.000002)*W388^3+0.00032*W388^2+(-0.0021)*W388)+X$1*((-0.000002)*X388^3+0.00032*X388^2+(-0.0021)*X388)+Y$1*((-0.000002)*Y388^3+0.00032*Y388^2+(-0.0021)*Y388)+Z$1*((-0.000002)*Z388^3+0.00032*Z388^2+(-0.0021)*Z388),X$2*((-0.000002)*X388^3+0.00032*X388^2+(-0.0021)*X388)+Y$2*((-0.000002)*Y388^3+0.00032*Y388^2+(-0.0021)*Y388)+Z$2*((-0.000002)*Z388^3+0.00032*Z388^2+(-0.0021)*Z388)+AA$2*((-0.000002)*AA388^3+0.00032*AA388^2+(-0.0021)*AA388))</f>
        <v/>
      </c>
      <c r="AL388" s="5">
        <f>AB$1*((-0.000002)*AB388^3+0.00032*AB388^2+(-0.0021)*AB388)+AC$1*((-0.000002)*AC388^3+0.00032*AC388^2+(-0.0021)*AC388)</f>
        <v/>
      </c>
      <c r="AM388" s="5">
        <f>AD$1*((-0.000002)*AD388^3+0.00032*AD388^2+(-0.0021)*AD388)+AE$1*((-0.000002)*AE388^3+0.00032*AE388^2+(-0.0021)*AE388)+AF$1*((-0.000002)*AF388^3+0.00032*AF388^2+(-0.0021)*AF388)+AG$1*((-0.000002)*AG388^3+0.00032*AG388^2+(-0.0021)*AG388)</f>
        <v/>
      </c>
    </row>
    <row r="389" ht="15" customHeight="1" s="27" thickBot="1">
      <c r="A389">
        <f>(AI389*AI$3+AJ389*AJ$3+AK389*AK$3+AL389*AL$3+AM389*AM$3)*100/(AI$5*AI$3+AJ$5*AJ$3+AK$5*AK$3+AL$5*AL$3+AM$5*AM$3)</f>
        <v/>
      </c>
      <c r="B389" s="16" t="n"/>
      <c r="C389" s="10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6" t="n"/>
      <c r="R389" s="10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5">
        <f>H$1*((-0.000002)*H389^3+0.00032*H389^2+(-0.0021)*H389)+I$1*((-0.000002)*I389^3+0.00032*I389^2+(-0.0021)*I389)+J$1*((-0.000002)*J389^3+0.00032*J389^2+(-0.0021)*J389)+K$1*((-0.000002)*K389^3+0.00032*K389^2+(-0.0021)*K389)+L$1*((-0.000002)*L389^3+0.00032*L389^2+(-0.0021)*L389)</f>
        <v/>
      </c>
      <c r="AJ389" s="5">
        <f>M$1*((-0.000002)*M389^3+0.00032*M389^2+(-0.0021)*M389)+N$1*((-0.000002)*N389^3+0.00032*N389^2+(-0.0021)*N389)+O$1*((-0.000002)*O389^3+0.00032*O389^2+(-0.0021)*O389)</f>
        <v/>
      </c>
      <c r="AK389" s="5">
        <f>IF(AA389&lt;50,W$1*((-0.000002)*W389^3+0.00032*W389^2+(-0.0021)*W389)+X$1*((-0.000002)*X389^3+0.00032*X389^2+(-0.0021)*X389)+Y$1*((-0.000002)*Y389^3+0.00032*Y389^2+(-0.0021)*Y389)+Z$1*((-0.000002)*Z389^3+0.00032*Z389^2+(-0.0021)*Z389),X$2*((-0.000002)*X389^3+0.00032*X389^2+(-0.0021)*X389)+Y$2*((-0.000002)*Y389^3+0.00032*Y389^2+(-0.0021)*Y389)+Z$2*((-0.000002)*Z389^3+0.00032*Z389^2+(-0.0021)*Z389)+AA$2*((-0.000002)*AA389^3+0.00032*AA389^2+(-0.0021)*AA389))</f>
        <v/>
      </c>
      <c r="AL389" s="5">
        <f>AB$1*((-0.000002)*AB389^3+0.00032*AB389^2+(-0.0021)*AB389)+AC$1*((-0.000002)*AC389^3+0.00032*AC389^2+(-0.0021)*AC389)</f>
        <v/>
      </c>
      <c r="AM389" s="5">
        <f>AD$1*((-0.000002)*AD389^3+0.00032*AD389^2+(-0.0021)*AD389)+AE$1*((-0.000002)*AE389^3+0.00032*AE389^2+(-0.0021)*AE389)+AF$1*((-0.000002)*AF389^3+0.00032*AF389^2+(-0.0021)*AF389)+AG$1*((-0.000002)*AG389^3+0.00032*AG389^2+(-0.0021)*AG389)</f>
        <v/>
      </c>
    </row>
    <row r="390" ht="15" customHeight="1" s="27" thickBot="1">
      <c r="A390">
        <f>(AI390*AI$3+AJ390*AJ$3+AK390*AK$3+AL390*AL$3+AM390*AM$3)*100/(AI$5*AI$3+AJ$5*AJ$3+AK$5*AK$3+AL$5*AL$3+AM$5*AM$3)</f>
        <v/>
      </c>
      <c r="B390" s="18" t="n"/>
      <c r="C390" s="11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8" t="n"/>
      <c r="R390" s="11" t="n"/>
      <c r="S390" s="19" t="n"/>
      <c r="T390" s="19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  <c r="AG390" s="19" t="n"/>
      <c r="AH390" s="19" t="n"/>
      <c r="AI390" s="5">
        <f>H$1*((-0.000002)*H390^3+0.00032*H390^2+(-0.0021)*H390)+I$1*((-0.000002)*I390^3+0.00032*I390^2+(-0.0021)*I390)+J$1*((-0.000002)*J390^3+0.00032*J390^2+(-0.0021)*J390)+K$1*((-0.000002)*K390^3+0.00032*K390^2+(-0.0021)*K390)+L$1*((-0.000002)*L390^3+0.00032*L390^2+(-0.0021)*L390)</f>
        <v/>
      </c>
      <c r="AJ390" s="5">
        <f>M$1*((-0.000002)*M390^3+0.00032*M390^2+(-0.0021)*M390)+N$1*((-0.000002)*N390^3+0.00032*N390^2+(-0.0021)*N390)+O$1*((-0.000002)*O390^3+0.00032*O390^2+(-0.0021)*O390)</f>
        <v/>
      </c>
      <c r="AK390" s="5">
        <f>IF(AA390&lt;50,W$1*((-0.000002)*W390^3+0.00032*W390^2+(-0.0021)*W390)+X$1*((-0.000002)*X390^3+0.00032*X390^2+(-0.0021)*X390)+Y$1*((-0.000002)*Y390^3+0.00032*Y390^2+(-0.0021)*Y390)+Z$1*((-0.000002)*Z390^3+0.00032*Z390^2+(-0.0021)*Z390),X$2*((-0.000002)*X390^3+0.00032*X390^2+(-0.0021)*X390)+Y$2*((-0.000002)*Y390^3+0.00032*Y390^2+(-0.0021)*Y390)+Z$2*((-0.000002)*Z390^3+0.00032*Z390^2+(-0.0021)*Z390)+AA$2*((-0.000002)*AA390^3+0.00032*AA390^2+(-0.0021)*AA390))</f>
        <v/>
      </c>
      <c r="AL390" s="5">
        <f>AB$1*((-0.000002)*AB390^3+0.00032*AB390^2+(-0.0021)*AB390)+AC$1*((-0.000002)*AC390^3+0.00032*AC390^2+(-0.0021)*AC390)</f>
        <v/>
      </c>
      <c r="AM390" s="5">
        <f>AD$1*((-0.000002)*AD390^3+0.00032*AD390^2+(-0.0021)*AD390)+AE$1*((-0.000002)*AE390^3+0.00032*AE390^2+(-0.0021)*AE390)+AF$1*((-0.000002)*AF390^3+0.00032*AF390^2+(-0.0021)*AF390)+AG$1*((-0.000002)*AG390^3+0.00032*AG390^2+(-0.0021)*AG390)</f>
        <v/>
      </c>
    </row>
    <row r="391" ht="15" customHeight="1" s="27" thickBot="1">
      <c r="A391">
        <f>(AI391*AI$3+AJ391*AJ$3+AK391*AK$3+AL391*AL$3+AM391*AM$3)*100/(AI$5*AI$3+AJ$5*AJ$3+AK$5*AK$3+AL$5*AL$3+AM$5*AM$3)</f>
        <v/>
      </c>
      <c r="B391" s="16" t="n"/>
      <c r="C391" s="10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6" t="n"/>
      <c r="R391" s="10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5">
        <f>H$1*((-0.000002)*H391^3+0.00032*H391^2+(-0.0021)*H391)+I$1*((-0.000002)*I391^3+0.00032*I391^2+(-0.0021)*I391)+J$1*((-0.000002)*J391^3+0.00032*J391^2+(-0.0021)*J391)+K$1*((-0.000002)*K391^3+0.00032*K391^2+(-0.0021)*K391)+L$1*((-0.000002)*L391^3+0.00032*L391^2+(-0.0021)*L391)</f>
        <v/>
      </c>
      <c r="AJ391" s="5">
        <f>M$1*((-0.000002)*M391^3+0.00032*M391^2+(-0.0021)*M391)+N$1*((-0.000002)*N391^3+0.00032*N391^2+(-0.0021)*N391)+O$1*((-0.000002)*O391^3+0.00032*O391^2+(-0.0021)*O391)</f>
        <v/>
      </c>
      <c r="AK391" s="5">
        <f>IF(AA391&lt;50,W$1*((-0.000002)*W391^3+0.00032*W391^2+(-0.0021)*W391)+X$1*((-0.000002)*X391^3+0.00032*X391^2+(-0.0021)*X391)+Y$1*((-0.000002)*Y391^3+0.00032*Y391^2+(-0.0021)*Y391)+Z$1*((-0.000002)*Z391^3+0.00032*Z391^2+(-0.0021)*Z391),X$2*((-0.000002)*X391^3+0.00032*X391^2+(-0.0021)*X391)+Y$2*((-0.000002)*Y391^3+0.00032*Y391^2+(-0.0021)*Y391)+Z$2*((-0.000002)*Z391^3+0.00032*Z391^2+(-0.0021)*Z391)+AA$2*((-0.000002)*AA391^3+0.00032*AA391^2+(-0.0021)*AA391))</f>
        <v/>
      </c>
      <c r="AL391" s="5">
        <f>AB$1*((-0.000002)*AB391^3+0.00032*AB391^2+(-0.0021)*AB391)+AC$1*((-0.000002)*AC391^3+0.00032*AC391^2+(-0.0021)*AC391)</f>
        <v/>
      </c>
      <c r="AM391" s="5">
        <f>AD$1*((-0.000002)*AD391^3+0.00032*AD391^2+(-0.0021)*AD391)+AE$1*((-0.000002)*AE391^3+0.00032*AE391^2+(-0.0021)*AE391)+AF$1*((-0.000002)*AF391^3+0.00032*AF391^2+(-0.0021)*AF391)+AG$1*((-0.000002)*AG391^3+0.00032*AG391^2+(-0.0021)*AG391)</f>
        <v/>
      </c>
    </row>
    <row r="392" ht="15" customHeight="1" s="27" thickBot="1">
      <c r="A392">
        <f>(AI392*AI$3+AJ392*AJ$3+AK392*AK$3+AL392*AL$3+AM392*AM$3)*100/(AI$5*AI$3+AJ$5*AJ$3+AK$5*AK$3+AL$5*AL$3+AM$5*AM$3)</f>
        <v/>
      </c>
      <c r="B392" s="18" t="n"/>
      <c r="C392" s="11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8" t="n"/>
      <c r="R392" s="11" t="n"/>
      <c r="S392" s="19" t="n"/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  <c r="AI392" s="5">
        <f>H$1*((-0.000002)*H392^3+0.00032*H392^2+(-0.0021)*H392)+I$1*((-0.000002)*I392^3+0.00032*I392^2+(-0.0021)*I392)+J$1*((-0.000002)*J392^3+0.00032*J392^2+(-0.0021)*J392)+K$1*((-0.000002)*K392^3+0.00032*K392^2+(-0.0021)*K392)+L$1*((-0.000002)*L392^3+0.00032*L392^2+(-0.0021)*L392)</f>
        <v/>
      </c>
      <c r="AJ392" s="5">
        <f>M$1*((-0.000002)*M392^3+0.00032*M392^2+(-0.0021)*M392)+N$1*((-0.000002)*N392^3+0.00032*N392^2+(-0.0021)*N392)+O$1*((-0.000002)*O392^3+0.00032*O392^2+(-0.0021)*O392)</f>
        <v/>
      </c>
      <c r="AK392" s="5">
        <f>IF(AA392&lt;50,W$1*((-0.000002)*W392^3+0.00032*W392^2+(-0.0021)*W392)+X$1*((-0.000002)*X392^3+0.00032*X392^2+(-0.0021)*X392)+Y$1*((-0.000002)*Y392^3+0.00032*Y392^2+(-0.0021)*Y392)+Z$1*((-0.000002)*Z392^3+0.00032*Z392^2+(-0.0021)*Z392),X$2*((-0.000002)*X392^3+0.00032*X392^2+(-0.0021)*X392)+Y$2*((-0.000002)*Y392^3+0.00032*Y392^2+(-0.0021)*Y392)+Z$2*((-0.000002)*Z392^3+0.00032*Z392^2+(-0.0021)*Z392)+AA$2*((-0.000002)*AA392^3+0.00032*AA392^2+(-0.0021)*AA392))</f>
        <v/>
      </c>
      <c r="AL392" s="5">
        <f>AB$1*((-0.000002)*AB392^3+0.00032*AB392^2+(-0.0021)*AB392)+AC$1*((-0.000002)*AC392^3+0.00032*AC392^2+(-0.0021)*AC392)</f>
        <v/>
      </c>
      <c r="AM392" s="5">
        <f>AD$1*((-0.000002)*AD392^3+0.00032*AD392^2+(-0.0021)*AD392)+AE$1*((-0.000002)*AE392^3+0.00032*AE392^2+(-0.0021)*AE392)+AF$1*((-0.000002)*AF392^3+0.00032*AF392^2+(-0.0021)*AF392)+AG$1*((-0.000002)*AG392^3+0.00032*AG392^2+(-0.0021)*AG392)</f>
        <v/>
      </c>
    </row>
    <row r="393" ht="15" customHeight="1" s="27" thickBot="1">
      <c r="A393">
        <f>(AI393*AI$3+AJ393*AJ$3+AK393*AK$3+AL393*AL$3+AM393*AM$3)*100/(AI$5*AI$3+AJ$5*AJ$3+AK$5*AK$3+AL$5*AL$3+AM$5*AM$3)</f>
        <v/>
      </c>
      <c r="B393" s="16" t="n"/>
      <c r="C393" s="10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6" t="n"/>
      <c r="R393" s="10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5">
        <f>H$1*((-0.000002)*H393^3+0.00032*H393^2+(-0.0021)*H393)+I$1*((-0.000002)*I393^3+0.00032*I393^2+(-0.0021)*I393)+J$1*((-0.000002)*J393^3+0.00032*J393^2+(-0.0021)*J393)+K$1*((-0.000002)*K393^3+0.00032*K393^2+(-0.0021)*K393)+L$1*((-0.000002)*L393^3+0.00032*L393^2+(-0.0021)*L393)</f>
        <v/>
      </c>
      <c r="AJ393" s="5">
        <f>M$1*((-0.000002)*M393^3+0.00032*M393^2+(-0.0021)*M393)+N$1*((-0.000002)*N393^3+0.00032*N393^2+(-0.0021)*N393)+O$1*((-0.000002)*O393^3+0.00032*O393^2+(-0.0021)*O393)</f>
        <v/>
      </c>
      <c r="AK393" s="5">
        <f>IF(AA393&lt;50,W$1*((-0.000002)*W393^3+0.00032*W393^2+(-0.0021)*W393)+X$1*((-0.000002)*X393^3+0.00032*X393^2+(-0.0021)*X393)+Y$1*((-0.000002)*Y393^3+0.00032*Y393^2+(-0.0021)*Y393)+Z$1*((-0.000002)*Z393^3+0.00032*Z393^2+(-0.0021)*Z393),X$2*((-0.000002)*X393^3+0.00032*X393^2+(-0.0021)*X393)+Y$2*((-0.000002)*Y393^3+0.00032*Y393^2+(-0.0021)*Y393)+Z$2*((-0.000002)*Z393^3+0.00032*Z393^2+(-0.0021)*Z393)+AA$2*((-0.000002)*AA393^3+0.00032*AA393^2+(-0.0021)*AA393))</f>
        <v/>
      </c>
      <c r="AL393" s="5">
        <f>AB$1*((-0.000002)*AB393^3+0.00032*AB393^2+(-0.0021)*AB393)+AC$1*((-0.000002)*AC393^3+0.00032*AC393^2+(-0.0021)*AC393)</f>
        <v/>
      </c>
      <c r="AM393" s="5">
        <f>AD$1*((-0.000002)*AD393^3+0.00032*AD393^2+(-0.0021)*AD393)+AE$1*((-0.000002)*AE393^3+0.00032*AE393^2+(-0.0021)*AE393)+AF$1*((-0.000002)*AF393^3+0.00032*AF393^2+(-0.0021)*AF393)+AG$1*((-0.000002)*AG393^3+0.00032*AG393^2+(-0.0021)*AG393)</f>
        <v/>
      </c>
    </row>
    <row r="394" ht="15" customHeight="1" s="27" thickBot="1">
      <c r="A394">
        <f>(AI394*AI$3+AJ394*AJ$3+AK394*AK$3+AL394*AL$3+AM394*AM$3)*100/(AI$5*AI$3+AJ$5*AJ$3+AK$5*AK$3+AL$5*AL$3+AM$5*AM$3)</f>
        <v/>
      </c>
      <c r="B394" s="18" t="n"/>
      <c r="C394" s="11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8" t="n"/>
      <c r="R394" s="11" t="n"/>
      <c r="S394" s="19" t="n"/>
      <c r="T394" s="19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  <c r="AG394" s="19" t="n"/>
      <c r="AH394" s="19" t="n"/>
      <c r="AI394" s="5">
        <f>H$1*((-0.000002)*H394^3+0.00032*H394^2+(-0.0021)*H394)+I$1*((-0.000002)*I394^3+0.00032*I394^2+(-0.0021)*I394)+J$1*((-0.000002)*J394^3+0.00032*J394^2+(-0.0021)*J394)+K$1*((-0.000002)*K394^3+0.00032*K394^2+(-0.0021)*K394)+L$1*((-0.000002)*L394^3+0.00032*L394^2+(-0.0021)*L394)</f>
        <v/>
      </c>
      <c r="AJ394" s="5">
        <f>M$1*((-0.000002)*M394^3+0.00032*M394^2+(-0.0021)*M394)+N$1*((-0.000002)*N394^3+0.00032*N394^2+(-0.0021)*N394)+O$1*((-0.000002)*O394^3+0.00032*O394^2+(-0.0021)*O394)</f>
        <v/>
      </c>
      <c r="AK394" s="5">
        <f>IF(AA394&lt;50,W$1*((-0.000002)*W394^3+0.00032*W394^2+(-0.0021)*W394)+X$1*((-0.000002)*X394^3+0.00032*X394^2+(-0.0021)*X394)+Y$1*((-0.000002)*Y394^3+0.00032*Y394^2+(-0.0021)*Y394)+Z$1*((-0.000002)*Z394^3+0.00032*Z394^2+(-0.0021)*Z394),X$2*((-0.000002)*X394^3+0.00032*X394^2+(-0.0021)*X394)+Y$2*((-0.000002)*Y394^3+0.00032*Y394^2+(-0.0021)*Y394)+Z$2*((-0.000002)*Z394^3+0.00032*Z394^2+(-0.0021)*Z394)+AA$2*((-0.000002)*AA394^3+0.00032*AA394^2+(-0.0021)*AA394))</f>
        <v/>
      </c>
      <c r="AL394" s="5">
        <f>AB$1*((-0.000002)*AB394^3+0.00032*AB394^2+(-0.0021)*AB394)+AC$1*((-0.000002)*AC394^3+0.00032*AC394^2+(-0.0021)*AC394)</f>
        <v/>
      </c>
      <c r="AM394" s="5">
        <f>AD$1*((-0.000002)*AD394^3+0.00032*AD394^2+(-0.0021)*AD394)+AE$1*((-0.000002)*AE394^3+0.00032*AE394^2+(-0.0021)*AE394)+AF$1*((-0.000002)*AF394^3+0.00032*AF394^2+(-0.0021)*AF394)+AG$1*((-0.000002)*AG394^3+0.00032*AG394^2+(-0.0021)*AG394)</f>
        <v/>
      </c>
    </row>
    <row r="395" ht="15" customHeight="1" s="27" thickBot="1">
      <c r="A395">
        <f>(AI395*AI$3+AJ395*AJ$3+AK395*AK$3+AL395*AL$3+AM395*AM$3)*100/(AI$5*AI$3+AJ$5*AJ$3+AK$5*AK$3+AL$5*AL$3+AM$5*AM$3)</f>
        <v/>
      </c>
      <c r="B395" s="16" t="n"/>
      <c r="C395" s="10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6" t="n"/>
      <c r="R395" s="10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5">
        <f>H$1*((-0.000002)*H395^3+0.00032*H395^2+(-0.0021)*H395)+I$1*((-0.000002)*I395^3+0.00032*I395^2+(-0.0021)*I395)+J$1*((-0.000002)*J395^3+0.00032*J395^2+(-0.0021)*J395)+K$1*((-0.000002)*K395^3+0.00032*K395^2+(-0.0021)*K395)+L$1*((-0.000002)*L395^3+0.00032*L395^2+(-0.0021)*L395)</f>
        <v/>
      </c>
      <c r="AJ395" s="5">
        <f>M$1*((-0.000002)*M395^3+0.00032*M395^2+(-0.0021)*M395)+N$1*((-0.000002)*N395^3+0.00032*N395^2+(-0.0021)*N395)+O$1*((-0.000002)*O395^3+0.00032*O395^2+(-0.0021)*O395)</f>
        <v/>
      </c>
      <c r="AK395" s="5">
        <f>IF(AA395&lt;50,W$1*((-0.000002)*W395^3+0.00032*W395^2+(-0.0021)*W395)+X$1*((-0.000002)*X395^3+0.00032*X395^2+(-0.0021)*X395)+Y$1*((-0.000002)*Y395^3+0.00032*Y395^2+(-0.0021)*Y395)+Z$1*((-0.000002)*Z395^3+0.00032*Z395^2+(-0.0021)*Z395),X$2*((-0.000002)*X395^3+0.00032*X395^2+(-0.0021)*X395)+Y$2*((-0.000002)*Y395^3+0.00032*Y395^2+(-0.0021)*Y395)+Z$2*((-0.000002)*Z395^3+0.00032*Z395^2+(-0.0021)*Z395)+AA$2*((-0.000002)*AA395^3+0.00032*AA395^2+(-0.0021)*AA395))</f>
        <v/>
      </c>
      <c r="AL395" s="5">
        <f>AB$1*((-0.000002)*AB395^3+0.00032*AB395^2+(-0.0021)*AB395)+AC$1*((-0.000002)*AC395^3+0.00032*AC395^2+(-0.0021)*AC395)</f>
        <v/>
      </c>
      <c r="AM395" s="5">
        <f>AD$1*((-0.000002)*AD395^3+0.00032*AD395^2+(-0.0021)*AD395)+AE$1*((-0.000002)*AE395^3+0.00032*AE395^2+(-0.0021)*AE395)+AF$1*((-0.000002)*AF395^3+0.00032*AF395^2+(-0.0021)*AF395)+AG$1*((-0.000002)*AG395^3+0.00032*AG395^2+(-0.0021)*AG395)</f>
        <v/>
      </c>
    </row>
    <row r="396" ht="15" customHeight="1" s="27" thickBot="1">
      <c r="A396">
        <f>(AI396*AI$3+AJ396*AJ$3+AK396*AK$3+AL396*AL$3+AM396*AM$3)*100/(AI$5*AI$3+AJ$5*AJ$3+AK$5*AK$3+AL$5*AL$3+AM$5*AM$3)</f>
        <v/>
      </c>
      <c r="B396" s="18" t="n"/>
      <c r="C396" s="11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8" t="n"/>
      <c r="R396" s="11" t="n"/>
      <c r="S396" s="19" t="n"/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5">
        <f>H$1*((-0.000002)*H396^3+0.00032*H396^2+(-0.0021)*H396)+I$1*((-0.000002)*I396^3+0.00032*I396^2+(-0.0021)*I396)+J$1*((-0.000002)*J396^3+0.00032*J396^2+(-0.0021)*J396)+K$1*((-0.000002)*K396^3+0.00032*K396^2+(-0.0021)*K396)+L$1*((-0.000002)*L396^3+0.00032*L396^2+(-0.0021)*L396)</f>
        <v/>
      </c>
      <c r="AJ396" s="5">
        <f>M$1*((-0.000002)*M396^3+0.00032*M396^2+(-0.0021)*M396)+N$1*((-0.000002)*N396^3+0.00032*N396^2+(-0.0021)*N396)+O$1*((-0.000002)*O396^3+0.00032*O396^2+(-0.0021)*O396)</f>
        <v/>
      </c>
      <c r="AK396" s="5">
        <f>IF(AA396&lt;50,W$1*((-0.000002)*W396^3+0.00032*W396^2+(-0.0021)*W396)+X$1*((-0.000002)*X396^3+0.00032*X396^2+(-0.0021)*X396)+Y$1*((-0.000002)*Y396^3+0.00032*Y396^2+(-0.0021)*Y396)+Z$1*((-0.000002)*Z396^3+0.00032*Z396^2+(-0.0021)*Z396),X$2*((-0.000002)*X396^3+0.00032*X396^2+(-0.0021)*X396)+Y$2*((-0.000002)*Y396^3+0.00032*Y396^2+(-0.0021)*Y396)+Z$2*((-0.000002)*Z396^3+0.00032*Z396^2+(-0.0021)*Z396)+AA$2*((-0.000002)*AA396^3+0.00032*AA396^2+(-0.0021)*AA396))</f>
        <v/>
      </c>
      <c r="AL396" s="5">
        <f>AB$1*((-0.000002)*AB396^3+0.00032*AB396^2+(-0.0021)*AB396)+AC$1*((-0.000002)*AC396^3+0.00032*AC396^2+(-0.0021)*AC396)</f>
        <v/>
      </c>
      <c r="AM396" s="5">
        <f>AD$1*((-0.000002)*AD396^3+0.00032*AD396^2+(-0.0021)*AD396)+AE$1*((-0.000002)*AE396^3+0.00032*AE396^2+(-0.0021)*AE396)+AF$1*((-0.000002)*AF396^3+0.00032*AF396^2+(-0.0021)*AF396)+AG$1*((-0.000002)*AG396^3+0.00032*AG396^2+(-0.0021)*AG396)</f>
        <v/>
      </c>
    </row>
    <row r="397" ht="15" customHeight="1" s="27" thickBot="1">
      <c r="A397">
        <f>(AI397*AI$3+AJ397*AJ$3+AK397*AK$3+AL397*AL$3+AM397*AM$3)*100/(AI$5*AI$3+AJ$5*AJ$3+AK$5*AK$3+AL$5*AL$3+AM$5*AM$3)</f>
        <v/>
      </c>
      <c r="B397" s="16" t="n"/>
      <c r="C397" s="10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6" t="n"/>
      <c r="R397" s="10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5">
        <f>H$1*((-0.000002)*H397^3+0.00032*H397^2+(-0.0021)*H397)+I$1*((-0.000002)*I397^3+0.00032*I397^2+(-0.0021)*I397)+J$1*((-0.000002)*J397^3+0.00032*J397^2+(-0.0021)*J397)+K$1*((-0.000002)*K397^3+0.00032*K397^2+(-0.0021)*K397)+L$1*((-0.000002)*L397^3+0.00032*L397^2+(-0.0021)*L397)</f>
        <v/>
      </c>
      <c r="AJ397" s="5">
        <f>M$1*((-0.000002)*M397^3+0.00032*M397^2+(-0.0021)*M397)+N$1*((-0.000002)*N397^3+0.00032*N397^2+(-0.0021)*N397)+O$1*((-0.000002)*O397^3+0.00032*O397^2+(-0.0021)*O397)</f>
        <v/>
      </c>
      <c r="AK397" s="5">
        <f>IF(AA397&lt;50,W$1*((-0.000002)*W397^3+0.00032*W397^2+(-0.0021)*W397)+X$1*((-0.000002)*X397^3+0.00032*X397^2+(-0.0021)*X397)+Y$1*((-0.000002)*Y397^3+0.00032*Y397^2+(-0.0021)*Y397)+Z$1*((-0.000002)*Z397^3+0.00032*Z397^2+(-0.0021)*Z397),X$2*((-0.000002)*X397^3+0.00032*X397^2+(-0.0021)*X397)+Y$2*((-0.000002)*Y397^3+0.00032*Y397^2+(-0.0021)*Y397)+Z$2*((-0.000002)*Z397^3+0.00032*Z397^2+(-0.0021)*Z397)+AA$2*((-0.000002)*AA397^3+0.00032*AA397^2+(-0.0021)*AA397))</f>
        <v/>
      </c>
      <c r="AL397" s="5">
        <f>AB$1*((-0.000002)*AB397^3+0.00032*AB397^2+(-0.0021)*AB397)+AC$1*((-0.000002)*AC397^3+0.00032*AC397^2+(-0.0021)*AC397)</f>
        <v/>
      </c>
      <c r="AM397" s="5">
        <f>AD$1*((-0.000002)*AD397^3+0.00032*AD397^2+(-0.0021)*AD397)+AE$1*((-0.000002)*AE397^3+0.00032*AE397^2+(-0.0021)*AE397)+AF$1*((-0.000002)*AF397^3+0.00032*AF397^2+(-0.0021)*AF397)+AG$1*((-0.000002)*AG397^3+0.00032*AG397^2+(-0.0021)*AG397)</f>
        <v/>
      </c>
    </row>
    <row r="398" ht="15" customHeight="1" s="27" thickBot="1">
      <c r="A398">
        <f>(AI398*AI$3+AJ398*AJ$3+AK398*AK$3+AL398*AL$3+AM398*AM$3)*100/(AI$5*AI$3+AJ$5*AJ$3+AK$5*AK$3+AL$5*AL$3+AM$5*AM$3)</f>
        <v/>
      </c>
      <c r="B398" s="18" t="n"/>
      <c r="C398" s="11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8" t="n"/>
      <c r="R398" s="11" t="n"/>
      <c r="S398" s="19" t="n"/>
      <c r="T398" s="19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  <c r="AG398" s="19" t="n"/>
      <c r="AH398" s="19" t="n"/>
      <c r="AI398" s="5">
        <f>H$1*((-0.000002)*H398^3+0.00032*H398^2+(-0.0021)*H398)+I$1*((-0.000002)*I398^3+0.00032*I398^2+(-0.0021)*I398)+J$1*((-0.000002)*J398^3+0.00032*J398^2+(-0.0021)*J398)+K$1*((-0.000002)*K398^3+0.00032*K398^2+(-0.0021)*K398)+L$1*((-0.000002)*L398^3+0.00032*L398^2+(-0.0021)*L398)</f>
        <v/>
      </c>
      <c r="AJ398" s="5">
        <f>M$1*((-0.000002)*M398^3+0.00032*M398^2+(-0.0021)*M398)+N$1*((-0.000002)*N398^3+0.00032*N398^2+(-0.0021)*N398)+O$1*((-0.000002)*O398^3+0.00032*O398^2+(-0.0021)*O398)</f>
        <v/>
      </c>
      <c r="AK398" s="5">
        <f>IF(AA398&lt;50,W$1*((-0.000002)*W398^3+0.00032*W398^2+(-0.0021)*W398)+X$1*((-0.000002)*X398^3+0.00032*X398^2+(-0.0021)*X398)+Y$1*((-0.000002)*Y398^3+0.00032*Y398^2+(-0.0021)*Y398)+Z$1*((-0.000002)*Z398^3+0.00032*Z398^2+(-0.0021)*Z398),X$2*((-0.000002)*X398^3+0.00032*X398^2+(-0.0021)*X398)+Y$2*((-0.000002)*Y398^3+0.00032*Y398^2+(-0.0021)*Y398)+Z$2*((-0.000002)*Z398^3+0.00032*Z398^2+(-0.0021)*Z398)+AA$2*((-0.000002)*AA398^3+0.00032*AA398^2+(-0.0021)*AA398))</f>
        <v/>
      </c>
      <c r="AL398" s="5">
        <f>AB$1*((-0.000002)*AB398^3+0.00032*AB398^2+(-0.0021)*AB398)+AC$1*((-0.000002)*AC398^3+0.00032*AC398^2+(-0.0021)*AC398)</f>
        <v/>
      </c>
      <c r="AM398" s="5">
        <f>AD$1*((-0.000002)*AD398^3+0.00032*AD398^2+(-0.0021)*AD398)+AE$1*((-0.000002)*AE398^3+0.00032*AE398^2+(-0.0021)*AE398)+AF$1*((-0.000002)*AF398^3+0.00032*AF398^2+(-0.0021)*AF398)+AG$1*((-0.000002)*AG398^3+0.00032*AG398^2+(-0.0021)*AG398)</f>
        <v/>
      </c>
    </row>
    <row r="399" ht="15" customHeight="1" s="27" thickBot="1">
      <c r="A399">
        <f>(AI399*AI$3+AJ399*AJ$3+AK399*AK$3+AL399*AL$3+AM399*AM$3)*100/(AI$5*AI$3+AJ$5*AJ$3+AK$5*AK$3+AL$5*AL$3+AM$5*AM$3)</f>
        <v/>
      </c>
      <c r="B399" s="16" t="n"/>
      <c r="C399" s="10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6" t="n"/>
      <c r="R399" s="10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5">
        <f>H$1*((-0.000002)*H399^3+0.00032*H399^2+(-0.0021)*H399)+I$1*((-0.000002)*I399^3+0.00032*I399^2+(-0.0021)*I399)+J$1*((-0.000002)*J399^3+0.00032*J399^2+(-0.0021)*J399)+K$1*((-0.000002)*K399^3+0.00032*K399^2+(-0.0021)*K399)+L$1*((-0.000002)*L399^3+0.00032*L399^2+(-0.0021)*L399)</f>
        <v/>
      </c>
      <c r="AJ399" s="5">
        <f>M$1*((-0.000002)*M399^3+0.00032*M399^2+(-0.0021)*M399)+N$1*((-0.000002)*N399^3+0.00032*N399^2+(-0.0021)*N399)+O$1*((-0.000002)*O399^3+0.00032*O399^2+(-0.0021)*O399)</f>
        <v/>
      </c>
      <c r="AK399" s="5">
        <f>IF(AA399&lt;50,W$1*((-0.000002)*W399^3+0.00032*W399^2+(-0.0021)*W399)+X$1*((-0.000002)*X399^3+0.00032*X399^2+(-0.0021)*X399)+Y$1*((-0.000002)*Y399^3+0.00032*Y399^2+(-0.0021)*Y399)+Z$1*((-0.000002)*Z399^3+0.00032*Z399^2+(-0.0021)*Z399),X$2*((-0.000002)*X399^3+0.00032*X399^2+(-0.0021)*X399)+Y$2*((-0.000002)*Y399^3+0.00032*Y399^2+(-0.0021)*Y399)+Z$2*((-0.000002)*Z399^3+0.00032*Z399^2+(-0.0021)*Z399)+AA$2*((-0.000002)*AA399^3+0.00032*AA399^2+(-0.0021)*AA399))</f>
        <v/>
      </c>
      <c r="AL399" s="5">
        <f>AB$1*((-0.000002)*AB399^3+0.00032*AB399^2+(-0.0021)*AB399)+AC$1*((-0.000002)*AC399^3+0.00032*AC399^2+(-0.0021)*AC399)</f>
        <v/>
      </c>
      <c r="AM399" s="5">
        <f>AD$1*((-0.000002)*AD399^3+0.00032*AD399^2+(-0.0021)*AD399)+AE$1*((-0.000002)*AE399^3+0.00032*AE399^2+(-0.0021)*AE399)+AF$1*((-0.000002)*AF399^3+0.00032*AF399^2+(-0.0021)*AF399)+AG$1*((-0.000002)*AG399^3+0.00032*AG399^2+(-0.0021)*AG399)</f>
        <v/>
      </c>
    </row>
    <row r="400" ht="15" customHeight="1" s="27" thickBot="1">
      <c r="A400">
        <f>(AI400*AI$3+AJ400*AJ$3+AK400*AK$3+AL400*AL$3+AM400*AM$3)*100/(AI$5*AI$3+AJ$5*AJ$3+AK$5*AK$3+AL$5*AL$3+AM$5*AM$3)</f>
        <v/>
      </c>
      <c r="B400" s="18" t="n"/>
      <c r="C400" s="11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8" t="n"/>
      <c r="R400" s="11" t="n"/>
      <c r="S400" s="19" t="n"/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5">
        <f>H$1*((-0.000002)*H400^3+0.00032*H400^2+(-0.0021)*H400)+I$1*((-0.000002)*I400^3+0.00032*I400^2+(-0.0021)*I400)+J$1*((-0.000002)*J400^3+0.00032*J400^2+(-0.0021)*J400)+K$1*((-0.000002)*K400^3+0.00032*K400^2+(-0.0021)*K400)+L$1*((-0.000002)*L400^3+0.00032*L400^2+(-0.0021)*L400)</f>
        <v/>
      </c>
      <c r="AJ400" s="5">
        <f>M$1*((-0.000002)*M400^3+0.00032*M400^2+(-0.0021)*M400)+N$1*((-0.000002)*N400^3+0.00032*N400^2+(-0.0021)*N400)+O$1*((-0.000002)*O400^3+0.00032*O400^2+(-0.0021)*O400)</f>
        <v/>
      </c>
      <c r="AK400" s="5">
        <f>IF(AA400&lt;50,W$1*((-0.000002)*W400^3+0.00032*W400^2+(-0.0021)*W400)+X$1*((-0.000002)*X400^3+0.00032*X400^2+(-0.0021)*X400)+Y$1*((-0.000002)*Y400^3+0.00032*Y400^2+(-0.0021)*Y400)+Z$1*((-0.000002)*Z400^3+0.00032*Z400^2+(-0.0021)*Z400),X$2*((-0.000002)*X400^3+0.00032*X400^2+(-0.0021)*X400)+Y$2*((-0.000002)*Y400^3+0.00032*Y400^2+(-0.0021)*Y400)+Z$2*((-0.000002)*Z400^3+0.00032*Z400^2+(-0.0021)*Z400)+AA$2*((-0.000002)*AA400^3+0.00032*AA400^2+(-0.0021)*AA400))</f>
        <v/>
      </c>
      <c r="AL400" s="5">
        <f>AB$1*((-0.000002)*AB400^3+0.00032*AB400^2+(-0.0021)*AB400)+AC$1*((-0.000002)*AC400^3+0.00032*AC400^2+(-0.0021)*AC400)</f>
        <v/>
      </c>
      <c r="AM400" s="5">
        <f>AD$1*((-0.000002)*AD400^3+0.00032*AD400^2+(-0.0021)*AD400)+AE$1*((-0.000002)*AE400^3+0.00032*AE400^2+(-0.0021)*AE400)+AF$1*((-0.000002)*AF400^3+0.00032*AF400^2+(-0.0021)*AF400)+AG$1*((-0.000002)*AG400^3+0.00032*AG400^2+(-0.0021)*AG400)</f>
        <v/>
      </c>
    </row>
    <row r="401" ht="15" customHeight="1" s="27" thickBot="1">
      <c r="A401">
        <f>(AI401*AI$3+AJ401*AJ$3+AK401*AK$3+AL401*AL$3+AM401*AM$3)*100/(AI$5*AI$3+AJ$5*AJ$3+AK$5*AK$3+AL$5*AL$3+AM$5*AM$3)</f>
        <v/>
      </c>
      <c r="B401" s="16" t="n"/>
      <c r="C401" s="10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6" t="n"/>
      <c r="R401" s="10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5">
        <f>H$1*((-0.000002)*H401^3+0.00032*H401^2+(-0.0021)*H401)+I$1*((-0.000002)*I401^3+0.00032*I401^2+(-0.0021)*I401)+J$1*((-0.000002)*J401^3+0.00032*J401^2+(-0.0021)*J401)+K$1*((-0.000002)*K401^3+0.00032*K401^2+(-0.0021)*K401)+L$1*((-0.000002)*L401^3+0.00032*L401^2+(-0.0021)*L401)</f>
        <v/>
      </c>
      <c r="AJ401" s="5">
        <f>M$1*((-0.000002)*M401^3+0.00032*M401^2+(-0.0021)*M401)+N$1*((-0.000002)*N401^3+0.00032*N401^2+(-0.0021)*N401)+O$1*((-0.000002)*O401^3+0.00032*O401^2+(-0.0021)*O401)</f>
        <v/>
      </c>
      <c r="AK401" s="5">
        <f>IF(AA401&lt;50,W$1*((-0.000002)*W401^3+0.00032*W401^2+(-0.0021)*W401)+X$1*((-0.000002)*X401^3+0.00032*X401^2+(-0.0021)*X401)+Y$1*((-0.000002)*Y401^3+0.00032*Y401^2+(-0.0021)*Y401)+Z$1*((-0.000002)*Z401^3+0.00032*Z401^2+(-0.0021)*Z401),X$2*((-0.000002)*X401^3+0.00032*X401^2+(-0.0021)*X401)+Y$2*((-0.000002)*Y401^3+0.00032*Y401^2+(-0.0021)*Y401)+Z$2*((-0.000002)*Z401^3+0.00032*Z401^2+(-0.0021)*Z401)+AA$2*((-0.000002)*AA401^3+0.00032*AA401^2+(-0.0021)*AA401))</f>
        <v/>
      </c>
      <c r="AL401" s="5">
        <f>AB$1*((-0.000002)*AB401^3+0.00032*AB401^2+(-0.0021)*AB401)+AC$1*((-0.000002)*AC401^3+0.00032*AC401^2+(-0.0021)*AC401)</f>
        <v/>
      </c>
      <c r="AM401" s="5">
        <f>AD$1*((-0.000002)*AD401^3+0.00032*AD401^2+(-0.0021)*AD401)+AE$1*((-0.000002)*AE401^3+0.00032*AE401^2+(-0.0021)*AE401)+AF$1*((-0.000002)*AF401^3+0.00032*AF401^2+(-0.0021)*AF401)+AG$1*((-0.000002)*AG401^3+0.00032*AG401^2+(-0.0021)*AG401)</f>
        <v/>
      </c>
    </row>
    <row r="402" ht="15" customHeight="1" s="27" thickBot="1">
      <c r="A402">
        <f>(AI402*AI$3+AJ402*AJ$3+AK402*AK$3+AL402*AL$3+AM402*AM$3)*100/(AI$5*AI$3+AJ$5*AJ$3+AK$5*AK$3+AL$5*AL$3+AM$5*AM$3)</f>
        <v/>
      </c>
      <c r="B402" s="18" t="n"/>
      <c r="C402" s="11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8" t="n"/>
      <c r="R402" s="11" t="n"/>
      <c r="S402" s="19" t="n"/>
      <c r="T402" s="19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  <c r="AG402" s="19" t="n"/>
      <c r="AH402" s="19" t="n"/>
      <c r="AI402" s="5">
        <f>H$1*((-0.000002)*H402^3+0.00032*H402^2+(-0.0021)*H402)+I$1*((-0.000002)*I402^3+0.00032*I402^2+(-0.0021)*I402)+J$1*((-0.000002)*J402^3+0.00032*J402^2+(-0.0021)*J402)+K$1*((-0.000002)*K402^3+0.00032*K402^2+(-0.0021)*K402)+L$1*((-0.000002)*L402^3+0.00032*L402^2+(-0.0021)*L402)</f>
        <v/>
      </c>
      <c r="AJ402" s="5">
        <f>M$1*((-0.000002)*M402^3+0.00032*M402^2+(-0.0021)*M402)+N$1*((-0.000002)*N402^3+0.00032*N402^2+(-0.0021)*N402)+O$1*((-0.000002)*O402^3+0.00032*O402^2+(-0.0021)*O402)</f>
        <v/>
      </c>
      <c r="AK402" s="5">
        <f>IF(AA402&lt;50,W$1*((-0.000002)*W402^3+0.00032*W402^2+(-0.0021)*W402)+X$1*((-0.000002)*X402^3+0.00032*X402^2+(-0.0021)*X402)+Y$1*((-0.000002)*Y402^3+0.00032*Y402^2+(-0.0021)*Y402)+Z$1*((-0.000002)*Z402^3+0.00032*Z402^2+(-0.0021)*Z402),X$2*((-0.000002)*X402^3+0.00032*X402^2+(-0.0021)*X402)+Y$2*((-0.000002)*Y402^3+0.00032*Y402^2+(-0.0021)*Y402)+Z$2*((-0.000002)*Z402^3+0.00032*Z402^2+(-0.0021)*Z402)+AA$2*((-0.000002)*AA402^3+0.00032*AA402^2+(-0.0021)*AA402))</f>
        <v/>
      </c>
      <c r="AL402" s="5">
        <f>AB$1*((-0.000002)*AB402^3+0.00032*AB402^2+(-0.0021)*AB402)+AC$1*((-0.000002)*AC402^3+0.00032*AC402^2+(-0.0021)*AC402)</f>
        <v/>
      </c>
      <c r="AM402" s="5">
        <f>AD$1*((-0.000002)*AD402^3+0.00032*AD402^2+(-0.0021)*AD402)+AE$1*((-0.000002)*AE402^3+0.00032*AE402^2+(-0.0021)*AE402)+AF$1*((-0.000002)*AF402^3+0.00032*AF402^2+(-0.0021)*AF402)+AG$1*((-0.000002)*AG402^3+0.00032*AG402^2+(-0.0021)*AG402)</f>
        <v/>
      </c>
    </row>
    <row r="403" ht="15" customHeight="1" s="27" thickBot="1">
      <c r="A403">
        <f>(AI403*AI$3+AJ403*AJ$3+AK403*AK$3+AL403*AL$3+AM403*AM$3)*100/(AI$5*AI$3+AJ$5*AJ$3+AK$5*AK$3+AL$5*AL$3+AM$5*AM$3)</f>
        <v/>
      </c>
      <c r="B403" s="16" t="n"/>
      <c r="C403" s="10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6" t="n"/>
      <c r="R403" s="10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5">
        <f>H$1*((-0.000002)*H403^3+0.00032*H403^2+(-0.0021)*H403)+I$1*((-0.000002)*I403^3+0.00032*I403^2+(-0.0021)*I403)+J$1*((-0.000002)*J403^3+0.00032*J403^2+(-0.0021)*J403)+K$1*((-0.000002)*K403^3+0.00032*K403^2+(-0.0021)*K403)+L$1*((-0.000002)*L403^3+0.00032*L403^2+(-0.0021)*L403)</f>
        <v/>
      </c>
      <c r="AJ403" s="5">
        <f>M$1*((-0.000002)*M403^3+0.00032*M403^2+(-0.0021)*M403)+N$1*((-0.000002)*N403^3+0.00032*N403^2+(-0.0021)*N403)+O$1*((-0.000002)*O403^3+0.00032*O403^2+(-0.0021)*O403)</f>
        <v/>
      </c>
      <c r="AK403" s="5">
        <f>IF(AA403&lt;50,W$1*((-0.000002)*W403^3+0.00032*W403^2+(-0.0021)*W403)+X$1*((-0.000002)*X403^3+0.00032*X403^2+(-0.0021)*X403)+Y$1*((-0.000002)*Y403^3+0.00032*Y403^2+(-0.0021)*Y403)+Z$1*((-0.000002)*Z403^3+0.00032*Z403^2+(-0.0021)*Z403),X$2*((-0.000002)*X403^3+0.00032*X403^2+(-0.0021)*X403)+Y$2*((-0.000002)*Y403^3+0.00032*Y403^2+(-0.0021)*Y403)+Z$2*((-0.000002)*Z403^3+0.00032*Z403^2+(-0.0021)*Z403)+AA$2*((-0.000002)*AA403^3+0.00032*AA403^2+(-0.0021)*AA403))</f>
        <v/>
      </c>
      <c r="AL403" s="5">
        <f>AB$1*((-0.000002)*AB403^3+0.00032*AB403^2+(-0.0021)*AB403)+AC$1*((-0.000002)*AC403^3+0.00032*AC403^2+(-0.0021)*AC403)</f>
        <v/>
      </c>
      <c r="AM403" s="5">
        <f>AD$1*((-0.000002)*AD403^3+0.00032*AD403^2+(-0.0021)*AD403)+AE$1*((-0.000002)*AE403^3+0.00032*AE403^2+(-0.0021)*AE403)+AF$1*((-0.000002)*AF403^3+0.00032*AF403^2+(-0.0021)*AF403)+AG$1*((-0.000002)*AG403^3+0.00032*AG403^2+(-0.0021)*AG403)</f>
        <v/>
      </c>
    </row>
    <row r="404" ht="15" customHeight="1" s="27" thickBot="1">
      <c r="A404">
        <f>(AI404*AI$3+AJ404*AJ$3+AK404*AK$3+AL404*AL$3+AM404*AM$3)*100/(AI$5*AI$3+AJ$5*AJ$3+AK$5*AK$3+AL$5*AL$3+AM$5*AM$3)</f>
        <v/>
      </c>
      <c r="B404" s="18" t="n"/>
      <c r="C404" s="11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8" t="n"/>
      <c r="R404" s="11" t="n"/>
      <c r="S404" s="19" t="n"/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5">
        <f>H$1*((-0.000002)*H404^3+0.00032*H404^2+(-0.0021)*H404)+I$1*((-0.000002)*I404^3+0.00032*I404^2+(-0.0021)*I404)+J$1*((-0.000002)*J404^3+0.00032*J404^2+(-0.0021)*J404)+K$1*((-0.000002)*K404^3+0.00032*K404^2+(-0.0021)*K404)+L$1*((-0.000002)*L404^3+0.00032*L404^2+(-0.0021)*L404)</f>
        <v/>
      </c>
      <c r="AJ404" s="5">
        <f>M$1*((-0.000002)*M404^3+0.00032*M404^2+(-0.0021)*M404)+N$1*((-0.000002)*N404^3+0.00032*N404^2+(-0.0021)*N404)+O$1*((-0.000002)*O404^3+0.00032*O404^2+(-0.0021)*O404)</f>
        <v/>
      </c>
      <c r="AK404" s="5">
        <f>IF(AA404&lt;50,W$1*((-0.000002)*W404^3+0.00032*W404^2+(-0.0021)*W404)+X$1*((-0.000002)*X404^3+0.00032*X404^2+(-0.0021)*X404)+Y$1*((-0.000002)*Y404^3+0.00032*Y404^2+(-0.0021)*Y404)+Z$1*((-0.000002)*Z404^3+0.00032*Z404^2+(-0.0021)*Z404),X$2*((-0.000002)*X404^3+0.00032*X404^2+(-0.0021)*X404)+Y$2*((-0.000002)*Y404^3+0.00032*Y404^2+(-0.0021)*Y404)+Z$2*((-0.000002)*Z404^3+0.00032*Z404^2+(-0.0021)*Z404)+AA$2*((-0.000002)*AA404^3+0.00032*AA404^2+(-0.0021)*AA404))</f>
        <v/>
      </c>
      <c r="AL404" s="5">
        <f>AB$1*((-0.000002)*AB404^3+0.00032*AB404^2+(-0.0021)*AB404)+AC$1*((-0.000002)*AC404^3+0.00032*AC404^2+(-0.0021)*AC404)</f>
        <v/>
      </c>
      <c r="AM404" s="5">
        <f>AD$1*((-0.000002)*AD404^3+0.00032*AD404^2+(-0.0021)*AD404)+AE$1*((-0.000002)*AE404^3+0.00032*AE404^2+(-0.0021)*AE404)+AF$1*((-0.000002)*AF404^3+0.00032*AF404^2+(-0.0021)*AF404)+AG$1*((-0.000002)*AG404^3+0.00032*AG404^2+(-0.0021)*AG404)</f>
        <v/>
      </c>
    </row>
    <row r="405" ht="15" customHeight="1" s="27" thickBot="1">
      <c r="A405">
        <f>(AI405*AI$3+AJ405*AJ$3+AK405*AK$3+AL405*AL$3+AM405*AM$3)*100/(AI$5*AI$3+AJ$5*AJ$3+AK$5*AK$3+AL$5*AL$3+AM$5*AM$3)</f>
        <v/>
      </c>
      <c r="B405" s="16" t="n"/>
      <c r="C405" s="10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6" t="n"/>
      <c r="R405" s="10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5">
        <f>H$1*((-0.000002)*H405^3+0.00032*H405^2+(-0.0021)*H405)+I$1*((-0.000002)*I405^3+0.00032*I405^2+(-0.0021)*I405)+J$1*((-0.000002)*J405^3+0.00032*J405^2+(-0.0021)*J405)+K$1*((-0.000002)*K405^3+0.00032*K405^2+(-0.0021)*K405)+L$1*((-0.000002)*L405^3+0.00032*L405^2+(-0.0021)*L405)</f>
        <v/>
      </c>
      <c r="AJ405" s="5">
        <f>M$1*((-0.000002)*M405^3+0.00032*M405^2+(-0.0021)*M405)+N$1*((-0.000002)*N405^3+0.00032*N405^2+(-0.0021)*N405)+O$1*((-0.000002)*O405^3+0.00032*O405^2+(-0.0021)*O405)</f>
        <v/>
      </c>
      <c r="AK405" s="5">
        <f>IF(AA405&lt;50,W$1*((-0.000002)*W405^3+0.00032*W405^2+(-0.0021)*W405)+X$1*((-0.000002)*X405^3+0.00032*X405^2+(-0.0021)*X405)+Y$1*((-0.000002)*Y405^3+0.00032*Y405^2+(-0.0021)*Y405)+Z$1*((-0.000002)*Z405^3+0.00032*Z405^2+(-0.0021)*Z405),X$2*((-0.000002)*X405^3+0.00032*X405^2+(-0.0021)*X405)+Y$2*((-0.000002)*Y405^3+0.00032*Y405^2+(-0.0021)*Y405)+Z$2*((-0.000002)*Z405^3+0.00032*Z405^2+(-0.0021)*Z405)+AA$2*((-0.000002)*AA405^3+0.00032*AA405^2+(-0.0021)*AA405))</f>
        <v/>
      </c>
      <c r="AL405" s="5">
        <f>AB$1*((-0.000002)*AB405^3+0.00032*AB405^2+(-0.0021)*AB405)+AC$1*((-0.000002)*AC405^3+0.00032*AC405^2+(-0.0021)*AC405)</f>
        <v/>
      </c>
      <c r="AM405" s="5">
        <f>AD$1*((-0.000002)*AD405^3+0.00032*AD405^2+(-0.0021)*AD405)+AE$1*((-0.000002)*AE405^3+0.00032*AE405^2+(-0.0021)*AE405)+AF$1*((-0.000002)*AF405^3+0.00032*AF405^2+(-0.0021)*AF405)+AG$1*((-0.000002)*AG405^3+0.00032*AG405^2+(-0.0021)*AG405)</f>
        <v/>
      </c>
    </row>
    <row r="406" ht="15" customHeight="1" s="27" thickBot="1">
      <c r="A406">
        <f>(AI406*AI$3+AJ406*AJ$3+AK406*AK$3+AL406*AL$3+AM406*AM$3)*100/(AI$5*AI$3+AJ$5*AJ$3+AK$5*AK$3+AL$5*AL$3+AM$5*AM$3)</f>
        <v/>
      </c>
      <c r="B406" s="18" t="n"/>
      <c r="C406" s="11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8" t="n"/>
      <c r="R406" s="11" t="n"/>
      <c r="S406" s="19" t="n"/>
      <c r="T406" s="19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  <c r="AG406" s="19" t="n"/>
      <c r="AH406" s="19" t="n"/>
      <c r="AI406" s="5">
        <f>H$1*((-0.000002)*H406^3+0.00032*H406^2+(-0.0021)*H406)+I$1*((-0.000002)*I406^3+0.00032*I406^2+(-0.0021)*I406)+J$1*((-0.000002)*J406^3+0.00032*J406^2+(-0.0021)*J406)+K$1*((-0.000002)*K406^3+0.00032*K406^2+(-0.0021)*K406)+L$1*((-0.000002)*L406^3+0.00032*L406^2+(-0.0021)*L406)</f>
        <v/>
      </c>
      <c r="AJ406" s="5">
        <f>M$1*((-0.000002)*M406^3+0.00032*M406^2+(-0.0021)*M406)+N$1*((-0.000002)*N406^3+0.00032*N406^2+(-0.0021)*N406)+O$1*((-0.000002)*O406^3+0.00032*O406^2+(-0.0021)*O406)</f>
        <v/>
      </c>
      <c r="AK406" s="5">
        <f>IF(AA406&lt;50,W$1*((-0.000002)*W406^3+0.00032*W406^2+(-0.0021)*W406)+X$1*((-0.000002)*X406^3+0.00032*X406^2+(-0.0021)*X406)+Y$1*((-0.000002)*Y406^3+0.00032*Y406^2+(-0.0021)*Y406)+Z$1*((-0.000002)*Z406^3+0.00032*Z406^2+(-0.0021)*Z406),X$2*((-0.000002)*X406^3+0.00032*X406^2+(-0.0021)*X406)+Y$2*((-0.000002)*Y406^3+0.00032*Y406^2+(-0.0021)*Y406)+Z$2*((-0.000002)*Z406^3+0.00032*Z406^2+(-0.0021)*Z406)+AA$2*((-0.000002)*AA406^3+0.00032*AA406^2+(-0.0021)*AA406))</f>
        <v/>
      </c>
      <c r="AL406" s="5">
        <f>AB$1*((-0.000002)*AB406^3+0.00032*AB406^2+(-0.0021)*AB406)+AC$1*((-0.000002)*AC406^3+0.00032*AC406^2+(-0.0021)*AC406)</f>
        <v/>
      </c>
      <c r="AM406" s="5">
        <f>AD$1*((-0.000002)*AD406^3+0.00032*AD406^2+(-0.0021)*AD406)+AE$1*((-0.000002)*AE406^3+0.00032*AE406^2+(-0.0021)*AE406)+AF$1*((-0.000002)*AF406^3+0.00032*AF406^2+(-0.0021)*AF406)+AG$1*((-0.000002)*AG406^3+0.00032*AG406^2+(-0.0021)*AG406)</f>
        <v/>
      </c>
    </row>
    <row r="407" ht="15" customHeight="1" s="27" thickBot="1">
      <c r="A407">
        <f>(AI407*AI$3+AJ407*AJ$3+AK407*AK$3+AL407*AL$3+AM407*AM$3)*100/(AI$5*AI$3+AJ$5*AJ$3+AK$5*AK$3+AL$5*AL$3+AM$5*AM$3)</f>
        <v/>
      </c>
      <c r="B407" s="16" t="n"/>
      <c r="C407" s="10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6" t="n"/>
      <c r="R407" s="10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5">
        <f>H$1*((-0.000002)*H407^3+0.00032*H407^2+(-0.0021)*H407)+I$1*((-0.000002)*I407^3+0.00032*I407^2+(-0.0021)*I407)+J$1*((-0.000002)*J407^3+0.00032*J407^2+(-0.0021)*J407)+K$1*((-0.000002)*K407^3+0.00032*K407^2+(-0.0021)*K407)+L$1*((-0.000002)*L407^3+0.00032*L407^2+(-0.0021)*L407)</f>
        <v/>
      </c>
      <c r="AJ407" s="5">
        <f>M$1*((-0.000002)*M407^3+0.00032*M407^2+(-0.0021)*M407)+N$1*((-0.000002)*N407^3+0.00032*N407^2+(-0.0021)*N407)+O$1*((-0.000002)*O407^3+0.00032*O407^2+(-0.0021)*O407)</f>
        <v/>
      </c>
      <c r="AK407" s="5">
        <f>IF(AA407&lt;50,W$1*((-0.000002)*W407^3+0.00032*W407^2+(-0.0021)*W407)+X$1*((-0.000002)*X407^3+0.00032*X407^2+(-0.0021)*X407)+Y$1*((-0.000002)*Y407^3+0.00032*Y407^2+(-0.0021)*Y407)+Z$1*((-0.000002)*Z407^3+0.00032*Z407^2+(-0.0021)*Z407),X$2*((-0.000002)*X407^3+0.00032*X407^2+(-0.0021)*X407)+Y$2*((-0.000002)*Y407^3+0.00032*Y407^2+(-0.0021)*Y407)+Z$2*((-0.000002)*Z407^3+0.00032*Z407^2+(-0.0021)*Z407)+AA$2*((-0.000002)*AA407^3+0.00032*AA407^2+(-0.0021)*AA407))</f>
        <v/>
      </c>
      <c r="AL407" s="5">
        <f>AB$1*((-0.000002)*AB407^3+0.00032*AB407^2+(-0.0021)*AB407)+AC$1*((-0.000002)*AC407^3+0.00032*AC407^2+(-0.0021)*AC407)</f>
        <v/>
      </c>
      <c r="AM407" s="5">
        <f>AD$1*((-0.000002)*AD407^3+0.00032*AD407^2+(-0.0021)*AD407)+AE$1*((-0.000002)*AE407^3+0.00032*AE407^2+(-0.0021)*AE407)+AF$1*((-0.000002)*AF407^3+0.00032*AF407^2+(-0.0021)*AF407)+AG$1*((-0.000002)*AG407^3+0.00032*AG407^2+(-0.0021)*AG407)</f>
        <v/>
      </c>
    </row>
    <row r="408" ht="15" customHeight="1" s="27" thickBot="1">
      <c r="A408">
        <f>(AI408*AI$3+AJ408*AJ$3+AK408*AK$3+AL408*AL$3+AM408*AM$3)*100/(AI$5*AI$3+AJ$5*AJ$3+AK$5*AK$3+AL$5*AL$3+AM$5*AM$3)</f>
        <v/>
      </c>
      <c r="B408" s="18" t="n"/>
      <c r="C408" s="11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8" t="n"/>
      <c r="R408" s="11" t="n"/>
      <c r="S408" s="19" t="n"/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  <c r="AI408" s="5">
        <f>H$1*((-0.000002)*H408^3+0.00032*H408^2+(-0.0021)*H408)+I$1*((-0.000002)*I408^3+0.00032*I408^2+(-0.0021)*I408)+J$1*((-0.000002)*J408^3+0.00032*J408^2+(-0.0021)*J408)+K$1*((-0.000002)*K408^3+0.00032*K408^2+(-0.0021)*K408)+L$1*((-0.000002)*L408^3+0.00032*L408^2+(-0.0021)*L408)</f>
        <v/>
      </c>
      <c r="AJ408" s="5">
        <f>M$1*((-0.000002)*M408^3+0.00032*M408^2+(-0.0021)*M408)+N$1*((-0.000002)*N408^3+0.00032*N408^2+(-0.0021)*N408)+O$1*((-0.000002)*O408^3+0.00032*O408^2+(-0.0021)*O408)</f>
        <v/>
      </c>
      <c r="AK408" s="5">
        <f>IF(AA408&lt;50,W$1*((-0.000002)*W408^3+0.00032*W408^2+(-0.0021)*W408)+X$1*((-0.000002)*X408^3+0.00032*X408^2+(-0.0021)*X408)+Y$1*((-0.000002)*Y408^3+0.00032*Y408^2+(-0.0021)*Y408)+Z$1*((-0.000002)*Z408^3+0.00032*Z408^2+(-0.0021)*Z408),X$2*((-0.000002)*X408^3+0.00032*X408^2+(-0.0021)*X408)+Y$2*((-0.000002)*Y408^3+0.00032*Y408^2+(-0.0021)*Y408)+Z$2*((-0.000002)*Z408^3+0.00032*Z408^2+(-0.0021)*Z408)+AA$2*((-0.000002)*AA408^3+0.00032*AA408^2+(-0.0021)*AA408))</f>
        <v/>
      </c>
      <c r="AL408" s="5">
        <f>AB$1*((-0.000002)*AB408^3+0.00032*AB408^2+(-0.0021)*AB408)+AC$1*((-0.000002)*AC408^3+0.00032*AC408^2+(-0.0021)*AC408)</f>
        <v/>
      </c>
      <c r="AM408" s="5">
        <f>AD$1*((-0.000002)*AD408^3+0.00032*AD408^2+(-0.0021)*AD408)+AE$1*((-0.000002)*AE408^3+0.00032*AE408^2+(-0.0021)*AE408)+AF$1*((-0.000002)*AF408^3+0.00032*AF408^2+(-0.0021)*AF408)+AG$1*((-0.000002)*AG408^3+0.00032*AG408^2+(-0.0021)*AG408)</f>
        <v/>
      </c>
    </row>
    <row r="409" ht="15" customHeight="1" s="27" thickBot="1">
      <c r="A409">
        <f>(AI409*AI$3+AJ409*AJ$3+AK409*AK$3+AL409*AL$3+AM409*AM$3)*100/(AI$5*AI$3+AJ$5*AJ$3+AK$5*AK$3+AL$5*AL$3+AM$5*AM$3)</f>
        <v/>
      </c>
      <c r="B409" s="16" t="n"/>
      <c r="C409" s="10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6" t="n"/>
      <c r="R409" s="10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5">
        <f>H$1*((-0.000002)*H409^3+0.00032*H409^2+(-0.0021)*H409)+I$1*((-0.000002)*I409^3+0.00032*I409^2+(-0.0021)*I409)+J$1*((-0.000002)*J409^3+0.00032*J409^2+(-0.0021)*J409)+K$1*((-0.000002)*K409^3+0.00032*K409^2+(-0.0021)*K409)+L$1*((-0.000002)*L409^3+0.00032*L409^2+(-0.0021)*L409)</f>
        <v/>
      </c>
      <c r="AJ409" s="5">
        <f>M$1*((-0.000002)*M409^3+0.00032*M409^2+(-0.0021)*M409)+N$1*((-0.000002)*N409^3+0.00032*N409^2+(-0.0021)*N409)+O$1*((-0.000002)*O409^3+0.00032*O409^2+(-0.0021)*O409)</f>
        <v/>
      </c>
      <c r="AK409" s="5">
        <f>IF(AA409&lt;50,W$1*((-0.000002)*W409^3+0.00032*W409^2+(-0.0021)*W409)+X$1*((-0.000002)*X409^3+0.00032*X409^2+(-0.0021)*X409)+Y$1*((-0.000002)*Y409^3+0.00032*Y409^2+(-0.0021)*Y409)+Z$1*((-0.000002)*Z409^3+0.00032*Z409^2+(-0.0021)*Z409),X$2*((-0.000002)*X409^3+0.00032*X409^2+(-0.0021)*X409)+Y$2*((-0.000002)*Y409^3+0.00032*Y409^2+(-0.0021)*Y409)+Z$2*((-0.000002)*Z409^3+0.00032*Z409^2+(-0.0021)*Z409)+AA$2*((-0.000002)*AA409^3+0.00032*AA409^2+(-0.0021)*AA409))</f>
        <v/>
      </c>
      <c r="AL409" s="5">
        <f>AB$1*((-0.000002)*AB409^3+0.00032*AB409^2+(-0.0021)*AB409)+AC$1*((-0.000002)*AC409^3+0.00032*AC409^2+(-0.0021)*AC409)</f>
        <v/>
      </c>
      <c r="AM409" s="5">
        <f>AD$1*((-0.000002)*AD409^3+0.00032*AD409^2+(-0.0021)*AD409)+AE$1*((-0.000002)*AE409^3+0.00032*AE409^2+(-0.0021)*AE409)+AF$1*((-0.000002)*AF409^3+0.00032*AF409^2+(-0.0021)*AF409)+AG$1*((-0.000002)*AG409^3+0.00032*AG409^2+(-0.0021)*AG409)</f>
        <v/>
      </c>
    </row>
    <row r="410" ht="15" customHeight="1" s="27" thickBot="1">
      <c r="A410">
        <f>(AI410*AI$3+AJ410*AJ$3+AK410*AK$3+AL410*AL$3+AM410*AM$3)*100/(AI$5*AI$3+AJ$5*AJ$3+AK$5*AK$3+AL$5*AL$3+AM$5*AM$3)</f>
        <v/>
      </c>
      <c r="B410" s="18" t="n"/>
      <c r="C410" s="11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8" t="n"/>
      <c r="R410" s="11" t="n"/>
      <c r="S410" s="19" t="n"/>
      <c r="T410" s="19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  <c r="AG410" s="19" t="n"/>
      <c r="AH410" s="19" t="n"/>
      <c r="AI410" s="5">
        <f>H$1*((-0.000002)*H410^3+0.00032*H410^2+(-0.0021)*H410)+I$1*((-0.000002)*I410^3+0.00032*I410^2+(-0.0021)*I410)+J$1*((-0.000002)*J410^3+0.00032*J410^2+(-0.0021)*J410)+K$1*((-0.000002)*K410^3+0.00032*K410^2+(-0.0021)*K410)+L$1*((-0.000002)*L410^3+0.00032*L410^2+(-0.0021)*L410)</f>
        <v/>
      </c>
      <c r="AJ410" s="5">
        <f>M$1*((-0.000002)*M410^3+0.00032*M410^2+(-0.0021)*M410)+N$1*((-0.000002)*N410^3+0.00032*N410^2+(-0.0021)*N410)+O$1*((-0.000002)*O410^3+0.00032*O410^2+(-0.0021)*O410)</f>
        <v/>
      </c>
      <c r="AK410" s="5">
        <f>IF(AA410&lt;50,W$1*((-0.000002)*W410^3+0.00032*W410^2+(-0.0021)*W410)+X$1*((-0.000002)*X410^3+0.00032*X410^2+(-0.0021)*X410)+Y$1*((-0.000002)*Y410^3+0.00032*Y410^2+(-0.0021)*Y410)+Z$1*((-0.000002)*Z410^3+0.00032*Z410^2+(-0.0021)*Z410),X$2*((-0.000002)*X410^3+0.00032*X410^2+(-0.0021)*X410)+Y$2*((-0.000002)*Y410^3+0.00032*Y410^2+(-0.0021)*Y410)+Z$2*((-0.000002)*Z410^3+0.00032*Z410^2+(-0.0021)*Z410)+AA$2*((-0.000002)*AA410^3+0.00032*AA410^2+(-0.0021)*AA410))</f>
        <v/>
      </c>
      <c r="AL410" s="5">
        <f>AB$1*((-0.000002)*AB410^3+0.00032*AB410^2+(-0.0021)*AB410)+AC$1*((-0.000002)*AC410^3+0.00032*AC410^2+(-0.0021)*AC410)</f>
        <v/>
      </c>
      <c r="AM410" s="5">
        <f>AD$1*((-0.000002)*AD410^3+0.00032*AD410^2+(-0.0021)*AD410)+AE$1*((-0.000002)*AE410^3+0.00032*AE410^2+(-0.0021)*AE410)+AF$1*((-0.000002)*AF410^3+0.00032*AF410^2+(-0.0021)*AF410)+AG$1*((-0.000002)*AG410^3+0.00032*AG410^2+(-0.0021)*AG410)</f>
        <v/>
      </c>
    </row>
    <row r="411" ht="15" customHeight="1" s="27" thickBot="1">
      <c r="A411">
        <f>(AI411*AI$3+AJ411*AJ$3+AK411*AK$3+AL411*AL$3+AM411*AM$3)*100/(AI$5*AI$3+AJ$5*AJ$3+AK$5*AK$3+AL$5*AL$3+AM$5*AM$3)</f>
        <v/>
      </c>
      <c r="B411" s="16" t="n"/>
      <c r="C411" s="10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6" t="n"/>
      <c r="R411" s="10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5">
        <f>H$1*((-0.000002)*H411^3+0.00032*H411^2+(-0.0021)*H411)+I$1*((-0.000002)*I411^3+0.00032*I411^2+(-0.0021)*I411)+J$1*((-0.000002)*J411^3+0.00032*J411^2+(-0.0021)*J411)+K$1*((-0.000002)*K411^3+0.00032*K411^2+(-0.0021)*K411)+L$1*((-0.000002)*L411^3+0.00032*L411^2+(-0.0021)*L411)</f>
        <v/>
      </c>
      <c r="AJ411" s="5">
        <f>M$1*((-0.000002)*M411^3+0.00032*M411^2+(-0.0021)*M411)+N$1*((-0.000002)*N411^3+0.00032*N411^2+(-0.0021)*N411)+O$1*((-0.000002)*O411^3+0.00032*O411^2+(-0.0021)*O411)</f>
        <v/>
      </c>
      <c r="AK411" s="5">
        <f>IF(AA411&lt;50,W$1*((-0.000002)*W411^3+0.00032*W411^2+(-0.0021)*W411)+X$1*((-0.000002)*X411^3+0.00032*X411^2+(-0.0021)*X411)+Y$1*((-0.000002)*Y411^3+0.00032*Y411^2+(-0.0021)*Y411)+Z$1*((-0.000002)*Z411^3+0.00032*Z411^2+(-0.0021)*Z411),X$2*((-0.000002)*X411^3+0.00032*X411^2+(-0.0021)*X411)+Y$2*((-0.000002)*Y411^3+0.00032*Y411^2+(-0.0021)*Y411)+Z$2*((-0.000002)*Z411^3+0.00032*Z411^2+(-0.0021)*Z411)+AA$2*((-0.000002)*AA411^3+0.00032*AA411^2+(-0.0021)*AA411))</f>
        <v/>
      </c>
      <c r="AL411" s="5">
        <f>AB$1*((-0.000002)*AB411^3+0.00032*AB411^2+(-0.0021)*AB411)+AC$1*((-0.000002)*AC411^3+0.00032*AC411^2+(-0.0021)*AC411)</f>
        <v/>
      </c>
      <c r="AM411" s="5">
        <f>AD$1*((-0.000002)*AD411^3+0.00032*AD411^2+(-0.0021)*AD411)+AE$1*((-0.000002)*AE411^3+0.00032*AE411^2+(-0.0021)*AE411)+AF$1*((-0.000002)*AF411^3+0.00032*AF411^2+(-0.0021)*AF411)+AG$1*((-0.000002)*AG411^3+0.00032*AG411^2+(-0.0021)*AG411)</f>
        <v/>
      </c>
    </row>
    <row r="412" ht="15" customHeight="1" s="27" thickBot="1">
      <c r="A412">
        <f>(AI412*AI$3+AJ412*AJ$3+AK412*AK$3+AL412*AL$3+AM412*AM$3)*100/(AI$5*AI$3+AJ$5*AJ$3+AK$5*AK$3+AL$5*AL$3+AM$5*AM$3)</f>
        <v/>
      </c>
      <c r="B412" s="18" t="n"/>
      <c r="C412" s="11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8" t="n"/>
      <c r="R412" s="11" t="n"/>
      <c r="S412" s="19" t="n"/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  <c r="AI412" s="5">
        <f>H$1*((-0.000002)*H412^3+0.00032*H412^2+(-0.0021)*H412)+I$1*((-0.000002)*I412^3+0.00032*I412^2+(-0.0021)*I412)+J$1*((-0.000002)*J412^3+0.00032*J412^2+(-0.0021)*J412)+K$1*((-0.000002)*K412^3+0.00032*K412^2+(-0.0021)*K412)+L$1*((-0.000002)*L412^3+0.00032*L412^2+(-0.0021)*L412)</f>
        <v/>
      </c>
      <c r="AJ412" s="5">
        <f>M$1*((-0.000002)*M412^3+0.00032*M412^2+(-0.0021)*M412)+N$1*((-0.000002)*N412^3+0.00032*N412^2+(-0.0021)*N412)+O$1*((-0.000002)*O412^3+0.00032*O412^2+(-0.0021)*O412)</f>
        <v/>
      </c>
      <c r="AK412" s="5">
        <f>IF(AA412&lt;50,W$1*((-0.000002)*W412^3+0.00032*W412^2+(-0.0021)*W412)+X$1*((-0.000002)*X412^3+0.00032*X412^2+(-0.0021)*X412)+Y$1*((-0.000002)*Y412^3+0.00032*Y412^2+(-0.0021)*Y412)+Z$1*((-0.000002)*Z412^3+0.00032*Z412^2+(-0.0021)*Z412),X$2*((-0.000002)*X412^3+0.00032*X412^2+(-0.0021)*X412)+Y$2*((-0.000002)*Y412^3+0.00032*Y412^2+(-0.0021)*Y412)+Z$2*((-0.000002)*Z412^3+0.00032*Z412^2+(-0.0021)*Z412)+AA$2*((-0.000002)*AA412^3+0.00032*AA412^2+(-0.0021)*AA412))</f>
        <v/>
      </c>
      <c r="AL412" s="5">
        <f>AB$1*((-0.000002)*AB412^3+0.00032*AB412^2+(-0.0021)*AB412)+AC$1*((-0.000002)*AC412^3+0.00032*AC412^2+(-0.0021)*AC412)</f>
        <v/>
      </c>
      <c r="AM412" s="5">
        <f>AD$1*((-0.000002)*AD412^3+0.00032*AD412^2+(-0.0021)*AD412)+AE$1*((-0.000002)*AE412^3+0.00032*AE412^2+(-0.0021)*AE412)+AF$1*((-0.000002)*AF412^3+0.00032*AF412^2+(-0.0021)*AF412)+AG$1*((-0.000002)*AG412^3+0.00032*AG412^2+(-0.0021)*AG412)</f>
        <v/>
      </c>
    </row>
    <row r="413" ht="15" customHeight="1" s="27" thickBot="1">
      <c r="A413">
        <f>(AI413*AI$3+AJ413*AJ$3+AK413*AK$3+AL413*AL$3+AM413*AM$3)*100/(AI$5*AI$3+AJ$5*AJ$3+AK$5*AK$3+AL$5*AL$3+AM$5*AM$3)</f>
        <v/>
      </c>
      <c r="B413" s="16" t="n"/>
      <c r="C413" s="10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6" t="n"/>
      <c r="R413" s="10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5">
        <f>H$1*((-0.000002)*H413^3+0.00032*H413^2+(-0.0021)*H413)+I$1*((-0.000002)*I413^3+0.00032*I413^2+(-0.0021)*I413)+J$1*((-0.000002)*J413^3+0.00032*J413^2+(-0.0021)*J413)+K$1*((-0.000002)*K413^3+0.00032*K413^2+(-0.0021)*K413)+L$1*((-0.000002)*L413^3+0.00032*L413^2+(-0.0021)*L413)</f>
        <v/>
      </c>
      <c r="AJ413" s="5">
        <f>M$1*((-0.000002)*M413^3+0.00032*M413^2+(-0.0021)*M413)+N$1*((-0.000002)*N413^3+0.00032*N413^2+(-0.0021)*N413)+O$1*((-0.000002)*O413^3+0.00032*O413^2+(-0.0021)*O413)</f>
        <v/>
      </c>
      <c r="AK413" s="5">
        <f>IF(AA413&lt;50,W$1*((-0.000002)*W413^3+0.00032*W413^2+(-0.0021)*W413)+X$1*((-0.000002)*X413^3+0.00032*X413^2+(-0.0021)*X413)+Y$1*((-0.000002)*Y413^3+0.00032*Y413^2+(-0.0021)*Y413)+Z$1*((-0.000002)*Z413^3+0.00032*Z413^2+(-0.0021)*Z413),X$2*((-0.000002)*X413^3+0.00032*X413^2+(-0.0021)*X413)+Y$2*((-0.000002)*Y413^3+0.00032*Y413^2+(-0.0021)*Y413)+Z$2*((-0.000002)*Z413^3+0.00032*Z413^2+(-0.0021)*Z413)+AA$2*((-0.000002)*AA413^3+0.00032*AA413^2+(-0.0021)*AA413))</f>
        <v/>
      </c>
      <c r="AL413" s="5">
        <f>AB$1*((-0.000002)*AB413^3+0.00032*AB413^2+(-0.0021)*AB413)+AC$1*((-0.000002)*AC413^3+0.00032*AC413^2+(-0.0021)*AC413)</f>
        <v/>
      </c>
      <c r="AM413" s="5">
        <f>AD$1*((-0.000002)*AD413^3+0.00032*AD413^2+(-0.0021)*AD413)+AE$1*((-0.000002)*AE413^3+0.00032*AE413^2+(-0.0021)*AE413)+AF$1*((-0.000002)*AF413^3+0.00032*AF413^2+(-0.0021)*AF413)+AG$1*((-0.000002)*AG413^3+0.00032*AG413^2+(-0.0021)*AG413)</f>
        <v/>
      </c>
    </row>
    <row r="414" ht="15" customHeight="1" s="27" thickBot="1">
      <c r="A414">
        <f>(AI414*AI$3+AJ414*AJ$3+AK414*AK$3+AL414*AL$3+AM414*AM$3)*100/(AI$5*AI$3+AJ$5*AJ$3+AK$5*AK$3+AL$5*AL$3+AM$5*AM$3)</f>
        <v/>
      </c>
      <c r="B414" s="18" t="n"/>
      <c r="C414" s="11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8" t="n"/>
      <c r="R414" s="11" t="n"/>
      <c r="S414" s="19" t="n"/>
      <c r="T414" s="19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  <c r="AH414" s="19" t="n"/>
      <c r="AI414" s="5">
        <f>H$1*((-0.000002)*H414^3+0.00032*H414^2+(-0.0021)*H414)+I$1*((-0.000002)*I414^3+0.00032*I414^2+(-0.0021)*I414)+J$1*((-0.000002)*J414^3+0.00032*J414^2+(-0.0021)*J414)+K$1*((-0.000002)*K414^3+0.00032*K414^2+(-0.0021)*K414)+L$1*((-0.000002)*L414^3+0.00032*L414^2+(-0.0021)*L414)</f>
        <v/>
      </c>
      <c r="AJ414" s="5">
        <f>M$1*((-0.000002)*M414^3+0.00032*M414^2+(-0.0021)*M414)+N$1*((-0.000002)*N414^3+0.00032*N414^2+(-0.0021)*N414)+O$1*((-0.000002)*O414^3+0.00032*O414^2+(-0.0021)*O414)</f>
        <v/>
      </c>
      <c r="AK414" s="5">
        <f>IF(AA414&lt;50,W$1*((-0.000002)*W414^3+0.00032*W414^2+(-0.0021)*W414)+X$1*((-0.000002)*X414^3+0.00032*X414^2+(-0.0021)*X414)+Y$1*((-0.000002)*Y414^3+0.00032*Y414^2+(-0.0021)*Y414)+Z$1*((-0.000002)*Z414^3+0.00032*Z414^2+(-0.0021)*Z414),X$2*((-0.000002)*X414^3+0.00032*X414^2+(-0.0021)*X414)+Y$2*((-0.000002)*Y414^3+0.00032*Y414^2+(-0.0021)*Y414)+Z$2*((-0.000002)*Z414^3+0.00032*Z414^2+(-0.0021)*Z414)+AA$2*((-0.000002)*AA414^3+0.00032*AA414^2+(-0.0021)*AA414))</f>
        <v/>
      </c>
      <c r="AL414" s="5">
        <f>AB$1*((-0.000002)*AB414^3+0.00032*AB414^2+(-0.0021)*AB414)+AC$1*((-0.000002)*AC414^3+0.00032*AC414^2+(-0.0021)*AC414)</f>
        <v/>
      </c>
      <c r="AM414" s="5">
        <f>AD$1*((-0.000002)*AD414^3+0.00032*AD414^2+(-0.0021)*AD414)+AE$1*((-0.000002)*AE414^3+0.00032*AE414^2+(-0.0021)*AE414)+AF$1*((-0.000002)*AF414^3+0.00032*AF414^2+(-0.0021)*AF414)+AG$1*((-0.000002)*AG414^3+0.00032*AG414^2+(-0.0021)*AG414)</f>
        <v/>
      </c>
    </row>
    <row r="415" ht="15" customHeight="1" s="27" thickBot="1">
      <c r="A415">
        <f>(AI415*AI$3+AJ415*AJ$3+AK415*AK$3+AL415*AL$3+AM415*AM$3)*100/(AI$5*AI$3+AJ$5*AJ$3+AK$5*AK$3+AL$5*AL$3+AM$5*AM$3)</f>
        <v/>
      </c>
      <c r="B415" s="16" t="n"/>
      <c r="C415" s="10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6" t="n"/>
      <c r="R415" s="10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5">
        <f>H$1*((-0.000002)*H415^3+0.00032*H415^2+(-0.0021)*H415)+I$1*((-0.000002)*I415^3+0.00032*I415^2+(-0.0021)*I415)+J$1*((-0.000002)*J415^3+0.00032*J415^2+(-0.0021)*J415)+K$1*((-0.000002)*K415^3+0.00032*K415^2+(-0.0021)*K415)+L$1*((-0.000002)*L415^3+0.00032*L415^2+(-0.0021)*L415)</f>
        <v/>
      </c>
      <c r="AJ415" s="5">
        <f>M$1*((-0.000002)*M415^3+0.00032*M415^2+(-0.0021)*M415)+N$1*((-0.000002)*N415^3+0.00032*N415^2+(-0.0021)*N415)+O$1*((-0.000002)*O415^3+0.00032*O415^2+(-0.0021)*O415)</f>
        <v/>
      </c>
      <c r="AK415" s="5">
        <f>IF(AA415&lt;50,W$1*((-0.000002)*W415^3+0.00032*W415^2+(-0.0021)*W415)+X$1*((-0.000002)*X415^3+0.00032*X415^2+(-0.0021)*X415)+Y$1*((-0.000002)*Y415^3+0.00032*Y415^2+(-0.0021)*Y415)+Z$1*((-0.000002)*Z415^3+0.00032*Z415^2+(-0.0021)*Z415),X$2*((-0.000002)*X415^3+0.00032*X415^2+(-0.0021)*X415)+Y$2*((-0.000002)*Y415^3+0.00032*Y415^2+(-0.0021)*Y415)+Z$2*((-0.000002)*Z415^3+0.00032*Z415^2+(-0.0021)*Z415)+AA$2*((-0.000002)*AA415^3+0.00032*AA415^2+(-0.0021)*AA415))</f>
        <v/>
      </c>
      <c r="AL415" s="5">
        <f>AB$1*((-0.000002)*AB415^3+0.00032*AB415^2+(-0.0021)*AB415)+AC$1*((-0.000002)*AC415^3+0.00032*AC415^2+(-0.0021)*AC415)</f>
        <v/>
      </c>
      <c r="AM415" s="5">
        <f>AD$1*((-0.000002)*AD415^3+0.00032*AD415^2+(-0.0021)*AD415)+AE$1*((-0.000002)*AE415^3+0.00032*AE415^2+(-0.0021)*AE415)+AF$1*((-0.000002)*AF415^3+0.00032*AF415^2+(-0.0021)*AF415)+AG$1*((-0.000002)*AG415^3+0.00032*AG415^2+(-0.0021)*AG415)</f>
        <v/>
      </c>
    </row>
    <row r="416" ht="15" customHeight="1" s="27" thickBot="1">
      <c r="A416">
        <f>(AI416*AI$3+AJ416*AJ$3+AK416*AK$3+AL416*AL$3+AM416*AM$3)*100/(AI$5*AI$3+AJ$5*AJ$3+AK$5*AK$3+AL$5*AL$3+AM$5*AM$3)</f>
        <v/>
      </c>
      <c r="B416" s="18" t="n"/>
      <c r="C416" s="11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8" t="n"/>
      <c r="R416" s="11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  <c r="AH416" s="19" t="n"/>
      <c r="AI416" s="5">
        <f>H$1*((-0.000002)*H416^3+0.00032*H416^2+(-0.0021)*H416)+I$1*((-0.000002)*I416^3+0.00032*I416^2+(-0.0021)*I416)+J$1*((-0.000002)*J416^3+0.00032*J416^2+(-0.0021)*J416)+K$1*((-0.000002)*K416^3+0.00032*K416^2+(-0.0021)*K416)+L$1*((-0.000002)*L416^3+0.00032*L416^2+(-0.0021)*L416)</f>
        <v/>
      </c>
      <c r="AJ416" s="5">
        <f>M$1*((-0.000002)*M416^3+0.00032*M416^2+(-0.0021)*M416)+N$1*((-0.000002)*N416^3+0.00032*N416^2+(-0.0021)*N416)+O$1*((-0.000002)*O416^3+0.00032*O416^2+(-0.0021)*O416)</f>
        <v/>
      </c>
      <c r="AK416" s="5">
        <f>IF(AA416&lt;50,W$1*((-0.000002)*W416^3+0.00032*W416^2+(-0.0021)*W416)+X$1*((-0.000002)*X416^3+0.00032*X416^2+(-0.0021)*X416)+Y$1*((-0.000002)*Y416^3+0.00032*Y416^2+(-0.0021)*Y416)+Z$1*((-0.000002)*Z416^3+0.00032*Z416^2+(-0.0021)*Z416),X$2*((-0.000002)*X416^3+0.00032*X416^2+(-0.0021)*X416)+Y$2*((-0.000002)*Y416^3+0.00032*Y416^2+(-0.0021)*Y416)+Z$2*((-0.000002)*Z416^3+0.00032*Z416^2+(-0.0021)*Z416)+AA$2*((-0.000002)*AA416^3+0.00032*AA416^2+(-0.0021)*AA416))</f>
        <v/>
      </c>
      <c r="AL416" s="5">
        <f>AB$1*((-0.000002)*AB416^3+0.00032*AB416^2+(-0.0021)*AB416)+AC$1*((-0.000002)*AC416^3+0.00032*AC416^2+(-0.0021)*AC416)</f>
        <v/>
      </c>
      <c r="AM416" s="5">
        <f>AD$1*((-0.000002)*AD416^3+0.00032*AD416^2+(-0.0021)*AD416)+AE$1*((-0.000002)*AE416^3+0.00032*AE416^2+(-0.0021)*AE416)+AF$1*((-0.000002)*AF416^3+0.00032*AF416^2+(-0.0021)*AF416)+AG$1*((-0.000002)*AG416^3+0.00032*AG416^2+(-0.0021)*AG416)</f>
        <v/>
      </c>
    </row>
    <row r="417" ht="15" customHeight="1" s="27" thickBot="1">
      <c r="A417">
        <f>(AI417*AI$3+AJ417*AJ$3+AK417*AK$3+AL417*AL$3+AM417*AM$3)*100/(AI$5*AI$3+AJ$5*AJ$3+AK$5*AK$3+AL$5*AL$3+AM$5*AM$3)</f>
        <v/>
      </c>
      <c r="B417" s="16" t="n"/>
      <c r="C417" s="10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6" t="n"/>
      <c r="R417" s="10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5">
        <f>H$1*((-0.000002)*H417^3+0.00032*H417^2+(-0.0021)*H417)+I$1*((-0.000002)*I417^3+0.00032*I417^2+(-0.0021)*I417)+J$1*((-0.000002)*J417^3+0.00032*J417^2+(-0.0021)*J417)+K$1*((-0.000002)*K417^3+0.00032*K417^2+(-0.0021)*K417)+L$1*((-0.000002)*L417^3+0.00032*L417^2+(-0.0021)*L417)</f>
        <v/>
      </c>
      <c r="AJ417" s="5">
        <f>M$1*((-0.000002)*M417^3+0.00032*M417^2+(-0.0021)*M417)+N$1*((-0.000002)*N417^3+0.00032*N417^2+(-0.0021)*N417)+O$1*((-0.000002)*O417^3+0.00032*O417^2+(-0.0021)*O417)</f>
        <v/>
      </c>
      <c r="AK417" s="5">
        <f>IF(AA417&lt;50,W$1*((-0.000002)*W417^3+0.00032*W417^2+(-0.0021)*W417)+X$1*((-0.000002)*X417^3+0.00032*X417^2+(-0.0021)*X417)+Y$1*((-0.000002)*Y417^3+0.00032*Y417^2+(-0.0021)*Y417)+Z$1*((-0.000002)*Z417^3+0.00032*Z417^2+(-0.0021)*Z417),X$2*((-0.000002)*X417^3+0.00032*X417^2+(-0.0021)*X417)+Y$2*((-0.000002)*Y417^3+0.00032*Y417^2+(-0.0021)*Y417)+Z$2*((-0.000002)*Z417^3+0.00032*Z417^2+(-0.0021)*Z417)+AA$2*((-0.000002)*AA417^3+0.00032*AA417^2+(-0.0021)*AA417))</f>
        <v/>
      </c>
      <c r="AL417" s="5">
        <f>AB$1*((-0.000002)*AB417^3+0.00032*AB417^2+(-0.0021)*AB417)+AC$1*((-0.000002)*AC417^3+0.00032*AC417^2+(-0.0021)*AC417)</f>
        <v/>
      </c>
      <c r="AM417" s="5">
        <f>AD$1*((-0.000002)*AD417^3+0.00032*AD417^2+(-0.0021)*AD417)+AE$1*((-0.000002)*AE417^3+0.00032*AE417^2+(-0.0021)*AE417)+AF$1*((-0.000002)*AF417^3+0.00032*AF417^2+(-0.0021)*AF417)+AG$1*((-0.000002)*AG417^3+0.00032*AG417^2+(-0.0021)*AG417)</f>
        <v/>
      </c>
    </row>
    <row r="418" ht="15" customHeight="1" s="27" thickBot="1">
      <c r="A418">
        <f>(AI418*AI$3+AJ418*AJ$3+AK418*AK$3+AL418*AL$3+AM418*AM$3)*100/(AI$5*AI$3+AJ$5*AJ$3+AK$5*AK$3+AL$5*AL$3+AM$5*AM$3)</f>
        <v/>
      </c>
      <c r="B418" s="18" t="n"/>
      <c r="C418" s="11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8" t="n"/>
      <c r="R418" s="11" t="n"/>
      <c r="S418" s="19" t="n"/>
      <c r="T418" s="19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  <c r="AG418" s="19" t="n"/>
      <c r="AH418" s="19" t="n"/>
      <c r="AI418" s="5">
        <f>H$1*((-0.000002)*H418^3+0.00032*H418^2+(-0.0021)*H418)+I$1*((-0.000002)*I418^3+0.00032*I418^2+(-0.0021)*I418)+J$1*((-0.000002)*J418^3+0.00032*J418^2+(-0.0021)*J418)+K$1*((-0.000002)*K418^3+0.00032*K418^2+(-0.0021)*K418)+L$1*((-0.000002)*L418^3+0.00032*L418^2+(-0.0021)*L418)</f>
        <v/>
      </c>
      <c r="AJ418" s="5">
        <f>M$1*((-0.000002)*M418^3+0.00032*M418^2+(-0.0021)*M418)+N$1*((-0.000002)*N418^3+0.00032*N418^2+(-0.0021)*N418)+O$1*((-0.000002)*O418^3+0.00032*O418^2+(-0.0021)*O418)</f>
        <v/>
      </c>
      <c r="AK418" s="5">
        <f>IF(AA418&lt;50,W$1*((-0.000002)*W418^3+0.00032*W418^2+(-0.0021)*W418)+X$1*((-0.000002)*X418^3+0.00032*X418^2+(-0.0021)*X418)+Y$1*((-0.000002)*Y418^3+0.00032*Y418^2+(-0.0021)*Y418)+Z$1*((-0.000002)*Z418^3+0.00032*Z418^2+(-0.0021)*Z418),X$2*((-0.000002)*X418^3+0.00032*X418^2+(-0.0021)*X418)+Y$2*((-0.000002)*Y418^3+0.00032*Y418^2+(-0.0021)*Y418)+Z$2*((-0.000002)*Z418^3+0.00032*Z418^2+(-0.0021)*Z418)+AA$2*((-0.000002)*AA418^3+0.00032*AA418^2+(-0.0021)*AA418))</f>
        <v/>
      </c>
      <c r="AL418" s="5">
        <f>AB$1*((-0.000002)*AB418^3+0.00032*AB418^2+(-0.0021)*AB418)+AC$1*((-0.000002)*AC418^3+0.00032*AC418^2+(-0.0021)*AC418)</f>
        <v/>
      </c>
      <c r="AM418" s="5">
        <f>AD$1*((-0.000002)*AD418^3+0.00032*AD418^2+(-0.0021)*AD418)+AE$1*((-0.000002)*AE418^3+0.00032*AE418^2+(-0.0021)*AE418)+AF$1*((-0.000002)*AF418^3+0.00032*AF418^2+(-0.0021)*AF418)+AG$1*((-0.000002)*AG418^3+0.00032*AG418^2+(-0.0021)*AG418)</f>
        <v/>
      </c>
    </row>
    <row r="419" ht="15" customHeight="1" s="27" thickBot="1">
      <c r="A419">
        <f>(AI419*AI$3+AJ419*AJ$3+AK419*AK$3+AL419*AL$3+AM419*AM$3)*100/(AI$5*AI$3+AJ$5*AJ$3+AK$5*AK$3+AL$5*AL$3+AM$5*AM$3)</f>
        <v/>
      </c>
      <c r="B419" s="16" t="n"/>
      <c r="C419" s="10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6" t="n"/>
      <c r="R419" s="10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5">
        <f>H$1*((-0.000002)*H419^3+0.00032*H419^2+(-0.0021)*H419)+I$1*((-0.000002)*I419^3+0.00032*I419^2+(-0.0021)*I419)+J$1*((-0.000002)*J419^3+0.00032*J419^2+(-0.0021)*J419)+K$1*((-0.000002)*K419^3+0.00032*K419^2+(-0.0021)*K419)+L$1*((-0.000002)*L419^3+0.00032*L419^2+(-0.0021)*L419)</f>
        <v/>
      </c>
      <c r="AJ419" s="5">
        <f>M$1*((-0.000002)*M419^3+0.00032*M419^2+(-0.0021)*M419)+N$1*((-0.000002)*N419^3+0.00032*N419^2+(-0.0021)*N419)+O$1*((-0.000002)*O419^3+0.00032*O419^2+(-0.0021)*O419)</f>
        <v/>
      </c>
      <c r="AK419" s="5">
        <f>IF(AA419&lt;50,W$1*((-0.000002)*W419^3+0.00032*W419^2+(-0.0021)*W419)+X$1*((-0.000002)*X419^3+0.00032*X419^2+(-0.0021)*X419)+Y$1*((-0.000002)*Y419^3+0.00032*Y419^2+(-0.0021)*Y419)+Z$1*((-0.000002)*Z419^3+0.00032*Z419^2+(-0.0021)*Z419),X$2*((-0.000002)*X419^3+0.00032*X419^2+(-0.0021)*X419)+Y$2*((-0.000002)*Y419^3+0.00032*Y419^2+(-0.0021)*Y419)+Z$2*((-0.000002)*Z419^3+0.00032*Z419^2+(-0.0021)*Z419)+AA$2*((-0.000002)*AA419^3+0.00032*AA419^2+(-0.0021)*AA419))</f>
        <v/>
      </c>
      <c r="AL419" s="5">
        <f>AB$1*((-0.000002)*AB419^3+0.00032*AB419^2+(-0.0021)*AB419)+AC$1*((-0.000002)*AC419^3+0.00032*AC419^2+(-0.0021)*AC419)</f>
        <v/>
      </c>
      <c r="AM419" s="5">
        <f>AD$1*((-0.000002)*AD419^3+0.00032*AD419^2+(-0.0021)*AD419)+AE$1*((-0.000002)*AE419^3+0.00032*AE419^2+(-0.0021)*AE419)+AF$1*((-0.000002)*AF419^3+0.00032*AF419^2+(-0.0021)*AF419)+AG$1*((-0.000002)*AG419^3+0.00032*AG419^2+(-0.0021)*AG419)</f>
        <v/>
      </c>
    </row>
    <row r="420" ht="15" customHeight="1" s="27" thickBot="1">
      <c r="A420">
        <f>(AI420*AI$3+AJ420*AJ$3+AK420*AK$3+AL420*AL$3+AM420*AM$3)*100/(AI$5*AI$3+AJ$5*AJ$3+AK$5*AK$3+AL$5*AL$3+AM$5*AM$3)</f>
        <v/>
      </c>
      <c r="B420" s="18" t="n"/>
      <c r="C420" s="11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8" t="n"/>
      <c r="R420" s="11" t="n"/>
      <c r="S420" s="19" t="n"/>
      <c r="T420" s="19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  <c r="AG420" s="19" t="n"/>
      <c r="AH420" s="19" t="n"/>
      <c r="AI420" s="5">
        <f>H$1*((-0.000002)*H420^3+0.00032*H420^2+(-0.0021)*H420)+I$1*((-0.000002)*I420^3+0.00032*I420^2+(-0.0021)*I420)+J$1*((-0.000002)*J420^3+0.00032*J420^2+(-0.0021)*J420)+K$1*((-0.000002)*K420^3+0.00032*K420^2+(-0.0021)*K420)+L$1*((-0.000002)*L420^3+0.00032*L420^2+(-0.0021)*L420)</f>
        <v/>
      </c>
      <c r="AJ420" s="5">
        <f>M$1*((-0.000002)*M420^3+0.00032*M420^2+(-0.0021)*M420)+N$1*((-0.000002)*N420^3+0.00032*N420^2+(-0.0021)*N420)+O$1*((-0.000002)*O420^3+0.00032*O420^2+(-0.0021)*O420)</f>
        <v/>
      </c>
      <c r="AK420" s="5">
        <f>IF(AA420&lt;50,W$1*((-0.000002)*W420^3+0.00032*W420^2+(-0.0021)*W420)+X$1*((-0.000002)*X420^3+0.00032*X420^2+(-0.0021)*X420)+Y$1*((-0.000002)*Y420^3+0.00032*Y420^2+(-0.0021)*Y420)+Z$1*((-0.000002)*Z420^3+0.00032*Z420^2+(-0.0021)*Z420),X$2*((-0.000002)*X420^3+0.00032*X420^2+(-0.0021)*X420)+Y$2*((-0.000002)*Y420^3+0.00032*Y420^2+(-0.0021)*Y420)+Z$2*((-0.000002)*Z420^3+0.00032*Z420^2+(-0.0021)*Z420)+AA$2*((-0.000002)*AA420^3+0.00032*AA420^2+(-0.0021)*AA420))</f>
        <v/>
      </c>
      <c r="AL420" s="5">
        <f>AB$1*((-0.000002)*AB420^3+0.00032*AB420^2+(-0.0021)*AB420)+AC$1*((-0.000002)*AC420^3+0.00032*AC420^2+(-0.0021)*AC420)</f>
        <v/>
      </c>
      <c r="AM420" s="5">
        <f>AD$1*((-0.000002)*AD420^3+0.00032*AD420^2+(-0.0021)*AD420)+AE$1*((-0.000002)*AE420^3+0.00032*AE420^2+(-0.0021)*AE420)+AF$1*((-0.000002)*AF420^3+0.00032*AF420^2+(-0.0021)*AF420)+AG$1*((-0.000002)*AG420^3+0.00032*AG420^2+(-0.0021)*AG420)</f>
        <v/>
      </c>
    </row>
    <row r="421" ht="15" customHeight="1" s="27" thickBot="1">
      <c r="A421">
        <f>(AI421*AI$3+AJ421*AJ$3+AK421*AK$3+AL421*AL$3+AM421*AM$3)*100/(AI$5*AI$3+AJ$5*AJ$3+AK$5*AK$3+AL$5*AL$3+AM$5*AM$3)</f>
        <v/>
      </c>
      <c r="B421" s="16" t="n"/>
      <c r="C421" s="10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6" t="n"/>
      <c r="R421" s="10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5">
        <f>H$1*((-0.000002)*H421^3+0.00032*H421^2+(-0.0021)*H421)+I$1*((-0.000002)*I421^3+0.00032*I421^2+(-0.0021)*I421)+J$1*((-0.000002)*J421^3+0.00032*J421^2+(-0.0021)*J421)+K$1*((-0.000002)*K421^3+0.00032*K421^2+(-0.0021)*K421)+L$1*((-0.000002)*L421^3+0.00032*L421^2+(-0.0021)*L421)</f>
        <v/>
      </c>
      <c r="AJ421" s="5">
        <f>M$1*((-0.000002)*M421^3+0.00032*M421^2+(-0.0021)*M421)+N$1*((-0.000002)*N421^3+0.00032*N421^2+(-0.0021)*N421)+O$1*((-0.000002)*O421^3+0.00032*O421^2+(-0.0021)*O421)</f>
        <v/>
      </c>
      <c r="AK421" s="5">
        <f>IF(AA421&lt;50,W$1*((-0.000002)*W421^3+0.00032*W421^2+(-0.0021)*W421)+X$1*((-0.000002)*X421^3+0.00032*X421^2+(-0.0021)*X421)+Y$1*((-0.000002)*Y421^3+0.00032*Y421^2+(-0.0021)*Y421)+Z$1*((-0.000002)*Z421^3+0.00032*Z421^2+(-0.0021)*Z421),X$2*((-0.000002)*X421^3+0.00032*X421^2+(-0.0021)*X421)+Y$2*((-0.000002)*Y421^3+0.00032*Y421^2+(-0.0021)*Y421)+Z$2*((-0.000002)*Z421^3+0.00032*Z421^2+(-0.0021)*Z421)+AA$2*((-0.000002)*AA421^3+0.00032*AA421^2+(-0.0021)*AA421))</f>
        <v/>
      </c>
      <c r="AL421" s="5">
        <f>AB$1*((-0.000002)*AB421^3+0.00032*AB421^2+(-0.0021)*AB421)+AC$1*((-0.000002)*AC421^3+0.00032*AC421^2+(-0.0021)*AC421)</f>
        <v/>
      </c>
      <c r="AM421" s="5">
        <f>AD$1*((-0.000002)*AD421^3+0.00032*AD421^2+(-0.0021)*AD421)+AE$1*((-0.000002)*AE421^3+0.00032*AE421^2+(-0.0021)*AE421)+AF$1*((-0.000002)*AF421^3+0.00032*AF421^2+(-0.0021)*AF421)+AG$1*((-0.000002)*AG421^3+0.00032*AG421^2+(-0.0021)*AG421)</f>
        <v/>
      </c>
    </row>
    <row r="422" ht="15" customHeight="1" s="27" thickBot="1">
      <c r="A422">
        <f>(AI422*AI$3+AJ422*AJ$3+AK422*AK$3+AL422*AL$3+AM422*AM$3)*100/(AI$5*AI$3+AJ$5*AJ$3+AK$5*AK$3+AL$5*AL$3+AM$5*AM$3)</f>
        <v/>
      </c>
      <c r="B422" s="18" t="n"/>
      <c r="C422" s="11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8" t="n"/>
      <c r="R422" s="11" t="n"/>
      <c r="S422" s="19" t="n"/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5">
        <f>H$1*((-0.000002)*H422^3+0.00032*H422^2+(-0.0021)*H422)+I$1*((-0.000002)*I422^3+0.00032*I422^2+(-0.0021)*I422)+J$1*((-0.000002)*J422^3+0.00032*J422^2+(-0.0021)*J422)+K$1*((-0.000002)*K422^3+0.00032*K422^2+(-0.0021)*K422)+L$1*((-0.000002)*L422^3+0.00032*L422^2+(-0.0021)*L422)</f>
        <v/>
      </c>
      <c r="AJ422" s="5">
        <f>M$1*((-0.000002)*M422^3+0.00032*M422^2+(-0.0021)*M422)+N$1*((-0.000002)*N422^3+0.00032*N422^2+(-0.0021)*N422)+O$1*((-0.000002)*O422^3+0.00032*O422^2+(-0.0021)*O422)</f>
        <v/>
      </c>
      <c r="AK422" s="5">
        <f>IF(AA422&lt;50,W$1*((-0.000002)*W422^3+0.00032*W422^2+(-0.0021)*W422)+X$1*((-0.000002)*X422^3+0.00032*X422^2+(-0.0021)*X422)+Y$1*((-0.000002)*Y422^3+0.00032*Y422^2+(-0.0021)*Y422)+Z$1*((-0.000002)*Z422^3+0.00032*Z422^2+(-0.0021)*Z422),X$2*((-0.000002)*X422^3+0.00032*X422^2+(-0.0021)*X422)+Y$2*((-0.000002)*Y422^3+0.00032*Y422^2+(-0.0021)*Y422)+Z$2*((-0.000002)*Z422^3+0.00032*Z422^2+(-0.0021)*Z422)+AA$2*((-0.000002)*AA422^3+0.00032*AA422^2+(-0.0021)*AA422))</f>
        <v/>
      </c>
      <c r="AL422" s="5">
        <f>AB$1*((-0.000002)*AB422^3+0.00032*AB422^2+(-0.0021)*AB422)+AC$1*((-0.000002)*AC422^3+0.00032*AC422^2+(-0.0021)*AC422)</f>
        <v/>
      </c>
      <c r="AM422" s="5">
        <f>AD$1*((-0.000002)*AD422^3+0.00032*AD422^2+(-0.0021)*AD422)+AE$1*((-0.000002)*AE422^3+0.00032*AE422^2+(-0.0021)*AE422)+AF$1*((-0.000002)*AF422^3+0.00032*AF422^2+(-0.0021)*AF422)+AG$1*((-0.000002)*AG422^3+0.00032*AG422^2+(-0.0021)*AG422)</f>
        <v/>
      </c>
    </row>
    <row r="423" ht="15" customHeight="1" s="27" thickBot="1">
      <c r="A423">
        <f>(AI423*AI$3+AJ423*AJ$3+AK423*AK$3+AL423*AL$3+AM423*AM$3)*100/(AI$5*AI$3+AJ$5*AJ$3+AK$5*AK$3+AL$5*AL$3+AM$5*AM$3)</f>
        <v/>
      </c>
      <c r="B423" s="16" t="n"/>
      <c r="C423" s="10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6" t="n"/>
      <c r="R423" s="10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5">
        <f>H$1*((-0.000002)*H423^3+0.00032*H423^2+(-0.0021)*H423)+I$1*((-0.000002)*I423^3+0.00032*I423^2+(-0.0021)*I423)+J$1*((-0.000002)*J423^3+0.00032*J423^2+(-0.0021)*J423)+K$1*((-0.000002)*K423^3+0.00032*K423^2+(-0.0021)*K423)+L$1*((-0.000002)*L423^3+0.00032*L423^2+(-0.0021)*L423)</f>
        <v/>
      </c>
      <c r="AJ423" s="5">
        <f>M$1*((-0.000002)*M423^3+0.00032*M423^2+(-0.0021)*M423)+N$1*((-0.000002)*N423^3+0.00032*N423^2+(-0.0021)*N423)+O$1*((-0.000002)*O423^3+0.00032*O423^2+(-0.0021)*O423)</f>
        <v/>
      </c>
      <c r="AK423" s="5">
        <f>IF(AA423&lt;50,W$1*((-0.000002)*W423^3+0.00032*W423^2+(-0.0021)*W423)+X$1*((-0.000002)*X423^3+0.00032*X423^2+(-0.0021)*X423)+Y$1*((-0.000002)*Y423^3+0.00032*Y423^2+(-0.0021)*Y423)+Z$1*((-0.000002)*Z423^3+0.00032*Z423^2+(-0.0021)*Z423),X$2*((-0.000002)*X423^3+0.00032*X423^2+(-0.0021)*X423)+Y$2*((-0.000002)*Y423^3+0.00032*Y423^2+(-0.0021)*Y423)+Z$2*((-0.000002)*Z423^3+0.00032*Z423^2+(-0.0021)*Z423)+AA$2*((-0.000002)*AA423^3+0.00032*AA423^2+(-0.0021)*AA423))</f>
        <v/>
      </c>
      <c r="AL423" s="5">
        <f>AB$1*((-0.000002)*AB423^3+0.00032*AB423^2+(-0.0021)*AB423)+AC$1*((-0.000002)*AC423^3+0.00032*AC423^2+(-0.0021)*AC423)</f>
        <v/>
      </c>
      <c r="AM423" s="5">
        <f>AD$1*((-0.000002)*AD423^3+0.00032*AD423^2+(-0.0021)*AD423)+AE$1*((-0.000002)*AE423^3+0.00032*AE423^2+(-0.0021)*AE423)+AF$1*((-0.000002)*AF423^3+0.00032*AF423^2+(-0.0021)*AF423)+AG$1*((-0.000002)*AG423^3+0.00032*AG423^2+(-0.0021)*AG423)</f>
        <v/>
      </c>
    </row>
    <row r="424" ht="15" customHeight="1" s="27" thickBot="1">
      <c r="A424">
        <f>(AI424*AI$3+AJ424*AJ$3+AK424*AK$3+AL424*AL$3+AM424*AM$3)*100/(AI$5*AI$3+AJ$5*AJ$3+AK$5*AK$3+AL$5*AL$3+AM$5*AM$3)</f>
        <v/>
      </c>
      <c r="B424" s="18" t="n"/>
      <c r="C424" s="11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8" t="n"/>
      <c r="R424" s="11" t="n"/>
      <c r="S424" s="19" t="n"/>
      <c r="T424" s="19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  <c r="AG424" s="19" t="n"/>
      <c r="AH424" s="19" t="n"/>
      <c r="AI424" s="5">
        <f>H$1*((-0.000002)*H424^3+0.00032*H424^2+(-0.0021)*H424)+I$1*((-0.000002)*I424^3+0.00032*I424^2+(-0.0021)*I424)+J$1*((-0.000002)*J424^3+0.00032*J424^2+(-0.0021)*J424)+K$1*((-0.000002)*K424^3+0.00032*K424^2+(-0.0021)*K424)+L$1*((-0.000002)*L424^3+0.00032*L424^2+(-0.0021)*L424)</f>
        <v/>
      </c>
      <c r="AJ424" s="5">
        <f>M$1*((-0.000002)*M424^3+0.00032*M424^2+(-0.0021)*M424)+N$1*((-0.000002)*N424^3+0.00032*N424^2+(-0.0021)*N424)+O$1*((-0.000002)*O424^3+0.00032*O424^2+(-0.0021)*O424)</f>
        <v/>
      </c>
      <c r="AK424" s="5">
        <f>IF(AA424&lt;50,W$1*((-0.000002)*W424^3+0.00032*W424^2+(-0.0021)*W424)+X$1*((-0.000002)*X424^3+0.00032*X424^2+(-0.0021)*X424)+Y$1*((-0.000002)*Y424^3+0.00032*Y424^2+(-0.0021)*Y424)+Z$1*((-0.000002)*Z424^3+0.00032*Z424^2+(-0.0021)*Z424),X$2*((-0.000002)*X424^3+0.00032*X424^2+(-0.0021)*X424)+Y$2*((-0.000002)*Y424^3+0.00032*Y424^2+(-0.0021)*Y424)+Z$2*((-0.000002)*Z424^3+0.00032*Z424^2+(-0.0021)*Z424)+AA$2*((-0.000002)*AA424^3+0.00032*AA424^2+(-0.0021)*AA424))</f>
        <v/>
      </c>
      <c r="AL424" s="5">
        <f>AB$1*((-0.000002)*AB424^3+0.00032*AB424^2+(-0.0021)*AB424)+AC$1*((-0.000002)*AC424^3+0.00032*AC424^2+(-0.0021)*AC424)</f>
        <v/>
      </c>
      <c r="AM424" s="5">
        <f>AD$1*((-0.000002)*AD424^3+0.00032*AD424^2+(-0.0021)*AD424)+AE$1*((-0.000002)*AE424^3+0.00032*AE424^2+(-0.0021)*AE424)+AF$1*((-0.000002)*AF424^3+0.00032*AF424^2+(-0.0021)*AF424)+AG$1*((-0.000002)*AG424^3+0.00032*AG424^2+(-0.0021)*AG424)</f>
        <v/>
      </c>
    </row>
    <row r="425" ht="15" customHeight="1" s="27" thickBot="1">
      <c r="A425">
        <f>(AI425*AI$3+AJ425*AJ$3+AK425*AK$3+AL425*AL$3+AM425*AM$3)*100/(AI$5*AI$3+AJ$5*AJ$3+AK$5*AK$3+AL$5*AL$3+AM$5*AM$3)</f>
        <v/>
      </c>
      <c r="B425" s="16" t="n"/>
      <c r="C425" s="10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6" t="n"/>
      <c r="R425" s="10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5">
        <f>H$1*((-0.000002)*H425^3+0.00032*H425^2+(-0.0021)*H425)+I$1*((-0.000002)*I425^3+0.00032*I425^2+(-0.0021)*I425)+J$1*((-0.000002)*J425^3+0.00032*J425^2+(-0.0021)*J425)+K$1*((-0.000002)*K425^3+0.00032*K425^2+(-0.0021)*K425)+L$1*((-0.000002)*L425^3+0.00032*L425^2+(-0.0021)*L425)</f>
        <v/>
      </c>
      <c r="AJ425" s="5">
        <f>M$1*((-0.000002)*M425^3+0.00032*M425^2+(-0.0021)*M425)+N$1*((-0.000002)*N425^3+0.00032*N425^2+(-0.0021)*N425)+O$1*((-0.000002)*O425^3+0.00032*O425^2+(-0.0021)*O425)</f>
        <v/>
      </c>
      <c r="AK425" s="5">
        <f>IF(AA425&lt;50,W$1*((-0.000002)*W425^3+0.00032*W425^2+(-0.0021)*W425)+X$1*((-0.000002)*X425^3+0.00032*X425^2+(-0.0021)*X425)+Y$1*((-0.000002)*Y425^3+0.00032*Y425^2+(-0.0021)*Y425)+Z$1*((-0.000002)*Z425^3+0.00032*Z425^2+(-0.0021)*Z425),X$2*((-0.000002)*X425^3+0.00032*X425^2+(-0.0021)*X425)+Y$2*((-0.000002)*Y425^3+0.00032*Y425^2+(-0.0021)*Y425)+Z$2*((-0.000002)*Z425^3+0.00032*Z425^2+(-0.0021)*Z425)+AA$2*((-0.000002)*AA425^3+0.00032*AA425^2+(-0.0021)*AA425))</f>
        <v/>
      </c>
      <c r="AL425" s="5">
        <f>AB$1*((-0.000002)*AB425^3+0.00032*AB425^2+(-0.0021)*AB425)+AC$1*((-0.000002)*AC425^3+0.00032*AC425^2+(-0.0021)*AC425)</f>
        <v/>
      </c>
      <c r="AM425" s="5">
        <f>AD$1*((-0.000002)*AD425^3+0.00032*AD425^2+(-0.0021)*AD425)+AE$1*((-0.000002)*AE425^3+0.00032*AE425^2+(-0.0021)*AE425)+AF$1*((-0.000002)*AF425^3+0.00032*AF425^2+(-0.0021)*AF425)+AG$1*((-0.000002)*AG425^3+0.00032*AG425^2+(-0.0021)*AG425)</f>
        <v/>
      </c>
    </row>
    <row r="426" ht="15" customHeight="1" s="27" thickBot="1">
      <c r="A426">
        <f>(AI426*AI$3+AJ426*AJ$3+AK426*AK$3+AL426*AL$3+AM426*AM$3)*100/(AI$5*AI$3+AJ$5*AJ$3+AK$5*AK$3+AL$5*AL$3+AM$5*AM$3)</f>
        <v/>
      </c>
      <c r="B426" s="18" t="n"/>
      <c r="C426" s="11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8" t="n"/>
      <c r="R426" s="11" t="n"/>
      <c r="S426" s="19" t="n"/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  <c r="AI426" s="5">
        <f>H$1*((-0.000002)*H426^3+0.00032*H426^2+(-0.0021)*H426)+I$1*((-0.000002)*I426^3+0.00032*I426^2+(-0.0021)*I426)+J$1*((-0.000002)*J426^3+0.00032*J426^2+(-0.0021)*J426)+K$1*((-0.000002)*K426^3+0.00032*K426^2+(-0.0021)*K426)+L$1*((-0.000002)*L426^3+0.00032*L426^2+(-0.0021)*L426)</f>
        <v/>
      </c>
      <c r="AJ426" s="5">
        <f>M$1*((-0.000002)*M426^3+0.00032*M426^2+(-0.0021)*M426)+N$1*((-0.000002)*N426^3+0.00032*N426^2+(-0.0021)*N426)+O$1*((-0.000002)*O426^3+0.00032*O426^2+(-0.0021)*O426)</f>
        <v/>
      </c>
      <c r="AK426" s="5">
        <f>IF(AA426&lt;50,W$1*((-0.000002)*W426^3+0.00032*W426^2+(-0.0021)*W426)+X$1*((-0.000002)*X426^3+0.00032*X426^2+(-0.0021)*X426)+Y$1*((-0.000002)*Y426^3+0.00032*Y426^2+(-0.0021)*Y426)+Z$1*((-0.000002)*Z426^3+0.00032*Z426^2+(-0.0021)*Z426),X$2*((-0.000002)*X426^3+0.00032*X426^2+(-0.0021)*X426)+Y$2*((-0.000002)*Y426^3+0.00032*Y426^2+(-0.0021)*Y426)+Z$2*((-0.000002)*Z426^3+0.00032*Z426^2+(-0.0021)*Z426)+AA$2*((-0.000002)*AA426^3+0.00032*AA426^2+(-0.0021)*AA426))</f>
        <v/>
      </c>
      <c r="AL426" s="5">
        <f>AB$1*((-0.000002)*AB426^3+0.00032*AB426^2+(-0.0021)*AB426)+AC$1*((-0.000002)*AC426^3+0.00032*AC426^2+(-0.0021)*AC426)</f>
        <v/>
      </c>
      <c r="AM426" s="5">
        <f>AD$1*((-0.000002)*AD426^3+0.00032*AD426^2+(-0.0021)*AD426)+AE$1*((-0.000002)*AE426^3+0.00032*AE426^2+(-0.0021)*AE426)+AF$1*((-0.000002)*AF426^3+0.00032*AF426^2+(-0.0021)*AF426)+AG$1*((-0.000002)*AG426^3+0.00032*AG426^2+(-0.0021)*AG426)</f>
        <v/>
      </c>
    </row>
    <row r="427" ht="15" customHeight="1" s="27" thickBot="1">
      <c r="A427">
        <f>(AI427*AI$3+AJ427*AJ$3+AK427*AK$3+AL427*AL$3+AM427*AM$3)*100/(AI$5*AI$3+AJ$5*AJ$3+AK$5*AK$3+AL$5*AL$3+AM$5*AM$3)</f>
        <v/>
      </c>
      <c r="B427" s="16" t="n"/>
      <c r="C427" s="10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6" t="n"/>
      <c r="R427" s="10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5">
        <f>H$1*((-0.000002)*H427^3+0.00032*H427^2+(-0.0021)*H427)+I$1*((-0.000002)*I427^3+0.00032*I427^2+(-0.0021)*I427)+J$1*((-0.000002)*J427^3+0.00032*J427^2+(-0.0021)*J427)+K$1*((-0.000002)*K427^3+0.00032*K427^2+(-0.0021)*K427)+L$1*((-0.000002)*L427^3+0.00032*L427^2+(-0.0021)*L427)</f>
        <v/>
      </c>
      <c r="AJ427" s="5">
        <f>M$1*((-0.000002)*M427^3+0.00032*M427^2+(-0.0021)*M427)+N$1*((-0.000002)*N427^3+0.00032*N427^2+(-0.0021)*N427)+O$1*((-0.000002)*O427^3+0.00032*O427^2+(-0.0021)*O427)</f>
        <v/>
      </c>
      <c r="AK427" s="5">
        <f>IF(AA427&lt;50,W$1*((-0.000002)*W427^3+0.00032*W427^2+(-0.0021)*W427)+X$1*((-0.000002)*X427^3+0.00032*X427^2+(-0.0021)*X427)+Y$1*((-0.000002)*Y427^3+0.00032*Y427^2+(-0.0021)*Y427)+Z$1*((-0.000002)*Z427^3+0.00032*Z427^2+(-0.0021)*Z427),X$2*((-0.000002)*X427^3+0.00032*X427^2+(-0.0021)*X427)+Y$2*((-0.000002)*Y427^3+0.00032*Y427^2+(-0.0021)*Y427)+Z$2*((-0.000002)*Z427^3+0.00032*Z427^2+(-0.0021)*Z427)+AA$2*((-0.000002)*AA427^3+0.00032*AA427^2+(-0.0021)*AA427))</f>
        <v/>
      </c>
      <c r="AL427" s="5">
        <f>AB$1*((-0.000002)*AB427^3+0.00032*AB427^2+(-0.0021)*AB427)+AC$1*((-0.000002)*AC427^3+0.00032*AC427^2+(-0.0021)*AC427)</f>
        <v/>
      </c>
      <c r="AM427" s="5">
        <f>AD$1*((-0.000002)*AD427^3+0.00032*AD427^2+(-0.0021)*AD427)+AE$1*((-0.000002)*AE427^3+0.00032*AE427^2+(-0.0021)*AE427)+AF$1*((-0.000002)*AF427^3+0.00032*AF427^2+(-0.0021)*AF427)+AG$1*((-0.000002)*AG427^3+0.00032*AG427^2+(-0.0021)*AG427)</f>
        <v/>
      </c>
    </row>
    <row r="428" ht="15" customHeight="1" s="27" thickBot="1">
      <c r="A428">
        <f>(AI428*AI$3+AJ428*AJ$3+AK428*AK$3+AL428*AL$3+AM428*AM$3)*100/(AI$5*AI$3+AJ$5*AJ$3+AK$5*AK$3+AL$5*AL$3+AM$5*AM$3)</f>
        <v/>
      </c>
      <c r="B428" s="18" t="n"/>
      <c r="C428" s="11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8" t="n"/>
      <c r="R428" s="11" t="n"/>
      <c r="S428" s="19" t="n"/>
      <c r="T428" s="19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  <c r="AG428" s="19" t="n"/>
      <c r="AH428" s="19" t="n"/>
      <c r="AI428" s="5">
        <f>H$1*((-0.000002)*H428^3+0.00032*H428^2+(-0.0021)*H428)+I$1*((-0.000002)*I428^3+0.00032*I428^2+(-0.0021)*I428)+J$1*((-0.000002)*J428^3+0.00032*J428^2+(-0.0021)*J428)+K$1*((-0.000002)*K428^3+0.00032*K428^2+(-0.0021)*K428)+L$1*((-0.000002)*L428^3+0.00032*L428^2+(-0.0021)*L428)</f>
        <v/>
      </c>
      <c r="AJ428" s="5">
        <f>M$1*((-0.000002)*M428^3+0.00032*M428^2+(-0.0021)*M428)+N$1*((-0.000002)*N428^3+0.00032*N428^2+(-0.0021)*N428)+O$1*((-0.000002)*O428^3+0.00032*O428^2+(-0.0021)*O428)</f>
        <v/>
      </c>
      <c r="AK428" s="5">
        <f>IF(AA428&lt;50,W$1*((-0.000002)*W428^3+0.00032*W428^2+(-0.0021)*W428)+X$1*((-0.000002)*X428^3+0.00032*X428^2+(-0.0021)*X428)+Y$1*((-0.000002)*Y428^3+0.00032*Y428^2+(-0.0021)*Y428)+Z$1*((-0.000002)*Z428^3+0.00032*Z428^2+(-0.0021)*Z428),X$2*((-0.000002)*X428^3+0.00032*X428^2+(-0.0021)*X428)+Y$2*((-0.000002)*Y428^3+0.00032*Y428^2+(-0.0021)*Y428)+Z$2*((-0.000002)*Z428^3+0.00032*Z428^2+(-0.0021)*Z428)+AA$2*((-0.000002)*AA428^3+0.00032*AA428^2+(-0.0021)*AA428))</f>
        <v/>
      </c>
      <c r="AL428" s="5">
        <f>AB$1*((-0.000002)*AB428^3+0.00032*AB428^2+(-0.0021)*AB428)+AC$1*((-0.000002)*AC428^3+0.00032*AC428^2+(-0.0021)*AC428)</f>
        <v/>
      </c>
      <c r="AM428" s="5">
        <f>AD$1*((-0.000002)*AD428^3+0.00032*AD428^2+(-0.0021)*AD428)+AE$1*((-0.000002)*AE428^3+0.00032*AE428^2+(-0.0021)*AE428)+AF$1*((-0.000002)*AF428^3+0.00032*AF428^2+(-0.0021)*AF428)+AG$1*((-0.000002)*AG428^3+0.00032*AG428^2+(-0.0021)*AG428)</f>
        <v/>
      </c>
    </row>
    <row r="429" ht="15" customHeight="1" s="27" thickBot="1">
      <c r="A429">
        <f>(AI429*AI$3+AJ429*AJ$3+AK429*AK$3+AL429*AL$3+AM429*AM$3)*100/(AI$5*AI$3+AJ$5*AJ$3+AK$5*AK$3+AL$5*AL$3+AM$5*AM$3)</f>
        <v/>
      </c>
      <c r="B429" s="16" t="n"/>
      <c r="C429" s="10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6" t="n"/>
      <c r="R429" s="10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5">
        <f>H$1*((-0.000002)*H429^3+0.00032*H429^2+(-0.0021)*H429)+I$1*((-0.000002)*I429^3+0.00032*I429^2+(-0.0021)*I429)+J$1*((-0.000002)*J429^3+0.00032*J429^2+(-0.0021)*J429)+K$1*((-0.000002)*K429^3+0.00032*K429^2+(-0.0021)*K429)+L$1*((-0.000002)*L429^3+0.00032*L429^2+(-0.0021)*L429)</f>
        <v/>
      </c>
      <c r="AJ429" s="5">
        <f>M$1*((-0.000002)*M429^3+0.00032*M429^2+(-0.0021)*M429)+N$1*((-0.000002)*N429^3+0.00032*N429^2+(-0.0021)*N429)+O$1*((-0.000002)*O429^3+0.00032*O429^2+(-0.0021)*O429)</f>
        <v/>
      </c>
      <c r="AK429" s="5">
        <f>IF(AA429&lt;50,W$1*((-0.000002)*W429^3+0.00032*W429^2+(-0.0021)*W429)+X$1*((-0.000002)*X429^3+0.00032*X429^2+(-0.0021)*X429)+Y$1*((-0.000002)*Y429^3+0.00032*Y429^2+(-0.0021)*Y429)+Z$1*((-0.000002)*Z429^3+0.00032*Z429^2+(-0.0021)*Z429),X$2*((-0.000002)*X429^3+0.00032*X429^2+(-0.0021)*X429)+Y$2*((-0.000002)*Y429^3+0.00032*Y429^2+(-0.0021)*Y429)+Z$2*((-0.000002)*Z429^3+0.00032*Z429^2+(-0.0021)*Z429)+AA$2*((-0.000002)*AA429^3+0.00032*AA429^2+(-0.0021)*AA429))</f>
        <v/>
      </c>
      <c r="AL429" s="5">
        <f>AB$1*((-0.000002)*AB429^3+0.00032*AB429^2+(-0.0021)*AB429)+AC$1*((-0.000002)*AC429^3+0.00032*AC429^2+(-0.0021)*AC429)</f>
        <v/>
      </c>
      <c r="AM429" s="5">
        <f>AD$1*((-0.000002)*AD429^3+0.00032*AD429^2+(-0.0021)*AD429)+AE$1*((-0.000002)*AE429^3+0.00032*AE429^2+(-0.0021)*AE429)+AF$1*((-0.000002)*AF429^3+0.00032*AF429^2+(-0.0021)*AF429)+AG$1*((-0.000002)*AG429^3+0.00032*AG429^2+(-0.0021)*AG429)</f>
        <v/>
      </c>
    </row>
    <row r="430" ht="15" customHeight="1" s="27" thickBot="1">
      <c r="A430">
        <f>(AI430*AI$3+AJ430*AJ$3+AK430*AK$3+AL430*AL$3+AM430*AM$3)*100/(AI$5*AI$3+AJ$5*AJ$3+AK$5*AK$3+AL$5*AL$3+AM$5*AM$3)</f>
        <v/>
      </c>
      <c r="B430" s="18" t="n"/>
      <c r="C430" s="11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8" t="n"/>
      <c r="R430" s="11" t="n"/>
      <c r="S430" s="19" t="n"/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  <c r="AH430" s="19" t="n"/>
      <c r="AI430" s="5">
        <f>H$1*((-0.000002)*H430^3+0.00032*H430^2+(-0.0021)*H430)+I$1*((-0.000002)*I430^3+0.00032*I430^2+(-0.0021)*I430)+J$1*((-0.000002)*J430^3+0.00032*J430^2+(-0.0021)*J430)+K$1*((-0.000002)*K430^3+0.00032*K430^2+(-0.0021)*K430)+L$1*((-0.000002)*L430^3+0.00032*L430^2+(-0.0021)*L430)</f>
        <v/>
      </c>
      <c r="AJ430" s="5">
        <f>M$1*((-0.000002)*M430^3+0.00032*M430^2+(-0.0021)*M430)+N$1*((-0.000002)*N430^3+0.00032*N430^2+(-0.0021)*N430)+O$1*((-0.000002)*O430^3+0.00032*O430^2+(-0.0021)*O430)</f>
        <v/>
      </c>
      <c r="AK430" s="5">
        <f>IF(AA430&lt;50,W$1*((-0.000002)*W430^3+0.00032*W430^2+(-0.0021)*W430)+X$1*((-0.000002)*X430^3+0.00032*X430^2+(-0.0021)*X430)+Y$1*((-0.000002)*Y430^3+0.00032*Y430^2+(-0.0021)*Y430)+Z$1*((-0.000002)*Z430^3+0.00032*Z430^2+(-0.0021)*Z430),X$2*((-0.000002)*X430^3+0.00032*X430^2+(-0.0021)*X430)+Y$2*((-0.000002)*Y430^3+0.00032*Y430^2+(-0.0021)*Y430)+Z$2*((-0.000002)*Z430^3+0.00032*Z430^2+(-0.0021)*Z430)+AA$2*((-0.000002)*AA430^3+0.00032*AA430^2+(-0.0021)*AA430))</f>
        <v/>
      </c>
      <c r="AL430" s="5">
        <f>AB$1*((-0.000002)*AB430^3+0.00032*AB430^2+(-0.0021)*AB430)+AC$1*((-0.000002)*AC430^3+0.00032*AC430^2+(-0.0021)*AC430)</f>
        <v/>
      </c>
      <c r="AM430" s="5">
        <f>AD$1*((-0.000002)*AD430^3+0.00032*AD430^2+(-0.0021)*AD430)+AE$1*((-0.000002)*AE430^3+0.00032*AE430^2+(-0.0021)*AE430)+AF$1*((-0.000002)*AF430^3+0.00032*AF430^2+(-0.0021)*AF430)+AG$1*((-0.000002)*AG430^3+0.00032*AG430^2+(-0.0021)*AG430)</f>
        <v/>
      </c>
    </row>
    <row r="431" ht="15" customHeight="1" s="27" thickBot="1">
      <c r="A431">
        <f>(AI431*AI$3+AJ431*AJ$3+AK431*AK$3+AL431*AL$3+AM431*AM$3)*100/(AI$5*AI$3+AJ$5*AJ$3+AK$5*AK$3+AL$5*AL$3+AM$5*AM$3)</f>
        <v/>
      </c>
      <c r="B431" s="16" t="n"/>
      <c r="C431" s="10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6" t="n"/>
      <c r="R431" s="10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5">
        <f>H$1*((-0.000002)*H431^3+0.00032*H431^2+(-0.0021)*H431)+I$1*((-0.000002)*I431^3+0.00032*I431^2+(-0.0021)*I431)+J$1*((-0.000002)*J431^3+0.00032*J431^2+(-0.0021)*J431)+K$1*((-0.000002)*K431^3+0.00032*K431^2+(-0.0021)*K431)+L$1*((-0.000002)*L431^3+0.00032*L431^2+(-0.0021)*L431)</f>
        <v/>
      </c>
      <c r="AJ431" s="5">
        <f>M$1*((-0.000002)*M431^3+0.00032*M431^2+(-0.0021)*M431)+N$1*((-0.000002)*N431^3+0.00032*N431^2+(-0.0021)*N431)+O$1*((-0.000002)*O431^3+0.00032*O431^2+(-0.0021)*O431)</f>
        <v/>
      </c>
      <c r="AK431" s="5">
        <f>IF(AA431&lt;50,W$1*((-0.000002)*W431^3+0.00032*W431^2+(-0.0021)*W431)+X$1*((-0.000002)*X431^3+0.00032*X431^2+(-0.0021)*X431)+Y$1*((-0.000002)*Y431^3+0.00032*Y431^2+(-0.0021)*Y431)+Z$1*((-0.000002)*Z431^3+0.00032*Z431^2+(-0.0021)*Z431),X$2*((-0.000002)*X431^3+0.00032*X431^2+(-0.0021)*X431)+Y$2*((-0.000002)*Y431^3+0.00032*Y431^2+(-0.0021)*Y431)+Z$2*((-0.000002)*Z431^3+0.00032*Z431^2+(-0.0021)*Z431)+AA$2*((-0.000002)*AA431^3+0.00032*AA431^2+(-0.0021)*AA431))</f>
        <v/>
      </c>
      <c r="AL431" s="5">
        <f>AB$1*((-0.000002)*AB431^3+0.00032*AB431^2+(-0.0021)*AB431)+AC$1*((-0.000002)*AC431^3+0.00032*AC431^2+(-0.0021)*AC431)</f>
        <v/>
      </c>
      <c r="AM431" s="5">
        <f>AD$1*((-0.000002)*AD431^3+0.00032*AD431^2+(-0.0021)*AD431)+AE$1*((-0.000002)*AE431^3+0.00032*AE431^2+(-0.0021)*AE431)+AF$1*((-0.000002)*AF431^3+0.00032*AF431^2+(-0.0021)*AF431)+AG$1*((-0.000002)*AG431^3+0.00032*AG431^2+(-0.0021)*AG431)</f>
        <v/>
      </c>
    </row>
    <row r="432" ht="15" customHeight="1" s="27" thickBot="1">
      <c r="A432">
        <f>(AI432*AI$3+AJ432*AJ$3+AK432*AK$3+AL432*AL$3+AM432*AM$3)*100/(AI$5*AI$3+AJ$5*AJ$3+AK$5*AK$3+AL$5*AL$3+AM$5*AM$3)</f>
        <v/>
      </c>
      <c r="B432" s="18" t="n"/>
      <c r="C432" s="11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8" t="n"/>
      <c r="R432" s="11" t="n"/>
      <c r="S432" s="19" t="n"/>
      <c r="T432" s="19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  <c r="AG432" s="19" t="n"/>
      <c r="AH432" s="19" t="n"/>
      <c r="AI432" s="5">
        <f>H$1*((-0.000002)*H432^3+0.00032*H432^2+(-0.0021)*H432)+I$1*((-0.000002)*I432^3+0.00032*I432^2+(-0.0021)*I432)+J$1*((-0.000002)*J432^3+0.00032*J432^2+(-0.0021)*J432)+K$1*((-0.000002)*K432^3+0.00032*K432^2+(-0.0021)*K432)+L$1*((-0.000002)*L432^3+0.00032*L432^2+(-0.0021)*L432)</f>
        <v/>
      </c>
      <c r="AJ432" s="5">
        <f>M$1*((-0.000002)*M432^3+0.00032*M432^2+(-0.0021)*M432)+N$1*((-0.000002)*N432^3+0.00032*N432^2+(-0.0021)*N432)+O$1*((-0.000002)*O432^3+0.00032*O432^2+(-0.0021)*O432)</f>
        <v/>
      </c>
      <c r="AK432" s="5">
        <f>IF(AA432&lt;50,W$1*((-0.000002)*W432^3+0.00032*W432^2+(-0.0021)*W432)+X$1*((-0.000002)*X432^3+0.00032*X432^2+(-0.0021)*X432)+Y$1*((-0.000002)*Y432^3+0.00032*Y432^2+(-0.0021)*Y432)+Z$1*((-0.000002)*Z432^3+0.00032*Z432^2+(-0.0021)*Z432),X$2*((-0.000002)*X432^3+0.00032*X432^2+(-0.0021)*X432)+Y$2*((-0.000002)*Y432^3+0.00032*Y432^2+(-0.0021)*Y432)+Z$2*((-0.000002)*Z432^3+0.00032*Z432^2+(-0.0021)*Z432)+AA$2*((-0.000002)*AA432^3+0.00032*AA432^2+(-0.0021)*AA432))</f>
        <v/>
      </c>
      <c r="AL432" s="5">
        <f>AB$1*((-0.000002)*AB432^3+0.00032*AB432^2+(-0.0021)*AB432)+AC$1*((-0.000002)*AC432^3+0.00032*AC432^2+(-0.0021)*AC432)</f>
        <v/>
      </c>
      <c r="AM432" s="5">
        <f>AD$1*((-0.000002)*AD432^3+0.00032*AD432^2+(-0.0021)*AD432)+AE$1*((-0.000002)*AE432^3+0.00032*AE432^2+(-0.0021)*AE432)+AF$1*((-0.000002)*AF432^3+0.00032*AF432^2+(-0.0021)*AF432)+AG$1*((-0.000002)*AG432^3+0.00032*AG432^2+(-0.0021)*AG432)</f>
        <v/>
      </c>
    </row>
    <row r="433" ht="15" customHeight="1" s="27" thickBot="1">
      <c r="A433">
        <f>(AI433*AI$3+AJ433*AJ$3+AK433*AK$3+AL433*AL$3+AM433*AM$3)*100/(AI$5*AI$3+AJ$5*AJ$3+AK$5*AK$3+AL$5*AL$3+AM$5*AM$3)</f>
        <v/>
      </c>
      <c r="B433" s="16" t="n"/>
      <c r="C433" s="10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6" t="n"/>
      <c r="R433" s="10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5">
        <f>H$1*((-0.000002)*H433^3+0.00032*H433^2+(-0.0021)*H433)+I$1*((-0.000002)*I433^3+0.00032*I433^2+(-0.0021)*I433)+J$1*((-0.000002)*J433^3+0.00032*J433^2+(-0.0021)*J433)+K$1*((-0.000002)*K433^3+0.00032*K433^2+(-0.0021)*K433)+L$1*((-0.000002)*L433^3+0.00032*L433^2+(-0.0021)*L433)</f>
        <v/>
      </c>
      <c r="AJ433" s="5">
        <f>M$1*((-0.000002)*M433^3+0.00032*M433^2+(-0.0021)*M433)+N$1*((-0.000002)*N433^3+0.00032*N433^2+(-0.0021)*N433)+O$1*((-0.000002)*O433^3+0.00032*O433^2+(-0.0021)*O433)</f>
        <v/>
      </c>
      <c r="AK433" s="5">
        <f>IF(AA433&lt;50,W$1*((-0.000002)*W433^3+0.00032*W433^2+(-0.0021)*W433)+X$1*((-0.000002)*X433^3+0.00032*X433^2+(-0.0021)*X433)+Y$1*((-0.000002)*Y433^3+0.00032*Y433^2+(-0.0021)*Y433)+Z$1*((-0.000002)*Z433^3+0.00032*Z433^2+(-0.0021)*Z433),X$2*((-0.000002)*X433^3+0.00032*X433^2+(-0.0021)*X433)+Y$2*((-0.000002)*Y433^3+0.00032*Y433^2+(-0.0021)*Y433)+Z$2*((-0.000002)*Z433^3+0.00032*Z433^2+(-0.0021)*Z433)+AA$2*((-0.000002)*AA433^3+0.00032*AA433^2+(-0.0021)*AA433))</f>
        <v/>
      </c>
      <c r="AL433" s="5">
        <f>AB$1*((-0.000002)*AB433^3+0.00032*AB433^2+(-0.0021)*AB433)+AC$1*((-0.000002)*AC433^3+0.00032*AC433^2+(-0.0021)*AC433)</f>
        <v/>
      </c>
      <c r="AM433" s="5">
        <f>AD$1*((-0.000002)*AD433^3+0.00032*AD433^2+(-0.0021)*AD433)+AE$1*((-0.000002)*AE433^3+0.00032*AE433^2+(-0.0021)*AE433)+AF$1*((-0.000002)*AF433^3+0.00032*AF433^2+(-0.0021)*AF433)+AG$1*((-0.000002)*AG433^3+0.00032*AG433^2+(-0.0021)*AG433)</f>
        <v/>
      </c>
    </row>
    <row r="434" ht="15" customHeight="1" s="27" thickBot="1">
      <c r="A434">
        <f>(AI434*AI$3+AJ434*AJ$3+AK434*AK$3+AL434*AL$3+AM434*AM$3)*100/(AI$5*AI$3+AJ$5*AJ$3+AK$5*AK$3+AL$5*AL$3+AM$5*AM$3)</f>
        <v/>
      </c>
      <c r="B434" s="18" t="n"/>
      <c r="C434" s="11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8" t="n"/>
      <c r="R434" s="11" t="n"/>
      <c r="S434" s="19" t="n"/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  <c r="AH434" s="19" t="n"/>
      <c r="AI434" s="5">
        <f>H$1*((-0.000002)*H434^3+0.00032*H434^2+(-0.0021)*H434)+I$1*((-0.000002)*I434^3+0.00032*I434^2+(-0.0021)*I434)+J$1*((-0.000002)*J434^3+0.00032*J434^2+(-0.0021)*J434)+K$1*((-0.000002)*K434^3+0.00032*K434^2+(-0.0021)*K434)+L$1*((-0.000002)*L434^3+0.00032*L434^2+(-0.0021)*L434)</f>
        <v/>
      </c>
      <c r="AJ434" s="5">
        <f>M$1*((-0.000002)*M434^3+0.00032*M434^2+(-0.0021)*M434)+N$1*((-0.000002)*N434^3+0.00032*N434^2+(-0.0021)*N434)+O$1*((-0.000002)*O434^3+0.00032*O434^2+(-0.0021)*O434)</f>
        <v/>
      </c>
      <c r="AK434" s="5">
        <f>IF(AA434&lt;50,W$1*((-0.000002)*W434^3+0.00032*W434^2+(-0.0021)*W434)+X$1*((-0.000002)*X434^3+0.00032*X434^2+(-0.0021)*X434)+Y$1*((-0.000002)*Y434^3+0.00032*Y434^2+(-0.0021)*Y434)+Z$1*((-0.000002)*Z434^3+0.00032*Z434^2+(-0.0021)*Z434),X$2*((-0.000002)*X434^3+0.00032*X434^2+(-0.0021)*X434)+Y$2*((-0.000002)*Y434^3+0.00032*Y434^2+(-0.0021)*Y434)+Z$2*((-0.000002)*Z434^3+0.00032*Z434^2+(-0.0021)*Z434)+AA$2*((-0.000002)*AA434^3+0.00032*AA434^2+(-0.0021)*AA434))</f>
        <v/>
      </c>
      <c r="AL434" s="5">
        <f>AB$1*((-0.000002)*AB434^3+0.00032*AB434^2+(-0.0021)*AB434)+AC$1*((-0.000002)*AC434^3+0.00032*AC434^2+(-0.0021)*AC434)</f>
        <v/>
      </c>
      <c r="AM434" s="5">
        <f>AD$1*((-0.000002)*AD434^3+0.00032*AD434^2+(-0.0021)*AD434)+AE$1*((-0.000002)*AE434^3+0.00032*AE434^2+(-0.0021)*AE434)+AF$1*((-0.000002)*AF434^3+0.00032*AF434^2+(-0.0021)*AF434)+AG$1*((-0.000002)*AG434^3+0.00032*AG434^2+(-0.0021)*AG434)</f>
        <v/>
      </c>
    </row>
    <row r="435" ht="15" customHeight="1" s="27" thickBot="1">
      <c r="A435">
        <f>(AI435*AI$3+AJ435*AJ$3+AK435*AK$3+AL435*AL$3+AM435*AM$3)*100/(AI$5*AI$3+AJ$5*AJ$3+AK$5*AK$3+AL$5*AL$3+AM$5*AM$3)</f>
        <v/>
      </c>
      <c r="B435" s="16" t="n"/>
      <c r="C435" s="10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6" t="n"/>
      <c r="R435" s="10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5">
        <f>H$1*((-0.000002)*H435^3+0.00032*H435^2+(-0.0021)*H435)+I$1*((-0.000002)*I435^3+0.00032*I435^2+(-0.0021)*I435)+J$1*((-0.000002)*J435^3+0.00032*J435^2+(-0.0021)*J435)+K$1*((-0.000002)*K435^3+0.00032*K435^2+(-0.0021)*K435)+L$1*((-0.000002)*L435^3+0.00032*L435^2+(-0.0021)*L435)</f>
        <v/>
      </c>
      <c r="AJ435" s="5">
        <f>M$1*((-0.000002)*M435^3+0.00032*M435^2+(-0.0021)*M435)+N$1*((-0.000002)*N435^3+0.00032*N435^2+(-0.0021)*N435)+O$1*((-0.000002)*O435^3+0.00032*O435^2+(-0.0021)*O435)</f>
        <v/>
      </c>
      <c r="AK435" s="5">
        <f>IF(AA435&lt;50,W$1*((-0.000002)*W435^3+0.00032*W435^2+(-0.0021)*W435)+X$1*((-0.000002)*X435^3+0.00032*X435^2+(-0.0021)*X435)+Y$1*((-0.000002)*Y435^3+0.00032*Y435^2+(-0.0021)*Y435)+Z$1*((-0.000002)*Z435^3+0.00032*Z435^2+(-0.0021)*Z435),X$2*((-0.000002)*X435^3+0.00032*X435^2+(-0.0021)*X435)+Y$2*((-0.000002)*Y435^3+0.00032*Y435^2+(-0.0021)*Y435)+Z$2*((-0.000002)*Z435^3+0.00032*Z435^2+(-0.0021)*Z435)+AA$2*((-0.000002)*AA435^3+0.00032*AA435^2+(-0.0021)*AA435))</f>
        <v/>
      </c>
      <c r="AL435" s="5">
        <f>AB$1*((-0.000002)*AB435^3+0.00032*AB435^2+(-0.0021)*AB435)+AC$1*((-0.000002)*AC435^3+0.00032*AC435^2+(-0.0021)*AC435)</f>
        <v/>
      </c>
      <c r="AM435" s="5">
        <f>AD$1*((-0.000002)*AD435^3+0.00032*AD435^2+(-0.0021)*AD435)+AE$1*((-0.000002)*AE435^3+0.00032*AE435^2+(-0.0021)*AE435)+AF$1*((-0.000002)*AF435^3+0.00032*AF435^2+(-0.0021)*AF435)+AG$1*((-0.000002)*AG435^3+0.00032*AG435^2+(-0.0021)*AG435)</f>
        <v/>
      </c>
    </row>
    <row r="436" ht="15" customHeight="1" s="27" thickBot="1">
      <c r="A436">
        <f>(AI436*AI$3+AJ436*AJ$3+AK436*AK$3+AL436*AL$3+AM436*AM$3)*100/(AI$5*AI$3+AJ$5*AJ$3+AK$5*AK$3+AL$5*AL$3+AM$5*AM$3)</f>
        <v/>
      </c>
      <c r="B436" s="18" t="n"/>
      <c r="C436" s="11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8" t="n"/>
      <c r="R436" s="11" t="n"/>
      <c r="S436" s="19" t="n"/>
      <c r="T436" s="19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  <c r="AG436" s="19" t="n"/>
      <c r="AH436" s="19" t="n"/>
      <c r="AI436" s="5">
        <f>H$1*((-0.000002)*H436^3+0.00032*H436^2+(-0.0021)*H436)+I$1*((-0.000002)*I436^3+0.00032*I436^2+(-0.0021)*I436)+J$1*((-0.000002)*J436^3+0.00032*J436^2+(-0.0021)*J436)+K$1*((-0.000002)*K436^3+0.00032*K436^2+(-0.0021)*K436)+L$1*((-0.000002)*L436^3+0.00032*L436^2+(-0.0021)*L436)</f>
        <v/>
      </c>
      <c r="AJ436" s="5">
        <f>M$1*((-0.000002)*M436^3+0.00032*M436^2+(-0.0021)*M436)+N$1*((-0.000002)*N436^3+0.00032*N436^2+(-0.0021)*N436)+O$1*((-0.000002)*O436^3+0.00032*O436^2+(-0.0021)*O436)</f>
        <v/>
      </c>
      <c r="AK436" s="5">
        <f>IF(AA436&lt;50,W$1*((-0.000002)*W436^3+0.00032*W436^2+(-0.0021)*W436)+X$1*((-0.000002)*X436^3+0.00032*X436^2+(-0.0021)*X436)+Y$1*((-0.000002)*Y436^3+0.00032*Y436^2+(-0.0021)*Y436)+Z$1*((-0.000002)*Z436^3+0.00032*Z436^2+(-0.0021)*Z436),X$2*((-0.000002)*X436^3+0.00032*X436^2+(-0.0021)*X436)+Y$2*((-0.000002)*Y436^3+0.00032*Y436^2+(-0.0021)*Y436)+Z$2*((-0.000002)*Z436^3+0.00032*Z436^2+(-0.0021)*Z436)+AA$2*((-0.000002)*AA436^3+0.00032*AA436^2+(-0.0021)*AA436))</f>
        <v/>
      </c>
      <c r="AL436" s="5">
        <f>AB$1*((-0.000002)*AB436^3+0.00032*AB436^2+(-0.0021)*AB436)+AC$1*((-0.000002)*AC436^3+0.00032*AC436^2+(-0.0021)*AC436)</f>
        <v/>
      </c>
      <c r="AM436" s="5">
        <f>AD$1*((-0.000002)*AD436^3+0.00032*AD436^2+(-0.0021)*AD436)+AE$1*((-0.000002)*AE436^3+0.00032*AE436^2+(-0.0021)*AE436)+AF$1*((-0.000002)*AF436^3+0.00032*AF436^2+(-0.0021)*AF436)+AG$1*((-0.000002)*AG436^3+0.00032*AG436^2+(-0.0021)*AG436)</f>
        <v/>
      </c>
    </row>
    <row r="437" ht="15" customHeight="1" s="27" thickBot="1">
      <c r="A437">
        <f>(AI437*AI$3+AJ437*AJ$3+AK437*AK$3+AL437*AL$3+AM437*AM$3)*100/(AI$5*AI$3+AJ$5*AJ$3+AK$5*AK$3+AL$5*AL$3+AM$5*AM$3)</f>
        <v/>
      </c>
      <c r="B437" s="16" t="n"/>
      <c r="C437" s="10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6" t="n"/>
      <c r="R437" s="10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5">
        <f>H$1*((-0.000002)*H437^3+0.00032*H437^2+(-0.0021)*H437)+I$1*((-0.000002)*I437^3+0.00032*I437^2+(-0.0021)*I437)+J$1*((-0.000002)*J437^3+0.00032*J437^2+(-0.0021)*J437)+K$1*((-0.000002)*K437^3+0.00032*K437^2+(-0.0021)*K437)+L$1*((-0.000002)*L437^3+0.00032*L437^2+(-0.0021)*L437)</f>
        <v/>
      </c>
      <c r="AJ437" s="5">
        <f>M$1*((-0.000002)*M437^3+0.00032*M437^2+(-0.0021)*M437)+N$1*((-0.000002)*N437^3+0.00032*N437^2+(-0.0021)*N437)+O$1*((-0.000002)*O437^3+0.00032*O437^2+(-0.0021)*O437)</f>
        <v/>
      </c>
      <c r="AK437" s="5">
        <f>IF(AA437&lt;50,W$1*((-0.000002)*W437^3+0.00032*W437^2+(-0.0021)*W437)+X$1*((-0.000002)*X437^3+0.00032*X437^2+(-0.0021)*X437)+Y$1*((-0.000002)*Y437^3+0.00032*Y437^2+(-0.0021)*Y437)+Z$1*((-0.000002)*Z437^3+0.00032*Z437^2+(-0.0021)*Z437),X$2*((-0.000002)*X437^3+0.00032*X437^2+(-0.0021)*X437)+Y$2*((-0.000002)*Y437^3+0.00032*Y437^2+(-0.0021)*Y437)+Z$2*((-0.000002)*Z437^3+0.00032*Z437^2+(-0.0021)*Z437)+AA$2*((-0.000002)*AA437^3+0.00032*AA437^2+(-0.0021)*AA437))</f>
        <v/>
      </c>
      <c r="AL437" s="5">
        <f>AB$1*((-0.000002)*AB437^3+0.00032*AB437^2+(-0.0021)*AB437)+AC$1*((-0.000002)*AC437^3+0.00032*AC437^2+(-0.0021)*AC437)</f>
        <v/>
      </c>
      <c r="AM437" s="5">
        <f>AD$1*((-0.000002)*AD437^3+0.00032*AD437^2+(-0.0021)*AD437)+AE$1*((-0.000002)*AE437^3+0.00032*AE437^2+(-0.0021)*AE437)+AF$1*((-0.000002)*AF437^3+0.00032*AF437^2+(-0.0021)*AF437)+AG$1*((-0.000002)*AG437^3+0.00032*AG437^2+(-0.0021)*AG437)</f>
        <v/>
      </c>
    </row>
    <row r="438" ht="15" customHeight="1" s="27" thickBot="1">
      <c r="A438">
        <f>(AI438*AI$3+AJ438*AJ$3+AK438*AK$3+AL438*AL$3+AM438*AM$3)*100/(AI$5*AI$3+AJ$5*AJ$3+AK$5*AK$3+AL$5*AL$3+AM$5*AM$3)</f>
        <v/>
      </c>
      <c r="B438" s="18" t="n"/>
      <c r="C438" s="11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8" t="n"/>
      <c r="R438" s="11" t="n"/>
      <c r="S438" s="19" t="n"/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  <c r="AH438" s="19" t="n"/>
      <c r="AI438" s="5">
        <f>H$1*((-0.000002)*H438^3+0.00032*H438^2+(-0.0021)*H438)+I$1*((-0.000002)*I438^3+0.00032*I438^2+(-0.0021)*I438)+J$1*((-0.000002)*J438^3+0.00032*J438^2+(-0.0021)*J438)+K$1*((-0.000002)*K438^3+0.00032*K438^2+(-0.0021)*K438)+L$1*((-0.000002)*L438^3+0.00032*L438^2+(-0.0021)*L438)</f>
        <v/>
      </c>
      <c r="AJ438" s="5">
        <f>M$1*((-0.000002)*M438^3+0.00032*M438^2+(-0.0021)*M438)+N$1*((-0.000002)*N438^3+0.00032*N438^2+(-0.0021)*N438)+O$1*((-0.000002)*O438^3+0.00032*O438^2+(-0.0021)*O438)</f>
        <v/>
      </c>
      <c r="AK438" s="5">
        <f>IF(AA438&lt;50,W$1*((-0.000002)*W438^3+0.00032*W438^2+(-0.0021)*W438)+X$1*((-0.000002)*X438^3+0.00032*X438^2+(-0.0021)*X438)+Y$1*((-0.000002)*Y438^3+0.00032*Y438^2+(-0.0021)*Y438)+Z$1*((-0.000002)*Z438^3+0.00032*Z438^2+(-0.0021)*Z438),X$2*((-0.000002)*X438^3+0.00032*X438^2+(-0.0021)*X438)+Y$2*((-0.000002)*Y438^3+0.00032*Y438^2+(-0.0021)*Y438)+Z$2*((-0.000002)*Z438^3+0.00032*Z438^2+(-0.0021)*Z438)+AA$2*((-0.000002)*AA438^3+0.00032*AA438^2+(-0.0021)*AA438))</f>
        <v/>
      </c>
      <c r="AL438" s="5">
        <f>AB$1*((-0.000002)*AB438^3+0.00032*AB438^2+(-0.0021)*AB438)+AC$1*((-0.000002)*AC438^3+0.00032*AC438^2+(-0.0021)*AC438)</f>
        <v/>
      </c>
      <c r="AM438" s="5">
        <f>AD$1*((-0.000002)*AD438^3+0.00032*AD438^2+(-0.0021)*AD438)+AE$1*((-0.000002)*AE438^3+0.00032*AE438^2+(-0.0021)*AE438)+AF$1*((-0.000002)*AF438^3+0.00032*AF438^2+(-0.0021)*AF438)+AG$1*((-0.000002)*AG438^3+0.00032*AG438^2+(-0.0021)*AG438)</f>
        <v/>
      </c>
    </row>
    <row r="439" ht="15" customHeight="1" s="27" thickBot="1">
      <c r="A439">
        <f>(AI439*AI$3+AJ439*AJ$3+AK439*AK$3+AL439*AL$3+AM439*AM$3)*100/(AI$5*AI$3+AJ$5*AJ$3+AK$5*AK$3+AL$5*AL$3+AM$5*AM$3)</f>
        <v/>
      </c>
      <c r="B439" s="16" t="n"/>
      <c r="C439" s="10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6" t="n"/>
      <c r="R439" s="10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5">
        <f>H$1*((-0.000002)*H439^3+0.00032*H439^2+(-0.0021)*H439)+I$1*((-0.000002)*I439^3+0.00032*I439^2+(-0.0021)*I439)+J$1*((-0.000002)*J439^3+0.00032*J439^2+(-0.0021)*J439)+K$1*((-0.000002)*K439^3+0.00032*K439^2+(-0.0021)*K439)+L$1*((-0.000002)*L439^3+0.00032*L439^2+(-0.0021)*L439)</f>
        <v/>
      </c>
      <c r="AJ439" s="5">
        <f>M$1*((-0.000002)*M439^3+0.00032*M439^2+(-0.0021)*M439)+N$1*((-0.000002)*N439^3+0.00032*N439^2+(-0.0021)*N439)+O$1*((-0.000002)*O439^3+0.00032*O439^2+(-0.0021)*O439)</f>
        <v/>
      </c>
      <c r="AK439" s="5">
        <f>IF(AA439&lt;50,W$1*((-0.000002)*W439^3+0.00032*W439^2+(-0.0021)*W439)+X$1*((-0.000002)*X439^3+0.00032*X439^2+(-0.0021)*X439)+Y$1*((-0.000002)*Y439^3+0.00032*Y439^2+(-0.0021)*Y439)+Z$1*((-0.000002)*Z439^3+0.00032*Z439^2+(-0.0021)*Z439),X$2*((-0.000002)*X439^3+0.00032*X439^2+(-0.0021)*X439)+Y$2*((-0.000002)*Y439^3+0.00032*Y439^2+(-0.0021)*Y439)+Z$2*((-0.000002)*Z439^3+0.00032*Z439^2+(-0.0021)*Z439)+AA$2*((-0.000002)*AA439^3+0.00032*AA439^2+(-0.0021)*AA439))</f>
        <v/>
      </c>
      <c r="AL439" s="5">
        <f>AB$1*((-0.000002)*AB439^3+0.00032*AB439^2+(-0.0021)*AB439)+AC$1*((-0.000002)*AC439^3+0.00032*AC439^2+(-0.0021)*AC439)</f>
        <v/>
      </c>
      <c r="AM439" s="5">
        <f>AD$1*((-0.000002)*AD439^3+0.00032*AD439^2+(-0.0021)*AD439)+AE$1*((-0.000002)*AE439^3+0.00032*AE439^2+(-0.0021)*AE439)+AF$1*((-0.000002)*AF439^3+0.00032*AF439^2+(-0.0021)*AF439)+AG$1*((-0.000002)*AG439^3+0.00032*AG439^2+(-0.0021)*AG439)</f>
        <v/>
      </c>
    </row>
    <row r="440" ht="15" customHeight="1" s="27" thickBot="1">
      <c r="A440">
        <f>(AI440*AI$3+AJ440*AJ$3+AK440*AK$3+AL440*AL$3+AM440*AM$3)*100/(AI$5*AI$3+AJ$5*AJ$3+AK$5*AK$3+AL$5*AL$3+AM$5*AM$3)</f>
        <v/>
      </c>
      <c r="B440" s="18" t="n"/>
      <c r="C440" s="11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8" t="n"/>
      <c r="R440" s="11" t="n"/>
      <c r="S440" s="19" t="n"/>
      <c r="T440" s="19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  <c r="AG440" s="19" t="n"/>
      <c r="AH440" s="19" t="n"/>
      <c r="AI440" s="5">
        <f>H$1*((-0.000002)*H440^3+0.00032*H440^2+(-0.0021)*H440)+I$1*((-0.000002)*I440^3+0.00032*I440^2+(-0.0021)*I440)+J$1*((-0.000002)*J440^3+0.00032*J440^2+(-0.0021)*J440)+K$1*((-0.000002)*K440^3+0.00032*K440^2+(-0.0021)*K440)+L$1*((-0.000002)*L440^3+0.00032*L440^2+(-0.0021)*L440)</f>
        <v/>
      </c>
      <c r="AJ440" s="5">
        <f>M$1*((-0.000002)*M440^3+0.00032*M440^2+(-0.0021)*M440)+N$1*((-0.000002)*N440^3+0.00032*N440^2+(-0.0021)*N440)+O$1*((-0.000002)*O440^3+0.00032*O440^2+(-0.0021)*O440)</f>
        <v/>
      </c>
      <c r="AK440" s="5">
        <f>IF(AA440&lt;50,W$1*((-0.000002)*W440^3+0.00032*W440^2+(-0.0021)*W440)+X$1*((-0.000002)*X440^3+0.00032*X440^2+(-0.0021)*X440)+Y$1*((-0.000002)*Y440^3+0.00032*Y440^2+(-0.0021)*Y440)+Z$1*((-0.000002)*Z440^3+0.00032*Z440^2+(-0.0021)*Z440),X$2*((-0.000002)*X440^3+0.00032*X440^2+(-0.0021)*X440)+Y$2*((-0.000002)*Y440^3+0.00032*Y440^2+(-0.0021)*Y440)+Z$2*((-0.000002)*Z440^3+0.00032*Z440^2+(-0.0021)*Z440)+AA$2*((-0.000002)*AA440^3+0.00032*AA440^2+(-0.0021)*AA440))</f>
        <v/>
      </c>
      <c r="AL440" s="5">
        <f>AB$1*((-0.000002)*AB440^3+0.00032*AB440^2+(-0.0021)*AB440)+AC$1*((-0.000002)*AC440^3+0.00032*AC440^2+(-0.0021)*AC440)</f>
        <v/>
      </c>
      <c r="AM440" s="5">
        <f>AD$1*((-0.000002)*AD440^3+0.00032*AD440^2+(-0.0021)*AD440)+AE$1*((-0.000002)*AE440^3+0.00032*AE440^2+(-0.0021)*AE440)+AF$1*((-0.000002)*AF440^3+0.00032*AF440^2+(-0.0021)*AF440)+AG$1*((-0.000002)*AG440^3+0.00032*AG440^2+(-0.0021)*AG440)</f>
        <v/>
      </c>
    </row>
    <row r="441" ht="15" customHeight="1" s="27" thickBot="1">
      <c r="A441">
        <f>(AI441*AI$3+AJ441*AJ$3+AK441*AK$3+AL441*AL$3+AM441*AM$3)*100/(AI$5*AI$3+AJ$5*AJ$3+AK$5*AK$3+AL$5*AL$3+AM$5*AM$3)</f>
        <v/>
      </c>
      <c r="B441" s="16" t="n"/>
      <c r="C441" s="10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6" t="n"/>
      <c r="R441" s="10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5">
        <f>H$1*((-0.000002)*H441^3+0.00032*H441^2+(-0.0021)*H441)+I$1*((-0.000002)*I441^3+0.00032*I441^2+(-0.0021)*I441)+J$1*((-0.000002)*J441^3+0.00032*J441^2+(-0.0021)*J441)+K$1*((-0.000002)*K441^3+0.00032*K441^2+(-0.0021)*K441)+L$1*((-0.000002)*L441^3+0.00032*L441^2+(-0.0021)*L441)</f>
        <v/>
      </c>
      <c r="AJ441" s="5">
        <f>M$1*((-0.000002)*M441^3+0.00032*M441^2+(-0.0021)*M441)+N$1*((-0.000002)*N441^3+0.00032*N441^2+(-0.0021)*N441)+O$1*((-0.000002)*O441^3+0.00032*O441^2+(-0.0021)*O441)</f>
        <v/>
      </c>
      <c r="AK441" s="5">
        <f>IF(AA441&lt;50,W$1*((-0.000002)*W441^3+0.00032*W441^2+(-0.0021)*W441)+X$1*((-0.000002)*X441^3+0.00032*X441^2+(-0.0021)*X441)+Y$1*((-0.000002)*Y441^3+0.00032*Y441^2+(-0.0021)*Y441)+Z$1*((-0.000002)*Z441^3+0.00032*Z441^2+(-0.0021)*Z441),X$2*((-0.000002)*X441^3+0.00032*X441^2+(-0.0021)*X441)+Y$2*((-0.000002)*Y441^3+0.00032*Y441^2+(-0.0021)*Y441)+Z$2*((-0.000002)*Z441^3+0.00032*Z441^2+(-0.0021)*Z441)+AA$2*((-0.000002)*AA441^3+0.00032*AA441^2+(-0.0021)*AA441))</f>
        <v/>
      </c>
      <c r="AL441" s="5">
        <f>AB$1*((-0.000002)*AB441^3+0.00032*AB441^2+(-0.0021)*AB441)+AC$1*((-0.000002)*AC441^3+0.00032*AC441^2+(-0.0021)*AC441)</f>
        <v/>
      </c>
      <c r="AM441" s="5">
        <f>AD$1*((-0.000002)*AD441^3+0.00032*AD441^2+(-0.0021)*AD441)+AE$1*((-0.000002)*AE441^3+0.00032*AE441^2+(-0.0021)*AE441)+AF$1*((-0.000002)*AF441^3+0.00032*AF441^2+(-0.0021)*AF441)+AG$1*((-0.000002)*AG441^3+0.00032*AG441^2+(-0.0021)*AG441)</f>
        <v/>
      </c>
    </row>
    <row r="442" ht="15" customHeight="1" s="27" thickBot="1">
      <c r="A442">
        <f>(AI442*AI$3+AJ442*AJ$3+AK442*AK$3+AL442*AL$3+AM442*AM$3)*100/(AI$5*AI$3+AJ$5*AJ$3+AK$5*AK$3+AL$5*AL$3+AM$5*AM$3)</f>
        <v/>
      </c>
      <c r="B442" s="18" t="n"/>
      <c r="C442" s="11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8" t="n"/>
      <c r="R442" s="11" t="n"/>
      <c r="S442" s="19" t="n"/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  <c r="AI442" s="5">
        <f>H$1*((-0.000002)*H442^3+0.00032*H442^2+(-0.0021)*H442)+I$1*((-0.000002)*I442^3+0.00032*I442^2+(-0.0021)*I442)+J$1*((-0.000002)*J442^3+0.00032*J442^2+(-0.0021)*J442)+K$1*((-0.000002)*K442^3+0.00032*K442^2+(-0.0021)*K442)+L$1*((-0.000002)*L442^3+0.00032*L442^2+(-0.0021)*L442)</f>
        <v/>
      </c>
      <c r="AJ442" s="5">
        <f>M$1*((-0.000002)*M442^3+0.00032*M442^2+(-0.0021)*M442)+N$1*((-0.000002)*N442^3+0.00032*N442^2+(-0.0021)*N442)+O$1*((-0.000002)*O442^3+0.00032*O442^2+(-0.0021)*O442)</f>
        <v/>
      </c>
      <c r="AK442" s="5">
        <f>IF(AA442&lt;50,W$1*((-0.000002)*W442^3+0.00032*W442^2+(-0.0021)*W442)+X$1*((-0.000002)*X442^3+0.00032*X442^2+(-0.0021)*X442)+Y$1*((-0.000002)*Y442^3+0.00032*Y442^2+(-0.0021)*Y442)+Z$1*((-0.000002)*Z442^3+0.00032*Z442^2+(-0.0021)*Z442),X$2*((-0.000002)*X442^3+0.00032*X442^2+(-0.0021)*X442)+Y$2*((-0.000002)*Y442^3+0.00032*Y442^2+(-0.0021)*Y442)+Z$2*((-0.000002)*Z442^3+0.00032*Z442^2+(-0.0021)*Z442)+AA$2*((-0.000002)*AA442^3+0.00032*AA442^2+(-0.0021)*AA442))</f>
        <v/>
      </c>
      <c r="AL442" s="5">
        <f>AB$1*((-0.000002)*AB442^3+0.00032*AB442^2+(-0.0021)*AB442)+AC$1*((-0.000002)*AC442^3+0.00032*AC442^2+(-0.0021)*AC442)</f>
        <v/>
      </c>
      <c r="AM442" s="5">
        <f>AD$1*((-0.000002)*AD442^3+0.00032*AD442^2+(-0.0021)*AD442)+AE$1*((-0.000002)*AE442^3+0.00032*AE442^2+(-0.0021)*AE442)+AF$1*((-0.000002)*AF442^3+0.00032*AF442^2+(-0.0021)*AF442)+AG$1*((-0.000002)*AG442^3+0.00032*AG442^2+(-0.0021)*AG442)</f>
        <v/>
      </c>
    </row>
    <row r="443" ht="15" customHeight="1" s="27" thickBot="1">
      <c r="A443">
        <f>(AI443*AI$3+AJ443*AJ$3+AK443*AK$3+AL443*AL$3+AM443*AM$3)*100/(AI$5*AI$3+AJ$5*AJ$3+AK$5*AK$3+AL$5*AL$3+AM$5*AM$3)</f>
        <v/>
      </c>
      <c r="B443" s="16" t="n"/>
      <c r="C443" s="10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6" t="n"/>
      <c r="R443" s="10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5">
        <f>H$1*((-0.000002)*H443^3+0.00032*H443^2+(-0.0021)*H443)+I$1*((-0.000002)*I443^3+0.00032*I443^2+(-0.0021)*I443)+J$1*((-0.000002)*J443^3+0.00032*J443^2+(-0.0021)*J443)+K$1*((-0.000002)*K443^3+0.00032*K443^2+(-0.0021)*K443)+L$1*((-0.000002)*L443^3+0.00032*L443^2+(-0.0021)*L443)</f>
        <v/>
      </c>
      <c r="AJ443" s="5">
        <f>M$1*((-0.000002)*M443^3+0.00032*M443^2+(-0.0021)*M443)+N$1*((-0.000002)*N443^3+0.00032*N443^2+(-0.0021)*N443)+O$1*((-0.000002)*O443^3+0.00032*O443^2+(-0.0021)*O443)</f>
        <v/>
      </c>
      <c r="AK443" s="5">
        <f>IF(AA443&lt;50,W$1*((-0.000002)*W443^3+0.00032*W443^2+(-0.0021)*W443)+X$1*((-0.000002)*X443^3+0.00032*X443^2+(-0.0021)*X443)+Y$1*((-0.000002)*Y443^3+0.00032*Y443^2+(-0.0021)*Y443)+Z$1*((-0.000002)*Z443^3+0.00032*Z443^2+(-0.0021)*Z443),X$2*((-0.000002)*X443^3+0.00032*X443^2+(-0.0021)*X443)+Y$2*((-0.000002)*Y443^3+0.00032*Y443^2+(-0.0021)*Y443)+Z$2*((-0.000002)*Z443^3+0.00032*Z443^2+(-0.0021)*Z443)+AA$2*((-0.000002)*AA443^3+0.00032*AA443^2+(-0.0021)*AA443))</f>
        <v/>
      </c>
      <c r="AL443" s="5">
        <f>AB$1*((-0.000002)*AB443^3+0.00032*AB443^2+(-0.0021)*AB443)+AC$1*((-0.000002)*AC443^3+0.00032*AC443^2+(-0.0021)*AC443)</f>
        <v/>
      </c>
      <c r="AM443" s="5">
        <f>AD$1*((-0.000002)*AD443^3+0.00032*AD443^2+(-0.0021)*AD443)+AE$1*((-0.000002)*AE443^3+0.00032*AE443^2+(-0.0021)*AE443)+AF$1*((-0.000002)*AF443^3+0.00032*AF443^2+(-0.0021)*AF443)+AG$1*((-0.000002)*AG443^3+0.00032*AG443^2+(-0.0021)*AG443)</f>
        <v/>
      </c>
    </row>
    <row r="444" ht="15" customHeight="1" s="27" thickBot="1">
      <c r="A444">
        <f>(AI444*AI$3+AJ444*AJ$3+AK444*AK$3+AL444*AL$3+AM444*AM$3)*100/(AI$5*AI$3+AJ$5*AJ$3+AK$5*AK$3+AL$5*AL$3+AM$5*AM$3)</f>
        <v/>
      </c>
      <c r="B444" s="18" t="n"/>
      <c r="C444" s="11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8" t="n"/>
      <c r="R444" s="11" t="n"/>
      <c r="S444" s="19" t="n"/>
      <c r="T444" s="19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  <c r="AG444" s="19" t="n"/>
      <c r="AH444" s="19" t="n"/>
      <c r="AI444" s="5">
        <f>H$1*((-0.000002)*H444^3+0.00032*H444^2+(-0.0021)*H444)+I$1*((-0.000002)*I444^3+0.00032*I444^2+(-0.0021)*I444)+J$1*((-0.000002)*J444^3+0.00032*J444^2+(-0.0021)*J444)+K$1*((-0.000002)*K444^3+0.00032*K444^2+(-0.0021)*K444)+L$1*((-0.000002)*L444^3+0.00032*L444^2+(-0.0021)*L444)</f>
        <v/>
      </c>
      <c r="AJ444" s="5">
        <f>M$1*((-0.000002)*M444^3+0.00032*M444^2+(-0.0021)*M444)+N$1*((-0.000002)*N444^3+0.00032*N444^2+(-0.0021)*N444)+O$1*((-0.000002)*O444^3+0.00032*O444^2+(-0.0021)*O444)</f>
        <v/>
      </c>
      <c r="AK444" s="5">
        <f>IF(AA444&lt;50,W$1*((-0.000002)*W444^3+0.00032*W444^2+(-0.0021)*W444)+X$1*((-0.000002)*X444^3+0.00032*X444^2+(-0.0021)*X444)+Y$1*((-0.000002)*Y444^3+0.00032*Y444^2+(-0.0021)*Y444)+Z$1*((-0.000002)*Z444^3+0.00032*Z444^2+(-0.0021)*Z444),X$2*((-0.000002)*X444^3+0.00032*X444^2+(-0.0021)*X444)+Y$2*((-0.000002)*Y444^3+0.00032*Y444^2+(-0.0021)*Y444)+Z$2*((-0.000002)*Z444^3+0.00032*Z444^2+(-0.0021)*Z444)+AA$2*((-0.000002)*AA444^3+0.00032*AA444^2+(-0.0021)*AA444))</f>
        <v/>
      </c>
      <c r="AL444" s="5">
        <f>AB$1*((-0.000002)*AB444^3+0.00032*AB444^2+(-0.0021)*AB444)+AC$1*((-0.000002)*AC444^3+0.00032*AC444^2+(-0.0021)*AC444)</f>
        <v/>
      </c>
      <c r="AM444" s="5">
        <f>AD$1*((-0.000002)*AD444^3+0.00032*AD444^2+(-0.0021)*AD444)+AE$1*((-0.000002)*AE444^3+0.00032*AE444^2+(-0.0021)*AE444)+AF$1*((-0.000002)*AF444^3+0.00032*AF444^2+(-0.0021)*AF444)+AG$1*((-0.000002)*AG444^3+0.00032*AG444^2+(-0.0021)*AG444)</f>
        <v/>
      </c>
    </row>
    <row r="445" ht="15" customHeight="1" s="27" thickBot="1">
      <c r="A445">
        <f>(AI445*AI$3+AJ445*AJ$3+AK445*AK$3+AL445*AL$3+AM445*AM$3)*100/(AI$5*AI$3+AJ$5*AJ$3+AK$5*AK$3+AL$5*AL$3+AM$5*AM$3)</f>
        <v/>
      </c>
      <c r="B445" s="16" t="n"/>
      <c r="C445" s="10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6" t="n"/>
      <c r="R445" s="10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5">
        <f>H$1*((-0.000002)*H445^3+0.00032*H445^2+(-0.0021)*H445)+I$1*((-0.000002)*I445^3+0.00032*I445^2+(-0.0021)*I445)+J$1*((-0.000002)*J445^3+0.00032*J445^2+(-0.0021)*J445)+K$1*((-0.000002)*K445^3+0.00032*K445^2+(-0.0021)*K445)+L$1*((-0.000002)*L445^3+0.00032*L445^2+(-0.0021)*L445)</f>
        <v/>
      </c>
      <c r="AJ445" s="5">
        <f>M$1*((-0.000002)*M445^3+0.00032*M445^2+(-0.0021)*M445)+N$1*((-0.000002)*N445^3+0.00032*N445^2+(-0.0021)*N445)+O$1*((-0.000002)*O445^3+0.00032*O445^2+(-0.0021)*O445)</f>
        <v/>
      </c>
      <c r="AK445" s="5">
        <f>IF(AA445&lt;50,W$1*((-0.000002)*W445^3+0.00032*W445^2+(-0.0021)*W445)+X$1*((-0.000002)*X445^3+0.00032*X445^2+(-0.0021)*X445)+Y$1*((-0.000002)*Y445^3+0.00032*Y445^2+(-0.0021)*Y445)+Z$1*((-0.000002)*Z445^3+0.00032*Z445^2+(-0.0021)*Z445),X$2*((-0.000002)*X445^3+0.00032*X445^2+(-0.0021)*X445)+Y$2*((-0.000002)*Y445^3+0.00032*Y445^2+(-0.0021)*Y445)+Z$2*((-0.000002)*Z445^3+0.00032*Z445^2+(-0.0021)*Z445)+AA$2*((-0.000002)*AA445^3+0.00032*AA445^2+(-0.0021)*AA445))</f>
        <v/>
      </c>
      <c r="AL445" s="5">
        <f>AB$1*((-0.000002)*AB445^3+0.00032*AB445^2+(-0.0021)*AB445)+AC$1*((-0.000002)*AC445^3+0.00032*AC445^2+(-0.0021)*AC445)</f>
        <v/>
      </c>
      <c r="AM445" s="5">
        <f>AD$1*((-0.000002)*AD445^3+0.00032*AD445^2+(-0.0021)*AD445)+AE$1*((-0.000002)*AE445^3+0.00032*AE445^2+(-0.0021)*AE445)+AF$1*((-0.000002)*AF445^3+0.00032*AF445^2+(-0.0021)*AF445)+AG$1*((-0.000002)*AG445^3+0.00032*AG445^2+(-0.0021)*AG445)</f>
        <v/>
      </c>
    </row>
    <row r="446" ht="15" customHeight="1" s="27" thickBot="1">
      <c r="A446">
        <f>(AI446*AI$3+AJ446*AJ$3+AK446*AK$3+AL446*AL$3+AM446*AM$3)*100/(AI$5*AI$3+AJ$5*AJ$3+AK$5*AK$3+AL$5*AL$3+AM$5*AM$3)</f>
        <v/>
      </c>
      <c r="B446" s="18" t="n"/>
      <c r="C446" s="11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8" t="n"/>
      <c r="R446" s="11" t="n"/>
      <c r="S446" s="19" t="n"/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  <c r="AI446" s="5">
        <f>H$1*((-0.000002)*H446^3+0.00032*H446^2+(-0.0021)*H446)+I$1*((-0.000002)*I446^3+0.00032*I446^2+(-0.0021)*I446)+J$1*((-0.000002)*J446^3+0.00032*J446^2+(-0.0021)*J446)+K$1*((-0.000002)*K446^3+0.00032*K446^2+(-0.0021)*K446)+L$1*((-0.000002)*L446^3+0.00032*L446^2+(-0.0021)*L446)</f>
        <v/>
      </c>
      <c r="AJ446" s="5">
        <f>M$1*((-0.000002)*M446^3+0.00032*M446^2+(-0.0021)*M446)+N$1*((-0.000002)*N446^3+0.00032*N446^2+(-0.0021)*N446)+O$1*((-0.000002)*O446^3+0.00032*O446^2+(-0.0021)*O446)</f>
        <v/>
      </c>
      <c r="AK446" s="5">
        <f>IF(AA446&lt;50,W$1*((-0.000002)*W446^3+0.00032*W446^2+(-0.0021)*W446)+X$1*((-0.000002)*X446^3+0.00032*X446^2+(-0.0021)*X446)+Y$1*((-0.000002)*Y446^3+0.00032*Y446^2+(-0.0021)*Y446)+Z$1*((-0.000002)*Z446^3+0.00032*Z446^2+(-0.0021)*Z446),X$2*((-0.000002)*X446^3+0.00032*X446^2+(-0.0021)*X446)+Y$2*((-0.000002)*Y446^3+0.00032*Y446^2+(-0.0021)*Y446)+Z$2*((-0.000002)*Z446^3+0.00032*Z446^2+(-0.0021)*Z446)+AA$2*((-0.000002)*AA446^3+0.00032*AA446^2+(-0.0021)*AA446))</f>
        <v/>
      </c>
      <c r="AL446" s="5">
        <f>AB$1*((-0.000002)*AB446^3+0.00032*AB446^2+(-0.0021)*AB446)+AC$1*((-0.000002)*AC446^3+0.00032*AC446^2+(-0.0021)*AC446)</f>
        <v/>
      </c>
      <c r="AM446" s="5">
        <f>AD$1*((-0.000002)*AD446^3+0.00032*AD446^2+(-0.0021)*AD446)+AE$1*((-0.000002)*AE446^3+0.00032*AE446^2+(-0.0021)*AE446)+AF$1*((-0.000002)*AF446^3+0.00032*AF446^2+(-0.0021)*AF446)+AG$1*((-0.000002)*AG446^3+0.00032*AG446^2+(-0.0021)*AG446)</f>
        <v/>
      </c>
    </row>
    <row r="447" ht="15" customHeight="1" s="27" thickBot="1">
      <c r="A447">
        <f>(AI447*AI$3+AJ447*AJ$3+AK447*AK$3+AL447*AL$3+AM447*AM$3)*100/(AI$5*AI$3+AJ$5*AJ$3+AK$5*AK$3+AL$5*AL$3+AM$5*AM$3)</f>
        <v/>
      </c>
      <c r="B447" s="16" t="n"/>
      <c r="C447" s="10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6" t="n"/>
      <c r="R447" s="10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5">
        <f>H$1*((-0.000002)*H447^3+0.00032*H447^2+(-0.0021)*H447)+I$1*((-0.000002)*I447^3+0.00032*I447^2+(-0.0021)*I447)+J$1*((-0.000002)*J447^3+0.00032*J447^2+(-0.0021)*J447)+K$1*((-0.000002)*K447^3+0.00032*K447^2+(-0.0021)*K447)+L$1*((-0.000002)*L447^3+0.00032*L447^2+(-0.0021)*L447)</f>
        <v/>
      </c>
      <c r="AJ447" s="5">
        <f>M$1*((-0.000002)*M447^3+0.00032*M447^2+(-0.0021)*M447)+N$1*((-0.000002)*N447^3+0.00032*N447^2+(-0.0021)*N447)+O$1*((-0.000002)*O447^3+0.00032*O447^2+(-0.0021)*O447)</f>
        <v/>
      </c>
      <c r="AK447" s="5">
        <f>IF(AA447&lt;50,W$1*((-0.000002)*W447^3+0.00032*W447^2+(-0.0021)*W447)+X$1*((-0.000002)*X447^3+0.00032*X447^2+(-0.0021)*X447)+Y$1*((-0.000002)*Y447^3+0.00032*Y447^2+(-0.0021)*Y447)+Z$1*((-0.000002)*Z447^3+0.00032*Z447^2+(-0.0021)*Z447),X$2*((-0.000002)*X447^3+0.00032*X447^2+(-0.0021)*X447)+Y$2*((-0.000002)*Y447^3+0.00032*Y447^2+(-0.0021)*Y447)+Z$2*((-0.000002)*Z447^3+0.00032*Z447^2+(-0.0021)*Z447)+AA$2*((-0.000002)*AA447^3+0.00032*AA447^2+(-0.0021)*AA447))</f>
        <v/>
      </c>
      <c r="AL447" s="5">
        <f>AB$1*((-0.000002)*AB447^3+0.00032*AB447^2+(-0.0021)*AB447)+AC$1*((-0.000002)*AC447^3+0.00032*AC447^2+(-0.0021)*AC447)</f>
        <v/>
      </c>
      <c r="AM447" s="5">
        <f>AD$1*((-0.000002)*AD447^3+0.00032*AD447^2+(-0.0021)*AD447)+AE$1*((-0.000002)*AE447^3+0.00032*AE447^2+(-0.0021)*AE447)+AF$1*((-0.000002)*AF447^3+0.00032*AF447^2+(-0.0021)*AF447)+AG$1*((-0.000002)*AG447^3+0.00032*AG447^2+(-0.0021)*AG447)</f>
        <v/>
      </c>
    </row>
    <row r="448" ht="15" customHeight="1" s="27" thickBot="1">
      <c r="A448">
        <f>(AI448*AI$3+AJ448*AJ$3+AK448*AK$3+AL448*AL$3+AM448*AM$3)*100/(AI$5*AI$3+AJ$5*AJ$3+AK$5*AK$3+AL$5*AL$3+AM$5*AM$3)</f>
        <v/>
      </c>
      <c r="B448" s="18" t="n"/>
      <c r="C448" s="11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8" t="n"/>
      <c r="R448" s="11" t="n"/>
      <c r="S448" s="19" t="n"/>
      <c r="T448" s="19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  <c r="AG448" s="19" t="n"/>
      <c r="AH448" s="19" t="n"/>
      <c r="AI448" s="5">
        <f>H$1*((-0.000002)*H448^3+0.00032*H448^2+(-0.0021)*H448)+I$1*((-0.000002)*I448^3+0.00032*I448^2+(-0.0021)*I448)+J$1*((-0.000002)*J448^3+0.00032*J448^2+(-0.0021)*J448)+K$1*((-0.000002)*K448^3+0.00032*K448^2+(-0.0021)*K448)+L$1*((-0.000002)*L448^3+0.00032*L448^2+(-0.0021)*L448)</f>
        <v/>
      </c>
      <c r="AJ448" s="5">
        <f>M$1*((-0.000002)*M448^3+0.00032*M448^2+(-0.0021)*M448)+N$1*((-0.000002)*N448^3+0.00032*N448^2+(-0.0021)*N448)+O$1*((-0.000002)*O448^3+0.00032*O448^2+(-0.0021)*O448)</f>
        <v/>
      </c>
      <c r="AK448" s="5">
        <f>IF(AA448&lt;50,W$1*((-0.000002)*W448^3+0.00032*W448^2+(-0.0021)*W448)+X$1*((-0.000002)*X448^3+0.00032*X448^2+(-0.0021)*X448)+Y$1*((-0.000002)*Y448^3+0.00032*Y448^2+(-0.0021)*Y448)+Z$1*((-0.000002)*Z448^3+0.00032*Z448^2+(-0.0021)*Z448),X$2*((-0.000002)*X448^3+0.00032*X448^2+(-0.0021)*X448)+Y$2*((-0.000002)*Y448^3+0.00032*Y448^2+(-0.0021)*Y448)+Z$2*((-0.000002)*Z448^3+0.00032*Z448^2+(-0.0021)*Z448)+AA$2*((-0.000002)*AA448^3+0.00032*AA448^2+(-0.0021)*AA448))</f>
        <v/>
      </c>
      <c r="AL448" s="5">
        <f>AB$1*((-0.000002)*AB448^3+0.00032*AB448^2+(-0.0021)*AB448)+AC$1*((-0.000002)*AC448^3+0.00032*AC448^2+(-0.0021)*AC448)</f>
        <v/>
      </c>
      <c r="AM448" s="5">
        <f>AD$1*((-0.000002)*AD448^3+0.00032*AD448^2+(-0.0021)*AD448)+AE$1*((-0.000002)*AE448^3+0.00032*AE448^2+(-0.0021)*AE448)+AF$1*((-0.000002)*AF448^3+0.00032*AF448^2+(-0.0021)*AF448)+AG$1*((-0.000002)*AG448^3+0.00032*AG448^2+(-0.0021)*AG448)</f>
        <v/>
      </c>
    </row>
    <row r="449" ht="15" customHeight="1" s="27" thickBot="1">
      <c r="A449">
        <f>(AI449*AI$3+AJ449*AJ$3+AK449*AK$3+AL449*AL$3+AM449*AM$3)*100/(AI$5*AI$3+AJ$5*AJ$3+AK$5*AK$3+AL$5*AL$3+AM$5*AM$3)</f>
        <v/>
      </c>
      <c r="B449" s="16" t="n"/>
      <c r="C449" s="10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6" t="n"/>
      <c r="R449" s="10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5">
        <f>H$1*((-0.000002)*H449^3+0.00032*H449^2+(-0.0021)*H449)+I$1*((-0.000002)*I449^3+0.00032*I449^2+(-0.0021)*I449)+J$1*((-0.000002)*J449^3+0.00032*J449^2+(-0.0021)*J449)+K$1*((-0.000002)*K449^3+0.00032*K449^2+(-0.0021)*K449)+L$1*((-0.000002)*L449^3+0.00032*L449^2+(-0.0021)*L449)</f>
        <v/>
      </c>
      <c r="AJ449" s="5">
        <f>M$1*((-0.000002)*M449^3+0.00032*M449^2+(-0.0021)*M449)+N$1*((-0.000002)*N449^3+0.00032*N449^2+(-0.0021)*N449)+O$1*((-0.000002)*O449^3+0.00032*O449^2+(-0.0021)*O449)</f>
        <v/>
      </c>
      <c r="AK449" s="5">
        <f>IF(AA449&lt;50,W$1*((-0.000002)*W449^3+0.00032*W449^2+(-0.0021)*W449)+X$1*((-0.000002)*X449^3+0.00032*X449^2+(-0.0021)*X449)+Y$1*((-0.000002)*Y449^3+0.00032*Y449^2+(-0.0021)*Y449)+Z$1*((-0.000002)*Z449^3+0.00032*Z449^2+(-0.0021)*Z449),X$2*((-0.000002)*X449^3+0.00032*X449^2+(-0.0021)*X449)+Y$2*((-0.000002)*Y449^3+0.00032*Y449^2+(-0.0021)*Y449)+Z$2*((-0.000002)*Z449^3+0.00032*Z449^2+(-0.0021)*Z449)+AA$2*((-0.000002)*AA449^3+0.00032*AA449^2+(-0.0021)*AA449))</f>
        <v/>
      </c>
      <c r="AL449" s="5">
        <f>AB$1*((-0.000002)*AB449^3+0.00032*AB449^2+(-0.0021)*AB449)+AC$1*((-0.000002)*AC449^3+0.00032*AC449^2+(-0.0021)*AC449)</f>
        <v/>
      </c>
      <c r="AM449" s="5">
        <f>AD$1*((-0.000002)*AD449^3+0.00032*AD449^2+(-0.0021)*AD449)+AE$1*((-0.000002)*AE449^3+0.00032*AE449^2+(-0.0021)*AE449)+AF$1*((-0.000002)*AF449^3+0.00032*AF449^2+(-0.0021)*AF449)+AG$1*((-0.000002)*AG449^3+0.00032*AG449^2+(-0.0021)*AG449)</f>
        <v/>
      </c>
    </row>
    <row r="450" ht="15" customHeight="1" s="27" thickBot="1">
      <c r="A450">
        <f>(AI450*AI$3+AJ450*AJ$3+AK450*AK$3+AL450*AL$3+AM450*AM$3)*100/(AI$5*AI$3+AJ$5*AJ$3+AK$5*AK$3+AL$5*AL$3+AM$5*AM$3)</f>
        <v/>
      </c>
      <c r="B450" s="18" t="n"/>
      <c r="C450" s="11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8" t="n"/>
      <c r="R450" s="11" t="n"/>
      <c r="S450" s="19" t="n"/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  <c r="AH450" s="19" t="n"/>
      <c r="AI450" s="5">
        <f>H$1*((-0.000002)*H450^3+0.00032*H450^2+(-0.0021)*H450)+I$1*((-0.000002)*I450^3+0.00032*I450^2+(-0.0021)*I450)+J$1*((-0.000002)*J450^3+0.00032*J450^2+(-0.0021)*J450)+K$1*((-0.000002)*K450^3+0.00032*K450^2+(-0.0021)*K450)+L$1*((-0.000002)*L450^3+0.00032*L450^2+(-0.0021)*L450)</f>
        <v/>
      </c>
      <c r="AJ450" s="5">
        <f>M$1*((-0.000002)*M450^3+0.00032*M450^2+(-0.0021)*M450)+N$1*((-0.000002)*N450^3+0.00032*N450^2+(-0.0021)*N450)+O$1*((-0.000002)*O450^3+0.00032*O450^2+(-0.0021)*O450)</f>
        <v/>
      </c>
      <c r="AK450" s="5">
        <f>IF(AA450&lt;50,W$1*((-0.000002)*W450^3+0.00032*W450^2+(-0.0021)*W450)+X$1*((-0.000002)*X450^3+0.00032*X450^2+(-0.0021)*X450)+Y$1*((-0.000002)*Y450^3+0.00032*Y450^2+(-0.0021)*Y450)+Z$1*((-0.000002)*Z450^3+0.00032*Z450^2+(-0.0021)*Z450),X$2*((-0.000002)*X450^3+0.00032*X450^2+(-0.0021)*X450)+Y$2*((-0.000002)*Y450^3+0.00032*Y450^2+(-0.0021)*Y450)+Z$2*((-0.000002)*Z450^3+0.00032*Z450^2+(-0.0021)*Z450)+AA$2*((-0.000002)*AA450^3+0.00032*AA450^2+(-0.0021)*AA450))</f>
        <v/>
      </c>
      <c r="AL450" s="5">
        <f>AB$1*((-0.000002)*AB450^3+0.00032*AB450^2+(-0.0021)*AB450)+AC$1*((-0.000002)*AC450^3+0.00032*AC450^2+(-0.0021)*AC450)</f>
        <v/>
      </c>
      <c r="AM450" s="5">
        <f>AD$1*((-0.000002)*AD450^3+0.00032*AD450^2+(-0.0021)*AD450)+AE$1*((-0.000002)*AE450^3+0.00032*AE450^2+(-0.0021)*AE450)+AF$1*((-0.000002)*AF450^3+0.00032*AF450^2+(-0.0021)*AF450)+AG$1*((-0.000002)*AG450^3+0.00032*AG450^2+(-0.0021)*AG450)</f>
        <v/>
      </c>
    </row>
    <row r="451" ht="15" customHeight="1" s="27" thickBot="1">
      <c r="A451">
        <f>(AI451*AI$3+AJ451*AJ$3+AK451*AK$3+AL451*AL$3+AM451*AM$3)*100/(AI$5*AI$3+AJ$5*AJ$3+AK$5*AK$3+AL$5*AL$3+AM$5*AM$3)</f>
        <v/>
      </c>
      <c r="B451" s="16" t="n"/>
      <c r="C451" s="10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6" t="n"/>
      <c r="R451" s="10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5">
        <f>H$1*((-0.000002)*H451^3+0.00032*H451^2+(-0.0021)*H451)+I$1*((-0.000002)*I451^3+0.00032*I451^2+(-0.0021)*I451)+J$1*((-0.000002)*J451^3+0.00032*J451^2+(-0.0021)*J451)+K$1*((-0.000002)*K451^3+0.00032*K451^2+(-0.0021)*K451)+L$1*((-0.000002)*L451^3+0.00032*L451^2+(-0.0021)*L451)</f>
        <v/>
      </c>
      <c r="AJ451" s="5">
        <f>M$1*((-0.000002)*M451^3+0.00032*M451^2+(-0.0021)*M451)+N$1*((-0.000002)*N451^3+0.00032*N451^2+(-0.0021)*N451)+O$1*((-0.000002)*O451^3+0.00032*O451^2+(-0.0021)*O451)</f>
        <v/>
      </c>
      <c r="AK451" s="5">
        <f>IF(AA451&lt;50,W$1*((-0.000002)*W451^3+0.00032*W451^2+(-0.0021)*W451)+X$1*((-0.000002)*X451^3+0.00032*X451^2+(-0.0021)*X451)+Y$1*((-0.000002)*Y451^3+0.00032*Y451^2+(-0.0021)*Y451)+Z$1*((-0.000002)*Z451^3+0.00032*Z451^2+(-0.0021)*Z451),X$2*((-0.000002)*X451^3+0.00032*X451^2+(-0.0021)*X451)+Y$2*((-0.000002)*Y451^3+0.00032*Y451^2+(-0.0021)*Y451)+Z$2*((-0.000002)*Z451^3+0.00032*Z451^2+(-0.0021)*Z451)+AA$2*((-0.000002)*AA451^3+0.00032*AA451^2+(-0.0021)*AA451))</f>
        <v/>
      </c>
      <c r="AL451" s="5">
        <f>AB$1*((-0.000002)*AB451^3+0.00032*AB451^2+(-0.0021)*AB451)+AC$1*((-0.000002)*AC451^3+0.00032*AC451^2+(-0.0021)*AC451)</f>
        <v/>
      </c>
      <c r="AM451" s="5">
        <f>AD$1*((-0.000002)*AD451^3+0.00032*AD451^2+(-0.0021)*AD451)+AE$1*((-0.000002)*AE451^3+0.00032*AE451^2+(-0.0021)*AE451)+AF$1*((-0.000002)*AF451^3+0.00032*AF451^2+(-0.0021)*AF451)+AG$1*((-0.000002)*AG451^3+0.00032*AG451^2+(-0.0021)*AG451)</f>
        <v/>
      </c>
    </row>
    <row r="452" ht="15" customHeight="1" s="27" thickBot="1">
      <c r="A452">
        <f>(AI452*AI$3+AJ452*AJ$3+AK452*AK$3+AL452*AL$3+AM452*AM$3)*100/(AI$5*AI$3+AJ$5*AJ$3+AK$5*AK$3+AL$5*AL$3+AM$5*AM$3)</f>
        <v/>
      </c>
      <c r="B452" s="18" t="n"/>
      <c r="C452" s="11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8" t="n"/>
      <c r="R452" s="11" t="n"/>
      <c r="S452" s="19" t="n"/>
      <c r="T452" s="19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  <c r="AG452" s="19" t="n"/>
      <c r="AH452" s="19" t="n"/>
      <c r="AI452" s="5">
        <f>H$1*((-0.000002)*H452^3+0.00032*H452^2+(-0.0021)*H452)+I$1*((-0.000002)*I452^3+0.00032*I452^2+(-0.0021)*I452)+J$1*((-0.000002)*J452^3+0.00032*J452^2+(-0.0021)*J452)+K$1*((-0.000002)*K452^3+0.00032*K452^2+(-0.0021)*K452)+L$1*((-0.000002)*L452^3+0.00032*L452^2+(-0.0021)*L452)</f>
        <v/>
      </c>
      <c r="AJ452" s="5">
        <f>M$1*((-0.000002)*M452^3+0.00032*M452^2+(-0.0021)*M452)+N$1*((-0.000002)*N452^3+0.00032*N452^2+(-0.0021)*N452)+O$1*((-0.000002)*O452^3+0.00032*O452^2+(-0.0021)*O452)</f>
        <v/>
      </c>
      <c r="AK452" s="5">
        <f>IF(AA452&lt;50,W$1*((-0.000002)*W452^3+0.00032*W452^2+(-0.0021)*W452)+X$1*((-0.000002)*X452^3+0.00032*X452^2+(-0.0021)*X452)+Y$1*((-0.000002)*Y452^3+0.00032*Y452^2+(-0.0021)*Y452)+Z$1*((-0.000002)*Z452^3+0.00032*Z452^2+(-0.0021)*Z452),X$2*((-0.000002)*X452^3+0.00032*X452^2+(-0.0021)*X452)+Y$2*((-0.000002)*Y452^3+0.00032*Y452^2+(-0.0021)*Y452)+Z$2*((-0.000002)*Z452^3+0.00032*Z452^2+(-0.0021)*Z452)+AA$2*((-0.000002)*AA452^3+0.00032*AA452^2+(-0.0021)*AA452))</f>
        <v/>
      </c>
      <c r="AL452" s="5">
        <f>AB$1*((-0.000002)*AB452^3+0.00032*AB452^2+(-0.0021)*AB452)+AC$1*((-0.000002)*AC452^3+0.00032*AC452^2+(-0.0021)*AC452)</f>
        <v/>
      </c>
      <c r="AM452" s="5">
        <f>AD$1*((-0.000002)*AD452^3+0.00032*AD452^2+(-0.0021)*AD452)+AE$1*((-0.000002)*AE452^3+0.00032*AE452^2+(-0.0021)*AE452)+AF$1*((-0.000002)*AF452^3+0.00032*AF452^2+(-0.0021)*AF452)+AG$1*((-0.000002)*AG452^3+0.00032*AG452^2+(-0.0021)*AG452)</f>
        <v/>
      </c>
    </row>
    <row r="453" ht="15" customHeight="1" s="27" thickBot="1">
      <c r="A453">
        <f>(AI453*AI$3+AJ453*AJ$3+AK453*AK$3+AL453*AL$3+AM453*AM$3)*100/(AI$5*AI$3+AJ$5*AJ$3+AK$5*AK$3+AL$5*AL$3+AM$5*AM$3)</f>
        <v/>
      </c>
      <c r="B453" s="16" t="n"/>
      <c r="C453" s="10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6" t="n"/>
      <c r="R453" s="10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5">
        <f>H$1*((-0.000002)*H453^3+0.00032*H453^2+(-0.0021)*H453)+I$1*((-0.000002)*I453^3+0.00032*I453^2+(-0.0021)*I453)+J$1*((-0.000002)*J453^3+0.00032*J453^2+(-0.0021)*J453)+K$1*((-0.000002)*K453^3+0.00032*K453^2+(-0.0021)*K453)+L$1*((-0.000002)*L453^3+0.00032*L453^2+(-0.0021)*L453)</f>
        <v/>
      </c>
      <c r="AJ453" s="5">
        <f>M$1*((-0.000002)*M453^3+0.00032*M453^2+(-0.0021)*M453)+N$1*((-0.000002)*N453^3+0.00032*N453^2+(-0.0021)*N453)+O$1*((-0.000002)*O453^3+0.00032*O453^2+(-0.0021)*O453)</f>
        <v/>
      </c>
      <c r="AK453" s="5">
        <f>IF(AA453&lt;50,W$1*((-0.000002)*W453^3+0.00032*W453^2+(-0.0021)*W453)+X$1*((-0.000002)*X453^3+0.00032*X453^2+(-0.0021)*X453)+Y$1*((-0.000002)*Y453^3+0.00032*Y453^2+(-0.0021)*Y453)+Z$1*((-0.000002)*Z453^3+0.00032*Z453^2+(-0.0021)*Z453),X$2*((-0.000002)*X453^3+0.00032*X453^2+(-0.0021)*X453)+Y$2*((-0.000002)*Y453^3+0.00032*Y453^2+(-0.0021)*Y453)+Z$2*((-0.000002)*Z453^3+0.00032*Z453^2+(-0.0021)*Z453)+AA$2*((-0.000002)*AA453^3+0.00032*AA453^2+(-0.0021)*AA453))</f>
        <v/>
      </c>
      <c r="AL453" s="5">
        <f>AB$1*((-0.000002)*AB453^3+0.00032*AB453^2+(-0.0021)*AB453)+AC$1*((-0.000002)*AC453^3+0.00032*AC453^2+(-0.0021)*AC453)</f>
        <v/>
      </c>
      <c r="AM453" s="5">
        <f>AD$1*((-0.000002)*AD453^3+0.00032*AD453^2+(-0.0021)*AD453)+AE$1*((-0.000002)*AE453^3+0.00032*AE453^2+(-0.0021)*AE453)+AF$1*((-0.000002)*AF453^3+0.00032*AF453^2+(-0.0021)*AF453)+AG$1*((-0.000002)*AG453^3+0.00032*AG453^2+(-0.0021)*AG453)</f>
        <v/>
      </c>
    </row>
    <row r="454" ht="15" customHeight="1" s="27" thickBot="1">
      <c r="A454">
        <f>(AI454*AI$3+AJ454*AJ$3+AK454*AK$3+AL454*AL$3+AM454*AM$3)*100/(AI$5*AI$3+AJ$5*AJ$3+AK$5*AK$3+AL$5*AL$3+AM$5*AM$3)</f>
        <v/>
      </c>
      <c r="B454" s="18" t="n"/>
      <c r="C454" s="11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8" t="n"/>
      <c r="R454" s="11" t="n"/>
      <c r="S454" s="19" t="n"/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  <c r="AH454" s="19" t="n"/>
      <c r="AI454" s="5">
        <f>H$1*((-0.000002)*H454^3+0.00032*H454^2+(-0.0021)*H454)+I$1*((-0.000002)*I454^3+0.00032*I454^2+(-0.0021)*I454)+J$1*((-0.000002)*J454^3+0.00032*J454^2+(-0.0021)*J454)+K$1*((-0.000002)*K454^3+0.00032*K454^2+(-0.0021)*K454)+L$1*((-0.000002)*L454^3+0.00032*L454^2+(-0.0021)*L454)</f>
        <v/>
      </c>
      <c r="AJ454" s="5">
        <f>M$1*((-0.000002)*M454^3+0.00032*M454^2+(-0.0021)*M454)+N$1*((-0.000002)*N454^3+0.00032*N454^2+(-0.0021)*N454)+O$1*((-0.000002)*O454^3+0.00032*O454^2+(-0.0021)*O454)</f>
        <v/>
      </c>
      <c r="AK454" s="5">
        <f>IF(AA454&lt;50,W$1*((-0.000002)*W454^3+0.00032*W454^2+(-0.0021)*W454)+X$1*((-0.000002)*X454^3+0.00032*X454^2+(-0.0021)*X454)+Y$1*((-0.000002)*Y454^3+0.00032*Y454^2+(-0.0021)*Y454)+Z$1*((-0.000002)*Z454^3+0.00032*Z454^2+(-0.0021)*Z454),X$2*((-0.000002)*X454^3+0.00032*X454^2+(-0.0021)*X454)+Y$2*((-0.000002)*Y454^3+0.00032*Y454^2+(-0.0021)*Y454)+Z$2*((-0.000002)*Z454^3+0.00032*Z454^2+(-0.0021)*Z454)+AA$2*((-0.000002)*AA454^3+0.00032*AA454^2+(-0.0021)*AA454))</f>
        <v/>
      </c>
      <c r="AL454" s="5">
        <f>AB$1*((-0.000002)*AB454^3+0.00032*AB454^2+(-0.0021)*AB454)+AC$1*((-0.000002)*AC454^3+0.00032*AC454^2+(-0.0021)*AC454)</f>
        <v/>
      </c>
      <c r="AM454" s="5">
        <f>AD$1*((-0.000002)*AD454^3+0.00032*AD454^2+(-0.0021)*AD454)+AE$1*((-0.000002)*AE454^3+0.00032*AE454^2+(-0.0021)*AE454)+AF$1*((-0.000002)*AF454^3+0.00032*AF454^2+(-0.0021)*AF454)+AG$1*((-0.000002)*AG454^3+0.00032*AG454^2+(-0.0021)*AG454)</f>
        <v/>
      </c>
    </row>
    <row r="455" ht="15" customHeight="1" s="27" thickBot="1">
      <c r="A455">
        <f>(AI455*AI$3+AJ455*AJ$3+AK455*AK$3+AL455*AL$3+AM455*AM$3)*100/(AI$5*AI$3+AJ$5*AJ$3+AK$5*AK$3+AL$5*AL$3+AM$5*AM$3)</f>
        <v/>
      </c>
      <c r="B455" s="16" t="n"/>
      <c r="C455" s="10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6" t="n"/>
      <c r="R455" s="10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5">
        <f>H$1*((-0.000002)*H455^3+0.00032*H455^2+(-0.0021)*H455)+I$1*((-0.000002)*I455^3+0.00032*I455^2+(-0.0021)*I455)+J$1*((-0.000002)*J455^3+0.00032*J455^2+(-0.0021)*J455)+K$1*((-0.000002)*K455^3+0.00032*K455^2+(-0.0021)*K455)+L$1*((-0.000002)*L455^3+0.00032*L455^2+(-0.0021)*L455)</f>
        <v/>
      </c>
      <c r="AJ455" s="5">
        <f>M$1*((-0.000002)*M455^3+0.00032*M455^2+(-0.0021)*M455)+N$1*((-0.000002)*N455^3+0.00032*N455^2+(-0.0021)*N455)+O$1*((-0.000002)*O455^3+0.00032*O455^2+(-0.0021)*O455)</f>
        <v/>
      </c>
      <c r="AK455" s="5">
        <f>IF(AA455&lt;50,W$1*((-0.000002)*W455^3+0.00032*W455^2+(-0.0021)*W455)+X$1*((-0.000002)*X455^3+0.00032*X455^2+(-0.0021)*X455)+Y$1*((-0.000002)*Y455^3+0.00032*Y455^2+(-0.0021)*Y455)+Z$1*((-0.000002)*Z455^3+0.00032*Z455^2+(-0.0021)*Z455),X$2*((-0.000002)*X455^3+0.00032*X455^2+(-0.0021)*X455)+Y$2*((-0.000002)*Y455^3+0.00032*Y455^2+(-0.0021)*Y455)+Z$2*((-0.000002)*Z455^3+0.00032*Z455^2+(-0.0021)*Z455)+AA$2*((-0.000002)*AA455^3+0.00032*AA455^2+(-0.0021)*AA455))</f>
        <v/>
      </c>
      <c r="AL455" s="5">
        <f>AB$1*((-0.000002)*AB455^3+0.00032*AB455^2+(-0.0021)*AB455)+AC$1*((-0.000002)*AC455^3+0.00032*AC455^2+(-0.0021)*AC455)</f>
        <v/>
      </c>
      <c r="AM455" s="5">
        <f>AD$1*((-0.000002)*AD455^3+0.00032*AD455^2+(-0.0021)*AD455)+AE$1*((-0.000002)*AE455^3+0.00032*AE455^2+(-0.0021)*AE455)+AF$1*((-0.000002)*AF455^3+0.00032*AF455^2+(-0.0021)*AF455)+AG$1*((-0.000002)*AG455^3+0.00032*AG455^2+(-0.0021)*AG455)</f>
        <v/>
      </c>
    </row>
    <row r="456" ht="15" customHeight="1" s="27" thickBot="1">
      <c r="A456">
        <f>(AI456*AI$3+AJ456*AJ$3+AK456*AK$3+AL456*AL$3+AM456*AM$3)*100/(AI$5*AI$3+AJ$5*AJ$3+AK$5*AK$3+AL$5*AL$3+AM$5*AM$3)</f>
        <v/>
      </c>
      <c r="B456" s="18" t="n"/>
      <c r="C456" s="11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8" t="n"/>
      <c r="R456" s="11" t="n"/>
      <c r="S456" s="19" t="n"/>
      <c r="T456" s="19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  <c r="AG456" s="19" t="n"/>
      <c r="AH456" s="19" t="n"/>
      <c r="AI456" s="5">
        <f>H$1*((-0.000002)*H456^3+0.00032*H456^2+(-0.0021)*H456)+I$1*((-0.000002)*I456^3+0.00032*I456^2+(-0.0021)*I456)+J$1*((-0.000002)*J456^3+0.00032*J456^2+(-0.0021)*J456)+K$1*((-0.000002)*K456^3+0.00032*K456^2+(-0.0021)*K456)+L$1*((-0.000002)*L456^3+0.00032*L456^2+(-0.0021)*L456)</f>
        <v/>
      </c>
      <c r="AJ456" s="5">
        <f>M$1*((-0.000002)*M456^3+0.00032*M456^2+(-0.0021)*M456)+N$1*((-0.000002)*N456^3+0.00032*N456^2+(-0.0021)*N456)+O$1*((-0.000002)*O456^3+0.00032*O456^2+(-0.0021)*O456)</f>
        <v/>
      </c>
      <c r="AK456" s="5">
        <f>IF(AA456&lt;50,W$1*((-0.000002)*W456^3+0.00032*W456^2+(-0.0021)*W456)+X$1*((-0.000002)*X456^3+0.00032*X456^2+(-0.0021)*X456)+Y$1*((-0.000002)*Y456^3+0.00032*Y456^2+(-0.0021)*Y456)+Z$1*((-0.000002)*Z456^3+0.00032*Z456^2+(-0.0021)*Z456),X$2*((-0.000002)*X456^3+0.00032*X456^2+(-0.0021)*X456)+Y$2*((-0.000002)*Y456^3+0.00032*Y456^2+(-0.0021)*Y456)+Z$2*((-0.000002)*Z456^3+0.00032*Z456^2+(-0.0021)*Z456)+AA$2*((-0.000002)*AA456^3+0.00032*AA456^2+(-0.0021)*AA456))</f>
        <v/>
      </c>
      <c r="AL456" s="5">
        <f>AB$1*((-0.000002)*AB456^3+0.00032*AB456^2+(-0.0021)*AB456)+AC$1*((-0.000002)*AC456^3+0.00032*AC456^2+(-0.0021)*AC456)</f>
        <v/>
      </c>
      <c r="AM456" s="5">
        <f>AD$1*((-0.000002)*AD456^3+0.00032*AD456^2+(-0.0021)*AD456)+AE$1*((-0.000002)*AE456^3+0.00032*AE456^2+(-0.0021)*AE456)+AF$1*((-0.000002)*AF456^3+0.00032*AF456^2+(-0.0021)*AF456)+AG$1*((-0.000002)*AG456^3+0.00032*AG456^2+(-0.0021)*AG456)</f>
        <v/>
      </c>
    </row>
    <row r="457" ht="15" customHeight="1" s="27" thickBot="1">
      <c r="A457">
        <f>(AI457*AI$3+AJ457*AJ$3+AK457*AK$3+AL457*AL$3+AM457*AM$3)*100/(AI$5*AI$3+AJ$5*AJ$3+AK$5*AK$3+AL$5*AL$3+AM$5*AM$3)</f>
        <v/>
      </c>
      <c r="B457" s="16" t="n"/>
      <c r="C457" s="10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6" t="n"/>
      <c r="R457" s="10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5">
        <f>H$1*((-0.000002)*H457^3+0.00032*H457^2+(-0.0021)*H457)+I$1*((-0.000002)*I457^3+0.00032*I457^2+(-0.0021)*I457)+J$1*((-0.000002)*J457^3+0.00032*J457^2+(-0.0021)*J457)+K$1*((-0.000002)*K457^3+0.00032*K457^2+(-0.0021)*K457)+L$1*((-0.000002)*L457^3+0.00032*L457^2+(-0.0021)*L457)</f>
        <v/>
      </c>
      <c r="AJ457" s="5">
        <f>M$1*((-0.000002)*M457^3+0.00032*M457^2+(-0.0021)*M457)+N$1*((-0.000002)*N457^3+0.00032*N457^2+(-0.0021)*N457)+O$1*((-0.000002)*O457^3+0.00032*O457^2+(-0.0021)*O457)</f>
        <v/>
      </c>
      <c r="AK457" s="5">
        <f>IF(AA457&lt;50,W$1*((-0.000002)*W457^3+0.00032*W457^2+(-0.0021)*W457)+X$1*((-0.000002)*X457^3+0.00032*X457^2+(-0.0021)*X457)+Y$1*((-0.000002)*Y457^3+0.00032*Y457^2+(-0.0021)*Y457)+Z$1*((-0.000002)*Z457^3+0.00032*Z457^2+(-0.0021)*Z457),X$2*((-0.000002)*X457^3+0.00032*X457^2+(-0.0021)*X457)+Y$2*((-0.000002)*Y457^3+0.00032*Y457^2+(-0.0021)*Y457)+Z$2*((-0.000002)*Z457^3+0.00032*Z457^2+(-0.0021)*Z457)+AA$2*((-0.000002)*AA457^3+0.00032*AA457^2+(-0.0021)*AA457))</f>
        <v/>
      </c>
      <c r="AL457" s="5">
        <f>AB$1*((-0.000002)*AB457^3+0.00032*AB457^2+(-0.0021)*AB457)+AC$1*((-0.000002)*AC457^3+0.00032*AC457^2+(-0.0021)*AC457)</f>
        <v/>
      </c>
      <c r="AM457" s="5">
        <f>AD$1*((-0.000002)*AD457^3+0.00032*AD457^2+(-0.0021)*AD457)+AE$1*((-0.000002)*AE457^3+0.00032*AE457^2+(-0.0021)*AE457)+AF$1*((-0.000002)*AF457^3+0.00032*AF457^2+(-0.0021)*AF457)+AG$1*((-0.000002)*AG457^3+0.00032*AG457^2+(-0.0021)*AG457)</f>
        <v/>
      </c>
    </row>
    <row r="458" ht="15" customHeight="1" s="27" thickBot="1">
      <c r="A458">
        <f>(AI458*AI$3+AJ458*AJ$3+AK458*AK$3+AL458*AL$3+AM458*AM$3)*100/(AI$5*AI$3+AJ$5*AJ$3+AK$5*AK$3+AL$5*AL$3+AM$5*AM$3)</f>
        <v/>
      </c>
      <c r="B458" s="18" t="n"/>
      <c r="C458" s="11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8" t="n"/>
      <c r="R458" s="11" t="n"/>
      <c r="S458" s="19" t="n"/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  <c r="AH458" s="19" t="n"/>
      <c r="AI458" s="5">
        <f>H$1*((-0.000002)*H458^3+0.00032*H458^2+(-0.0021)*H458)+I$1*((-0.000002)*I458^3+0.00032*I458^2+(-0.0021)*I458)+J$1*((-0.000002)*J458^3+0.00032*J458^2+(-0.0021)*J458)+K$1*((-0.000002)*K458^3+0.00032*K458^2+(-0.0021)*K458)+L$1*((-0.000002)*L458^3+0.00032*L458^2+(-0.0021)*L458)</f>
        <v/>
      </c>
      <c r="AJ458" s="5">
        <f>M$1*((-0.000002)*M458^3+0.00032*M458^2+(-0.0021)*M458)+N$1*((-0.000002)*N458^3+0.00032*N458^2+(-0.0021)*N458)+O$1*((-0.000002)*O458^3+0.00032*O458^2+(-0.0021)*O458)</f>
        <v/>
      </c>
      <c r="AK458" s="5">
        <f>IF(AA458&lt;50,W$1*((-0.000002)*W458^3+0.00032*W458^2+(-0.0021)*W458)+X$1*((-0.000002)*X458^3+0.00032*X458^2+(-0.0021)*X458)+Y$1*((-0.000002)*Y458^3+0.00032*Y458^2+(-0.0021)*Y458)+Z$1*((-0.000002)*Z458^3+0.00032*Z458^2+(-0.0021)*Z458),X$2*((-0.000002)*X458^3+0.00032*X458^2+(-0.0021)*X458)+Y$2*((-0.000002)*Y458^3+0.00032*Y458^2+(-0.0021)*Y458)+Z$2*((-0.000002)*Z458^3+0.00032*Z458^2+(-0.0021)*Z458)+AA$2*((-0.000002)*AA458^3+0.00032*AA458^2+(-0.0021)*AA458))</f>
        <v/>
      </c>
      <c r="AL458" s="5">
        <f>AB$1*((-0.000002)*AB458^3+0.00032*AB458^2+(-0.0021)*AB458)+AC$1*((-0.000002)*AC458^3+0.00032*AC458^2+(-0.0021)*AC458)</f>
        <v/>
      </c>
      <c r="AM458" s="5">
        <f>AD$1*((-0.000002)*AD458^3+0.00032*AD458^2+(-0.0021)*AD458)+AE$1*((-0.000002)*AE458^3+0.00032*AE458^2+(-0.0021)*AE458)+AF$1*((-0.000002)*AF458^3+0.00032*AF458^2+(-0.0021)*AF458)+AG$1*((-0.000002)*AG458^3+0.00032*AG458^2+(-0.0021)*AG458)</f>
        <v/>
      </c>
    </row>
    <row r="459" ht="15" customHeight="1" s="27" thickBot="1">
      <c r="A459">
        <f>(AI459*AI$3+AJ459*AJ$3+AK459*AK$3+AL459*AL$3+AM459*AM$3)*100/(AI$5*AI$3+AJ$5*AJ$3+AK$5*AK$3+AL$5*AL$3+AM$5*AM$3)</f>
        <v/>
      </c>
      <c r="B459" s="16" t="n"/>
      <c r="C459" s="10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6" t="n"/>
      <c r="R459" s="10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5">
        <f>H$1*((-0.000002)*H459^3+0.00032*H459^2+(-0.0021)*H459)+I$1*((-0.000002)*I459^3+0.00032*I459^2+(-0.0021)*I459)+J$1*((-0.000002)*J459^3+0.00032*J459^2+(-0.0021)*J459)+K$1*((-0.000002)*K459^3+0.00032*K459^2+(-0.0021)*K459)+L$1*((-0.000002)*L459^3+0.00032*L459^2+(-0.0021)*L459)</f>
        <v/>
      </c>
      <c r="AJ459" s="5">
        <f>M$1*((-0.000002)*M459^3+0.00032*M459^2+(-0.0021)*M459)+N$1*((-0.000002)*N459^3+0.00032*N459^2+(-0.0021)*N459)+O$1*((-0.000002)*O459^3+0.00032*O459^2+(-0.0021)*O459)</f>
        <v/>
      </c>
      <c r="AK459" s="5">
        <f>IF(AA459&lt;50,W$1*((-0.000002)*W459^3+0.00032*W459^2+(-0.0021)*W459)+X$1*((-0.000002)*X459^3+0.00032*X459^2+(-0.0021)*X459)+Y$1*((-0.000002)*Y459^3+0.00032*Y459^2+(-0.0021)*Y459)+Z$1*((-0.000002)*Z459^3+0.00032*Z459^2+(-0.0021)*Z459),X$2*((-0.000002)*X459^3+0.00032*X459^2+(-0.0021)*X459)+Y$2*((-0.000002)*Y459^3+0.00032*Y459^2+(-0.0021)*Y459)+Z$2*((-0.000002)*Z459^3+0.00032*Z459^2+(-0.0021)*Z459)+AA$2*((-0.000002)*AA459^3+0.00032*AA459^2+(-0.0021)*AA459))</f>
        <v/>
      </c>
      <c r="AL459" s="5">
        <f>AB$1*((-0.000002)*AB459^3+0.00032*AB459^2+(-0.0021)*AB459)+AC$1*((-0.000002)*AC459^3+0.00032*AC459^2+(-0.0021)*AC459)</f>
        <v/>
      </c>
      <c r="AM459" s="5">
        <f>AD$1*((-0.000002)*AD459^3+0.00032*AD459^2+(-0.0021)*AD459)+AE$1*((-0.000002)*AE459^3+0.00032*AE459^2+(-0.0021)*AE459)+AF$1*((-0.000002)*AF459^3+0.00032*AF459^2+(-0.0021)*AF459)+AG$1*((-0.000002)*AG459^3+0.00032*AG459^2+(-0.0021)*AG459)</f>
        <v/>
      </c>
    </row>
    <row r="460" ht="15" customHeight="1" s="27" thickBot="1">
      <c r="A460">
        <f>(AI460*AI$3+AJ460*AJ$3+AK460*AK$3+AL460*AL$3+AM460*AM$3)*100/(AI$5*AI$3+AJ$5*AJ$3+AK$5*AK$3+AL$5*AL$3+AM$5*AM$3)</f>
        <v/>
      </c>
      <c r="B460" s="18" t="n"/>
      <c r="C460" s="11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8" t="n"/>
      <c r="R460" s="11" t="n"/>
      <c r="S460" s="19" t="n"/>
      <c r="T460" s="19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  <c r="AG460" s="19" t="n"/>
      <c r="AH460" s="19" t="n"/>
      <c r="AI460" s="5">
        <f>H$1*((-0.000002)*H460^3+0.00032*H460^2+(-0.0021)*H460)+I$1*((-0.000002)*I460^3+0.00032*I460^2+(-0.0021)*I460)+J$1*((-0.000002)*J460^3+0.00032*J460^2+(-0.0021)*J460)+K$1*((-0.000002)*K460^3+0.00032*K460^2+(-0.0021)*K460)+L$1*((-0.000002)*L460^3+0.00032*L460^2+(-0.0021)*L460)</f>
        <v/>
      </c>
      <c r="AJ460" s="5">
        <f>M$1*((-0.000002)*M460^3+0.00032*M460^2+(-0.0021)*M460)+N$1*((-0.000002)*N460^3+0.00032*N460^2+(-0.0021)*N460)+O$1*((-0.000002)*O460^3+0.00032*O460^2+(-0.0021)*O460)</f>
        <v/>
      </c>
      <c r="AK460" s="5">
        <f>IF(AA460&lt;50,W$1*((-0.000002)*W460^3+0.00032*W460^2+(-0.0021)*W460)+X$1*((-0.000002)*X460^3+0.00032*X460^2+(-0.0021)*X460)+Y$1*((-0.000002)*Y460^3+0.00032*Y460^2+(-0.0021)*Y460)+Z$1*((-0.000002)*Z460^3+0.00032*Z460^2+(-0.0021)*Z460),X$2*((-0.000002)*X460^3+0.00032*X460^2+(-0.0021)*X460)+Y$2*((-0.000002)*Y460^3+0.00032*Y460^2+(-0.0021)*Y460)+Z$2*((-0.000002)*Z460^3+0.00032*Z460^2+(-0.0021)*Z460)+AA$2*((-0.000002)*AA460^3+0.00032*AA460^2+(-0.0021)*AA460))</f>
        <v/>
      </c>
      <c r="AL460" s="5">
        <f>AB$1*((-0.000002)*AB460^3+0.00032*AB460^2+(-0.0021)*AB460)+AC$1*((-0.000002)*AC460^3+0.00032*AC460^2+(-0.0021)*AC460)</f>
        <v/>
      </c>
      <c r="AM460" s="5">
        <f>AD$1*((-0.000002)*AD460^3+0.00032*AD460^2+(-0.0021)*AD460)+AE$1*((-0.000002)*AE460^3+0.00032*AE460^2+(-0.0021)*AE460)+AF$1*((-0.000002)*AF460^3+0.00032*AF460^2+(-0.0021)*AF460)+AG$1*((-0.000002)*AG460^3+0.00032*AG460^2+(-0.0021)*AG460)</f>
        <v/>
      </c>
    </row>
    <row r="461" ht="15" customHeight="1" s="27" thickBot="1">
      <c r="A461">
        <f>(AI461*AI$3+AJ461*AJ$3+AK461*AK$3+AL461*AL$3+AM461*AM$3)*100/(AI$5*AI$3+AJ$5*AJ$3+AK$5*AK$3+AL$5*AL$3+AM$5*AM$3)</f>
        <v/>
      </c>
      <c r="B461" s="16" t="n"/>
      <c r="C461" s="10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6" t="n"/>
      <c r="R461" s="10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5">
        <f>H$1*((-0.000002)*H461^3+0.00032*H461^2+(-0.0021)*H461)+I$1*((-0.000002)*I461^3+0.00032*I461^2+(-0.0021)*I461)+J$1*((-0.000002)*J461^3+0.00032*J461^2+(-0.0021)*J461)+K$1*((-0.000002)*K461^3+0.00032*K461^2+(-0.0021)*K461)+L$1*((-0.000002)*L461^3+0.00032*L461^2+(-0.0021)*L461)</f>
        <v/>
      </c>
      <c r="AJ461" s="5">
        <f>M$1*((-0.000002)*M461^3+0.00032*M461^2+(-0.0021)*M461)+N$1*((-0.000002)*N461^3+0.00032*N461^2+(-0.0021)*N461)+O$1*((-0.000002)*O461^3+0.00032*O461^2+(-0.0021)*O461)</f>
        <v/>
      </c>
      <c r="AK461" s="5">
        <f>IF(AA461&lt;50,W$1*((-0.000002)*W461^3+0.00032*W461^2+(-0.0021)*W461)+X$1*((-0.000002)*X461^3+0.00032*X461^2+(-0.0021)*X461)+Y$1*((-0.000002)*Y461^3+0.00032*Y461^2+(-0.0021)*Y461)+Z$1*((-0.000002)*Z461^3+0.00032*Z461^2+(-0.0021)*Z461),X$2*((-0.000002)*X461^3+0.00032*X461^2+(-0.0021)*X461)+Y$2*((-0.000002)*Y461^3+0.00032*Y461^2+(-0.0021)*Y461)+Z$2*((-0.000002)*Z461^3+0.00032*Z461^2+(-0.0021)*Z461)+AA$2*((-0.000002)*AA461^3+0.00032*AA461^2+(-0.0021)*AA461))</f>
        <v/>
      </c>
      <c r="AL461" s="5">
        <f>AB$1*((-0.000002)*AB461^3+0.00032*AB461^2+(-0.0021)*AB461)+AC$1*((-0.000002)*AC461^3+0.00032*AC461^2+(-0.0021)*AC461)</f>
        <v/>
      </c>
      <c r="AM461" s="5">
        <f>AD$1*((-0.000002)*AD461^3+0.00032*AD461^2+(-0.0021)*AD461)+AE$1*((-0.000002)*AE461^3+0.00032*AE461^2+(-0.0021)*AE461)+AF$1*((-0.000002)*AF461^3+0.00032*AF461^2+(-0.0021)*AF461)+AG$1*((-0.000002)*AG461^3+0.00032*AG461^2+(-0.0021)*AG461)</f>
        <v/>
      </c>
    </row>
    <row r="462" ht="15" customHeight="1" s="27" thickBot="1">
      <c r="A462">
        <f>(AI462*AI$3+AJ462*AJ$3+AK462*AK$3+AL462*AL$3+AM462*AM$3)*100/(AI$5*AI$3+AJ$5*AJ$3+AK$5*AK$3+AL$5*AL$3+AM$5*AM$3)</f>
        <v/>
      </c>
      <c r="B462" s="18" t="n"/>
      <c r="C462" s="11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8" t="n"/>
      <c r="R462" s="11" t="n"/>
      <c r="S462" s="19" t="n"/>
      <c r="T462" s="19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  <c r="AG462" s="19" t="n"/>
      <c r="AH462" s="19" t="n"/>
      <c r="AI462" s="5">
        <f>H$1*((-0.000002)*H462^3+0.00032*H462^2+(-0.0021)*H462)+I$1*((-0.000002)*I462^3+0.00032*I462^2+(-0.0021)*I462)+J$1*((-0.000002)*J462^3+0.00032*J462^2+(-0.0021)*J462)+K$1*((-0.000002)*K462^3+0.00032*K462^2+(-0.0021)*K462)+L$1*((-0.000002)*L462^3+0.00032*L462^2+(-0.0021)*L462)</f>
        <v/>
      </c>
      <c r="AJ462" s="5">
        <f>M$1*((-0.000002)*M462^3+0.00032*M462^2+(-0.0021)*M462)+N$1*((-0.000002)*N462^3+0.00032*N462^2+(-0.0021)*N462)+O$1*((-0.000002)*O462^3+0.00032*O462^2+(-0.0021)*O462)</f>
        <v/>
      </c>
      <c r="AK462" s="5">
        <f>IF(AA462&lt;50,W$1*((-0.000002)*W462^3+0.00032*W462^2+(-0.0021)*W462)+X$1*((-0.000002)*X462^3+0.00032*X462^2+(-0.0021)*X462)+Y$1*((-0.000002)*Y462^3+0.00032*Y462^2+(-0.0021)*Y462)+Z$1*((-0.000002)*Z462^3+0.00032*Z462^2+(-0.0021)*Z462),X$2*((-0.000002)*X462^3+0.00032*X462^2+(-0.0021)*X462)+Y$2*((-0.000002)*Y462^3+0.00032*Y462^2+(-0.0021)*Y462)+Z$2*((-0.000002)*Z462^3+0.00032*Z462^2+(-0.0021)*Z462)+AA$2*((-0.000002)*AA462^3+0.00032*AA462^2+(-0.0021)*AA462))</f>
        <v/>
      </c>
      <c r="AL462" s="5">
        <f>AB$1*((-0.000002)*AB462^3+0.00032*AB462^2+(-0.0021)*AB462)+AC$1*((-0.000002)*AC462^3+0.00032*AC462^2+(-0.0021)*AC462)</f>
        <v/>
      </c>
      <c r="AM462" s="5">
        <f>AD$1*((-0.000002)*AD462^3+0.00032*AD462^2+(-0.0021)*AD462)+AE$1*((-0.000002)*AE462^3+0.00032*AE462^2+(-0.0021)*AE462)+AF$1*((-0.000002)*AF462^3+0.00032*AF462^2+(-0.0021)*AF462)+AG$1*((-0.000002)*AG462^3+0.00032*AG462^2+(-0.0021)*AG462)</f>
        <v/>
      </c>
    </row>
    <row r="463" ht="15" customHeight="1" s="27" thickBot="1">
      <c r="A463">
        <f>(AI463*AI$3+AJ463*AJ$3+AK463*AK$3+AL463*AL$3+AM463*AM$3)*100/(AI$5*AI$3+AJ$5*AJ$3+AK$5*AK$3+AL$5*AL$3+AM$5*AM$3)</f>
        <v/>
      </c>
      <c r="B463" s="16" t="n"/>
      <c r="C463" s="10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6" t="n"/>
      <c r="R463" s="10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5">
        <f>H$1*((-0.000002)*H463^3+0.00032*H463^2+(-0.0021)*H463)+I$1*((-0.000002)*I463^3+0.00032*I463^2+(-0.0021)*I463)+J$1*((-0.000002)*J463^3+0.00032*J463^2+(-0.0021)*J463)+K$1*((-0.000002)*K463^3+0.00032*K463^2+(-0.0021)*K463)+L$1*((-0.000002)*L463^3+0.00032*L463^2+(-0.0021)*L463)</f>
        <v/>
      </c>
      <c r="AJ463" s="5">
        <f>M$1*((-0.000002)*M463^3+0.00032*M463^2+(-0.0021)*M463)+N$1*((-0.000002)*N463^3+0.00032*N463^2+(-0.0021)*N463)+O$1*((-0.000002)*O463^3+0.00032*O463^2+(-0.0021)*O463)</f>
        <v/>
      </c>
      <c r="AK463" s="5">
        <f>IF(AA463&lt;50,W$1*((-0.000002)*W463^3+0.00032*W463^2+(-0.0021)*W463)+X$1*((-0.000002)*X463^3+0.00032*X463^2+(-0.0021)*X463)+Y$1*((-0.000002)*Y463^3+0.00032*Y463^2+(-0.0021)*Y463)+Z$1*((-0.000002)*Z463^3+0.00032*Z463^2+(-0.0021)*Z463),X$2*((-0.000002)*X463^3+0.00032*X463^2+(-0.0021)*X463)+Y$2*((-0.000002)*Y463^3+0.00032*Y463^2+(-0.0021)*Y463)+Z$2*((-0.000002)*Z463^3+0.00032*Z463^2+(-0.0021)*Z463)+AA$2*((-0.000002)*AA463^3+0.00032*AA463^2+(-0.0021)*AA463))</f>
        <v/>
      </c>
      <c r="AL463" s="5">
        <f>AB$1*((-0.000002)*AB463^3+0.00032*AB463^2+(-0.0021)*AB463)+AC$1*((-0.000002)*AC463^3+0.00032*AC463^2+(-0.0021)*AC463)</f>
        <v/>
      </c>
      <c r="AM463" s="5">
        <f>AD$1*((-0.000002)*AD463^3+0.00032*AD463^2+(-0.0021)*AD463)+AE$1*((-0.000002)*AE463^3+0.00032*AE463^2+(-0.0021)*AE463)+AF$1*((-0.000002)*AF463^3+0.00032*AF463^2+(-0.0021)*AF463)+AG$1*((-0.000002)*AG463^3+0.00032*AG463^2+(-0.0021)*AG463)</f>
        <v/>
      </c>
    </row>
    <row r="464" ht="15" customHeight="1" s="27" thickBot="1">
      <c r="A464">
        <f>(AI464*AI$3+AJ464*AJ$3+AK464*AK$3+AL464*AL$3+AM464*AM$3)*100/(AI$5*AI$3+AJ$5*AJ$3+AK$5*AK$3+AL$5*AL$3+AM$5*AM$3)</f>
        <v/>
      </c>
      <c r="B464" s="18" t="n"/>
      <c r="C464" s="11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8" t="n"/>
      <c r="R464" s="11" t="n"/>
      <c r="S464" s="19" t="n"/>
      <c r="T464" s="19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  <c r="AG464" s="19" t="n"/>
      <c r="AH464" s="19" t="n"/>
      <c r="AI464" s="5">
        <f>H$1*((-0.000002)*H464^3+0.00032*H464^2+(-0.0021)*H464)+I$1*((-0.000002)*I464^3+0.00032*I464^2+(-0.0021)*I464)+J$1*((-0.000002)*J464^3+0.00032*J464^2+(-0.0021)*J464)+K$1*((-0.000002)*K464^3+0.00032*K464^2+(-0.0021)*K464)+L$1*((-0.000002)*L464^3+0.00032*L464^2+(-0.0021)*L464)</f>
        <v/>
      </c>
      <c r="AJ464" s="5">
        <f>M$1*((-0.000002)*M464^3+0.00032*M464^2+(-0.0021)*M464)+N$1*((-0.000002)*N464^3+0.00032*N464^2+(-0.0021)*N464)+O$1*((-0.000002)*O464^3+0.00032*O464^2+(-0.0021)*O464)</f>
        <v/>
      </c>
      <c r="AK464" s="5">
        <f>IF(AA464&lt;50,W$1*((-0.000002)*W464^3+0.00032*W464^2+(-0.0021)*W464)+X$1*((-0.000002)*X464^3+0.00032*X464^2+(-0.0021)*X464)+Y$1*((-0.000002)*Y464^3+0.00032*Y464^2+(-0.0021)*Y464)+Z$1*((-0.000002)*Z464^3+0.00032*Z464^2+(-0.0021)*Z464),X$2*((-0.000002)*X464^3+0.00032*X464^2+(-0.0021)*X464)+Y$2*((-0.000002)*Y464^3+0.00032*Y464^2+(-0.0021)*Y464)+Z$2*((-0.000002)*Z464^3+0.00032*Z464^2+(-0.0021)*Z464)+AA$2*((-0.000002)*AA464^3+0.00032*AA464^2+(-0.0021)*AA464))</f>
        <v/>
      </c>
      <c r="AL464" s="5">
        <f>AB$1*((-0.000002)*AB464^3+0.00032*AB464^2+(-0.0021)*AB464)+AC$1*((-0.000002)*AC464^3+0.00032*AC464^2+(-0.0021)*AC464)</f>
        <v/>
      </c>
      <c r="AM464" s="5">
        <f>AD$1*((-0.000002)*AD464^3+0.00032*AD464^2+(-0.0021)*AD464)+AE$1*((-0.000002)*AE464^3+0.00032*AE464^2+(-0.0021)*AE464)+AF$1*((-0.000002)*AF464^3+0.00032*AF464^2+(-0.0021)*AF464)+AG$1*((-0.000002)*AG464^3+0.00032*AG464^2+(-0.0021)*AG464)</f>
        <v/>
      </c>
    </row>
    <row r="465" ht="15" customHeight="1" s="27" thickBot="1">
      <c r="A465">
        <f>(AI465*AI$3+AJ465*AJ$3+AK465*AK$3+AL465*AL$3+AM465*AM$3)*100/(AI$5*AI$3+AJ$5*AJ$3+AK$5*AK$3+AL$5*AL$3+AM$5*AM$3)</f>
        <v/>
      </c>
      <c r="B465" s="16" t="n"/>
      <c r="C465" s="10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6" t="n"/>
      <c r="R465" s="10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5">
        <f>H$1*((-0.000002)*H465^3+0.00032*H465^2+(-0.0021)*H465)+I$1*((-0.000002)*I465^3+0.00032*I465^2+(-0.0021)*I465)+J$1*((-0.000002)*J465^3+0.00032*J465^2+(-0.0021)*J465)+K$1*((-0.000002)*K465^3+0.00032*K465^2+(-0.0021)*K465)+L$1*((-0.000002)*L465^3+0.00032*L465^2+(-0.0021)*L465)</f>
        <v/>
      </c>
      <c r="AJ465" s="5">
        <f>M$1*((-0.000002)*M465^3+0.00032*M465^2+(-0.0021)*M465)+N$1*((-0.000002)*N465^3+0.00032*N465^2+(-0.0021)*N465)+O$1*((-0.000002)*O465^3+0.00032*O465^2+(-0.0021)*O465)</f>
        <v/>
      </c>
      <c r="AK465" s="5">
        <f>IF(AA465&lt;50,W$1*((-0.000002)*W465^3+0.00032*W465^2+(-0.0021)*W465)+X$1*((-0.000002)*X465^3+0.00032*X465^2+(-0.0021)*X465)+Y$1*((-0.000002)*Y465^3+0.00032*Y465^2+(-0.0021)*Y465)+Z$1*((-0.000002)*Z465^3+0.00032*Z465^2+(-0.0021)*Z465),X$2*((-0.000002)*X465^3+0.00032*X465^2+(-0.0021)*X465)+Y$2*((-0.000002)*Y465^3+0.00032*Y465^2+(-0.0021)*Y465)+Z$2*((-0.000002)*Z465^3+0.00032*Z465^2+(-0.0021)*Z465)+AA$2*((-0.000002)*AA465^3+0.00032*AA465^2+(-0.0021)*AA465))</f>
        <v/>
      </c>
      <c r="AL465" s="5">
        <f>AB$1*((-0.000002)*AB465^3+0.00032*AB465^2+(-0.0021)*AB465)+AC$1*((-0.000002)*AC465^3+0.00032*AC465^2+(-0.0021)*AC465)</f>
        <v/>
      </c>
      <c r="AM465" s="5">
        <f>AD$1*((-0.000002)*AD465^3+0.00032*AD465^2+(-0.0021)*AD465)+AE$1*((-0.000002)*AE465^3+0.00032*AE465^2+(-0.0021)*AE465)+AF$1*((-0.000002)*AF465^3+0.00032*AF465^2+(-0.0021)*AF465)+AG$1*((-0.000002)*AG465^3+0.00032*AG465^2+(-0.0021)*AG465)</f>
        <v/>
      </c>
    </row>
    <row r="466" ht="15" customHeight="1" s="27" thickBot="1">
      <c r="A466">
        <f>(AI466*AI$3+AJ466*AJ$3+AK466*AK$3+AL466*AL$3+AM466*AM$3)*100/(AI$5*AI$3+AJ$5*AJ$3+AK$5*AK$3+AL$5*AL$3+AM$5*AM$3)</f>
        <v/>
      </c>
      <c r="B466" s="18" t="n"/>
      <c r="C466" s="11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8" t="n"/>
      <c r="R466" s="11" t="n"/>
      <c r="S466" s="19" t="n"/>
      <c r="T466" s="19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  <c r="AG466" s="19" t="n"/>
      <c r="AH466" s="19" t="n"/>
      <c r="AI466" s="5">
        <f>H$1*((-0.000002)*H466^3+0.00032*H466^2+(-0.0021)*H466)+I$1*((-0.000002)*I466^3+0.00032*I466^2+(-0.0021)*I466)+J$1*((-0.000002)*J466^3+0.00032*J466^2+(-0.0021)*J466)+K$1*((-0.000002)*K466^3+0.00032*K466^2+(-0.0021)*K466)+L$1*((-0.000002)*L466^3+0.00032*L466^2+(-0.0021)*L466)</f>
        <v/>
      </c>
      <c r="AJ466" s="5">
        <f>M$1*((-0.000002)*M466^3+0.00032*M466^2+(-0.0021)*M466)+N$1*((-0.000002)*N466^3+0.00032*N466^2+(-0.0021)*N466)+O$1*((-0.000002)*O466^3+0.00032*O466^2+(-0.0021)*O466)</f>
        <v/>
      </c>
      <c r="AK466" s="5">
        <f>IF(AA466&lt;50,W$1*((-0.000002)*W466^3+0.00032*W466^2+(-0.0021)*W466)+X$1*((-0.000002)*X466^3+0.00032*X466^2+(-0.0021)*X466)+Y$1*((-0.000002)*Y466^3+0.00032*Y466^2+(-0.0021)*Y466)+Z$1*((-0.000002)*Z466^3+0.00032*Z466^2+(-0.0021)*Z466),X$2*((-0.000002)*X466^3+0.00032*X466^2+(-0.0021)*X466)+Y$2*((-0.000002)*Y466^3+0.00032*Y466^2+(-0.0021)*Y466)+Z$2*((-0.000002)*Z466^3+0.00032*Z466^2+(-0.0021)*Z466)+AA$2*((-0.000002)*AA466^3+0.00032*AA466^2+(-0.0021)*AA466))</f>
        <v/>
      </c>
      <c r="AL466" s="5">
        <f>AB$1*((-0.000002)*AB466^3+0.00032*AB466^2+(-0.0021)*AB466)+AC$1*((-0.000002)*AC466^3+0.00032*AC466^2+(-0.0021)*AC466)</f>
        <v/>
      </c>
      <c r="AM466" s="5">
        <f>AD$1*((-0.000002)*AD466^3+0.00032*AD466^2+(-0.0021)*AD466)+AE$1*((-0.000002)*AE466^3+0.00032*AE466^2+(-0.0021)*AE466)+AF$1*((-0.000002)*AF466^3+0.00032*AF466^2+(-0.0021)*AF466)+AG$1*((-0.000002)*AG466^3+0.00032*AG466^2+(-0.0021)*AG466)</f>
        <v/>
      </c>
    </row>
    <row r="467" ht="15" customHeight="1" s="27" thickBot="1">
      <c r="A467">
        <f>(AI467*AI$3+AJ467*AJ$3+AK467*AK$3+AL467*AL$3+AM467*AM$3)*100/(AI$5*AI$3+AJ$5*AJ$3+AK$5*AK$3+AL$5*AL$3+AM$5*AM$3)</f>
        <v/>
      </c>
      <c r="B467" s="16" t="n"/>
      <c r="C467" s="10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6" t="n"/>
      <c r="R467" s="10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5">
        <f>H$1*((-0.000002)*H467^3+0.00032*H467^2+(-0.0021)*H467)+I$1*((-0.000002)*I467^3+0.00032*I467^2+(-0.0021)*I467)+J$1*((-0.000002)*J467^3+0.00032*J467^2+(-0.0021)*J467)+K$1*((-0.000002)*K467^3+0.00032*K467^2+(-0.0021)*K467)+L$1*((-0.000002)*L467^3+0.00032*L467^2+(-0.0021)*L467)</f>
        <v/>
      </c>
      <c r="AJ467" s="5">
        <f>M$1*((-0.000002)*M467^3+0.00032*M467^2+(-0.0021)*M467)+N$1*((-0.000002)*N467^3+0.00032*N467^2+(-0.0021)*N467)+O$1*((-0.000002)*O467^3+0.00032*O467^2+(-0.0021)*O467)</f>
        <v/>
      </c>
      <c r="AK467" s="5">
        <f>IF(AA467&lt;50,W$1*((-0.000002)*W467^3+0.00032*W467^2+(-0.0021)*W467)+X$1*((-0.000002)*X467^3+0.00032*X467^2+(-0.0021)*X467)+Y$1*((-0.000002)*Y467^3+0.00032*Y467^2+(-0.0021)*Y467)+Z$1*((-0.000002)*Z467^3+0.00032*Z467^2+(-0.0021)*Z467),X$2*((-0.000002)*X467^3+0.00032*X467^2+(-0.0021)*X467)+Y$2*((-0.000002)*Y467^3+0.00032*Y467^2+(-0.0021)*Y467)+Z$2*((-0.000002)*Z467^3+0.00032*Z467^2+(-0.0021)*Z467)+AA$2*((-0.000002)*AA467^3+0.00032*AA467^2+(-0.0021)*AA467))</f>
        <v/>
      </c>
      <c r="AL467" s="5">
        <f>AB$1*((-0.000002)*AB467^3+0.00032*AB467^2+(-0.0021)*AB467)+AC$1*((-0.000002)*AC467^3+0.00032*AC467^2+(-0.0021)*AC467)</f>
        <v/>
      </c>
      <c r="AM467" s="5">
        <f>AD$1*((-0.000002)*AD467^3+0.00032*AD467^2+(-0.0021)*AD467)+AE$1*((-0.000002)*AE467^3+0.00032*AE467^2+(-0.0021)*AE467)+AF$1*((-0.000002)*AF467^3+0.00032*AF467^2+(-0.0021)*AF467)+AG$1*((-0.000002)*AG467^3+0.00032*AG467^2+(-0.0021)*AG467)</f>
        <v/>
      </c>
    </row>
    <row r="468" ht="15" customHeight="1" s="27" thickBot="1">
      <c r="A468">
        <f>(AI468*AI$3+AJ468*AJ$3+AK468*AK$3+AL468*AL$3+AM468*AM$3)*100/(AI$5*AI$3+AJ$5*AJ$3+AK$5*AK$3+AL$5*AL$3+AM$5*AM$3)</f>
        <v/>
      </c>
      <c r="B468" s="18" t="n"/>
      <c r="C468" s="11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8" t="n"/>
      <c r="R468" s="11" t="n"/>
      <c r="S468" s="19" t="n"/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  <c r="AH468" s="19" t="n"/>
      <c r="AI468" s="5">
        <f>H$1*((-0.000002)*H468^3+0.00032*H468^2+(-0.0021)*H468)+I$1*((-0.000002)*I468^3+0.00032*I468^2+(-0.0021)*I468)+J$1*((-0.000002)*J468^3+0.00032*J468^2+(-0.0021)*J468)+K$1*((-0.000002)*K468^3+0.00032*K468^2+(-0.0021)*K468)+L$1*((-0.000002)*L468^3+0.00032*L468^2+(-0.0021)*L468)</f>
        <v/>
      </c>
      <c r="AJ468" s="5">
        <f>M$1*((-0.000002)*M468^3+0.00032*M468^2+(-0.0021)*M468)+N$1*((-0.000002)*N468^3+0.00032*N468^2+(-0.0021)*N468)+O$1*((-0.000002)*O468^3+0.00032*O468^2+(-0.0021)*O468)</f>
        <v/>
      </c>
      <c r="AK468" s="5">
        <f>IF(AA468&lt;50,W$1*((-0.000002)*W468^3+0.00032*W468^2+(-0.0021)*W468)+X$1*((-0.000002)*X468^3+0.00032*X468^2+(-0.0021)*X468)+Y$1*((-0.000002)*Y468^3+0.00032*Y468^2+(-0.0021)*Y468)+Z$1*((-0.000002)*Z468^3+0.00032*Z468^2+(-0.0021)*Z468),X$2*((-0.000002)*X468^3+0.00032*X468^2+(-0.0021)*X468)+Y$2*((-0.000002)*Y468^3+0.00032*Y468^2+(-0.0021)*Y468)+Z$2*((-0.000002)*Z468^3+0.00032*Z468^2+(-0.0021)*Z468)+AA$2*((-0.000002)*AA468^3+0.00032*AA468^2+(-0.0021)*AA468))</f>
        <v/>
      </c>
      <c r="AL468" s="5">
        <f>AB$1*((-0.000002)*AB468^3+0.00032*AB468^2+(-0.0021)*AB468)+AC$1*((-0.000002)*AC468^3+0.00032*AC468^2+(-0.0021)*AC468)</f>
        <v/>
      </c>
      <c r="AM468" s="5">
        <f>AD$1*((-0.000002)*AD468^3+0.00032*AD468^2+(-0.0021)*AD468)+AE$1*((-0.000002)*AE468^3+0.00032*AE468^2+(-0.0021)*AE468)+AF$1*((-0.000002)*AF468^3+0.00032*AF468^2+(-0.0021)*AF468)+AG$1*((-0.000002)*AG468^3+0.00032*AG468^2+(-0.0021)*AG468)</f>
        <v/>
      </c>
    </row>
    <row r="469" ht="15" customHeight="1" s="27" thickBot="1">
      <c r="A469">
        <f>(AI469*AI$3+AJ469*AJ$3+AK469*AK$3+AL469*AL$3+AM469*AM$3)*100/(AI$5*AI$3+AJ$5*AJ$3+AK$5*AK$3+AL$5*AL$3+AM$5*AM$3)</f>
        <v/>
      </c>
      <c r="B469" s="16" t="n"/>
      <c r="C469" s="10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6" t="n"/>
      <c r="R469" s="10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5">
        <f>H$1*((-0.000002)*H469^3+0.00032*H469^2+(-0.0021)*H469)+I$1*((-0.000002)*I469^3+0.00032*I469^2+(-0.0021)*I469)+J$1*((-0.000002)*J469^3+0.00032*J469^2+(-0.0021)*J469)+K$1*((-0.000002)*K469^3+0.00032*K469^2+(-0.0021)*K469)+L$1*((-0.000002)*L469^3+0.00032*L469^2+(-0.0021)*L469)</f>
        <v/>
      </c>
      <c r="AJ469" s="5">
        <f>M$1*((-0.000002)*M469^3+0.00032*M469^2+(-0.0021)*M469)+N$1*((-0.000002)*N469^3+0.00032*N469^2+(-0.0021)*N469)+O$1*((-0.000002)*O469^3+0.00032*O469^2+(-0.0021)*O469)</f>
        <v/>
      </c>
      <c r="AK469" s="5">
        <f>IF(AA469&lt;50,W$1*((-0.000002)*W469^3+0.00032*W469^2+(-0.0021)*W469)+X$1*((-0.000002)*X469^3+0.00032*X469^2+(-0.0021)*X469)+Y$1*((-0.000002)*Y469^3+0.00032*Y469^2+(-0.0021)*Y469)+Z$1*((-0.000002)*Z469^3+0.00032*Z469^2+(-0.0021)*Z469),X$2*((-0.000002)*X469^3+0.00032*X469^2+(-0.0021)*X469)+Y$2*((-0.000002)*Y469^3+0.00032*Y469^2+(-0.0021)*Y469)+Z$2*((-0.000002)*Z469^3+0.00032*Z469^2+(-0.0021)*Z469)+AA$2*((-0.000002)*AA469^3+0.00032*AA469^2+(-0.0021)*AA469))</f>
        <v/>
      </c>
      <c r="AL469" s="5">
        <f>AB$1*((-0.000002)*AB469^3+0.00032*AB469^2+(-0.0021)*AB469)+AC$1*((-0.000002)*AC469^3+0.00032*AC469^2+(-0.0021)*AC469)</f>
        <v/>
      </c>
      <c r="AM469" s="5">
        <f>AD$1*((-0.000002)*AD469^3+0.00032*AD469^2+(-0.0021)*AD469)+AE$1*((-0.000002)*AE469^3+0.00032*AE469^2+(-0.0021)*AE469)+AF$1*((-0.000002)*AF469^3+0.00032*AF469^2+(-0.0021)*AF469)+AG$1*((-0.000002)*AG469^3+0.00032*AG469^2+(-0.0021)*AG469)</f>
        <v/>
      </c>
    </row>
    <row r="470" ht="15" customHeight="1" s="27" thickBot="1">
      <c r="A470">
        <f>(AI470*AI$3+AJ470*AJ$3+AK470*AK$3+AL470*AL$3+AM470*AM$3)*100/(AI$5*AI$3+AJ$5*AJ$3+AK$5*AK$3+AL$5*AL$3+AM$5*AM$3)</f>
        <v/>
      </c>
      <c r="B470" s="18" t="n"/>
      <c r="C470" s="11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8" t="n"/>
      <c r="R470" s="11" t="n"/>
      <c r="S470" s="19" t="n"/>
      <c r="T470" s="19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  <c r="AG470" s="19" t="n"/>
      <c r="AH470" s="19" t="n"/>
      <c r="AI470" s="5">
        <f>H$1*((-0.000002)*H470^3+0.00032*H470^2+(-0.0021)*H470)+I$1*((-0.000002)*I470^3+0.00032*I470^2+(-0.0021)*I470)+J$1*((-0.000002)*J470^3+0.00032*J470^2+(-0.0021)*J470)+K$1*((-0.000002)*K470^3+0.00032*K470^2+(-0.0021)*K470)+L$1*((-0.000002)*L470^3+0.00032*L470^2+(-0.0021)*L470)</f>
        <v/>
      </c>
      <c r="AJ470" s="5">
        <f>M$1*((-0.000002)*M470^3+0.00032*M470^2+(-0.0021)*M470)+N$1*((-0.000002)*N470^3+0.00032*N470^2+(-0.0021)*N470)+O$1*((-0.000002)*O470^3+0.00032*O470^2+(-0.0021)*O470)</f>
        <v/>
      </c>
      <c r="AK470" s="5">
        <f>IF(AA470&lt;50,W$1*((-0.000002)*W470^3+0.00032*W470^2+(-0.0021)*W470)+X$1*((-0.000002)*X470^3+0.00032*X470^2+(-0.0021)*X470)+Y$1*((-0.000002)*Y470^3+0.00032*Y470^2+(-0.0021)*Y470)+Z$1*((-0.000002)*Z470^3+0.00032*Z470^2+(-0.0021)*Z470),X$2*((-0.000002)*X470^3+0.00032*X470^2+(-0.0021)*X470)+Y$2*((-0.000002)*Y470^3+0.00032*Y470^2+(-0.0021)*Y470)+Z$2*((-0.000002)*Z470^3+0.00032*Z470^2+(-0.0021)*Z470)+AA$2*((-0.000002)*AA470^3+0.00032*AA470^2+(-0.0021)*AA470))</f>
        <v/>
      </c>
      <c r="AL470" s="5">
        <f>AB$1*((-0.000002)*AB470^3+0.00032*AB470^2+(-0.0021)*AB470)+AC$1*((-0.000002)*AC470^3+0.00032*AC470^2+(-0.0021)*AC470)</f>
        <v/>
      </c>
      <c r="AM470" s="5">
        <f>AD$1*((-0.000002)*AD470^3+0.00032*AD470^2+(-0.0021)*AD470)+AE$1*((-0.000002)*AE470^3+0.00032*AE470^2+(-0.0021)*AE470)+AF$1*((-0.000002)*AF470^3+0.00032*AF470^2+(-0.0021)*AF470)+AG$1*((-0.000002)*AG470^3+0.00032*AG470^2+(-0.0021)*AG470)</f>
        <v/>
      </c>
    </row>
    <row r="471" ht="15" customHeight="1" s="27" thickBot="1">
      <c r="A471">
        <f>(AI471*AI$3+AJ471*AJ$3+AK471*AK$3+AL471*AL$3+AM471*AM$3)*100/(AI$5*AI$3+AJ$5*AJ$3+AK$5*AK$3+AL$5*AL$3+AM$5*AM$3)</f>
        <v/>
      </c>
      <c r="B471" s="16" t="n"/>
      <c r="C471" s="10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6" t="n"/>
      <c r="R471" s="10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5">
        <f>H$1*((-0.000002)*H471^3+0.00032*H471^2+(-0.0021)*H471)+I$1*((-0.000002)*I471^3+0.00032*I471^2+(-0.0021)*I471)+J$1*((-0.000002)*J471^3+0.00032*J471^2+(-0.0021)*J471)+K$1*((-0.000002)*K471^3+0.00032*K471^2+(-0.0021)*K471)+L$1*((-0.000002)*L471^3+0.00032*L471^2+(-0.0021)*L471)</f>
        <v/>
      </c>
      <c r="AJ471" s="5">
        <f>M$1*((-0.000002)*M471^3+0.00032*M471^2+(-0.0021)*M471)+N$1*((-0.000002)*N471^3+0.00032*N471^2+(-0.0021)*N471)+O$1*((-0.000002)*O471^3+0.00032*O471^2+(-0.0021)*O471)</f>
        <v/>
      </c>
      <c r="AK471" s="5">
        <f>IF(AA471&lt;50,W$1*((-0.000002)*W471^3+0.00032*W471^2+(-0.0021)*W471)+X$1*((-0.000002)*X471^3+0.00032*X471^2+(-0.0021)*X471)+Y$1*((-0.000002)*Y471^3+0.00032*Y471^2+(-0.0021)*Y471)+Z$1*((-0.000002)*Z471^3+0.00032*Z471^2+(-0.0021)*Z471),X$2*((-0.000002)*X471^3+0.00032*X471^2+(-0.0021)*X471)+Y$2*((-0.000002)*Y471^3+0.00032*Y471^2+(-0.0021)*Y471)+Z$2*((-0.000002)*Z471^3+0.00032*Z471^2+(-0.0021)*Z471)+AA$2*((-0.000002)*AA471^3+0.00032*AA471^2+(-0.0021)*AA471))</f>
        <v/>
      </c>
      <c r="AL471" s="5">
        <f>AB$1*((-0.000002)*AB471^3+0.00032*AB471^2+(-0.0021)*AB471)+AC$1*((-0.000002)*AC471^3+0.00032*AC471^2+(-0.0021)*AC471)</f>
        <v/>
      </c>
      <c r="AM471" s="5">
        <f>AD$1*((-0.000002)*AD471^3+0.00032*AD471^2+(-0.0021)*AD471)+AE$1*((-0.000002)*AE471^3+0.00032*AE471^2+(-0.0021)*AE471)+AF$1*((-0.000002)*AF471^3+0.00032*AF471^2+(-0.0021)*AF471)+AG$1*((-0.000002)*AG471^3+0.00032*AG471^2+(-0.0021)*AG471)</f>
        <v/>
      </c>
    </row>
    <row r="472" ht="15" customHeight="1" s="27" thickBot="1">
      <c r="A472">
        <f>(AI472*AI$3+AJ472*AJ$3+AK472*AK$3+AL472*AL$3+AM472*AM$3)*100/(AI$5*AI$3+AJ$5*AJ$3+AK$5*AK$3+AL$5*AL$3+AM$5*AM$3)</f>
        <v/>
      </c>
      <c r="B472" s="18" t="n"/>
      <c r="C472" s="11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8" t="n"/>
      <c r="R472" s="11" t="n"/>
      <c r="S472" s="19" t="n"/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  <c r="AH472" s="19" t="n"/>
      <c r="AI472" s="5">
        <f>H$1*((-0.000002)*H472^3+0.00032*H472^2+(-0.0021)*H472)+I$1*((-0.000002)*I472^3+0.00032*I472^2+(-0.0021)*I472)+J$1*((-0.000002)*J472^3+0.00032*J472^2+(-0.0021)*J472)+K$1*((-0.000002)*K472^3+0.00032*K472^2+(-0.0021)*K472)+L$1*((-0.000002)*L472^3+0.00032*L472^2+(-0.0021)*L472)</f>
        <v/>
      </c>
      <c r="AJ472" s="5">
        <f>M$1*((-0.000002)*M472^3+0.00032*M472^2+(-0.0021)*M472)+N$1*((-0.000002)*N472^3+0.00032*N472^2+(-0.0021)*N472)+O$1*((-0.000002)*O472^3+0.00032*O472^2+(-0.0021)*O472)</f>
        <v/>
      </c>
      <c r="AK472" s="5">
        <f>IF(AA472&lt;50,W$1*((-0.000002)*W472^3+0.00032*W472^2+(-0.0021)*W472)+X$1*((-0.000002)*X472^3+0.00032*X472^2+(-0.0021)*X472)+Y$1*((-0.000002)*Y472^3+0.00032*Y472^2+(-0.0021)*Y472)+Z$1*((-0.000002)*Z472^3+0.00032*Z472^2+(-0.0021)*Z472),X$2*((-0.000002)*X472^3+0.00032*X472^2+(-0.0021)*X472)+Y$2*((-0.000002)*Y472^3+0.00032*Y472^2+(-0.0021)*Y472)+Z$2*((-0.000002)*Z472^3+0.00032*Z472^2+(-0.0021)*Z472)+AA$2*((-0.000002)*AA472^3+0.00032*AA472^2+(-0.0021)*AA472))</f>
        <v/>
      </c>
      <c r="AL472" s="5">
        <f>AB$1*((-0.000002)*AB472^3+0.00032*AB472^2+(-0.0021)*AB472)+AC$1*((-0.000002)*AC472^3+0.00032*AC472^2+(-0.0021)*AC472)</f>
        <v/>
      </c>
      <c r="AM472" s="5">
        <f>AD$1*((-0.000002)*AD472^3+0.00032*AD472^2+(-0.0021)*AD472)+AE$1*((-0.000002)*AE472^3+0.00032*AE472^2+(-0.0021)*AE472)+AF$1*((-0.000002)*AF472^3+0.00032*AF472^2+(-0.0021)*AF472)+AG$1*((-0.000002)*AG472^3+0.00032*AG472^2+(-0.0021)*AG472)</f>
        <v/>
      </c>
    </row>
    <row r="473" ht="15" customHeight="1" s="27" thickBot="1">
      <c r="A473">
        <f>(AI473*AI$3+AJ473*AJ$3+AK473*AK$3+AL473*AL$3+AM473*AM$3)*100/(AI$5*AI$3+AJ$5*AJ$3+AK$5*AK$3+AL$5*AL$3+AM$5*AM$3)</f>
        <v/>
      </c>
      <c r="B473" s="16" t="n"/>
      <c r="C473" s="10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6" t="n"/>
      <c r="R473" s="10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5">
        <f>H$1*((-0.000002)*H473^3+0.00032*H473^2+(-0.0021)*H473)+I$1*((-0.000002)*I473^3+0.00032*I473^2+(-0.0021)*I473)+J$1*((-0.000002)*J473^3+0.00032*J473^2+(-0.0021)*J473)+K$1*((-0.000002)*K473^3+0.00032*K473^2+(-0.0021)*K473)+L$1*((-0.000002)*L473^3+0.00032*L473^2+(-0.0021)*L473)</f>
        <v/>
      </c>
      <c r="AJ473" s="5">
        <f>M$1*((-0.000002)*M473^3+0.00032*M473^2+(-0.0021)*M473)+N$1*((-0.000002)*N473^3+0.00032*N473^2+(-0.0021)*N473)+O$1*((-0.000002)*O473^3+0.00032*O473^2+(-0.0021)*O473)</f>
        <v/>
      </c>
      <c r="AK473" s="5">
        <f>IF(AA473&lt;50,W$1*((-0.000002)*W473^3+0.00032*W473^2+(-0.0021)*W473)+X$1*((-0.000002)*X473^3+0.00032*X473^2+(-0.0021)*X473)+Y$1*((-0.000002)*Y473^3+0.00032*Y473^2+(-0.0021)*Y473)+Z$1*((-0.000002)*Z473^3+0.00032*Z473^2+(-0.0021)*Z473),X$2*((-0.000002)*X473^3+0.00032*X473^2+(-0.0021)*X473)+Y$2*((-0.000002)*Y473^3+0.00032*Y473^2+(-0.0021)*Y473)+Z$2*((-0.000002)*Z473^3+0.00032*Z473^2+(-0.0021)*Z473)+AA$2*((-0.000002)*AA473^3+0.00032*AA473^2+(-0.0021)*AA473))</f>
        <v/>
      </c>
      <c r="AL473" s="5">
        <f>AB$1*((-0.000002)*AB473^3+0.00032*AB473^2+(-0.0021)*AB473)+AC$1*((-0.000002)*AC473^3+0.00032*AC473^2+(-0.0021)*AC473)</f>
        <v/>
      </c>
      <c r="AM473" s="5">
        <f>AD$1*((-0.000002)*AD473^3+0.00032*AD473^2+(-0.0021)*AD473)+AE$1*((-0.000002)*AE473^3+0.00032*AE473^2+(-0.0021)*AE473)+AF$1*((-0.000002)*AF473^3+0.00032*AF473^2+(-0.0021)*AF473)+AG$1*((-0.000002)*AG473^3+0.00032*AG473^2+(-0.0021)*AG473)</f>
        <v/>
      </c>
    </row>
    <row r="474" ht="15" customHeight="1" s="27" thickBot="1">
      <c r="A474">
        <f>(AI474*AI$3+AJ474*AJ$3+AK474*AK$3+AL474*AL$3+AM474*AM$3)*100/(AI$5*AI$3+AJ$5*AJ$3+AK$5*AK$3+AL$5*AL$3+AM$5*AM$3)</f>
        <v/>
      </c>
      <c r="B474" s="18" t="n"/>
      <c r="C474" s="11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8" t="n"/>
      <c r="R474" s="11" t="n"/>
      <c r="S474" s="19" t="n"/>
      <c r="T474" s="19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  <c r="AG474" s="19" t="n"/>
      <c r="AH474" s="19" t="n"/>
      <c r="AI474" s="5">
        <f>H$1*((-0.000002)*H474^3+0.00032*H474^2+(-0.0021)*H474)+I$1*((-0.000002)*I474^3+0.00032*I474^2+(-0.0021)*I474)+J$1*((-0.000002)*J474^3+0.00032*J474^2+(-0.0021)*J474)+K$1*((-0.000002)*K474^3+0.00032*K474^2+(-0.0021)*K474)+L$1*((-0.000002)*L474^3+0.00032*L474^2+(-0.0021)*L474)</f>
        <v/>
      </c>
      <c r="AJ474" s="5">
        <f>M$1*((-0.000002)*M474^3+0.00032*M474^2+(-0.0021)*M474)+N$1*((-0.000002)*N474^3+0.00032*N474^2+(-0.0021)*N474)+O$1*((-0.000002)*O474^3+0.00032*O474^2+(-0.0021)*O474)</f>
        <v/>
      </c>
      <c r="AK474" s="5">
        <f>IF(AA474&lt;50,W$1*((-0.000002)*W474^3+0.00032*W474^2+(-0.0021)*W474)+X$1*((-0.000002)*X474^3+0.00032*X474^2+(-0.0021)*X474)+Y$1*((-0.000002)*Y474^3+0.00032*Y474^2+(-0.0021)*Y474)+Z$1*((-0.000002)*Z474^3+0.00032*Z474^2+(-0.0021)*Z474),X$2*((-0.000002)*X474^3+0.00032*X474^2+(-0.0021)*X474)+Y$2*((-0.000002)*Y474^3+0.00032*Y474^2+(-0.0021)*Y474)+Z$2*((-0.000002)*Z474^3+0.00032*Z474^2+(-0.0021)*Z474)+AA$2*((-0.000002)*AA474^3+0.00032*AA474^2+(-0.0021)*AA474))</f>
        <v/>
      </c>
      <c r="AL474" s="5">
        <f>AB$1*((-0.000002)*AB474^3+0.00032*AB474^2+(-0.0021)*AB474)+AC$1*((-0.000002)*AC474^3+0.00032*AC474^2+(-0.0021)*AC474)</f>
        <v/>
      </c>
      <c r="AM474" s="5">
        <f>AD$1*((-0.000002)*AD474^3+0.00032*AD474^2+(-0.0021)*AD474)+AE$1*((-0.000002)*AE474^3+0.00032*AE474^2+(-0.0021)*AE474)+AF$1*((-0.000002)*AF474^3+0.00032*AF474^2+(-0.0021)*AF474)+AG$1*((-0.000002)*AG474^3+0.00032*AG474^2+(-0.0021)*AG474)</f>
        <v/>
      </c>
    </row>
    <row r="475" ht="15" customHeight="1" s="27" thickBot="1">
      <c r="A475">
        <f>(AI475*AI$3+AJ475*AJ$3+AK475*AK$3+AL475*AL$3+AM475*AM$3)*100/(AI$5*AI$3+AJ$5*AJ$3+AK$5*AK$3+AL$5*AL$3+AM$5*AM$3)</f>
        <v/>
      </c>
      <c r="B475" s="16" t="n"/>
      <c r="C475" s="10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6" t="n"/>
      <c r="R475" s="10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5">
        <f>H$1*((-0.000002)*H475^3+0.00032*H475^2+(-0.0021)*H475)+I$1*((-0.000002)*I475^3+0.00032*I475^2+(-0.0021)*I475)+J$1*((-0.000002)*J475^3+0.00032*J475^2+(-0.0021)*J475)+K$1*((-0.000002)*K475^3+0.00032*K475^2+(-0.0021)*K475)+L$1*((-0.000002)*L475^3+0.00032*L475^2+(-0.0021)*L475)</f>
        <v/>
      </c>
      <c r="AJ475" s="5">
        <f>M$1*((-0.000002)*M475^3+0.00032*M475^2+(-0.0021)*M475)+N$1*((-0.000002)*N475^3+0.00032*N475^2+(-0.0021)*N475)+O$1*((-0.000002)*O475^3+0.00032*O475^2+(-0.0021)*O475)</f>
        <v/>
      </c>
      <c r="AK475" s="5">
        <f>IF(AA475&lt;50,W$1*((-0.000002)*W475^3+0.00032*W475^2+(-0.0021)*W475)+X$1*((-0.000002)*X475^3+0.00032*X475^2+(-0.0021)*X475)+Y$1*((-0.000002)*Y475^3+0.00032*Y475^2+(-0.0021)*Y475)+Z$1*((-0.000002)*Z475^3+0.00032*Z475^2+(-0.0021)*Z475),X$2*((-0.000002)*X475^3+0.00032*X475^2+(-0.0021)*X475)+Y$2*((-0.000002)*Y475^3+0.00032*Y475^2+(-0.0021)*Y475)+Z$2*((-0.000002)*Z475^3+0.00032*Z475^2+(-0.0021)*Z475)+AA$2*((-0.000002)*AA475^3+0.00032*AA475^2+(-0.0021)*AA475))</f>
        <v/>
      </c>
      <c r="AL475" s="5">
        <f>AB$1*((-0.000002)*AB475^3+0.00032*AB475^2+(-0.0021)*AB475)+AC$1*((-0.000002)*AC475^3+0.00032*AC475^2+(-0.0021)*AC475)</f>
        <v/>
      </c>
      <c r="AM475" s="5">
        <f>AD$1*((-0.000002)*AD475^3+0.00032*AD475^2+(-0.0021)*AD475)+AE$1*((-0.000002)*AE475^3+0.00032*AE475^2+(-0.0021)*AE475)+AF$1*((-0.000002)*AF475^3+0.00032*AF475^2+(-0.0021)*AF475)+AG$1*((-0.000002)*AG475^3+0.00032*AG475^2+(-0.0021)*AG475)</f>
        <v/>
      </c>
    </row>
    <row r="476" ht="15" customHeight="1" s="27" thickBot="1">
      <c r="A476">
        <f>(AI476*AI$3+AJ476*AJ$3+AK476*AK$3+AL476*AL$3+AM476*AM$3)*100/(AI$5*AI$3+AJ$5*AJ$3+AK$5*AK$3+AL$5*AL$3+AM$5*AM$3)</f>
        <v/>
      </c>
      <c r="B476" s="18" t="n"/>
      <c r="C476" s="11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8" t="n"/>
      <c r="R476" s="11" t="n"/>
      <c r="S476" s="19" t="n"/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  <c r="AH476" s="19" t="n"/>
      <c r="AI476" s="5">
        <f>H$1*((-0.000002)*H476^3+0.00032*H476^2+(-0.0021)*H476)+I$1*((-0.000002)*I476^3+0.00032*I476^2+(-0.0021)*I476)+J$1*((-0.000002)*J476^3+0.00032*J476^2+(-0.0021)*J476)+K$1*((-0.000002)*K476^3+0.00032*K476^2+(-0.0021)*K476)+L$1*((-0.000002)*L476^3+0.00032*L476^2+(-0.0021)*L476)</f>
        <v/>
      </c>
      <c r="AJ476" s="5">
        <f>M$1*((-0.000002)*M476^3+0.00032*M476^2+(-0.0021)*M476)+N$1*((-0.000002)*N476^3+0.00032*N476^2+(-0.0021)*N476)+O$1*((-0.000002)*O476^3+0.00032*O476^2+(-0.0021)*O476)</f>
        <v/>
      </c>
      <c r="AK476" s="5">
        <f>IF(AA476&lt;50,W$1*((-0.000002)*W476^3+0.00032*W476^2+(-0.0021)*W476)+X$1*((-0.000002)*X476^3+0.00032*X476^2+(-0.0021)*X476)+Y$1*((-0.000002)*Y476^3+0.00032*Y476^2+(-0.0021)*Y476)+Z$1*((-0.000002)*Z476^3+0.00032*Z476^2+(-0.0021)*Z476),X$2*((-0.000002)*X476^3+0.00032*X476^2+(-0.0021)*X476)+Y$2*((-0.000002)*Y476^3+0.00032*Y476^2+(-0.0021)*Y476)+Z$2*((-0.000002)*Z476^3+0.00032*Z476^2+(-0.0021)*Z476)+AA$2*((-0.000002)*AA476^3+0.00032*AA476^2+(-0.0021)*AA476))</f>
        <v/>
      </c>
      <c r="AL476" s="5">
        <f>AB$1*((-0.000002)*AB476^3+0.00032*AB476^2+(-0.0021)*AB476)+AC$1*((-0.000002)*AC476^3+0.00032*AC476^2+(-0.0021)*AC476)</f>
        <v/>
      </c>
      <c r="AM476" s="5">
        <f>AD$1*((-0.000002)*AD476^3+0.00032*AD476^2+(-0.0021)*AD476)+AE$1*((-0.000002)*AE476^3+0.00032*AE476^2+(-0.0021)*AE476)+AF$1*((-0.000002)*AF476^3+0.00032*AF476^2+(-0.0021)*AF476)+AG$1*((-0.000002)*AG476^3+0.00032*AG476^2+(-0.0021)*AG476)</f>
        <v/>
      </c>
    </row>
    <row r="477" ht="15" customHeight="1" s="27" thickBot="1">
      <c r="A477">
        <f>(AI477*AI$3+AJ477*AJ$3+AK477*AK$3+AL477*AL$3+AM477*AM$3)*100/(AI$5*AI$3+AJ$5*AJ$3+AK$5*AK$3+AL$5*AL$3+AM$5*AM$3)</f>
        <v/>
      </c>
      <c r="B477" s="16" t="n"/>
      <c r="C477" s="10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6" t="n"/>
      <c r="R477" s="10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5">
        <f>H$1*((-0.000002)*H477^3+0.00032*H477^2+(-0.0021)*H477)+I$1*((-0.000002)*I477^3+0.00032*I477^2+(-0.0021)*I477)+J$1*((-0.000002)*J477^3+0.00032*J477^2+(-0.0021)*J477)+K$1*((-0.000002)*K477^3+0.00032*K477^2+(-0.0021)*K477)+L$1*((-0.000002)*L477^3+0.00032*L477^2+(-0.0021)*L477)</f>
        <v/>
      </c>
      <c r="AJ477" s="5">
        <f>M$1*((-0.000002)*M477^3+0.00032*M477^2+(-0.0021)*M477)+N$1*((-0.000002)*N477^3+0.00032*N477^2+(-0.0021)*N477)+O$1*((-0.000002)*O477^3+0.00032*O477^2+(-0.0021)*O477)</f>
        <v/>
      </c>
      <c r="AK477" s="5">
        <f>IF(AA477&lt;50,W$1*((-0.000002)*W477^3+0.00032*W477^2+(-0.0021)*W477)+X$1*((-0.000002)*X477^3+0.00032*X477^2+(-0.0021)*X477)+Y$1*((-0.000002)*Y477^3+0.00032*Y477^2+(-0.0021)*Y477)+Z$1*((-0.000002)*Z477^3+0.00032*Z477^2+(-0.0021)*Z477),X$2*((-0.000002)*X477^3+0.00032*X477^2+(-0.0021)*X477)+Y$2*((-0.000002)*Y477^3+0.00032*Y477^2+(-0.0021)*Y477)+Z$2*((-0.000002)*Z477^3+0.00032*Z477^2+(-0.0021)*Z477)+AA$2*((-0.000002)*AA477^3+0.00032*AA477^2+(-0.0021)*AA477))</f>
        <v/>
      </c>
      <c r="AL477" s="5">
        <f>AB$1*((-0.000002)*AB477^3+0.00032*AB477^2+(-0.0021)*AB477)+AC$1*((-0.000002)*AC477^3+0.00032*AC477^2+(-0.0021)*AC477)</f>
        <v/>
      </c>
      <c r="AM477" s="5">
        <f>AD$1*((-0.000002)*AD477^3+0.00032*AD477^2+(-0.0021)*AD477)+AE$1*((-0.000002)*AE477^3+0.00032*AE477^2+(-0.0021)*AE477)+AF$1*((-0.000002)*AF477^3+0.00032*AF477^2+(-0.0021)*AF477)+AG$1*((-0.000002)*AG477^3+0.00032*AG477^2+(-0.0021)*AG477)</f>
        <v/>
      </c>
    </row>
    <row r="478" ht="15" customHeight="1" s="27" thickBot="1">
      <c r="A478">
        <f>(AI478*AI$3+AJ478*AJ$3+AK478*AK$3+AL478*AL$3+AM478*AM$3)*100/(AI$5*AI$3+AJ$5*AJ$3+AK$5*AK$3+AL$5*AL$3+AM$5*AM$3)</f>
        <v/>
      </c>
      <c r="B478" s="18" t="n"/>
      <c r="C478" s="11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8" t="n"/>
      <c r="R478" s="11" t="n"/>
      <c r="S478" s="19" t="n"/>
      <c r="T478" s="19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  <c r="AG478" s="19" t="n"/>
      <c r="AH478" s="19" t="n"/>
      <c r="AI478" s="5">
        <f>H$1*((-0.000002)*H478^3+0.00032*H478^2+(-0.0021)*H478)+I$1*((-0.000002)*I478^3+0.00032*I478^2+(-0.0021)*I478)+J$1*((-0.000002)*J478^3+0.00032*J478^2+(-0.0021)*J478)+K$1*((-0.000002)*K478^3+0.00032*K478^2+(-0.0021)*K478)+L$1*((-0.000002)*L478^3+0.00032*L478^2+(-0.0021)*L478)</f>
        <v/>
      </c>
      <c r="AJ478" s="5">
        <f>M$1*((-0.000002)*M478^3+0.00032*M478^2+(-0.0021)*M478)+N$1*((-0.000002)*N478^3+0.00032*N478^2+(-0.0021)*N478)+O$1*((-0.000002)*O478^3+0.00032*O478^2+(-0.0021)*O478)</f>
        <v/>
      </c>
      <c r="AK478" s="5">
        <f>IF(AA478&lt;50,W$1*((-0.000002)*W478^3+0.00032*W478^2+(-0.0021)*W478)+X$1*((-0.000002)*X478^3+0.00032*X478^2+(-0.0021)*X478)+Y$1*((-0.000002)*Y478^3+0.00032*Y478^2+(-0.0021)*Y478)+Z$1*((-0.000002)*Z478^3+0.00032*Z478^2+(-0.0021)*Z478),X$2*((-0.000002)*X478^3+0.00032*X478^2+(-0.0021)*X478)+Y$2*((-0.000002)*Y478^3+0.00032*Y478^2+(-0.0021)*Y478)+Z$2*((-0.000002)*Z478^3+0.00032*Z478^2+(-0.0021)*Z478)+AA$2*((-0.000002)*AA478^3+0.00032*AA478^2+(-0.0021)*AA478))</f>
        <v/>
      </c>
      <c r="AL478" s="5">
        <f>AB$1*((-0.000002)*AB478^3+0.00032*AB478^2+(-0.0021)*AB478)+AC$1*((-0.000002)*AC478^3+0.00032*AC478^2+(-0.0021)*AC478)</f>
        <v/>
      </c>
      <c r="AM478" s="5">
        <f>AD$1*((-0.000002)*AD478^3+0.00032*AD478^2+(-0.0021)*AD478)+AE$1*((-0.000002)*AE478^3+0.00032*AE478^2+(-0.0021)*AE478)+AF$1*((-0.000002)*AF478^3+0.00032*AF478^2+(-0.0021)*AF478)+AG$1*((-0.000002)*AG478^3+0.00032*AG478^2+(-0.0021)*AG478)</f>
        <v/>
      </c>
    </row>
    <row r="479" ht="15" customHeight="1" s="27" thickBot="1">
      <c r="A479">
        <f>(AI479*AI$3+AJ479*AJ$3+AK479*AK$3+AL479*AL$3+AM479*AM$3)*100/(AI$5*AI$3+AJ$5*AJ$3+AK$5*AK$3+AL$5*AL$3+AM$5*AM$3)</f>
        <v/>
      </c>
      <c r="B479" s="16" t="n"/>
      <c r="C479" s="10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6" t="n"/>
      <c r="R479" s="10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5">
        <f>H$1*((-0.000002)*H479^3+0.00032*H479^2+(-0.0021)*H479)+I$1*((-0.000002)*I479^3+0.00032*I479^2+(-0.0021)*I479)+J$1*((-0.000002)*J479^3+0.00032*J479^2+(-0.0021)*J479)+K$1*((-0.000002)*K479^3+0.00032*K479^2+(-0.0021)*K479)+L$1*((-0.000002)*L479^3+0.00032*L479^2+(-0.0021)*L479)</f>
        <v/>
      </c>
      <c r="AJ479" s="5">
        <f>M$1*((-0.000002)*M479^3+0.00032*M479^2+(-0.0021)*M479)+N$1*((-0.000002)*N479^3+0.00032*N479^2+(-0.0021)*N479)+O$1*((-0.000002)*O479^3+0.00032*O479^2+(-0.0021)*O479)</f>
        <v/>
      </c>
      <c r="AK479" s="5">
        <f>IF(AA479&lt;50,W$1*((-0.000002)*W479^3+0.00032*W479^2+(-0.0021)*W479)+X$1*((-0.000002)*X479^3+0.00032*X479^2+(-0.0021)*X479)+Y$1*((-0.000002)*Y479^3+0.00032*Y479^2+(-0.0021)*Y479)+Z$1*((-0.000002)*Z479^3+0.00032*Z479^2+(-0.0021)*Z479),X$2*((-0.000002)*X479^3+0.00032*X479^2+(-0.0021)*X479)+Y$2*((-0.000002)*Y479^3+0.00032*Y479^2+(-0.0021)*Y479)+Z$2*((-0.000002)*Z479^3+0.00032*Z479^2+(-0.0021)*Z479)+AA$2*((-0.000002)*AA479^3+0.00032*AA479^2+(-0.0021)*AA479))</f>
        <v/>
      </c>
      <c r="AL479" s="5">
        <f>AB$1*((-0.000002)*AB479^3+0.00032*AB479^2+(-0.0021)*AB479)+AC$1*((-0.000002)*AC479^3+0.00032*AC479^2+(-0.0021)*AC479)</f>
        <v/>
      </c>
      <c r="AM479" s="5">
        <f>AD$1*((-0.000002)*AD479^3+0.00032*AD479^2+(-0.0021)*AD479)+AE$1*((-0.000002)*AE479^3+0.00032*AE479^2+(-0.0021)*AE479)+AF$1*((-0.000002)*AF479^3+0.00032*AF479^2+(-0.0021)*AF479)+AG$1*((-0.000002)*AG479^3+0.00032*AG479^2+(-0.0021)*AG479)</f>
        <v/>
      </c>
    </row>
    <row r="480" ht="15" customHeight="1" s="27" thickBot="1">
      <c r="A480">
        <f>(AI480*AI$3+AJ480*AJ$3+AK480*AK$3+AL480*AL$3+AM480*AM$3)*100/(AI$5*AI$3+AJ$5*AJ$3+AK$5*AK$3+AL$5*AL$3+AM$5*AM$3)</f>
        <v/>
      </c>
      <c r="B480" s="18" t="n"/>
      <c r="C480" s="11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8" t="n"/>
      <c r="R480" s="11" t="n"/>
      <c r="S480" s="19" t="n"/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  <c r="AI480" s="5">
        <f>H$1*((-0.000002)*H480^3+0.00032*H480^2+(-0.0021)*H480)+I$1*((-0.000002)*I480^3+0.00032*I480^2+(-0.0021)*I480)+J$1*((-0.000002)*J480^3+0.00032*J480^2+(-0.0021)*J480)+K$1*((-0.000002)*K480^3+0.00032*K480^2+(-0.0021)*K480)+L$1*((-0.000002)*L480^3+0.00032*L480^2+(-0.0021)*L480)</f>
        <v/>
      </c>
      <c r="AJ480" s="5">
        <f>M$1*((-0.000002)*M480^3+0.00032*M480^2+(-0.0021)*M480)+N$1*((-0.000002)*N480^3+0.00032*N480^2+(-0.0021)*N480)+O$1*((-0.000002)*O480^3+0.00032*O480^2+(-0.0021)*O480)</f>
        <v/>
      </c>
      <c r="AK480" s="5">
        <f>IF(AA480&lt;50,W$1*((-0.000002)*W480^3+0.00032*W480^2+(-0.0021)*W480)+X$1*((-0.000002)*X480^3+0.00032*X480^2+(-0.0021)*X480)+Y$1*((-0.000002)*Y480^3+0.00032*Y480^2+(-0.0021)*Y480)+Z$1*((-0.000002)*Z480^3+0.00032*Z480^2+(-0.0021)*Z480),X$2*((-0.000002)*X480^3+0.00032*X480^2+(-0.0021)*X480)+Y$2*((-0.000002)*Y480^3+0.00032*Y480^2+(-0.0021)*Y480)+Z$2*((-0.000002)*Z480^3+0.00032*Z480^2+(-0.0021)*Z480)+AA$2*((-0.000002)*AA480^3+0.00032*AA480^2+(-0.0021)*AA480))</f>
        <v/>
      </c>
      <c r="AL480" s="5">
        <f>AB$1*((-0.000002)*AB480^3+0.00032*AB480^2+(-0.0021)*AB480)+AC$1*((-0.000002)*AC480^3+0.00032*AC480^2+(-0.0021)*AC480)</f>
        <v/>
      </c>
      <c r="AM480" s="5">
        <f>AD$1*((-0.000002)*AD480^3+0.00032*AD480^2+(-0.0021)*AD480)+AE$1*((-0.000002)*AE480^3+0.00032*AE480^2+(-0.0021)*AE480)+AF$1*((-0.000002)*AF480^3+0.00032*AF480^2+(-0.0021)*AF480)+AG$1*((-0.000002)*AG480^3+0.00032*AG480^2+(-0.0021)*AG480)</f>
        <v/>
      </c>
    </row>
    <row r="481" ht="15" customHeight="1" s="27" thickBot="1">
      <c r="A481">
        <f>(AI481*AI$3+AJ481*AJ$3+AK481*AK$3+AL481*AL$3+AM481*AM$3)*100/(AI$5*AI$3+AJ$5*AJ$3+AK$5*AK$3+AL$5*AL$3+AM$5*AM$3)</f>
        <v/>
      </c>
      <c r="B481" s="16" t="n"/>
      <c r="C481" s="10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6" t="n"/>
      <c r="R481" s="10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5">
        <f>H$1*((-0.000002)*H481^3+0.00032*H481^2+(-0.0021)*H481)+I$1*((-0.000002)*I481^3+0.00032*I481^2+(-0.0021)*I481)+J$1*((-0.000002)*J481^3+0.00032*J481^2+(-0.0021)*J481)+K$1*((-0.000002)*K481^3+0.00032*K481^2+(-0.0021)*K481)+L$1*((-0.000002)*L481^3+0.00032*L481^2+(-0.0021)*L481)</f>
        <v/>
      </c>
      <c r="AJ481" s="5">
        <f>M$1*((-0.000002)*M481^3+0.00032*M481^2+(-0.0021)*M481)+N$1*((-0.000002)*N481^3+0.00032*N481^2+(-0.0021)*N481)+O$1*((-0.000002)*O481^3+0.00032*O481^2+(-0.0021)*O481)</f>
        <v/>
      </c>
      <c r="AK481" s="5">
        <f>IF(AA481&lt;50,W$1*((-0.000002)*W481^3+0.00032*W481^2+(-0.0021)*W481)+X$1*((-0.000002)*X481^3+0.00032*X481^2+(-0.0021)*X481)+Y$1*((-0.000002)*Y481^3+0.00032*Y481^2+(-0.0021)*Y481)+Z$1*((-0.000002)*Z481^3+0.00032*Z481^2+(-0.0021)*Z481),X$2*((-0.000002)*X481^3+0.00032*X481^2+(-0.0021)*X481)+Y$2*((-0.000002)*Y481^3+0.00032*Y481^2+(-0.0021)*Y481)+Z$2*((-0.000002)*Z481^3+0.00032*Z481^2+(-0.0021)*Z481)+AA$2*((-0.000002)*AA481^3+0.00032*AA481^2+(-0.0021)*AA481))</f>
        <v/>
      </c>
      <c r="AL481" s="5">
        <f>AB$1*((-0.000002)*AB481^3+0.00032*AB481^2+(-0.0021)*AB481)+AC$1*((-0.000002)*AC481^3+0.00032*AC481^2+(-0.0021)*AC481)</f>
        <v/>
      </c>
      <c r="AM481" s="5">
        <f>AD$1*((-0.000002)*AD481^3+0.00032*AD481^2+(-0.0021)*AD481)+AE$1*((-0.000002)*AE481^3+0.00032*AE481^2+(-0.0021)*AE481)+AF$1*((-0.000002)*AF481^3+0.00032*AF481^2+(-0.0021)*AF481)+AG$1*((-0.000002)*AG481^3+0.00032*AG481^2+(-0.0021)*AG481)</f>
        <v/>
      </c>
    </row>
    <row r="482" ht="15" customHeight="1" s="27" thickBot="1">
      <c r="A482">
        <f>(AI482*AI$3+AJ482*AJ$3+AK482*AK$3+AL482*AL$3+AM482*AM$3)*100/(AI$5*AI$3+AJ$5*AJ$3+AK$5*AK$3+AL$5*AL$3+AM$5*AM$3)</f>
        <v/>
      </c>
      <c r="B482" s="18" t="n"/>
      <c r="C482" s="11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8" t="n"/>
      <c r="R482" s="11" t="n"/>
      <c r="S482" s="19" t="n"/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  <c r="AH482" s="19" t="n"/>
      <c r="AI482" s="5">
        <f>H$1*((-0.000002)*H482^3+0.00032*H482^2+(-0.0021)*H482)+I$1*((-0.000002)*I482^3+0.00032*I482^2+(-0.0021)*I482)+J$1*((-0.000002)*J482^3+0.00032*J482^2+(-0.0021)*J482)+K$1*((-0.000002)*K482^3+0.00032*K482^2+(-0.0021)*K482)+L$1*((-0.000002)*L482^3+0.00032*L482^2+(-0.0021)*L482)</f>
        <v/>
      </c>
      <c r="AJ482" s="5">
        <f>M$1*((-0.000002)*M482^3+0.00032*M482^2+(-0.0021)*M482)+N$1*((-0.000002)*N482^3+0.00032*N482^2+(-0.0021)*N482)+O$1*((-0.000002)*O482^3+0.00032*O482^2+(-0.0021)*O482)</f>
        <v/>
      </c>
      <c r="AK482" s="5">
        <f>IF(AA482&lt;50,W$1*((-0.000002)*W482^3+0.00032*W482^2+(-0.0021)*W482)+X$1*((-0.000002)*X482^3+0.00032*X482^2+(-0.0021)*X482)+Y$1*((-0.000002)*Y482^3+0.00032*Y482^2+(-0.0021)*Y482)+Z$1*((-0.000002)*Z482^3+0.00032*Z482^2+(-0.0021)*Z482),X$2*((-0.000002)*X482^3+0.00032*X482^2+(-0.0021)*X482)+Y$2*((-0.000002)*Y482^3+0.00032*Y482^2+(-0.0021)*Y482)+Z$2*((-0.000002)*Z482^3+0.00032*Z482^2+(-0.0021)*Z482)+AA$2*((-0.000002)*AA482^3+0.00032*AA482^2+(-0.0021)*AA482))</f>
        <v/>
      </c>
      <c r="AL482" s="5">
        <f>AB$1*((-0.000002)*AB482^3+0.00032*AB482^2+(-0.0021)*AB482)+AC$1*((-0.000002)*AC482^3+0.00032*AC482^2+(-0.0021)*AC482)</f>
        <v/>
      </c>
      <c r="AM482" s="5">
        <f>AD$1*((-0.000002)*AD482^3+0.00032*AD482^2+(-0.0021)*AD482)+AE$1*((-0.000002)*AE482^3+0.00032*AE482^2+(-0.0021)*AE482)+AF$1*((-0.000002)*AF482^3+0.00032*AF482^2+(-0.0021)*AF482)+AG$1*((-0.000002)*AG482^3+0.00032*AG482^2+(-0.0021)*AG482)</f>
        <v/>
      </c>
    </row>
    <row r="483" ht="15" customHeight="1" s="27" thickBot="1">
      <c r="A483">
        <f>(AI483*AI$3+AJ483*AJ$3+AK483*AK$3+AL483*AL$3+AM483*AM$3)*100/(AI$5*AI$3+AJ$5*AJ$3+AK$5*AK$3+AL$5*AL$3+AM$5*AM$3)</f>
        <v/>
      </c>
      <c r="B483" s="16" t="n"/>
      <c r="C483" s="10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6" t="n"/>
      <c r="R483" s="10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5">
        <f>H$1*((-0.000002)*H483^3+0.00032*H483^2+(-0.0021)*H483)+I$1*((-0.000002)*I483^3+0.00032*I483^2+(-0.0021)*I483)+J$1*((-0.000002)*J483^3+0.00032*J483^2+(-0.0021)*J483)+K$1*((-0.000002)*K483^3+0.00032*K483^2+(-0.0021)*K483)+L$1*((-0.000002)*L483^3+0.00032*L483^2+(-0.0021)*L483)</f>
        <v/>
      </c>
      <c r="AJ483" s="5">
        <f>M$1*((-0.000002)*M483^3+0.00032*M483^2+(-0.0021)*M483)+N$1*((-0.000002)*N483^3+0.00032*N483^2+(-0.0021)*N483)+O$1*((-0.000002)*O483^3+0.00032*O483^2+(-0.0021)*O483)</f>
        <v/>
      </c>
      <c r="AK483" s="5">
        <f>IF(AA483&lt;50,W$1*((-0.000002)*W483^3+0.00032*W483^2+(-0.0021)*W483)+X$1*((-0.000002)*X483^3+0.00032*X483^2+(-0.0021)*X483)+Y$1*((-0.000002)*Y483^3+0.00032*Y483^2+(-0.0021)*Y483)+Z$1*((-0.000002)*Z483^3+0.00032*Z483^2+(-0.0021)*Z483),X$2*((-0.000002)*X483^3+0.00032*X483^2+(-0.0021)*X483)+Y$2*((-0.000002)*Y483^3+0.00032*Y483^2+(-0.0021)*Y483)+Z$2*((-0.000002)*Z483^3+0.00032*Z483^2+(-0.0021)*Z483)+AA$2*((-0.000002)*AA483^3+0.00032*AA483^2+(-0.0021)*AA483))</f>
        <v/>
      </c>
      <c r="AL483" s="5">
        <f>AB$1*((-0.000002)*AB483^3+0.00032*AB483^2+(-0.0021)*AB483)+AC$1*((-0.000002)*AC483^3+0.00032*AC483^2+(-0.0021)*AC483)</f>
        <v/>
      </c>
      <c r="AM483" s="5">
        <f>AD$1*((-0.000002)*AD483^3+0.00032*AD483^2+(-0.0021)*AD483)+AE$1*((-0.000002)*AE483^3+0.00032*AE483^2+(-0.0021)*AE483)+AF$1*((-0.000002)*AF483^3+0.00032*AF483^2+(-0.0021)*AF483)+AG$1*((-0.000002)*AG483^3+0.00032*AG483^2+(-0.0021)*AG483)</f>
        <v/>
      </c>
    </row>
    <row r="484" ht="15" customHeight="1" s="27" thickBot="1">
      <c r="A484">
        <f>(AI484*AI$3+AJ484*AJ$3+AK484*AK$3+AL484*AL$3+AM484*AM$3)*100/(AI$5*AI$3+AJ$5*AJ$3+AK$5*AK$3+AL$5*AL$3+AM$5*AM$3)</f>
        <v/>
      </c>
      <c r="B484" s="18" t="n"/>
      <c r="C484" s="11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8" t="n"/>
      <c r="R484" s="11" t="n"/>
      <c r="S484" s="19" t="n"/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  <c r="AI484" s="5">
        <f>H$1*((-0.000002)*H484^3+0.00032*H484^2+(-0.0021)*H484)+I$1*((-0.000002)*I484^3+0.00032*I484^2+(-0.0021)*I484)+J$1*((-0.000002)*J484^3+0.00032*J484^2+(-0.0021)*J484)+K$1*((-0.000002)*K484^3+0.00032*K484^2+(-0.0021)*K484)+L$1*((-0.000002)*L484^3+0.00032*L484^2+(-0.0021)*L484)</f>
        <v/>
      </c>
      <c r="AJ484" s="5">
        <f>M$1*((-0.000002)*M484^3+0.00032*M484^2+(-0.0021)*M484)+N$1*((-0.000002)*N484^3+0.00032*N484^2+(-0.0021)*N484)+O$1*((-0.000002)*O484^3+0.00032*O484^2+(-0.0021)*O484)</f>
        <v/>
      </c>
      <c r="AK484" s="5">
        <f>IF(AA484&lt;50,W$1*((-0.000002)*W484^3+0.00032*W484^2+(-0.0021)*W484)+X$1*((-0.000002)*X484^3+0.00032*X484^2+(-0.0021)*X484)+Y$1*((-0.000002)*Y484^3+0.00032*Y484^2+(-0.0021)*Y484)+Z$1*((-0.000002)*Z484^3+0.00032*Z484^2+(-0.0021)*Z484),X$2*((-0.000002)*X484^3+0.00032*X484^2+(-0.0021)*X484)+Y$2*((-0.000002)*Y484^3+0.00032*Y484^2+(-0.0021)*Y484)+Z$2*((-0.000002)*Z484^3+0.00032*Z484^2+(-0.0021)*Z484)+AA$2*((-0.000002)*AA484^3+0.00032*AA484^2+(-0.0021)*AA484))</f>
        <v/>
      </c>
      <c r="AL484" s="5">
        <f>AB$1*((-0.000002)*AB484^3+0.00032*AB484^2+(-0.0021)*AB484)+AC$1*((-0.000002)*AC484^3+0.00032*AC484^2+(-0.0021)*AC484)</f>
        <v/>
      </c>
      <c r="AM484" s="5">
        <f>AD$1*((-0.000002)*AD484^3+0.00032*AD484^2+(-0.0021)*AD484)+AE$1*((-0.000002)*AE484^3+0.00032*AE484^2+(-0.0021)*AE484)+AF$1*((-0.000002)*AF484^3+0.00032*AF484^2+(-0.0021)*AF484)+AG$1*((-0.000002)*AG484^3+0.00032*AG484^2+(-0.0021)*AG484)</f>
        <v/>
      </c>
    </row>
    <row r="485" ht="15" customHeight="1" s="27" thickBot="1">
      <c r="A485">
        <f>(AI485*AI$3+AJ485*AJ$3+AK485*AK$3+AL485*AL$3+AM485*AM$3)*100/(AI$5*AI$3+AJ$5*AJ$3+AK$5*AK$3+AL$5*AL$3+AM$5*AM$3)</f>
        <v/>
      </c>
      <c r="B485" s="16" t="n"/>
      <c r="C485" s="10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6" t="n"/>
      <c r="R485" s="10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5">
        <f>H$1*((-0.000002)*H485^3+0.00032*H485^2+(-0.0021)*H485)+I$1*((-0.000002)*I485^3+0.00032*I485^2+(-0.0021)*I485)+J$1*((-0.000002)*J485^3+0.00032*J485^2+(-0.0021)*J485)+K$1*((-0.000002)*K485^3+0.00032*K485^2+(-0.0021)*K485)+L$1*((-0.000002)*L485^3+0.00032*L485^2+(-0.0021)*L485)</f>
        <v/>
      </c>
      <c r="AJ485" s="5">
        <f>M$1*((-0.000002)*M485^3+0.00032*M485^2+(-0.0021)*M485)+N$1*((-0.000002)*N485^3+0.00032*N485^2+(-0.0021)*N485)+O$1*((-0.000002)*O485^3+0.00032*O485^2+(-0.0021)*O485)</f>
        <v/>
      </c>
      <c r="AK485" s="5">
        <f>IF(AA485&lt;50,W$1*((-0.000002)*W485^3+0.00032*W485^2+(-0.0021)*W485)+X$1*((-0.000002)*X485^3+0.00032*X485^2+(-0.0021)*X485)+Y$1*((-0.000002)*Y485^3+0.00032*Y485^2+(-0.0021)*Y485)+Z$1*((-0.000002)*Z485^3+0.00032*Z485^2+(-0.0021)*Z485),X$2*((-0.000002)*X485^3+0.00032*X485^2+(-0.0021)*X485)+Y$2*((-0.000002)*Y485^3+0.00032*Y485^2+(-0.0021)*Y485)+Z$2*((-0.000002)*Z485^3+0.00032*Z485^2+(-0.0021)*Z485)+AA$2*((-0.000002)*AA485^3+0.00032*AA485^2+(-0.0021)*AA485))</f>
        <v/>
      </c>
      <c r="AL485" s="5">
        <f>AB$1*((-0.000002)*AB485^3+0.00032*AB485^2+(-0.0021)*AB485)+AC$1*((-0.000002)*AC485^3+0.00032*AC485^2+(-0.0021)*AC485)</f>
        <v/>
      </c>
      <c r="AM485" s="5">
        <f>AD$1*((-0.000002)*AD485^3+0.00032*AD485^2+(-0.0021)*AD485)+AE$1*((-0.000002)*AE485^3+0.00032*AE485^2+(-0.0021)*AE485)+AF$1*((-0.000002)*AF485^3+0.00032*AF485^2+(-0.0021)*AF485)+AG$1*((-0.000002)*AG485^3+0.00032*AG485^2+(-0.0021)*AG485)</f>
        <v/>
      </c>
    </row>
    <row r="486" ht="15" customHeight="1" s="27" thickBot="1">
      <c r="A486">
        <f>(AI486*AI$3+AJ486*AJ$3+AK486*AK$3+AL486*AL$3+AM486*AM$3)*100/(AI$5*AI$3+AJ$5*AJ$3+AK$5*AK$3+AL$5*AL$3+AM$5*AM$3)</f>
        <v/>
      </c>
      <c r="B486" s="18" t="n"/>
      <c r="C486" s="11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8" t="n"/>
      <c r="R486" s="11" t="n"/>
      <c r="S486" s="19" t="n"/>
      <c r="T486" s="19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  <c r="AG486" s="19" t="n"/>
      <c r="AH486" s="19" t="n"/>
      <c r="AI486" s="5">
        <f>H$1*((-0.000002)*H486^3+0.00032*H486^2+(-0.0021)*H486)+I$1*((-0.000002)*I486^3+0.00032*I486^2+(-0.0021)*I486)+J$1*((-0.000002)*J486^3+0.00032*J486^2+(-0.0021)*J486)+K$1*((-0.000002)*K486^3+0.00032*K486^2+(-0.0021)*K486)+L$1*((-0.000002)*L486^3+0.00032*L486^2+(-0.0021)*L486)</f>
        <v/>
      </c>
      <c r="AJ486" s="5">
        <f>M$1*((-0.000002)*M486^3+0.00032*M486^2+(-0.0021)*M486)+N$1*((-0.000002)*N486^3+0.00032*N486^2+(-0.0021)*N486)+O$1*((-0.000002)*O486^3+0.00032*O486^2+(-0.0021)*O486)</f>
        <v/>
      </c>
      <c r="AK486" s="5">
        <f>IF(AA486&lt;50,W$1*((-0.000002)*W486^3+0.00032*W486^2+(-0.0021)*W486)+X$1*((-0.000002)*X486^3+0.00032*X486^2+(-0.0021)*X486)+Y$1*((-0.000002)*Y486^3+0.00032*Y486^2+(-0.0021)*Y486)+Z$1*((-0.000002)*Z486^3+0.00032*Z486^2+(-0.0021)*Z486),X$2*((-0.000002)*X486^3+0.00032*X486^2+(-0.0021)*X486)+Y$2*((-0.000002)*Y486^3+0.00032*Y486^2+(-0.0021)*Y486)+Z$2*((-0.000002)*Z486^3+0.00032*Z486^2+(-0.0021)*Z486)+AA$2*((-0.000002)*AA486^3+0.00032*AA486^2+(-0.0021)*AA486))</f>
        <v/>
      </c>
      <c r="AL486" s="5">
        <f>AB$1*((-0.000002)*AB486^3+0.00032*AB486^2+(-0.0021)*AB486)+AC$1*((-0.000002)*AC486^3+0.00032*AC486^2+(-0.0021)*AC486)</f>
        <v/>
      </c>
      <c r="AM486" s="5">
        <f>AD$1*((-0.000002)*AD486^3+0.00032*AD486^2+(-0.0021)*AD486)+AE$1*((-0.000002)*AE486^3+0.00032*AE486^2+(-0.0021)*AE486)+AF$1*((-0.000002)*AF486^3+0.00032*AF486^2+(-0.0021)*AF486)+AG$1*((-0.000002)*AG486^3+0.00032*AG486^2+(-0.0021)*AG486)</f>
        <v/>
      </c>
    </row>
    <row r="487" ht="15" customHeight="1" s="27" thickBot="1">
      <c r="A487">
        <f>(AI487*AI$3+AJ487*AJ$3+AK487*AK$3+AL487*AL$3+AM487*AM$3)*100/(AI$5*AI$3+AJ$5*AJ$3+AK$5*AK$3+AL$5*AL$3+AM$5*AM$3)</f>
        <v/>
      </c>
      <c r="B487" s="16" t="n"/>
      <c r="C487" s="10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6" t="n"/>
      <c r="R487" s="10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5">
        <f>H$1*((-0.000002)*H487^3+0.00032*H487^2+(-0.0021)*H487)+I$1*((-0.000002)*I487^3+0.00032*I487^2+(-0.0021)*I487)+J$1*((-0.000002)*J487^3+0.00032*J487^2+(-0.0021)*J487)+K$1*((-0.000002)*K487^3+0.00032*K487^2+(-0.0021)*K487)+L$1*((-0.000002)*L487^3+0.00032*L487^2+(-0.0021)*L487)</f>
        <v/>
      </c>
      <c r="AJ487" s="5">
        <f>M$1*((-0.000002)*M487^3+0.00032*M487^2+(-0.0021)*M487)+N$1*((-0.000002)*N487^3+0.00032*N487^2+(-0.0021)*N487)+O$1*((-0.000002)*O487^3+0.00032*O487^2+(-0.0021)*O487)</f>
        <v/>
      </c>
      <c r="AK487" s="5">
        <f>IF(AA487&lt;50,W$1*((-0.000002)*W487^3+0.00032*W487^2+(-0.0021)*W487)+X$1*((-0.000002)*X487^3+0.00032*X487^2+(-0.0021)*X487)+Y$1*((-0.000002)*Y487^3+0.00032*Y487^2+(-0.0021)*Y487)+Z$1*((-0.000002)*Z487^3+0.00032*Z487^2+(-0.0021)*Z487),X$2*((-0.000002)*X487^3+0.00032*X487^2+(-0.0021)*X487)+Y$2*((-0.000002)*Y487^3+0.00032*Y487^2+(-0.0021)*Y487)+Z$2*((-0.000002)*Z487^3+0.00032*Z487^2+(-0.0021)*Z487)+AA$2*((-0.000002)*AA487^3+0.00032*AA487^2+(-0.0021)*AA487))</f>
        <v/>
      </c>
      <c r="AL487" s="5">
        <f>AB$1*((-0.000002)*AB487^3+0.00032*AB487^2+(-0.0021)*AB487)+AC$1*((-0.000002)*AC487^3+0.00032*AC487^2+(-0.0021)*AC487)</f>
        <v/>
      </c>
      <c r="AM487" s="5">
        <f>AD$1*((-0.000002)*AD487^3+0.00032*AD487^2+(-0.0021)*AD487)+AE$1*((-0.000002)*AE487^3+0.00032*AE487^2+(-0.0021)*AE487)+AF$1*((-0.000002)*AF487^3+0.00032*AF487^2+(-0.0021)*AF487)+AG$1*((-0.000002)*AG487^3+0.00032*AG487^2+(-0.0021)*AG487)</f>
        <v/>
      </c>
    </row>
    <row r="488" ht="15" customHeight="1" s="27" thickBot="1">
      <c r="A488">
        <f>(AI488*AI$3+AJ488*AJ$3+AK488*AK$3+AL488*AL$3+AM488*AM$3)*100/(AI$5*AI$3+AJ$5*AJ$3+AK$5*AK$3+AL$5*AL$3+AM$5*AM$3)</f>
        <v/>
      </c>
      <c r="B488" s="18" t="n"/>
      <c r="C488" s="11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8" t="n"/>
      <c r="R488" s="11" t="n"/>
      <c r="S488" s="19" t="n"/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  <c r="AI488" s="5">
        <f>H$1*((-0.000002)*H488^3+0.00032*H488^2+(-0.0021)*H488)+I$1*((-0.000002)*I488^3+0.00032*I488^2+(-0.0021)*I488)+J$1*((-0.000002)*J488^3+0.00032*J488^2+(-0.0021)*J488)+K$1*((-0.000002)*K488^3+0.00032*K488^2+(-0.0021)*K488)+L$1*((-0.000002)*L488^3+0.00032*L488^2+(-0.0021)*L488)</f>
        <v/>
      </c>
      <c r="AJ488" s="5">
        <f>M$1*((-0.000002)*M488^3+0.00032*M488^2+(-0.0021)*M488)+N$1*((-0.000002)*N488^3+0.00032*N488^2+(-0.0021)*N488)+O$1*((-0.000002)*O488^3+0.00032*O488^2+(-0.0021)*O488)</f>
        <v/>
      </c>
      <c r="AK488" s="5">
        <f>IF(AA488&lt;50,W$1*((-0.000002)*W488^3+0.00032*W488^2+(-0.0021)*W488)+X$1*((-0.000002)*X488^3+0.00032*X488^2+(-0.0021)*X488)+Y$1*((-0.000002)*Y488^3+0.00032*Y488^2+(-0.0021)*Y488)+Z$1*((-0.000002)*Z488^3+0.00032*Z488^2+(-0.0021)*Z488),X$2*((-0.000002)*X488^3+0.00032*X488^2+(-0.0021)*X488)+Y$2*((-0.000002)*Y488^3+0.00032*Y488^2+(-0.0021)*Y488)+Z$2*((-0.000002)*Z488^3+0.00032*Z488^2+(-0.0021)*Z488)+AA$2*((-0.000002)*AA488^3+0.00032*AA488^2+(-0.0021)*AA488))</f>
        <v/>
      </c>
      <c r="AL488" s="5">
        <f>AB$1*((-0.000002)*AB488^3+0.00032*AB488^2+(-0.0021)*AB488)+AC$1*((-0.000002)*AC488^3+0.00032*AC488^2+(-0.0021)*AC488)</f>
        <v/>
      </c>
      <c r="AM488" s="5">
        <f>AD$1*((-0.000002)*AD488^3+0.00032*AD488^2+(-0.0021)*AD488)+AE$1*((-0.000002)*AE488^3+0.00032*AE488^2+(-0.0021)*AE488)+AF$1*((-0.000002)*AF488^3+0.00032*AF488^2+(-0.0021)*AF488)+AG$1*((-0.000002)*AG488^3+0.00032*AG488^2+(-0.0021)*AG488)</f>
        <v/>
      </c>
    </row>
    <row r="489" ht="15" customHeight="1" s="27" thickBot="1">
      <c r="A489">
        <f>(AI489*AI$3+AJ489*AJ$3+AK489*AK$3+AL489*AL$3+AM489*AM$3)*100/(AI$5*AI$3+AJ$5*AJ$3+AK$5*AK$3+AL$5*AL$3+AM$5*AM$3)</f>
        <v/>
      </c>
      <c r="B489" s="16" t="n"/>
      <c r="C489" s="10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6" t="n"/>
      <c r="R489" s="10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5">
        <f>H$1*((-0.000002)*H489^3+0.00032*H489^2+(-0.0021)*H489)+I$1*((-0.000002)*I489^3+0.00032*I489^2+(-0.0021)*I489)+J$1*((-0.000002)*J489^3+0.00032*J489^2+(-0.0021)*J489)+K$1*((-0.000002)*K489^3+0.00032*K489^2+(-0.0021)*K489)+L$1*((-0.000002)*L489^3+0.00032*L489^2+(-0.0021)*L489)</f>
        <v/>
      </c>
      <c r="AJ489" s="5">
        <f>M$1*((-0.000002)*M489^3+0.00032*M489^2+(-0.0021)*M489)+N$1*((-0.000002)*N489^3+0.00032*N489^2+(-0.0021)*N489)+O$1*((-0.000002)*O489^3+0.00032*O489^2+(-0.0021)*O489)</f>
        <v/>
      </c>
      <c r="AK489" s="5">
        <f>IF(AA489&lt;50,W$1*((-0.000002)*W489^3+0.00032*W489^2+(-0.0021)*W489)+X$1*((-0.000002)*X489^3+0.00032*X489^2+(-0.0021)*X489)+Y$1*((-0.000002)*Y489^3+0.00032*Y489^2+(-0.0021)*Y489)+Z$1*((-0.000002)*Z489^3+0.00032*Z489^2+(-0.0021)*Z489),X$2*((-0.000002)*X489^3+0.00032*X489^2+(-0.0021)*X489)+Y$2*((-0.000002)*Y489^3+0.00032*Y489^2+(-0.0021)*Y489)+Z$2*((-0.000002)*Z489^3+0.00032*Z489^2+(-0.0021)*Z489)+AA$2*((-0.000002)*AA489^3+0.00032*AA489^2+(-0.0021)*AA489))</f>
        <v/>
      </c>
      <c r="AL489" s="5">
        <f>AB$1*((-0.000002)*AB489^3+0.00032*AB489^2+(-0.0021)*AB489)+AC$1*((-0.000002)*AC489^3+0.00032*AC489^2+(-0.0021)*AC489)</f>
        <v/>
      </c>
      <c r="AM489" s="5">
        <f>AD$1*((-0.000002)*AD489^3+0.00032*AD489^2+(-0.0021)*AD489)+AE$1*((-0.000002)*AE489^3+0.00032*AE489^2+(-0.0021)*AE489)+AF$1*((-0.000002)*AF489^3+0.00032*AF489^2+(-0.0021)*AF489)+AG$1*((-0.000002)*AG489^3+0.00032*AG489^2+(-0.0021)*AG489)</f>
        <v/>
      </c>
    </row>
    <row r="490" ht="15" customHeight="1" s="27" thickBot="1">
      <c r="A490">
        <f>(AI490*AI$3+AJ490*AJ$3+AK490*AK$3+AL490*AL$3+AM490*AM$3)*100/(AI$5*AI$3+AJ$5*AJ$3+AK$5*AK$3+AL$5*AL$3+AM$5*AM$3)</f>
        <v/>
      </c>
      <c r="B490" s="18" t="n"/>
      <c r="C490" s="11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8" t="n"/>
      <c r="R490" s="11" t="n"/>
      <c r="S490" s="19" t="n"/>
      <c r="T490" s="19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  <c r="AG490" s="19" t="n"/>
      <c r="AH490" s="19" t="n"/>
      <c r="AI490" s="5">
        <f>H$1*((-0.000002)*H490^3+0.00032*H490^2+(-0.0021)*H490)+I$1*((-0.000002)*I490^3+0.00032*I490^2+(-0.0021)*I490)+J$1*((-0.000002)*J490^3+0.00032*J490^2+(-0.0021)*J490)+K$1*((-0.000002)*K490^3+0.00032*K490^2+(-0.0021)*K490)+L$1*((-0.000002)*L490^3+0.00032*L490^2+(-0.0021)*L490)</f>
        <v/>
      </c>
      <c r="AJ490" s="5">
        <f>M$1*((-0.000002)*M490^3+0.00032*M490^2+(-0.0021)*M490)+N$1*((-0.000002)*N490^3+0.00032*N490^2+(-0.0021)*N490)+O$1*((-0.000002)*O490^3+0.00032*O490^2+(-0.0021)*O490)</f>
        <v/>
      </c>
      <c r="AK490" s="5">
        <f>IF(AA490&lt;50,W$1*((-0.000002)*W490^3+0.00032*W490^2+(-0.0021)*W490)+X$1*((-0.000002)*X490^3+0.00032*X490^2+(-0.0021)*X490)+Y$1*((-0.000002)*Y490^3+0.00032*Y490^2+(-0.0021)*Y490)+Z$1*((-0.000002)*Z490^3+0.00032*Z490^2+(-0.0021)*Z490),X$2*((-0.000002)*X490^3+0.00032*X490^2+(-0.0021)*X490)+Y$2*((-0.000002)*Y490^3+0.00032*Y490^2+(-0.0021)*Y490)+Z$2*((-0.000002)*Z490^3+0.00032*Z490^2+(-0.0021)*Z490)+AA$2*((-0.000002)*AA490^3+0.00032*AA490^2+(-0.0021)*AA490))</f>
        <v/>
      </c>
      <c r="AL490" s="5">
        <f>AB$1*((-0.000002)*AB490^3+0.00032*AB490^2+(-0.0021)*AB490)+AC$1*((-0.000002)*AC490^3+0.00032*AC490^2+(-0.0021)*AC490)</f>
        <v/>
      </c>
      <c r="AM490" s="5">
        <f>AD$1*((-0.000002)*AD490^3+0.00032*AD490^2+(-0.0021)*AD490)+AE$1*((-0.000002)*AE490^3+0.00032*AE490^2+(-0.0021)*AE490)+AF$1*((-0.000002)*AF490^3+0.00032*AF490^2+(-0.0021)*AF490)+AG$1*((-0.000002)*AG490^3+0.00032*AG490^2+(-0.0021)*AG490)</f>
        <v/>
      </c>
    </row>
    <row r="491" ht="15" customHeight="1" s="27" thickBot="1">
      <c r="A491">
        <f>(AI491*AI$3+AJ491*AJ$3+AK491*AK$3+AL491*AL$3+AM491*AM$3)*100/(AI$5*AI$3+AJ$5*AJ$3+AK$5*AK$3+AL$5*AL$3+AM$5*AM$3)</f>
        <v/>
      </c>
      <c r="B491" s="16" t="n"/>
      <c r="C491" s="10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6" t="n"/>
      <c r="R491" s="10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5">
        <f>H$1*((-0.000002)*H491^3+0.00032*H491^2+(-0.0021)*H491)+I$1*((-0.000002)*I491^3+0.00032*I491^2+(-0.0021)*I491)+J$1*((-0.000002)*J491^3+0.00032*J491^2+(-0.0021)*J491)+K$1*((-0.000002)*K491^3+0.00032*K491^2+(-0.0021)*K491)+L$1*((-0.000002)*L491^3+0.00032*L491^2+(-0.0021)*L491)</f>
        <v/>
      </c>
      <c r="AJ491" s="5">
        <f>M$1*((-0.000002)*M491^3+0.00032*M491^2+(-0.0021)*M491)+N$1*((-0.000002)*N491^3+0.00032*N491^2+(-0.0021)*N491)+O$1*((-0.000002)*O491^3+0.00032*O491^2+(-0.0021)*O491)</f>
        <v/>
      </c>
      <c r="AK491" s="5">
        <f>IF(AA491&lt;50,W$1*((-0.000002)*W491^3+0.00032*W491^2+(-0.0021)*W491)+X$1*((-0.000002)*X491^3+0.00032*X491^2+(-0.0021)*X491)+Y$1*((-0.000002)*Y491^3+0.00032*Y491^2+(-0.0021)*Y491)+Z$1*((-0.000002)*Z491^3+0.00032*Z491^2+(-0.0021)*Z491),X$2*((-0.000002)*X491^3+0.00032*X491^2+(-0.0021)*X491)+Y$2*((-0.000002)*Y491^3+0.00032*Y491^2+(-0.0021)*Y491)+Z$2*((-0.000002)*Z491^3+0.00032*Z491^2+(-0.0021)*Z491)+AA$2*((-0.000002)*AA491^3+0.00032*AA491^2+(-0.0021)*AA491))</f>
        <v/>
      </c>
      <c r="AL491" s="5">
        <f>AB$1*((-0.000002)*AB491^3+0.00032*AB491^2+(-0.0021)*AB491)+AC$1*((-0.000002)*AC491^3+0.00032*AC491^2+(-0.0021)*AC491)</f>
        <v/>
      </c>
      <c r="AM491" s="5">
        <f>AD$1*((-0.000002)*AD491^3+0.00032*AD491^2+(-0.0021)*AD491)+AE$1*((-0.000002)*AE491^3+0.00032*AE491^2+(-0.0021)*AE491)+AF$1*((-0.000002)*AF491^3+0.00032*AF491^2+(-0.0021)*AF491)+AG$1*((-0.000002)*AG491^3+0.00032*AG491^2+(-0.0021)*AG491)</f>
        <v/>
      </c>
    </row>
    <row r="492" ht="15" customHeight="1" s="27" thickBot="1">
      <c r="A492">
        <f>(AI492*AI$3+AJ492*AJ$3+AK492*AK$3+AL492*AL$3+AM492*AM$3)*100/(AI$5*AI$3+AJ$5*AJ$3+AK$5*AK$3+AL$5*AL$3+AM$5*AM$3)</f>
        <v/>
      </c>
      <c r="B492" s="18" t="n"/>
      <c r="C492" s="11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8" t="n"/>
      <c r="R492" s="11" t="n"/>
      <c r="S492" s="19" t="n"/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  <c r="AI492" s="5">
        <f>H$1*((-0.000002)*H492^3+0.00032*H492^2+(-0.0021)*H492)+I$1*((-0.000002)*I492^3+0.00032*I492^2+(-0.0021)*I492)+J$1*((-0.000002)*J492^3+0.00032*J492^2+(-0.0021)*J492)+K$1*((-0.000002)*K492^3+0.00032*K492^2+(-0.0021)*K492)+L$1*((-0.000002)*L492^3+0.00032*L492^2+(-0.0021)*L492)</f>
        <v/>
      </c>
      <c r="AJ492" s="5">
        <f>M$1*((-0.000002)*M492^3+0.00032*M492^2+(-0.0021)*M492)+N$1*((-0.000002)*N492^3+0.00032*N492^2+(-0.0021)*N492)+O$1*((-0.000002)*O492^3+0.00032*O492^2+(-0.0021)*O492)</f>
        <v/>
      </c>
      <c r="AK492" s="5">
        <f>IF(AA492&lt;50,W$1*((-0.000002)*W492^3+0.00032*W492^2+(-0.0021)*W492)+X$1*((-0.000002)*X492^3+0.00032*X492^2+(-0.0021)*X492)+Y$1*((-0.000002)*Y492^3+0.00032*Y492^2+(-0.0021)*Y492)+Z$1*((-0.000002)*Z492^3+0.00032*Z492^2+(-0.0021)*Z492),X$2*((-0.000002)*X492^3+0.00032*X492^2+(-0.0021)*X492)+Y$2*((-0.000002)*Y492^3+0.00032*Y492^2+(-0.0021)*Y492)+Z$2*((-0.000002)*Z492^3+0.00032*Z492^2+(-0.0021)*Z492)+AA$2*((-0.000002)*AA492^3+0.00032*AA492^2+(-0.0021)*AA492))</f>
        <v/>
      </c>
      <c r="AL492" s="5">
        <f>AB$1*((-0.000002)*AB492^3+0.00032*AB492^2+(-0.0021)*AB492)+AC$1*((-0.000002)*AC492^3+0.00032*AC492^2+(-0.0021)*AC492)</f>
        <v/>
      </c>
      <c r="AM492" s="5">
        <f>AD$1*((-0.000002)*AD492^3+0.00032*AD492^2+(-0.0021)*AD492)+AE$1*((-0.000002)*AE492^3+0.00032*AE492^2+(-0.0021)*AE492)+AF$1*((-0.000002)*AF492^3+0.00032*AF492^2+(-0.0021)*AF492)+AG$1*((-0.000002)*AG492^3+0.00032*AG492^2+(-0.0021)*AG492)</f>
        <v/>
      </c>
    </row>
    <row r="493" ht="15" customHeight="1" s="27" thickBot="1">
      <c r="A493">
        <f>(AI493*AI$3+AJ493*AJ$3+AK493*AK$3+AL493*AL$3+AM493*AM$3)*100/(AI$5*AI$3+AJ$5*AJ$3+AK$5*AK$3+AL$5*AL$3+AM$5*AM$3)</f>
        <v/>
      </c>
      <c r="B493" s="16" t="n"/>
      <c r="C493" s="10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6" t="n"/>
      <c r="R493" s="10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5">
        <f>H$1*((-0.000002)*H493^3+0.00032*H493^2+(-0.0021)*H493)+I$1*((-0.000002)*I493^3+0.00032*I493^2+(-0.0021)*I493)+J$1*((-0.000002)*J493^3+0.00032*J493^2+(-0.0021)*J493)+K$1*((-0.000002)*K493^3+0.00032*K493^2+(-0.0021)*K493)+L$1*((-0.000002)*L493^3+0.00032*L493^2+(-0.0021)*L493)</f>
        <v/>
      </c>
      <c r="AJ493" s="5">
        <f>M$1*((-0.000002)*M493^3+0.00032*M493^2+(-0.0021)*M493)+N$1*((-0.000002)*N493^3+0.00032*N493^2+(-0.0021)*N493)+O$1*((-0.000002)*O493^3+0.00032*O493^2+(-0.0021)*O493)</f>
        <v/>
      </c>
      <c r="AK493" s="5">
        <f>IF(AA493&lt;50,W$1*((-0.000002)*W493^3+0.00032*W493^2+(-0.0021)*W493)+X$1*((-0.000002)*X493^3+0.00032*X493^2+(-0.0021)*X493)+Y$1*((-0.000002)*Y493^3+0.00032*Y493^2+(-0.0021)*Y493)+Z$1*((-0.000002)*Z493^3+0.00032*Z493^2+(-0.0021)*Z493),X$2*((-0.000002)*X493^3+0.00032*X493^2+(-0.0021)*X493)+Y$2*((-0.000002)*Y493^3+0.00032*Y493^2+(-0.0021)*Y493)+Z$2*((-0.000002)*Z493^3+0.00032*Z493^2+(-0.0021)*Z493)+AA$2*((-0.000002)*AA493^3+0.00032*AA493^2+(-0.0021)*AA493))</f>
        <v/>
      </c>
      <c r="AL493" s="5">
        <f>AB$1*((-0.000002)*AB493^3+0.00032*AB493^2+(-0.0021)*AB493)+AC$1*((-0.000002)*AC493^3+0.00032*AC493^2+(-0.0021)*AC493)</f>
        <v/>
      </c>
      <c r="AM493" s="5">
        <f>AD$1*((-0.000002)*AD493^3+0.00032*AD493^2+(-0.0021)*AD493)+AE$1*((-0.000002)*AE493^3+0.00032*AE493^2+(-0.0021)*AE493)+AF$1*((-0.000002)*AF493^3+0.00032*AF493^2+(-0.0021)*AF493)+AG$1*((-0.000002)*AG493^3+0.00032*AG493^2+(-0.0021)*AG493)</f>
        <v/>
      </c>
    </row>
    <row r="494" ht="15" customHeight="1" s="27" thickBot="1">
      <c r="A494">
        <f>(AI494*AI$3+AJ494*AJ$3+AK494*AK$3+AL494*AL$3+AM494*AM$3)*100/(AI$5*AI$3+AJ$5*AJ$3+AK$5*AK$3+AL$5*AL$3+AM$5*AM$3)</f>
        <v/>
      </c>
      <c r="B494" s="18" t="n"/>
      <c r="C494" s="11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8" t="n"/>
      <c r="R494" s="11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  <c r="AH494" s="19" t="n"/>
      <c r="AI494" s="5">
        <f>H$1*((-0.000002)*H494^3+0.00032*H494^2+(-0.0021)*H494)+I$1*((-0.000002)*I494^3+0.00032*I494^2+(-0.0021)*I494)+J$1*((-0.000002)*J494^3+0.00032*J494^2+(-0.0021)*J494)+K$1*((-0.000002)*K494^3+0.00032*K494^2+(-0.0021)*K494)+L$1*((-0.000002)*L494^3+0.00032*L494^2+(-0.0021)*L494)</f>
        <v/>
      </c>
      <c r="AJ494" s="5">
        <f>M$1*((-0.000002)*M494^3+0.00032*M494^2+(-0.0021)*M494)+N$1*((-0.000002)*N494^3+0.00032*N494^2+(-0.0021)*N494)+O$1*((-0.000002)*O494^3+0.00032*O494^2+(-0.0021)*O494)</f>
        <v/>
      </c>
      <c r="AK494" s="5">
        <f>IF(AA494&lt;50,W$1*((-0.000002)*W494^3+0.00032*W494^2+(-0.0021)*W494)+X$1*((-0.000002)*X494^3+0.00032*X494^2+(-0.0021)*X494)+Y$1*((-0.000002)*Y494^3+0.00032*Y494^2+(-0.0021)*Y494)+Z$1*((-0.000002)*Z494^3+0.00032*Z494^2+(-0.0021)*Z494),X$2*((-0.000002)*X494^3+0.00032*X494^2+(-0.0021)*X494)+Y$2*((-0.000002)*Y494^3+0.00032*Y494^2+(-0.0021)*Y494)+Z$2*((-0.000002)*Z494^3+0.00032*Z494^2+(-0.0021)*Z494)+AA$2*((-0.000002)*AA494^3+0.00032*AA494^2+(-0.0021)*AA494))</f>
        <v/>
      </c>
      <c r="AL494" s="5">
        <f>AB$1*((-0.000002)*AB494^3+0.00032*AB494^2+(-0.0021)*AB494)+AC$1*((-0.000002)*AC494^3+0.00032*AC494^2+(-0.0021)*AC494)</f>
        <v/>
      </c>
      <c r="AM494" s="5">
        <f>AD$1*((-0.000002)*AD494^3+0.00032*AD494^2+(-0.0021)*AD494)+AE$1*((-0.000002)*AE494^3+0.00032*AE494^2+(-0.0021)*AE494)+AF$1*((-0.000002)*AF494^3+0.00032*AF494^2+(-0.0021)*AF494)+AG$1*((-0.000002)*AG494^3+0.00032*AG494^2+(-0.0021)*AG494)</f>
        <v/>
      </c>
    </row>
    <row r="495" ht="15" customHeight="1" s="27" thickBot="1">
      <c r="A495">
        <f>(AI495*AI$3+AJ495*AJ$3+AK495*AK$3+AL495*AL$3+AM495*AM$3)*100/(AI$5*AI$3+AJ$5*AJ$3+AK$5*AK$3+AL$5*AL$3+AM$5*AM$3)</f>
        <v/>
      </c>
      <c r="B495" s="16" t="n"/>
      <c r="C495" s="10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6" t="n"/>
      <c r="R495" s="10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5">
        <f>H$1*((-0.000002)*H495^3+0.00032*H495^2+(-0.0021)*H495)+I$1*((-0.000002)*I495^3+0.00032*I495^2+(-0.0021)*I495)+J$1*((-0.000002)*J495^3+0.00032*J495^2+(-0.0021)*J495)+K$1*((-0.000002)*K495^3+0.00032*K495^2+(-0.0021)*K495)+L$1*((-0.000002)*L495^3+0.00032*L495^2+(-0.0021)*L495)</f>
        <v/>
      </c>
      <c r="AJ495" s="5">
        <f>M$1*((-0.000002)*M495^3+0.00032*M495^2+(-0.0021)*M495)+N$1*((-0.000002)*N495^3+0.00032*N495^2+(-0.0021)*N495)+O$1*((-0.000002)*O495^3+0.00032*O495^2+(-0.0021)*O495)</f>
        <v/>
      </c>
      <c r="AK495" s="5">
        <f>IF(AA495&lt;50,W$1*((-0.000002)*W495^3+0.00032*W495^2+(-0.0021)*W495)+X$1*((-0.000002)*X495^3+0.00032*X495^2+(-0.0021)*X495)+Y$1*((-0.000002)*Y495^3+0.00032*Y495^2+(-0.0021)*Y495)+Z$1*((-0.000002)*Z495^3+0.00032*Z495^2+(-0.0021)*Z495),X$2*((-0.000002)*X495^3+0.00032*X495^2+(-0.0021)*X495)+Y$2*((-0.000002)*Y495^3+0.00032*Y495^2+(-0.0021)*Y495)+Z$2*((-0.000002)*Z495^3+0.00032*Z495^2+(-0.0021)*Z495)+AA$2*((-0.000002)*AA495^3+0.00032*AA495^2+(-0.0021)*AA495))</f>
        <v/>
      </c>
      <c r="AL495" s="5">
        <f>AB$1*((-0.000002)*AB495^3+0.00032*AB495^2+(-0.0021)*AB495)+AC$1*((-0.000002)*AC495^3+0.00032*AC495^2+(-0.0021)*AC495)</f>
        <v/>
      </c>
      <c r="AM495" s="5">
        <f>AD$1*((-0.000002)*AD495^3+0.00032*AD495^2+(-0.0021)*AD495)+AE$1*((-0.000002)*AE495^3+0.00032*AE495^2+(-0.0021)*AE495)+AF$1*((-0.000002)*AF495^3+0.00032*AF495^2+(-0.0021)*AF495)+AG$1*((-0.000002)*AG495^3+0.00032*AG495^2+(-0.0021)*AG495)</f>
        <v/>
      </c>
    </row>
    <row r="496" ht="15" customHeight="1" s="27" thickBot="1">
      <c r="A496">
        <f>(AI496*AI$3+AJ496*AJ$3+AK496*AK$3+AL496*AL$3+AM496*AM$3)*100/(AI$5*AI$3+AJ$5*AJ$3+AK$5*AK$3+AL$5*AL$3+AM$5*AM$3)</f>
        <v/>
      </c>
      <c r="B496" s="18" t="n"/>
      <c r="C496" s="11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8" t="n"/>
      <c r="R496" s="11" t="n"/>
      <c r="S496" s="19" t="n"/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  <c r="AI496" s="5">
        <f>H$1*((-0.000002)*H496^3+0.00032*H496^2+(-0.0021)*H496)+I$1*((-0.000002)*I496^3+0.00032*I496^2+(-0.0021)*I496)+J$1*((-0.000002)*J496^3+0.00032*J496^2+(-0.0021)*J496)+K$1*((-0.000002)*K496^3+0.00032*K496^2+(-0.0021)*K496)+L$1*((-0.000002)*L496^3+0.00032*L496^2+(-0.0021)*L496)</f>
        <v/>
      </c>
      <c r="AJ496" s="5">
        <f>M$1*((-0.000002)*M496^3+0.00032*M496^2+(-0.0021)*M496)+N$1*((-0.000002)*N496^3+0.00032*N496^2+(-0.0021)*N496)+O$1*((-0.000002)*O496^3+0.00032*O496^2+(-0.0021)*O496)</f>
        <v/>
      </c>
      <c r="AK496" s="5">
        <f>IF(AA496&lt;50,W$1*((-0.000002)*W496^3+0.00032*W496^2+(-0.0021)*W496)+X$1*((-0.000002)*X496^3+0.00032*X496^2+(-0.0021)*X496)+Y$1*((-0.000002)*Y496^3+0.00032*Y496^2+(-0.0021)*Y496)+Z$1*((-0.000002)*Z496^3+0.00032*Z496^2+(-0.0021)*Z496),X$2*((-0.000002)*X496^3+0.00032*X496^2+(-0.0021)*X496)+Y$2*((-0.000002)*Y496^3+0.00032*Y496^2+(-0.0021)*Y496)+Z$2*((-0.000002)*Z496^3+0.00032*Z496^2+(-0.0021)*Z496)+AA$2*((-0.000002)*AA496^3+0.00032*AA496^2+(-0.0021)*AA496))</f>
        <v/>
      </c>
      <c r="AL496" s="5">
        <f>AB$1*((-0.000002)*AB496^3+0.00032*AB496^2+(-0.0021)*AB496)+AC$1*((-0.000002)*AC496^3+0.00032*AC496^2+(-0.0021)*AC496)</f>
        <v/>
      </c>
      <c r="AM496" s="5">
        <f>AD$1*((-0.000002)*AD496^3+0.00032*AD496^2+(-0.0021)*AD496)+AE$1*((-0.000002)*AE496^3+0.00032*AE496^2+(-0.0021)*AE496)+AF$1*((-0.000002)*AF496^3+0.00032*AF496^2+(-0.0021)*AF496)+AG$1*((-0.000002)*AG496^3+0.00032*AG496^2+(-0.0021)*AG496)</f>
        <v/>
      </c>
    </row>
    <row r="497" ht="15" customHeight="1" s="27" thickBot="1">
      <c r="A497">
        <f>(AI497*AI$3+AJ497*AJ$3+AK497*AK$3+AL497*AL$3+AM497*AM$3)*100/(AI$5*AI$3+AJ$5*AJ$3+AK$5*AK$3+AL$5*AL$3+AM$5*AM$3)</f>
        <v/>
      </c>
      <c r="B497" s="16" t="n"/>
      <c r="C497" s="10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6" t="n"/>
      <c r="R497" s="10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5">
        <f>H$1*((-0.000002)*H497^3+0.00032*H497^2+(-0.0021)*H497)+I$1*((-0.000002)*I497^3+0.00032*I497^2+(-0.0021)*I497)+J$1*((-0.000002)*J497^3+0.00032*J497^2+(-0.0021)*J497)+K$1*((-0.000002)*K497^3+0.00032*K497^2+(-0.0021)*K497)+L$1*((-0.000002)*L497^3+0.00032*L497^2+(-0.0021)*L497)</f>
        <v/>
      </c>
      <c r="AJ497" s="5">
        <f>M$1*((-0.000002)*M497^3+0.00032*M497^2+(-0.0021)*M497)+N$1*((-0.000002)*N497^3+0.00032*N497^2+(-0.0021)*N497)+O$1*((-0.000002)*O497^3+0.00032*O497^2+(-0.0021)*O497)</f>
        <v/>
      </c>
      <c r="AK497" s="5">
        <f>IF(AA497&lt;50,W$1*((-0.000002)*W497^3+0.00032*W497^2+(-0.0021)*W497)+X$1*((-0.000002)*X497^3+0.00032*X497^2+(-0.0021)*X497)+Y$1*((-0.000002)*Y497^3+0.00032*Y497^2+(-0.0021)*Y497)+Z$1*((-0.000002)*Z497^3+0.00032*Z497^2+(-0.0021)*Z497),X$2*((-0.000002)*X497^3+0.00032*X497^2+(-0.0021)*X497)+Y$2*((-0.000002)*Y497^3+0.00032*Y497^2+(-0.0021)*Y497)+Z$2*((-0.000002)*Z497^3+0.00032*Z497^2+(-0.0021)*Z497)+AA$2*((-0.000002)*AA497^3+0.00032*AA497^2+(-0.0021)*AA497))</f>
        <v/>
      </c>
      <c r="AL497" s="5">
        <f>AB$1*((-0.000002)*AB497^3+0.00032*AB497^2+(-0.0021)*AB497)+AC$1*((-0.000002)*AC497^3+0.00032*AC497^2+(-0.0021)*AC497)</f>
        <v/>
      </c>
      <c r="AM497" s="5">
        <f>AD$1*((-0.000002)*AD497^3+0.00032*AD497^2+(-0.0021)*AD497)+AE$1*((-0.000002)*AE497^3+0.00032*AE497^2+(-0.0021)*AE497)+AF$1*((-0.000002)*AF497^3+0.00032*AF497^2+(-0.0021)*AF497)+AG$1*((-0.000002)*AG497^3+0.00032*AG497^2+(-0.0021)*AG497)</f>
        <v/>
      </c>
    </row>
    <row r="498" ht="15" customHeight="1" s="27" thickBot="1">
      <c r="A498">
        <f>(AI498*AI$3+AJ498*AJ$3+AK498*AK$3+AL498*AL$3+AM498*AM$3)*100/(AI$5*AI$3+AJ$5*AJ$3+AK$5*AK$3+AL$5*AL$3+AM$5*AM$3)</f>
        <v/>
      </c>
      <c r="B498" s="18" t="n"/>
      <c r="C498" s="11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8" t="n"/>
      <c r="R498" s="11" t="n"/>
      <c r="S498" s="19" t="n"/>
      <c r="T498" s="19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  <c r="AG498" s="19" t="n"/>
      <c r="AH498" s="19" t="n"/>
      <c r="AI498" s="5">
        <f>H$1*((-0.000002)*H498^3+0.00032*H498^2+(-0.0021)*H498)+I$1*((-0.000002)*I498^3+0.00032*I498^2+(-0.0021)*I498)+J$1*((-0.000002)*J498^3+0.00032*J498^2+(-0.0021)*J498)+K$1*((-0.000002)*K498^3+0.00032*K498^2+(-0.0021)*K498)+L$1*((-0.000002)*L498^3+0.00032*L498^2+(-0.0021)*L498)</f>
        <v/>
      </c>
      <c r="AJ498" s="5">
        <f>M$1*((-0.000002)*M498^3+0.00032*M498^2+(-0.0021)*M498)+N$1*((-0.000002)*N498^3+0.00032*N498^2+(-0.0021)*N498)+O$1*((-0.000002)*O498^3+0.00032*O498^2+(-0.0021)*O498)</f>
        <v/>
      </c>
      <c r="AK498" s="5">
        <f>IF(AA498&lt;50,W$1*((-0.000002)*W498^3+0.00032*W498^2+(-0.0021)*W498)+X$1*((-0.000002)*X498^3+0.00032*X498^2+(-0.0021)*X498)+Y$1*((-0.000002)*Y498^3+0.00032*Y498^2+(-0.0021)*Y498)+Z$1*((-0.000002)*Z498^3+0.00032*Z498^2+(-0.0021)*Z498),X$2*((-0.000002)*X498^3+0.00032*X498^2+(-0.0021)*X498)+Y$2*((-0.000002)*Y498^3+0.00032*Y498^2+(-0.0021)*Y498)+Z$2*((-0.000002)*Z498^3+0.00032*Z498^2+(-0.0021)*Z498)+AA$2*((-0.000002)*AA498^3+0.00032*AA498^2+(-0.0021)*AA498))</f>
        <v/>
      </c>
      <c r="AL498" s="5">
        <f>AB$1*((-0.000002)*AB498^3+0.00032*AB498^2+(-0.0021)*AB498)+AC$1*((-0.000002)*AC498^3+0.00032*AC498^2+(-0.0021)*AC498)</f>
        <v/>
      </c>
      <c r="AM498" s="5">
        <f>AD$1*((-0.000002)*AD498^3+0.00032*AD498^2+(-0.0021)*AD498)+AE$1*((-0.000002)*AE498^3+0.00032*AE498^2+(-0.0021)*AE498)+AF$1*((-0.000002)*AF498^3+0.00032*AF498^2+(-0.0021)*AF498)+AG$1*((-0.000002)*AG498^3+0.00032*AG498^2+(-0.0021)*AG498)</f>
        <v/>
      </c>
    </row>
    <row r="499" ht="15" customHeight="1" s="27" thickBot="1">
      <c r="A499">
        <f>(AI499*AI$3+AJ499*AJ$3+AK499*AK$3+AL499*AL$3+AM499*AM$3)*100/(AI$5*AI$3+AJ$5*AJ$3+AK$5*AK$3+AL$5*AL$3+AM$5*AM$3)</f>
        <v/>
      </c>
      <c r="B499" s="16" t="n"/>
      <c r="C499" s="10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6" t="n"/>
      <c r="R499" s="10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5">
        <f>H$1*((-0.000002)*H499^3+0.00032*H499^2+(-0.0021)*H499)+I$1*((-0.000002)*I499^3+0.00032*I499^2+(-0.0021)*I499)+J$1*((-0.000002)*J499^3+0.00032*J499^2+(-0.0021)*J499)+K$1*((-0.000002)*K499^3+0.00032*K499^2+(-0.0021)*K499)+L$1*((-0.000002)*L499^3+0.00032*L499^2+(-0.0021)*L499)</f>
        <v/>
      </c>
      <c r="AJ499" s="5">
        <f>M$1*((-0.000002)*M499^3+0.00032*M499^2+(-0.0021)*M499)+N$1*((-0.000002)*N499^3+0.00032*N499^2+(-0.0021)*N499)+O$1*((-0.000002)*O499^3+0.00032*O499^2+(-0.0021)*O499)</f>
        <v/>
      </c>
      <c r="AK499" s="5">
        <f>IF(AA499&lt;50,W$1*((-0.000002)*W499^3+0.00032*W499^2+(-0.0021)*W499)+X$1*((-0.000002)*X499^3+0.00032*X499^2+(-0.0021)*X499)+Y$1*((-0.000002)*Y499^3+0.00032*Y499^2+(-0.0021)*Y499)+Z$1*((-0.000002)*Z499^3+0.00032*Z499^2+(-0.0021)*Z499),X$2*((-0.000002)*X499^3+0.00032*X499^2+(-0.0021)*X499)+Y$2*((-0.000002)*Y499^3+0.00032*Y499^2+(-0.0021)*Y499)+Z$2*((-0.000002)*Z499^3+0.00032*Z499^2+(-0.0021)*Z499)+AA$2*((-0.000002)*AA499^3+0.00032*AA499^2+(-0.0021)*AA499))</f>
        <v/>
      </c>
      <c r="AL499" s="5">
        <f>AB$1*((-0.000002)*AB499^3+0.00032*AB499^2+(-0.0021)*AB499)+AC$1*((-0.000002)*AC499^3+0.00032*AC499^2+(-0.0021)*AC499)</f>
        <v/>
      </c>
      <c r="AM499" s="5">
        <f>AD$1*((-0.000002)*AD499^3+0.00032*AD499^2+(-0.0021)*AD499)+AE$1*((-0.000002)*AE499^3+0.00032*AE499^2+(-0.0021)*AE499)+AF$1*((-0.000002)*AF499^3+0.00032*AF499^2+(-0.0021)*AF499)+AG$1*((-0.000002)*AG499^3+0.00032*AG499^2+(-0.0021)*AG499)</f>
        <v/>
      </c>
    </row>
    <row r="500" ht="15" customHeight="1" s="27" thickBot="1">
      <c r="A500">
        <f>(AI500*AI$3+AJ500*AJ$3+AK500*AK$3+AL500*AL$3+AM500*AM$3)*100/(AI$5*AI$3+AJ$5*AJ$3+AK$5*AK$3+AL$5*AL$3+AM$5*AM$3)</f>
        <v/>
      </c>
      <c r="B500" s="18" t="n"/>
      <c r="C500" s="11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8" t="n"/>
      <c r="R500" s="11" t="n"/>
      <c r="S500" s="19" t="n"/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  <c r="AI500" s="5">
        <f>H$1*((-0.000002)*H500^3+0.00032*H500^2+(-0.0021)*H500)+I$1*((-0.000002)*I500^3+0.00032*I500^2+(-0.0021)*I500)+J$1*((-0.000002)*J500^3+0.00032*J500^2+(-0.0021)*J500)+K$1*((-0.000002)*K500^3+0.00032*K500^2+(-0.0021)*K500)+L$1*((-0.000002)*L500^3+0.00032*L500^2+(-0.0021)*L500)</f>
        <v/>
      </c>
      <c r="AJ500" s="5">
        <f>M$1*((-0.000002)*M500^3+0.00032*M500^2+(-0.0021)*M500)+N$1*((-0.000002)*N500^3+0.00032*N500^2+(-0.0021)*N500)+O$1*((-0.000002)*O500^3+0.00032*O500^2+(-0.0021)*O500)</f>
        <v/>
      </c>
      <c r="AK500" s="5">
        <f>IF(AA500&lt;50,W$1*((-0.000002)*W500^3+0.00032*W500^2+(-0.0021)*W500)+X$1*((-0.000002)*X500^3+0.00032*X500^2+(-0.0021)*X500)+Y$1*((-0.000002)*Y500^3+0.00032*Y500^2+(-0.0021)*Y500)+Z$1*((-0.000002)*Z500^3+0.00032*Z500^2+(-0.0021)*Z500),X$2*((-0.000002)*X500^3+0.00032*X500^2+(-0.0021)*X500)+Y$2*((-0.000002)*Y500^3+0.00032*Y500^2+(-0.0021)*Y500)+Z$2*((-0.000002)*Z500^3+0.00032*Z500^2+(-0.0021)*Z500)+AA$2*((-0.000002)*AA500^3+0.00032*AA500^2+(-0.0021)*AA500))</f>
        <v/>
      </c>
      <c r="AL500" s="5">
        <f>AB$1*((-0.000002)*AB500^3+0.00032*AB500^2+(-0.0021)*AB500)+AC$1*((-0.000002)*AC500^3+0.00032*AC500^2+(-0.0021)*AC500)</f>
        <v/>
      </c>
      <c r="AM500" s="5">
        <f>AD$1*((-0.000002)*AD500^3+0.00032*AD500^2+(-0.0021)*AD500)+AE$1*((-0.000002)*AE500^3+0.00032*AE500^2+(-0.0021)*AE500)+AF$1*((-0.000002)*AF500^3+0.00032*AF500^2+(-0.0021)*AF500)+AG$1*((-0.000002)*AG500^3+0.00032*AG500^2+(-0.0021)*AG500)</f>
        <v/>
      </c>
    </row>
    <row r="501" ht="15" customHeight="1" s="27" thickBot="1">
      <c r="A501">
        <f>(AI501*AI$3+AJ501*AJ$3+AK501*AK$3+AL501*AL$3+AM501*AM$3)*100/(AI$5*AI$3+AJ$5*AJ$3+AK$5*AK$3+AL$5*AL$3+AM$5*AM$3)</f>
        <v/>
      </c>
      <c r="B501" s="16" t="n"/>
      <c r="C501" s="10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6" t="n"/>
      <c r="R501" s="10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5">
        <f>H$1*((-0.000002)*H501^3+0.00032*H501^2+(-0.0021)*H501)+I$1*((-0.000002)*I501^3+0.00032*I501^2+(-0.0021)*I501)+J$1*((-0.000002)*J501^3+0.00032*J501^2+(-0.0021)*J501)+K$1*((-0.000002)*K501^3+0.00032*K501^2+(-0.0021)*K501)+L$1*((-0.000002)*L501^3+0.00032*L501^2+(-0.0021)*L501)</f>
        <v/>
      </c>
      <c r="AJ501" s="5">
        <f>M$1*((-0.000002)*M501^3+0.00032*M501^2+(-0.0021)*M501)+N$1*((-0.000002)*N501^3+0.00032*N501^2+(-0.0021)*N501)+O$1*((-0.000002)*O501^3+0.00032*O501^2+(-0.0021)*O501)</f>
        <v/>
      </c>
      <c r="AK501" s="5">
        <f>IF(AA501&lt;50,W$1*((-0.000002)*W501^3+0.00032*W501^2+(-0.0021)*W501)+X$1*((-0.000002)*X501^3+0.00032*X501^2+(-0.0021)*X501)+Y$1*((-0.000002)*Y501^3+0.00032*Y501^2+(-0.0021)*Y501)+Z$1*((-0.000002)*Z501^3+0.00032*Z501^2+(-0.0021)*Z501),X$2*((-0.000002)*X501^3+0.00032*X501^2+(-0.0021)*X501)+Y$2*((-0.000002)*Y501^3+0.00032*Y501^2+(-0.0021)*Y501)+Z$2*((-0.000002)*Z501^3+0.00032*Z501^2+(-0.0021)*Z501)+AA$2*((-0.000002)*AA501^3+0.00032*AA501^2+(-0.0021)*AA501))</f>
        <v/>
      </c>
      <c r="AL501" s="5">
        <f>AB$1*((-0.000002)*AB501^3+0.00032*AB501^2+(-0.0021)*AB501)+AC$1*((-0.000002)*AC501^3+0.00032*AC501^2+(-0.0021)*AC501)</f>
        <v/>
      </c>
      <c r="AM501" s="5">
        <f>AD$1*((-0.000002)*AD501^3+0.00032*AD501^2+(-0.0021)*AD501)+AE$1*((-0.000002)*AE501^3+0.00032*AE501^2+(-0.0021)*AE501)+AF$1*((-0.000002)*AF501^3+0.00032*AF501^2+(-0.0021)*AF501)+AG$1*((-0.000002)*AG501^3+0.00032*AG501^2+(-0.0021)*AG501)</f>
        <v/>
      </c>
    </row>
    <row r="502" ht="15" customHeight="1" s="27" thickBot="1">
      <c r="A502">
        <f>(AI502*AI$3+AJ502*AJ$3+AK502*AK$3+AL502*AL$3+AM502*AM$3)*100/(AI$5*AI$3+AJ$5*AJ$3+AK$5*AK$3+AL$5*AL$3+AM$5*AM$3)</f>
        <v/>
      </c>
      <c r="B502" s="18" t="n"/>
      <c r="C502" s="11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8" t="n"/>
      <c r="R502" s="11" t="n"/>
      <c r="S502" s="19" t="n"/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  <c r="AH502" s="19" t="n"/>
      <c r="AI502" s="5">
        <f>H$1*((-0.000002)*H502^3+0.00032*H502^2+(-0.0021)*H502)+I$1*((-0.000002)*I502^3+0.00032*I502^2+(-0.0021)*I502)+J$1*((-0.000002)*J502^3+0.00032*J502^2+(-0.0021)*J502)+K$1*((-0.000002)*K502^3+0.00032*K502^2+(-0.0021)*K502)+L$1*((-0.000002)*L502^3+0.00032*L502^2+(-0.0021)*L502)</f>
        <v/>
      </c>
      <c r="AJ502" s="5">
        <f>M$1*((-0.000002)*M502^3+0.00032*M502^2+(-0.0021)*M502)+N$1*((-0.000002)*N502^3+0.00032*N502^2+(-0.0021)*N502)+O$1*((-0.000002)*O502^3+0.00032*O502^2+(-0.0021)*O502)</f>
        <v/>
      </c>
      <c r="AK502" s="5">
        <f>IF(AA502&lt;50,W$1*((-0.000002)*W502^3+0.00032*W502^2+(-0.0021)*W502)+X$1*((-0.000002)*X502^3+0.00032*X502^2+(-0.0021)*X502)+Y$1*((-0.000002)*Y502^3+0.00032*Y502^2+(-0.0021)*Y502)+Z$1*((-0.000002)*Z502^3+0.00032*Z502^2+(-0.0021)*Z502),X$2*((-0.000002)*X502^3+0.00032*X502^2+(-0.0021)*X502)+Y$2*((-0.000002)*Y502^3+0.00032*Y502^2+(-0.0021)*Y502)+Z$2*((-0.000002)*Z502^3+0.00032*Z502^2+(-0.0021)*Z502)+AA$2*((-0.000002)*AA502^3+0.00032*AA502^2+(-0.0021)*AA502))</f>
        <v/>
      </c>
      <c r="AL502" s="5">
        <f>AB$1*((-0.000002)*AB502^3+0.00032*AB502^2+(-0.0021)*AB502)+AC$1*((-0.000002)*AC502^3+0.00032*AC502^2+(-0.0021)*AC502)</f>
        <v/>
      </c>
      <c r="AM502" s="5">
        <f>AD$1*((-0.000002)*AD502^3+0.00032*AD502^2+(-0.0021)*AD502)+AE$1*((-0.000002)*AE502^3+0.00032*AE502^2+(-0.0021)*AE502)+AF$1*((-0.000002)*AF502^3+0.00032*AF502^2+(-0.0021)*AF502)+AG$1*((-0.000002)*AG502^3+0.00032*AG502^2+(-0.0021)*AG502)</f>
        <v/>
      </c>
    </row>
    <row r="503" ht="15" customHeight="1" s="27" thickBot="1">
      <c r="A503">
        <f>(AI503*AI$3+AJ503*AJ$3+AK503*AK$3+AL503*AL$3+AM503*AM$3)*100/(AI$5*AI$3+AJ$5*AJ$3+AK$5*AK$3+AL$5*AL$3+AM$5*AM$3)</f>
        <v/>
      </c>
      <c r="B503" s="16" t="n"/>
      <c r="C503" s="10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6" t="n"/>
      <c r="R503" s="10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5">
        <f>H$1*((-0.000002)*H503^3+0.00032*H503^2+(-0.0021)*H503)+I$1*((-0.000002)*I503^3+0.00032*I503^2+(-0.0021)*I503)+J$1*((-0.000002)*J503^3+0.00032*J503^2+(-0.0021)*J503)+K$1*((-0.000002)*K503^3+0.00032*K503^2+(-0.0021)*K503)+L$1*((-0.000002)*L503^3+0.00032*L503^2+(-0.0021)*L503)</f>
        <v/>
      </c>
      <c r="AJ503" s="5">
        <f>M$1*((-0.000002)*M503^3+0.00032*M503^2+(-0.0021)*M503)+N$1*((-0.000002)*N503^3+0.00032*N503^2+(-0.0021)*N503)+O$1*((-0.000002)*O503^3+0.00032*O503^2+(-0.0021)*O503)</f>
        <v/>
      </c>
      <c r="AK503" s="5">
        <f>IF(AA503&lt;50,W$1*((-0.000002)*W503^3+0.00032*W503^2+(-0.0021)*W503)+X$1*((-0.000002)*X503^3+0.00032*X503^2+(-0.0021)*X503)+Y$1*((-0.000002)*Y503^3+0.00032*Y503^2+(-0.0021)*Y503)+Z$1*((-0.000002)*Z503^3+0.00032*Z503^2+(-0.0021)*Z503),X$2*((-0.000002)*X503^3+0.00032*X503^2+(-0.0021)*X503)+Y$2*((-0.000002)*Y503^3+0.00032*Y503^2+(-0.0021)*Y503)+Z$2*((-0.000002)*Z503^3+0.00032*Z503^2+(-0.0021)*Z503)+AA$2*((-0.000002)*AA503^3+0.00032*AA503^2+(-0.0021)*AA503))</f>
        <v/>
      </c>
      <c r="AL503" s="5">
        <f>AB$1*((-0.000002)*AB503^3+0.00032*AB503^2+(-0.0021)*AB503)+AC$1*((-0.000002)*AC503^3+0.00032*AC503^2+(-0.0021)*AC503)</f>
        <v/>
      </c>
      <c r="AM503" s="5">
        <f>AD$1*((-0.000002)*AD503^3+0.00032*AD503^2+(-0.0021)*AD503)+AE$1*((-0.000002)*AE503^3+0.00032*AE503^2+(-0.0021)*AE503)+AF$1*((-0.000002)*AF503^3+0.00032*AF503^2+(-0.0021)*AF503)+AG$1*((-0.000002)*AG503^3+0.00032*AG503^2+(-0.0021)*AG503)</f>
        <v/>
      </c>
    </row>
    <row r="504" ht="15" customHeight="1" s="27" thickBot="1">
      <c r="A504">
        <f>(AI504*AI$3+AJ504*AJ$3+AK504*AK$3+AL504*AL$3+AM504*AM$3)*100/(AI$5*AI$3+AJ$5*AJ$3+AK$5*AK$3+AL$5*AL$3+AM$5*AM$3)</f>
        <v/>
      </c>
      <c r="B504" s="18" t="n"/>
      <c r="C504" s="11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8" t="n"/>
      <c r="R504" s="11" t="n"/>
      <c r="S504" s="19" t="n"/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  <c r="AI504" s="5">
        <f>H$1*((-0.000002)*H504^3+0.00032*H504^2+(-0.0021)*H504)+I$1*((-0.000002)*I504^3+0.00032*I504^2+(-0.0021)*I504)+J$1*((-0.000002)*J504^3+0.00032*J504^2+(-0.0021)*J504)+K$1*((-0.000002)*K504^3+0.00032*K504^2+(-0.0021)*K504)+L$1*((-0.000002)*L504^3+0.00032*L504^2+(-0.0021)*L504)</f>
        <v/>
      </c>
      <c r="AJ504" s="5">
        <f>M$1*((-0.000002)*M504^3+0.00032*M504^2+(-0.0021)*M504)+N$1*((-0.000002)*N504^3+0.00032*N504^2+(-0.0021)*N504)+O$1*((-0.000002)*O504^3+0.00032*O504^2+(-0.0021)*O504)</f>
        <v/>
      </c>
      <c r="AK504" s="5">
        <f>IF(AA504&lt;50,W$1*((-0.000002)*W504^3+0.00032*W504^2+(-0.0021)*W504)+X$1*((-0.000002)*X504^3+0.00032*X504^2+(-0.0021)*X504)+Y$1*((-0.000002)*Y504^3+0.00032*Y504^2+(-0.0021)*Y504)+Z$1*((-0.000002)*Z504^3+0.00032*Z504^2+(-0.0021)*Z504),X$2*((-0.000002)*X504^3+0.00032*X504^2+(-0.0021)*X504)+Y$2*((-0.000002)*Y504^3+0.00032*Y504^2+(-0.0021)*Y504)+Z$2*((-0.000002)*Z504^3+0.00032*Z504^2+(-0.0021)*Z504)+AA$2*((-0.000002)*AA504^3+0.00032*AA504^2+(-0.0021)*AA504))</f>
        <v/>
      </c>
      <c r="AL504" s="5">
        <f>AB$1*((-0.000002)*AB504^3+0.00032*AB504^2+(-0.0021)*AB504)+AC$1*((-0.000002)*AC504^3+0.00032*AC504^2+(-0.0021)*AC504)</f>
        <v/>
      </c>
      <c r="AM504" s="5">
        <f>AD$1*((-0.000002)*AD504^3+0.00032*AD504^2+(-0.0021)*AD504)+AE$1*((-0.000002)*AE504^3+0.00032*AE504^2+(-0.0021)*AE504)+AF$1*((-0.000002)*AF504^3+0.00032*AF504^2+(-0.0021)*AF504)+AG$1*((-0.000002)*AG504^3+0.00032*AG504^2+(-0.0021)*AG504)</f>
        <v/>
      </c>
    </row>
    <row r="505" ht="15" customHeight="1" s="27" thickBot="1">
      <c r="A505">
        <f>(AI505*AI$3+AJ505*AJ$3+AK505*AK$3+AL505*AL$3+AM505*AM$3)*100/(AI$5*AI$3+AJ$5*AJ$3+AK$5*AK$3+AL$5*AL$3+AM$5*AM$3)</f>
        <v/>
      </c>
      <c r="B505" s="16" t="n"/>
      <c r="C505" s="10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6" t="n"/>
      <c r="R505" s="10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5">
        <f>H$1*((-0.000002)*H505^3+0.00032*H505^2+(-0.0021)*H505)+I$1*((-0.000002)*I505^3+0.00032*I505^2+(-0.0021)*I505)+J$1*((-0.000002)*J505^3+0.00032*J505^2+(-0.0021)*J505)+K$1*((-0.000002)*K505^3+0.00032*K505^2+(-0.0021)*K505)+L$1*((-0.000002)*L505^3+0.00032*L505^2+(-0.0021)*L505)</f>
        <v/>
      </c>
      <c r="AJ505" s="5">
        <f>M$1*((-0.000002)*M505^3+0.00032*M505^2+(-0.0021)*M505)+N$1*((-0.000002)*N505^3+0.00032*N505^2+(-0.0021)*N505)+O$1*((-0.000002)*O505^3+0.00032*O505^2+(-0.0021)*O505)</f>
        <v/>
      </c>
      <c r="AK505" s="5">
        <f>IF(AA505&lt;50,W$1*((-0.000002)*W505^3+0.00032*W505^2+(-0.0021)*W505)+X$1*((-0.000002)*X505^3+0.00032*X505^2+(-0.0021)*X505)+Y$1*((-0.000002)*Y505^3+0.00032*Y505^2+(-0.0021)*Y505)+Z$1*((-0.000002)*Z505^3+0.00032*Z505^2+(-0.0021)*Z505),X$2*((-0.000002)*X505^3+0.00032*X505^2+(-0.0021)*X505)+Y$2*((-0.000002)*Y505^3+0.00032*Y505^2+(-0.0021)*Y505)+Z$2*((-0.000002)*Z505^3+0.00032*Z505^2+(-0.0021)*Z505)+AA$2*((-0.000002)*AA505^3+0.00032*AA505^2+(-0.0021)*AA505))</f>
        <v/>
      </c>
      <c r="AL505" s="5">
        <f>AB$1*((-0.000002)*AB505^3+0.00032*AB505^2+(-0.0021)*AB505)+AC$1*((-0.000002)*AC505^3+0.00032*AC505^2+(-0.0021)*AC505)</f>
        <v/>
      </c>
      <c r="AM505" s="5">
        <f>AD$1*((-0.000002)*AD505^3+0.00032*AD505^2+(-0.0021)*AD505)+AE$1*((-0.000002)*AE505^3+0.00032*AE505^2+(-0.0021)*AE505)+AF$1*((-0.000002)*AF505^3+0.00032*AF505^2+(-0.0021)*AF505)+AG$1*((-0.000002)*AG505^3+0.00032*AG505^2+(-0.0021)*AG505)</f>
        <v/>
      </c>
    </row>
    <row r="506" ht="15" customHeight="1" s="27" thickBot="1">
      <c r="A506">
        <f>(AI506*AI$3+AJ506*AJ$3+AK506*AK$3+AL506*AL$3+AM506*AM$3)*100/(AI$5*AI$3+AJ$5*AJ$3+AK$5*AK$3+AL$5*AL$3+AM$5*AM$3)</f>
        <v/>
      </c>
      <c r="B506" s="18" t="n"/>
      <c r="C506" s="11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8" t="n"/>
      <c r="R506" s="11" t="n"/>
      <c r="S506" s="19" t="n"/>
      <c r="T506" s="19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  <c r="AG506" s="19" t="n"/>
      <c r="AH506" s="19" t="n"/>
      <c r="AI506" s="5">
        <f>H$1*((-0.000002)*H506^3+0.00032*H506^2+(-0.0021)*H506)+I$1*((-0.000002)*I506^3+0.00032*I506^2+(-0.0021)*I506)+J$1*((-0.000002)*J506^3+0.00032*J506^2+(-0.0021)*J506)+K$1*((-0.000002)*K506^3+0.00032*K506^2+(-0.0021)*K506)+L$1*((-0.000002)*L506^3+0.00032*L506^2+(-0.0021)*L506)</f>
        <v/>
      </c>
      <c r="AJ506" s="5">
        <f>M$1*((-0.000002)*M506^3+0.00032*M506^2+(-0.0021)*M506)+N$1*((-0.000002)*N506^3+0.00032*N506^2+(-0.0021)*N506)+O$1*((-0.000002)*O506^3+0.00032*O506^2+(-0.0021)*O506)</f>
        <v/>
      </c>
      <c r="AK506" s="5">
        <f>IF(AA506&lt;50,W$1*((-0.000002)*W506^3+0.00032*W506^2+(-0.0021)*W506)+X$1*((-0.000002)*X506^3+0.00032*X506^2+(-0.0021)*X506)+Y$1*((-0.000002)*Y506^3+0.00032*Y506^2+(-0.0021)*Y506)+Z$1*((-0.000002)*Z506^3+0.00032*Z506^2+(-0.0021)*Z506),X$2*((-0.000002)*X506^3+0.00032*X506^2+(-0.0021)*X506)+Y$2*((-0.000002)*Y506^3+0.00032*Y506^2+(-0.0021)*Y506)+Z$2*((-0.000002)*Z506^3+0.00032*Z506^2+(-0.0021)*Z506)+AA$2*((-0.000002)*AA506^3+0.00032*AA506^2+(-0.0021)*AA506))</f>
        <v/>
      </c>
      <c r="AL506" s="5">
        <f>AB$1*((-0.000002)*AB506^3+0.00032*AB506^2+(-0.0021)*AB506)+AC$1*((-0.000002)*AC506^3+0.00032*AC506^2+(-0.0021)*AC506)</f>
        <v/>
      </c>
      <c r="AM506" s="5">
        <f>AD$1*((-0.000002)*AD506^3+0.00032*AD506^2+(-0.0021)*AD506)+AE$1*((-0.000002)*AE506^3+0.00032*AE506^2+(-0.0021)*AE506)+AF$1*((-0.000002)*AF506^3+0.00032*AF506^2+(-0.0021)*AF506)+AG$1*((-0.000002)*AG506^3+0.00032*AG506^2+(-0.0021)*AG506)</f>
        <v/>
      </c>
    </row>
  </sheetData>
  <autoFilter ref="A6:AM6">
    <sortState ref="A7:AM207">
      <sortCondition descending="1" ref="A6"/>
    </sortState>
  </autoFilter>
  <mergeCells count="6">
    <mergeCell ref="H3:L3"/>
    <mergeCell ref="AD3:AG3"/>
    <mergeCell ref="M3:O3"/>
    <mergeCell ref="AI1:AM1"/>
    <mergeCell ref="W3:AA3"/>
    <mergeCell ref="AB3:AC3"/>
  </mergeCells>
  <hyperlinks>
    <hyperlink xmlns:r="http://schemas.openxmlformats.org/officeDocument/2006/relationships" ref="B6" display="https://www.whatifsports.com/hbd/Pages/GM/AmateurDraftPlayerPool.aspx" r:id="rId1"/>
    <hyperlink xmlns:r="http://schemas.openxmlformats.org/officeDocument/2006/relationships" ref="C6" display="https://www.whatifsports.com/hbd/Pages/GM/AmateurDraftPlayerPool.aspx" r:id="rId2"/>
    <hyperlink xmlns:r="http://schemas.openxmlformats.org/officeDocument/2006/relationships" ref="D6" display="https://www.whatifsports.com/hbd/Pages/GM/AmateurDraftPlayerPool.aspx" r:id="rId3"/>
    <hyperlink xmlns:r="http://schemas.openxmlformats.org/officeDocument/2006/relationships" ref="E6" display="https://www.whatifsports.com/hbd/Pages/GM/AmateurDraftPlayerPool.aspx" r:id="rId4"/>
    <hyperlink xmlns:r="http://schemas.openxmlformats.org/officeDocument/2006/relationships" ref="F6" display="https://www.whatifsports.com/hbd/Pages/GM/AmateurDraftPlayerPool.aspx" r:id="rId5"/>
    <hyperlink xmlns:r="http://schemas.openxmlformats.org/officeDocument/2006/relationships" ref="G6" display="https://www.whatifsports.com/hbd/Pages/GM/AmateurDraftPlayerPool.aspx" r:id="rId6"/>
    <hyperlink xmlns:r="http://schemas.openxmlformats.org/officeDocument/2006/relationships" ref="Q6" display="https://www.whatifsports.com/hbd/Pages/GM/AmateurDraftPlayerPool.aspx" r:id="rId7"/>
    <hyperlink xmlns:r="http://schemas.openxmlformats.org/officeDocument/2006/relationships" ref="R6" display="https://www.whatifsports.com/hbd/Pages/GM/AmateurDraftPlayerPool.aspx" r:id="rId8"/>
    <hyperlink xmlns:r="http://schemas.openxmlformats.org/officeDocument/2006/relationships" ref="S6" display="https://www.whatifsports.com/hbd/Pages/GM/AmateurDraftPlayerPool.aspx" r:id="rId9"/>
    <hyperlink xmlns:r="http://schemas.openxmlformats.org/officeDocument/2006/relationships" ref="T6" display="https://www.whatifsports.com/hbd/Pages/GM/AmateurDraftPlayerPool.aspx" r:id="rId10"/>
    <hyperlink xmlns:r="http://schemas.openxmlformats.org/officeDocument/2006/relationships" ref="U6" display="https://www.whatifsports.com/hbd/Pages/GM/AmateurDraftPlayerPool.aspx" r:id="rId11"/>
    <hyperlink xmlns:r="http://schemas.openxmlformats.org/officeDocument/2006/relationships" ref="V6" display="https://www.whatifsports.com/hbd/Pages/GM/AmateurDraftPlayerPool.aspx" r:id="rId12"/>
    <hyperlink xmlns:r="http://schemas.openxmlformats.org/officeDocument/2006/relationships" ref="C7" tooltip="Open Prospect Profile" display="https://www.whatifsports.com/hbd/Pages/Popups/ProspectProfile.aspx?pid=13631431" r:id="rId13"/>
    <hyperlink xmlns:r="http://schemas.openxmlformats.org/officeDocument/2006/relationships" ref="R7" tooltip="Open Prospect Profile" display="https://www.whatifsports.com/hbd/Pages/Popups/ProspectProfile.aspx?pid=13631431" r:id="rId14"/>
    <hyperlink xmlns:r="http://schemas.openxmlformats.org/officeDocument/2006/relationships" ref="C8" tooltip="Open Prospect Profile" display="https://www.whatifsports.com/hbd/Pages/Popups/ProspectProfile.aspx?pid=13631433" r:id="rId15"/>
    <hyperlink xmlns:r="http://schemas.openxmlformats.org/officeDocument/2006/relationships" ref="R8" tooltip="Open Prospect Profile" display="https://www.whatifsports.com/hbd/Pages/Popups/ProspectProfile.aspx?pid=13631433" r:id="rId16"/>
    <hyperlink xmlns:r="http://schemas.openxmlformats.org/officeDocument/2006/relationships" ref="C9" tooltip="Open Prospect Profile" display="https://www.whatifsports.com/hbd/Pages/Popups/ProspectProfile.aspx?pid=13631497" r:id="rId17"/>
    <hyperlink xmlns:r="http://schemas.openxmlformats.org/officeDocument/2006/relationships" ref="R9" tooltip="Open Prospect Profile" display="https://www.whatifsports.com/hbd/Pages/Popups/ProspectProfile.aspx?pid=13631497" r:id="rId18"/>
    <hyperlink xmlns:r="http://schemas.openxmlformats.org/officeDocument/2006/relationships" ref="C10" tooltip="Open Prospect Profile" display="https://www.whatifsports.com/hbd/Pages/Popups/ProspectProfile.aspx?pid=13631500" r:id="rId19"/>
    <hyperlink xmlns:r="http://schemas.openxmlformats.org/officeDocument/2006/relationships" ref="R10" tooltip="Open Prospect Profile" display="https://www.whatifsports.com/hbd/Pages/Popups/ProspectProfile.aspx?pid=13631500" r:id="rId20"/>
    <hyperlink xmlns:r="http://schemas.openxmlformats.org/officeDocument/2006/relationships" ref="C11" tooltip="Open Prospect Profile" display="https://www.whatifsports.com/hbd/Pages/Popups/ProspectProfile.aspx?pid=13631732" r:id="rId21"/>
    <hyperlink xmlns:r="http://schemas.openxmlformats.org/officeDocument/2006/relationships" ref="R11" tooltip="Open Prospect Profile" display="https://www.whatifsports.com/hbd/Pages/Popups/ProspectProfile.aspx?pid=13631732" r:id="rId22"/>
    <hyperlink xmlns:r="http://schemas.openxmlformats.org/officeDocument/2006/relationships" ref="C12" tooltip="Open Prospect Profile" display="https://www.whatifsports.com/hbd/Pages/Popups/ProspectProfile.aspx?pid=13631506" r:id="rId23"/>
    <hyperlink xmlns:r="http://schemas.openxmlformats.org/officeDocument/2006/relationships" ref="R12" tooltip="Open Prospect Profile" display="https://www.whatifsports.com/hbd/Pages/Popups/ProspectProfile.aspx?pid=13631506" r:id="rId24"/>
    <hyperlink xmlns:r="http://schemas.openxmlformats.org/officeDocument/2006/relationships" ref="C13" tooltip="Open Prospect Profile" display="https://www.whatifsports.com/hbd/Pages/Popups/ProspectProfile.aspx?pid=13631714" r:id="rId25"/>
    <hyperlink xmlns:r="http://schemas.openxmlformats.org/officeDocument/2006/relationships" ref="R13" tooltip="Open Prospect Profile" display="https://www.whatifsports.com/hbd/Pages/Popups/ProspectProfile.aspx?pid=13631714" r:id="rId26"/>
    <hyperlink xmlns:r="http://schemas.openxmlformats.org/officeDocument/2006/relationships" ref="C14" tooltip="Open Prospect Profile" display="https://www.whatifsports.com/hbd/Pages/Popups/ProspectProfile.aspx?pid=13631607" r:id="rId27"/>
    <hyperlink xmlns:r="http://schemas.openxmlformats.org/officeDocument/2006/relationships" ref="R14" tooltip="Open Prospect Profile" display="https://www.whatifsports.com/hbd/Pages/Popups/ProspectProfile.aspx?pid=13631607" r:id="rId28"/>
    <hyperlink xmlns:r="http://schemas.openxmlformats.org/officeDocument/2006/relationships" ref="C15" tooltip="Open Prospect Profile" display="https://www.whatifsports.com/hbd/Pages/Popups/ProspectProfile.aspx?pid=13631505" r:id="rId29"/>
    <hyperlink xmlns:r="http://schemas.openxmlformats.org/officeDocument/2006/relationships" ref="R15" tooltip="Open Prospect Profile" display="https://www.whatifsports.com/hbd/Pages/Popups/ProspectProfile.aspx?pid=13631505" r:id="rId30"/>
    <hyperlink xmlns:r="http://schemas.openxmlformats.org/officeDocument/2006/relationships" ref="C16" tooltip="Open Prospect Profile" display="https://www.whatifsports.com/hbd/Pages/Popups/ProspectProfile.aspx?pid=13631837" r:id="rId31"/>
    <hyperlink xmlns:r="http://schemas.openxmlformats.org/officeDocument/2006/relationships" ref="R16" tooltip="Open Prospect Profile" display="https://www.whatifsports.com/hbd/Pages/Popups/ProspectProfile.aspx?pid=13631837" r:id="rId32"/>
    <hyperlink xmlns:r="http://schemas.openxmlformats.org/officeDocument/2006/relationships" ref="C17" tooltip="Open Prospect Profile" display="https://www.whatifsports.com/hbd/Pages/Popups/ProspectProfile.aspx?pid=13631674" r:id="rId33"/>
    <hyperlink xmlns:r="http://schemas.openxmlformats.org/officeDocument/2006/relationships" ref="R17" tooltip="Open Prospect Profile" display="https://www.whatifsports.com/hbd/Pages/Popups/ProspectProfile.aspx?pid=13631674" r:id="rId34"/>
    <hyperlink xmlns:r="http://schemas.openxmlformats.org/officeDocument/2006/relationships" ref="C18" tooltip="Open Prospect Profile" display="https://www.whatifsports.com/hbd/Pages/Popups/ProspectProfile.aspx?pid=13631677" r:id="rId35"/>
    <hyperlink xmlns:r="http://schemas.openxmlformats.org/officeDocument/2006/relationships" ref="R18" tooltip="Open Prospect Profile" display="https://www.whatifsports.com/hbd/Pages/Popups/ProspectProfile.aspx?pid=13631677" r:id="rId36"/>
    <hyperlink xmlns:r="http://schemas.openxmlformats.org/officeDocument/2006/relationships" ref="C19" tooltip="Open Prospect Profile" display="https://www.whatifsports.com/hbd/Pages/Popups/ProspectProfile.aspx?pid=13631767" r:id="rId37"/>
    <hyperlink xmlns:r="http://schemas.openxmlformats.org/officeDocument/2006/relationships" ref="R19" tooltip="Open Prospect Profile" display="https://www.whatifsports.com/hbd/Pages/Popups/ProspectProfile.aspx?pid=13631767" r:id="rId38"/>
    <hyperlink xmlns:r="http://schemas.openxmlformats.org/officeDocument/2006/relationships" ref="C20" tooltip="Open Prospect Profile" display="https://www.whatifsports.com/hbd/Pages/Popups/ProspectProfile.aspx?pid=13631772" r:id="rId39"/>
    <hyperlink xmlns:r="http://schemas.openxmlformats.org/officeDocument/2006/relationships" ref="R20" tooltip="Open Prospect Profile" display="https://www.whatifsports.com/hbd/Pages/Popups/ProspectProfile.aspx?pid=13631772" r:id="rId40"/>
    <hyperlink xmlns:r="http://schemas.openxmlformats.org/officeDocument/2006/relationships" ref="C21" tooltip="Open Prospect Profile" display="https://www.whatifsports.com/hbd/Pages/Popups/ProspectProfile.aspx?pid=13631605" r:id="rId41"/>
    <hyperlink xmlns:r="http://schemas.openxmlformats.org/officeDocument/2006/relationships" ref="R21" tooltip="Open Prospect Profile" display="https://www.whatifsports.com/hbd/Pages/Popups/ProspectProfile.aspx?pid=13631605" r:id="rId42"/>
    <hyperlink xmlns:r="http://schemas.openxmlformats.org/officeDocument/2006/relationships" ref="C22" tooltip="Open Prospect Profile" display="https://www.whatifsports.com/hbd/Pages/Popups/ProspectProfile.aspx?pid=13631591" r:id="rId43"/>
    <hyperlink xmlns:r="http://schemas.openxmlformats.org/officeDocument/2006/relationships" ref="R22" tooltip="Open Prospect Profile" display="https://www.whatifsports.com/hbd/Pages/Popups/ProspectProfile.aspx?pid=13631591" r:id="rId44"/>
    <hyperlink xmlns:r="http://schemas.openxmlformats.org/officeDocument/2006/relationships" ref="C23" tooltip="Open Prospect Profile" display="https://www.whatifsports.com/hbd/Pages/Popups/ProspectProfile.aspx?pid=13631673" r:id="rId45"/>
    <hyperlink xmlns:r="http://schemas.openxmlformats.org/officeDocument/2006/relationships" ref="R23" tooltip="Open Prospect Profile" display="https://www.whatifsports.com/hbd/Pages/Popups/ProspectProfile.aspx?pid=13631673" r:id="rId46"/>
    <hyperlink xmlns:r="http://schemas.openxmlformats.org/officeDocument/2006/relationships" ref="C24" tooltip="Open Prospect Profile" display="https://www.whatifsports.com/hbd/Pages/Popups/ProspectProfile.aspx?pid=13631672" r:id="rId47"/>
    <hyperlink xmlns:r="http://schemas.openxmlformats.org/officeDocument/2006/relationships" ref="R24" tooltip="Open Prospect Profile" display="https://www.whatifsports.com/hbd/Pages/Popups/ProspectProfile.aspx?pid=13631672" r:id="rId48"/>
    <hyperlink xmlns:r="http://schemas.openxmlformats.org/officeDocument/2006/relationships" ref="C25" tooltip="Open Prospect Profile" display="https://www.whatifsports.com/hbd/Pages/Popups/ProspectProfile.aspx?pid=13631678" r:id="rId49"/>
    <hyperlink xmlns:r="http://schemas.openxmlformats.org/officeDocument/2006/relationships" ref="R25" tooltip="Open Prospect Profile" display="https://www.whatifsports.com/hbd/Pages/Popups/ProspectProfile.aspx?pid=13631678" r:id="rId50"/>
    <hyperlink xmlns:r="http://schemas.openxmlformats.org/officeDocument/2006/relationships" ref="C26" tooltip="Open Prospect Profile" display="https://www.whatifsports.com/hbd/Pages/Popups/ProspectProfile.aspx?pid=13631667" r:id="rId51"/>
    <hyperlink xmlns:r="http://schemas.openxmlformats.org/officeDocument/2006/relationships" ref="R26" tooltip="Open Prospect Profile" display="https://www.whatifsports.com/hbd/Pages/Popups/ProspectProfile.aspx?pid=13631667" r:id="rId52"/>
    <hyperlink xmlns:r="http://schemas.openxmlformats.org/officeDocument/2006/relationships" ref="C27" tooltip="Open Prospect Profile" display="https://www.whatifsports.com/hbd/Pages/Popups/ProspectProfile.aspx?pid=13631429" r:id="rId53"/>
    <hyperlink xmlns:r="http://schemas.openxmlformats.org/officeDocument/2006/relationships" ref="R27" tooltip="Open Prospect Profile" display="https://www.whatifsports.com/hbd/Pages/Popups/ProspectProfile.aspx?pid=13631429" r:id="rId54"/>
    <hyperlink xmlns:r="http://schemas.openxmlformats.org/officeDocument/2006/relationships" ref="C28" tooltip="Open Prospect Profile" display="https://www.whatifsports.com/hbd/Pages/Popups/ProspectProfile.aspx?pid=13631507" r:id="rId55"/>
    <hyperlink xmlns:r="http://schemas.openxmlformats.org/officeDocument/2006/relationships" ref="R28" tooltip="Open Prospect Profile" display="https://www.whatifsports.com/hbd/Pages/Popups/ProspectProfile.aspx?pid=13631507" r:id="rId56"/>
    <hyperlink xmlns:r="http://schemas.openxmlformats.org/officeDocument/2006/relationships" ref="C29" tooltip="Open Prospect Profile" display="https://www.whatifsports.com/hbd/Pages/Popups/ProspectProfile.aspx?pid=13631775" r:id="rId57"/>
    <hyperlink xmlns:r="http://schemas.openxmlformats.org/officeDocument/2006/relationships" ref="R29" tooltip="Open Prospect Profile" display="https://www.whatifsports.com/hbd/Pages/Popups/ProspectProfile.aspx?pid=13631775" r:id="rId58"/>
    <hyperlink xmlns:r="http://schemas.openxmlformats.org/officeDocument/2006/relationships" ref="C30" tooltip="Open Prospect Profile" display="https://www.whatifsports.com/hbd/Pages/Popups/ProspectProfile.aspx?pid=13631585" r:id="rId59"/>
    <hyperlink xmlns:r="http://schemas.openxmlformats.org/officeDocument/2006/relationships" ref="R30" tooltip="Open Prospect Profile" display="https://www.whatifsports.com/hbd/Pages/Popups/ProspectProfile.aspx?pid=13631585" r:id="rId60"/>
    <hyperlink xmlns:r="http://schemas.openxmlformats.org/officeDocument/2006/relationships" ref="C31" tooltip="Open Prospect Profile" display="https://www.whatifsports.com/hbd/Pages/Popups/ProspectProfile.aspx?pid=13631833" r:id="rId61"/>
    <hyperlink xmlns:r="http://schemas.openxmlformats.org/officeDocument/2006/relationships" ref="R31" tooltip="Open Prospect Profile" display="https://www.whatifsports.com/hbd/Pages/Popups/ProspectProfile.aspx?pid=13631833" r:id="rId62"/>
    <hyperlink xmlns:r="http://schemas.openxmlformats.org/officeDocument/2006/relationships" ref="C32" tooltip="Open Prospect Profile" display="https://www.whatifsports.com/hbd/Pages/Popups/ProspectProfile.aspx?pid=13631454" r:id="rId63"/>
    <hyperlink xmlns:r="http://schemas.openxmlformats.org/officeDocument/2006/relationships" ref="R32" tooltip="Open Prospect Profile" display="https://www.whatifsports.com/hbd/Pages/Popups/ProspectProfile.aspx?pid=13631454" r:id="rId64"/>
    <hyperlink xmlns:r="http://schemas.openxmlformats.org/officeDocument/2006/relationships" ref="C33" tooltip="Open Prospect Profile" display="https://www.whatifsports.com/hbd/Pages/Popups/ProspectProfile.aspx?pid=13631551" r:id="rId65"/>
    <hyperlink xmlns:r="http://schemas.openxmlformats.org/officeDocument/2006/relationships" ref="R33" tooltip="Open Prospect Profile" display="https://www.whatifsports.com/hbd/Pages/Popups/ProspectProfile.aspx?pid=13631551" r:id="rId66"/>
    <hyperlink xmlns:r="http://schemas.openxmlformats.org/officeDocument/2006/relationships" ref="C34" tooltip="Open Prospect Profile" display="https://www.whatifsports.com/hbd/Pages/Popups/ProspectProfile.aspx?pid=13631725" r:id="rId67"/>
    <hyperlink xmlns:r="http://schemas.openxmlformats.org/officeDocument/2006/relationships" ref="R34" tooltip="Open Prospect Profile" display="https://www.whatifsports.com/hbd/Pages/Popups/ProspectProfile.aspx?pid=13631725" r:id="rId68"/>
    <hyperlink xmlns:r="http://schemas.openxmlformats.org/officeDocument/2006/relationships" ref="C35" tooltip="Open Prospect Profile" display="https://www.whatifsports.com/hbd/Pages/Popups/ProspectProfile.aspx?pid=13631768" r:id="rId69"/>
    <hyperlink xmlns:r="http://schemas.openxmlformats.org/officeDocument/2006/relationships" ref="R35" tooltip="Open Prospect Profile" display="https://www.whatifsports.com/hbd/Pages/Popups/ProspectProfile.aspx?pid=13631768" r:id="rId70"/>
    <hyperlink xmlns:r="http://schemas.openxmlformats.org/officeDocument/2006/relationships" ref="C36" tooltip="Open Prospect Profile" display="https://www.whatifsports.com/hbd/Pages/Popups/ProspectProfile.aspx?pid=13631617" r:id="rId71"/>
    <hyperlink xmlns:r="http://schemas.openxmlformats.org/officeDocument/2006/relationships" ref="R36" tooltip="Open Prospect Profile" display="https://www.whatifsports.com/hbd/Pages/Popups/ProspectProfile.aspx?pid=13631617" r:id="rId72"/>
    <hyperlink xmlns:r="http://schemas.openxmlformats.org/officeDocument/2006/relationships" ref="C37" tooltip="Open Prospect Profile" display="https://www.whatifsports.com/hbd/Pages/Popups/ProspectProfile.aspx?pid=13631763" r:id="rId73"/>
    <hyperlink xmlns:r="http://schemas.openxmlformats.org/officeDocument/2006/relationships" ref="R37" tooltip="Open Prospect Profile" display="https://www.whatifsports.com/hbd/Pages/Popups/ProspectProfile.aspx?pid=13631763" r:id="rId74"/>
    <hyperlink xmlns:r="http://schemas.openxmlformats.org/officeDocument/2006/relationships" ref="C38" tooltip="Open Prospect Profile" display="https://www.whatifsports.com/hbd/Pages/Popups/ProspectProfile.aspx?pid=13631823" r:id="rId75"/>
    <hyperlink xmlns:r="http://schemas.openxmlformats.org/officeDocument/2006/relationships" ref="R38" tooltip="Open Prospect Profile" display="https://www.whatifsports.com/hbd/Pages/Popups/ProspectProfile.aspx?pid=13631823" r:id="rId76"/>
    <hyperlink xmlns:r="http://schemas.openxmlformats.org/officeDocument/2006/relationships" ref="C39" tooltip="Open Prospect Profile" display="https://www.whatifsports.com/hbd/Pages/Popups/ProspectProfile.aspx?pid=13631730" r:id="rId77"/>
    <hyperlink xmlns:r="http://schemas.openxmlformats.org/officeDocument/2006/relationships" ref="R39" tooltip="Open Prospect Profile" display="https://www.whatifsports.com/hbd/Pages/Popups/ProspectProfile.aspx?pid=13631730" r:id="rId78"/>
    <hyperlink xmlns:r="http://schemas.openxmlformats.org/officeDocument/2006/relationships" ref="C40" tooltip="Open Prospect Profile" display="https://www.whatifsports.com/hbd/Pages/Popups/ProspectProfile.aspx?pid=13631583" r:id="rId79"/>
    <hyperlink xmlns:r="http://schemas.openxmlformats.org/officeDocument/2006/relationships" ref="R40" tooltip="Open Prospect Profile" display="https://www.whatifsports.com/hbd/Pages/Popups/ProspectProfile.aspx?pid=13631583" r:id="rId80"/>
    <hyperlink xmlns:r="http://schemas.openxmlformats.org/officeDocument/2006/relationships" ref="C41" tooltip="Open Prospect Profile" display="https://www.whatifsports.com/hbd/Pages/Popups/ProspectProfile.aspx?pid=13631552" r:id="rId81"/>
    <hyperlink xmlns:r="http://schemas.openxmlformats.org/officeDocument/2006/relationships" ref="R41" tooltip="Open Prospect Profile" display="https://www.whatifsports.com/hbd/Pages/Popups/ProspectProfile.aspx?pid=13631552" r:id="rId82"/>
    <hyperlink xmlns:r="http://schemas.openxmlformats.org/officeDocument/2006/relationships" ref="C42" tooltip="Open Prospect Profile" display="https://www.whatifsports.com/hbd/Pages/Popups/ProspectProfile.aspx?pid=13631818" r:id="rId83"/>
    <hyperlink xmlns:r="http://schemas.openxmlformats.org/officeDocument/2006/relationships" ref="R42" tooltip="Open Prospect Profile" display="https://www.whatifsports.com/hbd/Pages/Popups/ProspectProfile.aspx?pid=13631818" r:id="rId84"/>
    <hyperlink xmlns:r="http://schemas.openxmlformats.org/officeDocument/2006/relationships" ref="C43" tooltip="Open Prospect Profile" display="https://www.whatifsports.com/hbd/Pages/Popups/ProspectProfile.aspx?pid=13631555" r:id="rId85"/>
    <hyperlink xmlns:r="http://schemas.openxmlformats.org/officeDocument/2006/relationships" ref="R43" tooltip="Open Prospect Profile" display="https://www.whatifsports.com/hbd/Pages/Popups/ProspectProfile.aspx?pid=13631555" r:id="rId86"/>
    <hyperlink xmlns:r="http://schemas.openxmlformats.org/officeDocument/2006/relationships" ref="C44" tooltip="Open Prospect Profile" display="https://www.whatifsports.com/hbd/Pages/Popups/ProspectProfile.aspx?pid=13631409" r:id="rId87"/>
    <hyperlink xmlns:r="http://schemas.openxmlformats.org/officeDocument/2006/relationships" ref="R44" tooltip="Open Prospect Profile" display="https://www.whatifsports.com/hbd/Pages/Popups/ProspectProfile.aspx?pid=13631409" r:id="rId88"/>
    <hyperlink xmlns:r="http://schemas.openxmlformats.org/officeDocument/2006/relationships" ref="C45" tooltip="Open Prospect Profile" display="https://www.whatifsports.com/hbd/Pages/Popups/ProspectProfile.aspx?pid=13631601" r:id="rId89"/>
    <hyperlink xmlns:r="http://schemas.openxmlformats.org/officeDocument/2006/relationships" ref="R45" tooltip="Open Prospect Profile" display="https://www.whatifsports.com/hbd/Pages/Popups/ProspectProfile.aspx?pid=13631601" r:id="rId90"/>
    <hyperlink xmlns:r="http://schemas.openxmlformats.org/officeDocument/2006/relationships" ref="C46" tooltip="Open Prospect Profile" display="https://www.whatifsports.com/hbd/Pages/Popups/ProspectProfile.aspx?pid=13631838" r:id="rId91"/>
    <hyperlink xmlns:r="http://schemas.openxmlformats.org/officeDocument/2006/relationships" ref="R46" tooltip="Open Prospect Profile" display="https://www.whatifsports.com/hbd/Pages/Popups/ProspectProfile.aspx?pid=13631838" r:id="rId92"/>
    <hyperlink xmlns:r="http://schemas.openxmlformats.org/officeDocument/2006/relationships" ref="C47" tooltip="Open Prospect Profile" display="https://www.whatifsports.com/hbd/Pages/Popups/ProspectProfile.aspx?pid=13631839" r:id="rId93"/>
    <hyperlink xmlns:r="http://schemas.openxmlformats.org/officeDocument/2006/relationships" ref="R47" tooltip="Open Prospect Profile" display="https://www.whatifsports.com/hbd/Pages/Popups/ProspectProfile.aspx?pid=13631839" r:id="rId94"/>
    <hyperlink xmlns:r="http://schemas.openxmlformats.org/officeDocument/2006/relationships" ref="C48" tooltip="Open Prospect Profile" display="https://www.whatifsports.com/hbd/Pages/Popups/ProspectProfile.aspx?pid=13631701" r:id="rId95"/>
    <hyperlink xmlns:r="http://schemas.openxmlformats.org/officeDocument/2006/relationships" ref="R48" tooltip="Open Prospect Profile" display="https://www.whatifsports.com/hbd/Pages/Popups/ProspectProfile.aspx?pid=13631701" r:id="rId96"/>
    <hyperlink xmlns:r="http://schemas.openxmlformats.org/officeDocument/2006/relationships" ref="C49" tooltip="Open Prospect Profile" display="https://www.whatifsports.com/hbd/Pages/Popups/ProspectProfile.aspx?pid=13631484" r:id="rId97"/>
    <hyperlink xmlns:r="http://schemas.openxmlformats.org/officeDocument/2006/relationships" ref="R49" tooltip="Open Prospect Profile" display="https://www.whatifsports.com/hbd/Pages/Popups/ProspectProfile.aspx?pid=13631484" r:id="rId98"/>
    <hyperlink xmlns:r="http://schemas.openxmlformats.org/officeDocument/2006/relationships" ref="C50" tooltip="Open Prospect Profile" display="https://www.whatifsports.com/hbd/Pages/Popups/ProspectProfile.aspx?pid=13631579" r:id="rId99"/>
    <hyperlink xmlns:r="http://schemas.openxmlformats.org/officeDocument/2006/relationships" ref="R50" tooltip="Open Prospect Profile" display="https://www.whatifsports.com/hbd/Pages/Popups/ProspectProfile.aspx?pid=13631579" r:id="rId100"/>
    <hyperlink xmlns:r="http://schemas.openxmlformats.org/officeDocument/2006/relationships" ref="C51" tooltip="Open Prospect Profile" display="https://www.whatifsports.com/hbd/Pages/Popups/ProspectProfile.aspx?pid=13631541" r:id="rId101"/>
    <hyperlink xmlns:r="http://schemas.openxmlformats.org/officeDocument/2006/relationships" ref="R51" tooltip="Open Prospect Profile" display="https://www.whatifsports.com/hbd/Pages/Popups/ProspectProfile.aspx?pid=13631541" r:id="rId102"/>
    <hyperlink xmlns:r="http://schemas.openxmlformats.org/officeDocument/2006/relationships" ref="C52" tooltip="Open Prospect Profile" display="https://www.whatifsports.com/hbd/Pages/Popups/ProspectProfile.aspx?pid=13631610" r:id="rId103"/>
    <hyperlink xmlns:r="http://schemas.openxmlformats.org/officeDocument/2006/relationships" ref="R52" tooltip="Open Prospect Profile" display="https://www.whatifsports.com/hbd/Pages/Popups/ProspectProfile.aspx?pid=13631610" r:id="rId104"/>
    <hyperlink xmlns:r="http://schemas.openxmlformats.org/officeDocument/2006/relationships" ref="C53" tooltip="Open Prospect Profile" display="https://www.whatifsports.com/hbd/Pages/Popups/ProspectProfile.aspx?pid=13631414" r:id="rId105"/>
    <hyperlink xmlns:r="http://schemas.openxmlformats.org/officeDocument/2006/relationships" ref="R53" tooltip="Open Prospect Profile" display="https://www.whatifsports.com/hbd/Pages/Popups/ProspectProfile.aspx?pid=13631414" r:id="rId106"/>
    <hyperlink xmlns:r="http://schemas.openxmlformats.org/officeDocument/2006/relationships" ref="C54" tooltip="Open Prospect Profile" display="https://www.whatifsports.com/hbd/Pages/Popups/ProspectProfile.aspx?pid=13631567" r:id="rId107"/>
    <hyperlink xmlns:r="http://schemas.openxmlformats.org/officeDocument/2006/relationships" ref="R54" tooltip="Open Prospect Profile" display="https://www.whatifsports.com/hbd/Pages/Popups/ProspectProfile.aspx?pid=13631567" r:id="rId108"/>
    <hyperlink xmlns:r="http://schemas.openxmlformats.org/officeDocument/2006/relationships" ref="C55" tooltip="Open Prospect Profile" display="https://www.whatifsports.com/hbd/Pages/Popups/ProspectProfile.aspx?pid=13631731" r:id="rId109"/>
    <hyperlink xmlns:r="http://schemas.openxmlformats.org/officeDocument/2006/relationships" ref="R55" tooltip="Open Prospect Profile" display="https://www.whatifsports.com/hbd/Pages/Popups/ProspectProfile.aspx?pid=13631731" r:id="rId110"/>
    <hyperlink xmlns:r="http://schemas.openxmlformats.org/officeDocument/2006/relationships" ref="C56" tooltip="Open Prospect Profile" display="https://www.whatifsports.com/hbd/Pages/Popups/ProspectProfile.aspx?pid=13631718" r:id="rId111"/>
    <hyperlink xmlns:r="http://schemas.openxmlformats.org/officeDocument/2006/relationships" ref="R56" tooltip="Open Prospect Profile" display="https://www.whatifsports.com/hbd/Pages/Popups/ProspectProfile.aspx?pid=13631718" r:id="rId112"/>
    <hyperlink xmlns:r="http://schemas.openxmlformats.org/officeDocument/2006/relationships" ref="C57" tooltip="Open Prospect Profile" display="https://www.whatifsports.com/hbd/Pages/Popups/ProspectProfile.aspx?pid=13631699" r:id="rId113"/>
    <hyperlink xmlns:r="http://schemas.openxmlformats.org/officeDocument/2006/relationships" ref="R57" tooltip="Open Prospect Profile" display="https://www.whatifsports.com/hbd/Pages/Popups/ProspectProfile.aspx?pid=13631699" r:id="rId114"/>
    <hyperlink xmlns:r="http://schemas.openxmlformats.org/officeDocument/2006/relationships" ref="C58" tooltip="Open Prospect Profile" display="https://www.whatifsports.com/hbd/Pages/Popups/ProspectProfile.aspx?pid=13631584" r:id="rId115"/>
    <hyperlink xmlns:r="http://schemas.openxmlformats.org/officeDocument/2006/relationships" ref="R58" tooltip="Open Prospect Profile" display="https://www.whatifsports.com/hbd/Pages/Popups/ProspectProfile.aspx?pid=13631584" r:id="rId116"/>
    <hyperlink xmlns:r="http://schemas.openxmlformats.org/officeDocument/2006/relationships" ref="C59" tooltip="Open Prospect Profile" display="https://www.whatifsports.com/hbd/Pages/Popups/ProspectProfile.aspx?pid=13631478" r:id="rId117"/>
    <hyperlink xmlns:r="http://schemas.openxmlformats.org/officeDocument/2006/relationships" ref="R59" tooltip="Open Prospect Profile" display="https://www.whatifsports.com/hbd/Pages/Popups/ProspectProfile.aspx?pid=13631478" r:id="rId118"/>
    <hyperlink xmlns:r="http://schemas.openxmlformats.org/officeDocument/2006/relationships" ref="C60" tooltip="Open Prospect Profile" display="https://www.whatifsports.com/hbd/Pages/Popups/ProspectProfile.aspx?pid=13631437" r:id="rId119"/>
    <hyperlink xmlns:r="http://schemas.openxmlformats.org/officeDocument/2006/relationships" ref="R60" tooltip="Open Prospect Profile" display="https://www.whatifsports.com/hbd/Pages/Popups/ProspectProfile.aspx?pid=13631437" r:id="rId120"/>
    <hyperlink xmlns:r="http://schemas.openxmlformats.org/officeDocument/2006/relationships" ref="C61" tooltip="Open Prospect Profile" display="https://www.whatifsports.com/hbd/Pages/Popups/ProspectProfile.aspx?pid=13631648" r:id="rId121"/>
    <hyperlink xmlns:r="http://schemas.openxmlformats.org/officeDocument/2006/relationships" ref="R61" tooltip="Open Prospect Profile" display="https://www.whatifsports.com/hbd/Pages/Popups/ProspectProfile.aspx?pid=13631648" r:id="rId122"/>
    <hyperlink xmlns:r="http://schemas.openxmlformats.org/officeDocument/2006/relationships" ref="C62" tooltip="Open Prospect Profile" display="https://www.whatifsports.com/hbd/Pages/Popups/ProspectProfile.aspx?pid=13631526" r:id="rId123"/>
    <hyperlink xmlns:r="http://schemas.openxmlformats.org/officeDocument/2006/relationships" ref="R62" tooltip="Open Prospect Profile" display="https://www.whatifsports.com/hbd/Pages/Popups/ProspectProfile.aspx?pid=13631526" r:id="rId124"/>
    <hyperlink xmlns:r="http://schemas.openxmlformats.org/officeDocument/2006/relationships" ref="C63" tooltip="Open Prospect Profile" display="https://www.whatifsports.com/hbd/Pages/Popups/ProspectProfile.aspx?pid=13631468" r:id="rId125"/>
    <hyperlink xmlns:r="http://schemas.openxmlformats.org/officeDocument/2006/relationships" ref="R63" tooltip="Open Prospect Profile" display="https://www.whatifsports.com/hbd/Pages/Popups/ProspectProfile.aspx?pid=13631468" r:id="rId126"/>
    <hyperlink xmlns:r="http://schemas.openxmlformats.org/officeDocument/2006/relationships" ref="C64" tooltip="Open Prospect Profile" display="https://www.whatifsports.com/hbd/Pages/Popups/ProspectProfile.aspx?pid=13631762" r:id="rId127"/>
    <hyperlink xmlns:r="http://schemas.openxmlformats.org/officeDocument/2006/relationships" ref="R64" tooltip="Open Prospect Profile" display="https://www.whatifsports.com/hbd/Pages/Popups/ProspectProfile.aspx?pid=13631762" r:id="rId128"/>
    <hyperlink xmlns:r="http://schemas.openxmlformats.org/officeDocument/2006/relationships" ref="C65" tooltip="Open Prospect Profile" display="https://www.whatifsports.com/hbd/Pages/Popups/ProspectProfile.aspx?pid=13631791" r:id="rId129"/>
    <hyperlink xmlns:r="http://schemas.openxmlformats.org/officeDocument/2006/relationships" ref="R65" tooltip="Open Prospect Profile" display="https://www.whatifsports.com/hbd/Pages/Popups/ProspectProfile.aspx?pid=13631791" r:id="rId130"/>
    <hyperlink xmlns:r="http://schemas.openxmlformats.org/officeDocument/2006/relationships" ref="C66" tooltip="Open Prospect Profile" display="https://www.whatifsports.com/hbd/Pages/Popups/ProspectProfile.aspx?pid=13631835" r:id="rId131"/>
    <hyperlink xmlns:r="http://schemas.openxmlformats.org/officeDocument/2006/relationships" ref="R66" tooltip="Open Prospect Profile" display="https://www.whatifsports.com/hbd/Pages/Popups/ProspectProfile.aspx?pid=13631835" r:id="rId132"/>
    <hyperlink xmlns:r="http://schemas.openxmlformats.org/officeDocument/2006/relationships" ref="C67" tooltip="Open Prospect Profile" display="https://www.whatifsports.com/hbd/Pages/Popups/ProspectProfile.aspx?pid=13631650" r:id="rId133"/>
    <hyperlink xmlns:r="http://schemas.openxmlformats.org/officeDocument/2006/relationships" ref="R67" tooltip="Open Prospect Profile" display="https://www.whatifsports.com/hbd/Pages/Popups/ProspectProfile.aspx?pid=13631650" r:id="rId134"/>
    <hyperlink xmlns:r="http://schemas.openxmlformats.org/officeDocument/2006/relationships" ref="C68" tooltip="Open Prospect Profile" display="https://www.whatifsports.com/hbd/Pages/Popups/ProspectProfile.aspx?pid=13631482" r:id="rId135"/>
    <hyperlink xmlns:r="http://schemas.openxmlformats.org/officeDocument/2006/relationships" ref="R68" tooltip="Open Prospect Profile" display="https://www.whatifsports.com/hbd/Pages/Popups/ProspectProfile.aspx?pid=13631482" r:id="rId136"/>
    <hyperlink xmlns:r="http://schemas.openxmlformats.org/officeDocument/2006/relationships" ref="C69" tooltip="Open Prospect Profile" display="https://www.whatifsports.com/hbd/Pages/Popups/ProspectProfile.aspx?pid=13631814" r:id="rId137"/>
    <hyperlink xmlns:r="http://schemas.openxmlformats.org/officeDocument/2006/relationships" ref="R69" tooltip="Open Prospect Profile" display="https://www.whatifsports.com/hbd/Pages/Popups/ProspectProfile.aspx?pid=13631814" r:id="rId138"/>
    <hyperlink xmlns:r="http://schemas.openxmlformats.org/officeDocument/2006/relationships" ref="C70" tooltip="Open Prospect Profile" display="https://www.whatifsports.com/hbd/Pages/Popups/ProspectProfile.aspx?pid=13631459" r:id="rId139"/>
    <hyperlink xmlns:r="http://schemas.openxmlformats.org/officeDocument/2006/relationships" ref="R70" tooltip="Open Prospect Profile" display="https://www.whatifsports.com/hbd/Pages/Popups/ProspectProfile.aspx?pid=13631459" r:id="rId140"/>
    <hyperlink xmlns:r="http://schemas.openxmlformats.org/officeDocument/2006/relationships" ref="C71" tooltip="Open Prospect Profile" display="https://www.whatifsports.com/hbd/Pages/Popups/ProspectProfile.aspx?pid=13631792" r:id="rId141"/>
    <hyperlink xmlns:r="http://schemas.openxmlformats.org/officeDocument/2006/relationships" ref="R71" tooltip="Open Prospect Profile" display="https://www.whatifsports.com/hbd/Pages/Popups/ProspectProfile.aspx?pid=13631792" r:id="rId142"/>
    <hyperlink xmlns:r="http://schemas.openxmlformats.org/officeDocument/2006/relationships" ref="C72" tooltip="Open Prospect Profile" display="https://www.whatifsports.com/hbd/Pages/Popups/ProspectProfile.aspx?pid=13631635" r:id="rId143"/>
    <hyperlink xmlns:r="http://schemas.openxmlformats.org/officeDocument/2006/relationships" ref="R72" tooltip="Open Prospect Profile" display="https://www.whatifsports.com/hbd/Pages/Popups/ProspectProfile.aspx?pid=13631635" r:id="rId144"/>
    <hyperlink xmlns:r="http://schemas.openxmlformats.org/officeDocument/2006/relationships" ref="C73" tooltip="Open Prospect Profile" display="https://www.whatifsports.com/hbd/Pages/Popups/ProspectProfile.aspx?pid=13631457" r:id="rId145"/>
    <hyperlink xmlns:r="http://schemas.openxmlformats.org/officeDocument/2006/relationships" ref="R73" tooltip="Open Prospect Profile" display="https://www.whatifsports.com/hbd/Pages/Popups/ProspectProfile.aspx?pid=13631457" r:id="rId146"/>
    <hyperlink xmlns:r="http://schemas.openxmlformats.org/officeDocument/2006/relationships" ref="C74" tooltip="Open Prospect Profile" display="https://www.whatifsports.com/hbd/Pages/Popups/ProspectProfile.aspx?pid=13631576" r:id="rId147"/>
    <hyperlink xmlns:r="http://schemas.openxmlformats.org/officeDocument/2006/relationships" ref="R74" tooltip="Open Prospect Profile" display="https://www.whatifsports.com/hbd/Pages/Popups/ProspectProfile.aspx?pid=13631576" r:id="rId148"/>
    <hyperlink xmlns:r="http://schemas.openxmlformats.org/officeDocument/2006/relationships" ref="C75" tooltip="Open Prospect Profile" display="https://www.whatifsports.com/hbd/Pages/Popups/ProspectProfile.aspx?pid=13631391" r:id="rId149"/>
    <hyperlink xmlns:r="http://schemas.openxmlformats.org/officeDocument/2006/relationships" ref="R75" tooltip="Open Prospect Profile" display="https://www.whatifsports.com/hbd/Pages/Popups/ProspectProfile.aspx?pid=13631391" r:id="rId150"/>
    <hyperlink xmlns:r="http://schemas.openxmlformats.org/officeDocument/2006/relationships" ref="C76" tooltip="Open Prospect Profile" display="https://www.whatifsports.com/hbd/Pages/Popups/ProspectProfile.aspx?pid=13631532" r:id="rId151"/>
    <hyperlink xmlns:r="http://schemas.openxmlformats.org/officeDocument/2006/relationships" ref="R76" tooltip="Open Prospect Profile" display="https://www.whatifsports.com/hbd/Pages/Popups/ProspectProfile.aspx?pid=13631532" r:id="rId152"/>
    <hyperlink xmlns:r="http://schemas.openxmlformats.org/officeDocument/2006/relationships" ref="C77" tooltip="Open Prospect Profile" display="https://www.whatifsports.com/hbd/Pages/Popups/ProspectProfile.aspx?pid=13631406" r:id="rId153"/>
    <hyperlink xmlns:r="http://schemas.openxmlformats.org/officeDocument/2006/relationships" ref="R77" tooltip="Open Prospect Profile" display="https://www.whatifsports.com/hbd/Pages/Popups/ProspectProfile.aspx?pid=13631406" r:id="rId154"/>
    <hyperlink xmlns:r="http://schemas.openxmlformats.org/officeDocument/2006/relationships" ref="C78" tooltip="Open Prospect Profile" display="https://www.whatifsports.com/hbd/Pages/Popups/ProspectProfile.aspx?pid=13631514" r:id="rId155"/>
    <hyperlink xmlns:r="http://schemas.openxmlformats.org/officeDocument/2006/relationships" ref="R78" tooltip="Open Prospect Profile" display="https://www.whatifsports.com/hbd/Pages/Popups/ProspectProfile.aspx?pid=13631514" r:id="rId156"/>
    <hyperlink xmlns:r="http://schemas.openxmlformats.org/officeDocument/2006/relationships" ref="C79" tooltip="Open Prospect Profile" display="https://www.whatifsports.com/hbd/Pages/Popups/ProspectProfile.aspx?pid=13631716" r:id="rId157"/>
    <hyperlink xmlns:r="http://schemas.openxmlformats.org/officeDocument/2006/relationships" ref="R79" tooltip="Open Prospect Profile" display="https://www.whatifsports.com/hbd/Pages/Popups/ProspectProfile.aspx?pid=13631716" r:id="rId158"/>
    <hyperlink xmlns:r="http://schemas.openxmlformats.org/officeDocument/2006/relationships" ref="C80" tooltip="Open Prospect Profile" display="https://www.whatifsports.com/hbd/Pages/Popups/ProspectProfile.aspx?pid=13631789" r:id="rId159"/>
    <hyperlink xmlns:r="http://schemas.openxmlformats.org/officeDocument/2006/relationships" ref="R80" tooltip="Open Prospect Profile" display="https://www.whatifsports.com/hbd/Pages/Popups/ProspectProfile.aspx?pid=13631789" r:id="rId160"/>
    <hyperlink xmlns:r="http://schemas.openxmlformats.org/officeDocument/2006/relationships" ref="C81" tooltip="Open Prospect Profile" display="https://www.whatifsports.com/hbd/Pages/Popups/ProspectProfile.aspx?pid=13632078" r:id="rId161"/>
    <hyperlink xmlns:r="http://schemas.openxmlformats.org/officeDocument/2006/relationships" ref="R81" tooltip="Open Prospect Profile" display="https://www.whatifsports.com/hbd/Pages/Popups/ProspectProfile.aspx?pid=13632078" r:id="rId162"/>
    <hyperlink xmlns:r="http://schemas.openxmlformats.org/officeDocument/2006/relationships" ref="C82" tooltip="Open Prospect Profile" display="https://www.whatifsports.com/hbd/Pages/Popups/ProspectProfile.aspx?pid=13631698" r:id="rId163"/>
    <hyperlink xmlns:r="http://schemas.openxmlformats.org/officeDocument/2006/relationships" ref="R82" tooltip="Open Prospect Profile" display="https://www.whatifsports.com/hbd/Pages/Popups/ProspectProfile.aspx?pid=13631698" r:id="rId164"/>
    <hyperlink xmlns:r="http://schemas.openxmlformats.org/officeDocument/2006/relationships" ref="C83" tooltip="Open Prospect Profile" display="https://www.whatifsports.com/hbd/Pages/Popups/ProspectProfile.aspx?pid=13631703" r:id="rId165"/>
    <hyperlink xmlns:r="http://schemas.openxmlformats.org/officeDocument/2006/relationships" ref="R83" tooltip="Open Prospect Profile" display="https://www.whatifsports.com/hbd/Pages/Popups/ProspectProfile.aspx?pid=13631703" r:id="rId166"/>
    <hyperlink xmlns:r="http://schemas.openxmlformats.org/officeDocument/2006/relationships" ref="C84" tooltip="Open Prospect Profile" display="https://www.whatifsports.com/hbd/Pages/Popups/ProspectProfile.aspx?pid=13631565" r:id="rId167"/>
    <hyperlink xmlns:r="http://schemas.openxmlformats.org/officeDocument/2006/relationships" ref="R84" tooltip="Open Prospect Profile" display="https://www.whatifsports.com/hbd/Pages/Popups/ProspectProfile.aspx?pid=13631565" r:id="rId168"/>
    <hyperlink xmlns:r="http://schemas.openxmlformats.org/officeDocument/2006/relationships" ref="C85" tooltip="Open Prospect Profile" display="https://www.whatifsports.com/hbd/Pages/Popups/ProspectProfile.aspx?pid=13631471" r:id="rId169"/>
    <hyperlink xmlns:r="http://schemas.openxmlformats.org/officeDocument/2006/relationships" ref="R85" tooltip="Open Prospect Profile" display="https://www.whatifsports.com/hbd/Pages/Popups/ProspectProfile.aspx?pid=13631471" r:id="rId170"/>
    <hyperlink xmlns:r="http://schemas.openxmlformats.org/officeDocument/2006/relationships" ref="C86" tooltip="Open Prospect Profile" display="https://www.whatifsports.com/hbd/Pages/Popups/ProspectProfile.aspx?pid=13631560" r:id="rId171"/>
    <hyperlink xmlns:r="http://schemas.openxmlformats.org/officeDocument/2006/relationships" ref="R86" tooltip="Open Prospect Profile" display="https://www.whatifsports.com/hbd/Pages/Popups/ProspectProfile.aspx?pid=13631560" r:id="rId172"/>
    <hyperlink xmlns:r="http://schemas.openxmlformats.org/officeDocument/2006/relationships" ref="C87" tooltip="Open Prospect Profile" display="https://www.whatifsports.com/hbd/Pages/Popups/ProspectProfile.aspx?pid=13631636" r:id="rId173"/>
    <hyperlink xmlns:r="http://schemas.openxmlformats.org/officeDocument/2006/relationships" ref="R87" tooltip="Open Prospect Profile" display="https://www.whatifsports.com/hbd/Pages/Popups/ProspectProfile.aspx?pid=13631636" r:id="rId174"/>
    <hyperlink xmlns:r="http://schemas.openxmlformats.org/officeDocument/2006/relationships" ref="C88" tooltip="Open Prospect Profile" display="https://www.whatifsports.com/hbd/Pages/Popups/ProspectProfile.aspx?pid=13631713" r:id="rId175"/>
    <hyperlink xmlns:r="http://schemas.openxmlformats.org/officeDocument/2006/relationships" ref="R88" tooltip="Open Prospect Profile" display="https://www.whatifsports.com/hbd/Pages/Popups/ProspectProfile.aspx?pid=13631713" r:id="rId176"/>
    <hyperlink xmlns:r="http://schemas.openxmlformats.org/officeDocument/2006/relationships" ref="C89" tooltip="Open Prospect Profile" display="https://www.whatifsports.com/hbd/Pages/Popups/ProspectProfile.aspx?pid=13631803" r:id="rId177"/>
    <hyperlink xmlns:r="http://schemas.openxmlformats.org/officeDocument/2006/relationships" ref="R89" tooltip="Open Prospect Profile" display="https://www.whatifsports.com/hbd/Pages/Popups/ProspectProfile.aspx?pid=13631803" r:id="rId178"/>
    <hyperlink xmlns:r="http://schemas.openxmlformats.org/officeDocument/2006/relationships" ref="C90" tooltip="Open Prospect Profile" display="https://www.whatifsports.com/hbd/Pages/Popups/ProspectProfile.aspx?pid=13631453" r:id="rId179"/>
    <hyperlink xmlns:r="http://schemas.openxmlformats.org/officeDocument/2006/relationships" ref="R90" tooltip="Open Prospect Profile" display="https://www.whatifsports.com/hbd/Pages/Popups/ProspectProfile.aspx?pid=13631453" r:id="rId180"/>
    <hyperlink xmlns:r="http://schemas.openxmlformats.org/officeDocument/2006/relationships" ref="C91" tooltip="Open Prospect Profile" display="https://www.whatifsports.com/hbd/Pages/Popups/ProspectProfile.aspx?pid=13631531" r:id="rId181"/>
    <hyperlink xmlns:r="http://schemas.openxmlformats.org/officeDocument/2006/relationships" ref="R91" tooltip="Open Prospect Profile" display="https://www.whatifsports.com/hbd/Pages/Popups/ProspectProfile.aspx?pid=13631531" r:id="rId182"/>
    <hyperlink xmlns:r="http://schemas.openxmlformats.org/officeDocument/2006/relationships" ref="C92" tooltip="Open Prospect Profile" display="https://www.whatifsports.com/hbd/Pages/Popups/ProspectProfile.aspx?pid=13631642" r:id="rId183"/>
    <hyperlink xmlns:r="http://schemas.openxmlformats.org/officeDocument/2006/relationships" ref="R92" tooltip="Open Prospect Profile" display="https://www.whatifsports.com/hbd/Pages/Popups/ProspectProfile.aspx?pid=13631642" r:id="rId184"/>
    <hyperlink xmlns:r="http://schemas.openxmlformats.org/officeDocument/2006/relationships" ref="C93" tooltip="Open Prospect Profile" display="https://www.whatifsports.com/hbd/Pages/Popups/ProspectProfile.aspx?pid=13631752" r:id="rId185"/>
    <hyperlink xmlns:r="http://schemas.openxmlformats.org/officeDocument/2006/relationships" ref="R93" tooltip="Open Prospect Profile" display="https://www.whatifsports.com/hbd/Pages/Popups/ProspectProfile.aspx?pid=13631752" r:id="rId186"/>
    <hyperlink xmlns:r="http://schemas.openxmlformats.org/officeDocument/2006/relationships" ref="C94" tooltip="Open Prospect Profile" display="https://www.whatifsports.com/hbd/Pages/Popups/ProspectProfile.aspx?pid=13631435" r:id="rId187"/>
    <hyperlink xmlns:r="http://schemas.openxmlformats.org/officeDocument/2006/relationships" ref="R94" tooltip="Open Prospect Profile" display="https://www.whatifsports.com/hbd/Pages/Popups/ProspectProfile.aspx?pid=13631435" r:id="rId188"/>
    <hyperlink xmlns:r="http://schemas.openxmlformats.org/officeDocument/2006/relationships" ref="C95" tooltip="Open Prospect Profile" display="https://www.whatifsports.com/hbd/Pages/Popups/ProspectProfile.aspx?pid=13632013" r:id="rId189"/>
    <hyperlink xmlns:r="http://schemas.openxmlformats.org/officeDocument/2006/relationships" ref="R95" tooltip="Open Prospect Profile" display="https://www.whatifsports.com/hbd/Pages/Popups/ProspectProfile.aspx?pid=13632013" r:id="rId190"/>
    <hyperlink xmlns:r="http://schemas.openxmlformats.org/officeDocument/2006/relationships" ref="C96" tooltip="Open Prospect Profile" display="https://www.whatifsports.com/hbd/Pages/Popups/ProspectProfile.aspx?pid=13631448" r:id="rId191"/>
    <hyperlink xmlns:r="http://schemas.openxmlformats.org/officeDocument/2006/relationships" ref="R96" tooltip="Open Prospect Profile" display="https://www.whatifsports.com/hbd/Pages/Popups/ProspectProfile.aspx?pid=13631448" r:id="rId192"/>
    <hyperlink xmlns:r="http://schemas.openxmlformats.org/officeDocument/2006/relationships" ref="C97" tooltip="Open Prospect Profile" display="https://www.whatifsports.com/hbd/Pages/Popups/ProspectProfile.aspx?pid=13631796" r:id="rId193"/>
    <hyperlink xmlns:r="http://schemas.openxmlformats.org/officeDocument/2006/relationships" ref="R97" tooltip="Open Prospect Profile" display="https://www.whatifsports.com/hbd/Pages/Popups/ProspectProfile.aspx?pid=13631796" r:id="rId194"/>
    <hyperlink xmlns:r="http://schemas.openxmlformats.org/officeDocument/2006/relationships" ref="C98" tooltip="Open Prospect Profile" display="https://www.whatifsports.com/hbd/Pages/Popups/ProspectProfile.aspx?pid=13631742" r:id="rId195"/>
    <hyperlink xmlns:r="http://schemas.openxmlformats.org/officeDocument/2006/relationships" ref="R98" tooltip="Open Prospect Profile" display="https://www.whatifsports.com/hbd/Pages/Popups/ProspectProfile.aspx?pid=13631742" r:id="rId196"/>
    <hyperlink xmlns:r="http://schemas.openxmlformats.org/officeDocument/2006/relationships" ref="C99" tooltip="Open Prospect Profile" display="https://www.whatifsports.com/hbd/Pages/Popups/ProspectProfile.aspx?pid=13631442" r:id="rId197"/>
    <hyperlink xmlns:r="http://schemas.openxmlformats.org/officeDocument/2006/relationships" ref="R99" tooltip="Open Prospect Profile" display="https://www.whatifsports.com/hbd/Pages/Popups/ProspectProfile.aspx?pid=13631442" r:id="rId198"/>
    <hyperlink xmlns:r="http://schemas.openxmlformats.org/officeDocument/2006/relationships" ref="C100" tooltip="Open Prospect Profile" display="https://www.whatifsports.com/hbd/Pages/Popups/ProspectProfile.aspx?pid=13631518" r:id="rId199"/>
    <hyperlink xmlns:r="http://schemas.openxmlformats.org/officeDocument/2006/relationships" ref="R100" tooltip="Open Prospect Profile" display="https://www.whatifsports.com/hbd/Pages/Popups/ProspectProfile.aspx?pid=13631518" r:id="rId200"/>
    <hyperlink xmlns:r="http://schemas.openxmlformats.org/officeDocument/2006/relationships" ref="C101" tooltip="Open Prospect Profile" display="https://www.whatifsports.com/hbd/Pages/Popups/ProspectProfile.aspx?pid=13631939" r:id="rId201"/>
    <hyperlink xmlns:r="http://schemas.openxmlformats.org/officeDocument/2006/relationships" ref="R101" tooltip="Open Prospect Profile" display="https://www.whatifsports.com/hbd/Pages/Popups/ProspectProfile.aspx?pid=13631939" r:id="rId202"/>
    <hyperlink xmlns:r="http://schemas.openxmlformats.org/officeDocument/2006/relationships" ref="C102" tooltip="Open Prospect Profile" display="https://www.whatifsports.com/hbd/Pages/Popups/ProspectProfile.aspx?pid=13631849" r:id="rId203"/>
    <hyperlink xmlns:r="http://schemas.openxmlformats.org/officeDocument/2006/relationships" ref="R102" tooltip="Open Prospect Profile" display="https://www.whatifsports.com/hbd/Pages/Popups/ProspectProfile.aspx?pid=13631849" r:id="rId204"/>
    <hyperlink xmlns:r="http://schemas.openxmlformats.org/officeDocument/2006/relationships" ref="C103" tooltip="Open Prospect Profile" display="https://www.whatifsports.com/hbd/Pages/Popups/ProspectProfile.aspx?pid=13631389" r:id="rId205"/>
    <hyperlink xmlns:r="http://schemas.openxmlformats.org/officeDocument/2006/relationships" ref="R103" tooltip="Open Prospect Profile" display="https://www.whatifsports.com/hbd/Pages/Popups/ProspectProfile.aspx?pid=13631389" r:id="rId206"/>
    <hyperlink xmlns:r="http://schemas.openxmlformats.org/officeDocument/2006/relationships" ref="C104" tooltip="Open Prospect Profile" display="https://www.whatifsports.com/hbd/Pages/Popups/ProspectProfile.aspx?pid=13631836" r:id="rId207"/>
    <hyperlink xmlns:r="http://schemas.openxmlformats.org/officeDocument/2006/relationships" ref="R104" tooltip="Open Prospect Profile" display="https://www.whatifsports.com/hbd/Pages/Popups/ProspectProfile.aspx?pid=13631836" r:id="rId208"/>
    <hyperlink xmlns:r="http://schemas.openxmlformats.org/officeDocument/2006/relationships" ref="C105" tooltip="Open Prospect Profile" display="https://www.whatifsports.com/hbd/Pages/Popups/ProspectProfile.aspx?pid=13631630" r:id="rId209"/>
    <hyperlink xmlns:r="http://schemas.openxmlformats.org/officeDocument/2006/relationships" ref="R105" tooltip="Open Prospect Profile" display="https://www.whatifsports.com/hbd/Pages/Popups/ProspectProfile.aspx?pid=13631630" r:id="rId210"/>
    <hyperlink xmlns:r="http://schemas.openxmlformats.org/officeDocument/2006/relationships" ref="C106" tooltip="Open Prospect Profile" display="https://www.whatifsports.com/hbd/Pages/Popups/ProspectProfile.aspx?pid=13632221" r:id="rId211"/>
    <hyperlink xmlns:r="http://schemas.openxmlformats.org/officeDocument/2006/relationships" ref="R106" tooltip="Open Prospect Profile" display="https://www.whatifsports.com/hbd/Pages/Popups/ProspectProfile.aspx?pid=13632221" r:id="rId212"/>
    <hyperlink xmlns:r="http://schemas.openxmlformats.org/officeDocument/2006/relationships" ref="C107" tooltip="Open Prospect Profile" display="https://www.whatifsports.com/hbd/Pages/Popups/ProspectProfile.aspx?pid=13631680" r:id="rId213"/>
    <hyperlink xmlns:r="http://schemas.openxmlformats.org/officeDocument/2006/relationships" ref="R107" tooltip="Open Prospect Profile" display="https://www.whatifsports.com/hbd/Pages/Popups/ProspectProfile.aspx?pid=13631680" r:id="rId214"/>
    <hyperlink xmlns:r="http://schemas.openxmlformats.org/officeDocument/2006/relationships" ref="C108" tooltip="Open Prospect Profile" display="https://www.whatifsports.com/hbd/Pages/Popups/ProspectProfile.aspx?pid=13631916" r:id="rId215"/>
    <hyperlink xmlns:r="http://schemas.openxmlformats.org/officeDocument/2006/relationships" ref="R108" tooltip="Open Prospect Profile" display="https://www.whatifsports.com/hbd/Pages/Popups/ProspectProfile.aspx?pid=13631916" r:id="rId216"/>
    <hyperlink xmlns:r="http://schemas.openxmlformats.org/officeDocument/2006/relationships" ref="C109" tooltip="Open Prospect Profile" display="https://www.whatifsports.com/hbd/Pages/Popups/ProspectProfile.aspx?pid=13632030" r:id="rId217"/>
    <hyperlink xmlns:r="http://schemas.openxmlformats.org/officeDocument/2006/relationships" ref="R109" tooltip="Open Prospect Profile" display="https://www.whatifsports.com/hbd/Pages/Popups/ProspectProfile.aspx?pid=13632030" r:id="rId218"/>
    <hyperlink xmlns:r="http://schemas.openxmlformats.org/officeDocument/2006/relationships" ref="C110" tooltip="Open Prospect Profile" display="https://www.whatifsports.com/hbd/Pages/Popups/ProspectProfile.aspx?pid=13632217" r:id="rId219"/>
    <hyperlink xmlns:r="http://schemas.openxmlformats.org/officeDocument/2006/relationships" ref="R110" tooltip="Open Prospect Profile" display="https://www.whatifsports.com/hbd/Pages/Popups/ProspectProfile.aspx?pid=13632217" r:id="rId220"/>
    <hyperlink xmlns:r="http://schemas.openxmlformats.org/officeDocument/2006/relationships" ref="C111" tooltip="Open Prospect Profile" display="https://www.whatifsports.com/hbd/Pages/Popups/ProspectProfile.aspx?pid=13631780" r:id="rId221"/>
    <hyperlink xmlns:r="http://schemas.openxmlformats.org/officeDocument/2006/relationships" ref="R111" tooltip="Open Prospect Profile" display="https://www.whatifsports.com/hbd/Pages/Popups/ProspectProfile.aspx?pid=13631780" r:id="rId222"/>
    <hyperlink xmlns:r="http://schemas.openxmlformats.org/officeDocument/2006/relationships" ref="C112" tooltip="Open Prospect Profile" display="https://www.whatifsports.com/hbd/Pages/Popups/ProspectProfile.aspx?pid=13632238" r:id="rId223"/>
    <hyperlink xmlns:r="http://schemas.openxmlformats.org/officeDocument/2006/relationships" ref="R112" tooltip="Open Prospect Profile" display="https://www.whatifsports.com/hbd/Pages/Popups/ProspectProfile.aspx?pid=13632238" r:id="rId224"/>
    <hyperlink xmlns:r="http://schemas.openxmlformats.org/officeDocument/2006/relationships" ref="C113" tooltip="Open Prospect Profile" display="https://www.whatifsports.com/hbd/Pages/Popups/ProspectProfile.aspx?pid=13631977" r:id="rId225"/>
    <hyperlink xmlns:r="http://schemas.openxmlformats.org/officeDocument/2006/relationships" ref="R113" tooltip="Open Prospect Profile" display="https://www.whatifsports.com/hbd/Pages/Popups/ProspectProfile.aspx?pid=13631977" r:id="rId226"/>
    <hyperlink xmlns:r="http://schemas.openxmlformats.org/officeDocument/2006/relationships" ref="C114" tooltip="Open Prospect Profile" display="https://www.whatifsports.com/hbd/Pages/Popups/ProspectProfile.aspx?pid=13632207" r:id="rId227"/>
    <hyperlink xmlns:r="http://schemas.openxmlformats.org/officeDocument/2006/relationships" ref="R114" tooltip="Open Prospect Profile" display="https://www.whatifsports.com/hbd/Pages/Popups/ProspectProfile.aspx?pid=13632207" r:id="rId228"/>
    <hyperlink xmlns:r="http://schemas.openxmlformats.org/officeDocument/2006/relationships" ref="C115" tooltip="Open Prospect Profile" display="https://www.whatifsports.com/hbd/Pages/Popups/ProspectProfile.aspx?pid=13632212" r:id="rId229"/>
    <hyperlink xmlns:r="http://schemas.openxmlformats.org/officeDocument/2006/relationships" ref="R115" tooltip="Open Prospect Profile" display="https://www.whatifsports.com/hbd/Pages/Popups/ProspectProfile.aspx?pid=13632212" r:id="rId230"/>
    <hyperlink xmlns:r="http://schemas.openxmlformats.org/officeDocument/2006/relationships" ref="C116" tooltip="Open Prospect Profile" display="https://www.whatifsports.com/hbd/Pages/Popups/ProspectProfile.aspx?pid=13631900" r:id="rId231"/>
    <hyperlink xmlns:r="http://schemas.openxmlformats.org/officeDocument/2006/relationships" ref="R116" tooltip="Open Prospect Profile" display="https://www.whatifsports.com/hbd/Pages/Popups/ProspectProfile.aspx?pid=13631900" r:id="rId232"/>
    <hyperlink xmlns:r="http://schemas.openxmlformats.org/officeDocument/2006/relationships" ref="C117" tooltip="Open Prospect Profile" display="https://www.whatifsports.com/hbd/Pages/Popups/ProspectProfile.aspx?pid=13631516" r:id="rId233"/>
    <hyperlink xmlns:r="http://schemas.openxmlformats.org/officeDocument/2006/relationships" ref="R117" tooltip="Open Prospect Profile" display="https://www.whatifsports.com/hbd/Pages/Popups/ProspectProfile.aspx?pid=13631516" r:id="rId234"/>
    <hyperlink xmlns:r="http://schemas.openxmlformats.org/officeDocument/2006/relationships" ref="C118" tooltip="Open Prospect Profile" display="https://www.whatifsports.com/hbd/Pages/Popups/ProspectProfile.aspx?pid=13632087" r:id="rId235"/>
    <hyperlink xmlns:r="http://schemas.openxmlformats.org/officeDocument/2006/relationships" ref="R118" tooltip="Open Prospect Profile" display="https://www.whatifsports.com/hbd/Pages/Popups/ProspectProfile.aspx?pid=13632087" r:id="rId236"/>
    <hyperlink xmlns:r="http://schemas.openxmlformats.org/officeDocument/2006/relationships" ref="C119" tooltip="Open Prospect Profile" display="https://www.whatifsports.com/hbd/Pages/Popups/ProspectProfile.aspx?pid=13632171" r:id="rId237"/>
    <hyperlink xmlns:r="http://schemas.openxmlformats.org/officeDocument/2006/relationships" ref="R119" tooltip="Open Prospect Profile" display="https://www.whatifsports.com/hbd/Pages/Popups/ProspectProfile.aspx?pid=13632171" r:id="rId238"/>
    <hyperlink xmlns:r="http://schemas.openxmlformats.org/officeDocument/2006/relationships" ref="C120" tooltip="Open Prospect Profile" display="https://www.whatifsports.com/hbd/Pages/Popups/ProspectProfile.aspx?pid=13631808" r:id="rId239"/>
    <hyperlink xmlns:r="http://schemas.openxmlformats.org/officeDocument/2006/relationships" ref="R120" tooltip="Open Prospect Profile" display="https://www.whatifsports.com/hbd/Pages/Popups/ProspectProfile.aspx?pid=13631808" r:id="rId240"/>
    <hyperlink xmlns:r="http://schemas.openxmlformats.org/officeDocument/2006/relationships" ref="C121" tooltip="Open Prospect Profile" display="https://www.whatifsports.com/hbd/Pages/Popups/ProspectProfile.aspx?pid=13632130" r:id="rId241"/>
    <hyperlink xmlns:r="http://schemas.openxmlformats.org/officeDocument/2006/relationships" ref="R121" tooltip="Open Prospect Profile" display="https://www.whatifsports.com/hbd/Pages/Popups/ProspectProfile.aspx?pid=13632130" r:id="rId242"/>
    <hyperlink xmlns:r="http://schemas.openxmlformats.org/officeDocument/2006/relationships" ref="C122" tooltip="Open Prospect Profile" display="https://www.whatifsports.com/hbd/Pages/Popups/ProspectProfile.aspx?pid=13632115" r:id="rId243"/>
    <hyperlink xmlns:r="http://schemas.openxmlformats.org/officeDocument/2006/relationships" ref="R122" tooltip="Open Prospect Profile" display="https://www.whatifsports.com/hbd/Pages/Popups/ProspectProfile.aspx?pid=13632115" r:id="rId244"/>
    <hyperlink xmlns:r="http://schemas.openxmlformats.org/officeDocument/2006/relationships" ref="C123" tooltip="Open Prospect Profile" display="https://www.whatifsports.com/hbd/Pages/Popups/ProspectProfile.aspx?pid=13632123" r:id="rId245"/>
    <hyperlink xmlns:r="http://schemas.openxmlformats.org/officeDocument/2006/relationships" ref="R123" tooltip="Open Prospect Profile" display="https://www.whatifsports.com/hbd/Pages/Popups/ProspectProfile.aspx?pid=13632123" r:id="rId246"/>
    <hyperlink xmlns:r="http://schemas.openxmlformats.org/officeDocument/2006/relationships" ref="C124" tooltip="Open Prospect Profile" display="https://www.whatifsports.com/hbd/Pages/Popups/ProspectProfile.aspx?pid=13632211" r:id="rId247"/>
    <hyperlink xmlns:r="http://schemas.openxmlformats.org/officeDocument/2006/relationships" ref="R124" tooltip="Open Prospect Profile" display="https://www.whatifsports.com/hbd/Pages/Popups/ProspectProfile.aspx?pid=13632211" r:id="rId248"/>
    <hyperlink xmlns:r="http://schemas.openxmlformats.org/officeDocument/2006/relationships" ref="C125" tooltip="Open Prospect Profile" display="https://www.whatifsports.com/hbd/Pages/Popups/ProspectProfile.aspx?pid=13631802" r:id="rId249"/>
    <hyperlink xmlns:r="http://schemas.openxmlformats.org/officeDocument/2006/relationships" ref="R125" tooltip="Open Prospect Profile" display="https://www.whatifsports.com/hbd/Pages/Popups/ProspectProfile.aspx?pid=13631802" r:id="rId250"/>
    <hyperlink xmlns:r="http://schemas.openxmlformats.org/officeDocument/2006/relationships" ref="C126" tooltip="Open Prospect Profile" display="https://www.whatifsports.com/hbd/Pages/Popups/ProspectProfile.aspx?pid=13632224" r:id="rId251"/>
    <hyperlink xmlns:r="http://schemas.openxmlformats.org/officeDocument/2006/relationships" ref="R126" tooltip="Open Prospect Profile" display="https://www.whatifsports.com/hbd/Pages/Popups/ProspectProfile.aspx?pid=13632224" r:id="rId252"/>
    <hyperlink xmlns:r="http://schemas.openxmlformats.org/officeDocument/2006/relationships" ref="C127" tooltip="Open Prospect Profile" display="https://www.whatifsports.com/hbd/Pages/Popups/ProspectProfile.aspx?pid=13632154" r:id="rId253"/>
    <hyperlink xmlns:r="http://schemas.openxmlformats.org/officeDocument/2006/relationships" ref="R127" tooltip="Open Prospect Profile" display="https://www.whatifsports.com/hbd/Pages/Popups/ProspectProfile.aspx?pid=13632154" r:id="rId254"/>
    <hyperlink xmlns:r="http://schemas.openxmlformats.org/officeDocument/2006/relationships" ref="C128" tooltip="Open Prospect Profile" display="https://www.whatifsports.com/hbd/Pages/Popups/ProspectProfile.aspx?pid=13632169" r:id="rId255"/>
    <hyperlink xmlns:r="http://schemas.openxmlformats.org/officeDocument/2006/relationships" ref="R128" tooltip="Open Prospect Profile" display="https://www.whatifsports.com/hbd/Pages/Popups/ProspectProfile.aspx?pid=13632169" r:id="rId256"/>
    <hyperlink xmlns:r="http://schemas.openxmlformats.org/officeDocument/2006/relationships" ref="C129" tooltip="Open Prospect Profile" display="https://www.whatifsports.com/hbd/Pages/Popups/ProspectProfile.aspx?pid=13632164" r:id="rId257"/>
    <hyperlink xmlns:r="http://schemas.openxmlformats.org/officeDocument/2006/relationships" ref="R129" tooltip="Open Prospect Profile" display="https://www.whatifsports.com/hbd/Pages/Popups/ProspectProfile.aspx?pid=13632164" r:id="rId258"/>
    <hyperlink xmlns:r="http://schemas.openxmlformats.org/officeDocument/2006/relationships" ref="C130" tooltip="Open Prospect Profile" display="https://www.whatifsports.com/hbd/Pages/Popups/ProspectProfile.aspx?pid=13632194" r:id="rId259"/>
    <hyperlink xmlns:r="http://schemas.openxmlformats.org/officeDocument/2006/relationships" ref="R130" tooltip="Open Prospect Profile" display="https://www.whatifsports.com/hbd/Pages/Popups/ProspectProfile.aspx?pid=13632194" r:id="rId260"/>
    <hyperlink xmlns:r="http://schemas.openxmlformats.org/officeDocument/2006/relationships" ref="C131" tooltip="Open Prospect Profile" display="https://www.whatifsports.com/hbd/Pages/Popups/ProspectProfile.aspx?pid=13631882" r:id="rId261"/>
    <hyperlink xmlns:r="http://schemas.openxmlformats.org/officeDocument/2006/relationships" ref="R131" tooltip="Open Prospect Profile" display="https://www.whatifsports.com/hbd/Pages/Popups/ProspectProfile.aspx?pid=13631882" r:id="rId262"/>
    <hyperlink xmlns:r="http://schemas.openxmlformats.org/officeDocument/2006/relationships" ref="C132" tooltip="Open Prospect Profile" display="https://www.whatifsports.com/hbd/Pages/Popups/ProspectProfile.aspx?pid=13632104" r:id="rId263"/>
    <hyperlink xmlns:r="http://schemas.openxmlformats.org/officeDocument/2006/relationships" ref="R132" tooltip="Open Prospect Profile" display="https://www.whatifsports.com/hbd/Pages/Popups/ProspectProfile.aspx?pid=13632104" r:id="rId264"/>
    <hyperlink xmlns:r="http://schemas.openxmlformats.org/officeDocument/2006/relationships" ref="C133" tooltip="Open Prospect Profile" display="https://www.whatifsports.com/hbd/Pages/Popups/ProspectProfile.aspx?pid=13632001" r:id="rId265"/>
    <hyperlink xmlns:r="http://schemas.openxmlformats.org/officeDocument/2006/relationships" ref="R133" tooltip="Open Prospect Profile" display="https://www.whatifsports.com/hbd/Pages/Popups/ProspectProfile.aspx?pid=13632001" r:id="rId266"/>
    <hyperlink xmlns:r="http://schemas.openxmlformats.org/officeDocument/2006/relationships" ref="C134" tooltip="Open Prospect Profile" display="https://www.whatifsports.com/hbd/Pages/Popups/ProspectProfile.aspx?pid=13631885" r:id="rId267"/>
    <hyperlink xmlns:r="http://schemas.openxmlformats.org/officeDocument/2006/relationships" ref="R134" tooltip="Open Prospect Profile" display="https://www.whatifsports.com/hbd/Pages/Popups/ProspectProfile.aspx?pid=13631885" r:id="rId268"/>
    <hyperlink xmlns:r="http://schemas.openxmlformats.org/officeDocument/2006/relationships" ref="C135" tooltip="Open Prospect Profile" display="https://www.whatifsports.com/hbd/Pages/Popups/ProspectProfile.aspx?pid=13632048" r:id="rId269"/>
    <hyperlink xmlns:r="http://schemas.openxmlformats.org/officeDocument/2006/relationships" ref="R135" tooltip="Open Prospect Profile" display="https://www.whatifsports.com/hbd/Pages/Popups/ProspectProfile.aspx?pid=13632048" r:id="rId270"/>
    <hyperlink xmlns:r="http://schemas.openxmlformats.org/officeDocument/2006/relationships" ref="C136" tooltip="Open Prospect Profile" display="https://www.whatifsports.com/hbd/Pages/Popups/ProspectProfile.aspx?pid=13631874" r:id="rId271"/>
    <hyperlink xmlns:r="http://schemas.openxmlformats.org/officeDocument/2006/relationships" ref="R136" tooltip="Open Prospect Profile" display="https://www.whatifsports.com/hbd/Pages/Popups/ProspectProfile.aspx?pid=13631874" r:id="rId272"/>
    <hyperlink xmlns:r="http://schemas.openxmlformats.org/officeDocument/2006/relationships" ref="C137" tooltip="Open Prospect Profile" display="https://www.whatifsports.com/hbd/Pages/Popups/ProspectProfile.aspx?pid=13632035" r:id="rId273"/>
    <hyperlink xmlns:r="http://schemas.openxmlformats.org/officeDocument/2006/relationships" ref="R137" tooltip="Open Prospect Profile" display="https://www.whatifsports.com/hbd/Pages/Popups/ProspectProfile.aspx?pid=13632035" r:id="rId274"/>
    <hyperlink xmlns:r="http://schemas.openxmlformats.org/officeDocument/2006/relationships" ref="C138" tooltip="Open Prospect Profile" display="https://www.whatifsports.com/hbd/Pages/Popups/ProspectProfile.aspx?pid=13631989" r:id="rId275"/>
    <hyperlink xmlns:r="http://schemas.openxmlformats.org/officeDocument/2006/relationships" ref="R138" tooltip="Open Prospect Profile" display="https://www.whatifsports.com/hbd/Pages/Popups/ProspectProfile.aspx?pid=13631989" r:id="rId276"/>
    <hyperlink xmlns:r="http://schemas.openxmlformats.org/officeDocument/2006/relationships" ref="C139" tooltip="Open Prospect Profile" display="https://www.whatifsports.com/hbd/Pages/Popups/ProspectProfile.aspx?pid=13632237" r:id="rId277"/>
    <hyperlink xmlns:r="http://schemas.openxmlformats.org/officeDocument/2006/relationships" ref="R139" tooltip="Open Prospect Profile" display="https://www.whatifsports.com/hbd/Pages/Popups/ProspectProfile.aspx?pid=13632237" r:id="rId278"/>
    <hyperlink xmlns:r="http://schemas.openxmlformats.org/officeDocument/2006/relationships" ref="C140" tooltip="Open Prospect Profile" display="https://www.whatifsports.com/hbd/Pages/Popups/ProspectProfile.aspx?pid=13632204" r:id="rId279"/>
    <hyperlink xmlns:r="http://schemas.openxmlformats.org/officeDocument/2006/relationships" ref="R140" tooltip="Open Prospect Profile" display="https://www.whatifsports.com/hbd/Pages/Popups/ProspectProfile.aspx?pid=13632204" r:id="rId280"/>
    <hyperlink xmlns:r="http://schemas.openxmlformats.org/officeDocument/2006/relationships" ref="C141" tooltip="Open Prospect Profile" display="https://www.whatifsports.com/hbd/Pages/Popups/ProspectProfile.aspx?pid=13631877" r:id="rId281"/>
    <hyperlink xmlns:r="http://schemas.openxmlformats.org/officeDocument/2006/relationships" ref="R141" tooltip="Open Prospect Profile" display="https://www.whatifsports.com/hbd/Pages/Popups/ProspectProfile.aspx?pid=13631877" r:id="rId282"/>
    <hyperlink xmlns:r="http://schemas.openxmlformats.org/officeDocument/2006/relationships" ref="C142" tooltip="Open Prospect Profile" display="https://www.whatifsports.com/hbd/Pages/Popups/ProspectProfile.aspx?pid=13632084" r:id="rId283"/>
    <hyperlink xmlns:r="http://schemas.openxmlformats.org/officeDocument/2006/relationships" ref="R142" tooltip="Open Prospect Profile" display="https://www.whatifsports.com/hbd/Pages/Popups/ProspectProfile.aspx?pid=13632084" r:id="rId284"/>
    <hyperlink xmlns:r="http://schemas.openxmlformats.org/officeDocument/2006/relationships" ref="C143" tooltip="Open Prospect Profile" display="https://www.whatifsports.com/hbd/Pages/Popups/ProspectProfile.aspx?pid=13631994" r:id="rId285"/>
    <hyperlink xmlns:r="http://schemas.openxmlformats.org/officeDocument/2006/relationships" ref="R143" tooltip="Open Prospect Profile" display="https://www.whatifsports.com/hbd/Pages/Popups/ProspectProfile.aspx?pid=13631994" r:id="rId286"/>
    <hyperlink xmlns:r="http://schemas.openxmlformats.org/officeDocument/2006/relationships" ref="C144" tooltip="Open Prospect Profile" display="https://www.whatifsports.com/hbd/Pages/Popups/ProspectProfile.aspx?pid=13632075" r:id="rId287"/>
    <hyperlink xmlns:r="http://schemas.openxmlformats.org/officeDocument/2006/relationships" ref="R144" tooltip="Open Prospect Profile" display="https://www.whatifsports.com/hbd/Pages/Popups/ProspectProfile.aspx?pid=13632075" r:id="rId288"/>
    <hyperlink xmlns:r="http://schemas.openxmlformats.org/officeDocument/2006/relationships" ref="C145" tooltip="Open Prospect Profile" display="https://www.whatifsports.com/hbd/Pages/Popups/ProspectProfile.aspx?pid=13632113" r:id="rId289"/>
    <hyperlink xmlns:r="http://schemas.openxmlformats.org/officeDocument/2006/relationships" ref="R145" tooltip="Open Prospect Profile" display="https://www.whatifsports.com/hbd/Pages/Popups/ProspectProfile.aspx?pid=13632113" r:id="rId290"/>
    <hyperlink xmlns:r="http://schemas.openxmlformats.org/officeDocument/2006/relationships" ref="C146" tooltip="Open Prospect Profile" display="https://www.whatifsports.com/hbd/Pages/Popups/ProspectProfile.aspx?pid=13631913" r:id="rId291"/>
    <hyperlink xmlns:r="http://schemas.openxmlformats.org/officeDocument/2006/relationships" ref="R146" tooltip="Open Prospect Profile" display="https://www.whatifsports.com/hbd/Pages/Popups/ProspectProfile.aspx?pid=13631913" r:id="rId292"/>
    <hyperlink xmlns:r="http://schemas.openxmlformats.org/officeDocument/2006/relationships" ref="C147" tooltip="Open Prospect Profile" display="https://www.whatifsports.com/hbd/Pages/Popups/ProspectProfile.aspx?pid=13632229" r:id="rId293"/>
    <hyperlink xmlns:r="http://schemas.openxmlformats.org/officeDocument/2006/relationships" ref="R147" tooltip="Open Prospect Profile" display="https://www.whatifsports.com/hbd/Pages/Popups/ProspectProfile.aspx?pid=13632229" r:id="rId294"/>
    <hyperlink xmlns:r="http://schemas.openxmlformats.org/officeDocument/2006/relationships" ref="C148" tooltip="Open Prospect Profile" display="https://www.whatifsports.com/hbd/Pages/Popups/ProspectProfile.aspx?pid=13631871" r:id="rId295"/>
    <hyperlink xmlns:r="http://schemas.openxmlformats.org/officeDocument/2006/relationships" ref="R148" tooltip="Open Prospect Profile" display="https://www.whatifsports.com/hbd/Pages/Popups/ProspectProfile.aspx?pid=13631871" r:id="rId296"/>
    <hyperlink xmlns:r="http://schemas.openxmlformats.org/officeDocument/2006/relationships" ref="C149" tooltip="Open Prospect Profile" display="https://www.whatifsports.com/hbd/Pages/Popups/ProspectProfile.aspx?pid=13632216" r:id="rId297"/>
    <hyperlink xmlns:r="http://schemas.openxmlformats.org/officeDocument/2006/relationships" ref="R149" tooltip="Open Prospect Profile" display="https://www.whatifsports.com/hbd/Pages/Popups/ProspectProfile.aspx?pid=13632216" r:id="rId298"/>
    <hyperlink xmlns:r="http://schemas.openxmlformats.org/officeDocument/2006/relationships" ref="C150" tooltip="Open Prospect Profile" display="https://www.whatifsports.com/hbd/Pages/Popups/ProspectProfile.aspx?pid=13631963" r:id="rId299"/>
    <hyperlink xmlns:r="http://schemas.openxmlformats.org/officeDocument/2006/relationships" ref="R150" tooltip="Open Prospect Profile" display="https://www.whatifsports.com/hbd/Pages/Popups/ProspectProfile.aspx?pid=13631963" r:id="rId300"/>
    <hyperlink xmlns:r="http://schemas.openxmlformats.org/officeDocument/2006/relationships" ref="C151" tooltip="Open Prospect Profile" display="https://www.whatifsports.com/hbd/Pages/Popups/ProspectProfile.aspx?pid=13632168" r:id="rId301"/>
    <hyperlink xmlns:r="http://schemas.openxmlformats.org/officeDocument/2006/relationships" ref="R151" tooltip="Open Prospect Profile" display="https://www.whatifsports.com/hbd/Pages/Popups/ProspectProfile.aspx?pid=13632168" r:id="rId302"/>
    <hyperlink xmlns:r="http://schemas.openxmlformats.org/officeDocument/2006/relationships" ref="C152" tooltip="Open Prospect Profile" display="https://www.whatifsports.com/hbd/Pages/Popups/ProspectProfile.aspx?pid=13632143" r:id="rId303"/>
    <hyperlink xmlns:r="http://schemas.openxmlformats.org/officeDocument/2006/relationships" ref="R152" tooltip="Open Prospect Profile" display="https://www.whatifsports.com/hbd/Pages/Popups/ProspectProfile.aspx?pid=13632143" r:id="rId304"/>
    <hyperlink xmlns:r="http://schemas.openxmlformats.org/officeDocument/2006/relationships" ref="C153" tooltip="Open Prospect Profile" display="https://www.whatifsports.com/hbd/Pages/Popups/ProspectProfile.aspx?pid=13631972" r:id="rId305"/>
    <hyperlink xmlns:r="http://schemas.openxmlformats.org/officeDocument/2006/relationships" ref="R153" tooltip="Open Prospect Profile" display="https://www.whatifsports.com/hbd/Pages/Popups/ProspectProfile.aspx?pid=13631972" r:id="rId306"/>
    <hyperlink xmlns:r="http://schemas.openxmlformats.org/officeDocument/2006/relationships" ref="C154" tooltip="Open Prospect Profile" display="https://www.whatifsports.com/hbd/Pages/Popups/ProspectProfile.aspx?pid=13631910" r:id="rId307"/>
    <hyperlink xmlns:r="http://schemas.openxmlformats.org/officeDocument/2006/relationships" ref="R154" tooltip="Open Prospect Profile" display="https://www.whatifsports.com/hbd/Pages/Popups/ProspectProfile.aspx?pid=13631910" r:id="rId308"/>
    <hyperlink xmlns:r="http://schemas.openxmlformats.org/officeDocument/2006/relationships" ref="C155" tooltip="Open Prospect Profile" display="https://www.whatifsports.com/hbd/Pages/Popups/ProspectProfile.aspx?pid=13632099" r:id="rId309"/>
    <hyperlink xmlns:r="http://schemas.openxmlformats.org/officeDocument/2006/relationships" ref="R155" tooltip="Open Prospect Profile" display="https://www.whatifsports.com/hbd/Pages/Popups/ProspectProfile.aspx?pid=13632099" r:id="rId310"/>
    <hyperlink xmlns:r="http://schemas.openxmlformats.org/officeDocument/2006/relationships" ref="C156" tooltip="Open Prospect Profile" display="https://www.whatifsports.com/hbd/Pages/Popups/ProspectProfile.aspx?pid=13632107" r:id="rId311"/>
    <hyperlink xmlns:r="http://schemas.openxmlformats.org/officeDocument/2006/relationships" ref="R156" tooltip="Open Prospect Profile" display="https://www.whatifsports.com/hbd/Pages/Popups/ProspectProfile.aspx?pid=13632107" r:id="rId312"/>
    <hyperlink xmlns:r="http://schemas.openxmlformats.org/officeDocument/2006/relationships" ref="C157" tooltip="Open Prospect Profile" display="https://www.whatifsports.com/hbd/Pages/Popups/ProspectProfile.aspx?pid=13631852" r:id="rId313"/>
    <hyperlink xmlns:r="http://schemas.openxmlformats.org/officeDocument/2006/relationships" ref="R157" tooltip="Open Prospect Profile" display="https://www.whatifsports.com/hbd/Pages/Popups/ProspectProfile.aspx?pid=13631852" r:id="rId314"/>
    <hyperlink xmlns:r="http://schemas.openxmlformats.org/officeDocument/2006/relationships" ref="C158" tooltip="Open Prospect Profile" display="https://www.whatifsports.com/hbd/Pages/Popups/ProspectProfile.aspx?pid=13632085" r:id="rId315"/>
    <hyperlink xmlns:r="http://schemas.openxmlformats.org/officeDocument/2006/relationships" ref="R158" tooltip="Open Prospect Profile" display="https://www.whatifsports.com/hbd/Pages/Popups/ProspectProfile.aspx?pid=13632085" r:id="rId316"/>
    <hyperlink xmlns:r="http://schemas.openxmlformats.org/officeDocument/2006/relationships" ref="C159" tooltip="Open Prospect Profile" display="https://www.whatifsports.com/hbd/Pages/Popups/ProspectProfile.aspx?pid=13632233" r:id="rId317"/>
    <hyperlink xmlns:r="http://schemas.openxmlformats.org/officeDocument/2006/relationships" ref="R159" tooltip="Open Prospect Profile" display="https://www.whatifsports.com/hbd/Pages/Popups/ProspectProfile.aspx?pid=13632233" r:id="rId318"/>
    <hyperlink xmlns:r="http://schemas.openxmlformats.org/officeDocument/2006/relationships" ref="C160" tooltip="Open Prospect Profile" display="https://www.whatifsports.com/hbd/Pages/Popups/ProspectProfile.aspx?pid=13631844" r:id="rId319"/>
    <hyperlink xmlns:r="http://schemas.openxmlformats.org/officeDocument/2006/relationships" ref="R160" tooltip="Open Prospect Profile" display="https://www.whatifsports.com/hbd/Pages/Popups/ProspectProfile.aspx?pid=13631844" r:id="rId320"/>
    <hyperlink xmlns:r="http://schemas.openxmlformats.org/officeDocument/2006/relationships" ref="C161" tooltip="Open Prospect Profile" display="https://www.whatifsports.com/hbd/Pages/Popups/ProspectProfile.aspx?pid=13632052" r:id="rId321"/>
    <hyperlink xmlns:r="http://schemas.openxmlformats.org/officeDocument/2006/relationships" ref="R161" tooltip="Open Prospect Profile" display="https://www.whatifsports.com/hbd/Pages/Popups/ProspectProfile.aspx?pid=13632052" r:id="rId322"/>
    <hyperlink xmlns:r="http://schemas.openxmlformats.org/officeDocument/2006/relationships" ref="C162" tooltip="Open Prospect Profile" display="https://www.whatifsports.com/hbd/Pages/Popups/ProspectProfile.aspx?pid=13632066" r:id="rId323"/>
    <hyperlink xmlns:r="http://schemas.openxmlformats.org/officeDocument/2006/relationships" ref="R162" tooltip="Open Prospect Profile" display="https://www.whatifsports.com/hbd/Pages/Popups/ProspectProfile.aspx?pid=13632066" r:id="rId324"/>
    <hyperlink xmlns:r="http://schemas.openxmlformats.org/officeDocument/2006/relationships" ref="C163" tooltip="Open Prospect Profile" display="https://www.whatifsports.com/hbd/Pages/Popups/ProspectProfile.aspx?pid=13631876" r:id="rId325"/>
    <hyperlink xmlns:r="http://schemas.openxmlformats.org/officeDocument/2006/relationships" ref="R163" tooltip="Open Prospect Profile" display="https://www.whatifsports.com/hbd/Pages/Popups/ProspectProfile.aspx?pid=13631876" r:id="rId326"/>
    <hyperlink xmlns:r="http://schemas.openxmlformats.org/officeDocument/2006/relationships" ref="C164" tooltip="Open Prospect Profile" display="https://www.whatifsports.com/hbd/Pages/Popups/ProspectProfile.aspx?pid=13632178" r:id="rId327"/>
    <hyperlink xmlns:r="http://schemas.openxmlformats.org/officeDocument/2006/relationships" ref="R164" tooltip="Open Prospect Profile" display="https://www.whatifsports.com/hbd/Pages/Popups/ProspectProfile.aspx?pid=13632178" r:id="rId328"/>
    <hyperlink xmlns:r="http://schemas.openxmlformats.org/officeDocument/2006/relationships" ref="C165" tooltip="Open Prospect Profile" display="https://www.whatifsports.com/hbd/Pages/Popups/ProspectProfile.aspx?pid=13631945" r:id="rId329"/>
    <hyperlink xmlns:r="http://schemas.openxmlformats.org/officeDocument/2006/relationships" ref="R165" tooltip="Open Prospect Profile" display="https://www.whatifsports.com/hbd/Pages/Popups/ProspectProfile.aspx?pid=13631945" r:id="rId330"/>
    <hyperlink xmlns:r="http://schemas.openxmlformats.org/officeDocument/2006/relationships" ref="C166" tooltip="Open Prospect Profile" display="https://www.whatifsports.com/hbd/Pages/Popups/ProspectProfile.aspx?pid=13632131" r:id="rId331"/>
    <hyperlink xmlns:r="http://schemas.openxmlformats.org/officeDocument/2006/relationships" ref="R166" tooltip="Open Prospect Profile" display="https://www.whatifsports.com/hbd/Pages/Popups/ProspectProfile.aspx?pid=13632131" r:id="rId332"/>
    <hyperlink xmlns:r="http://schemas.openxmlformats.org/officeDocument/2006/relationships" ref="C167" tooltip="Open Prospect Profile" display="https://www.whatifsports.com/hbd/Pages/Popups/ProspectProfile.aspx?pid=13632201" r:id="rId333"/>
    <hyperlink xmlns:r="http://schemas.openxmlformats.org/officeDocument/2006/relationships" ref="R167" tooltip="Open Prospect Profile" display="https://www.whatifsports.com/hbd/Pages/Popups/ProspectProfile.aspx?pid=13632201" r:id="rId334"/>
    <hyperlink xmlns:r="http://schemas.openxmlformats.org/officeDocument/2006/relationships" ref="C168" tooltip="Open Prospect Profile" display="https://www.whatifsports.com/hbd/Pages/Popups/ProspectProfile.aspx?pid=13632071" r:id="rId335"/>
    <hyperlink xmlns:r="http://schemas.openxmlformats.org/officeDocument/2006/relationships" ref="R168" tooltip="Open Prospect Profile" display="https://www.whatifsports.com/hbd/Pages/Popups/ProspectProfile.aspx?pid=13632071" r:id="rId336"/>
    <hyperlink xmlns:r="http://schemas.openxmlformats.org/officeDocument/2006/relationships" ref="C169" tooltip="Open Prospect Profile" display="https://www.whatifsports.com/hbd/Pages/Popups/ProspectProfile.aspx?pid=13632197" r:id="rId337"/>
    <hyperlink xmlns:r="http://schemas.openxmlformats.org/officeDocument/2006/relationships" ref="R169" tooltip="Open Prospect Profile" display="https://www.whatifsports.com/hbd/Pages/Popups/ProspectProfile.aspx?pid=13632197" r:id="rId338"/>
    <hyperlink xmlns:r="http://schemas.openxmlformats.org/officeDocument/2006/relationships" ref="C170" tooltip="Open Prospect Profile" display="https://www.whatifsports.com/hbd/Pages/Popups/ProspectProfile.aspx?pid=13632232" r:id="rId339"/>
    <hyperlink xmlns:r="http://schemas.openxmlformats.org/officeDocument/2006/relationships" ref="R170" tooltip="Open Prospect Profile" display="https://www.whatifsports.com/hbd/Pages/Popups/ProspectProfile.aspx?pid=13632232" r:id="rId340"/>
    <hyperlink xmlns:r="http://schemas.openxmlformats.org/officeDocument/2006/relationships" ref="C171" tooltip="Open Prospect Profile" display="https://www.whatifsports.com/hbd/Pages/Popups/ProspectProfile.aspx?pid=13632223" r:id="rId341"/>
    <hyperlink xmlns:r="http://schemas.openxmlformats.org/officeDocument/2006/relationships" ref="R171" tooltip="Open Prospect Profile" display="https://www.whatifsports.com/hbd/Pages/Popups/ProspectProfile.aspx?pid=13632223" r:id="rId342"/>
    <hyperlink xmlns:r="http://schemas.openxmlformats.org/officeDocument/2006/relationships" ref="C172" tooltip="Open Prospect Profile" display="https://www.whatifsports.com/hbd/Pages/Popups/ProspectProfile.aspx?pid=13631875" r:id="rId343"/>
    <hyperlink xmlns:r="http://schemas.openxmlformats.org/officeDocument/2006/relationships" ref="R172" tooltip="Open Prospect Profile" display="https://www.whatifsports.com/hbd/Pages/Popups/ProspectProfile.aspx?pid=13631875" r:id="rId344"/>
    <hyperlink xmlns:r="http://schemas.openxmlformats.org/officeDocument/2006/relationships" ref="C173" tooltip="Open Prospect Profile" display="https://www.whatifsports.com/hbd/Pages/Popups/ProspectProfile.aspx?pid=13631863" r:id="rId345"/>
    <hyperlink xmlns:r="http://schemas.openxmlformats.org/officeDocument/2006/relationships" ref="R173" tooltip="Open Prospect Profile" display="https://www.whatifsports.com/hbd/Pages/Popups/ProspectProfile.aspx?pid=13631863" r:id="rId346"/>
    <hyperlink xmlns:r="http://schemas.openxmlformats.org/officeDocument/2006/relationships" ref="C174" tooltip="Open Prospect Profile" display="https://www.whatifsports.com/hbd/Pages/Popups/ProspectProfile.aspx?pid=13631896" r:id="rId347"/>
    <hyperlink xmlns:r="http://schemas.openxmlformats.org/officeDocument/2006/relationships" ref="R174" tooltip="Open Prospect Profile" display="https://www.whatifsports.com/hbd/Pages/Popups/ProspectProfile.aspx?pid=13631896" r:id="rId348"/>
    <hyperlink xmlns:r="http://schemas.openxmlformats.org/officeDocument/2006/relationships" ref="C175" tooltip="Open Prospect Profile" display="https://www.whatifsports.com/hbd/Pages/Popups/ProspectProfile.aspx?pid=13632160" r:id="rId349"/>
    <hyperlink xmlns:r="http://schemas.openxmlformats.org/officeDocument/2006/relationships" ref="R175" tooltip="Open Prospect Profile" display="https://www.whatifsports.com/hbd/Pages/Popups/ProspectProfile.aspx?pid=13632160" r:id="rId350"/>
    <hyperlink xmlns:r="http://schemas.openxmlformats.org/officeDocument/2006/relationships" ref="C176" tooltip="Open Prospect Profile" display="https://www.whatifsports.com/hbd/Pages/Popups/ProspectProfile.aspx?pid=13631860" r:id="rId351"/>
    <hyperlink xmlns:r="http://schemas.openxmlformats.org/officeDocument/2006/relationships" ref="R176" tooltip="Open Prospect Profile" display="https://www.whatifsports.com/hbd/Pages/Popups/ProspectProfile.aspx?pid=13631860" r:id="rId352"/>
    <hyperlink xmlns:r="http://schemas.openxmlformats.org/officeDocument/2006/relationships" ref="C177" tooltip="Open Prospect Profile" display="https://www.whatifsports.com/hbd/Pages/Popups/ProspectProfile.aspx?pid=13632208" r:id="rId353"/>
    <hyperlink xmlns:r="http://schemas.openxmlformats.org/officeDocument/2006/relationships" ref="R177" tooltip="Open Prospect Profile" display="https://www.whatifsports.com/hbd/Pages/Popups/ProspectProfile.aspx?pid=13632208" r:id="rId354"/>
    <hyperlink xmlns:r="http://schemas.openxmlformats.org/officeDocument/2006/relationships" ref="C178" tooltip="Open Prospect Profile" display="https://www.whatifsports.com/hbd/Pages/Popups/ProspectProfile.aspx?pid=13632149" r:id="rId355"/>
    <hyperlink xmlns:r="http://schemas.openxmlformats.org/officeDocument/2006/relationships" ref="R178" tooltip="Open Prospect Profile" display="https://www.whatifsports.com/hbd/Pages/Popups/ProspectProfile.aspx?pid=13632149" r:id="rId356"/>
    <hyperlink xmlns:r="http://schemas.openxmlformats.org/officeDocument/2006/relationships" ref="C179" tooltip="Open Prospect Profile" display="https://www.whatifsports.com/hbd/Pages/Popups/ProspectProfile.aspx?pid=13632172" r:id="rId357"/>
    <hyperlink xmlns:r="http://schemas.openxmlformats.org/officeDocument/2006/relationships" ref="R179" tooltip="Open Prospect Profile" display="https://www.whatifsports.com/hbd/Pages/Popups/ProspectProfile.aspx?pid=13632172" r:id="rId358"/>
    <hyperlink xmlns:r="http://schemas.openxmlformats.org/officeDocument/2006/relationships" ref="C180" tooltip="Open Prospect Profile" display="https://www.whatifsports.com/hbd/Pages/Popups/ProspectProfile.aspx?pid=13631991" r:id="rId359"/>
    <hyperlink xmlns:r="http://schemas.openxmlformats.org/officeDocument/2006/relationships" ref="R180" tooltip="Open Prospect Profile" display="https://www.whatifsports.com/hbd/Pages/Popups/ProspectProfile.aspx?pid=13631991" r:id="rId360"/>
    <hyperlink xmlns:r="http://schemas.openxmlformats.org/officeDocument/2006/relationships" ref="C181" tooltip="Open Prospect Profile" display="https://www.whatifsports.com/hbd/Pages/Popups/ProspectProfile.aspx?pid=13631904" r:id="rId361"/>
    <hyperlink xmlns:r="http://schemas.openxmlformats.org/officeDocument/2006/relationships" ref="R181" tooltip="Open Prospect Profile" display="https://www.whatifsports.com/hbd/Pages/Popups/ProspectProfile.aspx?pid=13631904" r:id="rId362"/>
    <hyperlink xmlns:r="http://schemas.openxmlformats.org/officeDocument/2006/relationships" ref="C182" tooltip="Open Prospect Profile" display="https://www.whatifsports.com/hbd/Pages/Popups/ProspectProfile.aspx?pid=13632116" r:id="rId363"/>
    <hyperlink xmlns:r="http://schemas.openxmlformats.org/officeDocument/2006/relationships" ref="R182" tooltip="Open Prospect Profile" display="https://www.whatifsports.com/hbd/Pages/Popups/ProspectProfile.aspx?pid=13632116" r:id="rId364"/>
    <hyperlink xmlns:r="http://schemas.openxmlformats.org/officeDocument/2006/relationships" ref="C183" tooltip="Open Prospect Profile" display="https://www.whatifsports.com/hbd/Pages/Popups/ProspectProfile.aspx?pid=13632213" r:id="rId365"/>
    <hyperlink xmlns:r="http://schemas.openxmlformats.org/officeDocument/2006/relationships" ref="R183" tooltip="Open Prospect Profile" display="https://www.whatifsports.com/hbd/Pages/Popups/ProspectProfile.aspx?pid=13632213" r:id="rId366"/>
    <hyperlink xmlns:r="http://schemas.openxmlformats.org/officeDocument/2006/relationships" ref="C184" tooltip="Open Prospect Profile" display="https://www.whatifsports.com/hbd/Pages/Popups/ProspectProfile.aspx?pid=13632183" r:id="rId367"/>
    <hyperlink xmlns:r="http://schemas.openxmlformats.org/officeDocument/2006/relationships" ref="R184" tooltip="Open Prospect Profile" display="https://www.whatifsports.com/hbd/Pages/Popups/ProspectProfile.aspx?pid=13632183" r:id="rId368"/>
    <hyperlink xmlns:r="http://schemas.openxmlformats.org/officeDocument/2006/relationships" ref="C185" tooltip="Open Prospect Profile" display="https://www.whatifsports.com/hbd/Pages/Popups/ProspectProfile.aspx?pid=13632234" r:id="rId369"/>
    <hyperlink xmlns:r="http://schemas.openxmlformats.org/officeDocument/2006/relationships" ref="R185" tooltip="Open Prospect Profile" display="https://www.whatifsports.com/hbd/Pages/Popups/ProspectProfile.aspx?pid=13632234" r:id="rId370"/>
    <hyperlink xmlns:r="http://schemas.openxmlformats.org/officeDocument/2006/relationships" ref="C186" tooltip="Open Prospect Profile" display="https://www.whatifsports.com/hbd/Pages/Popups/ProspectProfile.aspx?pid=13632029" r:id="rId371"/>
    <hyperlink xmlns:r="http://schemas.openxmlformats.org/officeDocument/2006/relationships" ref="R186" tooltip="Open Prospect Profile" display="https://www.whatifsports.com/hbd/Pages/Popups/ProspectProfile.aspx?pid=13632029" r:id="rId372"/>
    <hyperlink xmlns:r="http://schemas.openxmlformats.org/officeDocument/2006/relationships" ref="C187" tooltip="Open Prospect Profile" display="https://www.whatifsports.com/hbd/Pages/Popups/ProspectProfile.aspx?pid=13631914" r:id="rId373"/>
    <hyperlink xmlns:r="http://schemas.openxmlformats.org/officeDocument/2006/relationships" ref="R187" tooltip="Open Prospect Profile" display="https://www.whatifsports.com/hbd/Pages/Popups/ProspectProfile.aspx?pid=13631914" r:id="rId374"/>
    <hyperlink xmlns:r="http://schemas.openxmlformats.org/officeDocument/2006/relationships" ref="C188" tooltip="Open Prospect Profile" display="https://www.whatifsports.com/hbd/Pages/Popups/ProspectProfile.aspx?pid=13631853" r:id="rId375"/>
    <hyperlink xmlns:r="http://schemas.openxmlformats.org/officeDocument/2006/relationships" ref="R188" tooltip="Open Prospect Profile" display="https://www.whatifsports.com/hbd/Pages/Popups/ProspectProfile.aspx?pid=13631853" r:id="rId376"/>
    <hyperlink xmlns:r="http://schemas.openxmlformats.org/officeDocument/2006/relationships" ref="C189" tooltip="Open Prospect Profile" display="https://www.whatifsports.com/hbd/Pages/Popups/ProspectProfile.aspx?pid=13632186" r:id="rId377"/>
    <hyperlink xmlns:r="http://schemas.openxmlformats.org/officeDocument/2006/relationships" ref="R189" tooltip="Open Prospect Profile" display="https://www.whatifsports.com/hbd/Pages/Popups/ProspectProfile.aspx?pid=13632186" r:id="rId378"/>
    <hyperlink xmlns:r="http://schemas.openxmlformats.org/officeDocument/2006/relationships" ref="C190" tooltip="Open Prospect Profile" display="https://www.whatifsports.com/hbd/Pages/Popups/ProspectProfile.aspx?pid=13632023" r:id="rId379"/>
    <hyperlink xmlns:r="http://schemas.openxmlformats.org/officeDocument/2006/relationships" ref="R190" tooltip="Open Prospect Profile" display="https://www.whatifsports.com/hbd/Pages/Popups/ProspectProfile.aspx?pid=13632023" r:id="rId380"/>
    <hyperlink xmlns:r="http://schemas.openxmlformats.org/officeDocument/2006/relationships" ref="C191" tooltip="Open Prospect Profile" display="https://www.whatifsports.com/hbd/Pages/Popups/ProspectProfile.aspx?pid=13632058" r:id="rId381"/>
    <hyperlink xmlns:r="http://schemas.openxmlformats.org/officeDocument/2006/relationships" ref="R191" tooltip="Open Prospect Profile" display="https://www.whatifsports.com/hbd/Pages/Popups/ProspectProfile.aspx?pid=13632058" r:id="rId382"/>
    <hyperlink xmlns:r="http://schemas.openxmlformats.org/officeDocument/2006/relationships" ref="C192" tooltip="Open Prospect Profile" display="https://www.whatifsports.com/hbd/Pages/Popups/ProspectProfile.aspx?pid=13632199" r:id="rId383"/>
    <hyperlink xmlns:r="http://schemas.openxmlformats.org/officeDocument/2006/relationships" ref="R192" tooltip="Open Prospect Profile" display="https://www.whatifsports.com/hbd/Pages/Popups/ProspectProfile.aspx?pid=13632199" r:id="rId384"/>
    <hyperlink xmlns:r="http://schemas.openxmlformats.org/officeDocument/2006/relationships" ref="C193" tooltip="Open Prospect Profile" display="https://www.whatifsports.com/hbd/Pages/Popups/ProspectProfile.aspx?pid=13632022" r:id="rId385"/>
    <hyperlink xmlns:r="http://schemas.openxmlformats.org/officeDocument/2006/relationships" ref="R193" tooltip="Open Prospect Profile" display="https://www.whatifsports.com/hbd/Pages/Popups/ProspectProfile.aspx?pid=13632022" r:id="rId386"/>
    <hyperlink xmlns:r="http://schemas.openxmlformats.org/officeDocument/2006/relationships" ref="C194" tooltip="Open Prospect Profile" display="https://www.whatifsports.com/hbd/Pages/Popups/ProspectProfile.aspx?pid=13631926" r:id="rId387"/>
    <hyperlink xmlns:r="http://schemas.openxmlformats.org/officeDocument/2006/relationships" ref="R194" tooltip="Open Prospect Profile" display="https://www.whatifsports.com/hbd/Pages/Popups/ProspectProfile.aspx?pid=13631926" r:id="rId388"/>
    <hyperlink xmlns:r="http://schemas.openxmlformats.org/officeDocument/2006/relationships" ref="C195" tooltip="Open Prospect Profile" display="https://www.whatifsports.com/hbd/Pages/Popups/ProspectProfile.aspx?pid=13632206" r:id="rId389"/>
    <hyperlink xmlns:r="http://schemas.openxmlformats.org/officeDocument/2006/relationships" ref="R195" tooltip="Open Prospect Profile" display="https://www.whatifsports.com/hbd/Pages/Popups/ProspectProfile.aspx?pid=13632206" r:id="rId390"/>
    <hyperlink xmlns:r="http://schemas.openxmlformats.org/officeDocument/2006/relationships" ref="C196" tooltip="Open Prospect Profile" display="https://www.whatifsports.com/hbd/Pages/Popups/ProspectProfile.aspx?pid=13632205" r:id="rId391"/>
    <hyperlink xmlns:r="http://schemas.openxmlformats.org/officeDocument/2006/relationships" ref="R196" tooltip="Open Prospect Profile" display="https://www.whatifsports.com/hbd/Pages/Popups/ProspectProfile.aspx?pid=13632205" r:id="rId392"/>
    <hyperlink xmlns:r="http://schemas.openxmlformats.org/officeDocument/2006/relationships" ref="C197" tooltip="Open Prospect Profile" display="https://www.whatifsports.com/hbd/Pages/Popups/ProspectProfile.aspx?pid=13631968" r:id="rId393"/>
    <hyperlink xmlns:r="http://schemas.openxmlformats.org/officeDocument/2006/relationships" ref="R197" tooltip="Open Prospect Profile" display="https://www.whatifsports.com/hbd/Pages/Popups/ProspectProfile.aspx?pid=13631968" r:id="rId394"/>
    <hyperlink xmlns:r="http://schemas.openxmlformats.org/officeDocument/2006/relationships" ref="C198" tooltip="Open Prospect Profile" display="https://www.whatifsports.com/hbd/Pages/Popups/ProspectProfile.aspx?pid=13631952" r:id="rId395"/>
    <hyperlink xmlns:r="http://schemas.openxmlformats.org/officeDocument/2006/relationships" ref="R198" tooltip="Open Prospect Profile" display="https://www.whatifsports.com/hbd/Pages/Popups/ProspectProfile.aspx?pid=13631952" r:id="rId396"/>
    <hyperlink xmlns:r="http://schemas.openxmlformats.org/officeDocument/2006/relationships" ref="C199" tooltip="Open Prospect Profile" display="https://www.whatifsports.com/hbd/Pages/Popups/ProspectProfile.aspx?pid=13632063" r:id="rId397"/>
    <hyperlink xmlns:r="http://schemas.openxmlformats.org/officeDocument/2006/relationships" ref="R199" tooltip="Open Prospect Profile" display="https://www.whatifsports.com/hbd/Pages/Popups/ProspectProfile.aspx?pid=13632063" r:id="rId398"/>
    <hyperlink xmlns:r="http://schemas.openxmlformats.org/officeDocument/2006/relationships" ref="C200" tooltip="Open Prospect Profile" display="https://www.whatifsports.com/hbd/Pages/Popups/ProspectProfile.aspx?pid=13632236" r:id="rId399"/>
    <hyperlink xmlns:r="http://schemas.openxmlformats.org/officeDocument/2006/relationships" ref="R200" tooltip="Open Prospect Profile" display="https://www.whatifsports.com/hbd/Pages/Popups/ProspectProfile.aspx?pid=13632236" r:id="rId400"/>
    <hyperlink xmlns:r="http://schemas.openxmlformats.org/officeDocument/2006/relationships" ref="C201" tooltip="Open Prospect Profile" display="https://www.whatifsports.com/hbd/Pages/Popups/ProspectProfile.aspx?pid=13632019" r:id="rId401"/>
    <hyperlink xmlns:r="http://schemas.openxmlformats.org/officeDocument/2006/relationships" ref="R201" tooltip="Open Prospect Profile" display="https://www.whatifsports.com/hbd/Pages/Popups/ProspectProfile.aspx?pid=13632019" r:id="rId402"/>
    <hyperlink xmlns:r="http://schemas.openxmlformats.org/officeDocument/2006/relationships" ref="C202" tooltip="Open Prospect Profile" display="https://www.whatifsports.com/hbd/Pages/Popups/ProspectProfile.aspx?pid=13631996" r:id="rId403"/>
    <hyperlink xmlns:r="http://schemas.openxmlformats.org/officeDocument/2006/relationships" ref="R202" tooltip="Open Prospect Profile" display="https://www.whatifsports.com/hbd/Pages/Popups/ProspectProfile.aspx?pid=13631996" r:id="rId404"/>
    <hyperlink xmlns:r="http://schemas.openxmlformats.org/officeDocument/2006/relationships" ref="C203" tooltip="Open Prospect Profile" display="https://www.whatifsports.com/hbd/Pages/Popups/ProspectProfile.aspx?pid=13632036" r:id="rId405"/>
    <hyperlink xmlns:r="http://schemas.openxmlformats.org/officeDocument/2006/relationships" ref="R203" tooltip="Open Prospect Profile" display="https://www.whatifsports.com/hbd/Pages/Popups/ProspectProfile.aspx?pid=13632036" r:id="rId406"/>
    <hyperlink xmlns:r="http://schemas.openxmlformats.org/officeDocument/2006/relationships" ref="C204" tooltip="Open Prospect Profile" display="https://www.whatifsports.com/hbd/Pages/Popups/ProspectProfile.aspx?pid=13631946" r:id="rId407"/>
    <hyperlink xmlns:r="http://schemas.openxmlformats.org/officeDocument/2006/relationships" ref="R204" tooltip="Open Prospect Profile" display="https://www.whatifsports.com/hbd/Pages/Popups/ProspectProfile.aspx?pid=13631946" r:id="rId408"/>
    <hyperlink xmlns:r="http://schemas.openxmlformats.org/officeDocument/2006/relationships" ref="C205" tooltip="Open Prospect Profile" display="https://www.whatifsports.com/hbd/Pages/Popups/ProspectProfile.aspx?pid=13632156" r:id="rId409"/>
    <hyperlink xmlns:r="http://schemas.openxmlformats.org/officeDocument/2006/relationships" ref="R205" tooltip="Open Prospect Profile" display="https://www.whatifsports.com/hbd/Pages/Popups/ProspectProfile.aspx?pid=13632156" r:id="rId410"/>
    <hyperlink xmlns:r="http://schemas.openxmlformats.org/officeDocument/2006/relationships" ref="C206" tooltip="Open Prospect Profile" display="https://www.whatifsports.com/hbd/Pages/Popups/ProspectProfile.aspx?pid=13632055" r:id="rId411"/>
    <hyperlink xmlns:r="http://schemas.openxmlformats.org/officeDocument/2006/relationships" ref="R206" tooltip="Open Prospect Profile" display="https://www.whatifsports.com/hbd/Pages/Popups/ProspectProfile.aspx?pid=13632055" r:id="rId412"/>
    <hyperlink xmlns:r="http://schemas.openxmlformats.org/officeDocument/2006/relationships" ref="C207" tooltip="Open Prospect Profile" display="https://www.whatifsports.com/hbd/Pages/Popups/ProspectProfile.aspx?pid=13631908" r:id="rId413"/>
    <hyperlink xmlns:r="http://schemas.openxmlformats.org/officeDocument/2006/relationships" ref="R207" tooltip="Open Prospect Profile" display="https://www.whatifsports.com/hbd/Pages/Popups/ProspectProfile.aspx?pid=13631908" r:id="rId414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05"/>
  <sheetViews>
    <sheetView tabSelected="1" workbookViewId="0">
      <selection activeCell="AC15" sqref="AC15"/>
    </sheetView>
  </sheetViews>
  <sheetFormatPr baseColWidth="8" defaultColWidth="15.6640625" defaultRowHeight="13.5" customHeight="1"/>
  <cols>
    <col width="15.6640625" bestFit="1" customWidth="1" style="27" min="1" max="1"/>
    <col width="4.88671875" bestFit="1" customWidth="1" style="27" min="2" max="2"/>
    <col width="21.5546875" customWidth="1" style="27" min="3" max="3"/>
    <col width="4.6640625" bestFit="1" customWidth="1" style="27" min="5" max="5"/>
    <col width="6.33203125" bestFit="1" customWidth="1" style="27" min="6" max="6"/>
    <col width="4.44140625" bestFit="1" customWidth="1" style="27" min="7" max="7"/>
    <col width="3.77734375" customWidth="1" style="27" min="8" max="20"/>
    <col width="10" bestFit="1" customWidth="1" style="27" min="21" max="22"/>
    <col width="21.5546875" customWidth="1" style="27" min="23" max="23"/>
    <col width="11" bestFit="1" customWidth="1" style="27" min="24" max="24"/>
    <col width="5.6640625" bestFit="1" customWidth="1" style="27" min="25" max="25"/>
  </cols>
  <sheetData>
    <row r="1" ht="13.5" customHeight="1" s="27" thickBot="1">
      <c r="A1" s="23" t="n"/>
      <c r="B1" s="23" t="n"/>
      <c r="C1" s="23" t="n"/>
      <c r="D1" s="23" t="n"/>
      <c r="E1" s="23" t="n"/>
      <c r="F1" s="23" t="n"/>
      <c r="G1" s="23" t="n"/>
      <c r="H1" s="23" t="n">
        <v>0.2</v>
      </c>
      <c r="I1" s="23" t="n">
        <v>1</v>
      </c>
      <c r="J1" s="23" t="n">
        <v>4</v>
      </c>
      <c r="K1" s="23" t="n">
        <v>2</v>
      </c>
      <c r="L1" s="23" t="n">
        <v>1</v>
      </c>
      <c r="M1" s="23" t="n">
        <v>1.5</v>
      </c>
      <c r="N1" s="23" t="n">
        <v>0.2</v>
      </c>
      <c r="O1" s="23" t="n">
        <v>0.2</v>
      </c>
      <c r="P1" s="23" t="n">
        <v>2</v>
      </c>
      <c r="Q1" s="23" t="n">
        <v>2</v>
      </c>
      <c r="R1" s="23" t="n">
        <v>1</v>
      </c>
      <c r="S1" s="23" t="n">
        <v>0.5</v>
      </c>
      <c r="T1" s="23" t="n">
        <v>0.3</v>
      </c>
      <c r="U1" s="23" t="n">
        <v>0.3</v>
      </c>
      <c r="V1" s="23" t="n"/>
      <c r="W1" s="23" t="n"/>
      <c r="X1" s="23" t="n"/>
      <c r="Y1" s="23" t="n"/>
      <c r="Z1" s="23" t="n"/>
      <c r="AA1" s="23" t="n"/>
    </row>
    <row r="2" ht="13.5" customHeight="1" s="27" thickBot="1">
      <c r="A2" s="23" t="n"/>
      <c r="B2" s="23" t="n"/>
      <c r="C2" s="23" t="n"/>
      <c r="D2" s="23" t="n"/>
      <c r="E2" s="23" t="n"/>
      <c r="F2" s="23" t="n"/>
      <c r="G2" s="23" t="n"/>
      <c r="H2" s="23" t="n">
        <v>1</v>
      </c>
      <c r="I2" s="23" t="n"/>
      <c r="J2" s="23" t="n">
        <v>4</v>
      </c>
      <c r="K2" s="23" t="n"/>
      <c r="L2" s="23" t="n"/>
      <c r="M2" s="23" t="n"/>
      <c r="N2" s="23" t="n"/>
      <c r="O2" s="23" t="n">
        <v>2</v>
      </c>
      <c r="P2" s="23" t="n"/>
      <c r="Q2" s="23" t="n"/>
      <c r="R2" s="23" t="n"/>
      <c r="S2" s="23" t="n"/>
      <c r="T2" s="23" t="n"/>
      <c r="U2" s="23" t="n"/>
      <c r="V2" s="23" t="n">
        <v>4</v>
      </c>
      <c r="W2" s="23" t="n">
        <v>2</v>
      </c>
      <c r="X2" s="23" t="n">
        <v>1</v>
      </c>
      <c r="Y2" s="23" t="n">
        <v>1</v>
      </c>
      <c r="Z2" s="23" t="n"/>
      <c r="AA2" s="23" t="n"/>
    </row>
    <row r="3" ht="13.5" customFormat="1" customHeight="1" s="9" thickBo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</row>
    <row r="4" ht="13.5" customFormat="1" customHeight="1" s="23" thickBot="1">
      <c r="A4" s="5" t="n"/>
      <c r="J4" s="23" t="n">
        <v>100</v>
      </c>
      <c r="K4" s="23" t="n">
        <v>100</v>
      </c>
      <c r="L4" s="23" t="n">
        <v>100</v>
      </c>
      <c r="M4" s="23" t="n">
        <v>100</v>
      </c>
      <c r="N4" s="23" t="n">
        <v>100</v>
      </c>
      <c r="O4" s="23" t="n">
        <v>100</v>
      </c>
      <c r="P4" s="23" t="n">
        <v>100</v>
      </c>
      <c r="Q4" s="23" t="n">
        <v>100</v>
      </c>
      <c r="R4" s="23" t="n">
        <v>100</v>
      </c>
      <c r="S4" s="23" t="n">
        <v>100</v>
      </c>
      <c r="T4" s="23" t="n">
        <v>100</v>
      </c>
      <c r="U4" s="23" t="n">
        <v>100</v>
      </c>
      <c r="V4" s="23">
        <f>K$1*(0.000001*K4^3)+L$1*((-0.000002)*L4^3+0.00032*L4^2+(-0.0021)*L4)+M$1*((-0.000002)*M4^3+0.00032*M4^2+(-0.0021)*M4)+N$1*((-0.000002)*N4^3+0.00032*N4^2+(-0.0021)*N4)+O$1*((-0.000002)*O4^3+0.00032*O4^2+(-0.0021)*O4)</f>
        <v/>
      </c>
      <c r="W4" s="23">
        <f>P$1*((-0.000002)*P4^3+0.00032*P4^2+(-0.0021)*P4)+Q$1*((-0.000002)*Q4^3+0.00032*Q4^2+(-0.0021)*Q4)+R$1*((-0.000002)*R4^3+0.00032*R4^2+(-0.0021)*R4)+S$1*((-0.000002)*S4^3+0.00032*S4^2+(-0.0021)*S4)+T$1*((-0.000002)*T4^3+0.00032*T4^2+(-0.0021)*T4)</f>
        <v/>
      </c>
      <c r="X4" s="23">
        <f>I$1*((-0.000002)*I4^3+0.00032*I4^2+(-0.0021)*I4)+J$1*((-0.000002)*J4^3+0.00032*J4^2+(-0.0021)*J4)+H$1*((-0.000002)*H4^3+0.00032*H4^2+(-0.0021)*H4)</f>
        <v/>
      </c>
      <c r="Z4" s="23">
        <f>U4*J$2+V4*O$2+W4*H$2</f>
        <v/>
      </c>
    </row>
    <row r="5" ht="13.5" customHeight="1" s="27">
      <c r="A5" s="20" t="inlineStr">
        <is>
          <t>Overall Projection</t>
        </is>
      </c>
      <c r="B5" s="12" t="inlineStr">
        <is>
          <t>Rank</t>
        </is>
      </c>
      <c r="C5" s="13" t="inlineStr">
        <is>
          <t>Player</t>
        </is>
      </c>
      <c r="D5" s="14" t="inlineStr">
        <is>
          <t>Position</t>
        </is>
      </c>
      <c r="E5" s="14" t="inlineStr">
        <is>
          <t>B</t>
        </is>
      </c>
      <c r="F5" s="14" t="inlineStr">
        <is>
          <t>T</t>
        </is>
      </c>
      <c r="G5" s="14" t="inlineStr">
        <is>
          <t>Age</t>
        </is>
      </c>
      <c r="H5" s="15" t="inlineStr">
        <is>
          <t>Health</t>
        </is>
      </c>
      <c r="I5" s="15" t="inlineStr">
        <is>
          <t>Durability</t>
        </is>
      </c>
      <c r="J5" s="15" t="inlineStr">
        <is>
          <t>Stamina</t>
        </is>
      </c>
      <c r="K5" s="15" t="inlineStr">
        <is>
          <t>Control</t>
        </is>
      </c>
      <c r="L5" s="15" t="inlineStr">
        <is>
          <t>vsL</t>
        </is>
      </c>
      <c r="M5" s="15" t="inlineStr">
        <is>
          <t>vsR</t>
        </is>
      </c>
      <c r="N5" s="15" t="inlineStr">
        <is>
          <t>Velocity</t>
        </is>
      </c>
      <c r="O5" s="15" t="inlineStr">
        <is>
          <t>Groundball/Flyball Tendency</t>
        </is>
      </c>
      <c r="P5" s="15" t="inlineStr">
        <is>
          <t>Pitch 1</t>
        </is>
      </c>
      <c r="Q5" s="15" t="inlineStr">
        <is>
          <t>Pitch 2</t>
        </is>
      </c>
      <c r="R5" s="15" t="inlineStr">
        <is>
          <t>Pitch 3</t>
        </is>
      </c>
      <c r="S5" s="15" t="inlineStr">
        <is>
          <t>Pitch 4</t>
        </is>
      </c>
      <c r="T5" s="15" t="inlineStr">
        <is>
          <t>Pitch 5</t>
        </is>
      </c>
      <c r="U5" s="15" t="inlineStr">
        <is>
          <t>Overall</t>
        </is>
      </c>
      <c r="V5" s="15" t="inlineStr">
        <is>
          <t>pitching</t>
        </is>
      </c>
      <c r="W5" t="inlineStr">
        <is>
          <t>pitches</t>
        </is>
      </c>
      <c r="X5" t="inlineStr">
        <is>
          <t>durability</t>
        </is>
      </c>
      <c r="Y5" t="inlineStr">
        <is>
          <t>durability</t>
        </is>
      </c>
      <c r="Z5" t="inlineStr">
        <is>
          <t>total</t>
        </is>
      </c>
    </row>
    <row r="6" ht="13.5" customHeight="1" s="27" thickBot="1">
      <c r="A6">
        <f>(V6*V$2+W6*W$2+X6*X$2)*100/(V$4*V$2+W$4*W$2+X$4*X$2)</f>
        <v/>
      </c>
      <c r="B6" s="16" t="n">
        <v>3</v>
      </c>
      <c r="C6" s="10" t="inlineStr">
        <is>
          <t>Craig, Jo-jo</t>
        </is>
      </c>
      <c r="D6" s="17" t="inlineStr">
        <is>
          <t>P</t>
        </is>
      </c>
      <c r="E6" s="17" t="inlineStr">
        <is>
          <t>R</t>
        </is>
      </c>
      <c r="F6" s="17" t="inlineStr">
        <is>
          <t>R</t>
        </is>
      </c>
      <c r="G6" s="17" t="n">
        <v>18</v>
      </c>
      <c r="H6" s="17" t="n"/>
      <c r="I6" s="17" t="n"/>
      <c r="J6" s="17" t="n">
        <v>31</v>
      </c>
      <c r="K6" s="17" t="n">
        <v>87</v>
      </c>
      <c r="L6" s="17" t="n">
        <v>81</v>
      </c>
      <c r="M6" s="17" t="n">
        <v>71</v>
      </c>
      <c r="N6" s="17" t="n">
        <v>84</v>
      </c>
      <c r="O6" s="17" t="n">
        <v>82</v>
      </c>
      <c r="P6" s="17" t="n">
        <v>82</v>
      </c>
      <c r="Q6" s="17" t="n">
        <v>91</v>
      </c>
      <c r="R6" s="17" t="n">
        <v>55</v>
      </c>
      <c r="S6" s="17" t="n">
        <v>53</v>
      </c>
      <c r="T6" s="17" t="n">
        <v>52</v>
      </c>
      <c r="U6" s="17" t="n">
        <v>16</v>
      </c>
      <c r="V6" s="17">
        <f>K$1*(0.000001*K6^3)+L$1*((-0.000002)*L6^3+0.00032*L6^2+(-0.0021)*L6)+M$1*((-0.000002)*M6^3+0.00032*M6^2+(-0.0021)*M6)+N$1*((-0.000002)*N6^3+0.00032*N6^2+(-0.0021)*N6)+O$1*((-0.000002)*O6^3+0.00032*O6^2+(-0.0021)*O6)</f>
        <v/>
      </c>
      <c r="W6" s="5">
        <f>P$1*((-0.000002)*P6^3+0.00032*P6^2+(-0.0021)*P6)+Q$1*((-0.000002)*Q6^3+0.00032*Q6^2+(-0.0021)*Q6)+R$1*((-0.000002)*R6^3+0.00032*R6^2+(-0.0021)*R6)+S$1*((-0.000002)*S6^3+0.00032*S6^2+(-0.0021)*S6)+T$1*((-0.000002)*T6^3+0.00032*T6^2+(-0.0021)*T6)</f>
        <v/>
      </c>
      <c r="X6">
        <f>(I$1*((-0.000002)*I6^3+0.00032*I6^2+(-0.0021)*I6)+J$1*((-0.000002)*J6^3+0.00032*J6^2+(-0.0021)*J6)+H$1*((-0.000002)*H6^3+0.00032*H6^2+(-0.0021)*H6))*(MAX(0.05,MIN(1,(2*J6+I6)/120)*MIN(1,I6/10)*MIN(1,J6/10)))</f>
        <v/>
      </c>
      <c r="Y6" s="5">
        <f>(I$1*((-0.000002)*I6^3+0.00032*I6^2+(-0.0021)*I6)+J$1*((-0.000002)*J6^3+0.00032*J6^2+(-0.0021)*J6)+H$1*((-0.000002)*H6^3+0.00032*H6^2+(-0.0021)*H6))*(MAX(0.05,MIN(1,(2*J6+I6)/120)*MIN(1,I6/10)*MIN(1,J6/10)))</f>
        <v/>
      </c>
      <c r="Z6">
        <f>U6*J$2+V6*O$2+W6*H$2</f>
        <v/>
      </c>
      <c r="AA6">
        <f>IF(AND(J6&gt;50,I6+J6&gt;75),"SP",IF(2*I6+J6&gt;120,"RP","CRAP"))</f>
        <v/>
      </c>
    </row>
    <row r="7" ht="13.5" customHeight="1" s="27" thickBot="1">
      <c r="A7">
        <f>(V7*V$2+W7*W$2+X7*X$2)*100/(V$4*V$2+W$4*W$2+X$4*X$2)</f>
        <v/>
      </c>
      <c r="B7" s="16" t="n">
        <v>7</v>
      </c>
      <c r="C7" s="10" t="inlineStr">
        <is>
          <t>Batista, Javy</t>
        </is>
      </c>
      <c r="D7" s="17" t="inlineStr">
        <is>
          <t>P</t>
        </is>
      </c>
      <c r="E7" s="17" t="inlineStr">
        <is>
          <t>R</t>
        </is>
      </c>
      <c r="F7" s="17" t="inlineStr">
        <is>
          <t>R</t>
        </is>
      </c>
      <c r="G7" s="17" t="n">
        <v>18</v>
      </c>
      <c r="H7" s="17" t="n"/>
      <c r="I7" s="17" t="n"/>
      <c r="J7" s="17" t="n">
        <v>67</v>
      </c>
      <c r="K7" s="17" t="n">
        <v>26</v>
      </c>
      <c r="L7" s="17" t="n">
        <v>94</v>
      </c>
      <c r="M7" s="17" t="n">
        <v>75</v>
      </c>
      <c r="N7" s="17" t="n">
        <v>89</v>
      </c>
      <c r="O7" s="17" t="n">
        <v>98</v>
      </c>
      <c r="P7" s="17" t="n">
        <v>86</v>
      </c>
      <c r="Q7" s="17" t="n">
        <v>92</v>
      </c>
      <c r="R7" s="17" t="n">
        <v>72</v>
      </c>
      <c r="S7" s="17" t="n">
        <v>51</v>
      </c>
      <c r="T7" s="17" t="n">
        <v>0</v>
      </c>
      <c r="U7" s="17" t="n">
        <v>0</v>
      </c>
      <c r="V7" s="17">
        <f>K$1*(0.000001*K7^3)+L$1*((-0.000002)*L7^3+0.00032*L7^2+(-0.0021)*L7)+M$1*((-0.000002)*M7^3+0.00032*M7^2+(-0.0021)*M7)+N$1*((-0.000002)*N7^3+0.00032*N7^2+(-0.0021)*N7)+O$1*((-0.000002)*O7^3+0.00032*O7^2+(-0.0021)*O7)</f>
        <v/>
      </c>
      <c r="W7" s="5">
        <f>P$1*((-0.000002)*P7^3+0.00032*P7^2+(-0.0021)*P7)+Q$1*((-0.000002)*Q7^3+0.00032*Q7^2+(-0.0021)*Q7)+R$1*((-0.000002)*R7^3+0.00032*R7^2+(-0.0021)*R7)+S$1*((-0.000002)*S7^3+0.00032*S7^2+(-0.0021)*S7)+T$1*((-0.000002)*T7^3+0.00032*T7^2+(-0.0021)*T7)</f>
        <v/>
      </c>
      <c r="X7">
        <f>(I$1*((-0.000002)*I7^3+0.00032*I7^2+(-0.0021)*I7)+J$1*((-0.000002)*J7^3+0.00032*J7^2+(-0.0021)*J7)+H$1*((-0.000002)*H7^3+0.00032*H7^2+(-0.0021)*H7))*(MAX(0.05,MIN(1,(2*J7+I7)/120)*MIN(1,I7/10)*MIN(1,J7/10)))</f>
        <v/>
      </c>
      <c r="Y7" s="5">
        <f>(I$1*((-0.000002)*I7^3+0.00032*I7^2+(-0.0021)*I7)+J$1*((-0.000002)*J7^3+0.00032*J7^2+(-0.0021)*J7)+H$1*((-0.000002)*H7^3+0.00032*H7^2+(-0.0021)*H7))*(MAX(0.05,MIN(1,(2*J7+I7)/120)*MIN(1,I7/10)*MIN(1,J7/10)))</f>
        <v/>
      </c>
      <c r="Z7">
        <f>U7*J$2+V7*O$2+W7*H$2</f>
        <v/>
      </c>
      <c r="AA7">
        <f>IF(AND(J7&gt;50,I7+J7&gt;75),"SP",IF(2*I7+J7&gt;120,"RP","CRAP"))</f>
        <v/>
      </c>
    </row>
    <row r="8" ht="13.5" customHeight="1" s="27" thickBot="1">
      <c r="A8">
        <f>(V8*V$2+W8*W$2+X8*X$2)*100/(V$4*V$2+W$4*W$2+X$4*X$2)</f>
        <v/>
      </c>
      <c r="B8" s="16" t="n">
        <v>9</v>
      </c>
      <c r="C8" s="10" t="inlineStr">
        <is>
          <t>Capuano, Boone</t>
        </is>
      </c>
      <c r="D8" s="17" t="inlineStr">
        <is>
          <t>P</t>
        </is>
      </c>
      <c r="E8" s="17" t="inlineStr">
        <is>
          <t>R</t>
        </is>
      </c>
      <c r="F8" s="17" t="inlineStr">
        <is>
          <t>R</t>
        </is>
      </c>
      <c r="G8" s="17" t="n">
        <v>18</v>
      </c>
      <c r="H8" s="17" t="n"/>
      <c r="I8" s="17" t="n"/>
      <c r="J8" s="17" t="n">
        <v>29</v>
      </c>
      <c r="K8" s="17" t="n">
        <v>52</v>
      </c>
      <c r="L8" s="17" t="n">
        <v>94</v>
      </c>
      <c r="M8" s="17" t="n">
        <v>66</v>
      </c>
      <c r="N8" s="17" t="n">
        <v>89</v>
      </c>
      <c r="O8" s="17" t="n">
        <v>36</v>
      </c>
      <c r="P8" s="17" t="n">
        <v>85</v>
      </c>
      <c r="Q8" s="17" t="n">
        <v>89</v>
      </c>
      <c r="R8" s="17" t="n">
        <v>66</v>
      </c>
      <c r="S8" s="17" t="n">
        <v>56</v>
      </c>
      <c r="T8" s="17" t="n">
        <v>36</v>
      </c>
      <c r="U8" s="17" t="n">
        <v>0</v>
      </c>
      <c r="V8" s="17">
        <f>K$1*(0.000001*K8^3)+L$1*((-0.000002)*L8^3+0.00032*L8^2+(-0.0021)*L8)+M$1*((-0.000002)*M8^3+0.00032*M8^2+(-0.0021)*M8)+N$1*((-0.000002)*N8^3+0.00032*N8^2+(-0.0021)*N8)+O$1*((-0.000002)*O8^3+0.00032*O8^2+(-0.0021)*O8)</f>
        <v/>
      </c>
      <c r="W8" s="5">
        <f>P$1*((-0.000002)*P8^3+0.00032*P8^2+(-0.0021)*P8)+Q$1*((-0.000002)*Q8^3+0.00032*Q8^2+(-0.0021)*Q8)+R$1*((-0.000002)*R8^3+0.00032*R8^2+(-0.0021)*R8)+S$1*((-0.000002)*S8^3+0.00032*S8^2+(-0.0021)*S8)+T$1*((-0.000002)*T8^3+0.00032*T8^2+(-0.0021)*T8)</f>
        <v/>
      </c>
      <c r="X8">
        <f>(I$1*((-0.000002)*I8^3+0.00032*I8^2+(-0.0021)*I8)+J$1*((-0.000002)*J8^3+0.00032*J8^2+(-0.0021)*J8)+H$1*((-0.000002)*H8^3+0.00032*H8^2+(-0.0021)*H8))*(MAX(0.05,MIN(1,(2*J8+I8)/120)*MIN(1,I8/10)*MIN(1,J8/10)))</f>
        <v/>
      </c>
      <c r="Y8" s="5">
        <f>(I$1*((-0.000002)*I8^3+0.00032*I8^2+(-0.0021)*I8)+J$1*((-0.000002)*J8^3+0.00032*J8^2+(-0.0021)*J8)+H$1*((-0.000002)*H8^3+0.00032*H8^2+(-0.0021)*H8))*(MAX(0.05,MIN(1,(2*J8+I8)/120)*MIN(1,I8/10)*MIN(1,J8/10)))</f>
        <v/>
      </c>
      <c r="Z8">
        <f>U8*J$2+V8*O$2+W8*H$2</f>
        <v/>
      </c>
      <c r="AA8">
        <f>IF(AND(J8&gt;50,I8+J8&gt;75),"SP",IF(2*I8+J8&gt;120,"RP","CRAP"))</f>
        <v/>
      </c>
    </row>
    <row r="9" ht="13.5" customHeight="1" s="27" thickBot="1">
      <c r="A9">
        <f>(V9*V$2+W9*W$2+X9*X$2)*100/(V$4*V$2+W$4*W$2+X$4*X$2)</f>
        <v/>
      </c>
      <c r="B9" s="18" t="n">
        <v>20</v>
      </c>
      <c r="C9" s="11" t="inlineStr">
        <is>
          <t>Williamson, Willis</t>
        </is>
      </c>
      <c r="D9" s="19" t="inlineStr">
        <is>
          <t>P</t>
        </is>
      </c>
      <c r="E9" s="19" t="inlineStr">
        <is>
          <t>R</t>
        </is>
      </c>
      <c r="F9" s="19" t="inlineStr">
        <is>
          <t>R</t>
        </is>
      </c>
      <c r="G9" s="19" t="n">
        <v>18</v>
      </c>
      <c r="H9" s="19" t="n"/>
      <c r="I9" s="19" t="n"/>
      <c r="J9" s="19" t="n">
        <v>29</v>
      </c>
      <c r="K9" s="19" t="n">
        <v>46</v>
      </c>
      <c r="L9" s="19" t="n">
        <v>100</v>
      </c>
      <c r="M9" s="19" t="n">
        <v>63</v>
      </c>
      <c r="N9" s="19" t="n">
        <v>70</v>
      </c>
      <c r="O9" s="19" t="n">
        <v>34</v>
      </c>
      <c r="P9" s="19" t="n">
        <v>79</v>
      </c>
      <c r="Q9" s="19" t="n">
        <v>90</v>
      </c>
      <c r="R9" s="19" t="n">
        <v>90</v>
      </c>
      <c r="S9" s="19" t="n">
        <v>63</v>
      </c>
      <c r="T9" s="19" t="n">
        <v>68</v>
      </c>
      <c r="U9" s="19" t="n">
        <v>39</v>
      </c>
      <c r="V9" s="19">
        <f>K$1*(0.000001*K9^3)+L$1*((-0.000002)*L9^3+0.00032*L9^2+(-0.0021)*L9)+M$1*((-0.000002)*M9^3+0.00032*M9^2+(-0.0021)*M9)+N$1*((-0.000002)*N9^3+0.00032*N9^2+(-0.0021)*N9)+O$1*((-0.000002)*O9^3+0.00032*O9^2+(-0.0021)*O9)</f>
        <v/>
      </c>
      <c r="W9" s="5">
        <f>P$1*((-0.000002)*P9^3+0.00032*P9^2+(-0.0021)*P9)+Q$1*((-0.000002)*Q9^3+0.00032*Q9^2+(-0.0021)*Q9)+R$1*((-0.000002)*R9^3+0.00032*R9^2+(-0.0021)*R9)+S$1*((-0.000002)*S9^3+0.00032*S9^2+(-0.0021)*S9)+T$1*((-0.000002)*T9^3+0.00032*T9^2+(-0.0021)*T9)</f>
        <v/>
      </c>
      <c r="X9">
        <f>(I$1*((-0.000002)*I9^3+0.00032*I9^2+(-0.0021)*I9)+J$1*((-0.000002)*J9^3+0.00032*J9^2+(-0.0021)*J9)+H$1*((-0.000002)*H9^3+0.00032*H9^2+(-0.0021)*H9))*(MAX(0.05,MIN(1,(2*J9+I9)/120)*MIN(1,I9/10)*MIN(1,J9/10)))</f>
        <v/>
      </c>
      <c r="Y9" s="5">
        <f>(I$1*((-0.000002)*I9^3+0.00032*I9^2+(-0.0021)*I9)+J$1*((-0.000002)*J9^3+0.00032*J9^2+(-0.0021)*J9)+H$1*((-0.000002)*H9^3+0.00032*H9^2+(-0.0021)*H9))*(MAX(0.05,MIN(1,(2*J9+I9)/120)*MIN(1,I9/10)*MIN(1,J9/10)))</f>
        <v/>
      </c>
      <c r="Z9">
        <f>U9*J$2+V9*O$2+W9*H$2</f>
        <v/>
      </c>
      <c r="AA9">
        <f>IF(AND(J9&gt;50,I9+J9&gt;75),"SP",IF(2*I9+J9&gt;120,"RP","CRAP"))</f>
        <v/>
      </c>
    </row>
    <row r="10" ht="13.5" customHeight="1" s="27" thickBot="1">
      <c r="A10">
        <f>(V10*V$2+W10*W$2+X10*X$2)*100/(V$4*V$2+W$4*W$2+X$4*X$2)</f>
        <v/>
      </c>
      <c r="B10" s="18" t="n">
        <v>6</v>
      </c>
      <c r="C10" s="11" t="inlineStr">
        <is>
          <t>Bowles, Justin</t>
        </is>
      </c>
      <c r="D10" s="19" t="inlineStr">
        <is>
          <t>P</t>
        </is>
      </c>
      <c r="E10" s="19" t="inlineStr">
        <is>
          <t>R</t>
        </is>
      </c>
      <c r="F10" s="19" t="inlineStr">
        <is>
          <t>R</t>
        </is>
      </c>
      <c r="G10" s="19" t="n">
        <v>18</v>
      </c>
      <c r="H10" s="19" t="n"/>
      <c r="I10" s="19" t="n"/>
      <c r="J10" s="19" t="n">
        <v>32</v>
      </c>
      <c r="K10" s="19" t="n">
        <v>70</v>
      </c>
      <c r="L10" s="19" t="n">
        <v>100</v>
      </c>
      <c r="M10" s="19" t="n">
        <v>68</v>
      </c>
      <c r="N10" s="19" t="n">
        <v>81</v>
      </c>
      <c r="O10" s="19" t="n">
        <v>27</v>
      </c>
      <c r="P10" s="19" t="n">
        <v>56</v>
      </c>
      <c r="Q10" s="19" t="n">
        <v>91</v>
      </c>
      <c r="R10" s="19" t="n">
        <v>64</v>
      </c>
      <c r="S10" s="19" t="n">
        <v>65</v>
      </c>
      <c r="T10" s="19" t="n">
        <v>41</v>
      </c>
      <c r="U10" s="19" t="n">
        <v>0</v>
      </c>
      <c r="V10" s="19">
        <f>K$1*(0.000001*K10^3)+L$1*((-0.000002)*L10^3+0.00032*L10^2+(-0.0021)*L10)+M$1*((-0.000002)*M10^3+0.00032*M10^2+(-0.0021)*M10)+N$1*((-0.000002)*N10^3+0.00032*N10^2+(-0.0021)*N10)+O$1*((-0.000002)*O10^3+0.00032*O10^2+(-0.0021)*O10)</f>
        <v/>
      </c>
      <c r="W10" s="5">
        <f>P$1*((-0.000002)*P10^3+0.00032*P10^2+(-0.0021)*P10)+Q$1*((-0.000002)*Q10^3+0.00032*Q10^2+(-0.0021)*Q10)+R$1*((-0.000002)*R10^3+0.00032*R10^2+(-0.0021)*R10)+S$1*((-0.000002)*S10^3+0.00032*S10^2+(-0.0021)*S10)+T$1*((-0.000002)*T10^3+0.00032*T10^2+(-0.0021)*T10)</f>
        <v/>
      </c>
      <c r="X10">
        <f>(I$1*((-0.000002)*I10^3+0.00032*I10^2+(-0.0021)*I10)+J$1*((-0.000002)*J10^3+0.00032*J10^2+(-0.0021)*J10)+H$1*((-0.000002)*H10^3+0.00032*H10^2+(-0.0021)*H10))*(MAX(0.05,MIN(1,(2*J10+I10)/120)*MIN(1,I10/10)*MIN(1,J10/10)))</f>
        <v/>
      </c>
      <c r="Y10" s="5">
        <f>(I$1*((-0.000002)*I10^3+0.00032*I10^2+(-0.0021)*I10)+J$1*((-0.000002)*J10^3+0.00032*J10^2+(-0.0021)*J10)+H$1*((-0.000002)*H10^3+0.00032*H10^2+(-0.0021)*H10))*(MAX(0.05,MIN(1,(2*J10+I10)/120)*MIN(1,I10/10)*MIN(1,J10/10)))</f>
        <v/>
      </c>
      <c r="Z10">
        <f>U10*J$2+V10*O$2+W10*H$2</f>
        <v/>
      </c>
      <c r="AA10">
        <f>IF(AND(J10&gt;50,I10+J10&gt;75),"SP",IF(2*I10+J10&gt;120,"RP","CRAP"))</f>
        <v/>
      </c>
    </row>
    <row r="11" ht="13.5" customHeight="1" s="27" thickBot="1">
      <c r="A11">
        <f>(V11*V$2+W11*W$2+X11*X$2)*100/(V$4*V$2+W$4*W$2+X$4*X$2)</f>
        <v/>
      </c>
      <c r="B11" s="18" t="n">
        <v>16</v>
      </c>
      <c r="C11" s="11" t="inlineStr">
        <is>
          <t>Doster, Theodore</t>
        </is>
      </c>
      <c r="D11" s="19" t="inlineStr">
        <is>
          <t>P</t>
        </is>
      </c>
      <c r="E11" s="19" t="inlineStr">
        <is>
          <t>S</t>
        </is>
      </c>
      <c r="F11" s="19" t="inlineStr">
        <is>
          <t>L</t>
        </is>
      </c>
      <c r="G11" s="19" t="n">
        <v>18</v>
      </c>
      <c r="H11" s="19" t="n"/>
      <c r="I11" s="19" t="n"/>
      <c r="J11" s="19" t="n">
        <v>27</v>
      </c>
      <c r="K11" s="19" t="n">
        <v>85</v>
      </c>
      <c r="L11" s="19" t="n">
        <v>93</v>
      </c>
      <c r="M11" s="19" t="n">
        <v>67</v>
      </c>
      <c r="N11" s="19" t="n">
        <v>43</v>
      </c>
      <c r="O11" s="19" t="n">
        <v>38</v>
      </c>
      <c r="P11" s="19" t="n">
        <v>82</v>
      </c>
      <c r="Q11" s="19" t="n">
        <v>81</v>
      </c>
      <c r="R11" s="19" t="n">
        <v>71</v>
      </c>
      <c r="S11" s="19" t="n">
        <v>85</v>
      </c>
      <c r="T11" s="19" t="n">
        <v>52</v>
      </c>
      <c r="U11" s="19" t="n">
        <v>0</v>
      </c>
      <c r="V11" s="19">
        <f>K$1*(0.000001*K11^3)+L$1*((-0.000002)*L11^3+0.00032*L11^2+(-0.0021)*L11)+M$1*((-0.000002)*M11^3+0.00032*M11^2+(-0.0021)*M11)+N$1*((-0.000002)*N11^3+0.00032*N11^2+(-0.0021)*N11)+O$1*((-0.000002)*O11^3+0.00032*O11^2+(-0.0021)*O11)</f>
        <v/>
      </c>
      <c r="W11" s="5">
        <f>P$1*((-0.000002)*P11^3+0.00032*P11^2+(-0.0021)*P11)+Q$1*((-0.000002)*Q11^3+0.00032*Q11^2+(-0.0021)*Q11)+R$1*((-0.000002)*R11^3+0.00032*R11^2+(-0.0021)*R11)+S$1*((-0.000002)*S11^3+0.00032*S11^2+(-0.0021)*S11)+T$1*((-0.000002)*T11^3+0.00032*T11^2+(-0.0021)*T11)</f>
        <v/>
      </c>
      <c r="X11">
        <f>(I$1*((-0.000002)*I11^3+0.00032*I11^2+(-0.0021)*I11)+J$1*((-0.000002)*J11^3+0.00032*J11^2+(-0.0021)*J11)+H$1*((-0.000002)*H11^3+0.00032*H11^2+(-0.0021)*H11))*(MAX(0.05,MIN(1,(2*J11+I11)/120)*MIN(1,I11/10)*MIN(1,J11/10)))</f>
        <v/>
      </c>
      <c r="Y11" s="5">
        <f>(I$1*((-0.000002)*I11^3+0.00032*I11^2+(-0.0021)*I11)+J$1*((-0.000002)*J11^3+0.00032*J11^2+(-0.0021)*J11)+H$1*((-0.000002)*H11^3+0.00032*H11^2+(-0.0021)*H11))*(MAX(0.05,MIN(1,(2*J11+I11)/120)*MIN(1,I11/10)*MIN(1,J11/10)))</f>
        <v/>
      </c>
      <c r="Z11">
        <f>U11*J$2+V11*O$2+W11*H$2</f>
        <v/>
      </c>
      <c r="AA11">
        <f>IF(AND(J11&gt;50,I11+J11&gt;75),"SP",IF(2*I11+J11&gt;120,"RP","CRAP"))</f>
        <v/>
      </c>
    </row>
    <row r="12" ht="13.5" customHeight="1" s="27" thickBot="1">
      <c r="A12">
        <f>(V12*V$2+W12*W$2+X12*X$2)*100/(V$4*V$2+W$4*W$2+X$4*X$2)</f>
        <v/>
      </c>
      <c r="B12" s="16" t="n">
        <v>17</v>
      </c>
      <c r="C12" s="10" t="inlineStr">
        <is>
          <t>Lee, Marino</t>
        </is>
      </c>
      <c r="D12" s="17" t="inlineStr">
        <is>
          <t>P</t>
        </is>
      </c>
      <c r="E12" s="17" t="inlineStr">
        <is>
          <t>R</t>
        </is>
      </c>
      <c r="F12" s="17" t="inlineStr">
        <is>
          <t>R</t>
        </is>
      </c>
      <c r="G12" s="17" t="n">
        <v>18</v>
      </c>
      <c r="H12" s="17" t="n"/>
      <c r="I12" s="17" t="n"/>
      <c r="J12" s="17" t="n">
        <v>24</v>
      </c>
      <c r="K12" s="17" t="n">
        <v>88</v>
      </c>
      <c r="L12" s="17" t="n">
        <v>76</v>
      </c>
      <c r="M12" s="17" t="n">
        <v>43</v>
      </c>
      <c r="N12" s="17" t="n">
        <v>70</v>
      </c>
      <c r="O12" s="17" t="n">
        <v>28</v>
      </c>
      <c r="P12" s="17" t="n">
        <v>81</v>
      </c>
      <c r="Q12" s="17" t="n">
        <v>86</v>
      </c>
      <c r="R12" s="17" t="n">
        <v>79</v>
      </c>
      <c r="S12" s="17" t="n">
        <v>61</v>
      </c>
      <c r="T12" s="17" t="n">
        <v>52</v>
      </c>
      <c r="U12" s="17" t="n">
        <v>0</v>
      </c>
      <c r="V12" s="17">
        <f>K$1*(0.000001*K12^3)+L$1*((-0.000002)*L12^3+0.00032*L12^2+(-0.0021)*L12)+M$1*((-0.000002)*M12^3+0.00032*M12^2+(-0.0021)*M12)+N$1*((-0.000002)*N12^3+0.00032*N12^2+(-0.0021)*N12)+O$1*((-0.000002)*O12^3+0.00032*O12^2+(-0.0021)*O12)</f>
        <v/>
      </c>
      <c r="W12" s="5">
        <f>P$1*((-0.000002)*P12^3+0.00032*P12^2+(-0.0021)*P12)+Q$1*((-0.000002)*Q12^3+0.00032*Q12^2+(-0.0021)*Q12)+R$1*((-0.000002)*R12^3+0.00032*R12^2+(-0.0021)*R12)+S$1*((-0.000002)*S12^3+0.00032*S12^2+(-0.0021)*S12)+T$1*((-0.000002)*T12^3+0.00032*T12^2+(-0.0021)*T12)</f>
        <v/>
      </c>
      <c r="X12">
        <f>(I$1*((-0.000002)*I12^3+0.00032*I12^2+(-0.0021)*I12)+J$1*((-0.000002)*J12^3+0.00032*J12^2+(-0.0021)*J12)+H$1*((-0.000002)*H12^3+0.00032*H12^2+(-0.0021)*H12))*(MAX(0.05,MIN(1,(2*J12+I12)/120)*MIN(1,I12/10)*MIN(1,J12/10)))</f>
        <v/>
      </c>
      <c r="Y12" s="5">
        <f>(I$1*((-0.000002)*I12^3+0.00032*I12^2+(-0.0021)*I12)+J$1*((-0.000002)*J12^3+0.00032*J12^2+(-0.0021)*J12)+H$1*((-0.000002)*H12^3+0.00032*H12^2+(-0.0021)*H12))*(MAX(0.05,MIN(1,(2*J12+I12)/120)*MIN(1,I12/10)*MIN(1,J12/10)))</f>
        <v/>
      </c>
      <c r="Z12">
        <f>U12*J$2+V12*O$2+W12*H$2</f>
        <v/>
      </c>
      <c r="AA12">
        <f>IF(AND(J12&gt;50,I12+J12&gt;75),"SP",IF(2*I12+J12&gt;120,"RP","CRAP"))</f>
        <v/>
      </c>
    </row>
    <row r="13" ht="13.5" customHeight="1" s="27" thickBot="1">
      <c r="A13">
        <f>(V13*V$2+W13*W$2+X13*X$2)*100/(V$4*V$2+W$4*W$2+X$4*X$2)</f>
        <v/>
      </c>
      <c r="B13" s="18" t="n">
        <v>14</v>
      </c>
      <c r="C13" s="11" t="inlineStr">
        <is>
          <t>Howard, Phillip</t>
        </is>
      </c>
      <c r="D13" s="19" t="inlineStr">
        <is>
          <t>P</t>
        </is>
      </c>
      <c r="E13" s="19" t="inlineStr">
        <is>
          <t>R</t>
        </is>
      </c>
      <c r="F13" s="19" t="inlineStr">
        <is>
          <t>R</t>
        </is>
      </c>
      <c r="G13" s="19" t="n">
        <v>18</v>
      </c>
      <c r="H13" s="19" t="n"/>
      <c r="I13" s="19" t="n"/>
      <c r="J13" s="19" t="n">
        <v>23</v>
      </c>
      <c r="K13" s="19" t="n">
        <v>92</v>
      </c>
      <c r="L13" s="19" t="n">
        <v>55</v>
      </c>
      <c r="M13" s="19" t="n">
        <v>74</v>
      </c>
      <c r="N13" s="19" t="n">
        <v>79</v>
      </c>
      <c r="O13" s="19" t="n">
        <v>43</v>
      </c>
      <c r="P13" s="19" t="n">
        <v>73</v>
      </c>
      <c r="Q13" s="19" t="n">
        <v>81</v>
      </c>
      <c r="R13" s="19" t="n">
        <v>60</v>
      </c>
      <c r="S13" s="19" t="n">
        <v>48</v>
      </c>
      <c r="T13" s="19" t="n">
        <v>63</v>
      </c>
      <c r="U13" s="19" t="n">
        <v>0</v>
      </c>
      <c r="V13" s="19">
        <f>K$1*(0.000001*K13^3)+L$1*((-0.000002)*L13^3+0.00032*L13^2+(-0.0021)*L13)+M$1*((-0.000002)*M13^3+0.00032*M13^2+(-0.0021)*M13)+N$1*((-0.000002)*N13^3+0.00032*N13^2+(-0.0021)*N13)+O$1*((-0.000002)*O13^3+0.00032*O13^2+(-0.0021)*O13)</f>
        <v/>
      </c>
      <c r="W13" s="5">
        <f>P$1*((-0.000002)*P13^3+0.00032*P13^2+(-0.0021)*P13)+Q$1*((-0.000002)*Q13^3+0.00032*Q13^2+(-0.0021)*Q13)+R$1*((-0.000002)*R13^3+0.00032*R13^2+(-0.0021)*R13)+S$1*((-0.000002)*S13^3+0.00032*S13^2+(-0.0021)*S13)+T$1*((-0.000002)*T13^3+0.00032*T13^2+(-0.0021)*T13)</f>
        <v/>
      </c>
      <c r="X13">
        <f>(I$1*((-0.000002)*I13^3+0.00032*I13^2+(-0.0021)*I13)+J$1*((-0.000002)*J13^3+0.00032*J13^2+(-0.0021)*J13)+H$1*((-0.000002)*H13^3+0.00032*H13^2+(-0.0021)*H13))*(MAX(0.05,MIN(1,(2*J13+I13)/120)*MIN(1,I13/10)*MIN(1,J13/10)))</f>
        <v/>
      </c>
      <c r="Y13" s="5">
        <f>(I$1*((-0.000002)*I13^3+0.00032*I13^2+(-0.0021)*I13)+J$1*((-0.000002)*J13^3+0.00032*J13^2+(-0.0021)*J13)+H$1*((-0.000002)*H13^3+0.00032*H13^2+(-0.0021)*H13))*(MAX(0.05,MIN(1,(2*J13+I13)/120)*MIN(1,I13/10)*MIN(1,J13/10)))</f>
        <v/>
      </c>
      <c r="Z13">
        <f>U13*J$2+V13*O$2+W13*H$2</f>
        <v/>
      </c>
      <c r="AA13">
        <f>IF(AND(J13&gt;50,I13+J13&gt;75),"SP",IF(2*I13+J13&gt;120,"RP","CRAP"))</f>
        <v/>
      </c>
    </row>
    <row r="14" ht="13.5" customHeight="1" s="27" thickBot="1">
      <c r="A14">
        <f>(V14*V$2+W14*W$2+X14*X$2)*100/(V$4*V$2+W$4*W$2+X$4*X$2)</f>
        <v/>
      </c>
      <c r="B14" s="16" t="n">
        <v>33</v>
      </c>
      <c r="C14" s="10" t="inlineStr">
        <is>
          <t>Nelson, Kordell</t>
        </is>
      </c>
      <c r="D14" s="17" t="inlineStr">
        <is>
          <t>P</t>
        </is>
      </c>
      <c r="E14" s="17" t="inlineStr">
        <is>
          <t>L</t>
        </is>
      </c>
      <c r="F14" s="17" t="inlineStr">
        <is>
          <t>L</t>
        </is>
      </c>
      <c r="G14" s="17" t="n">
        <v>18</v>
      </c>
      <c r="H14" s="17" t="n"/>
      <c r="I14" s="17" t="n"/>
      <c r="J14" s="17" t="n">
        <v>37</v>
      </c>
      <c r="K14" s="17" t="n">
        <v>25</v>
      </c>
      <c r="L14" s="17" t="n">
        <v>87</v>
      </c>
      <c r="M14" s="17" t="n">
        <v>97</v>
      </c>
      <c r="N14" s="17" t="n">
        <v>68</v>
      </c>
      <c r="O14" s="17" t="n">
        <v>97</v>
      </c>
      <c r="P14" s="17" t="n">
        <v>54</v>
      </c>
      <c r="Q14" s="17" t="n">
        <v>84</v>
      </c>
      <c r="R14" s="17" t="n">
        <v>67</v>
      </c>
      <c r="S14" s="17" t="n">
        <v>60</v>
      </c>
      <c r="T14" s="17" t="n">
        <v>0</v>
      </c>
      <c r="U14" s="17" t="n">
        <v>0</v>
      </c>
      <c r="V14" s="17">
        <f>K$1*(0.000001*K14^3)+L$1*((-0.000002)*L14^3+0.00032*L14^2+(-0.0021)*L14)+M$1*((-0.000002)*M14^3+0.00032*M14^2+(-0.0021)*M14)+N$1*((-0.000002)*N14^3+0.00032*N14^2+(-0.0021)*N14)+O$1*((-0.000002)*O14^3+0.00032*O14^2+(-0.0021)*O14)</f>
        <v/>
      </c>
      <c r="W14" s="5">
        <f>P$1*((-0.000002)*P14^3+0.00032*P14^2+(-0.0021)*P14)+Q$1*((-0.000002)*Q14^3+0.00032*Q14^2+(-0.0021)*Q14)+R$1*((-0.000002)*R14^3+0.00032*R14^2+(-0.0021)*R14)+S$1*((-0.000002)*S14^3+0.00032*S14^2+(-0.0021)*S14)+T$1*((-0.000002)*T14^3+0.00032*T14^2+(-0.0021)*T14)</f>
        <v/>
      </c>
      <c r="X14">
        <f>(I$1*((-0.000002)*I14^3+0.00032*I14^2+(-0.0021)*I14)+J$1*((-0.000002)*J14^3+0.00032*J14^2+(-0.0021)*J14)+H$1*((-0.000002)*H14^3+0.00032*H14^2+(-0.0021)*H14))*(MAX(0.05,MIN(1,(2*J14+I14)/120)*MIN(1,I14/10)*MIN(1,J14/10)))</f>
        <v/>
      </c>
      <c r="Y14" s="5">
        <f>(I$1*((-0.000002)*I14^3+0.00032*I14^2+(-0.0021)*I14)+J$1*((-0.000002)*J14^3+0.00032*J14^2+(-0.0021)*J14)+H$1*((-0.000002)*H14^3+0.00032*H14^2+(-0.0021)*H14))*(MAX(0.05,MIN(1,(2*J14+I14)/120)*MIN(1,I14/10)*MIN(1,J14/10)))</f>
        <v/>
      </c>
      <c r="Z14">
        <f>U14*J$2+V14*O$2+W14*H$2</f>
        <v/>
      </c>
      <c r="AA14">
        <f>IF(AND(J14&gt;50,I14+J14&gt;75),"SP",IF(2*I14+J14&gt;120,"RP","CRAP"))</f>
        <v/>
      </c>
    </row>
    <row r="15" ht="13.5" customHeight="1" s="27" thickBot="1">
      <c r="A15">
        <f>(V15*V$2+W15*W$2+X15*X$2)*100/(V$4*V$2+W$4*W$2+X$4*X$2)</f>
        <v/>
      </c>
      <c r="B15" s="16" t="n">
        <v>11</v>
      </c>
      <c r="C15" s="10" t="inlineStr">
        <is>
          <t>Head, Larry</t>
        </is>
      </c>
      <c r="D15" s="17" t="inlineStr">
        <is>
          <t>P</t>
        </is>
      </c>
      <c r="E15" s="17" t="inlineStr">
        <is>
          <t>R</t>
        </is>
      </c>
      <c r="F15" s="17" t="inlineStr">
        <is>
          <t>R</t>
        </is>
      </c>
      <c r="G15" s="17" t="n">
        <v>18</v>
      </c>
      <c r="H15" s="17" t="n"/>
      <c r="I15" s="17" t="n"/>
      <c r="J15" s="17" t="n">
        <v>35</v>
      </c>
      <c r="K15" s="17" t="n">
        <v>91</v>
      </c>
      <c r="L15" s="17" t="n">
        <v>61</v>
      </c>
      <c r="M15" s="17" t="n">
        <v>47</v>
      </c>
      <c r="N15" s="17" t="n">
        <v>68</v>
      </c>
      <c r="O15" s="17" t="n">
        <v>98</v>
      </c>
      <c r="P15" s="17" t="n">
        <v>90</v>
      </c>
      <c r="Q15" s="17" t="n">
        <v>93</v>
      </c>
      <c r="R15" s="17" t="n">
        <v>62</v>
      </c>
      <c r="S15" s="17" t="n">
        <v>58</v>
      </c>
      <c r="T15" s="17" t="n">
        <v>0</v>
      </c>
      <c r="U15" s="17" t="n">
        <v>0</v>
      </c>
      <c r="V15" s="17">
        <f>K$1*(0.000001*K15^3)+L$1*((-0.000002)*L15^3+0.00032*L15^2+(-0.0021)*L15)+M$1*((-0.000002)*M15^3+0.00032*M15^2+(-0.0021)*M15)+N$1*((-0.000002)*N15^3+0.00032*N15^2+(-0.0021)*N15)+O$1*((-0.000002)*O15^3+0.00032*O15^2+(-0.0021)*O15)</f>
        <v/>
      </c>
      <c r="W15" s="5">
        <f>P$1*((-0.000002)*P15^3+0.00032*P15^2+(-0.0021)*P15)+Q$1*((-0.000002)*Q15^3+0.00032*Q15^2+(-0.0021)*Q15)+R$1*((-0.000002)*R15^3+0.00032*R15^2+(-0.0021)*R15)+S$1*((-0.000002)*S15^3+0.00032*S15^2+(-0.0021)*S15)+T$1*((-0.000002)*T15^3+0.00032*T15^2+(-0.0021)*T15)</f>
        <v/>
      </c>
      <c r="X15">
        <f>(I$1*((-0.000002)*I15^3+0.00032*I15^2+(-0.0021)*I15)+J$1*((-0.000002)*J15^3+0.00032*J15^2+(-0.0021)*J15)+H$1*((-0.000002)*H15^3+0.00032*H15^2+(-0.0021)*H15))*(MAX(0.05,MIN(1,(2*J15+I15)/120)*MIN(1,I15/10)*MIN(1,J15/10)))</f>
        <v/>
      </c>
      <c r="Y15" s="5">
        <f>(I$1*((-0.000002)*I15^3+0.00032*I15^2+(-0.0021)*I15)+J$1*((-0.000002)*J15^3+0.00032*J15^2+(-0.0021)*J15)+H$1*((-0.000002)*H15^3+0.00032*H15^2+(-0.0021)*H15))*(MAX(0.05,MIN(1,(2*J15+I15)/120)*MIN(1,I15/10)*MIN(1,J15/10)))</f>
        <v/>
      </c>
      <c r="Z15">
        <f>U15*J$2+V15*O$2+W15*H$2</f>
        <v/>
      </c>
      <c r="AA15">
        <f>IF(AND(J15&gt;50,I15+J15&gt;75),"SP",IF(2*I15+J15&gt;120,"RP","CRAP"))</f>
        <v/>
      </c>
    </row>
    <row r="16" ht="13.5" customHeight="1" s="27" thickBot="1">
      <c r="A16">
        <f>(V16*V$2+W16*W$2+X16*X$2)*100/(V$4*V$2+W$4*W$2+X$4*X$2)</f>
        <v/>
      </c>
      <c r="B16" s="16" t="n">
        <v>41</v>
      </c>
      <c r="C16" s="10" t="inlineStr">
        <is>
          <t>Parrott, Matthew</t>
        </is>
      </c>
      <c r="D16" s="17" t="inlineStr">
        <is>
          <t>P</t>
        </is>
      </c>
      <c r="E16" s="17" t="inlineStr">
        <is>
          <t>R</t>
        </is>
      </c>
      <c r="F16" s="17" t="inlineStr">
        <is>
          <t>R</t>
        </is>
      </c>
      <c r="G16" s="17" t="n">
        <v>18</v>
      </c>
      <c r="H16" s="17" t="n"/>
      <c r="I16" s="17" t="n"/>
      <c r="J16" s="17" t="n">
        <v>47</v>
      </c>
      <c r="K16" s="17" t="n">
        <v>35</v>
      </c>
      <c r="L16" s="17" t="n">
        <v>93</v>
      </c>
      <c r="M16" s="17" t="n">
        <v>59</v>
      </c>
      <c r="N16" s="17" t="n">
        <v>58</v>
      </c>
      <c r="O16" s="17" t="n">
        <v>12</v>
      </c>
      <c r="P16" s="17" t="n">
        <v>84</v>
      </c>
      <c r="Q16" s="17" t="n">
        <v>87</v>
      </c>
      <c r="R16" s="17" t="n">
        <v>73</v>
      </c>
      <c r="S16" s="17" t="n">
        <v>53</v>
      </c>
      <c r="T16" s="17" t="n">
        <v>0</v>
      </c>
      <c r="U16" s="17" t="n">
        <v>0</v>
      </c>
      <c r="V16" s="17">
        <f>K$1*(0.000001*K16^3)+L$1*((-0.000002)*L16^3+0.00032*L16^2+(-0.0021)*L16)+M$1*((-0.000002)*M16^3+0.00032*M16^2+(-0.0021)*M16)+N$1*((-0.000002)*N16^3+0.00032*N16^2+(-0.0021)*N16)+O$1*((-0.000002)*O16^3+0.00032*O16^2+(-0.0021)*O16)</f>
        <v/>
      </c>
      <c r="W16" s="5">
        <f>P$1*((-0.000002)*P16^3+0.00032*P16^2+(-0.0021)*P16)+Q$1*((-0.000002)*Q16^3+0.00032*Q16^2+(-0.0021)*Q16)+R$1*((-0.000002)*R16^3+0.00032*R16^2+(-0.0021)*R16)+S$1*((-0.000002)*S16^3+0.00032*S16^2+(-0.0021)*S16)+T$1*((-0.000002)*T16^3+0.00032*T16^2+(-0.0021)*T16)</f>
        <v/>
      </c>
      <c r="X16">
        <f>(I$1*((-0.000002)*I16^3+0.00032*I16^2+(-0.0021)*I16)+J$1*((-0.000002)*J16^3+0.00032*J16^2+(-0.0021)*J16)+H$1*((-0.000002)*H16^3+0.00032*H16^2+(-0.0021)*H16))*(MAX(0.05,MIN(1,(2*J16+I16)/120)*MIN(1,I16/10)*MIN(1,J16/10)))</f>
        <v/>
      </c>
      <c r="Y16" s="5">
        <f>(I$1*((-0.000002)*I16^3+0.00032*I16^2+(-0.0021)*I16)+J$1*((-0.000002)*J16^3+0.00032*J16^2+(-0.0021)*J16)+H$1*((-0.000002)*H16^3+0.00032*H16^2+(-0.0021)*H16))*(MAX(0.05,MIN(1,(2*J16+I16)/120)*MIN(1,I16/10)*MIN(1,J16/10)))</f>
        <v/>
      </c>
      <c r="Z16">
        <f>U16*J$2+V16*O$2+W16*H$2</f>
        <v/>
      </c>
      <c r="AA16">
        <f>IF(AND(J16&gt;50,I16+J16&gt;75),"SP",IF(2*I16+J16&gt;120,"RP","CRAP"))</f>
        <v/>
      </c>
    </row>
    <row r="17" ht="13.5" customHeight="1" s="27" thickBot="1">
      <c r="A17">
        <f>(V17*V$2+W17*W$2+X17*X$2)*100/(V$4*V$2+W$4*W$2+X$4*X$2)</f>
        <v/>
      </c>
      <c r="B17" s="18" t="n">
        <v>38</v>
      </c>
      <c r="C17" s="11" t="inlineStr">
        <is>
          <t>Freel, Vinny</t>
        </is>
      </c>
      <c r="D17" s="19" t="inlineStr">
        <is>
          <t>P</t>
        </is>
      </c>
      <c r="E17" s="19" t="inlineStr">
        <is>
          <t>R</t>
        </is>
      </c>
      <c r="F17" s="19" t="inlineStr">
        <is>
          <t>R</t>
        </is>
      </c>
      <c r="G17" s="19" t="n">
        <v>18</v>
      </c>
      <c r="H17" s="19" t="n"/>
      <c r="I17" s="19" t="n"/>
      <c r="J17" s="19" t="n">
        <v>22</v>
      </c>
      <c r="K17" s="19" t="n">
        <v>51</v>
      </c>
      <c r="L17" s="19" t="n">
        <v>82</v>
      </c>
      <c r="M17" s="19" t="n">
        <v>60</v>
      </c>
      <c r="N17" s="19" t="n">
        <v>70</v>
      </c>
      <c r="O17" s="19" t="n">
        <v>87</v>
      </c>
      <c r="P17" s="19" t="n">
        <v>62</v>
      </c>
      <c r="Q17" s="19" t="n">
        <v>91</v>
      </c>
      <c r="R17" s="19" t="n">
        <v>54</v>
      </c>
      <c r="S17" s="19" t="n">
        <v>49</v>
      </c>
      <c r="T17" s="19" t="n">
        <v>30</v>
      </c>
      <c r="U17" s="19" t="n">
        <v>0</v>
      </c>
      <c r="V17" s="19">
        <f>K$1*(0.000001*K17^3)+L$1*((-0.000002)*L17^3+0.00032*L17^2+(-0.0021)*L17)+M$1*((-0.000002)*M17^3+0.00032*M17^2+(-0.0021)*M17)+N$1*((-0.000002)*N17^3+0.00032*N17^2+(-0.0021)*N17)+O$1*((-0.000002)*O17^3+0.00032*O17^2+(-0.0021)*O17)</f>
        <v/>
      </c>
      <c r="W17" s="5">
        <f>P$1*((-0.000002)*P17^3+0.00032*P17^2+(-0.0021)*P17)+Q$1*((-0.000002)*Q17^3+0.00032*Q17^2+(-0.0021)*Q17)+R$1*((-0.000002)*R17^3+0.00032*R17^2+(-0.0021)*R17)+S$1*((-0.000002)*S17^3+0.00032*S17^2+(-0.0021)*S17)+T$1*((-0.000002)*T17^3+0.00032*T17^2+(-0.0021)*T17)</f>
        <v/>
      </c>
      <c r="X17">
        <f>(I$1*((-0.000002)*I17^3+0.00032*I17^2+(-0.0021)*I17)+J$1*((-0.000002)*J17^3+0.00032*J17^2+(-0.0021)*J17)+H$1*((-0.000002)*H17^3+0.00032*H17^2+(-0.0021)*H17))*(MAX(0.05,MIN(1,(2*J17+I17)/120)*MIN(1,I17/10)*MIN(1,J17/10)))</f>
        <v/>
      </c>
      <c r="Y17" s="5">
        <f>(I$1*((-0.000002)*I17^3+0.00032*I17^2+(-0.0021)*I17)+J$1*((-0.000002)*J17^3+0.00032*J17^2+(-0.0021)*J17)+H$1*((-0.000002)*H17^3+0.00032*H17^2+(-0.0021)*H17))*(MAX(0.05,MIN(1,(2*J17+I17)/120)*MIN(1,I17/10)*MIN(1,J17/10)))</f>
        <v/>
      </c>
      <c r="Z17">
        <f>U17*J$2+V17*O$2+W17*H$2</f>
        <v/>
      </c>
      <c r="AA17">
        <f>IF(AND(J17&gt;50,I17+J17&gt;75),"SP",IF(2*I17+J17&gt;120,"RP","CRAP"))</f>
        <v/>
      </c>
    </row>
    <row r="18" ht="13.5" customHeight="1" s="27" thickBot="1">
      <c r="A18">
        <f>(V18*V$2+W18*W$2+X18*X$2)*100/(V$4*V$2+W$4*W$2+X$4*X$2)</f>
        <v/>
      </c>
      <c r="B18" s="16" t="n">
        <v>23</v>
      </c>
      <c r="C18" s="10" t="inlineStr">
        <is>
          <t>Dempster, Aaron</t>
        </is>
      </c>
      <c r="D18" s="17" t="inlineStr">
        <is>
          <t>P</t>
        </is>
      </c>
      <c r="E18" s="17" t="inlineStr">
        <is>
          <t>R</t>
        </is>
      </c>
      <c r="F18" s="17" t="inlineStr">
        <is>
          <t>R</t>
        </is>
      </c>
      <c r="G18" s="17" t="n">
        <v>18</v>
      </c>
      <c r="H18" s="17" t="n"/>
      <c r="I18" s="17" t="n"/>
      <c r="J18" s="17" t="n">
        <v>24</v>
      </c>
      <c r="K18" s="17" t="n">
        <v>82</v>
      </c>
      <c r="L18" s="17" t="n">
        <v>61</v>
      </c>
      <c r="M18" s="17" t="n">
        <v>52</v>
      </c>
      <c r="N18" s="17" t="n">
        <v>66</v>
      </c>
      <c r="O18" s="17" t="n">
        <v>58</v>
      </c>
      <c r="P18" s="17" t="n">
        <v>78</v>
      </c>
      <c r="Q18" s="17" t="n">
        <v>81</v>
      </c>
      <c r="R18" s="17" t="n">
        <v>79</v>
      </c>
      <c r="S18" s="17" t="n">
        <v>68</v>
      </c>
      <c r="T18" s="17" t="n">
        <v>51</v>
      </c>
      <c r="U18" s="17" t="n">
        <v>27</v>
      </c>
      <c r="V18" s="17">
        <f>K$1*(0.000001*K18^3)+L$1*((-0.000002)*L18^3+0.00032*L18^2+(-0.0021)*L18)+M$1*((-0.000002)*M18^3+0.00032*M18^2+(-0.0021)*M18)+N$1*((-0.000002)*N18^3+0.00032*N18^2+(-0.0021)*N18)+O$1*((-0.000002)*O18^3+0.00032*O18^2+(-0.0021)*O18)</f>
        <v/>
      </c>
      <c r="W18" s="5">
        <f>P$1*((-0.000002)*P18^3+0.00032*P18^2+(-0.0021)*P18)+Q$1*((-0.000002)*Q18^3+0.00032*Q18^2+(-0.0021)*Q18)+R$1*((-0.000002)*R18^3+0.00032*R18^2+(-0.0021)*R18)+S$1*((-0.000002)*S18^3+0.00032*S18^2+(-0.0021)*S18)+T$1*((-0.000002)*T18^3+0.00032*T18^2+(-0.0021)*T18)</f>
        <v/>
      </c>
      <c r="X18">
        <f>(I$1*((-0.000002)*I18^3+0.00032*I18^2+(-0.0021)*I18)+J$1*((-0.000002)*J18^3+0.00032*J18^2+(-0.0021)*J18)+H$1*((-0.000002)*H18^3+0.00032*H18^2+(-0.0021)*H18))*(MAX(0.05,MIN(1,(2*J18+I18)/120)*MIN(1,I18/10)*MIN(1,J18/10)))</f>
        <v/>
      </c>
      <c r="Y18" s="5">
        <f>(I$1*((-0.000002)*I18^3+0.00032*I18^2+(-0.0021)*I18)+J$1*((-0.000002)*J18^3+0.00032*J18^2+(-0.0021)*J18)+H$1*((-0.000002)*H18^3+0.00032*H18^2+(-0.0021)*H18))*(MAX(0.05,MIN(1,(2*J18+I18)/120)*MIN(1,I18/10)*MIN(1,J18/10)))</f>
        <v/>
      </c>
      <c r="Z18">
        <f>U18*J$2+V18*O$2+W18*H$2</f>
        <v/>
      </c>
      <c r="AA18">
        <f>IF(AND(J18&gt;50,I18+J18&gt;75),"SP",IF(2*I18+J18&gt;120,"RP","CRAP"))</f>
        <v/>
      </c>
    </row>
    <row r="19" ht="13.5" customHeight="1" s="27" thickBot="1">
      <c r="A19">
        <f>(V19*V$2+W19*W$2+X19*X$2)*100/(V$4*V$2+W$4*W$2+X$4*X$2)</f>
        <v/>
      </c>
      <c r="B19" s="16" t="n">
        <v>19</v>
      </c>
      <c r="C19" s="10" t="inlineStr">
        <is>
          <t>Chisenhall, Felix</t>
        </is>
      </c>
      <c r="D19" s="17" t="inlineStr">
        <is>
          <t>P</t>
        </is>
      </c>
      <c r="E19" s="17" t="inlineStr">
        <is>
          <t>R</t>
        </is>
      </c>
      <c r="F19" s="17" t="inlineStr">
        <is>
          <t>R</t>
        </is>
      </c>
      <c r="G19" s="17" t="n">
        <v>18</v>
      </c>
      <c r="H19" s="17" t="n"/>
      <c r="I19" s="17" t="n"/>
      <c r="J19" s="17" t="n">
        <v>31</v>
      </c>
      <c r="K19" s="17" t="n">
        <v>81</v>
      </c>
      <c r="L19" s="17" t="n">
        <v>65</v>
      </c>
      <c r="M19" s="17" t="n">
        <v>61</v>
      </c>
      <c r="N19" s="17" t="n">
        <v>73</v>
      </c>
      <c r="O19" s="17" t="n">
        <v>96</v>
      </c>
      <c r="P19" s="17" t="n">
        <v>61</v>
      </c>
      <c r="Q19" s="17" t="n">
        <v>65</v>
      </c>
      <c r="R19" s="17" t="n">
        <v>74</v>
      </c>
      <c r="S19" s="17" t="n">
        <v>68</v>
      </c>
      <c r="T19" s="17" t="n">
        <v>37</v>
      </c>
      <c r="U19" s="17" t="n">
        <v>0</v>
      </c>
      <c r="V19" s="17">
        <f>K$1*(0.000001*K19^3)+L$1*((-0.000002)*L19^3+0.00032*L19^2+(-0.0021)*L19)+M$1*((-0.000002)*M19^3+0.00032*M19^2+(-0.0021)*M19)+N$1*((-0.000002)*N19^3+0.00032*N19^2+(-0.0021)*N19)+O$1*((-0.000002)*O19^3+0.00032*O19^2+(-0.0021)*O19)</f>
        <v/>
      </c>
      <c r="W19" s="5">
        <f>P$1*((-0.000002)*P19^3+0.00032*P19^2+(-0.0021)*P19)+Q$1*((-0.000002)*Q19^3+0.00032*Q19^2+(-0.0021)*Q19)+R$1*((-0.000002)*R19^3+0.00032*R19^2+(-0.0021)*R19)+S$1*((-0.000002)*S19^3+0.00032*S19^2+(-0.0021)*S19)+T$1*((-0.000002)*T19^3+0.00032*T19^2+(-0.0021)*T19)</f>
        <v/>
      </c>
      <c r="X19">
        <f>(I$1*((-0.000002)*I19^3+0.00032*I19^2+(-0.0021)*I19)+J$1*((-0.000002)*J19^3+0.00032*J19^2+(-0.0021)*J19)+H$1*((-0.000002)*H19^3+0.00032*H19^2+(-0.0021)*H19))*(MAX(0.05,MIN(1,(2*J19+I19)/120)*MIN(1,I19/10)*MIN(1,J19/10)))</f>
        <v/>
      </c>
      <c r="Y19" s="5">
        <f>(I$1*((-0.000002)*I19^3+0.00032*I19^2+(-0.0021)*I19)+J$1*((-0.000002)*J19^3+0.00032*J19^2+(-0.0021)*J19)+H$1*((-0.000002)*H19^3+0.00032*H19^2+(-0.0021)*H19))*(MAX(0.05,MIN(1,(2*J19+I19)/120)*MIN(1,I19/10)*MIN(1,J19/10)))</f>
        <v/>
      </c>
      <c r="Z19">
        <f>U19*J$2+V19*O$2+W19*H$2</f>
        <v/>
      </c>
      <c r="AA19">
        <f>IF(AND(J19&gt;50,I19+J19&gt;75),"SP",IF(2*I19+J19&gt;120,"RP","CRAP"))</f>
        <v/>
      </c>
    </row>
    <row r="20" ht="13.5" customHeight="1" s="27" thickBot="1">
      <c r="A20">
        <f>(V20*V$2+W20*W$2+X20*X$2)*100/(V$4*V$2+W$4*W$2+X$4*X$2)</f>
        <v/>
      </c>
      <c r="B20" s="18" t="n">
        <v>24</v>
      </c>
      <c r="C20" s="11" t="inlineStr">
        <is>
          <t>Benitez, Tony</t>
        </is>
      </c>
      <c r="D20" s="19" t="inlineStr">
        <is>
          <t>P</t>
        </is>
      </c>
      <c r="E20" s="19" t="inlineStr">
        <is>
          <t>L</t>
        </is>
      </c>
      <c r="F20" s="19" t="inlineStr">
        <is>
          <t>L</t>
        </is>
      </c>
      <c r="G20" s="19" t="n">
        <v>18</v>
      </c>
      <c r="H20" s="19" t="n"/>
      <c r="I20" s="19" t="n"/>
      <c r="J20" s="19" t="n">
        <v>48</v>
      </c>
      <c r="K20" s="19" t="n">
        <v>47</v>
      </c>
      <c r="L20" s="19" t="n">
        <v>87</v>
      </c>
      <c r="M20" s="19" t="n">
        <v>66</v>
      </c>
      <c r="N20" s="19" t="n">
        <v>41</v>
      </c>
      <c r="O20" s="19" t="n">
        <v>88</v>
      </c>
      <c r="P20" s="19" t="n">
        <v>69</v>
      </c>
      <c r="Q20" s="19" t="n">
        <v>68</v>
      </c>
      <c r="R20" s="19" t="n">
        <v>77</v>
      </c>
      <c r="S20" s="19" t="n">
        <v>49</v>
      </c>
      <c r="T20" s="19" t="n">
        <v>0</v>
      </c>
      <c r="U20" s="19" t="n">
        <v>0</v>
      </c>
      <c r="V20" s="19">
        <f>K$1*(0.000001*K20^3)+L$1*((-0.000002)*L20^3+0.00032*L20^2+(-0.0021)*L20)+M$1*((-0.000002)*M20^3+0.00032*M20^2+(-0.0021)*M20)+N$1*((-0.000002)*N20^3+0.00032*N20^2+(-0.0021)*N20)+O$1*((-0.000002)*O20^3+0.00032*O20^2+(-0.0021)*O20)</f>
        <v/>
      </c>
      <c r="W20" s="5">
        <f>P$1*((-0.000002)*P20^3+0.00032*P20^2+(-0.0021)*P20)+Q$1*((-0.000002)*Q20^3+0.00032*Q20^2+(-0.0021)*Q20)+R$1*((-0.000002)*R20^3+0.00032*R20^2+(-0.0021)*R20)+S$1*((-0.000002)*S20^3+0.00032*S20^2+(-0.0021)*S20)+T$1*((-0.000002)*T20^3+0.00032*T20^2+(-0.0021)*T20)</f>
        <v/>
      </c>
      <c r="X20">
        <f>(I$1*((-0.000002)*I20^3+0.00032*I20^2+(-0.0021)*I20)+J$1*((-0.000002)*J20^3+0.00032*J20^2+(-0.0021)*J20)+H$1*((-0.000002)*H20^3+0.00032*H20^2+(-0.0021)*H20))*(MAX(0.05,MIN(1,(2*J20+I20)/120)*MIN(1,I20/10)*MIN(1,J20/10)))</f>
        <v/>
      </c>
      <c r="Y20" s="5">
        <f>(I$1*((-0.000002)*I20^3+0.00032*I20^2+(-0.0021)*I20)+J$1*((-0.000002)*J20^3+0.00032*J20^2+(-0.0021)*J20)+H$1*((-0.000002)*H20^3+0.00032*H20^2+(-0.0021)*H20))*(MAX(0.05,MIN(1,(2*J20+I20)/120)*MIN(1,I20/10)*MIN(1,J20/10)))</f>
        <v/>
      </c>
      <c r="Z20">
        <f>U20*J$2+V20*O$2+W20*H$2</f>
        <v/>
      </c>
      <c r="AA20">
        <f>IF(AND(J20&gt;50,I20+J20&gt;75),"SP",IF(2*I20+J20&gt;120,"RP","CRAP"))</f>
        <v/>
      </c>
    </row>
    <row r="21" ht="13.5" customHeight="1" s="27" thickBot="1">
      <c r="A21">
        <f>(V21*V$2+W21*W$2+X21*X$2)*100/(V$4*V$2+W$4*W$2+X$4*X$2)</f>
        <v/>
      </c>
      <c r="B21" s="16" t="n">
        <v>115</v>
      </c>
      <c r="C21" s="10" t="inlineStr">
        <is>
          <t>Paulson, Dusty</t>
        </is>
      </c>
      <c r="D21" s="17" t="inlineStr">
        <is>
          <t>P</t>
        </is>
      </c>
      <c r="E21" s="17" t="inlineStr">
        <is>
          <t>L</t>
        </is>
      </c>
      <c r="F21" s="17" t="inlineStr">
        <is>
          <t>L</t>
        </is>
      </c>
      <c r="G21" s="17" t="n">
        <v>21</v>
      </c>
      <c r="H21" s="17" t="n"/>
      <c r="I21" s="17" t="n"/>
      <c r="J21" s="17" t="n">
        <v>8</v>
      </c>
      <c r="K21" s="17" t="n">
        <v>82</v>
      </c>
      <c r="L21" s="17" t="n">
        <v>65</v>
      </c>
      <c r="M21" s="17" t="n">
        <v>83</v>
      </c>
      <c r="N21" s="17" t="n">
        <v>62</v>
      </c>
      <c r="O21" s="17" t="n">
        <v>37</v>
      </c>
      <c r="P21" s="17" t="n">
        <v>58</v>
      </c>
      <c r="Q21" s="17" t="n">
        <v>52</v>
      </c>
      <c r="R21" s="17" t="n">
        <v>81</v>
      </c>
      <c r="S21" s="17" t="n">
        <v>32</v>
      </c>
      <c r="T21" s="17" t="n">
        <v>74</v>
      </c>
      <c r="U21" s="17" t="n">
        <v>54</v>
      </c>
      <c r="V21" s="17">
        <f>K$1*(0.000001*K21^3)+L$1*((-0.000002)*L21^3+0.00032*L21^2+(-0.0021)*L21)+M$1*((-0.000002)*M21^3+0.00032*M21^2+(-0.0021)*M21)+N$1*((-0.000002)*N21^3+0.00032*N21^2+(-0.0021)*N21)+O$1*((-0.000002)*O21^3+0.00032*O21^2+(-0.0021)*O21)</f>
        <v/>
      </c>
      <c r="W21" s="5">
        <f>P$1*((-0.000002)*P21^3+0.00032*P21^2+(-0.0021)*P21)+Q$1*((-0.000002)*Q21^3+0.00032*Q21^2+(-0.0021)*Q21)+R$1*((-0.000002)*R21^3+0.00032*R21^2+(-0.0021)*R21)+S$1*((-0.000002)*S21^3+0.00032*S21^2+(-0.0021)*S21)+T$1*((-0.000002)*T21^3+0.00032*T21^2+(-0.0021)*T21)</f>
        <v/>
      </c>
      <c r="X21">
        <f>(I$1*((-0.000002)*I21^3+0.00032*I21^2+(-0.0021)*I21)+J$1*((-0.000002)*J21^3+0.00032*J21^2+(-0.0021)*J21)+H$1*((-0.000002)*H21^3+0.00032*H21^2+(-0.0021)*H21))*(MAX(0.05,MIN(1,(2*J21+I21)/120)*MIN(1,I21/10)*MIN(1,J21/10)))</f>
        <v/>
      </c>
      <c r="Y21" s="5">
        <f>(I$1*((-0.000002)*I21^3+0.00032*I21^2+(-0.0021)*I21)+J$1*((-0.000002)*J21^3+0.00032*J21^2+(-0.0021)*J21)+H$1*((-0.000002)*H21^3+0.00032*H21^2+(-0.0021)*H21))*(MAX(0.05,MIN(1,(2*J21+I21)/120)*MIN(1,I21/10)*MIN(1,J21/10)))</f>
        <v/>
      </c>
      <c r="Z21">
        <f>U21*J$2+V21*O$2+W21*H$2</f>
        <v/>
      </c>
      <c r="AA21">
        <f>IF(AND(J21&gt;50,I21+J21&gt;75),"SP",IF(2*I21+J21&gt;120,"RP","CRAP"))</f>
        <v/>
      </c>
    </row>
    <row r="22" ht="13.5" customHeight="1" s="27" thickBot="1">
      <c r="A22">
        <f>(V22*V$2+W22*W$2+X22*X$2)*100/(V$4*V$2+W$4*W$2+X$4*X$2)</f>
        <v/>
      </c>
      <c r="B22" s="16" t="n">
        <v>125</v>
      </c>
      <c r="C22" s="10" t="inlineStr">
        <is>
          <t>Terrero, Osvaldo</t>
        </is>
      </c>
      <c r="D22" s="17" t="inlineStr">
        <is>
          <t>P</t>
        </is>
      </c>
      <c r="E22" s="17" t="inlineStr">
        <is>
          <t>L</t>
        </is>
      </c>
      <c r="F22" s="17" t="inlineStr">
        <is>
          <t>L</t>
        </is>
      </c>
      <c r="G22" s="17" t="n">
        <v>18</v>
      </c>
      <c r="H22" s="17" t="n"/>
      <c r="I22" s="17" t="n"/>
      <c r="J22" s="17" t="n">
        <v>0</v>
      </c>
      <c r="K22" s="17" t="n">
        <v>61</v>
      </c>
      <c r="L22" s="17" t="n">
        <v>73</v>
      </c>
      <c r="M22" s="17" t="n">
        <v>55</v>
      </c>
      <c r="N22" s="17" t="n">
        <v>56</v>
      </c>
      <c r="O22" s="17" t="n">
        <v>73</v>
      </c>
      <c r="P22" s="17" t="n">
        <v>69</v>
      </c>
      <c r="Q22" s="17" t="n">
        <v>88</v>
      </c>
      <c r="R22" s="17" t="n">
        <v>53</v>
      </c>
      <c r="S22" s="17" t="n">
        <v>44</v>
      </c>
      <c r="T22" s="17" t="n">
        <v>0</v>
      </c>
      <c r="U22" s="17" t="n">
        <v>0</v>
      </c>
      <c r="V22" s="17">
        <f>K$1*(0.000001*K22^3)+L$1*((-0.000002)*L22^3+0.00032*L22^2+(-0.0021)*L22)+M$1*((-0.000002)*M22^3+0.00032*M22^2+(-0.0021)*M22)+N$1*((-0.000002)*N22^3+0.00032*N22^2+(-0.0021)*N22)+O$1*((-0.000002)*O22^3+0.00032*O22^2+(-0.0021)*O22)</f>
        <v/>
      </c>
      <c r="W22" s="5">
        <f>P$1*((-0.000002)*P22^3+0.00032*P22^2+(-0.0021)*P22)+Q$1*((-0.000002)*Q22^3+0.00032*Q22^2+(-0.0021)*Q22)+R$1*((-0.000002)*R22^3+0.00032*R22^2+(-0.0021)*R22)+S$1*((-0.000002)*S22^3+0.00032*S22^2+(-0.0021)*S22)+T$1*((-0.000002)*T22^3+0.00032*T22^2+(-0.0021)*T22)</f>
        <v/>
      </c>
      <c r="X22">
        <f>(I$1*((-0.000002)*I22^3+0.00032*I22^2+(-0.0021)*I22)+J$1*((-0.000002)*J22^3+0.00032*J22^2+(-0.0021)*J22)+H$1*((-0.000002)*H22^3+0.00032*H22^2+(-0.0021)*H22))*(MAX(0.05,MIN(1,(2*J22+I22)/120)*MIN(1,I22/10)*MIN(1,J22/10)))</f>
        <v/>
      </c>
      <c r="Y22" s="5">
        <f>(I$1*((-0.000002)*I22^3+0.00032*I22^2+(-0.0021)*I22)+J$1*((-0.000002)*J22^3+0.00032*J22^2+(-0.0021)*J22)+H$1*((-0.000002)*H22^3+0.00032*H22^2+(-0.0021)*H22))*(MAX(0.05,MIN(1,(2*J22+I22)/120)*MIN(1,I22/10)*MIN(1,J22/10)))</f>
        <v/>
      </c>
      <c r="Z22">
        <f>U22*J$2+V22*O$2+W22*H$2</f>
        <v/>
      </c>
      <c r="AA22">
        <f>IF(AND(J22&gt;50,I22+J22&gt;75),"SP",IF(2*I22+J22&gt;120,"RP","CRAP"))</f>
        <v/>
      </c>
    </row>
    <row r="23" ht="13.5" customHeight="1" s="27" thickBot="1">
      <c r="A23">
        <f>(V23*V$2+W23*W$2+X23*X$2)*100/(V$4*V$2+W$4*W$2+X$4*X$2)</f>
        <v/>
      </c>
      <c r="B23" s="16" t="n">
        <v>25</v>
      </c>
      <c r="C23" s="10" t="inlineStr">
        <is>
          <t>Hermida, Vincent</t>
        </is>
      </c>
      <c r="D23" s="17" t="inlineStr">
        <is>
          <t>P</t>
        </is>
      </c>
      <c r="E23" s="17" t="inlineStr">
        <is>
          <t>S</t>
        </is>
      </c>
      <c r="F23" s="17" t="inlineStr">
        <is>
          <t>R</t>
        </is>
      </c>
      <c r="G23" s="17" t="n">
        <v>18</v>
      </c>
      <c r="H23" s="17" t="n"/>
      <c r="I23" s="17" t="n"/>
      <c r="J23" s="17" t="n">
        <v>32</v>
      </c>
      <c r="K23" s="17" t="n">
        <v>74</v>
      </c>
      <c r="L23" s="17" t="n">
        <v>62</v>
      </c>
      <c r="M23" s="17" t="n">
        <v>57</v>
      </c>
      <c r="N23" s="17" t="n">
        <v>64</v>
      </c>
      <c r="O23" s="17" t="n">
        <v>90</v>
      </c>
      <c r="P23" s="17" t="n">
        <v>63</v>
      </c>
      <c r="Q23" s="17" t="n">
        <v>76</v>
      </c>
      <c r="R23" s="17" t="n">
        <v>45</v>
      </c>
      <c r="S23" s="17" t="n">
        <v>43</v>
      </c>
      <c r="T23" s="17" t="n">
        <v>38</v>
      </c>
      <c r="U23" s="17" t="n">
        <v>0</v>
      </c>
      <c r="V23" s="17">
        <f>K$1*(0.000001*K23^3)+L$1*((-0.000002)*L23^3+0.00032*L23^2+(-0.0021)*L23)+M$1*((-0.000002)*M23^3+0.00032*M23^2+(-0.0021)*M23)+N$1*((-0.000002)*N23^3+0.00032*N23^2+(-0.0021)*N23)+O$1*((-0.000002)*O23^3+0.00032*O23^2+(-0.0021)*O23)</f>
        <v/>
      </c>
      <c r="W23" s="5">
        <f>P$1*((-0.000002)*P23^3+0.00032*P23^2+(-0.0021)*P23)+Q$1*((-0.000002)*Q23^3+0.00032*Q23^2+(-0.0021)*Q23)+R$1*((-0.000002)*R23^3+0.00032*R23^2+(-0.0021)*R23)+S$1*((-0.000002)*S23^3+0.00032*S23^2+(-0.0021)*S23)+T$1*((-0.000002)*T23^3+0.00032*T23^2+(-0.0021)*T23)</f>
        <v/>
      </c>
      <c r="X23">
        <f>(I$1*((-0.000002)*I23^3+0.00032*I23^2+(-0.0021)*I23)+J$1*((-0.000002)*J23^3+0.00032*J23^2+(-0.0021)*J23)+H$1*((-0.000002)*H23^3+0.00032*H23^2+(-0.0021)*H23))*(MAX(0.05,MIN(1,(2*J23+I23)/120)*MIN(1,I23/10)*MIN(1,J23/10)))</f>
        <v/>
      </c>
      <c r="Y23" s="5">
        <f>(I$1*((-0.000002)*I23^3+0.00032*I23^2+(-0.0021)*I23)+J$1*((-0.000002)*J23^3+0.00032*J23^2+(-0.0021)*J23)+H$1*((-0.000002)*H23^3+0.00032*H23^2+(-0.0021)*H23))*(MAX(0.05,MIN(1,(2*J23+I23)/120)*MIN(1,I23/10)*MIN(1,J23/10)))</f>
        <v/>
      </c>
      <c r="Z23">
        <f>U23*J$2+V23*O$2+W23*H$2</f>
        <v/>
      </c>
      <c r="AA23">
        <f>IF(AND(J23&gt;50,I23+J23&gt;75),"SP",IF(2*I23+J23&gt;120,"RP","CRAP"))</f>
        <v/>
      </c>
    </row>
    <row r="24" ht="13.5" customHeight="1" s="27" thickBot="1">
      <c r="A24">
        <f>(V24*V$2+W24*W$2+X24*X$2)*100/(V$4*V$2+W$4*W$2+X$4*X$2)</f>
        <v/>
      </c>
      <c r="B24" s="16" t="n">
        <v>29</v>
      </c>
      <c r="C24" s="10" t="inlineStr">
        <is>
          <t>Kent, Stewart</t>
        </is>
      </c>
      <c r="D24" s="17" t="inlineStr">
        <is>
          <t>P</t>
        </is>
      </c>
      <c r="E24" s="17" t="inlineStr">
        <is>
          <t>S</t>
        </is>
      </c>
      <c r="F24" s="17" t="inlineStr">
        <is>
          <t>L</t>
        </is>
      </c>
      <c r="G24" s="17" t="n">
        <v>18</v>
      </c>
      <c r="H24" s="17" t="n"/>
      <c r="I24" s="17" t="n"/>
      <c r="J24" s="17" t="n">
        <v>31</v>
      </c>
      <c r="K24" s="17" t="n">
        <v>55</v>
      </c>
      <c r="L24" s="17" t="n">
        <v>97</v>
      </c>
      <c r="M24" s="17" t="n">
        <v>60</v>
      </c>
      <c r="N24" s="17" t="n">
        <v>38</v>
      </c>
      <c r="O24" s="17" t="n">
        <v>88</v>
      </c>
      <c r="P24" s="17" t="n">
        <v>44</v>
      </c>
      <c r="Q24" s="17" t="n">
        <v>88</v>
      </c>
      <c r="R24" s="17" t="n">
        <v>67</v>
      </c>
      <c r="S24" s="17" t="n">
        <v>41</v>
      </c>
      <c r="T24" s="17" t="n">
        <v>62</v>
      </c>
      <c r="U24" s="17" t="n">
        <v>0</v>
      </c>
      <c r="V24" s="17">
        <f>K$1*(0.000001*K24^3)+L$1*((-0.000002)*L24^3+0.00032*L24^2+(-0.0021)*L24)+M$1*((-0.000002)*M24^3+0.00032*M24^2+(-0.0021)*M24)+N$1*((-0.000002)*N24^3+0.00032*N24^2+(-0.0021)*N24)+O$1*((-0.000002)*O24^3+0.00032*O24^2+(-0.0021)*O24)</f>
        <v/>
      </c>
      <c r="W24" s="5">
        <f>P$1*((-0.000002)*P24^3+0.00032*P24^2+(-0.0021)*P24)+Q$1*((-0.000002)*Q24^3+0.00032*Q24^2+(-0.0021)*Q24)+R$1*((-0.000002)*R24^3+0.00032*R24^2+(-0.0021)*R24)+S$1*((-0.000002)*S24^3+0.00032*S24^2+(-0.0021)*S24)+T$1*((-0.000002)*T24^3+0.00032*T24^2+(-0.0021)*T24)</f>
        <v/>
      </c>
      <c r="X24">
        <f>(I$1*((-0.000002)*I24^3+0.00032*I24^2+(-0.0021)*I24)+J$1*((-0.000002)*J24^3+0.00032*J24^2+(-0.0021)*J24)+H$1*((-0.000002)*H24^3+0.00032*H24^2+(-0.0021)*H24))*(MAX(0.05,MIN(1,(2*J24+I24)/120)*MIN(1,I24/10)*MIN(1,J24/10)))</f>
        <v/>
      </c>
      <c r="Y24" s="5">
        <f>(I$1*((-0.000002)*I24^3+0.00032*I24^2+(-0.0021)*I24)+J$1*((-0.000002)*J24^3+0.00032*J24^2+(-0.0021)*J24)+H$1*((-0.000002)*H24^3+0.00032*H24^2+(-0.0021)*H24))*(MAX(0.05,MIN(1,(2*J24+I24)/120)*MIN(1,I24/10)*MIN(1,J24/10)))</f>
        <v/>
      </c>
      <c r="Z24">
        <f>U24*J$2+V24*O$2+W24*H$2</f>
        <v/>
      </c>
      <c r="AA24">
        <f>IF(AND(J24&gt;50,I24+J24&gt;75),"SP",IF(2*I24+J24&gt;120,"RP","CRAP"))</f>
        <v/>
      </c>
    </row>
    <row r="25" ht="13.5" customHeight="1" s="27" thickBot="1">
      <c r="A25">
        <f>(V25*V$2+W25*W$2+X25*X$2)*100/(V$4*V$2+W$4*W$2+X$4*X$2)</f>
        <v/>
      </c>
      <c r="B25" s="16" t="n">
        <v>51</v>
      </c>
      <c r="C25" s="10" t="inlineStr">
        <is>
          <t>Whitehead, Kevin</t>
        </is>
      </c>
      <c r="D25" s="17" t="inlineStr">
        <is>
          <t>P</t>
        </is>
      </c>
      <c r="E25" s="17" t="inlineStr">
        <is>
          <t>S</t>
        </is>
      </c>
      <c r="F25" s="17" t="inlineStr">
        <is>
          <t>R</t>
        </is>
      </c>
      <c r="G25" s="17" t="n">
        <v>18</v>
      </c>
      <c r="H25" s="17" t="n"/>
      <c r="I25" s="17" t="n"/>
      <c r="J25" s="17" t="n">
        <v>16</v>
      </c>
      <c r="K25" s="17" t="n">
        <v>66</v>
      </c>
      <c r="L25" s="17" t="n">
        <v>52</v>
      </c>
      <c r="M25" s="17" t="n">
        <v>58</v>
      </c>
      <c r="N25" s="17" t="n">
        <v>71</v>
      </c>
      <c r="O25" s="17" t="n">
        <v>32</v>
      </c>
      <c r="P25" s="17" t="n">
        <v>73</v>
      </c>
      <c r="Q25" s="17" t="n">
        <v>85</v>
      </c>
      <c r="R25" s="17" t="n">
        <v>54</v>
      </c>
      <c r="S25" s="17" t="n">
        <v>60</v>
      </c>
      <c r="T25" s="17" t="n">
        <v>41</v>
      </c>
      <c r="U25" s="17" t="n">
        <v>0</v>
      </c>
      <c r="V25" s="17">
        <f>K$1*(0.000001*K25^3)+L$1*((-0.000002)*L25^3+0.00032*L25^2+(-0.0021)*L25)+M$1*((-0.000002)*M25^3+0.00032*M25^2+(-0.0021)*M25)+N$1*((-0.000002)*N25^3+0.00032*N25^2+(-0.0021)*N25)+O$1*((-0.000002)*O25^3+0.00032*O25^2+(-0.0021)*O25)</f>
        <v/>
      </c>
      <c r="W25" s="5">
        <f>P$1*((-0.000002)*P25^3+0.00032*P25^2+(-0.0021)*P25)+Q$1*((-0.000002)*Q25^3+0.00032*Q25^2+(-0.0021)*Q25)+R$1*((-0.000002)*R25^3+0.00032*R25^2+(-0.0021)*R25)+S$1*((-0.000002)*S25^3+0.00032*S25^2+(-0.0021)*S25)+T$1*((-0.000002)*T25^3+0.00032*T25^2+(-0.0021)*T25)</f>
        <v/>
      </c>
      <c r="X25">
        <f>(I$1*((-0.000002)*I25^3+0.00032*I25^2+(-0.0021)*I25)+J$1*((-0.000002)*J25^3+0.00032*J25^2+(-0.0021)*J25)+H$1*((-0.000002)*H25^3+0.00032*H25^2+(-0.0021)*H25))*(MAX(0.05,MIN(1,(2*J25+I25)/120)*MIN(1,I25/10)*MIN(1,J25/10)))</f>
        <v/>
      </c>
      <c r="Y25" s="5">
        <f>(I$1*((-0.000002)*I25^3+0.00032*I25^2+(-0.0021)*I25)+J$1*((-0.000002)*J25^3+0.00032*J25^2+(-0.0021)*J25)+H$1*((-0.000002)*H25^3+0.00032*H25^2+(-0.0021)*H25))*(MAX(0.05,MIN(1,(2*J25+I25)/120)*MIN(1,I25/10)*MIN(1,J25/10)))</f>
        <v/>
      </c>
      <c r="Z25">
        <f>U25*J$2+V25*O$2+W25*H$2</f>
        <v/>
      </c>
      <c r="AA25">
        <f>IF(AND(J25&gt;50,I25+J25&gt;75),"SP",IF(2*I25+J25&gt;120,"RP","CRAP"))</f>
        <v/>
      </c>
    </row>
    <row r="26" ht="13.5" customHeight="1" s="27" thickBot="1">
      <c r="A26">
        <f>(V26*V$2+W26*W$2+X26*X$2)*100/(V$4*V$2+W$4*W$2+X$4*X$2)</f>
        <v/>
      </c>
      <c r="B26" s="18" t="n">
        <v>122</v>
      </c>
      <c r="C26" s="11" t="inlineStr">
        <is>
          <t>Drese, Sid</t>
        </is>
      </c>
      <c r="D26" s="19" t="inlineStr">
        <is>
          <t>P</t>
        </is>
      </c>
      <c r="E26" s="19" t="inlineStr">
        <is>
          <t>S</t>
        </is>
      </c>
      <c r="F26" s="19" t="inlineStr">
        <is>
          <t>L</t>
        </is>
      </c>
      <c r="G26" s="19" t="n">
        <v>19</v>
      </c>
      <c r="H26" s="19" t="n"/>
      <c r="I26" s="19" t="n"/>
      <c r="J26" s="19" t="n">
        <v>14</v>
      </c>
      <c r="K26" s="19" t="n">
        <v>84</v>
      </c>
      <c r="L26" s="19" t="n">
        <v>100</v>
      </c>
      <c r="M26" s="19" t="n">
        <v>68</v>
      </c>
      <c r="N26" s="19" t="n">
        <v>44</v>
      </c>
      <c r="O26" s="19" t="n">
        <v>36</v>
      </c>
      <c r="P26" s="19" t="n">
        <v>55</v>
      </c>
      <c r="Q26" s="19" t="n">
        <v>49</v>
      </c>
      <c r="R26" s="19" t="n">
        <v>56</v>
      </c>
      <c r="S26" s="19" t="n">
        <v>28</v>
      </c>
      <c r="T26" s="19" t="n">
        <v>60</v>
      </c>
      <c r="U26" s="19" t="n">
        <v>0</v>
      </c>
      <c r="V26" s="19">
        <f>K$1*(0.000001*K26^3)+L$1*((-0.000002)*L26^3+0.00032*L26^2+(-0.0021)*L26)+M$1*((-0.000002)*M26^3+0.00032*M26^2+(-0.0021)*M26)+N$1*((-0.000002)*N26^3+0.00032*N26^2+(-0.0021)*N26)+O$1*((-0.000002)*O26^3+0.00032*O26^2+(-0.0021)*O26)</f>
        <v/>
      </c>
      <c r="W26" s="5">
        <f>P$1*((-0.000002)*P26^3+0.00032*P26^2+(-0.0021)*P26)+Q$1*((-0.000002)*Q26^3+0.00032*Q26^2+(-0.0021)*Q26)+R$1*((-0.000002)*R26^3+0.00032*R26^2+(-0.0021)*R26)+S$1*((-0.000002)*S26^3+0.00032*S26^2+(-0.0021)*S26)+T$1*((-0.000002)*T26^3+0.00032*T26^2+(-0.0021)*T26)</f>
        <v/>
      </c>
      <c r="X26">
        <f>(I$1*((-0.000002)*I26^3+0.00032*I26^2+(-0.0021)*I26)+J$1*((-0.000002)*J26^3+0.00032*J26^2+(-0.0021)*J26)+H$1*((-0.000002)*H26^3+0.00032*H26^2+(-0.0021)*H26))*(MAX(0.05,MIN(1,(2*J26+I26)/120)*MIN(1,I26/10)*MIN(1,J26/10)))</f>
        <v/>
      </c>
      <c r="Y26" s="5">
        <f>(I$1*((-0.000002)*I26^3+0.00032*I26^2+(-0.0021)*I26)+J$1*((-0.000002)*J26^3+0.00032*J26^2+(-0.0021)*J26)+H$1*((-0.000002)*H26^3+0.00032*H26^2+(-0.0021)*H26))*(MAX(0.05,MIN(1,(2*J26+I26)/120)*MIN(1,I26/10)*MIN(1,J26/10)))</f>
        <v/>
      </c>
      <c r="Z26">
        <f>U26*J$2+V26*O$2+W26*H$2</f>
        <v/>
      </c>
      <c r="AA26">
        <f>IF(AND(J26&gt;50,I26+J26&gt;75),"SP",IF(2*I26+J26&gt;120,"RP","CRAP"))</f>
        <v/>
      </c>
    </row>
    <row r="27" ht="13.5" customHeight="1" s="27" thickBot="1">
      <c r="A27">
        <f>(V27*V$2+W27*W$2+X27*X$2)*100/(V$4*V$2+W$4*W$2+X$4*X$2)</f>
        <v/>
      </c>
      <c r="B27" s="18" t="n">
        <v>64</v>
      </c>
      <c r="C27" s="11" t="inlineStr">
        <is>
          <t>Wilhelmsen, Trevor</t>
        </is>
      </c>
      <c r="D27" s="19" t="inlineStr">
        <is>
          <t>P</t>
        </is>
      </c>
      <c r="E27" s="19" t="inlineStr">
        <is>
          <t>L</t>
        </is>
      </c>
      <c r="F27" s="19" t="inlineStr">
        <is>
          <t>L</t>
        </is>
      </c>
      <c r="G27" s="19" t="n">
        <v>18</v>
      </c>
      <c r="H27" s="19" t="n"/>
      <c r="I27" s="19" t="n"/>
      <c r="J27" s="19" t="n">
        <v>41</v>
      </c>
      <c r="K27" s="19" t="n">
        <v>37</v>
      </c>
      <c r="L27" s="19" t="n">
        <v>85</v>
      </c>
      <c r="M27" s="19" t="n">
        <v>45</v>
      </c>
      <c r="N27" s="19" t="n">
        <v>31</v>
      </c>
      <c r="O27" s="19" t="n">
        <v>83</v>
      </c>
      <c r="P27" s="19" t="n">
        <v>82</v>
      </c>
      <c r="Q27" s="19" t="n">
        <v>91</v>
      </c>
      <c r="R27" s="19" t="n">
        <v>73</v>
      </c>
      <c r="S27" s="19" t="n">
        <v>32</v>
      </c>
      <c r="T27" s="19" t="n">
        <v>0</v>
      </c>
      <c r="U27" s="19" t="n">
        <v>0</v>
      </c>
      <c r="V27" s="19">
        <f>K$1*(0.000001*K27^3)+L$1*((-0.000002)*L27^3+0.00032*L27^2+(-0.0021)*L27)+M$1*((-0.000002)*M27^3+0.00032*M27^2+(-0.0021)*M27)+N$1*((-0.000002)*N27^3+0.00032*N27^2+(-0.0021)*N27)+O$1*((-0.000002)*O27^3+0.00032*O27^2+(-0.0021)*O27)</f>
        <v/>
      </c>
      <c r="W27" s="5">
        <f>P$1*((-0.000002)*P27^3+0.00032*P27^2+(-0.0021)*P27)+Q$1*((-0.000002)*Q27^3+0.00032*Q27^2+(-0.0021)*Q27)+R$1*((-0.000002)*R27^3+0.00032*R27^2+(-0.0021)*R27)+S$1*((-0.000002)*S27^3+0.00032*S27^2+(-0.0021)*S27)+T$1*((-0.000002)*T27^3+0.00032*T27^2+(-0.0021)*T27)</f>
        <v/>
      </c>
      <c r="X27">
        <f>(I$1*((-0.000002)*I27^3+0.00032*I27^2+(-0.0021)*I27)+J$1*((-0.000002)*J27^3+0.00032*J27^2+(-0.0021)*J27)+H$1*((-0.000002)*H27^3+0.00032*H27^2+(-0.0021)*H27))*(MAX(0.05,MIN(1,(2*J27+I27)/120)*MIN(1,I27/10)*MIN(1,J27/10)))</f>
        <v/>
      </c>
      <c r="Y27" s="5">
        <f>(I$1*((-0.000002)*I27^3+0.00032*I27^2+(-0.0021)*I27)+J$1*((-0.000002)*J27^3+0.00032*J27^2+(-0.0021)*J27)+H$1*((-0.000002)*H27^3+0.00032*H27^2+(-0.0021)*H27))*(MAX(0.05,MIN(1,(2*J27+I27)/120)*MIN(1,I27/10)*MIN(1,J27/10)))</f>
        <v/>
      </c>
      <c r="Z27">
        <f>U27*J$2+V27*O$2+W27*H$2</f>
        <v/>
      </c>
      <c r="AA27">
        <f>IF(AND(J27&gt;50,I27+J27&gt;75),"SP",IF(2*I27+J27&gt;120,"RP","CRAP"))</f>
        <v/>
      </c>
    </row>
    <row r="28" ht="13.5" customHeight="1" s="27" thickBot="1">
      <c r="A28">
        <f>(V28*V$2+W28*W$2+X28*X$2)*100/(V$4*V$2+W$4*W$2+X$4*X$2)</f>
        <v/>
      </c>
      <c r="B28" s="16" t="n">
        <v>35</v>
      </c>
      <c r="C28" s="10" t="inlineStr">
        <is>
          <t>Reagan, Stuffy</t>
        </is>
      </c>
      <c r="D28" s="17" t="inlineStr">
        <is>
          <t>P</t>
        </is>
      </c>
      <c r="E28" s="17" t="inlineStr">
        <is>
          <t>L</t>
        </is>
      </c>
      <c r="F28" s="17" t="inlineStr">
        <is>
          <t>L</t>
        </is>
      </c>
      <c r="G28" s="17" t="n">
        <v>18</v>
      </c>
      <c r="H28" s="17" t="n"/>
      <c r="I28" s="17" t="n"/>
      <c r="J28" s="17" t="n">
        <v>78</v>
      </c>
      <c r="K28" s="17" t="n">
        <v>32</v>
      </c>
      <c r="L28" s="17" t="n">
        <v>91</v>
      </c>
      <c r="M28" s="17" t="n">
        <v>63</v>
      </c>
      <c r="N28" s="17" t="n">
        <v>38</v>
      </c>
      <c r="O28" s="17" t="n">
        <v>84</v>
      </c>
      <c r="P28" s="17" t="n">
        <v>48</v>
      </c>
      <c r="Q28" s="17" t="n">
        <v>98</v>
      </c>
      <c r="R28" s="17" t="n">
        <v>74</v>
      </c>
      <c r="S28" s="17" t="n">
        <v>0</v>
      </c>
      <c r="T28" s="17" t="n">
        <v>0</v>
      </c>
      <c r="U28" s="17" t="n">
        <v>0</v>
      </c>
      <c r="V28" s="17">
        <f>K$1*(0.000001*K28^3)+L$1*((-0.000002)*L28^3+0.00032*L28^2+(-0.0021)*L28)+M$1*((-0.000002)*M28^3+0.00032*M28^2+(-0.0021)*M28)+N$1*((-0.000002)*N28^3+0.00032*N28^2+(-0.0021)*N28)+O$1*((-0.000002)*O28^3+0.00032*O28^2+(-0.0021)*O28)</f>
        <v/>
      </c>
      <c r="W28" s="5">
        <f>P$1*((-0.000002)*P28^3+0.00032*P28^2+(-0.0021)*P28)+Q$1*((-0.000002)*Q28^3+0.00032*Q28^2+(-0.0021)*Q28)+R$1*((-0.000002)*R28^3+0.00032*R28^2+(-0.0021)*R28)+S$1*((-0.000002)*S28^3+0.00032*S28^2+(-0.0021)*S28)+T$1*((-0.000002)*T28^3+0.00032*T28^2+(-0.0021)*T28)</f>
        <v/>
      </c>
      <c r="X28">
        <f>(I$1*((-0.000002)*I28^3+0.00032*I28^2+(-0.0021)*I28)+J$1*((-0.000002)*J28^3+0.00032*J28^2+(-0.0021)*J28)+H$1*((-0.000002)*H28^3+0.00032*H28^2+(-0.0021)*H28))*(MAX(0.05,MIN(1,(2*J28+I28)/120)*MIN(1,I28/10)*MIN(1,J28/10)))</f>
        <v/>
      </c>
      <c r="Y28" s="5">
        <f>(I$1*((-0.000002)*I28^3+0.00032*I28^2+(-0.0021)*I28)+J$1*((-0.000002)*J28^3+0.00032*J28^2+(-0.0021)*J28)+H$1*((-0.000002)*H28^3+0.00032*H28^2+(-0.0021)*H28))*(MAX(0.05,MIN(1,(2*J28+I28)/120)*MIN(1,I28/10)*MIN(1,J28/10)))</f>
        <v/>
      </c>
      <c r="Z28">
        <f>U28*J$2+V28*O$2+W28*H$2</f>
        <v/>
      </c>
      <c r="AA28">
        <f>IF(AND(J28&gt;50,I28+J28&gt;75),"SP",IF(2*I28+J28&gt;120,"RP","CRAP"))</f>
        <v/>
      </c>
    </row>
    <row r="29" ht="13.5" customHeight="1" s="27" thickBot="1">
      <c r="A29">
        <f>(V29*V$2+W29*W$2+X29*X$2)*100/(V$4*V$2+W$4*W$2+X$4*X$2)</f>
        <v/>
      </c>
      <c r="B29" s="18" t="n">
        <v>54</v>
      </c>
      <c r="C29" s="11" t="inlineStr">
        <is>
          <t>Oswalt, Gaylord</t>
        </is>
      </c>
      <c r="D29" s="19" t="inlineStr">
        <is>
          <t>P</t>
        </is>
      </c>
      <c r="E29" s="19" t="inlineStr">
        <is>
          <t>L</t>
        </is>
      </c>
      <c r="F29" s="19" t="inlineStr">
        <is>
          <t>L</t>
        </is>
      </c>
      <c r="G29" s="19" t="n">
        <v>18</v>
      </c>
      <c r="H29" s="19" t="n"/>
      <c r="I29" s="19" t="n"/>
      <c r="J29" s="19" t="n">
        <v>30</v>
      </c>
      <c r="K29" s="19" t="n">
        <v>98</v>
      </c>
      <c r="L29" s="19" t="n">
        <v>85</v>
      </c>
      <c r="M29" s="19" t="n">
        <v>37</v>
      </c>
      <c r="N29" s="19" t="n">
        <v>25</v>
      </c>
      <c r="O29" s="19" t="n">
        <v>82</v>
      </c>
      <c r="P29" s="19" t="n">
        <v>75</v>
      </c>
      <c r="Q29" s="19" t="n">
        <v>66</v>
      </c>
      <c r="R29" s="19" t="n">
        <v>53</v>
      </c>
      <c r="S29" s="19" t="n">
        <v>36</v>
      </c>
      <c r="T29" s="19" t="n">
        <v>41</v>
      </c>
      <c r="U29" s="19" t="n">
        <v>20</v>
      </c>
      <c r="V29" s="19">
        <f>K$1*(0.000001*K29^3)+L$1*((-0.000002)*L29^3+0.00032*L29^2+(-0.0021)*L29)+M$1*((-0.000002)*M29^3+0.00032*M29^2+(-0.0021)*M29)+N$1*((-0.000002)*N29^3+0.00032*N29^2+(-0.0021)*N29)+O$1*((-0.000002)*O29^3+0.00032*O29^2+(-0.0021)*O29)</f>
        <v/>
      </c>
      <c r="W29" s="5">
        <f>P$1*((-0.000002)*P29^3+0.00032*P29^2+(-0.0021)*P29)+Q$1*((-0.000002)*Q29^3+0.00032*Q29^2+(-0.0021)*Q29)+R$1*((-0.000002)*R29^3+0.00032*R29^2+(-0.0021)*R29)+S$1*((-0.000002)*S29^3+0.00032*S29^2+(-0.0021)*S29)+T$1*((-0.000002)*T29^3+0.00032*T29^2+(-0.0021)*T29)</f>
        <v/>
      </c>
      <c r="X29">
        <f>(I$1*((-0.000002)*I29^3+0.00032*I29^2+(-0.0021)*I29)+J$1*((-0.000002)*J29^3+0.00032*J29^2+(-0.0021)*J29)+H$1*((-0.000002)*H29^3+0.00032*H29^2+(-0.0021)*H29))*(MAX(0.05,MIN(1,(2*J29+I29)/120)*MIN(1,I29/10)*MIN(1,J29/10)))</f>
        <v/>
      </c>
      <c r="Y29" s="5">
        <f>(I$1*((-0.000002)*I29^3+0.00032*I29^2+(-0.0021)*I29)+J$1*((-0.000002)*J29^3+0.00032*J29^2+(-0.0021)*J29)+H$1*((-0.000002)*H29^3+0.00032*H29^2+(-0.0021)*H29))*(MAX(0.05,MIN(1,(2*J29+I29)/120)*MIN(1,I29/10)*MIN(1,J29/10)))</f>
        <v/>
      </c>
      <c r="Z29">
        <f>U29*J$2+V29*O$2+W29*H$2</f>
        <v/>
      </c>
      <c r="AA29">
        <f>IF(AND(J29&gt;50,I29+J29&gt;75),"SP",IF(2*I29+J29&gt;120,"RP","CRAP"))</f>
        <v/>
      </c>
    </row>
    <row r="30" ht="13.5" customHeight="1" s="27" thickBot="1">
      <c r="A30">
        <f>(V30*V$2+W30*W$2+X30*X$2)*100/(V$4*V$2+W$4*W$2+X$4*X$2)</f>
        <v/>
      </c>
      <c r="B30" s="16" t="n">
        <v>61</v>
      </c>
      <c r="C30" s="10" t="inlineStr">
        <is>
          <t>Burch, Gerald</t>
        </is>
      </c>
      <c r="D30" s="17" t="inlineStr">
        <is>
          <t>P</t>
        </is>
      </c>
      <c r="E30" s="17" t="inlineStr">
        <is>
          <t>L</t>
        </is>
      </c>
      <c r="F30" s="17" t="inlineStr">
        <is>
          <t>L</t>
        </is>
      </c>
      <c r="G30" s="17" t="n">
        <v>18</v>
      </c>
      <c r="H30" s="17" t="n"/>
      <c r="I30" s="17" t="n"/>
      <c r="J30" s="17" t="n">
        <v>50</v>
      </c>
      <c r="K30" s="17" t="n">
        <v>26</v>
      </c>
      <c r="L30" s="17" t="n">
        <v>63</v>
      </c>
      <c r="M30" s="17" t="n">
        <v>61</v>
      </c>
      <c r="N30" s="17" t="n">
        <v>53</v>
      </c>
      <c r="O30" s="17" t="n">
        <v>80</v>
      </c>
      <c r="P30" s="17" t="n">
        <v>59</v>
      </c>
      <c r="Q30" s="17" t="n">
        <v>87</v>
      </c>
      <c r="R30" s="17" t="n">
        <v>71</v>
      </c>
      <c r="S30" s="17" t="n">
        <v>68</v>
      </c>
      <c r="T30" s="17" t="n">
        <v>0</v>
      </c>
      <c r="U30" s="17" t="n">
        <v>0</v>
      </c>
      <c r="V30" s="17">
        <f>K$1*(0.000001*K30^3)+L$1*((-0.000002)*L30^3+0.00032*L30^2+(-0.0021)*L30)+M$1*((-0.000002)*M30^3+0.00032*M30^2+(-0.0021)*M30)+N$1*((-0.000002)*N30^3+0.00032*N30^2+(-0.0021)*N30)+O$1*((-0.000002)*O30^3+0.00032*O30^2+(-0.0021)*O30)</f>
        <v/>
      </c>
      <c r="W30" s="5">
        <f>P$1*((-0.000002)*P30^3+0.00032*P30^2+(-0.0021)*P30)+Q$1*((-0.000002)*Q30^3+0.00032*Q30^2+(-0.0021)*Q30)+R$1*((-0.000002)*R30^3+0.00032*R30^2+(-0.0021)*R30)+S$1*((-0.000002)*S30^3+0.00032*S30^2+(-0.0021)*S30)+T$1*((-0.000002)*T30^3+0.00032*T30^2+(-0.0021)*T30)</f>
        <v/>
      </c>
      <c r="X30">
        <f>(I$1*((-0.000002)*I30^3+0.00032*I30^2+(-0.0021)*I30)+J$1*((-0.000002)*J30^3+0.00032*J30^2+(-0.0021)*J30)+H$1*((-0.000002)*H30^3+0.00032*H30^2+(-0.0021)*H30))*(MAX(0.05,MIN(1,(2*J30+I30)/120)*MIN(1,I30/10)*MIN(1,J30/10)))</f>
        <v/>
      </c>
      <c r="Y30" s="5">
        <f>(I$1*((-0.000002)*I30^3+0.00032*I30^2+(-0.0021)*I30)+J$1*((-0.000002)*J30^3+0.00032*J30^2+(-0.0021)*J30)+H$1*((-0.000002)*H30^3+0.00032*H30^2+(-0.0021)*H30))*(MAX(0.05,MIN(1,(2*J30+I30)/120)*MIN(1,I30/10)*MIN(1,J30/10)))</f>
        <v/>
      </c>
      <c r="Z30">
        <f>U30*J$2+V30*O$2+W30*H$2</f>
        <v/>
      </c>
      <c r="AA30">
        <f>IF(AND(J30&gt;50,I30+J30&gt;75),"SP",IF(2*I30+J30&gt;120,"RP","CRAP"))</f>
        <v/>
      </c>
    </row>
    <row r="31" ht="13.5" customHeight="1" s="27" thickBot="1">
      <c r="A31">
        <f>(V31*V$2+W31*W$2+X31*X$2)*100/(V$4*V$2+W$4*W$2+X$4*X$2)</f>
        <v/>
      </c>
      <c r="B31" s="18" t="n">
        <v>62</v>
      </c>
      <c r="C31" s="11" t="inlineStr">
        <is>
          <t>Porter, Fred</t>
        </is>
      </c>
      <c r="D31" s="19" t="inlineStr">
        <is>
          <t>P</t>
        </is>
      </c>
      <c r="E31" s="19" t="inlineStr">
        <is>
          <t>R</t>
        </is>
      </c>
      <c r="F31" s="19" t="inlineStr">
        <is>
          <t>R</t>
        </is>
      </c>
      <c r="G31" s="19" t="n">
        <v>18</v>
      </c>
      <c r="H31" s="19" t="n"/>
      <c r="I31" s="19" t="n"/>
      <c r="J31" s="19" t="n">
        <v>20</v>
      </c>
      <c r="K31" s="19" t="n">
        <v>86</v>
      </c>
      <c r="L31" s="19" t="n">
        <v>84</v>
      </c>
      <c r="M31" s="19" t="n">
        <v>37</v>
      </c>
      <c r="N31" s="19" t="n">
        <v>29</v>
      </c>
      <c r="O31" s="19" t="n">
        <v>89</v>
      </c>
      <c r="P31" s="19" t="n">
        <v>63</v>
      </c>
      <c r="Q31" s="19" t="n">
        <v>70</v>
      </c>
      <c r="R31" s="19" t="n">
        <v>62</v>
      </c>
      <c r="S31" s="19" t="n">
        <v>39</v>
      </c>
      <c r="T31" s="19" t="n">
        <v>48</v>
      </c>
      <c r="U31" s="19" t="n">
        <v>15</v>
      </c>
      <c r="V31" s="19">
        <f>K$1*(0.000001*K31^3)+L$1*((-0.000002)*L31^3+0.00032*L31^2+(-0.0021)*L31)+M$1*((-0.000002)*M31^3+0.00032*M31^2+(-0.0021)*M31)+N$1*((-0.000002)*N31^3+0.00032*N31^2+(-0.0021)*N31)+O$1*((-0.000002)*O31^3+0.00032*O31^2+(-0.0021)*O31)</f>
        <v/>
      </c>
      <c r="W31" s="5">
        <f>P$1*((-0.000002)*P31^3+0.00032*P31^2+(-0.0021)*P31)+Q$1*((-0.000002)*Q31^3+0.00032*Q31^2+(-0.0021)*Q31)+R$1*((-0.000002)*R31^3+0.00032*R31^2+(-0.0021)*R31)+S$1*((-0.000002)*S31^3+0.00032*S31^2+(-0.0021)*S31)+T$1*((-0.000002)*T31^3+0.00032*T31^2+(-0.0021)*T31)</f>
        <v/>
      </c>
      <c r="X31">
        <f>(I$1*((-0.000002)*I31^3+0.00032*I31^2+(-0.0021)*I31)+J$1*((-0.000002)*J31^3+0.00032*J31^2+(-0.0021)*J31)+H$1*((-0.000002)*H31^3+0.00032*H31^2+(-0.0021)*H31))*(MAX(0.05,MIN(1,(2*J31+I31)/120)*MIN(1,I31/10)*MIN(1,J31/10)))</f>
        <v/>
      </c>
      <c r="Y31" s="5">
        <f>(I$1*((-0.000002)*I31^3+0.00032*I31^2+(-0.0021)*I31)+J$1*((-0.000002)*J31^3+0.00032*J31^2+(-0.0021)*J31)+H$1*((-0.000002)*H31^3+0.00032*H31^2+(-0.0021)*H31))*(MAX(0.05,MIN(1,(2*J31+I31)/120)*MIN(1,I31/10)*MIN(1,J31/10)))</f>
        <v/>
      </c>
      <c r="Z31">
        <f>U31*J$2+V31*O$2+W31*H$2</f>
        <v/>
      </c>
      <c r="AA31">
        <f>IF(AND(J31&gt;50,I31+J31&gt;75),"SP",IF(2*I31+J31&gt;120,"RP","CRAP"))</f>
        <v/>
      </c>
    </row>
    <row r="32" ht="13.5" customHeight="1" s="27" thickBot="1">
      <c r="A32">
        <f>(V32*V$2+W32*W$2+X32*X$2)*100/(V$4*V$2+W$4*W$2+X$4*X$2)</f>
        <v/>
      </c>
      <c r="B32" s="18" t="n">
        <v>52</v>
      </c>
      <c r="C32" s="11" t="inlineStr">
        <is>
          <t>Olerud, Eddie</t>
        </is>
      </c>
      <c r="D32" s="19" t="inlineStr">
        <is>
          <t>P</t>
        </is>
      </c>
      <c r="E32" s="19" t="inlineStr">
        <is>
          <t>L</t>
        </is>
      </c>
      <c r="F32" s="19" t="inlineStr">
        <is>
          <t>L</t>
        </is>
      </c>
      <c r="G32" s="19" t="n">
        <v>18</v>
      </c>
      <c r="H32" s="19" t="n"/>
      <c r="I32" s="19" t="n"/>
      <c r="J32" s="19" t="n">
        <v>51</v>
      </c>
      <c r="K32" s="19" t="n">
        <v>31</v>
      </c>
      <c r="L32" s="19" t="n">
        <v>63</v>
      </c>
      <c r="M32" s="19" t="n">
        <v>74</v>
      </c>
      <c r="N32" s="19" t="n">
        <v>43</v>
      </c>
      <c r="O32" s="19" t="n">
        <v>84</v>
      </c>
      <c r="P32" s="19" t="n">
        <v>56</v>
      </c>
      <c r="Q32" s="19" t="n">
        <v>89</v>
      </c>
      <c r="R32" s="19" t="n">
        <v>63</v>
      </c>
      <c r="S32" s="19" t="n">
        <v>66</v>
      </c>
      <c r="T32" s="19" t="n">
        <v>0</v>
      </c>
      <c r="U32" s="19" t="n">
        <v>0</v>
      </c>
      <c r="V32" s="19">
        <f>K$1*(0.000001*K32^3)+L$1*((-0.000002)*L32^3+0.00032*L32^2+(-0.0021)*L32)+M$1*((-0.000002)*M32^3+0.00032*M32^2+(-0.0021)*M32)+N$1*((-0.000002)*N32^3+0.00032*N32^2+(-0.0021)*N32)+O$1*((-0.000002)*O32^3+0.00032*O32^2+(-0.0021)*O32)</f>
        <v/>
      </c>
      <c r="W32" s="5">
        <f>P$1*((-0.000002)*P32^3+0.00032*P32^2+(-0.0021)*P32)+Q$1*((-0.000002)*Q32^3+0.00032*Q32^2+(-0.0021)*Q32)+R$1*((-0.000002)*R32^3+0.00032*R32^2+(-0.0021)*R32)+S$1*((-0.000002)*S32^3+0.00032*S32^2+(-0.0021)*S32)+T$1*((-0.000002)*T32^3+0.00032*T32^2+(-0.0021)*T32)</f>
        <v/>
      </c>
      <c r="X32">
        <f>(I$1*((-0.000002)*I32^3+0.00032*I32^2+(-0.0021)*I32)+J$1*((-0.000002)*J32^3+0.00032*J32^2+(-0.0021)*J32)+H$1*((-0.000002)*H32^3+0.00032*H32^2+(-0.0021)*H32))*(MAX(0.05,MIN(1,(2*J32+I32)/120)*MIN(1,I32/10)*MIN(1,J32/10)))</f>
        <v/>
      </c>
      <c r="Y32" s="5">
        <f>(I$1*((-0.000002)*I32^3+0.00032*I32^2+(-0.0021)*I32)+J$1*((-0.000002)*J32^3+0.00032*J32^2+(-0.0021)*J32)+H$1*((-0.000002)*H32^3+0.00032*H32^2+(-0.0021)*H32))*(MAX(0.05,MIN(1,(2*J32+I32)/120)*MIN(1,I32/10)*MIN(1,J32/10)))</f>
        <v/>
      </c>
      <c r="Z32">
        <f>U32*J$2+V32*O$2+W32*H$2</f>
        <v/>
      </c>
      <c r="AA32">
        <f>IF(AND(J32&gt;50,I32+J32&gt;75),"SP",IF(2*I32+J32&gt;120,"RP","CRAP"))</f>
        <v/>
      </c>
    </row>
    <row r="33" ht="13.5" customHeight="1" s="27" thickBot="1">
      <c r="A33">
        <f>(V33*V$2+W33*W$2+X33*X$2)*100/(V$4*V$2+W$4*W$2+X$4*X$2)</f>
        <v/>
      </c>
      <c r="B33" s="16" t="n">
        <v>77</v>
      </c>
      <c r="C33" s="10" t="inlineStr">
        <is>
          <t>Osich, Kenny</t>
        </is>
      </c>
      <c r="D33" s="17" t="inlineStr">
        <is>
          <t>P</t>
        </is>
      </c>
      <c r="E33" s="17" t="inlineStr">
        <is>
          <t>R</t>
        </is>
      </c>
      <c r="F33" s="17" t="inlineStr">
        <is>
          <t>R</t>
        </is>
      </c>
      <c r="G33" s="17" t="n">
        <v>18</v>
      </c>
      <c r="H33" s="17" t="n"/>
      <c r="I33" s="17" t="n"/>
      <c r="J33" s="17" t="n">
        <v>25</v>
      </c>
      <c r="K33" s="17" t="n">
        <v>100</v>
      </c>
      <c r="L33" s="17" t="n">
        <v>74</v>
      </c>
      <c r="M33" s="17" t="n">
        <v>31</v>
      </c>
      <c r="N33" s="17" t="n">
        <v>29</v>
      </c>
      <c r="O33" s="17" t="n">
        <v>70</v>
      </c>
      <c r="P33" s="17" t="n">
        <v>63</v>
      </c>
      <c r="Q33" s="17" t="n">
        <v>78</v>
      </c>
      <c r="R33" s="17" t="n">
        <v>59</v>
      </c>
      <c r="S33" s="17" t="n">
        <v>46</v>
      </c>
      <c r="T33" s="17" t="n">
        <v>43</v>
      </c>
      <c r="U33" s="17" t="n">
        <v>0</v>
      </c>
      <c r="V33" s="17">
        <f>K$1*(0.000001*K33^3)+L$1*((-0.000002)*L33^3+0.00032*L33^2+(-0.0021)*L33)+M$1*((-0.000002)*M33^3+0.00032*M33^2+(-0.0021)*M33)+N$1*((-0.000002)*N33^3+0.00032*N33^2+(-0.0021)*N33)+O$1*((-0.000002)*O33^3+0.00032*O33^2+(-0.0021)*O33)</f>
        <v/>
      </c>
      <c r="W33" s="5">
        <f>P$1*((-0.000002)*P33^3+0.00032*P33^2+(-0.0021)*P33)+Q$1*((-0.000002)*Q33^3+0.00032*Q33^2+(-0.0021)*Q33)+R$1*((-0.000002)*R33^3+0.00032*R33^2+(-0.0021)*R33)+S$1*((-0.000002)*S33^3+0.00032*S33^2+(-0.0021)*S33)+T$1*((-0.000002)*T33^3+0.00032*T33^2+(-0.0021)*T33)</f>
        <v/>
      </c>
      <c r="X33">
        <f>(I$1*((-0.000002)*I33^3+0.00032*I33^2+(-0.0021)*I33)+J$1*((-0.000002)*J33^3+0.00032*J33^2+(-0.0021)*J33)+H$1*((-0.000002)*H33^3+0.00032*H33^2+(-0.0021)*H33))*(MAX(0.05,MIN(1,(2*J33+I33)/120)*MIN(1,I33/10)*MIN(1,J33/10)))</f>
        <v/>
      </c>
      <c r="Y33" s="5">
        <f>(I$1*((-0.000002)*I33^3+0.00032*I33^2+(-0.0021)*I33)+J$1*((-0.000002)*J33^3+0.00032*J33^2+(-0.0021)*J33)+H$1*((-0.000002)*H33^3+0.00032*H33^2+(-0.0021)*H33))*(MAX(0.05,MIN(1,(2*J33+I33)/120)*MIN(1,I33/10)*MIN(1,J33/10)))</f>
        <v/>
      </c>
      <c r="Z33">
        <f>U33*J$2+V33*O$2+W33*H$2</f>
        <v/>
      </c>
      <c r="AA33">
        <f>IF(AND(J33&gt;50,I33+J33&gt;75),"SP",IF(2*I33+J33&gt;120,"RP","CRAP"))</f>
        <v/>
      </c>
    </row>
    <row r="34" ht="13.5" customHeight="1" s="27" thickBot="1">
      <c r="A34">
        <f>(V34*V$2+W34*W$2+X34*X$2)*100/(V$4*V$2+W$4*W$2+X$4*X$2)</f>
        <v/>
      </c>
      <c r="B34" s="18" t="n">
        <v>82</v>
      </c>
      <c r="C34" s="11" t="inlineStr">
        <is>
          <t>Darwin, Kareem</t>
        </is>
      </c>
      <c r="D34" s="19" t="inlineStr">
        <is>
          <t>P</t>
        </is>
      </c>
      <c r="E34" s="19" t="inlineStr">
        <is>
          <t>L</t>
        </is>
      </c>
      <c r="F34" s="19" t="inlineStr">
        <is>
          <t>L</t>
        </is>
      </c>
      <c r="G34" s="19" t="n">
        <v>18</v>
      </c>
      <c r="H34" s="19" t="n"/>
      <c r="I34" s="19" t="n"/>
      <c r="J34" s="19" t="n">
        <v>75</v>
      </c>
      <c r="K34" s="19" t="n">
        <v>26</v>
      </c>
      <c r="L34" s="19" t="n">
        <v>83</v>
      </c>
      <c r="M34" s="19" t="n">
        <v>47</v>
      </c>
      <c r="N34" s="19" t="n">
        <v>26</v>
      </c>
      <c r="O34" s="19" t="n">
        <v>31</v>
      </c>
      <c r="P34" s="19" t="n">
        <v>86</v>
      </c>
      <c r="Q34" s="19" t="n">
        <v>79</v>
      </c>
      <c r="R34" s="19" t="n">
        <v>66</v>
      </c>
      <c r="S34" s="19" t="n">
        <v>48</v>
      </c>
      <c r="T34" s="19" t="n">
        <v>0</v>
      </c>
      <c r="U34" s="19" t="n">
        <v>0</v>
      </c>
      <c r="V34" s="19">
        <f>K$1*(0.000001*K34^3)+L$1*((-0.000002)*L34^3+0.00032*L34^2+(-0.0021)*L34)+M$1*((-0.000002)*M34^3+0.00032*M34^2+(-0.0021)*M34)+N$1*((-0.000002)*N34^3+0.00032*N34^2+(-0.0021)*N34)+O$1*((-0.000002)*O34^3+0.00032*O34^2+(-0.0021)*O34)</f>
        <v/>
      </c>
      <c r="W34" s="5">
        <f>P$1*((-0.000002)*P34^3+0.00032*P34^2+(-0.0021)*P34)+Q$1*((-0.000002)*Q34^3+0.00032*Q34^2+(-0.0021)*Q34)+R$1*((-0.000002)*R34^3+0.00032*R34^2+(-0.0021)*R34)+S$1*((-0.000002)*S34^3+0.00032*S34^2+(-0.0021)*S34)+T$1*((-0.000002)*T34^3+0.00032*T34^2+(-0.0021)*T34)</f>
        <v/>
      </c>
      <c r="X34">
        <f>(I$1*((-0.000002)*I34^3+0.00032*I34^2+(-0.0021)*I34)+J$1*((-0.000002)*J34^3+0.00032*J34^2+(-0.0021)*J34)+H$1*((-0.000002)*H34^3+0.00032*H34^2+(-0.0021)*H34))*(MAX(0.05,MIN(1,(2*J34+I34)/120)*MIN(1,I34/10)*MIN(1,J34/10)))</f>
        <v/>
      </c>
      <c r="Y34" s="5">
        <f>(I$1*((-0.000002)*I34^3+0.00032*I34^2+(-0.0021)*I34)+J$1*((-0.000002)*J34^3+0.00032*J34^2+(-0.0021)*J34)+H$1*((-0.000002)*H34^3+0.00032*H34^2+(-0.0021)*H34))*(MAX(0.05,MIN(1,(2*J34+I34)/120)*MIN(1,I34/10)*MIN(1,J34/10)))</f>
        <v/>
      </c>
      <c r="Z34">
        <f>U34*J$2+V34*O$2+W34*H$2</f>
        <v/>
      </c>
      <c r="AA34">
        <f>IF(AND(J34&gt;50,I34+J34&gt;75),"SP",IF(2*I34+J34&gt;120,"RP","CRAP"))</f>
        <v/>
      </c>
    </row>
    <row r="35" ht="13.5" customHeight="1" s="27" thickBot="1">
      <c r="A35">
        <f>(V35*V$2+W35*W$2+X35*X$2)*100/(V$4*V$2+W$4*W$2+X$4*X$2)</f>
        <v/>
      </c>
      <c r="B35" s="16" t="n">
        <v>45</v>
      </c>
      <c r="C35" s="10" t="inlineStr">
        <is>
          <t>Gagne, Victor</t>
        </is>
      </c>
      <c r="D35" s="17" t="inlineStr">
        <is>
          <t>P</t>
        </is>
      </c>
      <c r="E35" s="17" t="inlineStr">
        <is>
          <t>L</t>
        </is>
      </c>
      <c r="F35" s="17" t="inlineStr">
        <is>
          <t>L</t>
        </is>
      </c>
      <c r="G35" s="17" t="n">
        <v>18</v>
      </c>
      <c r="H35" s="17" t="n"/>
      <c r="I35" s="17" t="n"/>
      <c r="J35" s="17" t="n">
        <v>30</v>
      </c>
      <c r="K35" s="17" t="n">
        <v>87</v>
      </c>
      <c r="L35" s="17" t="n">
        <v>54</v>
      </c>
      <c r="M35" s="17" t="n">
        <v>53</v>
      </c>
      <c r="N35" s="17" t="n">
        <v>32</v>
      </c>
      <c r="O35" s="17" t="n">
        <v>85</v>
      </c>
      <c r="P35" s="17" t="n">
        <v>81</v>
      </c>
      <c r="Q35" s="17" t="n">
        <v>83</v>
      </c>
      <c r="R35" s="17" t="n">
        <v>62</v>
      </c>
      <c r="S35" s="17" t="n">
        <v>30</v>
      </c>
      <c r="T35" s="17" t="n">
        <v>35</v>
      </c>
      <c r="U35" s="17" t="n">
        <v>24</v>
      </c>
      <c r="V35" s="17">
        <f>K$1*(0.000001*K35^3)+L$1*((-0.000002)*L35^3+0.00032*L35^2+(-0.0021)*L35)+M$1*((-0.000002)*M35^3+0.00032*M35^2+(-0.0021)*M35)+N$1*((-0.000002)*N35^3+0.00032*N35^2+(-0.0021)*N35)+O$1*((-0.000002)*O35^3+0.00032*O35^2+(-0.0021)*O35)</f>
        <v/>
      </c>
      <c r="W35" s="5">
        <f>P$1*((-0.000002)*P35^3+0.00032*P35^2+(-0.0021)*P35)+Q$1*((-0.000002)*Q35^3+0.00032*Q35^2+(-0.0021)*Q35)+R$1*((-0.000002)*R35^3+0.00032*R35^2+(-0.0021)*R35)+S$1*((-0.000002)*S35^3+0.00032*S35^2+(-0.0021)*S35)+T$1*((-0.000002)*T35^3+0.00032*T35^2+(-0.0021)*T35)</f>
        <v/>
      </c>
      <c r="X35">
        <f>(I$1*((-0.000002)*I35^3+0.00032*I35^2+(-0.0021)*I35)+J$1*((-0.000002)*J35^3+0.00032*J35^2+(-0.0021)*J35)+H$1*((-0.000002)*H35^3+0.00032*H35^2+(-0.0021)*H35))*(MAX(0.05,MIN(1,(2*J35+I35)/120)*MIN(1,I35/10)*MIN(1,J35/10)))</f>
        <v/>
      </c>
      <c r="Y35" s="5">
        <f>(I$1*((-0.000002)*I35^3+0.00032*I35^2+(-0.0021)*I35)+J$1*((-0.000002)*J35^3+0.00032*J35^2+(-0.0021)*J35)+H$1*((-0.000002)*H35^3+0.00032*H35^2+(-0.0021)*H35))*(MAX(0.05,MIN(1,(2*J35+I35)/120)*MIN(1,I35/10)*MIN(1,J35/10)))</f>
        <v/>
      </c>
      <c r="Z35">
        <f>U35*J$2+V35*O$2+W35*H$2</f>
        <v/>
      </c>
      <c r="AA35">
        <f>IF(AND(J35&gt;50,I35+J35&gt;75),"SP",IF(2*I35+J35&gt;120,"RP","CRAP"))</f>
        <v/>
      </c>
    </row>
    <row r="36" ht="13.5" customHeight="1" s="27" thickBot="1">
      <c r="A36">
        <f>(V36*V$2+W36*W$2+X36*X$2)*100/(V$4*V$2+W$4*W$2+X$4*X$2)</f>
        <v/>
      </c>
      <c r="B36" s="16" t="n">
        <v>131</v>
      </c>
      <c r="C36" s="10" t="inlineStr">
        <is>
          <t>Kirk, Clinton</t>
        </is>
      </c>
      <c r="D36" s="17" t="inlineStr">
        <is>
          <t>P</t>
        </is>
      </c>
      <c r="E36" s="17" t="inlineStr">
        <is>
          <t>R</t>
        </is>
      </c>
      <c r="F36" s="17" t="inlineStr">
        <is>
          <t>R</t>
        </is>
      </c>
      <c r="G36" s="17" t="n">
        <v>22</v>
      </c>
      <c r="H36" s="17" t="n"/>
      <c r="I36" s="17" t="n"/>
      <c r="J36" s="17" t="n">
        <v>87</v>
      </c>
      <c r="K36" s="17" t="n">
        <v>25</v>
      </c>
      <c r="L36" s="17" t="n">
        <v>96</v>
      </c>
      <c r="M36" s="17" t="n">
        <v>49</v>
      </c>
      <c r="N36" s="17" t="n">
        <v>32</v>
      </c>
      <c r="O36" s="17" t="n">
        <v>92</v>
      </c>
      <c r="P36" s="17" t="n">
        <v>70</v>
      </c>
      <c r="Q36" s="17" t="n">
        <v>56</v>
      </c>
      <c r="R36" s="17" t="n">
        <v>76</v>
      </c>
      <c r="S36" s="17" t="n">
        <v>0</v>
      </c>
      <c r="T36" s="17" t="n">
        <v>0</v>
      </c>
      <c r="U36" s="17" t="n">
        <v>0</v>
      </c>
      <c r="V36" s="17">
        <f>K$1*(0.000001*K36^3)+L$1*((-0.000002)*L36^3+0.00032*L36^2+(-0.0021)*L36)+M$1*((-0.000002)*M36^3+0.00032*M36^2+(-0.0021)*M36)+N$1*((-0.000002)*N36^3+0.00032*N36^2+(-0.0021)*N36)+O$1*((-0.000002)*O36^3+0.00032*O36^2+(-0.0021)*O36)</f>
        <v/>
      </c>
      <c r="W36" s="5">
        <f>P$1*((-0.000002)*P36^3+0.00032*P36^2+(-0.0021)*P36)+Q$1*((-0.000002)*Q36^3+0.00032*Q36^2+(-0.0021)*Q36)+R$1*((-0.000002)*R36^3+0.00032*R36^2+(-0.0021)*R36)+S$1*((-0.000002)*S36^3+0.00032*S36^2+(-0.0021)*S36)+T$1*((-0.000002)*T36^3+0.00032*T36^2+(-0.0021)*T36)</f>
        <v/>
      </c>
      <c r="X36">
        <f>(I$1*((-0.000002)*I36^3+0.00032*I36^2+(-0.0021)*I36)+J$1*((-0.000002)*J36^3+0.00032*J36^2+(-0.0021)*J36)+H$1*((-0.000002)*H36^3+0.00032*H36^2+(-0.0021)*H36))*(MAX(0.05,MIN(1,(2*J36+I36)/120)*MIN(1,I36/10)*MIN(1,J36/10)))</f>
        <v/>
      </c>
      <c r="Y36" s="5">
        <f>(I$1*((-0.000002)*I36^3+0.00032*I36^2+(-0.0021)*I36)+J$1*((-0.000002)*J36^3+0.00032*J36^2+(-0.0021)*J36)+H$1*((-0.000002)*H36^3+0.00032*H36^2+(-0.0021)*H36))*(MAX(0.05,MIN(1,(2*J36+I36)/120)*MIN(1,I36/10)*MIN(1,J36/10)))</f>
        <v/>
      </c>
      <c r="Z36">
        <f>U36*J$2+V36*O$2+W36*H$2</f>
        <v/>
      </c>
      <c r="AA36">
        <f>IF(AND(J36&gt;50,I36+J36&gt;75),"SP",IF(2*I36+J36&gt;120,"RP","CRAP"))</f>
        <v/>
      </c>
    </row>
    <row r="37" ht="13.5" customHeight="1" s="27" thickBot="1">
      <c r="A37">
        <f>(V37*V$2+W37*W$2+X37*X$2)*100/(V$4*V$2+W$4*W$2+X$4*X$2)</f>
        <v/>
      </c>
      <c r="B37" s="16" t="n">
        <v>87</v>
      </c>
      <c r="C37" s="10" t="inlineStr">
        <is>
          <t>Bantz, Mickey</t>
        </is>
      </c>
      <c r="D37" s="17" t="inlineStr">
        <is>
          <t>P</t>
        </is>
      </c>
      <c r="E37" s="17" t="inlineStr">
        <is>
          <t>R</t>
        </is>
      </c>
      <c r="F37" s="17" t="inlineStr">
        <is>
          <t>R</t>
        </is>
      </c>
      <c r="G37" s="17" t="n">
        <v>18</v>
      </c>
      <c r="H37" s="17" t="n"/>
      <c r="I37" s="17" t="n"/>
      <c r="J37" s="17" t="n">
        <v>38</v>
      </c>
      <c r="K37" s="17" t="n">
        <v>29</v>
      </c>
      <c r="L37" s="17" t="n">
        <v>87</v>
      </c>
      <c r="M37" s="17" t="n">
        <v>43</v>
      </c>
      <c r="N37" s="17" t="n">
        <v>44</v>
      </c>
      <c r="O37" s="17" t="n">
        <v>80</v>
      </c>
      <c r="P37" s="17" t="n">
        <v>59</v>
      </c>
      <c r="Q37" s="17" t="n">
        <v>64</v>
      </c>
      <c r="R37" s="17" t="n">
        <v>70</v>
      </c>
      <c r="S37" s="17" t="n">
        <v>59</v>
      </c>
      <c r="T37" s="17" t="n">
        <v>0</v>
      </c>
      <c r="U37" s="17" t="n">
        <v>0</v>
      </c>
      <c r="V37" s="17">
        <f>K$1*(0.000001*K37^3)+L$1*((-0.000002)*L37^3+0.00032*L37^2+(-0.0021)*L37)+M$1*((-0.000002)*M37^3+0.00032*M37^2+(-0.0021)*M37)+N$1*((-0.000002)*N37^3+0.00032*N37^2+(-0.0021)*N37)+O$1*((-0.000002)*O37^3+0.00032*O37^2+(-0.0021)*O37)</f>
        <v/>
      </c>
      <c r="W37" s="5">
        <f>P$1*((-0.000002)*P37^3+0.00032*P37^2+(-0.0021)*P37)+Q$1*((-0.000002)*Q37^3+0.00032*Q37^2+(-0.0021)*Q37)+R$1*((-0.000002)*R37^3+0.00032*R37^2+(-0.0021)*R37)+S$1*((-0.000002)*S37^3+0.00032*S37^2+(-0.0021)*S37)+T$1*((-0.000002)*T37^3+0.00032*T37^2+(-0.0021)*T37)</f>
        <v/>
      </c>
      <c r="X37">
        <f>(I$1*((-0.000002)*I37^3+0.00032*I37^2+(-0.0021)*I37)+J$1*((-0.000002)*J37^3+0.00032*J37^2+(-0.0021)*J37)+H$1*((-0.000002)*H37^3+0.00032*H37^2+(-0.0021)*H37))*(MAX(0.05,MIN(1,(2*J37+I37)/120)*MIN(1,I37/10)*MIN(1,J37/10)))</f>
        <v/>
      </c>
      <c r="Y37" s="5">
        <f>(I$1*((-0.000002)*I37^3+0.00032*I37^2+(-0.0021)*I37)+J$1*((-0.000002)*J37^3+0.00032*J37^2+(-0.0021)*J37)+H$1*((-0.000002)*H37^3+0.00032*H37^2+(-0.0021)*H37))*(MAX(0.05,MIN(1,(2*J37+I37)/120)*MIN(1,I37/10)*MIN(1,J37/10)))</f>
        <v/>
      </c>
      <c r="Z37">
        <f>U37*J$2+V37*O$2+W37*H$2</f>
        <v/>
      </c>
      <c r="AA37">
        <f>IF(AND(J37&gt;50,I37+J37&gt;75),"SP",IF(2*I37+J37&gt;120,"RP","CRAP"))</f>
        <v/>
      </c>
    </row>
    <row r="38" ht="13.5" customHeight="1" s="27" thickBot="1">
      <c r="A38">
        <f>(V38*V$2+W38*W$2+X38*X$2)*100/(V$4*V$2+W$4*W$2+X$4*X$2)</f>
        <v/>
      </c>
      <c r="B38" s="18" t="n">
        <v>118</v>
      </c>
      <c r="C38" s="11" t="inlineStr">
        <is>
          <t>Esposito, Rafael</t>
        </is>
      </c>
      <c r="D38" s="19" t="inlineStr">
        <is>
          <t>P</t>
        </is>
      </c>
      <c r="E38" s="19" t="inlineStr">
        <is>
          <t>R</t>
        </is>
      </c>
      <c r="F38" s="19" t="inlineStr">
        <is>
          <t>R</t>
        </is>
      </c>
      <c r="G38" s="19" t="n">
        <v>22</v>
      </c>
      <c r="H38" s="19" t="n"/>
      <c r="I38" s="19" t="n"/>
      <c r="J38" s="19" t="n">
        <v>37</v>
      </c>
      <c r="K38" s="19" t="n">
        <v>84</v>
      </c>
      <c r="L38" s="19" t="n">
        <v>66</v>
      </c>
      <c r="M38" s="19" t="n">
        <v>52</v>
      </c>
      <c r="N38" s="19" t="n">
        <v>28</v>
      </c>
      <c r="O38" s="19" t="n">
        <v>72</v>
      </c>
      <c r="P38" s="19" t="n">
        <v>79</v>
      </c>
      <c r="Q38" s="19" t="n">
        <v>56</v>
      </c>
      <c r="R38" s="19" t="n">
        <v>72</v>
      </c>
      <c r="S38" s="19" t="n">
        <v>23</v>
      </c>
      <c r="T38" s="19" t="n">
        <v>17</v>
      </c>
      <c r="U38" s="19" t="n">
        <v>0</v>
      </c>
      <c r="V38" s="19">
        <f>K$1*(0.000001*K38^3)+L$1*((-0.000002)*L38^3+0.00032*L38^2+(-0.0021)*L38)+M$1*((-0.000002)*M38^3+0.00032*M38^2+(-0.0021)*M38)+N$1*((-0.000002)*N38^3+0.00032*N38^2+(-0.0021)*N38)+O$1*((-0.000002)*O38^3+0.00032*O38^2+(-0.0021)*O38)</f>
        <v/>
      </c>
      <c r="W38" s="5">
        <f>P$1*((-0.000002)*P38^3+0.00032*P38^2+(-0.0021)*P38)+Q$1*((-0.000002)*Q38^3+0.00032*Q38^2+(-0.0021)*Q38)+R$1*((-0.000002)*R38^3+0.00032*R38^2+(-0.0021)*R38)+S$1*((-0.000002)*S38^3+0.00032*S38^2+(-0.0021)*S38)+T$1*((-0.000002)*T38^3+0.00032*T38^2+(-0.0021)*T38)</f>
        <v/>
      </c>
      <c r="X38">
        <f>(I$1*((-0.000002)*I38^3+0.00032*I38^2+(-0.0021)*I38)+J$1*((-0.000002)*J38^3+0.00032*J38^2+(-0.0021)*J38)+H$1*((-0.000002)*H38^3+0.00032*H38^2+(-0.0021)*H38))*(MAX(0.05,MIN(1,(2*J38+I38)/120)*MIN(1,I38/10)*MIN(1,J38/10)))</f>
        <v/>
      </c>
      <c r="Y38" s="5">
        <f>(I$1*((-0.000002)*I38^3+0.00032*I38^2+(-0.0021)*I38)+J$1*((-0.000002)*J38^3+0.00032*J38^2+(-0.0021)*J38)+H$1*((-0.000002)*H38^3+0.00032*H38^2+(-0.0021)*H38))*(MAX(0.05,MIN(1,(2*J38+I38)/120)*MIN(1,I38/10)*MIN(1,J38/10)))</f>
        <v/>
      </c>
      <c r="Z38">
        <f>U38*J$2+V38*O$2+W38*H$2</f>
        <v/>
      </c>
      <c r="AA38">
        <f>IF(AND(J38&gt;50,I38+J38&gt;75),"SP",IF(2*I38+J38&gt;120,"RP","CRAP"))</f>
        <v/>
      </c>
    </row>
    <row r="39" ht="13.5" customHeight="1" s="27" thickBot="1">
      <c r="A39">
        <f>(V39*V$2+W39*W$2+X39*X$2)*100/(V$4*V$2+W$4*W$2+X$4*X$2)</f>
        <v/>
      </c>
      <c r="B39" s="16" t="n">
        <v>111</v>
      </c>
      <c r="C39" s="10" t="inlineStr">
        <is>
          <t>Ordonez, Del</t>
        </is>
      </c>
      <c r="D39" s="17" t="inlineStr">
        <is>
          <t>P</t>
        </is>
      </c>
      <c r="E39" s="17" t="inlineStr">
        <is>
          <t>L</t>
        </is>
      </c>
      <c r="F39" s="17" t="inlineStr">
        <is>
          <t>L</t>
        </is>
      </c>
      <c r="G39" s="17" t="n">
        <v>18</v>
      </c>
      <c r="H39" s="17" t="n"/>
      <c r="I39" s="17" t="n"/>
      <c r="J39" s="17" t="n">
        <v>33</v>
      </c>
      <c r="K39" s="17" t="n">
        <v>27</v>
      </c>
      <c r="L39" s="17" t="n">
        <v>64</v>
      </c>
      <c r="M39" s="17" t="n">
        <v>65</v>
      </c>
      <c r="N39" s="17" t="n">
        <v>44</v>
      </c>
      <c r="O39" s="17" t="n">
        <v>33</v>
      </c>
      <c r="P39" s="17" t="n">
        <v>68</v>
      </c>
      <c r="Q39" s="17" t="n">
        <v>83</v>
      </c>
      <c r="R39" s="17" t="n">
        <v>55</v>
      </c>
      <c r="S39" s="17" t="n">
        <v>47</v>
      </c>
      <c r="T39" s="17" t="n">
        <v>49</v>
      </c>
      <c r="U39" s="17" t="n">
        <v>38</v>
      </c>
      <c r="V39" s="17">
        <f>K$1*(0.000001*K39^3)+L$1*((-0.000002)*L39^3+0.00032*L39^2+(-0.0021)*L39)+M$1*((-0.000002)*M39^3+0.00032*M39^2+(-0.0021)*M39)+N$1*((-0.000002)*N39^3+0.00032*N39^2+(-0.0021)*N39)+O$1*((-0.000002)*O39^3+0.00032*O39^2+(-0.0021)*O39)</f>
        <v/>
      </c>
      <c r="W39" s="5">
        <f>P$1*((-0.000002)*P39^3+0.00032*P39^2+(-0.0021)*P39)+Q$1*((-0.000002)*Q39^3+0.00032*Q39^2+(-0.0021)*Q39)+R$1*((-0.000002)*R39^3+0.00032*R39^2+(-0.0021)*R39)+S$1*((-0.000002)*S39^3+0.00032*S39^2+(-0.0021)*S39)+T$1*((-0.000002)*T39^3+0.00032*T39^2+(-0.0021)*T39)</f>
        <v/>
      </c>
      <c r="X39">
        <f>(I$1*((-0.000002)*I39^3+0.00032*I39^2+(-0.0021)*I39)+J$1*((-0.000002)*J39^3+0.00032*J39^2+(-0.0021)*J39)+H$1*((-0.000002)*H39^3+0.00032*H39^2+(-0.0021)*H39))*(MAX(0.05,MIN(1,(2*J39+I39)/120)*MIN(1,I39/10)*MIN(1,J39/10)))</f>
        <v/>
      </c>
      <c r="Y39" s="5">
        <f>(I$1*((-0.000002)*I39^3+0.00032*I39^2+(-0.0021)*I39)+J$1*((-0.000002)*J39^3+0.00032*J39^2+(-0.0021)*J39)+H$1*((-0.000002)*H39^3+0.00032*H39^2+(-0.0021)*H39))*(MAX(0.05,MIN(1,(2*J39+I39)/120)*MIN(1,I39/10)*MIN(1,J39/10)))</f>
        <v/>
      </c>
      <c r="Z39">
        <f>U39*J$2+V39*O$2+W39*H$2</f>
        <v/>
      </c>
      <c r="AA39">
        <f>IF(AND(J39&gt;50,I39+J39&gt;75),"SP",IF(2*I39+J39&gt;120,"RP","CRAP"))</f>
        <v/>
      </c>
    </row>
    <row r="40" ht="13.5" customHeight="1" s="27" thickBot="1">
      <c r="A40">
        <f>(V40*V$2+W40*W$2+X40*X$2)*100/(V$4*V$2+W$4*W$2+X$4*X$2)</f>
        <v/>
      </c>
      <c r="B40" s="18" t="n">
        <v>92</v>
      </c>
      <c r="C40" s="11" t="inlineStr">
        <is>
          <t>Adams, Jett</t>
        </is>
      </c>
      <c r="D40" s="19" t="inlineStr">
        <is>
          <t>P</t>
        </is>
      </c>
      <c r="E40" s="19" t="inlineStr">
        <is>
          <t>R</t>
        </is>
      </c>
      <c r="F40" s="19" t="inlineStr">
        <is>
          <t>R</t>
        </is>
      </c>
      <c r="G40" s="19" t="n">
        <v>18</v>
      </c>
      <c r="H40" s="19" t="n"/>
      <c r="I40" s="19" t="n"/>
      <c r="J40" s="19" t="n">
        <v>94</v>
      </c>
      <c r="K40" s="19" t="n">
        <v>19</v>
      </c>
      <c r="L40" s="19" t="n">
        <v>89</v>
      </c>
      <c r="M40" s="19" t="n">
        <v>24</v>
      </c>
      <c r="N40" s="19" t="n">
        <v>34</v>
      </c>
      <c r="O40" s="19" t="n">
        <v>38</v>
      </c>
      <c r="P40" s="19" t="n">
        <v>80</v>
      </c>
      <c r="Q40" s="19" t="n">
        <v>76</v>
      </c>
      <c r="R40" s="19" t="n">
        <v>73</v>
      </c>
      <c r="S40" s="19" t="n">
        <v>0</v>
      </c>
      <c r="T40" s="19" t="n">
        <v>0</v>
      </c>
      <c r="U40" s="19" t="n">
        <v>0</v>
      </c>
      <c r="V40" s="19">
        <f>K$1*(0.000001*K40^3)+L$1*((-0.000002)*L40^3+0.00032*L40^2+(-0.0021)*L40)+M$1*((-0.000002)*M40^3+0.00032*M40^2+(-0.0021)*M40)+N$1*((-0.000002)*N40^3+0.00032*N40^2+(-0.0021)*N40)+O$1*((-0.000002)*O40^3+0.00032*O40^2+(-0.0021)*O40)</f>
        <v/>
      </c>
      <c r="W40" s="5">
        <f>P$1*((-0.000002)*P40^3+0.00032*P40^2+(-0.0021)*P40)+Q$1*((-0.000002)*Q40^3+0.00032*Q40^2+(-0.0021)*Q40)+R$1*((-0.000002)*R40^3+0.00032*R40^2+(-0.0021)*R40)+S$1*((-0.000002)*S40^3+0.00032*S40^2+(-0.0021)*S40)+T$1*((-0.000002)*T40^3+0.00032*T40^2+(-0.0021)*T40)</f>
        <v/>
      </c>
      <c r="X40">
        <f>(I$1*((-0.000002)*I40^3+0.00032*I40^2+(-0.0021)*I40)+J$1*((-0.000002)*J40^3+0.00032*J40^2+(-0.0021)*J40)+H$1*((-0.000002)*H40^3+0.00032*H40^2+(-0.0021)*H40))*(MAX(0.05,MIN(1,(2*J40+I40)/120)*MIN(1,I40/10)*MIN(1,J40/10)))</f>
        <v/>
      </c>
      <c r="Y40" s="5">
        <f>(I$1*((-0.000002)*I40^3+0.00032*I40^2+(-0.0021)*I40)+J$1*((-0.000002)*J40^3+0.00032*J40^2+(-0.0021)*J40)+H$1*((-0.000002)*H40^3+0.00032*H40^2+(-0.0021)*H40))*(MAX(0.05,MIN(1,(2*J40+I40)/120)*MIN(1,I40/10)*MIN(1,J40/10)))</f>
        <v/>
      </c>
      <c r="Z40">
        <f>U40*J$2+V40*O$2+W40*H$2</f>
        <v/>
      </c>
      <c r="AA40">
        <f>IF(AND(J40&gt;50,I40+J40&gt;75),"SP",IF(2*I40+J40&gt;120,"RP","CRAP"))</f>
        <v/>
      </c>
    </row>
    <row r="41" ht="13.5" customHeight="1" s="27" thickBot="1">
      <c r="A41">
        <f>(V41*V$2+W41*W$2+X41*X$2)*100/(V$4*V$2+W$4*W$2+X$4*X$2)</f>
        <v/>
      </c>
      <c r="B41" s="16" t="n">
        <v>53</v>
      </c>
      <c r="C41" s="10" t="inlineStr">
        <is>
          <t>Doubront, Damaso</t>
        </is>
      </c>
      <c r="D41" s="17" t="inlineStr">
        <is>
          <t>P</t>
        </is>
      </c>
      <c r="E41" s="17" t="inlineStr">
        <is>
          <t>R</t>
        </is>
      </c>
      <c r="F41" s="17" t="inlineStr">
        <is>
          <t>R</t>
        </is>
      </c>
      <c r="G41" s="17" t="n">
        <v>18</v>
      </c>
      <c r="H41" s="17" t="n"/>
      <c r="I41" s="17" t="n"/>
      <c r="J41" s="17" t="n">
        <v>28</v>
      </c>
      <c r="K41" s="17" t="n">
        <v>68</v>
      </c>
      <c r="L41" s="17" t="n">
        <v>74</v>
      </c>
      <c r="M41" s="17" t="n">
        <v>50</v>
      </c>
      <c r="N41" s="17" t="n">
        <v>60</v>
      </c>
      <c r="O41" s="17" t="n">
        <v>42</v>
      </c>
      <c r="P41" s="17" t="n">
        <v>30</v>
      </c>
      <c r="Q41" s="17" t="n">
        <v>65</v>
      </c>
      <c r="R41" s="17" t="n">
        <v>60</v>
      </c>
      <c r="S41" s="17" t="n">
        <v>44</v>
      </c>
      <c r="T41" s="17" t="n">
        <v>25</v>
      </c>
      <c r="U41" s="17" t="n">
        <v>0</v>
      </c>
      <c r="V41" s="17">
        <f>K$1*(0.000001*K41^3)+L$1*((-0.000002)*L41^3+0.00032*L41^2+(-0.0021)*L41)+M$1*((-0.000002)*M41^3+0.00032*M41^2+(-0.0021)*M41)+N$1*((-0.000002)*N41^3+0.00032*N41^2+(-0.0021)*N41)+O$1*((-0.000002)*O41^3+0.00032*O41^2+(-0.0021)*O41)</f>
        <v/>
      </c>
      <c r="W41" s="5">
        <f>P$1*((-0.000002)*P41^3+0.00032*P41^2+(-0.0021)*P41)+Q$1*((-0.000002)*Q41^3+0.00032*Q41^2+(-0.0021)*Q41)+R$1*((-0.000002)*R41^3+0.00032*R41^2+(-0.0021)*R41)+S$1*((-0.000002)*S41^3+0.00032*S41^2+(-0.0021)*S41)+T$1*((-0.000002)*T41^3+0.00032*T41^2+(-0.0021)*T41)</f>
        <v/>
      </c>
      <c r="X41">
        <f>(I$1*((-0.000002)*I41^3+0.00032*I41^2+(-0.0021)*I41)+J$1*((-0.000002)*J41^3+0.00032*J41^2+(-0.0021)*J41)+H$1*((-0.000002)*H41^3+0.00032*H41^2+(-0.0021)*H41))*(MAX(0.05,MIN(1,(2*J41+I41)/120)*MIN(1,I41/10)*MIN(1,J41/10)))</f>
        <v/>
      </c>
      <c r="Y41" s="5">
        <f>(I$1*((-0.000002)*I41^3+0.00032*I41^2+(-0.0021)*I41)+J$1*((-0.000002)*J41^3+0.00032*J41^2+(-0.0021)*J41)+H$1*((-0.000002)*H41^3+0.00032*H41^2+(-0.0021)*H41))*(MAX(0.05,MIN(1,(2*J41+I41)/120)*MIN(1,I41/10)*MIN(1,J41/10)))</f>
        <v/>
      </c>
      <c r="Z41">
        <f>U41*J$2+V41*O$2+W41*H$2</f>
        <v/>
      </c>
      <c r="AA41">
        <f>IF(AND(J41&gt;50,I41+J41&gt;75),"SP",IF(2*I41+J41&gt;120,"RP","CRAP"))</f>
        <v/>
      </c>
    </row>
    <row r="42" ht="13.5" customHeight="1" s="27" thickBot="1">
      <c r="A42">
        <f>(V42*V$2+W42*W$2+X42*X$2)*100/(V$4*V$2+W$4*W$2+X$4*X$2)</f>
        <v/>
      </c>
      <c r="B42" s="16" t="n">
        <v>179</v>
      </c>
      <c r="C42" s="10" t="inlineStr">
        <is>
          <t>Abreu, Jesus</t>
        </is>
      </c>
      <c r="D42" s="17" t="inlineStr">
        <is>
          <t>P</t>
        </is>
      </c>
      <c r="E42" s="17" t="inlineStr">
        <is>
          <t>R</t>
        </is>
      </c>
      <c r="F42" s="17" t="inlineStr">
        <is>
          <t>R</t>
        </is>
      </c>
      <c r="G42" s="17" t="n">
        <v>20</v>
      </c>
      <c r="H42" s="17" t="n"/>
      <c r="I42" s="17" t="n"/>
      <c r="J42" s="17" t="n">
        <v>29</v>
      </c>
      <c r="K42" s="17" t="n">
        <v>8</v>
      </c>
      <c r="L42" s="17" t="n">
        <v>49</v>
      </c>
      <c r="M42" s="17" t="n">
        <v>45</v>
      </c>
      <c r="N42" s="17" t="n">
        <v>73</v>
      </c>
      <c r="O42" s="17" t="n">
        <v>37</v>
      </c>
      <c r="P42" s="17" t="n">
        <v>100</v>
      </c>
      <c r="Q42" s="17" t="n">
        <v>100</v>
      </c>
      <c r="R42" s="17" t="n">
        <v>39</v>
      </c>
      <c r="S42" s="17" t="n">
        <v>19</v>
      </c>
      <c r="T42" s="17" t="n">
        <v>37</v>
      </c>
      <c r="U42" s="17" t="n">
        <v>0</v>
      </c>
      <c r="V42" s="17">
        <f>K$1*(0.000001*K42^3)+L$1*((-0.000002)*L42^3+0.00032*L42^2+(-0.0021)*L42)+M$1*((-0.000002)*M42^3+0.00032*M42^2+(-0.0021)*M42)+N$1*((-0.000002)*N42^3+0.00032*N42^2+(-0.0021)*N42)+O$1*((-0.000002)*O42^3+0.00032*O42^2+(-0.0021)*O42)</f>
        <v/>
      </c>
      <c r="W42" s="5">
        <f>P$1*((-0.000002)*P42^3+0.00032*P42^2+(-0.0021)*P42)+Q$1*((-0.000002)*Q42^3+0.00032*Q42^2+(-0.0021)*Q42)+R$1*((-0.000002)*R42^3+0.00032*R42^2+(-0.0021)*R42)+S$1*((-0.000002)*S42^3+0.00032*S42^2+(-0.0021)*S42)+T$1*((-0.000002)*T42^3+0.00032*T42^2+(-0.0021)*T42)</f>
        <v/>
      </c>
      <c r="X42">
        <f>(I$1*((-0.000002)*I42^3+0.00032*I42^2+(-0.0021)*I42)+J$1*((-0.000002)*J42^3+0.00032*J42^2+(-0.0021)*J42)+H$1*((-0.000002)*H42^3+0.00032*H42^2+(-0.0021)*H42))*(MAX(0.05,MIN(1,(2*J42+I42)/120)*MIN(1,I42/10)*MIN(1,J42/10)))</f>
        <v/>
      </c>
      <c r="Y42" s="5">
        <f>(I$1*((-0.000002)*I42^3+0.00032*I42^2+(-0.0021)*I42)+J$1*((-0.000002)*J42^3+0.00032*J42^2+(-0.0021)*J42)+H$1*((-0.000002)*H42^3+0.00032*H42^2+(-0.0021)*H42))*(MAX(0.05,MIN(1,(2*J42+I42)/120)*MIN(1,I42/10)*MIN(1,J42/10)))</f>
        <v/>
      </c>
      <c r="Z42">
        <f>U42*J$2+V42*O$2+W42*H$2</f>
        <v/>
      </c>
      <c r="AA42">
        <f>IF(AND(J42&gt;50,I42+J42&gt;75),"SP",IF(2*I42+J42&gt;120,"RP","CRAP"))</f>
        <v/>
      </c>
    </row>
    <row r="43" ht="13.5" customHeight="1" s="27" thickBot="1">
      <c r="A43">
        <f>(V43*V$2+W43*W$2+X43*X$2)*100/(V$4*V$2+W$4*W$2+X$4*X$2)</f>
        <v/>
      </c>
      <c r="B43" s="18" t="n">
        <v>22</v>
      </c>
      <c r="C43" s="11" t="inlineStr">
        <is>
          <t>Riley, Mason</t>
        </is>
      </c>
      <c r="D43" s="19" t="inlineStr">
        <is>
          <t>P</t>
        </is>
      </c>
      <c r="E43" s="19" t="inlineStr">
        <is>
          <t>S</t>
        </is>
      </c>
      <c r="F43" s="19" t="inlineStr">
        <is>
          <t>L</t>
        </is>
      </c>
      <c r="G43" s="19" t="n">
        <v>18</v>
      </c>
      <c r="H43" s="19" t="n"/>
      <c r="I43" s="19" t="n"/>
      <c r="J43" s="19" t="n">
        <v>80</v>
      </c>
      <c r="K43" s="19" t="n">
        <v>41</v>
      </c>
      <c r="L43" s="19" t="n">
        <v>47</v>
      </c>
      <c r="M43" s="19" t="n">
        <v>74</v>
      </c>
      <c r="N43" s="19" t="n">
        <v>54</v>
      </c>
      <c r="O43" s="19" t="n">
        <v>95</v>
      </c>
      <c r="P43" s="19" t="n">
        <v>51</v>
      </c>
      <c r="Q43" s="19" t="n">
        <v>73</v>
      </c>
      <c r="R43" s="19" t="n">
        <v>84</v>
      </c>
      <c r="S43" s="19" t="n">
        <v>0</v>
      </c>
      <c r="T43" s="19" t="n">
        <v>0</v>
      </c>
      <c r="U43" s="19" t="n">
        <v>0</v>
      </c>
      <c r="V43" s="19">
        <f>K$1*(0.000001*K43^3)+L$1*((-0.000002)*L43^3+0.00032*L43^2+(-0.0021)*L43)+M$1*((-0.000002)*M43^3+0.00032*M43^2+(-0.0021)*M43)+N$1*((-0.000002)*N43^3+0.00032*N43^2+(-0.0021)*N43)+O$1*((-0.000002)*O43^3+0.00032*O43^2+(-0.0021)*O43)</f>
        <v/>
      </c>
      <c r="W43" s="5">
        <f>P$1*((-0.000002)*P43^3+0.00032*P43^2+(-0.0021)*P43)+Q$1*((-0.000002)*Q43^3+0.00032*Q43^2+(-0.0021)*Q43)+R$1*((-0.000002)*R43^3+0.00032*R43^2+(-0.0021)*R43)+S$1*((-0.000002)*S43^3+0.00032*S43^2+(-0.0021)*S43)+T$1*((-0.000002)*T43^3+0.00032*T43^2+(-0.0021)*T43)</f>
        <v/>
      </c>
      <c r="X43">
        <f>(I$1*((-0.000002)*I43^3+0.00032*I43^2+(-0.0021)*I43)+J$1*((-0.000002)*J43^3+0.00032*J43^2+(-0.0021)*J43)+H$1*((-0.000002)*H43^3+0.00032*H43^2+(-0.0021)*H43))*(MAX(0.05,MIN(1,(2*J43+I43)/120)*MIN(1,I43/10)*MIN(1,J43/10)))</f>
        <v/>
      </c>
      <c r="Y43" s="5">
        <f>(I$1*((-0.000002)*I43^3+0.00032*I43^2+(-0.0021)*I43)+J$1*((-0.000002)*J43^3+0.00032*J43^2+(-0.0021)*J43)+H$1*((-0.000002)*H43^3+0.00032*H43^2+(-0.0021)*H43))*(MAX(0.05,MIN(1,(2*J43+I43)/120)*MIN(1,I43/10)*MIN(1,J43/10)))</f>
        <v/>
      </c>
      <c r="Z43">
        <f>U43*J$2+V43*O$2+W43*H$2</f>
        <v/>
      </c>
      <c r="AA43">
        <f>IF(AND(J43&gt;50,I43+J43&gt;75),"SP",IF(2*I43+J43&gt;120,"RP","CRAP"))</f>
        <v/>
      </c>
    </row>
    <row r="44" ht="13.5" customHeight="1" s="27" thickBot="1">
      <c r="A44">
        <f>(V44*V$2+W44*W$2+X44*X$2)*100/(V$4*V$2+W$4*W$2+X$4*X$2)</f>
        <v/>
      </c>
      <c r="B44" s="16" t="n">
        <v>63</v>
      </c>
      <c r="C44" s="10" t="inlineStr">
        <is>
          <t>Camilli, Dustin</t>
        </is>
      </c>
      <c r="D44" s="17" t="inlineStr">
        <is>
          <t>P</t>
        </is>
      </c>
      <c r="E44" s="17" t="inlineStr">
        <is>
          <t>L</t>
        </is>
      </c>
      <c r="F44" s="17" t="inlineStr">
        <is>
          <t>L</t>
        </is>
      </c>
      <c r="G44" s="17" t="n">
        <v>18</v>
      </c>
      <c r="H44" s="17" t="n"/>
      <c r="I44" s="17" t="n"/>
      <c r="J44" s="17" t="n">
        <v>38</v>
      </c>
      <c r="K44" s="17" t="n">
        <v>66</v>
      </c>
      <c r="L44" s="17" t="n">
        <v>89</v>
      </c>
      <c r="M44" s="17" t="n">
        <v>39</v>
      </c>
      <c r="N44" s="17" t="n">
        <v>35</v>
      </c>
      <c r="O44" s="17" t="n">
        <v>36</v>
      </c>
      <c r="P44" s="17" t="n">
        <v>44</v>
      </c>
      <c r="Q44" s="17" t="n">
        <v>72</v>
      </c>
      <c r="R44" s="17" t="n">
        <v>52</v>
      </c>
      <c r="S44" s="17" t="n">
        <v>48</v>
      </c>
      <c r="T44" s="17" t="n">
        <v>50</v>
      </c>
      <c r="U44" s="17" t="n">
        <v>0</v>
      </c>
      <c r="V44" s="17">
        <f>K$1*(0.000001*K44^3)+L$1*((-0.000002)*L44^3+0.00032*L44^2+(-0.0021)*L44)+M$1*((-0.000002)*M44^3+0.00032*M44^2+(-0.0021)*M44)+N$1*((-0.000002)*N44^3+0.00032*N44^2+(-0.0021)*N44)+O$1*((-0.000002)*O44^3+0.00032*O44^2+(-0.0021)*O44)</f>
        <v/>
      </c>
      <c r="W44" s="5">
        <f>P$1*((-0.000002)*P44^3+0.00032*P44^2+(-0.0021)*P44)+Q$1*((-0.000002)*Q44^3+0.00032*Q44^2+(-0.0021)*Q44)+R$1*((-0.000002)*R44^3+0.00032*R44^2+(-0.0021)*R44)+S$1*((-0.000002)*S44^3+0.00032*S44^2+(-0.0021)*S44)+T$1*((-0.000002)*T44^3+0.00032*T44^2+(-0.0021)*T44)</f>
        <v/>
      </c>
      <c r="X44">
        <f>(I$1*((-0.000002)*I44^3+0.00032*I44^2+(-0.0021)*I44)+J$1*((-0.000002)*J44^3+0.00032*J44^2+(-0.0021)*J44)+H$1*((-0.000002)*H44^3+0.00032*H44^2+(-0.0021)*H44))*(MAX(0.05,MIN(1,(2*J44+I44)/120)*MIN(1,I44/10)*MIN(1,J44/10)))</f>
        <v/>
      </c>
      <c r="Y44" s="5">
        <f>(I$1*((-0.000002)*I44^3+0.00032*I44^2+(-0.0021)*I44)+J$1*((-0.000002)*J44^3+0.00032*J44^2+(-0.0021)*J44)+H$1*((-0.000002)*H44^3+0.00032*H44^2+(-0.0021)*H44))*(MAX(0.05,MIN(1,(2*J44+I44)/120)*MIN(1,I44/10)*MIN(1,J44/10)))</f>
        <v/>
      </c>
      <c r="Z44">
        <f>U44*J$2+V44*O$2+W44*H$2</f>
        <v/>
      </c>
      <c r="AA44">
        <f>IF(AND(J44&gt;50,I44+J44&gt;75),"SP",IF(2*I44+J44&gt;120,"RP","CRAP"))</f>
        <v/>
      </c>
    </row>
    <row r="45" ht="13.5" customHeight="1" s="27" thickBot="1">
      <c r="A45">
        <f>(V45*V$2+W45*W$2+X45*X$2)*100/(V$4*V$2+W$4*W$2+X$4*X$2)</f>
        <v/>
      </c>
      <c r="B45" s="18" t="n">
        <v>112</v>
      </c>
      <c r="C45" s="11" t="inlineStr">
        <is>
          <t>Cunnane, Herb</t>
        </is>
      </c>
      <c r="D45" s="19" t="inlineStr">
        <is>
          <t>P</t>
        </is>
      </c>
      <c r="E45" s="19" t="inlineStr">
        <is>
          <t>L</t>
        </is>
      </c>
      <c r="F45" s="19" t="inlineStr">
        <is>
          <t>L</t>
        </is>
      </c>
      <c r="G45" s="19" t="n">
        <v>18</v>
      </c>
      <c r="H45" s="19" t="n"/>
      <c r="I45" s="19" t="n"/>
      <c r="J45" s="19" t="n">
        <v>43</v>
      </c>
      <c r="K45" s="19" t="n">
        <v>24</v>
      </c>
      <c r="L45" s="19" t="n">
        <v>69</v>
      </c>
      <c r="M45" s="19" t="n">
        <v>58</v>
      </c>
      <c r="N45" s="19" t="n">
        <v>32</v>
      </c>
      <c r="O45" s="19" t="n">
        <v>20</v>
      </c>
      <c r="P45" s="19" t="n">
        <v>76</v>
      </c>
      <c r="Q45" s="19" t="n">
        <v>78</v>
      </c>
      <c r="R45" s="19" t="n">
        <v>57</v>
      </c>
      <c r="S45" s="19" t="n">
        <v>46</v>
      </c>
      <c r="T45" s="19" t="n">
        <v>44</v>
      </c>
      <c r="U45" s="19" t="n">
        <v>0</v>
      </c>
      <c r="V45" s="19">
        <f>K$1*(0.000001*K45^3)+L$1*((-0.000002)*L45^3+0.00032*L45^2+(-0.0021)*L45)+M$1*((-0.000002)*M45^3+0.00032*M45^2+(-0.0021)*M45)+N$1*((-0.000002)*N45^3+0.00032*N45^2+(-0.0021)*N45)+O$1*((-0.000002)*O45^3+0.00032*O45^2+(-0.0021)*O45)</f>
        <v/>
      </c>
      <c r="W45" s="5">
        <f>P$1*((-0.000002)*P45^3+0.00032*P45^2+(-0.0021)*P45)+Q$1*((-0.000002)*Q45^3+0.00032*Q45^2+(-0.0021)*Q45)+R$1*((-0.000002)*R45^3+0.00032*R45^2+(-0.0021)*R45)+S$1*((-0.000002)*S45^3+0.00032*S45^2+(-0.0021)*S45)+T$1*((-0.000002)*T45^3+0.00032*T45^2+(-0.0021)*T45)</f>
        <v/>
      </c>
      <c r="X45">
        <f>(I$1*((-0.000002)*I45^3+0.00032*I45^2+(-0.0021)*I45)+J$1*((-0.000002)*J45^3+0.00032*J45^2+(-0.0021)*J45)+H$1*((-0.000002)*H45^3+0.00032*H45^2+(-0.0021)*H45))*(MAX(0.05,MIN(1,(2*J45+I45)/120)*MIN(1,I45/10)*MIN(1,J45/10)))</f>
        <v/>
      </c>
      <c r="Y45" s="5">
        <f>(I$1*((-0.000002)*I45^3+0.00032*I45^2+(-0.0021)*I45)+J$1*((-0.000002)*J45^3+0.00032*J45^2+(-0.0021)*J45)+H$1*((-0.000002)*H45^3+0.00032*H45^2+(-0.0021)*H45))*(MAX(0.05,MIN(1,(2*J45+I45)/120)*MIN(1,I45/10)*MIN(1,J45/10)))</f>
        <v/>
      </c>
      <c r="Z45">
        <f>U45*J$2+V45*O$2+W45*H$2</f>
        <v/>
      </c>
      <c r="AA45">
        <f>IF(AND(J45&gt;50,I45+J45&gt;75),"SP",IF(2*I45+J45&gt;120,"RP","CRAP"))</f>
        <v/>
      </c>
    </row>
    <row r="46" ht="13.5" customHeight="1" s="27" thickBot="1">
      <c r="A46">
        <f>(V46*V$2+W46*W$2+X46*X$2)*100/(V$4*V$2+W$4*W$2+X$4*X$2)</f>
        <v/>
      </c>
      <c r="B46" s="16" t="n">
        <v>145</v>
      </c>
      <c r="C46" s="10" t="inlineStr">
        <is>
          <t>Scheffer, Jimmy</t>
        </is>
      </c>
      <c r="D46" s="17" t="inlineStr">
        <is>
          <t>P</t>
        </is>
      </c>
      <c r="E46" s="17" t="inlineStr">
        <is>
          <t>L</t>
        </is>
      </c>
      <c r="F46" s="17" t="inlineStr">
        <is>
          <t>L</t>
        </is>
      </c>
      <c r="G46" s="17" t="n">
        <v>21</v>
      </c>
      <c r="H46" s="17" t="n"/>
      <c r="I46" s="17" t="n"/>
      <c r="J46" s="17" t="n">
        <v>64</v>
      </c>
      <c r="K46" s="17" t="n">
        <v>36</v>
      </c>
      <c r="L46" s="17" t="n">
        <v>84</v>
      </c>
      <c r="M46" s="17" t="n">
        <v>21</v>
      </c>
      <c r="N46" s="17" t="n">
        <v>58</v>
      </c>
      <c r="O46" s="17" t="n">
        <v>51</v>
      </c>
      <c r="P46" s="17" t="n">
        <v>60</v>
      </c>
      <c r="Q46" s="17" t="n">
        <v>47</v>
      </c>
      <c r="R46" s="17" t="n">
        <v>80</v>
      </c>
      <c r="S46" s="17" t="n">
        <v>21</v>
      </c>
      <c r="T46" s="17" t="n">
        <v>0</v>
      </c>
      <c r="U46" s="17" t="n">
        <v>0</v>
      </c>
      <c r="V46" s="17">
        <f>K$1*(0.000001*K46^3)+L$1*((-0.000002)*L46^3+0.00032*L46^2+(-0.0021)*L46)+M$1*((-0.000002)*M46^3+0.00032*M46^2+(-0.0021)*M46)+N$1*((-0.000002)*N46^3+0.00032*N46^2+(-0.0021)*N46)+O$1*((-0.000002)*O46^3+0.00032*O46^2+(-0.0021)*O46)</f>
        <v/>
      </c>
      <c r="W46" s="5">
        <f>P$1*((-0.000002)*P46^3+0.00032*P46^2+(-0.0021)*P46)+Q$1*((-0.000002)*Q46^3+0.00032*Q46^2+(-0.0021)*Q46)+R$1*((-0.000002)*R46^3+0.00032*R46^2+(-0.0021)*R46)+S$1*((-0.000002)*S46^3+0.00032*S46^2+(-0.0021)*S46)+T$1*((-0.000002)*T46^3+0.00032*T46^2+(-0.0021)*T46)</f>
        <v/>
      </c>
      <c r="X46">
        <f>(I$1*((-0.000002)*I46^3+0.00032*I46^2+(-0.0021)*I46)+J$1*((-0.000002)*J46^3+0.00032*J46^2+(-0.0021)*J46)+H$1*((-0.000002)*H46^3+0.00032*H46^2+(-0.0021)*H46))*(MAX(0.05,MIN(1,(2*J46+I46)/120)*MIN(1,I46/10)*MIN(1,J46/10)))</f>
        <v/>
      </c>
      <c r="Y46" s="5">
        <f>(I$1*((-0.000002)*I46^3+0.00032*I46^2+(-0.0021)*I46)+J$1*((-0.000002)*J46^3+0.00032*J46^2+(-0.0021)*J46)+H$1*((-0.000002)*H46^3+0.00032*H46^2+(-0.0021)*H46))*(MAX(0.05,MIN(1,(2*J46+I46)/120)*MIN(1,I46/10)*MIN(1,J46/10)))</f>
        <v/>
      </c>
      <c r="Z46">
        <f>U46*J$2+V46*O$2+W46*H$2</f>
        <v/>
      </c>
      <c r="AA46">
        <f>IF(AND(J46&gt;50,I46+J46&gt;75),"SP",IF(2*I46+J46&gt;120,"RP","CRAP"))</f>
        <v/>
      </c>
    </row>
    <row r="47" ht="13.5" customHeight="1" s="27" thickBot="1">
      <c r="A47">
        <f>(V47*V$2+W47*W$2+X47*X$2)*100/(V$4*V$2+W$4*W$2+X$4*X$2)</f>
        <v/>
      </c>
      <c r="B47" s="18" t="n">
        <v>46</v>
      </c>
      <c r="C47" s="11" t="inlineStr">
        <is>
          <t>Lee, Carlos</t>
        </is>
      </c>
      <c r="D47" s="19" t="inlineStr">
        <is>
          <t>P</t>
        </is>
      </c>
      <c r="E47" s="19" t="inlineStr">
        <is>
          <t>R</t>
        </is>
      </c>
      <c r="F47" s="19" t="inlineStr">
        <is>
          <t>R</t>
        </is>
      </c>
      <c r="G47" s="19" t="n">
        <v>18</v>
      </c>
      <c r="H47" s="19" t="n"/>
      <c r="I47" s="19" t="n"/>
      <c r="J47" s="19" t="n">
        <v>71</v>
      </c>
      <c r="K47" s="19" t="n">
        <v>46</v>
      </c>
      <c r="L47" s="19" t="n">
        <v>80</v>
      </c>
      <c r="M47" s="19" t="n">
        <v>38</v>
      </c>
      <c r="N47" s="19" t="n">
        <v>37</v>
      </c>
      <c r="O47" s="19" t="n">
        <v>85</v>
      </c>
      <c r="P47" s="19" t="n">
        <v>67</v>
      </c>
      <c r="Q47" s="19" t="n">
        <v>61</v>
      </c>
      <c r="R47" s="19" t="n">
        <v>54</v>
      </c>
      <c r="S47" s="19" t="n">
        <v>0</v>
      </c>
      <c r="T47" s="19" t="n">
        <v>0</v>
      </c>
      <c r="U47" s="19" t="n">
        <v>0</v>
      </c>
      <c r="V47" s="19">
        <f>K$1*(0.000001*K47^3)+L$1*((-0.000002)*L47^3+0.00032*L47^2+(-0.0021)*L47)+M$1*((-0.000002)*M47^3+0.00032*M47^2+(-0.0021)*M47)+N$1*((-0.000002)*N47^3+0.00032*N47^2+(-0.0021)*N47)+O$1*((-0.000002)*O47^3+0.00032*O47^2+(-0.0021)*O47)</f>
        <v/>
      </c>
      <c r="W47" s="5">
        <f>P$1*((-0.000002)*P47^3+0.00032*P47^2+(-0.0021)*P47)+Q$1*((-0.000002)*Q47^3+0.00032*Q47^2+(-0.0021)*Q47)+R$1*((-0.000002)*R47^3+0.00032*R47^2+(-0.0021)*R47)+S$1*((-0.000002)*S47^3+0.00032*S47^2+(-0.0021)*S47)+T$1*((-0.000002)*T47^3+0.00032*T47^2+(-0.0021)*T47)</f>
        <v/>
      </c>
      <c r="X47">
        <f>(I$1*((-0.000002)*I47^3+0.00032*I47^2+(-0.0021)*I47)+J$1*((-0.000002)*J47^3+0.00032*J47^2+(-0.0021)*J47)+H$1*((-0.000002)*H47^3+0.00032*H47^2+(-0.0021)*H47))*(MAX(0.05,MIN(1,(2*J47+I47)/120)*MIN(1,I47/10)*MIN(1,J47/10)))</f>
        <v/>
      </c>
      <c r="Y47" s="5">
        <f>(I$1*((-0.000002)*I47^3+0.00032*I47^2+(-0.0021)*I47)+J$1*((-0.000002)*J47^3+0.00032*J47^2+(-0.0021)*J47)+H$1*((-0.000002)*H47^3+0.00032*H47^2+(-0.0021)*H47))*(MAX(0.05,MIN(1,(2*J47+I47)/120)*MIN(1,I47/10)*MIN(1,J47/10)))</f>
        <v/>
      </c>
      <c r="Z47">
        <f>U47*J$2+V47*O$2+W47*H$2</f>
        <v/>
      </c>
      <c r="AA47">
        <f>IF(AND(J47&gt;50,I47+J47&gt;75),"SP",IF(2*I47+J47&gt;120,"RP","CRAP"))</f>
        <v/>
      </c>
    </row>
    <row r="48" ht="13.5" customHeight="1" s="27" thickBot="1">
      <c r="A48">
        <f>(V48*V$2+W48*W$2+X48*X$2)*100/(V$4*V$2+W$4*W$2+X$4*X$2)</f>
        <v/>
      </c>
      <c r="B48" s="16" t="n">
        <v>37</v>
      </c>
      <c r="C48" s="10" t="inlineStr">
        <is>
          <t>Crawford, Sherman</t>
        </is>
      </c>
      <c r="D48" s="17" t="inlineStr">
        <is>
          <t>P</t>
        </is>
      </c>
      <c r="E48" s="17" t="inlineStr">
        <is>
          <t>L</t>
        </is>
      </c>
      <c r="F48" s="17" t="inlineStr">
        <is>
          <t>L</t>
        </is>
      </c>
      <c r="G48" s="17" t="n">
        <v>18</v>
      </c>
      <c r="H48" s="17" t="n"/>
      <c r="I48" s="17" t="n"/>
      <c r="J48" s="17" t="n">
        <v>36</v>
      </c>
      <c r="K48" s="17" t="n">
        <v>76</v>
      </c>
      <c r="L48" s="17" t="n">
        <v>26</v>
      </c>
      <c r="M48" s="17" t="n">
        <v>66</v>
      </c>
      <c r="N48" s="17" t="n">
        <v>53</v>
      </c>
      <c r="O48" s="17" t="n">
        <v>49</v>
      </c>
      <c r="P48" s="17" t="n">
        <v>79</v>
      </c>
      <c r="Q48" s="17" t="n">
        <v>75</v>
      </c>
      <c r="R48" s="17" t="n">
        <v>72</v>
      </c>
      <c r="S48" s="17" t="n">
        <v>39</v>
      </c>
      <c r="T48" s="17" t="n">
        <v>0</v>
      </c>
      <c r="U48" s="17" t="n">
        <v>0</v>
      </c>
      <c r="V48" s="17">
        <f>K$1*(0.000001*K48^3)+L$1*((-0.000002)*L48^3+0.00032*L48^2+(-0.0021)*L48)+M$1*((-0.000002)*M48^3+0.00032*M48^2+(-0.0021)*M48)+N$1*((-0.000002)*N48^3+0.00032*N48^2+(-0.0021)*N48)+O$1*((-0.000002)*O48^3+0.00032*O48^2+(-0.0021)*O48)</f>
        <v/>
      </c>
      <c r="W48" s="5">
        <f>P$1*((-0.000002)*P48^3+0.00032*P48^2+(-0.0021)*P48)+Q$1*((-0.000002)*Q48^3+0.00032*Q48^2+(-0.0021)*Q48)+R$1*((-0.000002)*R48^3+0.00032*R48^2+(-0.0021)*R48)+S$1*((-0.000002)*S48^3+0.00032*S48^2+(-0.0021)*S48)+T$1*((-0.000002)*T48^3+0.00032*T48^2+(-0.0021)*T48)</f>
        <v/>
      </c>
      <c r="X48">
        <f>(I$1*((-0.000002)*I48^3+0.00032*I48^2+(-0.0021)*I48)+J$1*((-0.000002)*J48^3+0.00032*J48^2+(-0.0021)*J48)+H$1*((-0.000002)*H48^3+0.00032*H48^2+(-0.0021)*H48))*(MAX(0.05,MIN(1,(2*J48+I48)/120)*MIN(1,I48/10)*MIN(1,J48/10)))</f>
        <v/>
      </c>
      <c r="Y48" s="5">
        <f>(I$1*((-0.000002)*I48^3+0.00032*I48^2+(-0.0021)*I48)+J$1*((-0.000002)*J48^3+0.00032*J48^2+(-0.0021)*J48)+H$1*((-0.000002)*H48^3+0.00032*H48^2+(-0.0021)*H48))*(MAX(0.05,MIN(1,(2*J48+I48)/120)*MIN(1,I48/10)*MIN(1,J48/10)))</f>
        <v/>
      </c>
      <c r="Z48">
        <f>U48*J$2+V48*O$2+W48*H$2</f>
        <v/>
      </c>
      <c r="AA48">
        <f>IF(AND(J48&gt;50,I48+J48&gt;75),"SP",IF(2*I48+J48&gt;120,"RP","CRAP"))</f>
        <v/>
      </c>
    </row>
    <row r="49" ht="13.5" customHeight="1" s="27" thickBot="1">
      <c r="A49">
        <f>(V49*V$2+W49*W$2+X49*X$2)*100/(V$4*V$2+W$4*W$2+X$4*X$2)</f>
        <v/>
      </c>
      <c r="B49" s="16" t="n">
        <v>65</v>
      </c>
      <c r="C49" s="10" t="inlineStr">
        <is>
          <t>Gilmore, Freddie</t>
        </is>
      </c>
      <c r="D49" s="17" t="inlineStr">
        <is>
          <t>P</t>
        </is>
      </c>
      <c r="E49" s="17" t="inlineStr">
        <is>
          <t>L</t>
        </is>
      </c>
      <c r="F49" s="17" t="inlineStr">
        <is>
          <t>L</t>
        </is>
      </c>
      <c r="G49" s="17" t="n">
        <v>18</v>
      </c>
      <c r="H49" s="17" t="n"/>
      <c r="I49" s="17" t="n"/>
      <c r="J49" s="17" t="n">
        <v>35</v>
      </c>
      <c r="K49" s="17" t="n">
        <v>95</v>
      </c>
      <c r="L49" s="17" t="n">
        <v>89</v>
      </c>
      <c r="M49" s="17" t="n">
        <v>34</v>
      </c>
      <c r="N49" s="17" t="n">
        <v>22</v>
      </c>
      <c r="O49" s="17" t="n">
        <v>47</v>
      </c>
      <c r="P49" s="17" t="n">
        <v>53</v>
      </c>
      <c r="Q49" s="17" t="n">
        <v>64</v>
      </c>
      <c r="R49" s="17" t="n">
        <v>46</v>
      </c>
      <c r="S49" s="17" t="n">
        <v>37</v>
      </c>
      <c r="T49" s="17" t="n">
        <v>0</v>
      </c>
      <c r="U49" s="17" t="n">
        <v>0</v>
      </c>
      <c r="V49" s="17">
        <f>K$1*(0.000001*K49^3)+L$1*((-0.000002)*L49^3+0.00032*L49^2+(-0.0021)*L49)+M$1*((-0.000002)*M49^3+0.00032*M49^2+(-0.0021)*M49)+N$1*((-0.000002)*N49^3+0.00032*N49^2+(-0.0021)*N49)+O$1*((-0.000002)*O49^3+0.00032*O49^2+(-0.0021)*O49)</f>
        <v/>
      </c>
      <c r="W49" s="5">
        <f>P$1*((-0.000002)*P49^3+0.00032*P49^2+(-0.0021)*P49)+Q$1*((-0.000002)*Q49^3+0.00032*Q49^2+(-0.0021)*Q49)+R$1*((-0.000002)*R49^3+0.00032*R49^2+(-0.0021)*R49)+S$1*((-0.000002)*S49^3+0.00032*S49^2+(-0.0021)*S49)+T$1*((-0.000002)*T49^3+0.00032*T49^2+(-0.0021)*T49)</f>
        <v/>
      </c>
      <c r="X49">
        <f>(I$1*((-0.000002)*I49^3+0.00032*I49^2+(-0.0021)*I49)+J$1*((-0.000002)*J49^3+0.00032*J49^2+(-0.0021)*J49)+H$1*((-0.000002)*H49^3+0.00032*H49^2+(-0.0021)*H49))*(MAX(0.05,MIN(1,(2*J49+I49)/120)*MIN(1,I49/10)*MIN(1,J49/10)))</f>
        <v/>
      </c>
      <c r="Y49" s="5">
        <f>(I$1*((-0.000002)*I49^3+0.00032*I49^2+(-0.0021)*I49)+J$1*((-0.000002)*J49^3+0.00032*J49^2+(-0.0021)*J49)+H$1*((-0.000002)*H49^3+0.00032*H49^2+(-0.0021)*H49))*(MAX(0.05,MIN(1,(2*J49+I49)/120)*MIN(1,I49/10)*MIN(1,J49/10)))</f>
        <v/>
      </c>
      <c r="Z49">
        <f>U49*J$2+V49*O$2+W49*H$2</f>
        <v/>
      </c>
      <c r="AA49">
        <f>IF(AND(J49&gt;50,I49+J49&gt;75),"SP",IF(2*I49+J49&gt;120,"RP","CRAP"))</f>
        <v/>
      </c>
    </row>
    <row r="50" ht="13.5" customHeight="1" s="27" thickBot="1">
      <c r="A50">
        <f>(V50*V$2+W50*W$2+X50*X$2)*100/(V$4*V$2+W$4*W$2+X$4*X$2)</f>
        <v/>
      </c>
      <c r="B50" s="16" t="n">
        <v>83</v>
      </c>
      <c r="C50" s="10" t="inlineStr">
        <is>
          <t>Travis, Pierce</t>
        </is>
      </c>
      <c r="D50" s="17" t="inlineStr">
        <is>
          <t>P</t>
        </is>
      </c>
      <c r="E50" s="17" t="inlineStr">
        <is>
          <t>R</t>
        </is>
      </c>
      <c r="F50" s="17" t="inlineStr">
        <is>
          <t>R</t>
        </is>
      </c>
      <c r="G50" s="17" t="n">
        <v>18</v>
      </c>
      <c r="H50" s="17" t="n"/>
      <c r="I50" s="17" t="n"/>
      <c r="J50" s="17" t="n">
        <v>87</v>
      </c>
      <c r="K50" s="17" t="n">
        <v>27</v>
      </c>
      <c r="L50" s="17" t="n">
        <v>82</v>
      </c>
      <c r="M50" s="17" t="n">
        <v>33</v>
      </c>
      <c r="N50" s="17" t="n">
        <v>27</v>
      </c>
      <c r="O50" s="17" t="n">
        <v>86</v>
      </c>
      <c r="P50" s="17" t="n">
        <v>77</v>
      </c>
      <c r="Q50" s="17" t="n">
        <v>69</v>
      </c>
      <c r="R50" s="17" t="n">
        <v>56</v>
      </c>
      <c r="S50" s="17" t="n">
        <v>0</v>
      </c>
      <c r="T50" s="17" t="n">
        <v>0</v>
      </c>
      <c r="U50" s="17" t="n">
        <v>0</v>
      </c>
      <c r="V50" s="17">
        <f>K$1*(0.000001*K50^3)+L$1*((-0.000002)*L50^3+0.00032*L50^2+(-0.0021)*L50)+M$1*((-0.000002)*M50^3+0.00032*M50^2+(-0.0021)*M50)+N$1*((-0.000002)*N50^3+0.00032*N50^2+(-0.0021)*N50)+O$1*((-0.000002)*O50^3+0.00032*O50^2+(-0.0021)*O50)</f>
        <v/>
      </c>
      <c r="W50" s="5">
        <f>P$1*((-0.000002)*P50^3+0.00032*P50^2+(-0.0021)*P50)+Q$1*((-0.000002)*Q50^3+0.00032*Q50^2+(-0.0021)*Q50)+R$1*((-0.000002)*R50^3+0.00032*R50^2+(-0.0021)*R50)+S$1*((-0.000002)*S50^3+0.00032*S50^2+(-0.0021)*S50)+T$1*((-0.000002)*T50^3+0.00032*T50^2+(-0.0021)*T50)</f>
        <v/>
      </c>
      <c r="X50">
        <f>(I$1*((-0.000002)*I50^3+0.00032*I50^2+(-0.0021)*I50)+J$1*((-0.000002)*J50^3+0.00032*J50^2+(-0.0021)*J50)+H$1*((-0.000002)*H50^3+0.00032*H50^2+(-0.0021)*H50))*(MAX(0.05,MIN(1,(2*J50+I50)/120)*MIN(1,I50/10)*MIN(1,J50/10)))</f>
        <v/>
      </c>
      <c r="Y50" s="5">
        <f>(I$1*((-0.000002)*I50^3+0.00032*I50^2+(-0.0021)*I50)+J$1*((-0.000002)*J50^3+0.00032*J50^2+(-0.0021)*J50)+H$1*((-0.000002)*H50^3+0.00032*H50^2+(-0.0021)*H50))*(MAX(0.05,MIN(1,(2*J50+I50)/120)*MIN(1,I50/10)*MIN(1,J50/10)))</f>
        <v/>
      </c>
      <c r="Z50">
        <f>U50*J$2+V50*O$2+W50*H$2</f>
        <v/>
      </c>
      <c r="AA50">
        <f>IF(AND(J50&gt;50,I50+J50&gt;75),"SP",IF(2*I50+J50&gt;120,"RP","CRAP"))</f>
        <v/>
      </c>
    </row>
    <row r="51" ht="13.5" customHeight="1" s="27" thickBot="1">
      <c r="A51">
        <f>(V51*V$2+W51*W$2+X51*X$2)*100/(V$4*V$2+W$4*W$2+X$4*X$2)</f>
        <v/>
      </c>
      <c r="B51" s="16" t="n">
        <v>75</v>
      </c>
      <c r="C51" s="10" t="inlineStr">
        <is>
          <t>Montas, Marquis</t>
        </is>
      </c>
      <c r="D51" s="17" t="inlineStr">
        <is>
          <t>P</t>
        </is>
      </c>
      <c r="E51" s="17" t="inlineStr">
        <is>
          <t>L</t>
        </is>
      </c>
      <c r="F51" s="17" t="inlineStr">
        <is>
          <t>L</t>
        </is>
      </c>
      <c r="G51" s="17" t="n">
        <v>18</v>
      </c>
      <c r="H51" s="17" t="n"/>
      <c r="I51" s="17" t="n"/>
      <c r="J51" s="17" t="n">
        <v>82</v>
      </c>
      <c r="K51" s="17" t="n">
        <v>38</v>
      </c>
      <c r="L51" s="17" t="n">
        <v>83</v>
      </c>
      <c r="M51" s="17" t="n">
        <v>35</v>
      </c>
      <c r="N51" s="17" t="n">
        <v>15</v>
      </c>
      <c r="O51" s="17" t="n">
        <v>91</v>
      </c>
      <c r="P51" s="17" t="n">
        <v>76</v>
      </c>
      <c r="Q51" s="17" t="n">
        <v>70</v>
      </c>
      <c r="R51" s="17" t="n">
        <v>55</v>
      </c>
      <c r="S51" s="17" t="n">
        <v>0</v>
      </c>
      <c r="T51" s="17" t="n">
        <v>0</v>
      </c>
      <c r="U51" s="17" t="n">
        <v>0</v>
      </c>
      <c r="V51" s="17">
        <f>K$1*(0.000001*K51^3)+L$1*((-0.000002)*L51^3+0.00032*L51^2+(-0.0021)*L51)+M$1*((-0.000002)*M51^3+0.00032*M51^2+(-0.0021)*M51)+N$1*((-0.000002)*N51^3+0.00032*N51^2+(-0.0021)*N51)+O$1*((-0.000002)*O51^3+0.00032*O51^2+(-0.0021)*O51)</f>
        <v/>
      </c>
      <c r="W51" s="5">
        <f>P$1*((-0.000002)*P51^3+0.00032*P51^2+(-0.0021)*P51)+Q$1*((-0.000002)*Q51^3+0.00032*Q51^2+(-0.0021)*Q51)+R$1*((-0.000002)*R51^3+0.00032*R51^2+(-0.0021)*R51)+S$1*((-0.000002)*S51^3+0.00032*S51^2+(-0.0021)*S51)+T$1*((-0.000002)*T51^3+0.00032*T51^2+(-0.0021)*T51)</f>
        <v/>
      </c>
      <c r="X51">
        <f>(I$1*((-0.000002)*I51^3+0.00032*I51^2+(-0.0021)*I51)+J$1*((-0.000002)*J51^3+0.00032*J51^2+(-0.0021)*J51)+H$1*((-0.000002)*H51^3+0.00032*H51^2+(-0.0021)*H51))*(MAX(0.05,MIN(1,(2*J51+I51)/120)*MIN(1,I51/10)*MIN(1,J51/10)))</f>
        <v/>
      </c>
      <c r="Y51" s="5">
        <f>(I$1*((-0.000002)*I51^3+0.00032*I51^2+(-0.0021)*I51)+J$1*((-0.000002)*J51^3+0.00032*J51^2+(-0.0021)*J51)+H$1*((-0.000002)*H51^3+0.00032*H51^2+(-0.0021)*H51))*(MAX(0.05,MIN(1,(2*J51+I51)/120)*MIN(1,I51/10)*MIN(1,J51/10)))</f>
        <v/>
      </c>
      <c r="Z51">
        <f>U51*J$2+V51*O$2+W51*H$2</f>
        <v/>
      </c>
      <c r="AA51">
        <f>IF(AND(J51&gt;50,I51+J51&gt;75),"SP",IF(2*I51+J51&gt;120,"RP","CRAP"))</f>
        <v/>
      </c>
    </row>
    <row r="52" ht="13.5" customHeight="1" s="27" thickBot="1">
      <c r="A52">
        <f>(V52*V$2+W52*W$2+X52*X$2)*100/(V$4*V$2+W$4*W$2+X$4*X$2)</f>
        <v/>
      </c>
      <c r="B52" s="18" t="n">
        <v>76</v>
      </c>
      <c r="C52" s="11" t="inlineStr">
        <is>
          <t>Figureoa, Julio</t>
        </is>
      </c>
      <c r="D52" s="19" t="inlineStr">
        <is>
          <t>P</t>
        </is>
      </c>
      <c r="E52" s="19" t="inlineStr">
        <is>
          <t>R</t>
        </is>
      </c>
      <c r="F52" s="19" t="inlineStr">
        <is>
          <t>R</t>
        </is>
      </c>
      <c r="G52" s="19" t="n">
        <v>18</v>
      </c>
      <c r="H52" s="19" t="n"/>
      <c r="I52" s="19" t="n"/>
      <c r="J52" s="19" t="n">
        <v>55</v>
      </c>
      <c r="K52" s="19" t="n">
        <v>46</v>
      </c>
      <c r="L52" s="19" t="n">
        <v>86</v>
      </c>
      <c r="M52" s="19" t="n">
        <v>31</v>
      </c>
      <c r="N52" s="19" t="n">
        <v>25</v>
      </c>
      <c r="O52" s="19" t="n">
        <v>36</v>
      </c>
      <c r="P52" s="19" t="n">
        <v>75</v>
      </c>
      <c r="Q52" s="19" t="n">
        <v>71</v>
      </c>
      <c r="R52" s="19" t="n">
        <v>47</v>
      </c>
      <c r="S52" s="19" t="n">
        <v>30</v>
      </c>
      <c r="T52" s="19" t="n">
        <v>0</v>
      </c>
      <c r="U52" s="19" t="n">
        <v>0</v>
      </c>
      <c r="V52" s="19">
        <f>K$1*(0.000001*K52^3)+L$1*((-0.000002)*L52^3+0.00032*L52^2+(-0.0021)*L52)+M$1*((-0.000002)*M52^3+0.00032*M52^2+(-0.0021)*M52)+N$1*((-0.000002)*N52^3+0.00032*N52^2+(-0.0021)*N52)+O$1*((-0.000002)*O52^3+0.00032*O52^2+(-0.0021)*O52)</f>
        <v/>
      </c>
      <c r="W52" s="5">
        <f>P$1*((-0.000002)*P52^3+0.00032*P52^2+(-0.0021)*P52)+Q$1*((-0.000002)*Q52^3+0.00032*Q52^2+(-0.0021)*Q52)+R$1*((-0.000002)*R52^3+0.00032*R52^2+(-0.0021)*R52)+S$1*((-0.000002)*S52^3+0.00032*S52^2+(-0.0021)*S52)+T$1*((-0.000002)*T52^3+0.00032*T52^2+(-0.0021)*T52)</f>
        <v/>
      </c>
      <c r="X52">
        <f>(I$1*((-0.000002)*I52^3+0.00032*I52^2+(-0.0021)*I52)+J$1*((-0.000002)*J52^3+0.00032*J52^2+(-0.0021)*J52)+H$1*((-0.000002)*H52^3+0.00032*H52^2+(-0.0021)*H52))*(MAX(0.05,MIN(1,(2*J52+I52)/120)*MIN(1,I52/10)*MIN(1,J52/10)))</f>
        <v/>
      </c>
      <c r="Y52" s="5">
        <f>(I$1*((-0.000002)*I52^3+0.00032*I52^2+(-0.0021)*I52)+J$1*((-0.000002)*J52^3+0.00032*J52^2+(-0.0021)*J52)+H$1*((-0.000002)*H52^3+0.00032*H52^2+(-0.0021)*H52))*(MAX(0.05,MIN(1,(2*J52+I52)/120)*MIN(1,I52/10)*MIN(1,J52/10)))</f>
        <v/>
      </c>
      <c r="Z52">
        <f>U52*J$2+V52*O$2+W52*H$2</f>
        <v/>
      </c>
      <c r="AA52">
        <f>IF(AND(J52&gt;50,I52+J52&gt;75),"SP",IF(2*I52+J52&gt;120,"RP","CRAP"))</f>
        <v/>
      </c>
    </row>
    <row r="53" ht="13.5" customHeight="1" s="27" thickBot="1">
      <c r="A53">
        <f>(V53*V$2+W53*W$2+X53*X$2)*100/(V$4*V$2+W$4*W$2+X$4*X$2)</f>
        <v/>
      </c>
      <c r="B53" s="16" t="n">
        <v>79</v>
      </c>
      <c r="C53" s="10" t="inlineStr">
        <is>
          <t>Cruz, Carlos</t>
        </is>
      </c>
      <c r="D53" s="17" t="inlineStr">
        <is>
          <t>P</t>
        </is>
      </c>
      <c r="E53" s="17" t="inlineStr">
        <is>
          <t>S</t>
        </is>
      </c>
      <c r="F53" s="17" t="inlineStr">
        <is>
          <t>R</t>
        </is>
      </c>
      <c r="G53" s="17" t="n">
        <v>18</v>
      </c>
      <c r="H53" s="17" t="n"/>
      <c r="I53" s="17" t="n"/>
      <c r="J53" s="17" t="n">
        <v>39</v>
      </c>
      <c r="K53" s="17" t="n">
        <v>32</v>
      </c>
      <c r="L53" s="17" t="n">
        <v>39</v>
      </c>
      <c r="M53" s="17" t="n">
        <v>57</v>
      </c>
      <c r="N53" s="17" t="n">
        <v>68</v>
      </c>
      <c r="O53" s="17" t="n">
        <v>52</v>
      </c>
      <c r="P53" s="17" t="n">
        <v>88</v>
      </c>
      <c r="Q53" s="17" t="n">
        <v>60</v>
      </c>
      <c r="R53" s="17" t="n">
        <v>50</v>
      </c>
      <c r="S53" s="17" t="n">
        <v>37</v>
      </c>
      <c r="T53" s="17" t="n">
        <v>55</v>
      </c>
      <c r="U53" s="17" t="n">
        <v>28</v>
      </c>
      <c r="V53" s="17">
        <f>K$1*(0.000001*K53^3)+L$1*((-0.000002)*L53^3+0.00032*L53^2+(-0.0021)*L53)+M$1*((-0.000002)*M53^3+0.00032*M53^2+(-0.0021)*M53)+N$1*((-0.000002)*N53^3+0.00032*N53^2+(-0.0021)*N53)+O$1*((-0.000002)*O53^3+0.00032*O53^2+(-0.0021)*O53)</f>
        <v/>
      </c>
      <c r="W53" s="5">
        <f>P$1*((-0.000002)*P53^3+0.00032*P53^2+(-0.0021)*P53)+Q$1*((-0.000002)*Q53^3+0.00032*Q53^2+(-0.0021)*Q53)+R$1*((-0.000002)*R53^3+0.00032*R53^2+(-0.0021)*R53)+S$1*((-0.000002)*S53^3+0.00032*S53^2+(-0.0021)*S53)+T$1*((-0.000002)*T53^3+0.00032*T53^2+(-0.0021)*T53)</f>
        <v/>
      </c>
      <c r="X53">
        <f>(I$1*((-0.000002)*I53^3+0.00032*I53^2+(-0.0021)*I53)+J$1*((-0.000002)*J53^3+0.00032*J53^2+(-0.0021)*J53)+H$1*((-0.000002)*H53^3+0.00032*H53^2+(-0.0021)*H53))*(MAX(0.05,MIN(1,(2*J53+I53)/120)*MIN(1,I53/10)*MIN(1,J53/10)))</f>
        <v/>
      </c>
      <c r="Y53" s="5">
        <f>(I$1*((-0.000002)*I53^3+0.00032*I53^2+(-0.0021)*I53)+J$1*((-0.000002)*J53^3+0.00032*J53^2+(-0.0021)*J53)+H$1*((-0.000002)*H53^3+0.00032*H53^2+(-0.0021)*H53))*(MAX(0.05,MIN(1,(2*J53+I53)/120)*MIN(1,I53/10)*MIN(1,J53/10)))</f>
        <v/>
      </c>
      <c r="Z53">
        <f>U53*J$2+V53*O$2+W53*H$2</f>
        <v/>
      </c>
      <c r="AA53">
        <f>IF(AND(J53&gt;50,I53+J53&gt;75),"SP",IF(2*I53+J53&gt;120,"RP","CRAP"))</f>
        <v/>
      </c>
    </row>
    <row r="54" ht="13.5" customHeight="1" s="27" thickBot="1">
      <c r="A54">
        <f>(V54*V$2+W54*W$2+X54*X$2)*100/(V$4*V$2+W$4*W$2+X$4*X$2)</f>
        <v/>
      </c>
      <c r="B54" s="18" t="n">
        <v>88</v>
      </c>
      <c r="C54" s="11" t="inlineStr">
        <is>
          <t>Telis, Victor</t>
        </is>
      </c>
      <c r="D54" s="19" t="inlineStr">
        <is>
          <t>P</t>
        </is>
      </c>
      <c r="E54" s="19" t="inlineStr">
        <is>
          <t>R</t>
        </is>
      </c>
      <c r="F54" s="19" t="inlineStr">
        <is>
          <t>R</t>
        </is>
      </c>
      <c r="G54" s="19" t="n">
        <v>18</v>
      </c>
      <c r="H54" s="19" t="n"/>
      <c r="I54" s="19" t="n"/>
      <c r="J54" s="19" t="n">
        <v>25</v>
      </c>
      <c r="K54" s="19" t="n">
        <v>47</v>
      </c>
      <c r="L54" s="19" t="n">
        <v>71</v>
      </c>
      <c r="M54" s="19" t="n">
        <v>38</v>
      </c>
      <c r="N54" s="19" t="n">
        <v>48</v>
      </c>
      <c r="O54" s="19" t="n">
        <v>29</v>
      </c>
      <c r="P54" s="19" t="n">
        <v>55</v>
      </c>
      <c r="Q54" s="19" t="n">
        <v>68</v>
      </c>
      <c r="R54" s="19" t="n">
        <v>60</v>
      </c>
      <c r="S54" s="19" t="n">
        <v>56</v>
      </c>
      <c r="T54" s="19" t="n">
        <v>34</v>
      </c>
      <c r="U54" s="19" t="n">
        <v>0</v>
      </c>
      <c r="V54" s="19">
        <f>K$1*(0.000001*K54^3)+L$1*((-0.000002)*L54^3+0.00032*L54^2+(-0.0021)*L54)+M$1*((-0.000002)*M54^3+0.00032*M54^2+(-0.0021)*M54)+N$1*((-0.000002)*N54^3+0.00032*N54^2+(-0.0021)*N54)+O$1*((-0.000002)*O54^3+0.00032*O54^2+(-0.0021)*O54)</f>
        <v/>
      </c>
      <c r="W54" s="5">
        <f>P$1*((-0.000002)*P54^3+0.00032*P54^2+(-0.0021)*P54)+Q$1*((-0.000002)*Q54^3+0.00032*Q54^2+(-0.0021)*Q54)+R$1*((-0.000002)*R54^3+0.00032*R54^2+(-0.0021)*R54)+S$1*((-0.000002)*S54^3+0.00032*S54^2+(-0.0021)*S54)+T$1*((-0.000002)*T54^3+0.00032*T54^2+(-0.0021)*T54)</f>
        <v/>
      </c>
      <c r="X54">
        <f>(I$1*((-0.000002)*I54^3+0.00032*I54^2+(-0.0021)*I54)+J$1*((-0.000002)*J54^3+0.00032*J54^2+(-0.0021)*J54)+H$1*((-0.000002)*H54^3+0.00032*H54^2+(-0.0021)*H54))*(MAX(0.05,MIN(1,(2*J54+I54)/120)*MIN(1,I54/10)*MIN(1,J54/10)))</f>
        <v/>
      </c>
      <c r="Y54" s="5">
        <f>(I$1*((-0.000002)*I54^3+0.00032*I54^2+(-0.0021)*I54)+J$1*((-0.000002)*J54^3+0.00032*J54^2+(-0.0021)*J54)+H$1*((-0.000002)*H54^3+0.00032*H54^2+(-0.0021)*H54))*(MAX(0.05,MIN(1,(2*J54+I54)/120)*MIN(1,I54/10)*MIN(1,J54/10)))</f>
        <v/>
      </c>
      <c r="Z54">
        <f>U54*J$2+V54*O$2+W54*H$2</f>
        <v/>
      </c>
      <c r="AA54">
        <f>IF(AND(J54&gt;50,I54+J54&gt;75),"SP",IF(2*I54+J54&gt;120,"RP","CRAP"))</f>
        <v/>
      </c>
    </row>
    <row r="55" ht="13.5" customHeight="1" s="27" thickBot="1">
      <c r="A55">
        <f>(V55*V$2+W55*W$2+X55*X$2)*100/(V$4*V$2+W$4*W$2+X$4*X$2)</f>
        <v/>
      </c>
      <c r="B55" s="18" t="n">
        <v>168</v>
      </c>
      <c r="C55" s="11" t="inlineStr">
        <is>
          <t>Diaz, Dante</t>
        </is>
      </c>
      <c r="D55" s="19" t="inlineStr">
        <is>
          <t>P</t>
        </is>
      </c>
      <c r="E55" s="19" t="inlineStr">
        <is>
          <t>L</t>
        </is>
      </c>
      <c r="F55" s="19" t="inlineStr">
        <is>
          <t>L</t>
        </is>
      </c>
      <c r="G55" s="19" t="n">
        <v>22</v>
      </c>
      <c r="H55" s="19" t="n"/>
      <c r="I55" s="19" t="n"/>
      <c r="J55" s="19" t="n">
        <v>41</v>
      </c>
      <c r="K55" s="19" t="n">
        <v>22</v>
      </c>
      <c r="L55" s="19" t="n">
        <v>78</v>
      </c>
      <c r="M55" s="19" t="n">
        <v>59</v>
      </c>
      <c r="N55" s="19" t="n">
        <v>31</v>
      </c>
      <c r="O55" s="19" t="n">
        <v>44</v>
      </c>
      <c r="P55" s="19" t="n">
        <v>78</v>
      </c>
      <c r="Q55" s="19" t="n">
        <v>49</v>
      </c>
      <c r="R55" s="19" t="n">
        <v>68</v>
      </c>
      <c r="S55" s="19" t="n">
        <v>13</v>
      </c>
      <c r="T55" s="19" t="n">
        <v>5</v>
      </c>
      <c r="U55" s="19" t="n">
        <v>0</v>
      </c>
      <c r="V55" s="19">
        <f>K$1*(0.000001*K55^3)+L$1*((-0.000002)*L55^3+0.00032*L55^2+(-0.0021)*L55)+M$1*((-0.000002)*M55^3+0.00032*M55^2+(-0.0021)*M55)+N$1*((-0.000002)*N55^3+0.00032*N55^2+(-0.0021)*N55)+O$1*((-0.000002)*O55^3+0.00032*O55^2+(-0.0021)*O55)</f>
        <v/>
      </c>
      <c r="W55" s="5">
        <f>P$1*((-0.000002)*P55^3+0.00032*P55^2+(-0.0021)*P55)+Q$1*((-0.000002)*Q55^3+0.00032*Q55^2+(-0.0021)*Q55)+R$1*((-0.000002)*R55^3+0.00032*R55^2+(-0.0021)*R55)+S$1*((-0.000002)*S55^3+0.00032*S55^2+(-0.0021)*S55)+T$1*((-0.000002)*T55^3+0.00032*T55^2+(-0.0021)*T55)</f>
        <v/>
      </c>
      <c r="X55">
        <f>(I$1*((-0.000002)*I55^3+0.00032*I55^2+(-0.0021)*I55)+J$1*((-0.000002)*J55^3+0.00032*J55^2+(-0.0021)*J55)+H$1*((-0.000002)*H55^3+0.00032*H55^2+(-0.0021)*H55))*(MAX(0.05,MIN(1,(2*J55+I55)/120)*MIN(1,I55/10)*MIN(1,J55/10)))</f>
        <v/>
      </c>
      <c r="Y55" s="5">
        <f>(I$1*((-0.000002)*I55^3+0.00032*I55^2+(-0.0021)*I55)+J$1*((-0.000002)*J55^3+0.00032*J55^2+(-0.0021)*J55)+H$1*((-0.000002)*H55^3+0.00032*H55^2+(-0.0021)*H55))*(MAX(0.05,MIN(1,(2*J55+I55)/120)*MIN(1,I55/10)*MIN(1,J55/10)))</f>
        <v/>
      </c>
      <c r="Z55">
        <f>U55*J$2+V55*O$2+W55*H$2</f>
        <v/>
      </c>
      <c r="AA55">
        <f>IF(AND(J55&gt;50,I55+J55&gt;75),"SP",IF(2*I55+J55&gt;120,"RP","CRAP"))</f>
        <v/>
      </c>
    </row>
    <row r="56" ht="13.5" customHeight="1" s="27" thickBot="1">
      <c r="A56">
        <f>(V56*V$2+W56*W$2+X56*X$2)*100/(V$4*V$2+W$4*W$2+X$4*X$2)</f>
        <v/>
      </c>
      <c r="B56" s="18" t="n">
        <v>50</v>
      </c>
      <c r="C56" s="11" t="inlineStr">
        <is>
          <t>Morey, Goose</t>
        </is>
      </c>
      <c r="D56" s="19" t="inlineStr">
        <is>
          <t>P</t>
        </is>
      </c>
      <c r="E56" s="19" t="inlineStr">
        <is>
          <t>S</t>
        </is>
      </c>
      <c r="F56" s="19" t="inlineStr">
        <is>
          <t>R</t>
        </is>
      </c>
      <c r="G56" s="19" t="n">
        <v>18</v>
      </c>
      <c r="H56" s="19" t="n"/>
      <c r="I56" s="19" t="n"/>
      <c r="J56" s="19" t="n">
        <v>34</v>
      </c>
      <c r="K56" s="19" t="n">
        <v>71</v>
      </c>
      <c r="L56" s="19" t="n">
        <v>40</v>
      </c>
      <c r="M56" s="19" t="n">
        <v>44</v>
      </c>
      <c r="N56" s="19" t="n">
        <v>74</v>
      </c>
      <c r="O56" s="19" t="n">
        <v>46</v>
      </c>
      <c r="P56" s="19" t="n">
        <v>35</v>
      </c>
      <c r="Q56" s="19" t="n">
        <v>97</v>
      </c>
      <c r="R56" s="19" t="n">
        <v>65</v>
      </c>
      <c r="S56" s="19" t="n">
        <v>38</v>
      </c>
      <c r="T56" s="19" t="n">
        <v>0</v>
      </c>
      <c r="U56" s="19" t="n">
        <v>0</v>
      </c>
      <c r="V56" s="19">
        <f>K$1*(0.000001*K56^3)+L$1*((-0.000002)*L56^3+0.00032*L56^2+(-0.0021)*L56)+M$1*((-0.000002)*M56^3+0.00032*M56^2+(-0.0021)*M56)+N$1*((-0.000002)*N56^3+0.00032*N56^2+(-0.0021)*N56)+O$1*((-0.000002)*O56^3+0.00032*O56^2+(-0.0021)*O56)</f>
        <v/>
      </c>
      <c r="W56" s="5">
        <f>P$1*((-0.000002)*P56^3+0.00032*P56^2+(-0.0021)*P56)+Q$1*((-0.000002)*Q56^3+0.00032*Q56^2+(-0.0021)*Q56)+R$1*((-0.000002)*R56^3+0.00032*R56^2+(-0.0021)*R56)+S$1*((-0.000002)*S56^3+0.00032*S56^2+(-0.0021)*S56)+T$1*((-0.000002)*T56^3+0.00032*T56^2+(-0.0021)*T56)</f>
        <v/>
      </c>
      <c r="X56">
        <f>(I$1*((-0.000002)*I56^3+0.00032*I56^2+(-0.0021)*I56)+J$1*((-0.000002)*J56^3+0.00032*J56^2+(-0.0021)*J56)+H$1*((-0.000002)*H56^3+0.00032*H56^2+(-0.0021)*H56))*(MAX(0.05,MIN(1,(2*J56+I56)/120)*MIN(1,I56/10)*MIN(1,J56/10)))</f>
        <v/>
      </c>
      <c r="Y56" s="5">
        <f>(I$1*((-0.000002)*I56^3+0.00032*I56^2+(-0.0021)*I56)+J$1*((-0.000002)*J56^3+0.00032*J56^2+(-0.0021)*J56)+H$1*((-0.000002)*H56^3+0.00032*H56^2+(-0.0021)*H56))*(MAX(0.05,MIN(1,(2*J56+I56)/120)*MIN(1,I56/10)*MIN(1,J56/10)))</f>
        <v/>
      </c>
      <c r="Z56">
        <f>U56*J$2+V56*O$2+W56*H$2</f>
        <v/>
      </c>
      <c r="AA56">
        <f>IF(AND(J56&gt;50,I56+J56&gt;75),"SP",IF(2*I56+J56&gt;120,"RP","CRAP"))</f>
        <v/>
      </c>
    </row>
    <row r="57" ht="13.5" customHeight="1" s="27" thickBot="1">
      <c r="A57">
        <f>(V57*V$2+W57*W$2+X57*X$2)*100/(V$4*V$2+W$4*W$2+X$4*X$2)</f>
        <v/>
      </c>
      <c r="B57" s="18" t="n">
        <v>70</v>
      </c>
      <c r="C57" s="11" t="inlineStr">
        <is>
          <t>Jodie, Roy</t>
        </is>
      </c>
      <c r="D57" s="19" t="inlineStr">
        <is>
          <t>P</t>
        </is>
      </c>
      <c r="E57" s="19" t="inlineStr">
        <is>
          <t>R</t>
        </is>
      </c>
      <c r="F57" s="19" t="inlineStr">
        <is>
          <t>R</t>
        </is>
      </c>
      <c r="G57" s="19" t="n">
        <v>18</v>
      </c>
      <c r="H57" s="19" t="n"/>
      <c r="I57" s="19" t="n"/>
      <c r="J57" s="19" t="n">
        <v>38</v>
      </c>
      <c r="K57" s="19" t="n">
        <v>88</v>
      </c>
      <c r="L57" s="19" t="n">
        <v>84</v>
      </c>
      <c r="M57" s="19" t="n">
        <v>30</v>
      </c>
      <c r="N57" s="19" t="n">
        <v>21</v>
      </c>
      <c r="O57" s="19" t="n">
        <v>76</v>
      </c>
      <c r="P57" s="19" t="n">
        <v>49</v>
      </c>
      <c r="Q57" s="19" t="n">
        <v>61</v>
      </c>
      <c r="R57" s="19" t="n">
        <v>46</v>
      </c>
      <c r="S57" s="19" t="n">
        <v>27</v>
      </c>
      <c r="T57" s="19" t="n">
        <v>27</v>
      </c>
      <c r="U57" s="19" t="n">
        <v>0</v>
      </c>
      <c r="V57" s="19">
        <f>K$1*(0.000001*K57^3)+L$1*((-0.000002)*L57^3+0.00032*L57^2+(-0.0021)*L57)+M$1*((-0.000002)*M57^3+0.00032*M57^2+(-0.0021)*M57)+N$1*((-0.000002)*N57^3+0.00032*N57^2+(-0.0021)*N57)+O$1*((-0.000002)*O57^3+0.00032*O57^2+(-0.0021)*O57)</f>
        <v/>
      </c>
      <c r="W57" s="5">
        <f>P$1*((-0.000002)*P57^3+0.00032*P57^2+(-0.0021)*P57)+Q$1*((-0.000002)*Q57^3+0.00032*Q57^2+(-0.0021)*Q57)+R$1*((-0.000002)*R57^3+0.00032*R57^2+(-0.0021)*R57)+S$1*((-0.000002)*S57^3+0.00032*S57^2+(-0.0021)*S57)+T$1*((-0.000002)*T57^3+0.00032*T57^2+(-0.0021)*T57)</f>
        <v/>
      </c>
      <c r="X57">
        <f>(I$1*((-0.000002)*I57^3+0.00032*I57^2+(-0.0021)*I57)+J$1*((-0.000002)*J57^3+0.00032*J57^2+(-0.0021)*J57)+H$1*((-0.000002)*H57^3+0.00032*H57^2+(-0.0021)*H57))*(MAX(0.05,MIN(1,(2*J57+I57)/120)*MIN(1,I57/10)*MIN(1,J57/10)))</f>
        <v/>
      </c>
      <c r="Y57" s="5">
        <f>(I$1*((-0.000002)*I57^3+0.00032*I57^2+(-0.0021)*I57)+J$1*((-0.000002)*J57^3+0.00032*J57^2+(-0.0021)*J57)+H$1*((-0.000002)*H57^3+0.00032*H57^2+(-0.0021)*H57))*(MAX(0.05,MIN(1,(2*J57+I57)/120)*MIN(1,I57/10)*MIN(1,J57/10)))</f>
        <v/>
      </c>
      <c r="Z57">
        <f>U57*J$2+V57*O$2+W57*H$2</f>
        <v/>
      </c>
      <c r="AA57">
        <f>IF(AND(J57&gt;50,I57+J57&gt;75),"SP",IF(2*I57+J57&gt;120,"RP","CRAP"))</f>
        <v/>
      </c>
    </row>
    <row r="58" ht="13.5" customHeight="1" s="27" thickBot="1">
      <c r="A58">
        <f>(V58*V$2+W58*W$2+X58*X$2)*100/(V$4*V$2+W$4*W$2+X$4*X$2)</f>
        <v/>
      </c>
      <c r="B58" s="16" t="n">
        <v>159</v>
      </c>
      <c r="C58" s="10" t="inlineStr">
        <is>
          <t>Giles, Matt</t>
        </is>
      </c>
      <c r="D58" s="17" t="inlineStr">
        <is>
          <t>P</t>
        </is>
      </c>
      <c r="E58" s="17" t="inlineStr">
        <is>
          <t>R</t>
        </is>
      </c>
      <c r="F58" s="17" t="inlineStr">
        <is>
          <t>R</t>
        </is>
      </c>
      <c r="G58" s="17" t="n">
        <v>19</v>
      </c>
      <c r="H58" s="17" t="n"/>
      <c r="I58" s="17" t="n"/>
      <c r="J58" s="17" t="n">
        <v>60</v>
      </c>
      <c r="K58" s="17" t="n">
        <v>33</v>
      </c>
      <c r="L58" s="17" t="n">
        <v>93</v>
      </c>
      <c r="M58" s="17" t="n">
        <v>40</v>
      </c>
      <c r="N58" s="17" t="n">
        <v>28</v>
      </c>
      <c r="O58" s="17" t="n">
        <v>75</v>
      </c>
      <c r="P58" s="17" t="n">
        <v>52</v>
      </c>
      <c r="Q58" s="17" t="n">
        <v>56</v>
      </c>
      <c r="R58" s="17" t="n">
        <v>69</v>
      </c>
      <c r="S58" s="17" t="n">
        <v>0</v>
      </c>
      <c r="T58" s="17" t="n">
        <v>0</v>
      </c>
      <c r="U58" s="17" t="n">
        <v>0</v>
      </c>
      <c r="V58" s="17">
        <f>K$1*(0.000001*K58^3)+L$1*((-0.000002)*L58^3+0.00032*L58^2+(-0.0021)*L58)+M$1*((-0.000002)*M58^3+0.00032*M58^2+(-0.0021)*M58)+N$1*((-0.000002)*N58^3+0.00032*N58^2+(-0.0021)*N58)+O$1*((-0.000002)*O58^3+0.00032*O58^2+(-0.0021)*O58)</f>
        <v/>
      </c>
      <c r="W58" s="5">
        <f>P$1*((-0.000002)*P58^3+0.00032*P58^2+(-0.0021)*P58)+Q$1*((-0.000002)*Q58^3+0.00032*Q58^2+(-0.0021)*Q58)+R$1*((-0.000002)*R58^3+0.00032*R58^2+(-0.0021)*R58)+S$1*((-0.000002)*S58^3+0.00032*S58^2+(-0.0021)*S58)+T$1*((-0.000002)*T58^3+0.00032*T58^2+(-0.0021)*T58)</f>
        <v/>
      </c>
      <c r="X58">
        <f>(I$1*((-0.000002)*I58^3+0.00032*I58^2+(-0.0021)*I58)+J$1*((-0.000002)*J58^3+0.00032*J58^2+(-0.0021)*J58)+H$1*((-0.000002)*H58^3+0.00032*H58^2+(-0.0021)*H58))*(MAX(0.05,MIN(1,(2*J58+I58)/120)*MIN(1,I58/10)*MIN(1,J58/10)))</f>
        <v/>
      </c>
      <c r="Y58" s="5">
        <f>(I$1*((-0.000002)*I58^3+0.00032*I58^2+(-0.0021)*I58)+J$1*((-0.000002)*J58^3+0.00032*J58^2+(-0.0021)*J58)+H$1*((-0.000002)*H58^3+0.00032*H58^2+(-0.0021)*H58))*(MAX(0.05,MIN(1,(2*J58+I58)/120)*MIN(1,I58/10)*MIN(1,J58/10)))</f>
        <v/>
      </c>
      <c r="Z58">
        <f>U58*J$2+V58*O$2+W58*H$2</f>
        <v/>
      </c>
      <c r="AA58">
        <f>IF(AND(J58&gt;50,I58+J58&gt;75),"SP",IF(2*I58+J58&gt;120,"RP","CRAP"))</f>
        <v/>
      </c>
    </row>
    <row r="59" ht="13.5" customHeight="1" s="27" thickBot="1">
      <c r="A59">
        <f>(V59*V$2+W59*W$2+X59*X$2)*100/(V$4*V$2+W$4*W$2+X$4*X$2)</f>
        <v/>
      </c>
      <c r="B59" s="16" t="n">
        <v>107</v>
      </c>
      <c r="C59" s="10" t="inlineStr">
        <is>
          <t>Egan, Jody</t>
        </is>
      </c>
      <c r="D59" s="17" t="inlineStr">
        <is>
          <t>P</t>
        </is>
      </c>
      <c r="E59" s="17" t="inlineStr">
        <is>
          <t>R</t>
        </is>
      </c>
      <c r="F59" s="17" t="inlineStr">
        <is>
          <t>R</t>
        </is>
      </c>
      <c r="G59" s="17" t="n">
        <v>18</v>
      </c>
      <c r="H59" s="17" t="n"/>
      <c r="I59" s="17" t="n"/>
      <c r="J59" s="17" t="n">
        <v>29</v>
      </c>
      <c r="K59" s="17" t="n">
        <v>81</v>
      </c>
      <c r="L59" s="17" t="n">
        <v>74</v>
      </c>
      <c r="M59" s="17" t="n">
        <v>15</v>
      </c>
      <c r="N59" s="17" t="n">
        <v>31</v>
      </c>
      <c r="O59" s="17" t="n">
        <v>34</v>
      </c>
      <c r="P59" s="17" t="n">
        <v>50</v>
      </c>
      <c r="Q59" s="17" t="n">
        <v>74</v>
      </c>
      <c r="R59" s="17" t="n">
        <v>61</v>
      </c>
      <c r="S59" s="17" t="n">
        <v>40</v>
      </c>
      <c r="T59" s="17" t="n">
        <v>38</v>
      </c>
      <c r="U59" s="17" t="n">
        <v>27</v>
      </c>
      <c r="V59" s="17">
        <f>K$1*(0.000001*K59^3)+L$1*((-0.000002)*L59^3+0.00032*L59^2+(-0.0021)*L59)+M$1*((-0.000002)*M59^3+0.00032*M59^2+(-0.0021)*M59)+N$1*((-0.000002)*N59^3+0.00032*N59^2+(-0.0021)*N59)+O$1*((-0.000002)*O59^3+0.00032*O59^2+(-0.0021)*O59)</f>
        <v/>
      </c>
      <c r="W59" s="5">
        <f>P$1*((-0.000002)*P59^3+0.00032*P59^2+(-0.0021)*P59)+Q$1*((-0.000002)*Q59^3+0.00032*Q59^2+(-0.0021)*Q59)+R$1*((-0.000002)*R59^3+0.00032*R59^2+(-0.0021)*R59)+S$1*((-0.000002)*S59^3+0.00032*S59^2+(-0.0021)*S59)+T$1*((-0.000002)*T59^3+0.00032*T59^2+(-0.0021)*T59)</f>
        <v/>
      </c>
      <c r="X59">
        <f>(I$1*((-0.000002)*I59^3+0.00032*I59^2+(-0.0021)*I59)+J$1*((-0.000002)*J59^3+0.00032*J59^2+(-0.0021)*J59)+H$1*((-0.000002)*H59^3+0.00032*H59^2+(-0.0021)*H59))*(MAX(0.05,MIN(1,(2*J59+I59)/120)*MIN(1,I59/10)*MIN(1,J59/10)))</f>
        <v/>
      </c>
      <c r="Y59" s="5">
        <f>(I$1*((-0.000002)*I59^3+0.00032*I59^2+(-0.0021)*I59)+J$1*((-0.000002)*J59^3+0.00032*J59^2+(-0.0021)*J59)+H$1*((-0.000002)*H59^3+0.00032*H59^2+(-0.0021)*H59))*(MAX(0.05,MIN(1,(2*J59+I59)/120)*MIN(1,I59/10)*MIN(1,J59/10)))</f>
        <v/>
      </c>
      <c r="Z59">
        <f>U59*J$2+V59*O$2+W59*H$2</f>
        <v/>
      </c>
      <c r="AA59">
        <f>IF(AND(J59&gt;50,I59+J59&gt;75),"SP",IF(2*I59+J59&gt;120,"RP","CRAP"))</f>
        <v/>
      </c>
    </row>
    <row r="60" ht="13.5" customHeight="1" s="27" thickBot="1">
      <c r="A60">
        <f>(V60*V$2+W60*W$2+X60*X$2)*100/(V$4*V$2+W$4*W$2+X$4*X$2)</f>
        <v/>
      </c>
      <c r="B60" s="16" t="n">
        <v>95</v>
      </c>
      <c r="C60" s="10" t="inlineStr">
        <is>
          <t>Stairs, Leo</t>
        </is>
      </c>
      <c r="D60" s="17" t="inlineStr">
        <is>
          <t>P</t>
        </is>
      </c>
      <c r="E60" s="17" t="inlineStr">
        <is>
          <t>L</t>
        </is>
      </c>
      <c r="F60" s="17" t="inlineStr">
        <is>
          <t>L</t>
        </is>
      </c>
      <c r="G60" s="17" t="n">
        <v>18</v>
      </c>
      <c r="H60" s="17" t="n"/>
      <c r="I60" s="17" t="n"/>
      <c r="J60" s="17" t="n">
        <v>81</v>
      </c>
      <c r="K60" s="17" t="n">
        <v>22</v>
      </c>
      <c r="L60" s="17" t="n">
        <v>84</v>
      </c>
      <c r="M60" s="17" t="n">
        <v>34</v>
      </c>
      <c r="N60" s="17" t="n">
        <v>32</v>
      </c>
      <c r="O60" s="17" t="n">
        <v>47</v>
      </c>
      <c r="P60" s="17" t="n">
        <v>50</v>
      </c>
      <c r="Q60" s="17" t="n">
        <v>80</v>
      </c>
      <c r="R60" s="17" t="n">
        <v>66</v>
      </c>
      <c r="S60" s="17" t="n">
        <v>0</v>
      </c>
      <c r="T60" s="17" t="n">
        <v>0</v>
      </c>
      <c r="U60" s="17" t="n">
        <v>0</v>
      </c>
      <c r="V60" s="17">
        <f>K$1*(0.000001*K60^3)+L$1*((-0.000002)*L60^3+0.00032*L60^2+(-0.0021)*L60)+M$1*((-0.000002)*M60^3+0.00032*M60^2+(-0.0021)*M60)+N$1*((-0.000002)*N60^3+0.00032*N60^2+(-0.0021)*N60)+O$1*((-0.000002)*O60^3+0.00032*O60^2+(-0.0021)*O60)</f>
        <v/>
      </c>
      <c r="W60" s="5">
        <f>P$1*((-0.000002)*P60^3+0.00032*P60^2+(-0.0021)*P60)+Q$1*((-0.000002)*Q60^3+0.00032*Q60^2+(-0.0021)*Q60)+R$1*((-0.000002)*R60^3+0.00032*R60^2+(-0.0021)*R60)+S$1*((-0.000002)*S60^3+0.00032*S60^2+(-0.0021)*S60)+T$1*((-0.000002)*T60^3+0.00032*T60^2+(-0.0021)*T60)</f>
        <v/>
      </c>
      <c r="X60">
        <f>(I$1*((-0.000002)*I60^3+0.00032*I60^2+(-0.0021)*I60)+J$1*((-0.000002)*J60^3+0.00032*J60^2+(-0.0021)*J60)+H$1*((-0.000002)*H60^3+0.00032*H60^2+(-0.0021)*H60))*(MAX(0.05,MIN(1,(2*J60+I60)/120)*MIN(1,I60/10)*MIN(1,J60/10)))</f>
        <v/>
      </c>
      <c r="Y60" s="5">
        <f>(I$1*((-0.000002)*I60^3+0.00032*I60^2+(-0.0021)*I60)+J$1*((-0.000002)*J60^3+0.00032*J60^2+(-0.0021)*J60)+H$1*((-0.000002)*H60^3+0.00032*H60^2+(-0.0021)*H60))*(MAX(0.05,MIN(1,(2*J60+I60)/120)*MIN(1,I60/10)*MIN(1,J60/10)))</f>
        <v/>
      </c>
      <c r="Z60">
        <f>U60*J$2+V60*O$2+W60*H$2</f>
        <v/>
      </c>
      <c r="AA60">
        <f>IF(AND(J60&gt;50,I60+J60&gt;75),"SP",IF(2*I60+J60&gt;120,"RP","CRAP"))</f>
        <v/>
      </c>
    </row>
    <row r="61" ht="13.5" customHeight="1" s="27" thickBot="1">
      <c r="A61">
        <f>(V61*V$2+W61*W$2+X61*X$2)*100/(V$4*V$2+W$4*W$2+X$4*X$2)</f>
        <v/>
      </c>
      <c r="B61" s="18" t="n">
        <v>102</v>
      </c>
      <c r="C61" s="11" t="inlineStr">
        <is>
          <t>Buford, Aaron</t>
        </is>
      </c>
      <c r="D61" s="19" t="inlineStr">
        <is>
          <t>P</t>
        </is>
      </c>
      <c r="E61" s="19" t="inlineStr">
        <is>
          <t>L</t>
        </is>
      </c>
      <c r="F61" s="19" t="inlineStr">
        <is>
          <t>L</t>
        </is>
      </c>
      <c r="G61" s="19" t="n">
        <v>18</v>
      </c>
      <c r="H61" s="19" t="n"/>
      <c r="I61" s="19" t="n"/>
      <c r="J61" s="19" t="n">
        <v>63</v>
      </c>
      <c r="K61" s="19" t="n">
        <v>19</v>
      </c>
      <c r="L61" s="19" t="n">
        <v>83</v>
      </c>
      <c r="M61" s="19" t="n">
        <v>41</v>
      </c>
      <c r="N61" s="19" t="n">
        <v>32</v>
      </c>
      <c r="O61" s="19" t="n">
        <v>81</v>
      </c>
      <c r="P61" s="19" t="n">
        <v>36</v>
      </c>
      <c r="Q61" s="19" t="n">
        <v>82</v>
      </c>
      <c r="R61" s="19" t="n">
        <v>55</v>
      </c>
      <c r="S61" s="19" t="n">
        <v>37</v>
      </c>
      <c r="T61" s="19" t="n">
        <v>0</v>
      </c>
      <c r="U61" s="19" t="n">
        <v>0</v>
      </c>
      <c r="V61" s="19">
        <f>K$1*(0.000001*K61^3)+L$1*((-0.000002)*L61^3+0.00032*L61^2+(-0.0021)*L61)+M$1*((-0.000002)*M61^3+0.00032*M61^2+(-0.0021)*M61)+N$1*((-0.000002)*N61^3+0.00032*N61^2+(-0.0021)*N61)+O$1*((-0.000002)*O61^3+0.00032*O61^2+(-0.0021)*O61)</f>
        <v/>
      </c>
      <c r="W61" s="5">
        <f>P$1*((-0.000002)*P61^3+0.00032*P61^2+(-0.0021)*P61)+Q$1*((-0.000002)*Q61^3+0.00032*Q61^2+(-0.0021)*Q61)+R$1*((-0.000002)*R61^3+0.00032*R61^2+(-0.0021)*R61)+S$1*((-0.000002)*S61^3+0.00032*S61^2+(-0.0021)*S61)+T$1*((-0.000002)*T61^3+0.00032*T61^2+(-0.0021)*T61)</f>
        <v/>
      </c>
      <c r="X61">
        <f>(I$1*((-0.000002)*I61^3+0.00032*I61^2+(-0.0021)*I61)+J$1*((-0.000002)*J61^3+0.00032*J61^2+(-0.0021)*J61)+H$1*((-0.000002)*H61^3+0.00032*H61^2+(-0.0021)*H61))*(MAX(0.05,MIN(1,(2*J61+I61)/120)*MIN(1,I61/10)*MIN(1,J61/10)))</f>
        <v/>
      </c>
      <c r="Y61" s="5">
        <f>(I$1*((-0.000002)*I61^3+0.00032*I61^2+(-0.0021)*I61)+J$1*((-0.000002)*J61^3+0.00032*J61^2+(-0.0021)*J61)+H$1*((-0.000002)*H61^3+0.00032*H61^2+(-0.0021)*H61))*(MAX(0.05,MIN(1,(2*J61+I61)/120)*MIN(1,I61/10)*MIN(1,J61/10)))</f>
        <v/>
      </c>
      <c r="Z61">
        <f>U61*J$2+V61*O$2+W61*H$2</f>
        <v/>
      </c>
      <c r="AA61">
        <f>IF(AND(J61&gt;50,I61+J61&gt;75),"SP",IF(2*I61+J61&gt;120,"RP","CRAP"))</f>
        <v/>
      </c>
    </row>
    <row r="62" ht="13.5" customHeight="1" s="27" thickBot="1">
      <c r="A62">
        <f>(V62*V$2+W62*W$2+X62*X$2)*100/(V$4*V$2+W$4*W$2+X$4*X$2)</f>
        <v/>
      </c>
      <c r="B62" s="18" t="n">
        <v>74</v>
      </c>
      <c r="C62" s="11" t="inlineStr">
        <is>
          <t>Miles, Scott</t>
        </is>
      </c>
      <c r="D62" s="19" t="inlineStr">
        <is>
          <t>P</t>
        </is>
      </c>
      <c r="E62" s="19" t="inlineStr">
        <is>
          <t>R</t>
        </is>
      </c>
      <c r="F62" s="19" t="inlineStr">
        <is>
          <t>R</t>
        </is>
      </c>
      <c r="G62" s="19" t="n">
        <v>18</v>
      </c>
      <c r="H62" s="19" t="n"/>
      <c r="I62" s="19" t="n"/>
      <c r="J62" s="19" t="n">
        <v>30</v>
      </c>
      <c r="K62" s="19" t="n">
        <v>69</v>
      </c>
      <c r="L62" s="19" t="n">
        <v>57</v>
      </c>
      <c r="M62" s="19" t="n">
        <v>37</v>
      </c>
      <c r="N62" s="19" t="n">
        <v>42</v>
      </c>
      <c r="O62" s="19" t="n">
        <v>79</v>
      </c>
      <c r="P62" s="19" t="n">
        <v>42</v>
      </c>
      <c r="Q62" s="19" t="n">
        <v>64</v>
      </c>
      <c r="R62" s="19" t="n">
        <v>79</v>
      </c>
      <c r="S62" s="19" t="n">
        <v>40</v>
      </c>
      <c r="T62" s="19" t="n">
        <v>35</v>
      </c>
      <c r="U62" s="19" t="n">
        <v>0</v>
      </c>
      <c r="V62" s="19">
        <f>K$1*(0.000001*K62^3)+L$1*((-0.000002)*L62^3+0.00032*L62^2+(-0.0021)*L62)+M$1*((-0.000002)*M62^3+0.00032*M62^2+(-0.0021)*M62)+N$1*((-0.000002)*N62^3+0.00032*N62^2+(-0.0021)*N62)+O$1*((-0.000002)*O62^3+0.00032*O62^2+(-0.0021)*O62)</f>
        <v/>
      </c>
      <c r="W62" s="5">
        <f>P$1*((-0.000002)*P62^3+0.00032*P62^2+(-0.0021)*P62)+Q$1*((-0.000002)*Q62^3+0.00032*Q62^2+(-0.0021)*Q62)+R$1*((-0.000002)*R62^3+0.00032*R62^2+(-0.0021)*R62)+S$1*((-0.000002)*S62^3+0.00032*S62^2+(-0.0021)*S62)+T$1*((-0.000002)*T62^3+0.00032*T62^2+(-0.0021)*T62)</f>
        <v/>
      </c>
      <c r="X62">
        <f>(I$1*((-0.000002)*I62^3+0.00032*I62^2+(-0.0021)*I62)+J$1*((-0.000002)*J62^3+0.00032*J62^2+(-0.0021)*J62)+H$1*((-0.000002)*H62^3+0.00032*H62^2+(-0.0021)*H62))*(MAX(0.05,MIN(1,(2*J62+I62)/120)*MIN(1,I62/10)*MIN(1,J62/10)))</f>
        <v/>
      </c>
      <c r="Y62" s="5">
        <f>(I$1*((-0.000002)*I62^3+0.00032*I62^2+(-0.0021)*I62)+J$1*((-0.000002)*J62^3+0.00032*J62^2+(-0.0021)*J62)+H$1*((-0.000002)*H62^3+0.00032*H62^2+(-0.0021)*H62))*(MAX(0.05,MIN(1,(2*J62+I62)/120)*MIN(1,I62/10)*MIN(1,J62/10)))</f>
        <v/>
      </c>
      <c r="Z62">
        <f>U62*J$2+V62*O$2+W62*H$2</f>
        <v/>
      </c>
      <c r="AA62">
        <f>IF(AND(J62&gt;50,I62+J62&gt;75),"SP",IF(2*I62+J62&gt;120,"RP","CRAP"))</f>
        <v/>
      </c>
    </row>
    <row r="63" ht="13.5" customHeight="1" s="27" thickBot="1">
      <c r="A63">
        <f>(V63*V$2+W63*W$2+X63*X$2)*100/(V$4*V$2+W$4*W$2+X$4*X$2)</f>
        <v/>
      </c>
      <c r="B63" s="18" t="n">
        <v>126</v>
      </c>
      <c r="C63" s="11" t="inlineStr">
        <is>
          <t>Pfisterer, Randal</t>
        </is>
      </c>
      <c r="D63" s="19" t="inlineStr">
        <is>
          <t>P</t>
        </is>
      </c>
      <c r="E63" s="19" t="inlineStr">
        <is>
          <t>R</t>
        </is>
      </c>
      <c r="F63" s="19" t="inlineStr">
        <is>
          <t>R</t>
        </is>
      </c>
      <c r="G63" s="19" t="n">
        <v>18</v>
      </c>
      <c r="H63" s="19" t="n"/>
      <c r="I63" s="19" t="n"/>
      <c r="J63" s="19" t="n">
        <v>36</v>
      </c>
      <c r="K63" s="19" t="n">
        <v>24</v>
      </c>
      <c r="L63" s="19" t="n">
        <v>81</v>
      </c>
      <c r="M63" s="19" t="n">
        <v>34</v>
      </c>
      <c r="N63" s="19" t="n">
        <v>36</v>
      </c>
      <c r="O63" s="19" t="n">
        <v>58</v>
      </c>
      <c r="P63" s="19" t="n">
        <v>52</v>
      </c>
      <c r="Q63" s="19" t="n">
        <v>62</v>
      </c>
      <c r="R63" s="19" t="n">
        <v>53</v>
      </c>
      <c r="S63" s="19" t="n">
        <v>48</v>
      </c>
      <c r="T63" s="19" t="n">
        <v>45</v>
      </c>
      <c r="U63" s="19" t="n">
        <v>31</v>
      </c>
      <c r="V63" s="19">
        <f>K$1*(0.000001*K63^3)+L$1*((-0.000002)*L63^3+0.00032*L63^2+(-0.0021)*L63)+M$1*((-0.000002)*M63^3+0.00032*M63^2+(-0.0021)*M63)+N$1*((-0.000002)*N63^3+0.00032*N63^2+(-0.0021)*N63)+O$1*((-0.000002)*O63^3+0.00032*O63^2+(-0.0021)*O63)</f>
        <v/>
      </c>
      <c r="W63" s="5">
        <f>P$1*((-0.000002)*P63^3+0.00032*P63^2+(-0.0021)*P63)+Q$1*((-0.000002)*Q63^3+0.00032*Q63^2+(-0.0021)*Q63)+R$1*((-0.000002)*R63^3+0.00032*R63^2+(-0.0021)*R63)+S$1*((-0.000002)*S63^3+0.00032*S63^2+(-0.0021)*S63)+T$1*((-0.000002)*T63^3+0.00032*T63^2+(-0.0021)*T63)</f>
        <v/>
      </c>
      <c r="X63">
        <f>(I$1*((-0.000002)*I63^3+0.00032*I63^2+(-0.0021)*I63)+J$1*((-0.000002)*J63^3+0.00032*J63^2+(-0.0021)*J63)+H$1*((-0.000002)*H63^3+0.00032*H63^2+(-0.0021)*H63))*(MAX(0.05,MIN(1,(2*J63+I63)/120)*MIN(1,I63/10)*MIN(1,J63/10)))</f>
        <v/>
      </c>
      <c r="Y63" s="5">
        <f>(I$1*((-0.000002)*I63^3+0.00032*I63^2+(-0.0021)*I63)+J$1*((-0.000002)*J63^3+0.00032*J63^2+(-0.0021)*J63)+H$1*((-0.000002)*H63^3+0.00032*H63^2+(-0.0021)*H63))*(MAX(0.05,MIN(1,(2*J63+I63)/120)*MIN(1,I63/10)*MIN(1,J63/10)))</f>
        <v/>
      </c>
      <c r="Z63">
        <f>U63*J$2+V63*O$2+W63*H$2</f>
        <v/>
      </c>
      <c r="AA63">
        <f>IF(AND(J63&gt;50,I63+J63&gt;75),"SP",IF(2*I63+J63&gt;120,"RP","CRAP"))</f>
        <v/>
      </c>
    </row>
    <row r="64" ht="13.5" customHeight="1" s="27" thickBot="1">
      <c r="A64">
        <f>(V64*V$2+W64*W$2+X64*X$2)*100/(V$4*V$2+W$4*W$2+X$4*X$2)</f>
        <v/>
      </c>
      <c r="B64" s="16" t="n">
        <v>99</v>
      </c>
      <c r="C64" s="10" t="inlineStr">
        <is>
          <t>Rodgers, Gil</t>
        </is>
      </c>
      <c r="D64" s="17" t="inlineStr">
        <is>
          <t>P</t>
        </is>
      </c>
      <c r="E64" s="17" t="inlineStr">
        <is>
          <t>R</t>
        </is>
      </c>
      <c r="F64" s="17" t="inlineStr">
        <is>
          <t>R</t>
        </is>
      </c>
      <c r="G64" s="17" t="n">
        <v>18</v>
      </c>
      <c r="H64" s="17" t="n"/>
      <c r="I64" s="17" t="n"/>
      <c r="J64" s="17" t="n">
        <v>86</v>
      </c>
      <c r="K64" s="17" t="n">
        <v>22</v>
      </c>
      <c r="L64" s="17" t="n">
        <v>42</v>
      </c>
      <c r="M64" s="17" t="n">
        <v>34</v>
      </c>
      <c r="N64" s="17" t="n">
        <v>36</v>
      </c>
      <c r="O64" s="17" t="n">
        <v>58</v>
      </c>
      <c r="P64" s="17" t="n">
        <v>84</v>
      </c>
      <c r="Q64" s="17" t="n">
        <v>85</v>
      </c>
      <c r="R64" s="17" t="n">
        <v>77</v>
      </c>
      <c r="S64" s="17" t="n">
        <v>64</v>
      </c>
      <c r="T64" s="17" t="n">
        <v>0</v>
      </c>
      <c r="U64" s="17" t="n">
        <v>0</v>
      </c>
      <c r="V64" s="17">
        <f>K$1*(0.000001*K64^3)+L$1*((-0.000002)*L64^3+0.00032*L64^2+(-0.0021)*L64)+M$1*((-0.000002)*M64^3+0.00032*M64^2+(-0.0021)*M64)+N$1*((-0.000002)*N64^3+0.00032*N64^2+(-0.0021)*N64)+O$1*((-0.000002)*O64^3+0.00032*O64^2+(-0.0021)*O64)</f>
        <v/>
      </c>
      <c r="W64" s="5">
        <f>P$1*((-0.000002)*P64^3+0.00032*P64^2+(-0.0021)*P64)+Q$1*((-0.000002)*Q64^3+0.00032*Q64^2+(-0.0021)*Q64)+R$1*((-0.000002)*R64^3+0.00032*R64^2+(-0.0021)*R64)+S$1*((-0.000002)*S64^3+0.00032*S64^2+(-0.0021)*S64)+T$1*((-0.000002)*T64^3+0.00032*T64^2+(-0.0021)*T64)</f>
        <v/>
      </c>
      <c r="X64">
        <f>(I$1*((-0.000002)*I64^3+0.00032*I64^2+(-0.0021)*I64)+J$1*((-0.000002)*J64^3+0.00032*J64^2+(-0.0021)*J64)+H$1*((-0.000002)*H64^3+0.00032*H64^2+(-0.0021)*H64))*(MAX(0.05,MIN(1,(2*J64+I64)/120)*MIN(1,I64/10)*MIN(1,J64/10)))</f>
        <v/>
      </c>
      <c r="Y64" s="5">
        <f>(I$1*((-0.000002)*I64^3+0.00032*I64^2+(-0.0021)*I64)+J$1*((-0.000002)*J64^3+0.00032*J64^2+(-0.0021)*J64)+H$1*((-0.000002)*H64^3+0.00032*H64^2+(-0.0021)*H64))*(MAX(0.05,MIN(1,(2*J64+I64)/120)*MIN(1,I64/10)*MIN(1,J64/10)))</f>
        <v/>
      </c>
      <c r="Z64">
        <f>U64*J$2+V64*O$2+W64*H$2</f>
        <v/>
      </c>
      <c r="AA64">
        <f>IF(AND(J64&gt;50,I64+J64&gt;75),"SP",IF(2*I64+J64&gt;120,"RP","CRAP"))</f>
        <v/>
      </c>
    </row>
    <row r="65" ht="13.5" customHeight="1" s="27" thickBot="1">
      <c r="A65">
        <f>(V65*V$2+W65*W$2+X65*X$2)*100/(V$4*V$2+W$4*W$2+X$4*X$2)</f>
        <v/>
      </c>
      <c r="B65" s="16" t="n">
        <v>123</v>
      </c>
      <c r="C65" s="10" t="inlineStr">
        <is>
          <t>Ordonez, Kendrys</t>
        </is>
      </c>
      <c r="D65" s="17" t="inlineStr">
        <is>
          <t>P</t>
        </is>
      </c>
      <c r="E65" s="17" t="inlineStr">
        <is>
          <t>R</t>
        </is>
      </c>
      <c r="F65" s="17" t="inlineStr">
        <is>
          <t>R</t>
        </is>
      </c>
      <c r="G65" s="17" t="n">
        <v>18</v>
      </c>
      <c r="H65" s="17" t="n"/>
      <c r="I65" s="17" t="n"/>
      <c r="J65" s="17" t="n">
        <v>39</v>
      </c>
      <c r="K65" s="17" t="n">
        <v>31</v>
      </c>
      <c r="L65" s="17" t="n">
        <v>86</v>
      </c>
      <c r="M65" s="17" t="n">
        <v>30</v>
      </c>
      <c r="N65" s="17" t="n">
        <v>35</v>
      </c>
      <c r="O65" s="17" t="n">
        <v>25</v>
      </c>
      <c r="P65" s="17" t="n">
        <v>43</v>
      </c>
      <c r="Q65" s="17" t="n">
        <v>79</v>
      </c>
      <c r="R65" s="17" t="n">
        <v>51</v>
      </c>
      <c r="S65" s="17" t="n">
        <v>36</v>
      </c>
      <c r="T65" s="17" t="n">
        <v>0</v>
      </c>
      <c r="U65" s="17" t="n">
        <v>0</v>
      </c>
      <c r="V65" s="17">
        <f>K$1*(0.000001*K65^3)+L$1*((-0.000002)*L65^3+0.00032*L65^2+(-0.0021)*L65)+M$1*((-0.000002)*M65^3+0.00032*M65^2+(-0.0021)*M65)+N$1*((-0.000002)*N65^3+0.00032*N65^2+(-0.0021)*N65)+O$1*((-0.000002)*O65^3+0.00032*O65^2+(-0.0021)*O65)</f>
        <v/>
      </c>
      <c r="W65" s="5">
        <f>P$1*((-0.000002)*P65^3+0.00032*P65^2+(-0.0021)*P65)+Q$1*((-0.000002)*Q65^3+0.00032*Q65^2+(-0.0021)*Q65)+R$1*((-0.000002)*R65^3+0.00032*R65^2+(-0.0021)*R65)+S$1*((-0.000002)*S65^3+0.00032*S65^2+(-0.0021)*S65)+T$1*((-0.000002)*T65^3+0.00032*T65^2+(-0.0021)*T65)</f>
        <v/>
      </c>
      <c r="X65">
        <f>(I$1*((-0.000002)*I65^3+0.00032*I65^2+(-0.0021)*I65)+J$1*((-0.000002)*J65^3+0.00032*J65^2+(-0.0021)*J65)+H$1*((-0.000002)*H65^3+0.00032*H65^2+(-0.0021)*H65))*(MAX(0.05,MIN(1,(2*J65+I65)/120)*MIN(1,I65/10)*MIN(1,J65/10)))</f>
        <v/>
      </c>
      <c r="Y65" s="5">
        <f>(I$1*((-0.000002)*I65^3+0.00032*I65^2+(-0.0021)*I65)+J$1*((-0.000002)*J65^3+0.00032*J65^2+(-0.0021)*J65)+H$1*((-0.000002)*H65^3+0.00032*H65^2+(-0.0021)*H65))*(MAX(0.05,MIN(1,(2*J65+I65)/120)*MIN(1,I65/10)*MIN(1,J65/10)))</f>
        <v/>
      </c>
      <c r="Z65">
        <f>U65*J$2+V65*O$2+W65*H$2</f>
        <v/>
      </c>
      <c r="AA65">
        <f>IF(AND(J65&gt;50,I65+J65&gt;75),"SP",IF(2*I65+J65&gt;120,"RP","CRAP"))</f>
        <v/>
      </c>
    </row>
    <row r="66" ht="13.5" customHeight="1" s="27" thickBot="1">
      <c r="A66">
        <f>(V66*V$2+W66*W$2+X66*X$2)*100/(V$4*V$2+W$4*W$2+X$4*X$2)</f>
        <v/>
      </c>
      <c r="B66" s="16" t="n">
        <v>101</v>
      </c>
      <c r="C66" s="10" t="inlineStr">
        <is>
          <t>Lowry, Howard</t>
        </is>
      </c>
      <c r="D66" s="17" t="inlineStr">
        <is>
          <t>P</t>
        </is>
      </c>
      <c r="E66" s="17" t="inlineStr">
        <is>
          <t>R</t>
        </is>
      </c>
      <c r="F66" s="17" t="inlineStr">
        <is>
          <t>R</t>
        </is>
      </c>
      <c r="G66" s="17" t="n">
        <v>18</v>
      </c>
      <c r="H66" s="17" t="n"/>
      <c r="I66" s="17" t="n"/>
      <c r="J66" s="17" t="n">
        <v>19</v>
      </c>
      <c r="K66" s="17" t="n">
        <v>61</v>
      </c>
      <c r="L66" s="17" t="n">
        <v>61</v>
      </c>
      <c r="M66" s="17" t="n">
        <v>37</v>
      </c>
      <c r="N66" s="17" t="n">
        <v>27</v>
      </c>
      <c r="O66" s="17" t="n">
        <v>74</v>
      </c>
      <c r="P66" s="17" t="n">
        <v>53</v>
      </c>
      <c r="Q66" s="17" t="n">
        <v>70</v>
      </c>
      <c r="R66" s="17" t="n">
        <v>66</v>
      </c>
      <c r="S66" s="17" t="n">
        <v>51</v>
      </c>
      <c r="T66" s="17" t="n">
        <v>36</v>
      </c>
      <c r="U66" s="17" t="n">
        <v>31</v>
      </c>
      <c r="V66" s="17">
        <f>K$1*(0.000001*K66^3)+L$1*((-0.000002)*L66^3+0.00032*L66^2+(-0.0021)*L66)+M$1*((-0.000002)*M66^3+0.00032*M66^2+(-0.0021)*M66)+N$1*((-0.000002)*N66^3+0.00032*N66^2+(-0.0021)*N66)+O$1*((-0.000002)*O66^3+0.00032*O66^2+(-0.0021)*O66)</f>
        <v/>
      </c>
      <c r="W66" s="5">
        <f>P$1*((-0.000002)*P66^3+0.00032*P66^2+(-0.0021)*P66)+Q$1*((-0.000002)*Q66^3+0.00032*Q66^2+(-0.0021)*Q66)+R$1*((-0.000002)*R66^3+0.00032*R66^2+(-0.0021)*R66)+S$1*((-0.000002)*S66^3+0.00032*S66^2+(-0.0021)*S66)+T$1*((-0.000002)*T66^3+0.00032*T66^2+(-0.0021)*T66)</f>
        <v/>
      </c>
      <c r="X66">
        <f>(I$1*((-0.000002)*I66^3+0.00032*I66^2+(-0.0021)*I66)+J$1*((-0.000002)*J66^3+0.00032*J66^2+(-0.0021)*J66)+H$1*((-0.000002)*H66^3+0.00032*H66^2+(-0.0021)*H66))*(MAX(0.05,MIN(1,(2*J66+I66)/120)*MIN(1,I66/10)*MIN(1,J66/10)))</f>
        <v/>
      </c>
      <c r="Y66" s="5">
        <f>(I$1*((-0.000002)*I66^3+0.00032*I66^2+(-0.0021)*I66)+J$1*((-0.000002)*J66^3+0.00032*J66^2+(-0.0021)*J66)+H$1*((-0.000002)*H66^3+0.00032*H66^2+(-0.0021)*H66))*(MAX(0.05,MIN(1,(2*J66+I66)/120)*MIN(1,I66/10)*MIN(1,J66/10)))</f>
        <v/>
      </c>
      <c r="Z66">
        <f>U66*J$2+V66*O$2+W66*H$2</f>
        <v/>
      </c>
      <c r="AA66">
        <f>IF(AND(J66&gt;50,I66+J66&gt;75),"SP",IF(2*I66+J66&gt;120,"RP","CRAP"))</f>
        <v/>
      </c>
    </row>
    <row r="67" ht="13.5" customHeight="1" s="27" thickBot="1">
      <c r="A67">
        <f>(V67*V$2+W67*W$2+X67*X$2)*100/(V$4*V$2+W$4*W$2+X$4*X$2)</f>
        <v/>
      </c>
      <c r="B67" s="18" t="n">
        <v>144</v>
      </c>
      <c r="C67" s="11" t="inlineStr">
        <is>
          <t>Lennon, Dennis</t>
        </is>
      </c>
      <c r="D67" s="19" t="inlineStr">
        <is>
          <t>P</t>
        </is>
      </c>
      <c r="E67" s="19" t="inlineStr">
        <is>
          <t>R</t>
        </is>
      </c>
      <c r="F67" s="19" t="inlineStr">
        <is>
          <t>R</t>
        </is>
      </c>
      <c r="G67" s="19" t="n">
        <v>22</v>
      </c>
      <c r="H67" s="19" t="n"/>
      <c r="I67" s="19" t="n"/>
      <c r="J67" s="19" t="n">
        <v>37</v>
      </c>
      <c r="K67" s="19" t="n">
        <v>70</v>
      </c>
      <c r="L67" s="19" t="n">
        <v>59</v>
      </c>
      <c r="M67" s="19" t="n">
        <v>72</v>
      </c>
      <c r="N67" s="19" t="n">
        <v>33</v>
      </c>
      <c r="O67" s="19" t="n">
        <v>53</v>
      </c>
      <c r="P67" s="19" t="n">
        <v>35</v>
      </c>
      <c r="Q67" s="19" t="n">
        <v>49</v>
      </c>
      <c r="R67" s="19" t="n">
        <v>62</v>
      </c>
      <c r="S67" s="19" t="n">
        <v>63</v>
      </c>
      <c r="T67" s="19" t="n">
        <v>7</v>
      </c>
      <c r="U67" s="19" t="n">
        <v>0</v>
      </c>
      <c r="V67" s="19">
        <f>K$1*(0.000001*K67^3)+L$1*((-0.000002)*L67^3+0.00032*L67^2+(-0.0021)*L67)+M$1*((-0.000002)*M67^3+0.00032*M67^2+(-0.0021)*M67)+N$1*((-0.000002)*N67^3+0.00032*N67^2+(-0.0021)*N67)+O$1*((-0.000002)*O67^3+0.00032*O67^2+(-0.0021)*O67)</f>
        <v/>
      </c>
      <c r="W67" s="5">
        <f>P$1*((-0.000002)*P67^3+0.00032*P67^2+(-0.0021)*P67)+Q$1*((-0.000002)*Q67^3+0.00032*Q67^2+(-0.0021)*Q67)+R$1*((-0.000002)*R67^3+0.00032*R67^2+(-0.0021)*R67)+S$1*((-0.000002)*S67^3+0.00032*S67^2+(-0.0021)*S67)+T$1*((-0.000002)*T67^3+0.00032*T67^2+(-0.0021)*T67)</f>
        <v/>
      </c>
      <c r="X67">
        <f>(I$1*((-0.000002)*I67^3+0.00032*I67^2+(-0.0021)*I67)+J$1*((-0.000002)*J67^3+0.00032*J67^2+(-0.0021)*J67)+H$1*((-0.000002)*H67^3+0.00032*H67^2+(-0.0021)*H67))*(MAX(0.05,MIN(1,(2*J67+I67)/120)*MIN(1,I67/10)*MIN(1,J67/10)))</f>
        <v/>
      </c>
      <c r="Y67" s="5">
        <f>(I$1*((-0.000002)*I67^3+0.00032*I67^2+(-0.0021)*I67)+J$1*((-0.000002)*J67^3+0.00032*J67^2+(-0.0021)*J67)+H$1*((-0.000002)*H67^3+0.00032*H67^2+(-0.0021)*H67))*(MAX(0.05,MIN(1,(2*J67+I67)/120)*MIN(1,I67/10)*MIN(1,J67/10)))</f>
        <v/>
      </c>
      <c r="Z67">
        <f>U67*J$2+V67*O$2+W67*H$2</f>
        <v/>
      </c>
      <c r="AA67">
        <f>IF(AND(J67&gt;50,I67+J67&gt;75),"SP",IF(2*I67+J67&gt;120,"RP","CRAP"))</f>
        <v/>
      </c>
    </row>
    <row r="68" ht="13.5" customHeight="1" s="27" thickBot="1">
      <c r="A68">
        <f>(V68*V$2+W68*W$2+X68*X$2)*100/(V$4*V$2+W$4*W$2+X$4*X$2)</f>
        <v/>
      </c>
      <c r="B68" s="16" t="n">
        <v>135</v>
      </c>
      <c r="C68" s="10" t="inlineStr">
        <is>
          <t>Fleming, Morgan</t>
        </is>
      </c>
      <c r="D68" s="17" t="inlineStr">
        <is>
          <t>P</t>
        </is>
      </c>
      <c r="E68" s="17" t="inlineStr">
        <is>
          <t>L</t>
        </is>
      </c>
      <c r="F68" s="17" t="inlineStr">
        <is>
          <t>L</t>
        </is>
      </c>
      <c r="G68" s="17" t="n">
        <v>18</v>
      </c>
      <c r="H68" s="17" t="n"/>
      <c r="I68" s="17" t="n"/>
      <c r="J68" s="17" t="n">
        <v>33</v>
      </c>
      <c r="K68" s="17" t="n">
        <v>28</v>
      </c>
      <c r="L68" s="17" t="n">
        <v>89</v>
      </c>
      <c r="M68" s="17" t="n">
        <v>38</v>
      </c>
      <c r="N68" s="17" t="n">
        <v>31</v>
      </c>
      <c r="O68" s="17" t="n">
        <v>35</v>
      </c>
      <c r="P68" s="17" t="n">
        <v>41</v>
      </c>
      <c r="Q68" s="17" t="n">
        <v>68</v>
      </c>
      <c r="R68" s="17" t="n">
        <v>57</v>
      </c>
      <c r="S68" s="17" t="n">
        <v>46</v>
      </c>
      <c r="T68" s="17" t="n">
        <v>0</v>
      </c>
      <c r="U68" s="17" t="n">
        <v>0</v>
      </c>
      <c r="V68" s="17">
        <f>K$1*(0.000001*K68^3)+L$1*((-0.000002)*L68^3+0.00032*L68^2+(-0.0021)*L68)+M$1*((-0.000002)*M68^3+0.00032*M68^2+(-0.0021)*M68)+N$1*((-0.000002)*N68^3+0.00032*N68^2+(-0.0021)*N68)+O$1*((-0.000002)*O68^3+0.00032*O68^2+(-0.0021)*O68)</f>
        <v/>
      </c>
      <c r="W68" s="5">
        <f>P$1*((-0.000002)*P68^3+0.00032*P68^2+(-0.0021)*P68)+Q$1*((-0.000002)*Q68^3+0.00032*Q68^2+(-0.0021)*Q68)+R$1*((-0.000002)*R68^3+0.00032*R68^2+(-0.0021)*R68)+S$1*((-0.000002)*S68^3+0.00032*S68^2+(-0.0021)*S68)+T$1*((-0.000002)*T68^3+0.00032*T68^2+(-0.0021)*T68)</f>
        <v/>
      </c>
      <c r="X68">
        <f>(I$1*((-0.000002)*I68^3+0.00032*I68^2+(-0.0021)*I68)+J$1*((-0.000002)*J68^3+0.00032*J68^2+(-0.0021)*J68)+H$1*((-0.000002)*H68^3+0.00032*H68^2+(-0.0021)*H68))*(MAX(0.05,MIN(1,(2*J68+I68)/120)*MIN(1,I68/10)*MIN(1,J68/10)))</f>
        <v/>
      </c>
      <c r="Y68" s="5">
        <f>(I$1*((-0.000002)*I68^3+0.00032*I68^2+(-0.0021)*I68)+J$1*((-0.000002)*J68^3+0.00032*J68^2+(-0.0021)*J68)+H$1*((-0.000002)*H68^3+0.00032*H68^2+(-0.0021)*H68))*(MAX(0.05,MIN(1,(2*J68+I68)/120)*MIN(1,I68/10)*MIN(1,J68/10)))</f>
        <v/>
      </c>
      <c r="Z68">
        <f>U68*J$2+V68*O$2+W68*H$2</f>
        <v/>
      </c>
      <c r="AA68">
        <f>IF(AND(J68&gt;50,I68+J68&gt;75),"SP",IF(2*I68+J68&gt;120,"RP","CRAP"))</f>
        <v/>
      </c>
    </row>
    <row r="69" ht="13.5" customHeight="1" s="27" thickBot="1">
      <c r="A69">
        <f>(V69*V$2+W69*W$2+X69*X$2)*100/(V$4*V$2+W$4*W$2+X$4*X$2)</f>
        <v/>
      </c>
      <c r="B69" s="18" t="n">
        <v>110</v>
      </c>
      <c r="C69" s="11" t="inlineStr">
        <is>
          <t>Delgado, Tomas</t>
        </is>
      </c>
      <c r="D69" s="19" t="inlineStr">
        <is>
          <t>P</t>
        </is>
      </c>
      <c r="E69" s="19" t="inlineStr">
        <is>
          <t>L</t>
        </is>
      </c>
      <c r="F69" s="19" t="inlineStr">
        <is>
          <t>L</t>
        </is>
      </c>
      <c r="G69" s="19" t="n">
        <v>18</v>
      </c>
      <c r="H69" s="19" t="n"/>
      <c r="I69" s="19" t="n"/>
      <c r="J69" s="19" t="n">
        <v>48</v>
      </c>
      <c r="K69" s="19" t="n">
        <v>25</v>
      </c>
      <c r="L69" s="19" t="n">
        <v>53</v>
      </c>
      <c r="M69" s="19" t="n">
        <v>37</v>
      </c>
      <c r="N69" s="19" t="n">
        <v>38</v>
      </c>
      <c r="O69" s="19" t="n">
        <v>37</v>
      </c>
      <c r="P69" s="19" t="n">
        <v>68</v>
      </c>
      <c r="Q69" s="19" t="n">
        <v>82</v>
      </c>
      <c r="R69" s="19" t="n">
        <v>68</v>
      </c>
      <c r="S69" s="19" t="n">
        <v>52</v>
      </c>
      <c r="T69" s="19" t="n">
        <v>0</v>
      </c>
      <c r="U69" s="19" t="n">
        <v>0</v>
      </c>
      <c r="V69" s="19">
        <f>K$1*(0.000001*K69^3)+L$1*((-0.000002)*L69^3+0.00032*L69^2+(-0.0021)*L69)+M$1*((-0.000002)*M69^3+0.00032*M69^2+(-0.0021)*M69)+N$1*((-0.000002)*N69^3+0.00032*N69^2+(-0.0021)*N69)+O$1*((-0.000002)*O69^3+0.00032*O69^2+(-0.0021)*O69)</f>
        <v/>
      </c>
      <c r="W69" s="5">
        <f>P$1*((-0.000002)*P69^3+0.00032*P69^2+(-0.0021)*P69)+Q$1*((-0.000002)*Q69^3+0.00032*Q69^2+(-0.0021)*Q69)+R$1*((-0.000002)*R69^3+0.00032*R69^2+(-0.0021)*R69)+S$1*((-0.000002)*S69^3+0.00032*S69^2+(-0.0021)*S69)+T$1*((-0.000002)*T69^3+0.00032*T69^2+(-0.0021)*T69)</f>
        <v/>
      </c>
      <c r="X69">
        <f>(I$1*((-0.000002)*I69^3+0.00032*I69^2+(-0.0021)*I69)+J$1*((-0.000002)*J69^3+0.00032*J69^2+(-0.0021)*J69)+H$1*((-0.000002)*H69^3+0.00032*H69^2+(-0.0021)*H69))*(MAX(0.05,MIN(1,(2*J69+I69)/120)*MIN(1,I69/10)*MIN(1,J69/10)))</f>
        <v/>
      </c>
      <c r="Y69" s="5">
        <f>(I$1*((-0.000002)*I69^3+0.00032*I69^2+(-0.0021)*I69)+J$1*((-0.000002)*J69^3+0.00032*J69^2+(-0.0021)*J69)+H$1*((-0.000002)*H69^3+0.00032*H69^2+(-0.0021)*H69))*(MAX(0.05,MIN(1,(2*J69+I69)/120)*MIN(1,I69/10)*MIN(1,J69/10)))</f>
        <v/>
      </c>
      <c r="Z69">
        <f>U69*J$2+V69*O$2+W69*H$2</f>
        <v/>
      </c>
      <c r="AA69">
        <f>IF(AND(J69&gt;50,I69+J69&gt;75),"SP",IF(2*I69+J69&gt;120,"RP","CRAP"))</f>
        <v/>
      </c>
    </row>
    <row r="70" ht="13.5" customHeight="1" s="27" thickBot="1">
      <c r="A70">
        <f>(V70*V$2+W70*W$2+X70*X$2)*100/(V$4*V$2+W$4*W$2+X$4*X$2)</f>
        <v/>
      </c>
      <c r="B70" s="16" t="n">
        <v>121</v>
      </c>
      <c r="C70" s="10" t="inlineStr">
        <is>
          <t>Teixeira, Howie</t>
        </is>
      </c>
      <c r="D70" s="17" t="inlineStr">
        <is>
          <t>P</t>
        </is>
      </c>
      <c r="E70" s="17" t="inlineStr">
        <is>
          <t>R</t>
        </is>
      </c>
      <c r="F70" s="17" t="inlineStr">
        <is>
          <t>R</t>
        </is>
      </c>
      <c r="G70" s="17" t="n">
        <v>18</v>
      </c>
      <c r="H70" s="17" t="n"/>
      <c r="I70" s="17" t="n"/>
      <c r="J70" s="17" t="n">
        <v>60</v>
      </c>
      <c r="K70" s="17" t="n">
        <v>20</v>
      </c>
      <c r="L70" s="17" t="n">
        <v>63</v>
      </c>
      <c r="M70" s="17" t="n">
        <v>42</v>
      </c>
      <c r="N70" s="17" t="n">
        <v>36</v>
      </c>
      <c r="O70" s="17" t="n">
        <v>50</v>
      </c>
      <c r="P70" s="17" t="n">
        <v>60</v>
      </c>
      <c r="Q70" s="17" t="n">
        <v>66</v>
      </c>
      <c r="R70" s="17" t="n">
        <v>64</v>
      </c>
      <c r="S70" s="17" t="n">
        <v>41</v>
      </c>
      <c r="T70" s="17" t="n">
        <v>0</v>
      </c>
      <c r="U70" s="17" t="n">
        <v>0</v>
      </c>
      <c r="V70" s="17">
        <f>K$1*(0.000001*K70^3)+L$1*((-0.000002)*L70^3+0.00032*L70^2+(-0.0021)*L70)+M$1*((-0.000002)*M70^3+0.00032*M70^2+(-0.0021)*M70)+N$1*((-0.000002)*N70^3+0.00032*N70^2+(-0.0021)*N70)+O$1*((-0.000002)*O70^3+0.00032*O70^2+(-0.0021)*O70)</f>
        <v/>
      </c>
      <c r="W70" s="5">
        <f>P$1*((-0.000002)*P70^3+0.00032*P70^2+(-0.0021)*P70)+Q$1*((-0.000002)*Q70^3+0.00032*Q70^2+(-0.0021)*Q70)+R$1*((-0.000002)*R70^3+0.00032*R70^2+(-0.0021)*R70)+S$1*((-0.000002)*S70^3+0.00032*S70^2+(-0.0021)*S70)+T$1*((-0.000002)*T70^3+0.00032*T70^2+(-0.0021)*T70)</f>
        <v/>
      </c>
      <c r="X70">
        <f>(I$1*((-0.000002)*I70^3+0.00032*I70^2+(-0.0021)*I70)+J$1*((-0.000002)*J70^3+0.00032*J70^2+(-0.0021)*J70)+H$1*((-0.000002)*H70^3+0.00032*H70^2+(-0.0021)*H70))*(MAX(0.05,MIN(1,(2*J70+I70)/120)*MIN(1,I70/10)*MIN(1,J70/10)))</f>
        <v/>
      </c>
      <c r="Y70" s="5">
        <f>(I$1*((-0.000002)*I70^3+0.00032*I70^2+(-0.0021)*I70)+J$1*((-0.000002)*J70^3+0.00032*J70^2+(-0.0021)*J70)+H$1*((-0.000002)*H70^3+0.00032*H70^2+(-0.0021)*H70))*(MAX(0.05,MIN(1,(2*J70+I70)/120)*MIN(1,I70/10)*MIN(1,J70/10)))</f>
        <v/>
      </c>
      <c r="Z70">
        <f>U70*J$2+V70*O$2+W70*H$2</f>
        <v/>
      </c>
      <c r="AA70">
        <f>IF(AND(J70&gt;50,I70+J70&gt;75),"SP",IF(2*I70+J70&gt;120,"RP","CRAP"))</f>
        <v/>
      </c>
    </row>
    <row r="71" ht="13.5" customHeight="1" s="27" thickBot="1">
      <c r="A71">
        <f>(V71*V$2+W71*W$2+X71*X$2)*100/(V$4*V$2+W$4*W$2+X$4*X$2)</f>
        <v/>
      </c>
      <c r="B71" s="16" t="n">
        <v>113</v>
      </c>
      <c r="C71" s="10" t="inlineStr">
        <is>
          <t>Bastardo, Juan</t>
        </is>
      </c>
      <c r="D71" s="17" t="inlineStr">
        <is>
          <t>P</t>
        </is>
      </c>
      <c r="E71" s="17" t="inlineStr">
        <is>
          <t>L</t>
        </is>
      </c>
      <c r="F71" s="17" t="inlineStr">
        <is>
          <t>L</t>
        </is>
      </c>
      <c r="G71" s="17" t="n">
        <v>18</v>
      </c>
      <c r="H71" s="17" t="n"/>
      <c r="I71" s="17" t="n"/>
      <c r="J71" s="17" t="n">
        <v>35</v>
      </c>
      <c r="K71" s="17" t="n">
        <v>62</v>
      </c>
      <c r="L71" s="17" t="n">
        <v>70</v>
      </c>
      <c r="M71" s="17" t="n">
        <v>32</v>
      </c>
      <c r="N71" s="17" t="n">
        <v>20</v>
      </c>
      <c r="O71" s="17" t="n">
        <v>37</v>
      </c>
      <c r="P71" s="17" t="n">
        <v>49</v>
      </c>
      <c r="Q71" s="17" t="n">
        <v>69</v>
      </c>
      <c r="R71" s="17" t="n">
        <v>61</v>
      </c>
      <c r="S71" s="17" t="n">
        <v>45</v>
      </c>
      <c r="T71" s="17" t="n">
        <v>21</v>
      </c>
      <c r="U71" s="17" t="n">
        <v>0</v>
      </c>
      <c r="V71" s="17">
        <f>K$1*(0.000001*K71^3)+L$1*((-0.000002)*L71^3+0.00032*L71^2+(-0.0021)*L71)+M$1*((-0.000002)*M71^3+0.00032*M71^2+(-0.0021)*M71)+N$1*((-0.000002)*N71^3+0.00032*N71^2+(-0.0021)*N71)+O$1*((-0.000002)*O71^3+0.00032*O71^2+(-0.0021)*O71)</f>
        <v/>
      </c>
      <c r="W71" s="5">
        <f>P$1*((-0.000002)*P71^3+0.00032*P71^2+(-0.0021)*P71)+Q$1*((-0.000002)*Q71^3+0.00032*Q71^2+(-0.0021)*Q71)+R$1*((-0.000002)*R71^3+0.00032*R71^2+(-0.0021)*R71)+S$1*((-0.000002)*S71^3+0.00032*S71^2+(-0.0021)*S71)+T$1*((-0.000002)*T71^3+0.00032*T71^2+(-0.0021)*T71)</f>
        <v/>
      </c>
      <c r="X71">
        <f>(I$1*((-0.000002)*I71^3+0.00032*I71^2+(-0.0021)*I71)+J$1*((-0.000002)*J71^3+0.00032*J71^2+(-0.0021)*J71)+H$1*((-0.000002)*H71^3+0.00032*H71^2+(-0.0021)*H71))*(MAX(0.05,MIN(1,(2*J71+I71)/120)*MIN(1,I71/10)*MIN(1,J71/10)))</f>
        <v/>
      </c>
      <c r="Y71" s="5">
        <f>(I$1*((-0.000002)*I71^3+0.00032*I71^2+(-0.0021)*I71)+J$1*((-0.000002)*J71^3+0.00032*J71^2+(-0.0021)*J71)+H$1*((-0.000002)*H71^3+0.00032*H71^2+(-0.0021)*H71))*(MAX(0.05,MIN(1,(2*J71+I71)/120)*MIN(1,I71/10)*MIN(1,J71/10)))</f>
        <v/>
      </c>
      <c r="Z71">
        <f>U71*J$2+V71*O$2+W71*H$2</f>
        <v/>
      </c>
      <c r="AA71">
        <f>IF(AND(J71&gt;50,I71+J71&gt;75),"SP",IF(2*I71+J71&gt;120,"RP","CRAP"))</f>
        <v/>
      </c>
    </row>
    <row r="72" ht="13.5" customHeight="1" s="27" thickBot="1">
      <c r="A72">
        <f>(V72*V$2+W72*W$2+X72*X$2)*100/(V$4*V$2+W$4*W$2+X$4*X$2)</f>
        <v/>
      </c>
      <c r="B72" s="16" t="n">
        <v>157</v>
      </c>
      <c r="C72" s="10" t="inlineStr">
        <is>
          <t>Randolph, Jamie</t>
        </is>
      </c>
      <c r="D72" s="17" t="inlineStr">
        <is>
          <t>P</t>
        </is>
      </c>
      <c r="E72" s="17" t="inlineStr">
        <is>
          <t>S</t>
        </is>
      </c>
      <c r="F72" s="17" t="inlineStr">
        <is>
          <t>R</t>
        </is>
      </c>
      <c r="G72" s="17" t="n">
        <v>19</v>
      </c>
      <c r="H72" s="17" t="n"/>
      <c r="I72" s="17" t="n"/>
      <c r="J72" s="17" t="n">
        <v>21</v>
      </c>
      <c r="K72" s="17" t="n">
        <v>83</v>
      </c>
      <c r="L72" s="17" t="n">
        <v>33</v>
      </c>
      <c r="M72" s="17" t="n">
        <v>36</v>
      </c>
      <c r="N72" s="17" t="n">
        <v>45</v>
      </c>
      <c r="O72" s="17" t="n">
        <v>66</v>
      </c>
      <c r="P72" s="17" t="n">
        <v>61</v>
      </c>
      <c r="Q72" s="17" t="n">
        <v>78</v>
      </c>
      <c r="R72" s="17" t="n">
        <v>43</v>
      </c>
      <c r="S72" s="17" t="n">
        <v>61</v>
      </c>
      <c r="T72" s="17" t="n">
        <v>43</v>
      </c>
      <c r="U72" s="17" t="n">
        <v>0</v>
      </c>
      <c r="V72" s="17">
        <f>K$1*(0.000001*K72^3)+L$1*((-0.000002)*L72^3+0.00032*L72^2+(-0.0021)*L72)+M$1*((-0.000002)*M72^3+0.00032*M72^2+(-0.0021)*M72)+N$1*((-0.000002)*N72^3+0.00032*N72^2+(-0.0021)*N72)+O$1*((-0.000002)*O72^3+0.00032*O72^2+(-0.0021)*O72)</f>
        <v/>
      </c>
      <c r="W72" s="5">
        <f>P$1*((-0.000002)*P72^3+0.00032*P72^2+(-0.0021)*P72)+Q$1*((-0.000002)*Q72^3+0.00032*Q72^2+(-0.0021)*Q72)+R$1*((-0.000002)*R72^3+0.00032*R72^2+(-0.0021)*R72)+S$1*((-0.000002)*S72^3+0.00032*S72^2+(-0.0021)*S72)+T$1*((-0.000002)*T72^3+0.00032*T72^2+(-0.0021)*T72)</f>
        <v/>
      </c>
      <c r="X72">
        <f>(I$1*((-0.000002)*I72^3+0.00032*I72^2+(-0.0021)*I72)+J$1*((-0.000002)*J72^3+0.00032*J72^2+(-0.0021)*J72)+H$1*((-0.000002)*H72^3+0.00032*H72^2+(-0.0021)*H72))*(MAX(0.05,MIN(1,(2*J72+I72)/120)*MIN(1,I72/10)*MIN(1,J72/10)))</f>
        <v/>
      </c>
      <c r="Y72" s="5">
        <f>(I$1*((-0.000002)*I72^3+0.00032*I72^2+(-0.0021)*I72)+J$1*((-0.000002)*J72^3+0.00032*J72^2+(-0.0021)*J72)+H$1*((-0.000002)*H72^3+0.00032*H72^2+(-0.0021)*H72))*(MAX(0.05,MIN(1,(2*J72+I72)/120)*MIN(1,I72/10)*MIN(1,J72/10)))</f>
        <v/>
      </c>
      <c r="Z72">
        <f>U72*J$2+V72*O$2+W72*H$2</f>
        <v/>
      </c>
      <c r="AA72">
        <f>IF(AND(J72&gt;50,I72+J72&gt;75),"SP",IF(2*I72+J72&gt;120,"RP","CRAP"))</f>
        <v/>
      </c>
    </row>
    <row r="73" ht="13.5" customHeight="1" s="27" thickBot="1">
      <c r="A73">
        <f>(V73*V$2+W73*W$2+X73*X$2)*100/(V$4*V$2+W$4*W$2+X$4*X$2)</f>
        <v/>
      </c>
      <c r="B73" s="18" t="n">
        <v>158</v>
      </c>
      <c r="C73" s="11" t="inlineStr">
        <is>
          <t>Greinke, Trayce</t>
        </is>
      </c>
      <c r="D73" s="19" t="inlineStr">
        <is>
          <t>P</t>
        </is>
      </c>
      <c r="E73" s="19" t="inlineStr">
        <is>
          <t>S</t>
        </is>
      </c>
      <c r="F73" s="19" t="inlineStr">
        <is>
          <t>R</t>
        </is>
      </c>
      <c r="G73" s="19" t="n">
        <v>18</v>
      </c>
      <c r="H73" s="19" t="n"/>
      <c r="I73" s="19" t="n"/>
      <c r="J73" s="19" t="n">
        <v>71</v>
      </c>
      <c r="K73" s="19" t="n">
        <v>11</v>
      </c>
      <c r="L73" s="19" t="n">
        <v>65</v>
      </c>
      <c r="M73" s="19" t="n">
        <v>14</v>
      </c>
      <c r="N73" s="19" t="n">
        <v>24</v>
      </c>
      <c r="O73" s="19" t="n">
        <v>71</v>
      </c>
      <c r="P73" s="19" t="n">
        <v>78</v>
      </c>
      <c r="Q73" s="19" t="n">
        <v>70</v>
      </c>
      <c r="R73" s="19" t="n">
        <v>67</v>
      </c>
      <c r="S73" s="19" t="n">
        <v>0</v>
      </c>
      <c r="T73" s="19" t="n">
        <v>0</v>
      </c>
      <c r="U73" s="19" t="n">
        <v>0</v>
      </c>
      <c r="V73" s="19">
        <f>K$1*(0.000001*K73^3)+L$1*((-0.000002)*L73^3+0.00032*L73^2+(-0.0021)*L73)+M$1*((-0.000002)*M73^3+0.00032*M73^2+(-0.0021)*M73)+N$1*((-0.000002)*N73^3+0.00032*N73^2+(-0.0021)*N73)+O$1*((-0.000002)*O73^3+0.00032*O73^2+(-0.0021)*O73)</f>
        <v/>
      </c>
      <c r="W73" s="5">
        <f>P$1*((-0.000002)*P73^3+0.00032*P73^2+(-0.0021)*P73)+Q$1*((-0.000002)*Q73^3+0.00032*Q73^2+(-0.0021)*Q73)+R$1*((-0.000002)*R73^3+0.00032*R73^2+(-0.0021)*R73)+S$1*((-0.000002)*S73^3+0.00032*S73^2+(-0.0021)*S73)+T$1*((-0.000002)*T73^3+0.00032*T73^2+(-0.0021)*T73)</f>
        <v/>
      </c>
      <c r="X73">
        <f>(I$1*((-0.000002)*I73^3+0.00032*I73^2+(-0.0021)*I73)+J$1*((-0.000002)*J73^3+0.00032*J73^2+(-0.0021)*J73)+H$1*((-0.000002)*H73^3+0.00032*H73^2+(-0.0021)*H73))*(MAX(0.05,MIN(1,(2*J73+I73)/120)*MIN(1,I73/10)*MIN(1,J73/10)))</f>
        <v/>
      </c>
      <c r="Y73" s="5">
        <f>(I$1*((-0.000002)*I73^3+0.00032*I73^2+(-0.0021)*I73)+J$1*((-0.000002)*J73^3+0.00032*J73^2+(-0.0021)*J73)+H$1*((-0.000002)*H73^3+0.00032*H73^2+(-0.0021)*H73))*(MAX(0.05,MIN(1,(2*J73+I73)/120)*MIN(1,I73/10)*MIN(1,J73/10)))</f>
        <v/>
      </c>
      <c r="Z73">
        <f>U73*J$2+V73*O$2+W73*H$2</f>
        <v/>
      </c>
      <c r="AA73">
        <f>IF(AND(J73&gt;50,I73+J73&gt;75),"SP",IF(2*I73+J73&gt;120,"RP","CRAP"))</f>
        <v/>
      </c>
    </row>
    <row r="74" ht="13.5" customHeight="1" s="27" thickBot="1">
      <c r="A74">
        <f>(V74*V$2+W74*W$2+X74*X$2)*100/(V$4*V$2+W$4*W$2+X$4*X$2)</f>
        <v/>
      </c>
      <c r="B74" s="18" t="n">
        <v>134</v>
      </c>
      <c r="C74" s="11" t="inlineStr">
        <is>
          <t>Garcia, Cody</t>
        </is>
      </c>
      <c r="D74" s="19" t="inlineStr">
        <is>
          <t>P</t>
        </is>
      </c>
      <c r="E74" s="19" t="inlineStr">
        <is>
          <t>L</t>
        </is>
      </c>
      <c r="F74" s="19" t="inlineStr">
        <is>
          <t>L</t>
        </is>
      </c>
      <c r="G74" s="19" t="n">
        <v>18</v>
      </c>
      <c r="H74" s="19" t="n"/>
      <c r="I74" s="19" t="n"/>
      <c r="J74" s="19" t="n">
        <v>39</v>
      </c>
      <c r="K74" s="19" t="n">
        <v>49</v>
      </c>
      <c r="L74" s="19" t="n">
        <v>56</v>
      </c>
      <c r="M74" s="19" t="n">
        <v>32</v>
      </c>
      <c r="N74" s="19" t="n">
        <v>14</v>
      </c>
      <c r="O74" s="19" t="n">
        <v>30</v>
      </c>
      <c r="P74" s="19" t="n">
        <v>82</v>
      </c>
      <c r="Q74" s="19" t="n">
        <v>79</v>
      </c>
      <c r="R74" s="19" t="n">
        <v>42</v>
      </c>
      <c r="S74" s="19" t="n">
        <v>26</v>
      </c>
      <c r="T74" s="19" t="n">
        <v>24</v>
      </c>
      <c r="U74" s="19" t="n">
        <v>23</v>
      </c>
      <c r="V74" s="19">
        <f>K$1*(0.000001*K74^3)+L$1*((-0.000002)*L74^3+0.00032*L74^2+(-0.0021)*L74)+M$1*((-0.000002)*M74^3+0.00032*M74^2+(-0.0021)*M74)+N$1*((-0.000002)*N74^3+0.00032*N74^2+(-0.0021)*N74)+O$1*((-0.000002)*O74^3+0.00032*O74^2+(-0.0021)*O74)</f>
        <v/>
      </c>
      <c r="W74" s="5">
        <f>P$1*((-0.000002)*P74^3+0.00032*P74^2+(-0.0021)*P74)+Q$1*((-0.000002)*Q74^3+0.00032*Q74^2+(-0.0021)*Q74)+R$1*((-0.000002)*R74^3+0.00032*R74^2+(-0.0021)*R74)+S$1*((-0.000002)*S74^3+0.00032*S74^2+(-0.0021)*S74)+T$1*((-0.000002)*T74^3+0.00032*T74^2+(-0.0021)*T74)</f>
        <v/>
      </c>
      <c r="X74">
        <f>(I$1*((-0.000002)*I74^3+0.00032*I74^2+(-0.0021)*I74)+J$1*((-0.000002)*J74^3+0.00032*J74^2+(-0.0021)*J74)+H$1*((-0.000002)*H74^3+0.00032*H74^2+(-0.0021)*H74))*(MAX(0.05,MIN(1,(2*J74+I74)/120)*MIN(1,I74/10)*MIN(1,J74/10)))</f>
        <v/>
      </c>
      <c r="Y74" s="5">
        <f>(I$1*((-0.000002)*I74^3+0.00032*I74^2+(-0.0021)*I74)+J$1*((-0.000002)*J74^3+0.00032*J74^2+(-0.0021)*J74)+H$1*((-0.000002)*H74^3+0.00032*H74^2+(-0.0021)*H74))*(MAX(0.05,MIN(1,(2*J74+I74)/120)*MIN(1,I74/10)*MIN(1,J74/10)))</f>
        <v/>
      </c>
      <c r="Z74">
        <f>U74*J$2+V74*O$2+W74*H$2</f>
        <v/>
      </c>
      <c r="AA74">
        <f>IF(AND(J74&gt;50,I74+J74&gt;75),"SP",IF(2*I74+J74&gt;120,"RP","CRAP"))</f>
        <v/>
      </c>
    </row>
    <row r="75" ht="13.5" customHeight="1" s="27" thickBot="1">
      <c r="A75">
        <f>(V75*V$2+W75*W$2+X75*X$2)*100/(V$4*V$2+W$4*W$2+X$4*X$2)</f>
        <v/>
      </c>
      <c r="B75" s="16" t="n">
        <v>93</v>
      </c>
      <c r="C75" s="10" t="inlineStr">
        <is>
          <t>Rolls, Tom</t>
        </is>
      </c>
      <c r="D75" s="17" t="inlineStr">
        <is>
          <t>P</t>
        </is>
      </c>
      <c r="E75" s="17" t="inlineStr">
        <is>
          <t>L</t>
        </is>
      </c>
      <c r="F75" s="17" t="inlineStr">
        <is>
          <t>L</t>
        </is>
      </c>
      <c r="G75" s="17" t="n">
        <v>18</v>
      </c>
      <c r="H75" s="17" t="n"/>
      <c r="I75" s="17" t="n"/>
      <c r="J75" s="17" t="n">
        <v>64</v>
      </c>
      <c r="K75" s="17" t="n">
        <v>43</v>
      </c>
      <c r="L75" s="17" t="n">
        <v>48</v>
      </c>
      <c r="M75" s="17" t="n">
        <v>31</v>
      </c>
      <c r="N75" s="17" t="n">
        <v>37</v>
      </c>
      <c r="O75" s="17" t="n">
        <v>29</v>
      </c>
      <c r="P75" s="17" t="n">
        <v>66</v>
      </c>
      <c r="Q75" s="17" t="n">
        <v>73</v>
      </c>
      <c r="R75" s="17" t="n">
        <v>65</v>
      </c>
      <c r="S75" s="17" t="n">
        <v>44</v>
      </c>
      <c r="T75" s="17" t="n">
        <v>0</v>
      </c>
      <c r="U75" s="17" t="n">
        <v>0</v>
      </c>
      <c r="V75" s="17">
        <f>K$1*(0.000001*K75^3)+L$1*((-0.000002)*L75^3+0.00032*L75^2+(-0.0021)*L75)+M$1*((-0.000002)*M75^3+0.00032*M75^2+(-0.0021)*M75)+N$1*((-0.000002)*N75^3+0.00032*N75^2+(-0.0021)*N75)+O$1*((-0.000002)*O75^3+0.00032*O75^2+(-0.0021)*O75)</f>
        <v/>
      </c>
      <c r="W75" s="5">
        <f>P$1*((-0.000002)*P75^3+0.00032*P75^2+(-0.0021)*P75)+Q$1*((-0.000002)*Q75^3+0.00032*Q75^2+(-0.0021)*Q75)+R$1*((-0.000002)*R75^3+0.00032*R75^2+(-0.0021)*R75)+S$1*((-0.000002)*S75^3+0.00032*S75^2+(-0.0021)*S75)+T$1*((-0.000002)*T75^3+0.00032*T75^2+(-0.0021)*T75)</f>
        <v/>
      </c>
      <c r="X75">
        <f>(I$1*((-0.000002)*I75^3+0.00032*I75^2+(-0.0021)*I75)+J$1*((-0.000002)*J75^3+0.00032*J75^2+(-0.0021)*J75)+H$1*((-0.000002)*H75^3+0.00032*H75^2+(-0.0021)*H75))*(MAX(0.05,MIN(1,(2*J75+I75)/120)*MIN(1,I75/10)*MIN(1,J75/10)))</f>
        <v/>
      </c>
      <c r="Y75" s="5">
        <f>(I$1*((-0.000002)*I75^3+0.00032*I75^2+(-0.0021)*I75)+J$1*((-0.000002)*J75^3+0.00032*J75^2+(-0.0021)*J75)+H$1*((-0.000002)*H75^3+0.00032*H75^2+(-0.0021)*H75))*(MAX(0.05,MIN(1,(2*J75+I75)/120)*MIN(1,I75/10)*MIN(1,J75/10)))</f>
        <v/>
      </c>
      <c r="Z75">
        <f>U75*J$2+V75*O$2+W75*H$2</f>
        <v/>
      </c>
      <c r="AA75">
        <f>IF(AND(J75&gt;50,I75+J75&gt;75),"SP",IF(2*I75+J75&gt;120,"RP","CRAP"))</f>
        <v/>
      </c>
    </row>
    <row r="76" ht="13.5" customHeight="1" s="27" thickBot="1">
      <c r="A76">
        <f>(V76*V$2+W76*W$2+X76*X$2)*100/(V$4*V$2+W$4*W$2+X$4*X$2)</f>
        <v/>
      </c>
      <c r="B76" s="18" t="n">
        <v>96</v>
      </c>
      <c r="C76" s="11" t="inlineStr">
        <is>
          <t>Kintzler, Sonny</t>
        </is>
      </c>
      <c r="D76" s="19" t="inlineStr">
        <is>
          <t>P</t>
        </is>
      </c>
      <c r="E76" s="19" t="inlineStr">
        <is>
          <t>L</t>
        </is>
      </c>
      <c r="F76" s="19" t="inlineStr">
        <is>
          <t>L</t>
        </is>
      </c>
      <c r="G76" s="19" t="n">
        <v>18</v>
      </c>
      <c r="H76" s="19" t="n"/>
      <c r="I76" s="19" t="n"/>
      <c r="J76" s="19" t="n">
        <v>54</v>
      </c>
      <c r="K76" s="19" t="n">
        <v>48</v>
      </c>
      <c r="L76" s="19" t="n">
        <v>73</v>
      </c>
      <c r="M76" s="19" t="n">
        <v>23</v>
      </c>
      <c r="N76" s="19" t="n">
        <v>31</v>
      </c>
      <c r="O76" s="19" t="n">
        <v>74</v>
      </c>
      <c r="P76" s="19" t="n">
        <v>31</v>
      </c>
      <c r="Q76" s="19" t="n">
        <v>67</v>
      </c>
      <c r="R76" s="19" t="n">
        <v>60</v>
      </c>
      <c r="S76" s="19" t="n">
        <v>46</v>
      </c>
      <c r="T76" s="19" t="n">
        <v>0</v>
      </c>
      <c r="U76" s="19" t="n">
        <v>0</v>
      </c>
      <c r="V76" s="19">
        <f>K$1*(0.000001*K76^3)+L$1*((-0.000002)*L76^3+0.00032*L76^2+(-0.0021)*L76)+M$1*((-0.000002)*M76^3+0.00032*M76^2+(-0.0021)*M76)+N$1*((-0.000002)*N76^3+0.00032*N76^2+(-0.0021)*N76)+O$1*((-0.000002)*O76^3+0.00032*O76^2+(-0.0021)*O76)</f>
        <v/>
      </c>
      <c r="W76" s="5">
        <f>P$1*((-0.000002)*P76^3+0.00032*P76^2+(-0.0021)*P76)+Q$1*((-0.000002)*Q76^3+0.00032*Q76^2+(-0.0021)*Q76)+R$1*((-0.000002)*R76^3+0.00032*R76^2+(-0.0021)*R76)+S$1*((-0.000002)*S76^3+0.00032*S76^2+(-0.0021)*S76)+T$1*((-0.000002)*T76^3+0.00032*T76^2+(-0.0021)*T76)</f>
        <v/>
      </c>
      <c r="X76">
        <f>(I$1*((-0.000002)*I76^3+0.00032*I76^2+(-0.0021)*I76)+J$1*((-0.000002)*J76^3+0.00032*J76^2+(-0.0021)*J76)+H$1*((-0.000002)*H76^3+0.00032*H76^2+(-0.0021)*H76))*(MAX(0.05,MIN(1,(2*J76+I76)/120)*MIN(1,I76/10)*MIN(1,J76/10)))</f>
        <v/>
      </c>
      <c r="Y76" s="5">
        <f>(I$1*((-0.000002)*I76^3+0.00032*I76^2+(-0.0021)*I76)+J$1*((-0.000002)*J76^3+0.00032*J76^2+(-0.0021)*J76)+H$1*((-0.000002)*H76^3+0.00032*H76^2+(-0.0021)*H76))*(MAX(0.05,MIN(1,(2*J76+I76)/120)*MIN(1,I76/10)*MIN(1,J76/10)))</f>
        <v/>
      </c>
      <c r="Z76">
        <f>U76*J$2+V76*O$2+W76*H$2</f>
        <v/>
      </c>
      <c r="AA76">
        <f>IF(AND(J76&gt;50,I76+J76&gt;75),"SP",IF(2*I76+J76&gt;120,"RP","CRAP"))</f>
        <v/>
      </c>
    </row>
    <row r="77" ht="13.5" customHeight="1" s="27" thickBot="1">
      <c r="A77">
        <f>(V77*V$2+W77*W$2+X77*X$2)*100/(V$4*V$2+W$4*W$2+X$4*X$2)</f>
        <v/>
      </c>
      <c r="B77" s="16" t="n">
        <v>127</v>
      </c>
      <c r="C77" s="10" t="inlineStr">
        <is>
          <t>Buckley, Phillippe</t>
        </is>
      </c>
      <c r="D77" s="17" t="inlineStr">
        <is>
          <t>P</t>
        </is>
      </c>
      <c r="E77" s="17" t="inlineStr">
        <is>
          <t>R</t>
        </is>
      </c>
      <c r="F77" s="17" t="inlineStr">
        <is>
          <t>R</t>
        </is>
      </c>
      <c r="G77" s="17" t="n">
        <v>18</v>
      </c>
      <c r="H77" s="17" t="n"/>
      <c r="I77" s="17" t="n"/>
      <c r="J77" s="17" t="n">
        <v>25</v>
      </c>
      <c r="K77" s="17" t="n">
        <v>64</v>
      </c>
      <c r="L77" s="17" t="n">
        <v>56</v>
      </c>
      <c r="M77" s="17" t="n">
        <v>18</v>
      </c>
      <c r="N77" s="17" t="n">
        <v>24</v>
      </c>
      <c r="O77" s="17" t="n">
        <v>36</v>
      </c>
      <c r="P77" s="17" t="n">
        <v>74</v>
      </c>
      <c r="Q77" s="17" t="n">
        <v>56</v>
      </c>
      <c r="R77" s="17" t="n">
        <v>64</v>
      </c>
      <c r="S77" s="17" t="n">
        <v>38</v>
      </c>
      <c r="T77" s="17" t="n">
        <v>45</v>
      </c>
      <c r="U77" s="17" t="n">
        <v>0</v>
      </c>
      <c r="V77" s="17">
        <f>K$1*(0.000001*K77^3)+L$1*((-0.000002)*L77^3+0.00032*L77^2+(-0.0021)*L77)+M$1*((-0.000002)*M77^3+0.00032*M77^2+(-0.0021)*M77)+N$1*((-0.000002)*N77^3+0.00032*N77^2+(-0.0021)*N77)+O$1*((-0.000002)*O77^3+0.00032*O77^2+(-0.0021)*O77)</f>
        <v/>
      </c>
      <c r="W77" s="5">
        <f>P$1*((-0.000002)*P77^3+0.00032*P77^2+(-0.0021)*P77)+Q$1*((-0.000002)*Q77^3+0.00032*Q77^2+(-0.0021)*Q77)+R$1*((-0.000002)*R77^3+0.00032*R77^2+(-0.0021)*R77)+S$1*((-0.000002)*S77^3+0.00032*S77^2+(-0.0021)*S77)+T$1*((-0.000002)*T77^3+0.00032*T77^2+(-0.0021)*T77)</f>
        <v/>
      </c>
      <c r="X77">
        <f>(I$1*((-0.000002)*I77^3+0.00032*I77^2+(-0.0021)*I77)+J$1*((-0.000002)*J77^3+0.00032*J77^2+(-0.0021)*J77)+H$1*((-0.000002)*H77^3+0.00032*H77^2+(-0.0021)*H77))*(MAX(0.05,MIN(1,(2*J77+I77)/120)*MIN(1,I77/10)*MIN(1,J77/10)))</f>
        <v/>
      </c>
      <c r="Y77" s="5">
        <f>(I$1*((-0.000002)*I77^3+0.00032*I77^2+(-0.0021)*I77)+J$1*((-0.000002)*J77^3+0.00032*J77^2+(-0.0021)*J77)+H$1*((-0.000002)*H77^3+0.00032*H77^2+(-0.0021)*H77))*(MAX(0.05,MIN(1,(2*J77+I77)/120)*MIN(1,I77/10)*MIN(1,J77/10)))</f>
        <v/>
      </c>
      <c r="Z77">
        <f>U77*J$2+V77*O$2+W77*H$2</f>
        <v/>
      </c>
      <c r="AA77">
        <f>IF(AND(J77&gt;50,I77+J77&gt;75),"SP",IF(2*I77+J77&gt;120,"RP","CRAP"))</f>
        <v/>
      </c>
    </row>
    <row r="78" ht="13.5" customHeight="1" s="27" thickBot="1">
      <c r="A78">
        <f>(V78*V$2+W78*W$2+X78*X$2)*100/(V$4*V$2+W$4*W$2+X$4*X$2)</f>
        <v/>
      </c>
      <c r="B78" s="18" t="n">
        <v>132</v>
      </c>
      <c r="C78" s="11" t="inlineStr">
        <is>
          <t>Henry, Ron</t>
        </is>
      </c>
      <c r="D78" s="19" t="inlineStr">
        <is>
          <t>P</t>
        </is>
      </c>
      <c r="E78" s="19" t="inlineStr">
        <is>
          <t>R</t>
        </is>
      </c>
      <c r="F78" s="19" t="inlineStr">
        <is>
          <t>R</t>
        </is>
      </c>
      <c r="G78" s="19" t="n">
        <v>18</v>
      </c>
      <c r="H78" s="19" t="n"/>
      <c r="I78" s="19" t="n"/>
      <c r="J78" s="19" t="n">
        <v>77</v>
      </c>
      <c r="K78" s="19" t="n">
        <v>18</v>
      </c>
      <c r="L78" s="19" t="n">
        <v>43</v>
      </c>
      <c r="M78" s="19" t="n">
        <v>20</v>
      </c>
      <c r="N78" s="19" t="n">
        <v>42</v>
      </c>
      <c r="O78" s="19" t="n">
        <v>71</v>
      </c>
      <c r="P78" s="19" t="n">
        <v>85</v>
      </c>
      <c r="Q78" s="19" t="n">
        <v>89</v>
      </c>
      <c r="R78" s="19" t="n">
        <v>42</v>
      </c>
      <c r="S78" s="19" t="n">
        <v>0</v>
      </c>
      <c r="T78" s="19" t="n">
        <v>0</v>
      </c>
      <c r="U78" s="19" t="n">
        <v>0</v>
      </c>
      <c r="V78" s="19">
        <f>K$1*(0.000001*K78^3)+L$1*((-0.000002)*L78^3+0.00032*L78^2+(-0.0021)*L78)+M$1*((-0.000002)*M78^3+0.00032*M78^2+(-0.0021)*M78)+N$1*((-0.000002)*N78^3+0.00032*N78^2+(-0.0021)*N78)+O$1*((-0.000002)*O78^3+0.00032*O78^2+(-0.0021)*O78)</f>
        <v/>
      </c>
      <c r="W78" s="5">
        <f>P$1*((-0.000002)*P78^3+0.00032*P78^2+(-0.0021)*P78)+Q$1*((-0.000002)*Q78^3+0.00032*Q78^2+(-0.0021)*Q78)+R$1*((-0.000002)*R78^3+0.00032*R78^2+(-0.0021)*R78)+S$1*((-0.000002)*S78^3+0.00032*S78^2+(-0.0021)*S78)+T$1*((-0.000002)*T78^3+0.00032*T78^2+(-0.0021)*T78)</f>
        <v/>
      </c>
      <c r="X78">
        <f>(I$1*((-0.000002)*I78^3+0.00032*I78^2+(-0.0021)*I78)+J$1*((-0.000002)*J78^3+0.00032*J78^2+(-0.0021)*J78)+H$1*((-0.000002)*H78^3+0.00032*H78^2+(-0.0021)*H78))*(MAX(0.05,MIN(1,(2*J78+I78)/120)*MIN(1,I78/10)*MIN(1,J78/10)))</f>
        <v/>
      </c>
      <c r="Y78" s="5">
        <f>(I$1*((-0.000002)*I78^3+0.00032*I78^2+(-0.0021)*I78)+J$1*((-0.000002)*J78^3+0.00032*J78^2+(-0.0021)*J78)+H$1*((-0.000002)*H78^3+0.00032*H78^2+(-0.0021)*H78))*(MAX(0.05,MIN(1,(2*J78+I78)/120)*MIN(1,I78/10)*MIN(1,J78/10)))</f>
        <v/>
      </c>
      <c r="Z78">
        <f>U78*J$2+V78*O$2+W78*H$2</f>
        <v/>
      </c>
      <c r="AA78">
        <f>IF(AND(J78&gt;50,I78+J78&gt;75),"SP",IF(2*I78+J78&gt;120,"RP","CRAP"))</f>
        <v/>
      </c>
    </row>
    <row r="79" ht="13.5" customHeight="1" s="27" thickBot="1">
      <c r="A79">
        <f>(V79*V$2+W79*W$2+X79*X$2)*100/(V$4*V$2+W$4*W$2+X$4*X$2)</f>
        <v/>
      </c>
      <c r="B79" s="16" t="n">
        <v>119</v>
      </c>
      <c r="C79" s="10" t="inlineStr">
        <is>
          <t>Below, Rick</t>
        </is>
      </c>
      <c r="D79" s="17" t="inlineStr">
        <is>
          <t>P</t>
        </is>
      </c>
      <c r="E79" s="17" t="inlineStr">
        <is>
          <t>R</t>
        </is>
      </c>
      <c r="F79" s="17" t="inlineStr">
        <is>
          <t>R</t>
        </is>
      </c>
      <c r="G79" s="17" t="n">
        <v>18</v>
      </c>
      <c r="H79" s="17" t="n"/>
      <c r="I79" s="17" t="n"/>
      <c r="J79" s="17" t="n">
        <v>28</v>
      </c>
      <c r="K79" s="17" t="n">
        <v>59</v>
      </c>
      <c r="L79" s="17" t="n">
        <v>58</v>
      </c>
      <c r="M79" s="17" t="n">
        <v>24</v>
      </c>
      <c r="N79" s="17" t="n">
        <v>27</v>
      </c>
      <c r="O79" s="17" t="n">
        <v>30</v>
      </c>
      <c r="P79" s="17" t="n">
        <v>56</v>
      </c>
      <c r="Q79" s="17" t="n">
        <v>74</v>
      </c>
      <c r="R79" s="17" t="n">
        <v>47</v>
      </c>
      <c r="S79" s="17" t="n">
        <v>40</v>
      </c>
      <c r="T79" s="17" t="n">
        <v>49</v>
      </c>
      <c r="U79" s="17" t="n">
        <v>0</v>
      </c>
      <c r="V79" s="17">
        <f>K$1*(0.000001*K79^3)+L$1*((-0.000002)*L79^3+0.00032*L79^2+(-0.0021)*L79)+M$1*((-0.000002)*M79^3+0.00032*M79^2+(-0.0021)*M79)+N$1*((-0.000002)*N79^3+0.00032*N79^2+(-0.0021)*N79)+O$1*((-0.000002)*O79^3+0.00032*O79^2+(-0.0021)*O79)</f>
        <v/>
      </c>
      <c r="W79" s="5">
        <f>P$1*((-0.000002)*P79^3+0.00032*P79^2+(-0.0021)*P79)+Q$1*((-0.000002)*Q79^3+0.00032*Q79^2+(-0.0021)*Q79)+R$1*((-0.000002)*R79^3+0.00032*R79^2+(-0.0021)*R79)+S$1*((-0.000002)*S79^3+0.00032*S79^2+(-0.0021)*S79)+T$1*((-0.000002)*T79^3+0.00032*T79^2+(-0.0021)*T79)</f>
        <v/>
      </c>
      <c r="X79">
        <f>(I$1*((-0.000002)*I79^3+0.00032*I79^2+(-0.0021)*I79)+J$1*((-0.000002)*J79^3+0.00032*J79^2+(-0.0021)*J79)+H$1*((-0.000002)*H79^3+0.00032*H79^2+(-0.0021)*H79))*(MAX(0.05,MIN(1,(2*J79+I79)/120)*MIN(1,I79/10)*MIN(1,J79/10)))</f>
        <v/>
      </c>
      <c r="Y79" s="5">
        <f>(I$1*((-0.000002)*I79^3+0.00032*I79^2+(-0.0021)*I79)+J$1*((-0.000002)*J79^3+0.00032*J79^2+(-0.0021)*J79)+H$1*((-0.000002)*H79^3+0.00032*H79^2+(-0.0021)*H79))*(MAX(0.05,MIN(1,(2*J79+I79)/120)*MIN(1,I79/10)*MIN(1,J79/10)))</f>
        <v/>
      </c>
      <c r="Z79">
        <f>U79*J$2+V79*O$2+W79*H$2</f>
        <v/>
      </c>
      <c r="AA79">
        <f>IF(AND(J79&gt;50,I79+J79&gt;75),"SP",IF(2*I79+J79&gt;120,"RP","CRAP"))</f>
        <v/>
      </c>
    </row>
    <row r="80" ht="13.5" customHeight="1" s="27" thickBot="1">
      <c r="A80">
        <f>(V80*V$2+W80*W$2+X80*X$2)*100/(V$4*V$2+W$4*W$2+X$4*X$2)</f>
        <v/>
      </c>
      <c r="B80" s="16" t="n">
        <v>117</v>
      </c>
      <c r="C80" s="10" t="inlineStr">
        <is>
          <t>Walls, Joe</t>
        </is>
      </c>
      <c r="D80" s="17" t="inlineStr">
        <is>
          <t>P</t>
        </is>
      </c>
      <c r="E80" s="17" t="inlineStr">
        <is>
          <t>S</t>
        </is>
      </c>
      <c r="F80" s="17" t="inlineStr">
        <is>
          <t>L</t>
        </is>
      </c>
      <c r="G80" s="17" t="n">
        <v>18</v>
      </c>
      <c r="H80" s="17" t="n"/>
      <c r="I80" s="17" t="n"/>
      <c r="J80" s="17" t="n">
        <v>27</v>
      </c>
      <c r="K80" s="17" t="n">
        <v>86</v>
      </c>
      <c r="L80" s="17" t="n">
        <v>52</v>
      </c>
      <c r="M80" s="17" t="n">
        <v>34</v>
      </c>
      <c r="N80" s="17" t="n">
        <v>29</v>
      </c>
      <c r="O80" s="17" t="n">
        <v>56</v>
      </c>
      <c r="P80" s="17" t="n">
        <v>40</v>
      </c>
      <c r="Q80" s="17" t="n">
        <v>65</v>
      </c>
      <c r="R80" s="17" t="n">
        <v>60</v>
      </c>
      <c r="S80" s="17" t="n">
        <v>44</v>
      </c>
      <c r="T80" s="17" t="n">
        <v>41</v>
      </c>
      <c r="U80" s="17" t="n">
        <v>0</v>
      </c>
      <c r="V80" s="17">
        <f>K$1*(0.000001*K80^3)+L$1*((-0.000002)*L80^3+0.00032*L80^2+(-0.0021)*L80)+M$1*((-0.000002)*M80^3+0.00032*M80^2+(-0.0021)*M80)+N$1*((-0.000002)*N80^3+0.00032*N80^2+(-0.0021)*N80)+O$1*((-0.000002)*O80^3+0.00032*O80^2+(-0.0021)*O80)</f>
        <v/>
      </c>
      <c r="W80" s="5">
        <f>P$1*((-0.000002)*P80^3+0.00032*P80^2+(-0.0021)*P80)+Q$1*((-0.000002)*Q80^3+0.00032*Q80^2+(-0.0021)*Q80)+R$1*((-0.000002)*R80^3+0.00032*R80^2+(-0.0021)*R80)+S$1*((-0.000002)*S80^3+0.00032*S80^2+(-0.0021)*S80)+T$1*((-0.000002)*T80^3+0.00032*T80^2+(-0.0021)*T80)</f>
        <v/>
      </c>
      <c r="X80">
        <f>(I$1*((-0.000002)*I80^3+0.00032*I80^2+(-0.0021)*I80)+J$1*((-0.000002)*J80^3+0.00032*J80^2+(-0.0021)*J80)+H$1*((-0.000002)*H80^3+0.00032*H80^2+(-0.0021)*H80))*(MAX(0.05,MIN(1,(2*J80+I80)/120)*MIN(1,I80/10)*MIN(1,J80/10)))</f>
        <v/>
      </c>
      <c r="Y80" s="5">
        <f>(I$1*((-0.000002)*I80^3+0.00032*I80^2+(-0.0021)*I80)+J$1*((-0.000002)*J80^3+0.00032*J80^2+(-0.0021)*J80)+H$1*((-0.000002)*H80^3+0.00032*H80^2+(-0.0021)*H80))*(MAX(0.05,MIN(1,(2*J80+I80)/120)*MIN(1,I80/10)*MIN(1,J80/10)))</f>
        <v/>
      </c>
      <c r="Z80">
        <f>U80*J$2+V80*O$2+W80*H$2</f>
        <v/>
      </c>
      <c r="AA80">
        <f>IF(AND(J80&gt;50,I80+J80&gt;75),"SP",IF(2*I80+J80&gt;120,"RP","CRAP"))</f>
        <v/>
      </c>
    </row>
    <row r="81" ht="13.5" customHeight="1" s="27" thickBot="1">
      <c r="A81">
        <f>(V81*V$2+W81*W$2+X81*X$2)*100/(V$4*V$2+W$4*W$2+X$4*X$2)</f>
        <v/>
      </c>
      <c r="B81" s="16" t="n">
        <v>89</v>
      </c>
      <c r="C81" s="10" t="inlineStr">
        <is>
          <t>McKay, Roy</t>
        </is>
      </c>
      <c r="D81" s="17" t="inlineStr">
        <is>
          <t>P</t>
        </is>
      </c>
      <c r="E81" s="17" t="inlineStr">
        <is>
          <t>L</t>
        </is>
      </c>
      <c r="F81" s="17" t="inlineStr">
        <is>
          <t>L</t>
        </is>
      </c>
      <c r="G81" s="17" t="n">
        <v>18</v>
      </c>
      <c r="H81" s="17" t="n"/>
      <c r="I81" s="17" t="n"/>
      <c r="J81" s="17" t="n">
        <v>26</v>
      </c>
      <c r="K81" s="17" t="n">
        <v>84</v>
      </c>
      <c r="L81" s="17" t="n">
        <v>45</v>
      </c>
      <c r="M81" s="17" t="n">
        <v>47</v>
      </c>
      <c r="N81" s="17" t="n">
        <v>37</v>
      </c>
      <c r="O81" s="17" t="n">
        <v>75</v>
      </c>
      <c r="P81" s="17" t="n">
        <v>35</v>
      </c>
      <c r="Q81" s="17" t="n">
        <v>69</v>
      </c>
      <c r="R81" s="17" t="n">
        <v>47</v>
      </c>
      <c r="S81" s="17" t="n">
        <v>38</v>
      </c>
      <c r="T81" s="17" t="n">
        <v>24</v>
      </c>
      <c r="U81" s="17" t="n">
        <v>0</v>
      </c>
      <c r="V81" s="17">
        <f>K$1*(0.000001*K81^3)+L$1*((-0.000002)*L81^3+0.00032*L81^2+(-0.0021)*L81)+M$1*((-0.000002)*M81^3+0.00032*M81^2+(-0.0021)*M81)+N$1*((-0.000002)*N81^3+0.00032*N81^2+(-0.0021)*N81)+O$1*((-0.000002)*O81^3+0.00032*O81^2+(-0.0021)*O81)</f>
        <v/>
      </c>
      <c r="W81" s="5">
        <f>P$1*((-0.000002)*P81^3+0.00032*P81^2+(-0.0021)*P81)+Q$1*((-0.000002)*Q81^3+0.00032*Q81^2+(-0.0021)*Q81)+R$1*((-0.000002)*R81^3+0.00032*R81^2+(-0.0021)*R81)+S$1*((-0.000002)*S81^3+0.00032*S81^2+(-0.0021)*S81)+T$1*((-0.000002)*T81^3+0.00032*T81^2+(-0.0021)*T81)</f>
        <v/>
      </c>
      <c r="X81">
        <f>(I$1*((-0.000002)*I81^3+0.00032*I81^2+(-0.0021)*I81)+J$1*((-0.000002)*J81^3+0.00032*J81^2+(-0.0021)*J81)+H$1*((-0.000002)*H81^3+0.00032*H81^2+(-0.0021)*H81))*(MAX(0.05,MIN(1,(2*J81+I81)/120)*MIN(1,I81/10)*MIN(1,J81/10)))</f>
        <v/>
      </c>
      <c r="Y81" s="5">
        <f>(I$1*((-0.000002)*I81^3+0.00032*I81^2+(-0.0021)*I81)+J$1*((-0.000002)*J81^3+0.00032*J81^2+(-0.0021)*J81)+H$1*((-0.000002)*H81^3+0.00032*H81^2+(-0.0021)*H81))*(MAX(0.05,MIN(1,(2*J81+I81)/120)*MIN(1,I81/10)*MIN(1,J81/10)))</f>
        <v/>
      </c>
      <c r="Z81">
        <f>U81*J$2+V81*O$2+W81*H$2</f>
        <v/>
      </c>
      <c r="AA81">
        <f>IF(AND(J81&gt;50,I81+J81&gt;75),"SP",IF(2*I81+J81&gt;120,"RP","CRAP"))</f>
        <v/>
      </c>
    </row>
    <row r="82" ht="13.5" customHeight="1" s="27" thickBot="1">
      <c r="A82">
        <f>(V82*V$2+W82*W$2+X82*X$2)*100/(V$4*V$2+W$4*W$2+X$4*X$2)</f>
        <v/>
      </c>
      <c r="B82" s="16" t="n">
        <v>165</v>
      </c>
      <c r="C82" s="10" t="inlineStr">
        <is>
          <t>Spencer, Bret</t>
        </is>
      </c>
      <c r="D82" s="17" t="inlineStr">
        <is>
          <t>P</t>
        </is>
      </c>
      <c r="E82" s="17" t="inlineStr">
        <is>
          <t>L</t>
        </is>
      </c>
      <c r="F82" s="17" t="inlineStr">
        <is>
          <t>L</t>
        </is>
      </c>
      <c r="G82" s="17" t="n">
        <v>21</v>
      </c>
      <c r="H82" s="17" t="n"/>
      <c r="I82" s="17" t="n"/>
      <c r="J82" s="17" t="n">
        <v>36</v>
      </c>
      <c r="K82" s="17" t="n">
        <v>74</v>
      </c>
      <c r="L82" s="17" t="n">
        <v>34</v>
      </c>
      <c r="M82" s="17" t="n">
        <v>68</v>
      </c>
      <c r="N82" s="17" t="n">
        <v>25</v>
      </c>
      <c r="O82" s="17" t="n">
        <v>11</v>
      </c>
      <c r="P82" s="17" t="n">
        <v>62</v>
      </c>
      <c r="Q82" s="17" t="n">
        <v>50</v>
      </c>
      <c r="R82" s="17" t="n">
        <v>70</v>
      </c>
      <c r="S82" s="17" t="n">
        <v>55</v>
      </c>
      <c r="T82" s="17" t="n">
        <v>7</v>
      </c>
      <c r="U82" s="17" t="n">
        <v>0</v>
      </c>
      <c r="V82" s="17">
        <f>K$1*(0.000001*K82^3)+L$1*((-0.000002)*L82^3+0.00032*L82^2+(-0.0021)*L82)+M$1*((-0.000002)*M82^3+0.00032*M82^2+(-0.0021)*M82)+N$1*((-0.000002)*N82^3+0.00032*N82^2+(-0.0021)*N82)+O$1*((-0.000002)*O82^3+0.00032*O82^2+(-0.0021)*O82)</f>
        <v/>
      </c>
      <c r="W82" s="5">
        <f>P$1*((-0.000002)*P82^3+0.00032*P82^2+(-0.0021)*P82)+Q$1*((-0.000002)*Q82^3+0.00032*Q82^2+(-0.0021)*Q82)+R$1*((-0.000002)*R82^3+0.00032*R82^2+(-0.0021)*R82)+S$1*((-0.000002)*S82^3+0.00032*S82^2+(-0.0021)*S82)+T$1*((-0.000002)*T82^3+0.00032*T82^2+(-0.0021)*T82)</f>
        <v/>
      </c>
      <c r="X82">
        <f>(I$1*((-0.000002)*I82^3+0.00032*I82^2+(-0.0021)*I82)+J$1*((-0.000002)*J82^3+0.00032*J82^2+(-0.0021)*J82)+H$1*((-0.000002)*H82^3+0.00032*H82^2+(-0.0021)*H82))*(MAX(0.05,MIN(1,(2*J82+I82)/120)*MIN(1,I82/10)*MIN(1,J82/10)))</f>
        <v/>
      </c>
      <c r="Y82" s="5">
        <f>(I$1*((-0.000002)*I82^3+0.00032*I82^2+(-0.0021)*I82)+J$1*((-0.000002)*J82^3+0.00032*J82^2+(-0.0021)*J82)+H$1*((-0.000002)*H82^3+0.00032*H82^2+(-0.0021)*H82))*(MAX(0.05,MIN(1,(2*J82+I82)/120)*MIN(1,I82/10)*MIN(1,J82/10)))</f>
        <v/>
      </c>
      <c r="Z82">
        <f>U82*J$2+V82*O$2+W82*H$2</f>
        <v/>
      </c>
      <c r="AA82">
        <f>IF(AND(J82&gt;50,I82+J82&gt;75),"SP",IF(2*I82+J82&gt;120,"RP","CRAP"))</f>
        <v/>
      </c>
    </row>
    <row r="83" ht="13.5" customHeight="1" s="27" thickBot="1">
      <c r="A83">
        <f>(V83*V$2+W83*W$2+X83*X$2)*100/(V$4*V$2+W$4*W$2+X$4*X$2)</f>
        <v/>
      </c>
      <c r="B83" s="18" t="n">
        <v>100</v>
      </c>
      <c r="C83" s="11" t="inlineStr">
        <is>
          <t>Conger, Bud</t>
        </is>
      </c>
      <c r="D83" s="19" t="inlineStr">
        <is>
          <t>P</t>
        </is>
      </c>
      <c r="E83" s="19" t="inlineStr">
        <is>
          <t>L</t>
        </is>
      </c>
      <c r="F83" s="19" t="inlineStr">
        <is>
          <t>L</t>
        </is>
      </c>
      <c r="G83" s="19" t="n">
        <v>18</v>
      </c>
      <c r="H83" s="19" t="n"/>
      <c r="I83" s="19" t="n"/>
      <c r="J83" s="19" t="n">
        <v>30</v>
      </c>
      <c r="K83" s="19" t="n">
        <v>65</v>
      </c>
      <c r="L83" s="19" t="n">
        <v>72</v>
      </c>
      <c r="M83" s="19" t="n">
        <v>36</v>
      </c>
      <c r="N83" s="19" t="n">
        <v>32</v>
      </c>
      <c r="O83" s="19" t="n">
        <v>25</v>
      </c>
      <c r="P83" s="19" t="n">
        <v>16</v>
      </c>
      <c r="Q83" s="19" t="n">
        <v>64</v>
      </c>
      <c r="R83" s="19" t="n">
        <v>50</v>
      </c>
      <c r="S83" s="19" t="n">
        <v>28</v>
      </c>
      <c r="T83" s="19" t="n">
        <v>37</v>
      </c>
      <c r="U83" s="19" t="n">
        <v>0</v>
      </c>
      <c r="V83" s="19">
        <f>K$1*(0.000001*K83^3)+L$1*((-0.000002)*L83^3+0.00032*L83^2+(-0.0021)*L83)+M$1*((-0.000002)*M83^3+0.00032*M83^2+(-0.0021)*M83)+N$1*((-0.000002)*N83^3+0.00032*N83^2+(-0.0021)*N83)+O$1*((-0.000002)*O83^3+0.00032*O83^2+(-0.0021)*O83)</f>
        <v/>
      </c>
      <c r="W83" s="5">
        <f>P$1*((-0.000002)*P83^3+0.00032*P83^2+(-0.0021)*P83)+Q$1*((-0.000002)*Q83^3+0.00032*Q83^2+(-0.0021)*Q83)+R$1*((-0.000002)*R83^3+0.00032*R83^2+(-0.0021)*R83)+S$1*((-0.000002)*S83^3+0.00032*S83^2+(-0.0021)*S83)+T$1*((-0.000002)*T83^3+0.00032*T83^2+(-0.0021)*T83)</f>
        <v/>
      </c>
      <c r="X83">
        <f>(I$1*((-0.000002)*I83^3+0.00032*I83^2+(-0.0021)*I83)+J$1*((-0.000002)*J83^3+0.00032*J83^2+(-0.0021)*J83)+H$1*((-0.000002)*H83^3+0.00032*H83^2+(-0.0021)*H83))*(MAX(0.05,MIN(1,(2*J83+I83)/120)*MIN(1,I83/10)*MIN(1,J83/10)))</f>
        <v/>
      </c>
      <c r="Y83" s="5">
        <f>(I$1*((-0.000002)*I83^3+0.00032*I83^2+(-0.0021)*I83)+J$1*((-0.000002)*J83^3+0.00032*J83^2+(-0.0021)*J83)+H$1*((-0.000002)*H83^3+0.00032*H83^2+(-0.0021)*H83))*(MAX(0.05,MIN(1,(2*J83+I83)/120)*MIN(1,I83/10)*MIN(1,J83/10)))</f>
        <v/>
      </c>
      <c r="Z83">
        <f>U83*J$2+V83*O$2+W83*H$2</f>
        <v/>
      </c>
      <c r="AA83">
        <f>IF(AND(J83&gt;50,I83+J83&gt;75),"SP",IF(2*I83+J83&gt;120,"RP","CRAP"))</f>
        <v/>
      </c>
    </row>
    <row r="84" ht="13.5" customHeight="1" s="27" thickBot="1">
      <c r="A84">
        <f>(V84*V$2+W84*W$2+X84*X$2)*100/(V$4*V$2+W$4*W$2+X$4*X$2)</f>
        <v/>
      </c>
      <c r="B84" s="16" t="n">
        <v>151</v>
      </c>
      <c r="C84" s="10" t="inlineStr">
        <is>
          <t>Quinlan, Drake</t>
        </is>
      </c>
      <c r="D84" s="17" t="inlineStr">
        <is>
          <t>P</t>
        </is>
      </c>
      <c r="E84" s="17" t="inlineStr">
        <is>
          <t>L</t>
        </is>
      </c>
      <c r="F84" s="17" t="inlineStr">
        <is>
          <t>L</t>
        </is>
      </c>
      <c r="G84" s="17" t="n">
        <v>18</v>
      </c>
      <c r="H84" s="17" t="n"/>
      <c r="I84" s="17" t="n"/>
      <c r="J84" s="17" t="n">
        <v>69</v>
      </c>
      <c r="K84" s="17" t="n">
        <v>15</v>
      </c>
      <c r="L84" s="17" t="n">
        <v>74</v>
      </c>
      <c r="M84" s="17" t="n">
        <v>28</v>
      </c>
      <c r="N84" s="17" t="n">
        <v>23</v>
      </c>
      <c r="O84" s="17" t="n">
        <v>86</v>
      </c>
      <c r="P84" s="17" t="n">
        <v>54</v>
      </c>
      <c r="Q84" s="17" t="n">
        <v>63</v>
      </c>
      <c r="R84" s="17" t="n">
        <v>45</v>
      </c>
      <c r="S84" s="17" t="n">
        <v>0</v>
      </c>
      <c r="T84" s="17" t="n">
        <v>0</v>
      </c>
      <c r="U84" s="17" t="n">
        <v>0</v>
      </c>
      <c r="V84" s="17">
        <f>K$1*(0.000001*K84^3)+L$1*((-0.000002)*L84^3+0.00032*L84^2+(-0.0021)*L84)+M$1*((-0.000002)*M84^3+0.00032*M84^2+(-0.0021)*M84)+N$1*((-0.000002)*N84^3+0.00032*N84^2+(-0.0021)*N84)+O$1*((-0.000002)*O84^3+0.00032*O84^2+(-0.0021)*O84)</f>
        <v/>
      </c>
      <c r="W84" s="5">
        <f>P$1*((-0.000002)*P84^3+0.00032*P84^2+(-0.0021)*P84)+Q$1*((-0.000002)*Q84^3+0.00032*Q84^2+(-0.0021)*Q84)+R$1*((-0.000002)*R84^3+0.00032*R84^2+(-0.0021)*R84)+S$1*((-0.000002)*S84^3+0.00032*S84^2+(-0.0021)*S84)+T$1*((-0.000002)*T84^3+0.00032*T84^2+(-0.0021)*T84)</f>
        <v/>
      </c>
      <c r="X84">
        <f>(I$1*((-0.000002)*I84^3+0.00032*I84^2+(-0.0021)*I84)+J$1*((-0.000002)*J84^3+0.00032*J84^2+(-0.0021)*J84)+H$1*((-0.000002)*H84^3+0.00032*H84^2+(-0.0021)*H84))*(MAX(0.05,MIN(1,(2*J84+I84)/120)*MIN(1,I84/10)*MIN(1,J84/10)))</f>
        <v/>
      </c>
      <c r="Y84" s="5">
        <f>(I$1*((-0.000002)*I84^3+0.00032*I84^2+(-0.0021)*I84)+J$1*((-0.000002)*J84^3+0.00032*J84^2+(-0.0021)*J84)+H$1*((-0.000002)*H84^3+0.00032*H84^2+(-0.0021)*H84))*(MAX(0.05,MIN(1,(2*J84+I84)/120)*MIN(1,I84/10)*MIN(1,J84/10)))</f>
        <v/>
      </c>
      <c r="Z84">
        <f>U84*J$2+V84*O$2+W84*H$2</f>
        <v/>
      </c>
      <c r="AA84">
        <f>IF(AND(J84&gt;50,I84+J84&gt;75),"SP",IF(2*I84+J84&gt;120,"RP","CRAP"))</f>
        <v/>
      </c>
    </row>
    <row r="85" ht="13.5" customHeight="1" s="27" thickBot="1">
      <c r="A85">
        <f>(V85*V$2+W85*W$2+X85*X$2)*100/(V$4*V$2+W$4*W$2+X$4*X$2)</f>
        <v/>
      </c>
      <c r="B85" s="18" t="n">
        <v>106</v>
      </c>
      <c r="C85" s="11" t="inlineStr">
        <is>
          <t>Carter, Freddie</t>
        </is>
      </c>
      <c r="D85" s="19" t="inlineStr">
        <is>
          <t>P</t>
        </is>
      </c>
      <c r="E85" s="19" t="inlineStr">
        <is>
          <t>S</t>
        </is>
      </c>
      <c r="F85" s="19" t="inlineStr">
        <is>
          <t>L</t>
        </is>
      </c>
      <c r="G85" s="19" t="n">
        <v>18</v>
      </c>
      <c r="H85" s="19" t="n"/>
      <c r="I85" s="19" t="n"/>
      <c r="J85" s="19" t="n">
        <v>58</v>
      </c>
      <c r="K85" s="19" t="n">
        <v>37</v>
      </c>
      <c r="L85" s="19" t="n">
        <v>53</v>
      </c>
      <c r="M85" s="19" t="n">
        <v>48</v>
      </c>
      <c r="N85" s="19" t="n">
        <v>35</v>
      </c>
      <c r="O85" s="19" t="n">
        <v>46</v>
      </c>
      <c r="P85" s="19" t="n">
        <v>32</v>
      </c>
      <c r="Q85" s="19" t="n">
        <v>72</v>
      </c>
      <c r="R85" s="19" t="n">
        <v>64</v>
      </c>
      <c r="S85" s="19" t="n">
        <v>44</v>
      </c>
      <c r="T85" s="19" t="n">
        <v>0</v>
      </c>
      <c r="U85" s="19" t="n">
        <v>0</v>
      </c>
      <c r="V85" s="19">
        <f>K$1*(0.000001*K85^3)+L$1*((-0.000002)*L85^3+0.00032*L85^2+(-0.0021)*L85)+M$1*((-0.000002)*M85^3+0.00032*M85^2+(-0.0021)*M85)+N$1*((-0.000002)*N85^3+0.00032*N85^2+(-0.0021)*N85)+O$1*((-0.000002)*O85^3+0.00032*O85^2+(-0.0021)*O85)</f>
        <v/>
      </c>
      <c r="W85" s="5">
        <f>P$1*((-0.000002)*P85^3+0.00032*P85^2+(-0.0021)*P85)+Q$1*((-0.000002)*Q85^3+0.00032*Q85^2+(-0.0021)*Q85)+R$1*((-0.000002)*R85^3+0.00032*R85^2+(-0.0021)*R85)+S$1*((-0.000002)*S85^3+0.00032*S85^2+(-0.0021)*S85)+T$1*((-0.000002)*T85^3+0.00032*T85^2+(-0.0021)*T85)</f>
        <v/>
      </c>
      <c r="X85">
        <f>(I$1*((-0.000002)*I85^3+0.00032*I85^2+(-0.0021)*I85)+J$1*((-0.000002)*J85^3+0.00032*J85^2+(-0.0021)*J85)+H$1*((-0.000002)*H85^3+0.00032*H85^2+(-0.0021)*H85))*(MAX(0.05,MIN(1,(2*J85+I85)/120)*MIN(1,I85/10)*MIN(1,J85/10)))</f>
        <v/>
      </c>
      <c r="Y85" s="5">
        <f>(I$1*((-0.000002)*I85^3+0.00032*I85^2+(-0.0021)*I85)+J$1*((-0.000002)*J85^3+0.00032*J85^2+(-0.0021)*J85)+H$1*((-0.000002)*H85^3+0.00032*H85^2+(-0.0021)*H85))*(MAX(0.05,MIN(1,(2*J85+I85)/120)*MIN(1,I85/10)*MIN(1,J85/10)))</f>
        <v/>
      </c>
      <c r="Z85">
        <f>U85*J$2+V85*O$2+W85*H$2</f>
        <v/>
      </c>
      <c r="AA85">
        <f>IF(AND(J85&gt;50,I85+J85&gt;75),"SP",IF(2*I85+J85&gt;120,"RP","CRAP"))</f>
        <v/>
      </c>
    </row>
    <row r="86" ht="13.5" customHeight="1" s="27" thickBot="1">
      <c r="A86">
        <f>(V86*V$2+W86*W$2+X86*X$2)*100/(V$4*V$2+W$4*W$2+X$4*X$2)</f>
        <v/>
      </c>
      <c r="B86" s="16" t="n">
        <v>133</v>
      </c>
      <c r="C86" s="10" t="inlineStr">
        <is>
          <t>Hendrick, Tim</t>
        </is>
      </c>
      <c r="D86" s="17" t="inlineStr">
        <is>
          <t>P</t>
        </is>
      </c>
      <c r="E86" s="17" t="inlineStr">
        <is>
          <t>R</t>
        </is>
      </c>
      <c r="F86" s="17" t="inlineStr">
        <is>
          <t>R</t>
        </is>
      </c>
      <c r="G86" s="17" t="n">
        <v>18</v>
      </c>
      <c r="H86" s="17" t="n"/>
      <c r="I86" s="17" t="n"/>
      <c r="J86" s="17" t="n">
        <v>45</v>
      </c>
      <c r="K86" s="17" t="n">
        <v>30</v>
      </c>
      <c r="L86" s="17" t="n">
        <v>29</v>
      </c>
      <c r="M86" s="17" t="n">
        <v>28</v>
      </c>
      <c r="N86" s="17" t="n">
        <v>38</v>
      </c>
      <c r="O86" s="17" t="n">
        <v>91</v>
      </c>
      <c r="P86" s="17" t="n">
        <v>88</v>
      </c>
      <c r="Q86" s="17" t="n">
        <v>72</v>
      </c>
      <c r="R86" s="17" t="n">
        <v>42</v>
      </c>
      <c r="S86" s="17" t="n">
        <v>36</v>
      </c>
      <c r="T86" s="17" t="n">
        <v>0</v>
      </c>
      <c r="U86" s="17" t="n">
        <v>0</v>
      </c>
      <c r="V86" s="17">
        <f>K$1*(0.000001*K86^3)+L$1*((-0.000002)*L86^3+0.00032*L86^2+(-0.0021)*L86)+M$1*((-0.000002)*M86^3+0.00032*M86^2+(-0.0021)*M86)+N$1*((-0.000002)*N86^3+0.00032*N86^2+(-0.0021)*N86)+O$1*((-0.000002)*O86^3+0.00032*O86^2+(-0.0021)*O86)</f>
        <v/>
      </c>
      <c r="W86" s="5">
        <f>P$1*((-0.000002)*P86^3+0.00032*P86^2+(-0.0021)*P86)+Q$1*((-0.000002)*Q86^3+0.00032*Q86^2+(-0.0021)*Q86)+R$1*((-0.000002)*R86^3+0.00032*R86^2+(-0.0021)*R86)+S$1*((-0.000002)*S86^3+0.00032*S86^2+(-0.0021)*S86)+T$1*((-0.000002)*T86^3+0.00032*T86^2+(-0.0021)*T86)</f>
        <v/>
      </c>
      <c r="X86">
        <f>(I$1*((-0.000002)*I86^3+0.00032*I86^2+(-0.0021)*I86)+J$1*((-0.000002)*J86^3+0.00032*J86^2+(-0.0021)*J86)+H$1*((-0.000002)*H86^3+0.00032*H86^2+(-0.0021)*H86))*(MAX(0.05,MIN(1,(2*J86+I86)/120)*MIN(1,I86/10)*MIN(1,J86/10)))</f>
        <v/>
      </c>
      <c r="Y86" s="5">
        <f>(I$1*((-0.000002)*I86^3+0.00032*I86^2+(-0.0021)*I86)+J$1*((-0.000002)*J86^3+0.00032*J86^2+(-0.0021)*J86)+H$1*((-0.000002)*H86^3+0.00032*H86^2+(-0.0021)*H86))*(MAX(0.05,MIN(1,(2*J86+I86)/120)*MIN(1,I86/10)*MIN(1,J86/10)))</f>
        <v/>
      </c>
      <c r="Z86">
        <f>U86*J$2+V86*O$2+W86*H$2</f>
        <v/>
      </c>
      <c r="AA86">
        <f>IF(AND(J86&gt;50,I86+J86&gt;75),"SP",IF(2*I86+J86&gt;120,"RP","CRAP"))</f>
        <v/>
      </c>
    </row>
    <row r="87" ht="13.5" customHeight="1" s="27" thickBot="1">
      <c r="A87">
        <f>(V87*V$2+W87*W$2+X87*X$2)*100/(V$4*V$2+W$4*W$2+X$4*X$2)</f>
        <v/>
      </c>
      <c r="B87" s="18" t="n">
        <v>152</v>
      </c>
      <c r="C87" s="11" t="inlineStr">
        <is>
          <t>Lombard, Allen</t>
        </is>
      </c>
      <c r="D87" s="19" t="inlineStr">
        <is>
          <t>P</t>
        </is>
      </c>
      <c r="E87" s="19" t="inlineStr">
        <is>
          <t>L</t>
        </is>
      </c>
      <c r="F87" s="19" t="inlineStr">
        <is>
          <t>L</t>
        </is>
      </c>
      <c r="G87" s="19" t="n">
        <v>18</v>
      </c>
      <c r="H87" s="19" t="n"/>
      <c r="I87" s="19" t="n"/>
      <c r="J87" s="19" t="n">
        <v>22</v>
      </c>
      <c r="K87" s="19" t="n">
        <v>74</v>
      </c>
      <c r="L87" s="19" t="n">
        <v>41</v>
      </c>
      <c r="M87" s="19" t="n">
        <v>32</v>
      </c>
      <c r="N87" s="19" t="n">
        <v>15</v>
      </c>
      <c r="O87" s="19" t="n">
        <v>37</v>
      </c>
      <c r="P87" s="19" t="n">
        <v>56</v>
      </c>
      <c r="Q87" s="19" t="n">
        <v>65</v>
      </c>
      <c r="R87" s="19" t="n">
        <v>53</v>
      </c>
      <c r="S87" s="19" t="n">
        <v>42</v>
      </c>
      <c r="T87" s="19" t="n">
        <v>34</v>
      </c>
      <c r="U87" s="19" t="n">
        <v>25</v>
      </c>
      <c r="V87" s="19">
        <f>K$1*(0.000001*K87^3)+L$1*((-0.000002)*L87^3+0.00032*L87^2+(-0.0021)*L87)+M$1*((-0.000002)*M87^3+0.00032*M87^2+(-0.0021)*M87)+N$1*((-0.000002)*N87^3+0.00032*N87^2+(-0.0021)*N87)+O$1*((-0.000002)*O87^3+0.00032*O87^2+(-0.0021)*O87)</f>
        <v/>
      </c>
      <c r="W87" s="5">
        <f>P$1*((-0.000002)*P87^3+0.00032*P87^2+(-0.0021)*P87)+Q$1*((-0.000002)*Q87^3+0.00032*Q87^2+(-0.0021)*Q87)+R$1*((-0.000002)*R87^3+0.00032*R87^2+(-0.0021)*R87)+S$1*((-0.000002)*S87^3+0.00032*S87^2+(-0.0021)*S87)+T$1*((-0.000002)*T87^3+0.00032*T87^2+(-0.0021)*T87)</f>
        <v/>
      </c>
      <c r="X87">
        <f>(I$1*((-0.000002)*I87^3+0.00032*I87^2+(-0.0021)*I87)+J$1*((-0.000002)*J87^3+0.00032*J87^2+(-0.0021)*J87)+H$1*((-0.000002)*H87^3+0.00032*H87^2+(-0.0021)*H87))*(MAX(0.05,MIN(1,(2*J87+I87)/120)*MIN(1,I87/10)*MIN(1,J87/10)))</f>
        <v/>
      </c>
      <c r="Y87" s="5">
        <f>(I$1*((-0.000002)*I87^3+0.00032*I87^2+(-0.0021)*I87)+J$1*((-0.000002)*J87^3+0.00032*J87^2+(-0.0021)*J87)+H$1*((-0.000002)*H87^3+0.00032*H87^2+(-0.0021)*H87))*(MAX(0.05,MIN(1,(2*J87+I87)/120)*MIN(1,I87/10)*MIN(1,J87/10)))</f>
        <v/>
      </c>
      <c r="Z87">
        <f>U87*J$2+V87*O$2+W87*H$2</f>
        <v/>
      </c>
      <c r="AA87">
        <f>IF(AND(J87&gt;50,I87+J87&gt;75),"SP",IF(2*I87+J87&gt;120,"RP","CRAP"))</f>
        <v/>
      </c>
    </row>
    <row r="88" ht="13.5" customHeight="1" s="27" thickBot="1">
      <c r="A88">
        <f>(V88*V$2+W88*W$2+X88*X$2)*100/(V$4*V$2+W$4*W$2+X$4*X$2)</f>
        <v/>
      </c>
      <c r="B88" s="18" t="n">
        <v>116</v>
      </c>
      <c r="C88" s="11" t="inlineStr">
        <is>
          <t>Krause, Randy</t>
        </is>
      </c>
      <c r="D88" s="19" t="inlineStr">
        <is>
          <t>P</t>
        </is>
      </c>
      <c r="E88" s="19" t="inlineStr">
        <is>
          <t>L</t>
        </is>
      </c>
      <c r="F88" s="19" t="inlineStr">
        <is>
          <t>L</t>
        </is>
      </c>
      <c r="G88" s="19" t="n">
        <v>18</v>
      </c>
      <c r="H88" s="19" t="n"/>
      <c r="I88" s="19" t="n"/>
      <c r="J88" s="19" t="n">
        <v>72</v>
      </c>
      <c r="K88" s="19" t="n">
        <v>27</v>
      </c>
      <c r="L88" s="19" t="n">
        <v>44</v>
      </c>
      <c r="M88" s="19" t="n">
        <v>44</v>
      </c>
      <c r="N88" s="19" t="n">
        <v>44</v>
      </c>
      <c r="O88" s="19" t="n">
        <v>79</v>
      </c>
      <c r="P88" s="19" t="n">
        <v>12</v>
      </c>
      <c r="Q88" s="19" t="n">
        <v>70</v>
      </c>
      <c r="R88" s="19" t="n">
        <v>69</v>
      </c>
      <c r="S88" s="19" t="n">
        <v>0</v>
      </c>
      <c r="T88" s="19" t="n">
        <v>0</v>
      </c>
      <c r="U88" s="19" t="n">
        <v>0</v>
      </c>
      <c r="V88" s="19">
        <f>K$1*(0.000001*K88^3)+L$1*((-0.000002)*L88^3+0.00032*L88^2+(-0.0021)*L88)+M$1*((-0.000002)*M88^3+0.00032*M88^2+(-0.0021)*M88)+N$1*((-0.000002)*N88^3+0.00032*N88^2+(-0.0021)*N88)+O$1*((-0.000002)*O88^3+0.00032*O88^2+(-0.0021)*O88)</f>
        <v/>
      </c>
      <c r="W88" s="5">
        <f>P$1*((-0.000002)*P88^3+0.00032*P88^2+(-0.0021)*P88)+Q$1*((-0.000002)*Q88^3+0.00032*Q88^2+(-0.0021)*Q88)+R$1*((-0.000002)*R88^3+0.00032*R88^2+(-0.0021)*R88)+S$1*((-0.000002)*S88^3+0.00032*S88^2+(-0.0021)*S88)+T$1*((-0.000002)*T88^3+0.00032*T88^2+(-0.0021)*T88)</f>
        <v/>
      </c>
      <c r="X88">
        <f>(I$1*((-0.000002)*I88^3+0.00032*I88^2+(-0.0021)*I88)+J$1*((-0.000002)*J88^3+0.00032*J88^2+(-0.0021)*J88)+H$1*((-0.000002)*H88^3+0.00032*H88^2+(-0.0021)*H88))*(MAX(0.05,MIN(1,(2*J88+I88)/120)*MIN(1,I88/10)*MIN(1,J88/10)))</f>
        <v/>
      </c>
      <c r="Y88" s="5">
        <f>(I$1*((-0.000002)*I88^3+0.00032*I88^2+(-0.0021)*I88)+J$1*((-0.000002)*J88^3+0.00032*J88^2+(-0.0021)*J88)+H$1*((-0.000002)*H88^3+0.00032*H88^2+(-0.0021)*H88))*(MAX(0.05,MIN(1,(2*J88+I88)/120)*MIN(1,I88/10)*MIN(1,J88/10)))</f>
        <v/>
      </c>
      <c r="Z88">
        <f>U88*J$2+V88*O$2+W88*H$2</f>
        <v/>
      </c>
      <c r="AA88">
        <f>IF(AND(J88&gt;50,I88+J88&gt;75),"SP",IF(2*I88+J88&gt;120,"RP","CRAP"))</f>
        <v/>
      </c>
    </row>
    <row r="89" ht="13.5" customHeight="1" s="27" thickBot="1">
      <c r="A89">
        <f>(V89*V$2+W89*W$2+X89*X$2)*100/(V$4*V$2+W$4*W$2+X$4*X$2)</f>
        <v/>
      </c>
      <c r="B89" s="18" t="n">
        <v>146</v>
      </c>
      <c r="C89" s="11" t="inlineStr">
        <is>
          <t>Barnum, Fred</t>
        </is>
      </c>
      <c r="D89" s="19" t="inlineStr">
        <is>
          <t>P</t>
        </is>
      </c>
      <c r="E89" s="19" t="inlineStr">
        <is>
          <t>R</t>
        </is>
      </c>
      <c r="F89" s="19" t="inlineStr">
        <is>
          <t>R</t>
        </is>
      </c>
      <c r="G89" s="19" t="n">
        <v>18</v>
      </c>
      <c r="H89" s="19" t="n"/>
      <c r="I89" s="19" t="n"/>
      <c r="J89" s="19" t="n">
        <v>76</v>
      </c>
      <c r="K89" s="19" t="n">
        <v>20</v>
      </c>
      <c r="L89" s="19" t="n">
        <v>47</v>
      </c>
      <c r="M89" s="19" t="n">
        <v>30</v>
      </c>
      <c r="N89" s="19" t="n">
        <v>28</v>
      </c>
      <c r="O89" s="19" t="n">
        <v>75</v>
      </c>
      <c r="P89" s="19" t="n">
        <v>54</v>
      </c>
      <c r="Q89" s="19" t="n">
        <v>69</v>
      </c>
      <c r="R89" s="19" t="n">
        <v>51</v>
      </c>
      <c r="S89" s="19" t="n">
        <v>0</v>
      </c>
      <c r="T89" s="19" t="n">
        <v>0</v>
      </c>
      <c r="U89" s="19" t="n">
        <v>0</v>
      </c>
      <c r="V89" s="19">
        <f>K$1*(0.000001*K89^3)+L$1*((-0.000002)*L89^3+0.00032*L89^2+(-0.0021)*L89)+M$1*((-0.000002)*M89^3+0.00032*M89^2+(-0.0021)*M89)+N$1*((-0.000002)*N89^3+0.00032*N89^2+(-0.0021)*N89)+O$1*((-0.000002)*O89^3+0.00032*O89^2+(-0.0021)*O89)</f>
        <v/>
      </c>
      <c r="W89" s="5">
        <f>P$1*((-0.000002)*P89^3+0.00032*P89^2+(-0.0021)*P89)+Q$1*((-0.000002)*Q89^3+0.00032*Q89^2+(-0.0021)*Q89)+R$1*((-0.000002)*R89^3+0.00032*R89^2+(-0.0021)*R89)+S$1*((-0.000002)*S89^3+0.00032*S89^2+(-0.0021)*S89)+T$1*((-0.000002)*T89^3+0.00032*T89^2+(-0.0021)*T89)</f>
        <v/>
      </c>
      <c r="X89">
        <f>(I$1*((-0.000002)*I89^3+0.00032*I89^2+(-0.0021)*I89)+J$1*((-0.000002)*J89^3+0.00032*J89^2+(-0.0021)*J89)+H$1*((-0.000002)*H89^3+0.00032*H89^2+(-0.0021)*H89))*(MAX(0.05,MIN(1,(2*J89+I89)/120)*MIN(1,I89/10)*MIN(1,J89/10)))</f>
        <v/>
      </c>
      <c r="Y89" s="5">
        <f>(I$1*((-0.000002)*I89^3+0.00032*I89^2+(-0.0021)*I89)+J$1*((-0.000002)*J89^3+0.00032*J89^2+(-0.0021)*J89)+H$1*((-0.000002)*H89^3+0.00032*H89^2+(-0.0021)*H89))*(MAX(0.05,MIN(1,(2*J89+I89)/120)*MIN(1,I89/10)*MIN(1,J89/10)))</f>
        <v/>
      </c>
      <c r="Z89">
        <f>U89*J$2+V89*O$2+W89*H$2</f>
        <v/>
      </c>
      <c r="AA89">
        <f>IF(AND(J89&gt;50,I89+J89&gt;75),"SP",IF(2*I89+J89&gt;120,"RP","CRAP"))</f>
        <v/>
      </c>
    </row>
    <row r="90" ht="13.5" customHeight="1" s="27" thickBot="1">
      <c r="A90">
        <f>(V90*V$2+W90*W$2+X90*X$2)*100/(V$4*V$2+W$4*W$2+X$4*X$2)</f>
        <v/>
      </c>
      <c r="B90" s="16" t="n">
        <v>137</v>
      </c>
      <c r="C90" s="10" t="inlineStr">
        <is>
          <t>Mullin, Ted</t>
        </is>
      </c>
      <c r="D90" s="17" t="inlineStr">
        <is>
          <t>P</t>
        </is>
      </c>
      <c r="E90" s="17" t="inlineStr">
        <is>
          <t>R</t>
        </is>
      </c>
      <c r="F90" s="17" t="inlineStr">
        <is>
          <t>R</t>
        </is>
      </c>
      <c r="G90" s="17" t="n">
        <v>18</v>
      </c>
      <c r="H90" s="17" t="n"/>
      <c r="I90" s="17" t="n"/>
      <c r="J90" s="17" t="n">
        <v>34</v>
      </c>
      <c r="K90" s="17" t="n">
        <v>63</v>
      </c>
      <c r="L90" s="17" t="n">
        <v>63</v>
      </c>
      <c r="M90" s="17" t="n">
        <v>15</v>
      </c>
      <c r="N90" s="17" t="n">
        <v>22</v>
      </c>
      <c r="O90" s="17" t="n">
        <v>69</v>
      </c>
      <c r="P90" s="17" t="n">
        <v>19</v>
      </c>
      <c r="Q90" s="17" t="n">
        <v>63</v>
      </c>
      <c r="R90" s="17" t="n">
        <v>50</v>
      </c>
      <c r="S90" s="17" t="n">
        <v>32</v>
      </c>
      <c r="T90" s="17" t="n">
        <v>0</v>
      </c>
      <c r="U90" s="17" t="n">
        <v>0</v>
      </c>
      <c r="V90" s="17">
        <f>K$1*(0.000001*K90^3)+L$1*((-0.000002)*L90^3+0.00032*L90^2+(-0.0021)*L90)+M$1*((-0.000002)*M90^3+0.00032*M90^2+(-0.0021)*M90)+N$1*((-0.000002)*N90^3+0.00032*N90^2+(-0.0021)*N90)+O$1*((-0.000002)*O90^3+0.00032*O90^2+(-0.0021)*O90)</f>
        <v/>
      </c>
      <c r="W90" s="5">
        <f>P$1*((-0.000002)*P90^3+0.00032*P90^2+(-0.0021)*P90)+Q$1*((-0.000002)*Q90^3+0.00032*Q90^2+(-0.0021)*Q90)+R$1*((-0.000002)*R90^3+0.00032*R90^2+(-0.0021)*R90)+S$1*((-0.000002)*S90^3+0.00032*S90^2+(-0.0021)*S90)+T$1*((-0.000002)*T90^3+0.00032*T90^2+(-0.0021)*T90)</f>
        <v/>
      </c>
      <c r="X90">
        <f>(I$1*((-0.000002)*I90^3+0.00032*I90^2+(-0.0021)*I90)+J$1*((-0.000002)*J90^3+0.00032*J90^2+(-0.0021)*J90)+H$1*((-0.000002)*H90^3+0.00032*H90^2+(-0.0021)*H90))*(MAX(0.05,MIN(1,(2*J90+I90)/120)*MIN(1,I90/10)*MIN(1,J90/10)))</f>
        <v/>
      </c>
      <c r="Y90" s="5">
        <f>(I$1*((-0.000002)*I90^3+0.00032*I90^2+(-0.0021)*I90)+J$1*((-0.000002)*J90^3+0.00032*J90^2+(-0.0021)*J90)+H$1*((-0.000002)*H90^3+0.00032*H90^2+(-0.0021)*H90))*(MAX(0.05,MIN(1,(2*J90+I90)/120)*MIN(1,I90/10)*MIN(1,J90/10)))</f>
        <v/>
      </c>
      <c r="Z90">
        <f>U90*J$2+V90*O$2+W90*H$2</f>
        <v/>
      </c>
      <c r="AA90">
        <f>IF(AND(J90&gt;50,I90+J90&gt;75),"SP",IF(2*I90+J90&gt;120,"RP","CRAP"))</f>
        <v/>
      </c>
    </row>
    <row r="91" ht="13.5" customHeight="1" s="27" thickBot="1">
      <c r="A91">
        <f>(V91*V$2+W91*W$2+X91*X$2)*100/(V$4*V$2+W$4*W$2+X$4*X$2)</f>
        <v/>
      </c>
      <c r="B91" s="18" t="n">
        <v>136</v>
      </c>
      <c r="C91" s="11" t="inlineStr">
        <is>
          <t>Walker, Willie</t>
        </is>
      </c>
      <c r="D91" s="19" t="inlineStr">
        <is>
          <t>P</t>
        </is>
      </c>
      <c r="E91" s="19" t="inlineStr">
        <is>
          <t>L</t>
        </is>
      </c>
      <c r="F91" s="19" t="inlineStr">
        <is>
          <t>L</t>
        </is>
      </c>
      <c r="G91" s="19" t="n">
        <v>18</v>
      </c>
      <c r="H91" s="19" t="n"/>
      <c r="I91" s="19" t="n"/>
      <c r="J91" s="19" t="n">
        <v>32</v>
      </c>
      <c r="K91" s="19" t="n">
        <v>64</v>
      </c>
      <c r="L91" s="19" t="n">
        <v>50</v>
      </c>
      <c r="M91" s="19" t="n">
        <v>35</v>
      </c>
      <c r="N91" s="19" t="n">
        <v>18</v>
      </c>
      <c r="O91" s="19" t="n">
        <v>79</v>
      </c>
      <c r="P91" s="19" t="n">
        <v>20</v>
      </c>
      <c r="Q91" s="19" t="n">
        <v>56</v>
      </c>
      <c r="R91" s="19" t="n">
        <v>62</v>
      </c>
      <c r="S91" s="19" t="n">
        <v>37</v>
      </c>
      <c r="T91" s="19" t="n">
        <v>20</v>
      </c>
      <c r="U91" s="19" t="n">
        <v>21</v>
      </c>
      <c r="V91" s="19">
        <f>K$1*(0.000001*K91^3)+L$1*((-0.000002)*L91^3+0.00032*L91^2+(-0.0021)*L91)+M$1*((-0.000002)*M91^3+0.00032*M91^2+(-0.0021)*M91)+N$1*((-0.000002)*N91^3+0.00032*N91^2+(-0.0021)*N91)+O$1*((-0.000002)*O91^3+0.00032*O91^2+(-0.0021)*O91)</f>
        <v/>
      </c>
      <c r="W91" s="5">
        <f>P$1*((-0.000002)*P91^3+0.00032*P91^2+(-0.0021)*P91)+Q$1*((-0.000002)*Q91^3+0.00032*Q91^2+(-0.0021)*Q91)+R$1*((-0.000002)*R91^3+0.00032*R91^2+(-0.0021)*R91)+S$1*((-0.000002)*S91^3+0.00032*S91^2+(-0.0021)*S91)+T$1*((-0.000002)*T91^3+0.00032*T91^2+(-0.0021)*T91)</f>
        <v/>
      </c>
      <c r="X91">
        <f>(I$1*((-0.000002)*I91^3+0.00032*I91^2+(-0.0021)*I91)+J$1*((-0.000002)*J91^3+0.00032*J91^2+(-0.0021)*J91)+H$1*((-0.000002)*H91^3+0.00032*H91^2+(-0.0021)*H91))*(MAX(0.05,MIN(1,(2*J91+I91)/120)*MIN(1,I91/10)*MIN(1,J91/10)))</f>
        <v/>
      </c>
      <c r="Y91" s="5">
        <f>(I$1*((-0.000002)*I91^3+0.00032*I91^2+(-0.0021)*I91)+J$1*((-0.000002)*J91^3+0.00032*J91^2+(-0.0021)*J91)+H$1*((-0.000002)*H91^3+0.00032*H91^2+(-0.0021)*H91))*(MAX(0.05,MIN(1,(2*J91+I91)/120)*MIN(1,I91/10)*MIN(1,J91/10)))</f>
        <v/>
      </c>
      <c r="Z91">
        <f>U91*J$2+V91*O$2+W91*H$2</f>
        <v/>
      </c>
      <c r="AA91">
        <f>IF(AND(J91&gt;50,I91+J91&gt;75),"SP",IF(2*I91+J91&gt;120,"RP","CRAP"))</f>
        <v/>
      </c>
    </row>
    <row r="92" ht="13.5" customHeight="1" s="27" thickBot="1">
      <c r="A92">
        <f>(V92*V$2+W92*W$2+X92*X$2)*100/(V$4*V$2+W$4*W$2+X$4*X$2)</f>
        <v/>
      </c>
      <c r="B92" s="18" t="n">
        <v>162</v>
      </c>
      <c r="C92" s="11" t="inlineStr">
        <is>
          <t>Toregas, Alexei</t>
        </is>
      </c>
      <c r="D92" s="19" t="inlineStr">
        <is>
          <t>P</t>
        </is>
      </c>
      <c r="E92" s="19" t="inlineStr">
        <is>
          <t>S</t>
        </is>
      </c>
      <c r="F92" s="19" t="inlineStr">
        <is>
          <t>R</t>
        </is>
      </c>
      <c r="G92" s="19" t="n">
        <v>18</v>
      </c>
      <c r="H92" s="19" t="n"/>
      <c r="I92" s="19" t="n"/>
      <c r="J92" s="19" t="n">
        <v>53</v>
      </c>
      <c r="K92" s="19" t="n">
        <v>22</v>
      </c>
      <c r="L92" s="19" t="n">
        <v>42</v>
      </c>
      <c r="M92" s="19" t="n">
        <v>25</v>
      </c>
      <c r="N92" s="19" t="n">
        <v>37</v>
      </c>
      <c r="O92" s="19" t="n">
        <v>75</v>
      </c>
      <c r="P92" s="19" t="n">
        <v>47</v>
      </c>
      <c r="Q92" s="19" t="n">
        <v>65</v>
      </c>
      <c r="R92" s="19" t="n">
        <v>51</v>
      </c>
      <c r="S92" s="19" t="n">
        <v>26</v>
      </c>
      <c r="T92" s="19" t="n">
        <v>0</v>
      </c>
      <c r="U92" s="19" t="n">
        <v>0</v>
      </c>
      <c r="V92" s="19">
        <f>K$1*(0.000001*K92^3)+L$1*((-0.000002)*L92^3+0.00032*L92^2+(-0.0021)*L92)+M$1*((-0.000002)*M92^3+0.00032*M92^2+(-0.0021)*M92)+N$1*((-0.000002)*N92^3+0.00032*N92^2+(-0.0021)*N92)+O$1*((-0.000002)*O92^3+0.00032*O92^2+(-0.0021)*O92)</f>
        <v/>
      </c>
      <c r="W92" s="5">
        <f>P$1*((-0.000002)*P92^3+0.00032*P92^2+(-0.0021)*P92)+Q$1*((-0.000002)*Q92^3+0.00032*Q92^2+(-0.0021)*Q92)+R$1*((-0.000002)*R92^3+0.00032*R92^2+(-0.0021)*R92)+S$1*((-0.000002)*S92^3+0.00032*S92^2+(-0.0021)*S92)+T$1*((-0.000002)*T92^3+0.00032*T92^2+(-0.0021)*T92)</f>
        <v/>
      </c>
      <c r="X92">
        <f>(I$1*((-0.000002)*I92^3+0.00032*I92^2+(-0.0021)*I92)+J$1*((-0.000002)*J92^3+0.00032*J92^2+(-0.0021)*J92)+H$1*((-0.000002)*H92^3+0.00032*H92^2+(-0.0021)*H92))*(MAX(0.05,MIN(1,(2*J92+I92)/120)*MIN(1,I92/10)*MIN(1,J92/10)))</f>
        <v/>
      </c>
      <c r="Y92" s="5">
        <f>(I$1*((-0.000002)*I92^3+0.00032*I92^2+(-0.0021)*I92)+J$1*((-0.000002)*J92^3+0.00032*J92^2+(-0.0021)*J92)+H$1*((-0.000002)*H92^3+0.00032*H92^2+(-0.0021)*H92))*(MAX(0.05,MIN(1,(2*J92+I92)/120)*MIN(1,I92/10)*MIN(1,J92/10)))</f>
        <v/>
      </c>
      <c r="Z92">
        <f>U92*J$2+V92*O$2+W92*H$2</f>
        <v/>
      </c>
      <c r="AA92">
        <f>IF(AND(J92&gt;50,I92+J92&gt;75),"SP",IF(2*I92+J92&gt;120,"RP","CRAP"))</f>
        <v/>
      </c>
    </row>
    <row r="93" ht="13.5" customHeight="1" s="27" thickBot="1">
      <c r="A93">
        <f>(V93*V$2+W93*W$2+X93*X$2)*100/(V$4*V$2+W$4*W$2+X$4*X$2)</f>
        <v/>
      </c>
      <c r="B93" s="16" t="n">
        <v>153</v>
      </c>
      <c r="C93" s="10" t="inlineStr">
        <is>
          <t>Fleming, Tommy</t>
        </is>
      </c>
      <c r="D93" s="17" t="inlineStr">
        <is>
          <t>P</t>
        </is>
      </c>
      <c r="E93" s="17" t="inlineStr">
        <is>
          <t>R</t>
        </is>
      </c>
      <c r="F93" s="17" t="inlineStr">
        <is>
          <t>R</t>
        </is>
      </c>
      <c r="G93" s="17" t="n">
        <v>18</v>
      </c>
      <c r="H93" s="17" t="n"/>
      <c r="I93" s="17" t="n"/>
      <c r="J93" s="17" t="n">
        <v>29</v>
      </c>
      <c r="K93" s="17" t="n">
        <v>67</v>
      </c>
      <c r="L93" s="17" t="n">
        <v>11</v>
      </c>
      <c r="M93" s="17" t="n">
        <v>26</v>
      </c>
      <c r="N93" s="17" t="n">
        <v>24</v>
      </c>
      <c r="O93" s="17" t="n">
        <v>33</v>
      </c>
      <c r="P93" s="17" t="n">
        <v>70</v>
      </c>
      <c r="Q93" s="17" t="n">
        <v>71</v>
      </c>
      <c r="R93" s="17" t="n">
        <v>52</v>
      </c>
      <c r="S93" s="17" t="n">
        <v>43</v>
      </c>
      <c r="T93" s="17" t="n">
        <v>26</v>
      </c>
      <c r="U93" s="17" t="n">
        <v>0</v>
      </c>
      <c r="V93" s="17">
        <f>K$1*(0.000001*K93^3)+L$1*((-0.000002)*L93^3+0.00032*L93^2+(-0.0021)*L93)+M$1*((-0.000002)*M93^3+0.00032*M93^2+(-0.0021)*M93)+N$1*((-0.000002)*N93^3+0.00032*N93^2+(-0.0021)*N93)+O$1*((-0.000002)*O93^3+0.00032*O93^2+(-0.0021)*O93)</f>
        <v/>
      </c>
      <c r="W93" s="5">
        <f>P$1*((-0.000002)*P93^3+0.00032*P93^2+(-0.0021)*P93)+Q$1*((-0.000002)*Q93^3+0.00032*Q93^2+(-0.0021)*Q93)+R$1*((-0.000002)*R93^3+0.00032*R93^2+(-0.0021)*R93)+S$1*((-0.000002)*S93^3+0.00032*S93^2+(-0.0021)*S93)+T$1*((-0.000002)*T93^3+0.00032*T93^2+(-0.0021)*T93)</f>
        <v/>
      </c>
      <c r="X93">
        <f>(I$1*((-0.000002)*I93^3+0.00032*I93^2+(-0.0021)*I93)+J$1*((-0.000002)*J93^3+0.00032*J93^2+(-0.0021)*J93)+H$1*((-0.000002)*H93^3+0.00032*H93^2+(-0.0021)*H93))*(MAX(0.05,MIN(1,(2*J93+I93)/120)*MIN(1,I93/10)*MIN(1,J93/10)))</f>
        <v/>
      </c>
      <c r="Y93" s="5">
        <f>(I$1*((-0.000002)*I93^3+0.00032*I93^2+(-0.0021)*I93)+J$1*((-0.000002)*J93^3+0.00032*J93^2+(-0.0021)*J93)+H$1*((-0.000002)*H93^3+0.00032*H93^2+(-0.0021)*H93))*(MAX(0.05,MIN(1,(2*J93+I93)/120)*MIN(1,I93/10)*MIN(1,J93/10)))</f>
        <v/>
      </c>
      <c r="Z93">
        <f>U93*J$2+V93*O$2+W93*H$2</f>
        <v/>
      </c>
      <c r="AA93">
        <f>IF(AND(J93&gt;50,I93+J93&gt;75),"SP",IF(2*I93+J93&gt;120,"RP","CRAP"))</f>
        <v/>
      </c>
    </row>
    <row r="94" ht="13.5" customHeight="1" s="27" thickBot="1">
      <c r="A94">
        <f>(V94*V$2+W94*W$2+X94*X$2)*100/(V$4*V$2+W$4*W$2+X$4*X$2)</f>
        <v/>
      </c>
      <c r="B94" s="18" t="n">
        <v>164</v>
      </c>
      <c r="C94" s="11" t="inlineStr">
        <is>
          <t>Oliva, Julian</t>
        </is>
      </c>
      <c r="D94" s="19" t="inlineStr">
        <is>
          <t>P</t>
        </is>
      </c>
      <c r="E94" s="19" t="inlineStr">
        <is>
          <t>R</t>
        </is>
      </c>
      <c r="F94" s="19" t="inlineStr">
        <is>
          <t>R</t>
        </is>
      </c>
      <c r="G94" s="19" t="n">
        <v>18</v>
      </c>
      <c r="H94" s="19" t="n"/>
      <c r="I94" s="19" t="n"/>
      <c r="J94" s="19" t="n">
        <v>43</v>
      </c>
      <c r="K94" s="19" t="n">
        <v>40</v>
      </c>
      <c r="L94" s="19" t="n">
        <v>32</v>
      </c>
      <c r="M94" s="19" t="n">
        <v>13</v>
      </c>
      <c r="N94" s="19" t="n">
        <v>28</v>
      </c>
      <c r="O94" s="19" t="n">
        <v>72</v>
      </c>
      <c r="P94" s="19" t="n">
        <v>72</v>
      </c>
      <c r="Q94" s="19" t="n">
        <v>71</v>
      </c>
      <c r="R94" s="19" t="n">
        <v>33</v>
      </c>
      <c r="S94" s="19" t="n">
        <v>0</v>
      </c>
      <c r="T94" s="19" t="n">
        <v>0</v>
      </c>
      <c r="U94" s="19" t="n">
        <v>0</v>
      </c>
      <c r="V94" s="19">
        <f>K$1*(0.000001*K94^3)+L$1*((-0.000002)*L94^3+0.00032*L94^2+(-0.0021)*L94)+M$1*((-0.000002)*M94^3+0.00032*M94^2+(-0.0021)*M94)+N$1*((-0.000002)*N94^3+0.00032*N94^2+(-0.0021)*N94)+O$1*((-0.000002)*O94^3+0.00032*O94^2+(-0.0021)*O94)</f>
        <v/>
      </c>
      <c r="W94" s="5">
        <f>P$1*((-0.000002)*P94^3+0.00032*P94^2+(-0.0021)*P94)+Q$1*((-0.000002)*Q94^3+0.00032*Q94^2+(-0.0021)*Q94)+R$1*((-0.000002)*R94^3+0.00032*R94^2+(-0.0021)*R94)+S$1*((-0.000002)*S94^3+0.00032*S94^2+(-0.0021)*S94)+T$1*((-0.000002)*T94^3+0.00032*T94^2+(-0.0021)*T94)</f>
        <v/>
      </c>
      <c r="X94">
        <f>(I$1*((-0.000002)*I94^3+0.00032*I94^2+(-0.0021)*I94)+J$1*((-0.000002)*J94^3+0.00032*J94^2+(-0.0021)*J94)+H$1*((-0.000002)*H94^3+0.00032*H94^2+(-0.0021)*H94))*(MAX(0.05,MIN(1,(2*J94+I94)/120)*MIN(1,I94/10)*MIN(1,J94/10)))</f>
        <v/>
      </c>
      <c r="Y94" s="5">
        <f>(I$1*((-0.000002)*I94^3+0.00032*I94^2+(-0.0021)*I94)+J$1*((-0.000002)*J94^3+0.00032*J94^2+(-0.0021)*J94)+H$1*((-0.000002)*H94^3+0.00032*H94^2+(-0.0021)*H94))*(MAX(0.05,MIN(1,(2*J94+I94)/120)*MIN(1,I94/10)*MIN(1,J94/10)))</f>
        <v/>
      </c>
      <c r="Z94">
        <f>U94*J$2+V94*O$2+W94*H$2</f>
        <v/>
      </c>
      <c r="AA94">
        <f>IF(AND(J94&gt;50,I94+J94&gt;75),"SP",IF(2*I94+J94&gt;120,"RP","CRAP"))</f>
        <v/>
      </c>
    </row>
    <row r="95" ht="13.5" customHeight="1" s="27" thickBot="1">
      <c r="A95">
        <f>(V95*V$2+W95*W$2+X95*X$2)*100/(V$4*V$2+W$4*W$2+X$4*X$2)</f>
        <v/>
      </c>
      <c r="B95" s="18" t="n">
        <v>178</v>
      </c>
      <c r="C95" s="11" t="inlineStr">
        <is>
          <t>Jacobson, Stephen</t>
        </is>
      </c>
      <c r="D95" s="19" t="inlineStr">
        <is>
          <t>P</t>
        </is>
      </c>
      <c r="E95" s="19" t="inlineStr">
        <is>
          <t>L</t>
        </is>
      </c>
      <c r="F95" s="19" t="inlineStr">
        <is>
          <t>L</t>
        </is>
      </c>
      <c r="G95" s="19" t="n">
        <v>22</v>
      </c>
      <c r="H95" s="19" t="n"/>
      <c r="I95" s="19" t="n"/>
      <c r="J95" s="19" t="n">
        <v>29</v>
      </c>
      <c r="K95" s="19" t="n">
        <v>45</v>
      </c>
      <c r="L95" s="19" t="n">
        <v>44</v>
      </c>
      <c r="M95" s="19" t="n">
        <v>51</v>
      </c>
      <c r="N95" s="19" t="n">
        <v>32</v>
      </c>
      <c r="O95" s="19" t="n">
        <v>26</v>
      </c>
      <c r="P95" s="19" t="n">
        <v>33</v>
      </c>
      <c r="Q95" s="19" t="n">
        <v>68</v>
      </c>
      <c r="R95" s="19" t="n">
        <v>17</v>
      </c>
      <c r="S95" s="19" t="n">
        <v>28</v>
      </c>
      <c r="T95" s="19" t="n">
        <v>5</v>
      </c>
      <c r="U95" s="19" t="n">
        <v>0</v>
      </c>
      <c r="V95" s="19">
        <f>K$1*(0.000001*K95^3)+L$1*((-0.000002)*L95^3+0.00032*L95^2+(-0.0021)*L95)+M$1*((-0.000002)*M95^3+0.00032*M95^2+(-0.0021)*M95)+N$1*((-0.000002)*N95^3+0.00032*N95^2+(-0.0021)*N95)+O$1*((-0.000002)*O95^3+0.00032*O95^2+(-0.0021)*O95)</f>
        <v/>
      </c>
      <c r="W95" s="5">
        <f>P$1*((-0.000002)*P95^3+0.00032*P95^2+(-0.0021)*P95)+Q$1*((-0.000002)*Q95^3+0.00032*Q95^2+(-0.0021)*Q95)+R$1*((-0.000002)*R95^3+0.00032*R95^2+(-0.0021)*R95)+S$1*((-0.000002)*S95^3+0.00032*S95^2+(-0.0021)*S95)+T$1*((-0.000002)*T95^3+0.00032*T95^2+(-0.0021)*T95)</f>
        <v/>
      </c>
      <c r="X95">
        <f>(I$1*((-0.000002)*I95^3+0.00032*I95^2+(-0.0021)*I95)+J$1*((-0.000002)*J95^3+0.00032*J95^2+(-0.0021)*J95)+H$1*((-0.000002)*H95^3+0.00032*H95^2+(-0.0021)*H95))*(MAX(0.05,MIN(1,(2*J95+I95)/120)*MIN(1,I95/10)*MIN(1,J95/10)))</f>
        <v/>
      </c>
      <c r="Y95" s="5">
        <f>(I$1*((-0.000002)*I95^3+0.00032*I95^2+(-0.0021)*I95)+J$1*((-0.000002)*J95^3+0.00032*J95^2+(-0.0021)*J95)+H$1*((-0.000002)*H95^3+0.00032*H95^2+(-0.0021)*H95))*(MAX(0.05,MIN(1,(2*J95+I95)/120)*MIN(1,I95/10)*MIN(1,J95/10)))</f>
        <v/>
      </c>
      <c r="Z95">
        <f>U95*J$2+V95*O$2+W95*H$2</f>
        <v/>
      </c>
      <c r="AA95">
        <f>IF(AND(J95&gt;50,I95+J95&gt;75),"SP",IF(2*I95+J95&gt;120,"RP","CRAP"))</f>
        <v/>
      </c>
    </row>
    <row r="96" ht="13.5" customHeight="1" s="27" thickBot="1">
      <c r="A96">
        <f>(V96*V$2+W96*W$2+X96*X$2)*100/(V$4*V$2+W$4*W$2+X$4*X$2)</f>
        <v/>
      </c>
      <c r="B96" s="16" t="n">
        <v>149</v>
      </c>
      <c r="C96" s="10" t="inlineStr">
        <is>
          <t>Stowers, Bill</t>
        </is>
      </c>
      <c r="D96" s="17" t="inlineStr">
        <is>
          <t>P</t>
        </is>
      </c>
      <c r="E96" s="17" t="inlineStr">
        <is>
          <t>S</t>
        </is>
      </c>
      <c r="F96" s="17" t="inlineStr">
        <is>
          <t>R</t>
        </is>
      </c>
      <c r="G96" s="17" t="n">
        <v>18</v>
      </c>
      <c r="H96" s="17" t="n"/>
      <c r="I96" s="17" t="n"/>
      <c r="J96" s="17" t="n">
        <v>37</v>
      </c>
      <c r="K96" s="17" t="n">
        <v>31</v>
      </c>
      <c r="L96" s="17" t="n">
        <v>36</v>
      </c>
      <c r="M96" s="17" t="n">
        <v>38</v>
      </c>
      <c r="N96" s="17" t="n">
        <v>44</v>
      </c>
      <c r="O96" s="17" t="n">
        <v>63</v>
      </c>
      <c r="P96" s="17" t="n">
        <v>22</v>
      </c>
      <c r="Q96" s="17" t="n">
        <v>81</v>
      </c>
      <c r="R96" s="17" t="n">
        <v>48</v>
      </c>
      <c r="S96" s="17" t="n">
        <v>22</v>
      </c>
      <c r="T96" s="17" t="n">
        <v>0</v>
      </c>
      <c r="U96" s="17" t="n">
        <v>0</v>
      </c>
      <c r="V96" s="17">
        <f>K$1*(0.000001*K96^3)+L$1*((-0.000002)*L96^3+0.00032*L96^2+(-0.0021)*L96)+M$1*((-0.000002)*M96^3+0.00032*M96^2+(-0.0021)*M96)+N$1*((-0.000002)*N96^3+0.00032*N96^2+(-0.0021)*N96)+O$1*((-0.000002)*O96^3+0.00032*O96^2+(-0.0021)*O96)</f>
        <v/>
      </c>
      <c r="W96" s="5">
        <f>P$1*((-0.000002)*P96^3+0.00032*P96^2+(-0.0021)*P96)+Q$1*((-0.000002)*Q96^3+0.00032*Q96^2+(-0.0021)*Q96)+R$1*((-0.000002)*R96^3+0.00032*R96^2+(-0.0021)*R96)+S$1*((-0.000002)*S96^3+0.00032*S96^2+(-0.0021)*S96)+T$1*((-0.000002)*T96^3+0.00032*T96^2+(-0.0021)*T96)</f>
        <v/>
      </c>
      <c r="X96">
        <f>(I$1*((-0.000002)*I96^3+0.00032*I96^2+(-0.0021)*I96)+J$1*((-0.000002)*J96^3+0.00032*J96^2+(-0.0021)*J96)+H$1*((-0.000002)*H96^3+0.00032*H96^2+(-0.0021)*H96))*(MAX(0.05,MIN(1,(2*J96+I96)/120)*MIN(1,I96/10)*MIN(1,J96/10)))</f>
        <v/>
      </c>
      <c r="Y96" s="5">
        <f>(I$1*((-0.000002)*I96^3+0.00032*I96^2+(-0.0021)*I96)+J$1*((-0.000002)*J96^3+0.00032*J96^2+(-0.0021)*J96)+H$1*((-0.000002)*H96^3+0.00032*H96^2+(-0.0021)*H96))*(MAX(0.05,MIN(1,(2*J96+I96)/120)*MIN(1,I96/10)*MIN(1,J96/10)))</f>
        <v/>
      </c>
      <c r="Z96">
        <f>U96*J$2+V96*O$2+W96*H$2</f>
        <v/>
      </c>
      <c r="AA96">
        <f>IF(AND(J96&gt;50,I96+J96&gt;75),"SP",IF(2*I96+J96&gt;120,"RP","CRAP"))</f>
        <v/>
      </c>
    </row>
    <row r="97" ht="13.5" customHeight="1" s="27" thickBot="1">
      <c r="A97">
        <f>(V97*V$2+W97*W$2+X97*X$2)*100/(V$4*V$2+W$4*W$2+X$4*X$2)</f>
        <v/>
      </c>
      <c r="B97" s="16" t="n">
        <v>181</v>
      </c>
      <c r="C97" s="10" t="inlineStr">
        <is>
          <t>Ishii, O'Koyea</t>
        </is>
      </c>
      <c r="D97" s="17" t="inlineStr">
        <is>
          <t>P</t>
        </is>
      </c>
      <c r="E97" s="17" t="inlineStr">
        <is>
          <t>R</t>
        </is>
      </c>
      <c r="F97" s="17" t="inlineStr">
        <is>
          <t>R</t>
        </is>
      </c>
      <c r="G97" s="17" t="n">
        <v>22</v>
      </c>
      <c r="H97" s="17" t="n"/>
      <c r="I97" s="17" t="n"/>
      <c r="J97" s="17" t="n">
        <v>33</v>
      </c>
      <c r="K97" s="17" t="n">
        <v>26</v>
      </c>
      <c r="L97" s="17" t="n">
        <v>18</v>
      </c>
      <c r="M97" s="17" t="n">
        <v>13</v>
      </c>
      <c r="N97" s="17" t="n">
        <v>40</v>
      </c>
      <c r="O97" s="17" t="n">
        <v>76</v>
      </c>
      <c r="P97" s="17" t="n">
        <v>74</v>
      </c>
      <c r="Q97" s="17" t="n">
        <v>84</v>
      </c>
      <c r="R97" s="17" t="n">
        <v>22</v>
      </c>
      <c r="S97" s="17" t="n">
        <v>16</v>
      </c>
      <c r="T97" s="17" t="n">
        <v>38</v>
      </c>
      <c r="U97" s="17" t="n">
        <v>8</v>
      </c>
      <c r="V97" s="17">
        <f>K$1*(0.000001*K97^3)+L$1*((-0.000002)*L97^3+0.00032*L97^2+(-0.0021)*L97)+M$1*((-0.000002)*M97^3+0.00032*M97^2+(-0.0021)*M97)+N$1*((-0.000002)*N97^3+0.00032*N97^2+(-0.0021)*N97)+O$1*((-0.000002)*O97^3+0.00032*O97^2+(-0.0021)*O97)</f>
        <v/>
      </c>
      <c r="W97" s="5">
        <f>P$1*((-0.000002)*P97^3+0.00032*P97^2+(-0.0021)*P97)+Q$1*((-0.000002)*Q97^3+0.00032*Q97^2+(-0.0021)*Q97)+R$1*((-0.000002)*R97^3+0.00032*R97^2+(-0.0021)*R97)+S$1*((-0.000002)*S97^3+0.00032*S97^2+(-0.0021)*S97)+T$1*((-0.000002)*T97^3+0.00032*T97^2+(-0.0021)*T97)</f>
        <v/>
      </c>
      <c r="X97">
        <f>(I$1*((-0.000002)*I97^3+0.00032*I97^2+(-0.0021)*I97)+J$1*((-0.000002)*J97^3+0.00032*J97^2+(-0.0021)*J97)+H$1*((-0.000002)*H97^3+0.00032*H97^2+(-0.0021)*H97))*(MAX(0.05,MIN(1,(2*J97+I97)/120)*MIN(1,I97/10)*MIN(1,J97/10)))</f>
        <v/>
      </c>
      <c r="Y97" s="5">
        <f>(I$1*((-0.000002)*I97^3+0.00032*I97^2+(-0.0021)*I97)+J$1*((-0.000002)*J97^3+0.00032*J97^2+(-0.0021)*J97)+H$1*((-0.000002)*H97^3+0.00032*H97^2+(-0.0021)*H97))*(MAX(0.05,MIN(1,(2*J97+I97)/120)*MIN(1,I97/10)*MIN(1,J97/10)))</f>
        <v/>
      </c>
      <c r="Z97">
        <f>U97*J$2+V97*O$2+W97*H$2</f>
        <v/>
      </c>
      <c r="AA97">
        <f>IF(AND(J97&gt;50,I97+J97&gt;75),"SP",IF(2*I97+J97&gt;120,"RP","CRAP"))</f>
        <v/>
      </c>
    </row>
    <row r="98" ht="13.5" customHeight="1" s="27" thickBot="1">
      <c r="A98">
        <f>(V98*V$2+W98*W$2+X98*X$2)*100/(V$4*V$2+W$4*W$2+X$4*X$2)</f>
        <v/>
      </c>
      <c r="B98" s="16" t="n">
        <v>177</v>
      </c>
      <c r="C98" s="10" t="inlineStr">
        <is>
          <t>Monzon, Gabby</t>
        </is>
      </c>
      <c r="D98" s="17" t="inlineStr">
        <is>
          <t>P</t>
        </is>
      </c>
      <c r="E98" s="17" t="inlineStr">
        <is>
          <t>R</t>
        </is>
      </c>
      <c r="F98" s="17" t="inlineStr">
        <is>
          <t>R</t>
        </is>
      </c>
      <c r="G98" s="17" t="n">
        <v>21</v>
      </c>
      <c r="H98" s="17" t="n"/>
      <c r="I98" s="17" t="n"/>
      <c r="J98" s="17" t="n">
        <v>39</v>
      </c>
      <c r="K98" s="17" t="n">
        <v>72</v>
      </c>
      <c r="L98" s="17" t="n">
        <v>16</v>
      </c>
      <c r="M98" s="17" t="n">
        <v>53</v>
      </c>
      <c r="N98" s="17" t="n">
        <v>15</v>
      </c>
      <c r="O98" s="17" t="n">
        <v>15</v>
      </c>
      <c r="P98" s="17" t="n">
        <v>65</v>
      </c>
      <c r="Q98" s="17" t="n">
        <v>46</v>
      </c>
      <c r="R98" s="17" t="n">
        <v>48</v>
      </c>
      <c r="S98" s="17" t="n">
        <v>54</v>
      </c>
      <c r="T98" s="17" t="n">
        <v>15</v>
      </c>
      <c r="U98" s="17" t="n">
        <v>0</v>
      </c>
      <c r="V98" s="17">
        <f>K$1*(0.000001*K98^3)+L$1*((-0.000002)*L98^3+0.00032*L98^2+(-0.0021)*L98)+M$1*((-0.000002)*M98^3+0.00032*M98^2+(-0.0021)*M98)+N$1*((-0.000002)*N98^3+0.00032*N98^2+(-0.0021)*N98)+O$1*((-0.000002)*O98^3+0.00032*O98^2+(-0.0021)*O98)</f>
        <v/>
      </c>
      <c r="W98" s="5">
        <f>P$1*((-0.000002)*P98^3+0.00032*P98^2+(-0.0021)*P98)+Q$1*((-0.000002)*Q98^3+0.00032*Q98^2+(-0.0021)*Q98)+R$1*((-0.000002)*R98^3+0.00032*R98^2+(-0.0021)*R98)+S$1*((-0.000002)*S98^3+0.00032*S98^2+(-0.0021)*S98)+T$1*((-0.000002)*T98^3+0.00032*T98^2+(-0.0021)*T98)</f>
        <v/>
      </c>
      <c r="X98">
        <f>(I$1*((-0.000002)*I98^3+0.00032*I98^2+(-0.0021)*I98)+J$1*((-0.000002)*J98^3+0.00032*J98^2+(-0.0021)*J98)+H$1*((-0.000002)*H98^3+0.00032*H98^2+(-0.0021)*H98))*(MAX(0.05,MIN(1,(2*J98+I98)/120)*MIN(1,I98/10)*MIN(1,J98/10)))</f>
        <v/>
      </c>
      <c r="Y98" s="5">
        <f>(I$1*((-0.000002)*I98^3+0.00032*I98^2+(-0.0021)*I98)+J$1*((-0.000002)*J98^3+0.00032*J98^2+(-0.0021)*J98)+H$1*((-0.000002)*H98^3+0.00032*H98^2+(-0.0021)*H98))*(MAX(0.05,MIN(1,(2*J98+I98)/120)*MIN(1,I98/10)*MIN(1,J98/10)))</f>
        <v/>
      </c>
      <c r="Z98">
        <f>U98*J$2+V98*O$2+W98*H$2</f>
        <v/>
      </c>
      <c r="AA98">
        <f>IF(AND(J98&gt;50,I98+J98&gt;75),"SP",IF(2*I98+J98&gt;120,"RP","CRAP"))</f>
        <v/>
      </c>
    </row>
    <row r="99" ht="13.5" customHeight="1" s="27" thickBot="1">
      <c r="A99">
        <f>(V99*V$2+W99*W$2+X99*X$2)*100/(V$4*V$2+W$4*W$2+X$4*X$2)</f>
        <v/>
      </c>
      <c r="B99" s="16" t="n">
        <v>169</v>
      </c>
      <c r="C99" s="10" t="inlineStr">
        <is>
          <t>Leskanic, Gene</t>
        </is>
      </c>
      <c r="D99" s="17" t="inlineStr">
        <is>
          <t>P</t>
        </is>
      </c>
      <c r="E99" s="17" t="inlineStr">
        <is>
          <t>R</t>
        </is>
      </c>
      <c r="F99" s="17" t="inlineStr">
        <is>
          <t>R</t>
        </is>
      </c>
      <c r="G99" s="17" t="n">
        <v>22</v>
      </c>
      <c r="H99" s="17" t="n"/>
      <c r="I99" s="17" t="n"/>
      <c r="J99" s="17" t="n">
        <v>92</v>
      </c>
      <c r="K99" s="17" t="n">
        <v>45</v>
      </c>
      <c r="L99" s="17" t="n">
        <v>45</v>
      </c>
      <c r="M99" s="17" t="n">
        <v>30</v>
      </c>
      <c r="N99" s="17" t="n">
        <v>12</v>
      </c>
      <c r="O99" s="17" t="n">
        <v>57</v>
      </c>
      <c r="P99" s="17" t="n">
        <v>44</v>
      </c>
      <c r="Q99" s="17" t="n">
        <v>38</v>
      </c>
      <c r="R99" s="17" t="n">
        <v>83</v>
      </c>
      <c r="S99" s="17" t="n">
        <v>0</v>
      </c>
      <c r="T99" s="17" t="n">
        <v>0</v>
      </c>
      <c r="U99" s="17" t="n">
        <v>0</v>
      </c>
      <c r="V99" s="17">
        <f>K$1*(0.000001*K99^3)+L$1*((-0.000002)*L99^3+0.00032*L99^2+(-0.0021)*L99)+M$1*((-0.000002)*M99^3+0.00032*M99^2+(-0.0021)*M99)+N$1*((-0.000002)*N99^3+0.00032*N99^2+(-0.0021)*N99)+O$1*((-0.000002)*O99^3+0.00032*O99^2+(-0.0021)*O99)</f>
        <v/>
      </c>
      <c r="W99" s="5">
        <f>P$1*((-0.000002)*P99^3+0.00032*P99^2+(-0.0021)*P99)+Q$1*((-0.000002)*Q99^3+0.00032*Q99^2+(-0.0021)*Q99)+R$1*((-0.000002)*R99^3+0.00032*R99^2+(-0.0021)*R99)+S$1*((-0.000002)*S99^3+0.00032*S99^2+(-0.0021)*S99)+T$1*((-0.000002)*T99^3+0.00032*T99^2+(-0.0021)*T99)</f>
        <v/>
      </c>
      <c r="X99">
        <f>(I$1*((-0.000002)*I99^3+0.00032*I99^2+(-0.0021)*I99)+J$1*((-0.000002)*J99^3+0.00032*J99^2+(-0.0021)*J99)+H$1*((-0.000002)*H99^3+0.00032*H99^2+(-0.0021)*H99))*(MAX(0.05,MIN(1,(2*J99+I99)/120)*MIN(1,I99/10)*MIN(1,J99/10)))</f>
        <v/>
      </c>
      <c r="Y99" s="5">
        <f>(I$1*((-0.000002)*I99^3+0.00032*I99^2+(-0.0021)*I99)+J$1*((-0.000002)*J99^3+0.00032*J99^2+(-0.0021)*J99)+H$1*((-0.000002)*H99^3+0.00032*H99^2+(-0.0021)*H99))*(MAX(0.05,MIN(1,(2*J99+I99)/120)*MIN(1,I99/10)*MIN(1,J99/10)))</f>
        <v/>
      </c>
      <c r="Z99">
        <f>U99*J$2+V99*O$2+W99*H$2</f>
        <v/>
      </c>
      <c r="AA99">
        <f>IF(AND(J99&gt;50,I99+J99&gt;75),"SP",IF(2*I99+J99&gt;120,"RP","CRAP"))</f>
        <v/>
      </c>
    </row>
    <row r="100" ht="13.5" customHeight="1" s="27" thickBot="1">
      <c r="A100">
        <f>(V100*V$2+W100*W$2+X100*X$2)*100/(V$4*V$2+W$4*W$2+X$4*X$2)</f>
        <v/>
      </c>
      <c r="B100" s="16" t="n">
        <v>173</v>
      </c>
      <c r="C100" s="10" t="inlineStr">
        <is>
          <t>Shirley, Darrell</t>
        </is>
      </c>
      <c r="D100" s="17" t="inlineStr">
        <is>
          <t>P</t>
        </is>
      </c>
      <c r="E100" s="17" t="inlineStr">
        <is>
          <t>L</t>
        </is>
      </c>
      <c r="F100" s="17" t="inlineStr">
        <is>
          <t>L</t>
        </is>
      </c>
      <c r="G100" s="17" t="n">
        <v>18</v>
      </c>
      <c r="H100" s="17" t="n"/>
      <c r="I100" s="17" t="n"/>
      <c r="J100" s="17" t="n">
        <v>49</v>
      </c>
      <c r="K100" s="17" t="n">
        <v>19</v>
      </c>
      <c r="L100" s="17" t="n">
        <v>33</v>
      </c>
      <c r="M100" s="17" t="n">
        <v>19</v>
      </c>
      <c r="N100" s="17" t="n">
        <v>12</v>
      </c>
      <c r="O100" s="17" t="n">
        <v>38</v>
      </c>
      <c r="P100" s="17" t="n">
        <v>91</v>
      </c>
      <c r="Q100" s="17" t="n">
        <v>53</v>
      </c>
      <c r="R100" s="17" t="n">
        <v>51</v>
      </c>
      <c r="S100" s="17" t="n">
        <v>35</v>
      </c>
      <c r="T100" s="17" t="n">
        <v>0</v>
      </c>
      <c r="U100" s="17" t="n">
        <v>0</v>
      </c>
      <c r="V100" s="17">
        <f>K$1*(0.000001*K100^3)+L$1*((-0.000002)*L100^3+0.00032*L100^2+(-0.0021)*L100)+M$1*((-0.000002)*M100^3+0.00032*M100^2+(-0.0021)*M100)+N$1*((-0.000002)*N100^3+0.00032*N100^2+(-0.0021)*N100)+O$1*((-0.000002)*O100^3+0.00032*O100^2+(-0.0021)*O100)</f>
        <v/>
      </c>
      <c r="W100" s="5">
        <f>P$1*((-0.000002)*P100^3+0.00032*P100^2+(-0.0021)*P100)+Q$1*((-0.000002)*Q100^3+0.00032*Q100^2+(-0.0021)*Q100)+R$1*((-0.000002)*R100^3+0.00032*R100^2+(-0.0021)*R100)+S$1*((-0.000002)*S100^3+0.00032*S100^2+(-0.0021)*S100)+T$1*((-0.000002)*T100^3+0.00032*T100^2+(-0.0021)*T100)</f>
        <v/>
      </c>
      <c r="X100">
        <f>(I$1*((-0.000002)*I100^3+0.00032*I100^2+(-0.0021)*I100)+J$1*((-0.000002)*J100^3+0.00032*J100^2+(-0.0021)*J100)+H$1*((-0.000002)*H100^3+0.00032*H100^2+(-0.0021)*H100))*(MAX(0.05,MIN(1,(2*J100+I100)/120)*MIN(1,I100/10)*MIN(1,J100/10)))</f>
        <v/>
      </c>
      <c r="Y100" s="5">
        <f>(I$1*((-0.000002)*I100^3+0.00032*I100^2+(-0.0021)*I100)+J$1*((-0.000002)*J100^3+0.00032*J100^2+(-0.0021)*J100)+H$1*((-0.000002)*H100^3+0.00032*H100^2+(-0.0021)*H100))*(MAX(0.05,MIN(1,(2*J100+I100)/120)*MIN(1,I100/10)*MIN(1,J100/10)))</f>
        <v/>
      </c>
      <c r="Z100">
        <f>U100*J$2+V100*O$2+W100*H$2</f>
        <v/>
      </c>
      <c r="AA100">
        <f>IF(AND(J100&gt;50,I100+J100&gt;75),"SP",IF(2*I100+J100&gt;120,"RP","CRAP"))</f>
        <v/>
      </c>
    </row>
    <row r="101" ht="13.5" customHeight="1" s="27" thickBot="1">
      <c r="A101">
        <f>(V101*V$2+W101*W$2+X101*X$2)*100/(V$4*V$2+W$4*W$2+X$4*X$2)</f>
        <v/>
      </c>
      <c r="B101" s="16" t="n">
        <v>163</v>
      </c>
      <c r="C101" s="10" t="inlineStr">
        <is>
          <t>Ryan, Sal</t>
        </is>
      </c>
      <c r="D101" s="17" t="inlineStr">
        <is>
          <t>P</t>
        </is>
      </c>
      <c r="E101" s="17" t="inlineStr">
        <is>
          <t>R</t>
        </is>
      </c>
      <c r="F101" s="17" t="inlineStr">
        <is>
          <t>R</t>
        </is>
      </c>
      <c r="G101" s="17" t="n">
        <v>18</v>
      </c>
      <c r="H101" s="17" t="n"/>
      <c r="I101" s="17" t="n"/>
      <c r="J101" s="17" t="n">
        <v>75</v>
      </c>
      <c r="K101" s="17" t="n">
        <v>28</v>
      </c>
      <c r="L101" s="17" t="n">
        <v>51</v>
      </c>
      <c r="M101" s="17" t="n">
        <v>23</v>
      </c>
      <c r="N101" s="17" t="n">
        <v>29</v>
      </c>
      <c r="O101" s="17" t="n">
        <v>37</v>
      </c>
      <c r="P101" s="17" t="n">
        <v>12</v>
      </c>
      <c r="Q101" s="17" t="n">
        <v>66</v>
      </c>
      <c r="R101" s="17" t="n">
        <v>50</v>
      </c>
      <c r="S101" s="17" t="n">
        <v>37</v>
      </c>
      <c r="T101" s="17" t="n">
        <v>0</v>
      </c>
      <c r="U101" s="17" t="n">
        <v>0</v>
      </c>
      <c r="V101" s="17">
        <f>K$1*(0.000001*K101^3)+L$1*((-0.000002)*L101^3+0.00032*L101^2+(-0.0021)*L101)+M$1*((-0.000002)*M101^3+0.00032*M101^2+(-0.0021)*M101)+N$1*((-0.000002)*N101^3+0.00032*N101^2+(-0.0021)*N101)+O$1*((-0.000002)*O101^3+0.00032*O101^2+(-0.0021)*O101)</f>
        <v/>
      </c>
      <c r="W101" s="5">
        <f>P$1*((-0.000002)*P101^3+0.00032*P101^2+(-0.0021)*P101)+Q$1*((-0.000002)*Q101^3+0.00032*Q101^2+(-0.0021)*Q101)+R$1*((-0.000002)*R101^3+0.00032*R101^2+(-0.0021)*R101)+S$1*((-0.000002)*S101^3+0.00032*S101^2+(-0.0021)*S101)+T$1*((-0.000002)*T101^3+0.00032*T101^2+(-0.0021)*T101)</f>
        <v/>
      </c>
      <c r="X101">
        <f>(I$1*((-0.000002)*I101^3+0.00032*I101^2+(-0.0021)*I101)+J$1*((-0.000002)*J101^3+0.00032*J101^2+(-0.0021)*J101)+H$1*((-0.000002)*H101^3+0.00032*H101^2+(-0.0021)*H101))*(MAX(0.05,MIN(1,(2*J101+I101)/120)*MIN(1,I101/10)*MIN(1,J101/10)))</f>
        <v/>
      </c>
      <c r="Y101" s="5">
        <f>(I$1*((-0.000002)*I101^3+0.00032*I101^2+(-0.0021)*I101)+J$1*((-0.000002)*J101^3+0.00032*J101^2+(-0.0021)*J101)+H$1*((-0.000002)*H101^3+0.00032*H101^2+(-0.0021)*H101))*(MAX(0.05,MIN(1,(2*J101+I101)/120)*MIN(1,I101/10)*MIN(1,J101/10)))</f>
        <v/>
      </c>
      <c r="Z101">
        <f>U101*J$2+V101*O$2+W101*H$2</f>
        <v/>
      </c>
      <c r="AA101">
        <f>IF(AND(J101&gt;50,I101+J101&gt;75),"SP",IF(2*I101+J101&gt;120,"RP","CRAP"))</f>
        <v/>
      </c>
    </row>
    <row r="102" ht="13.5" customHeight="1" s="27" thickBot="1">
      <c r="A102">
        <f>(V102*V$2+W102*W$2+X102*X$2)*100/(V$4*V$2+W$4*W$2+X$4*X$2)</f>
        <v/>
      </c>
      <c r="B102" s="18" t="n">
        <v>154</v>
      </c>
      <c r="C102" s="11" t="inlineStr">
        <is>
          <t>Lamm, Duke</t>
        </is>
      </c>
      <c r="D102" s="19" t="inlineStr">
        <is>
          <t>P</t>
        </is>
      </c>
      <c r="E102" s="19" t="inlineStr">
        <is>
          <t>S</t>
        </is>
      </c>
      <c r="F102" s="19" t="inlineStr">
        <is>
          <t>R</t>
        </is>
      </c>
      <c r="G102" s="19" t="n">
        <v>18</v>
      </c>
      <c r="H102" s="19" t="n"/>
      <c r="I102" s="19" t="n"/>
      <c r="J102" s="19" t="n">
        <v>87</v>
      </c>
      <c r="K102" s="19" t="n">
        <v>40</v>
      </c>
      <c r="L102" s="19" t="n">
        <v>42</v>
      </c>
      <c r="M102" s="19" t="n">
        <v>17</v>
      </c>
      <c r="N102" s="19" t="n">
        <v>15</v>
      </c>
      <c r="O102" s="19" t="n">
        <v>82</v>
      </c>
      <c r="P102" s="19" t="n">
        <v>26</v>
      </c>
      <c r="Q102" s="19" t="n">
        <v>64</v>
      </c>
      <c r="R102" s="19" t="n">
        <v>50</v>
      </c>
      <c r="S102" s="19" t="n">
        <v>0</v>
      </c>
      <c r="T102" s="19" t="n">
        <v>0</v>
      </c>
      <c r="U102" s="19" t="n">
        <v>0</v>
      </c>
      <c r="V102" s="19">
        <f>K$1*(0.000001*K102^3)+L$1*((-0.000002)*L102^3+0.00032*L102^2+(-0.0021)*L102)+M$1*((-0.000002)*M102^3+0.00032*M102^2+(-0.0021)*M102)+N$1*((-0.000002)*N102^3+0.00032*N102^2+(-0.0021)*N102)+O$1*((-0.000002)*O102^3+0.00032*O102^2+(-0.0021)*O102)</f>
        <v/>
      </c>
      <c r="W102" s="5">
        <f>P$1*((-0.000002)*P102^3+0.00032*P102^2+(-0.0021)*P102)+Q$1*((-0.000002)*Q102^3+0.00032*Q102^2+(-0.0021)*Q102)+R$1*((-0.000002)*R102^3+0.00032*R102^2+(-0.0021)*R102)+S$1*((-0.000002)*S102^3+0.00032*S102^2+(-0.0021)*S102)+T$1*((-0.000002)*T102^3+0.00032*T102^2+(-0.0021)*T102)</f>
        <v/>
      </c>
      <c r="X102">
        <f>(I$1*((-0.000002)*I102^3+0.00032*I102^2+(-0.0021)*I102)+J$1*((-0.000002)*J102^3+0.00032*J102^2+(-0.0021)*J102)+H$1*((-0.000002)*H102^3+0.00032*H102^2+(-0.0021)*H102))*(MAX(0.05,MIN(1,(2*J102+I102)/120)*MIN(1,I102/10)*MIN(1,J102/10)))</f>
        <v/>
      </c>
      <c r="Y102" s="5">
        <f>(I$1*((-0.000002)*I102^3+0.00032*I102^2+(-0.0021)*I102)+J$1*((-0.000002)*J102^3+0.00032*J102^2+(-0.0021)*J102)+H$1*((-0.000002)*H102^3+0.00032*H102^2+(-0.0021)*H102))*(MAX(0.05,MIN(1,(2*J102+I102)/120)*MIN(1,I102/10)*MIN(1,J102/10)))</f>
        <v/>
      </c>
      <c r="Z102">
        <f>U102*J$2+V102*O$2+W102*H$2</f>
        <v/>
      </c>
      <c r="AA102">
        <f>IF(AND(J102&gt;50,I102+J102&gt;75),"SP",IF(2*I102+J102&gt;120,"RP","CRAP"))</f>
        <v/>
      </c>
    </row>
    <row r="103" ht="13.5" customHeight="1" s="27" thickBot="1">
      <c r="A103">
        <f>(V103*V$2+W103*W$2+X103*X$2)*100/(V$4*V$2+W$4*W$2+X$4*X$2)</f>
        <v/>
      </c>
      <c r="B103" s="16" t="n">
        <v>171</v>
      </c>
      <c r="C103" s="10" t="inlineStr">
        <is>
          <t>Ruf, Todd</t>
        </is>
      </c>
      <c r="D103" s="17" t="inlineStr">
        <is>
          <t>P</t>
        </is>
      </c>
      <c r="E103" s="17" t="inlineStr">
        <is>
          <t>S</t>
        </is>
      </c>
      <c r="F103" s="17" t="inlineStr">
        <is>
          <t>L</t>
        </is>
      </c>
      <c r="G103" s="17" t="n">
        <v>21</v>
      </c>
      <c r="H103" s="17" t="n"/>
      <c r="I103" s="17" t="n"/>
      <c r="J103" s="17" t="n">
        <v>66</v>
      </c>
      <c r="K103" s="17" t="n">
        <v>36</v>
      </c>
      <c r="L103" s="17" t="n">
        <v>36</v>
      </c>
      <c r="M103" s="17" t="n">
        <v>43</v>
      </c>
      <c r="N103" s="17" t="n">
        <v>21</v>
      </c>
      <c r="O103" s="17" t="n">
        <v>63</v>
      </c>
      <c r="P103" s="17" t="n">
        <v>21</v>
      </c>
      <c r="Q103" s="17" t="n">
        <v>48</v>
      </c>
      <c r="R103" s="17" t="n">
        <v>85</v>
      </c>
      <c r="S103" s="17" t="n">
        <v>0</v>
      </c>
      <c r="T103" s="17" t="n">
        <v>0</v>
      </c>
      <c r="U103" s="17" t="n">
        <v>0</v>
      </c>
      <c r="V103" s="17">
        <f>K$1*(0.000001*K103^3)+L$1*((-0.000002)*L103^3+0.00032*L103^2+(-0.0021)*L103)+M$1*((-0.000002)*M103^3+0.00032*M103^2+(-0.0021)*M103)+N$1*((-0.000002)*N103^3+0.00032*N103^2+(-0.0021)*N103)+O$1*((-0.000002)*O103^3+0.00032*O103^2+(-0.0021)*O103)</f>
        <v/>
      </c>
      <c r="W103" s="5">
        <f>P$1*((-0.000002)*P103^3+0.00032*P103^2+(-0.0021)*P103)+Q$1*((-0.000002)*Q103^3+0.00032*Q103^2+(-0.0021)*Q103)+R$1*((-0.000002)*R103^3+0.00032*R103^2+(-0.0021)*R103)+S$1*((-0.000002)*S103^3+0.00032*S103^2+(-0.0021)*S103)+T$1*((-0.000002)*T103^3+0.00032*T103^2+(-0.0021)*T103)</f>
        <v/>
      </c>
      <c r="X103">
        <f>(I$1*((-0.000002)*I103^3+0.00032*I103^2+(-0.0021)*I103)+J$1*((-0.000002)*J103^3+0.00032*J103^2+(-0.0021)*J103)+H$1*((-0.000002)*H103^3+0.00032*H103^2+(-0.0021)*H103))*(MAX(0.05,MIN(1,(2*J103+I103)/120)*MIN(1,I103/10)*MIN(1,J103/10)))</f>
        <v/>
      </c>
      <c r="Y103" s="5">
        <f>(I$1*((-0.000002)*I103^3+0.00032*I103^2+(-0.0021)*I103)+J$1*((-0.000002)*J103^3+0.00032*J103^2+(-0.0021)*J103)+H$1*((-0.000002)*H103^3+0.00032*H103^2+(-0.0021)*H103))*(MAX(0.05,MIN(1,(2*J103+I103)/120)*MIN(1,I103/10)*MIN(1,J103/10)))</f>
        <v/>
      </c>
      <c r="Z103">
        <f>U103*J$2+V103*O$2+W103*H$2</f>
        <v/>
      </c>
      <c r="AA103">
        <f>IF(AND(J103&gt;50,I103+J103&gt;75),"SP",IF(2*I103+J103&gt;120,"RP","CRAP"))</f>
        <v/>
      </c>
    </row>
    <row r="104" ht="13.5" customHeight="1" s="27" thickBot="1">
      <c r="A104">
        <f>(V104*V$2+W104*W$2+X104*X$2)*100/(V$4*V$2+W$4*W$2+X$4*X$2)</f>
        <v/>
      </c>
      <c r="B104" s="18" t="n">
        <v>166</v>
      </c>
      <c r="C104" s="11" t="inlineStr">
        <is>
          <t>Kerr, Roger</t>
        </is>
      </c>
      <c r="D104" s="19" t="inlineStr">
        <is>
          <t>P</t>
        </is>
      </c>
      <c r="E104" s="19" t="inlineStr">
        <is>
          <t>R</t>
        </is>
      </c>
      <c r="F104" s="19" t="inlineStr">
        <is>
          <t>R</t>
        </is>
      </c>
      <c r="G104" s="19" t="n">
        <v>18</v>
      </c>
      <c r="H104" s="19" t="n"/>
      <c r="I104" s="19" t="n"/>
      <c r="J104" s="19" t="n">
        <v>60</v>
      </c>
      <c r="K104" s="19" t="n">
        <v>26</v>
      </c>
      <c r="L104" s="19" t="n">
        <v>16</v>
      </c>
      <c r="M104" s="19" t="n">
        <v>33</v>
      </c>
      <c r="N104" s="19" t="n">
        <v>30</v>
      </c>
      <c r="O104" s="19" t="n">
        <v>75</v>
      </c>
      <c r="P104" s="19" t="n">
        <v>46</v>
      </c>
      <c r="Q104" s="19" t="n">
        <v>58</v>
      </c>
      <c r="R104" s="19" t="n">
        <v>58</v>
      </c>
      <c r="S104" s="19" t="n">
        <v>0</v>
      </c>
      <c r="T104" s="19" t="n">
        <v>0</v>
      </c>
      <c r="U104" s="19" t="n">
        <v>0</v>
      </c>
      <c r="V104" s="19">
        <f>K$1*(0.000001*K104^3)+L$1*((-0.000002)*L104^3+0.00032*L104^2+(-0.0021)*L104)+M$1*((-0.000002)*M104^3+0.00032*M104^2+(-0.0021)*M104)+N$1*((-0.000002)*N104^3+0.00032*N104^2+(-0.0021)*N104)+O$1*((-0.000002)*O104^3+0.00032*O104^2+(-0.0021)*O104)</f>
        <v/>
      </c>
      <c r="W104" s="5">
        <f>P$1*((-0.000002)*P104^3+0.00032*P104^2+(-0.0021)*P104)+Q$1*((-0.000002)*Q104^3+0.00032*Q104^2+(-0.0021)*Q104)+R$1*((-0.000002)*R104^3+0.00032*R104^2+(-0.0021)*R104)+S$1*((-0.000002)*S104^3+0.00032*S104^2+(-0.0021)*S104)+T$1*((-0.000002)*T104^3+0.00032*T104^2+(-0.0021)*T104)</f>
        <v/>
      </c>
      <c r="X104">
        <f>(I$1*((-0.000002)*I104^3+0.00032*I104^2+(-0.0021)*I104)+J$1*((-0.000002)*J104^3+0.00032*J104^2+(-0.0021)*J104)+H$1*((-0.000002)*H104^3+0.00032*H104^2+(-0.0021)*H104))*(MAX(0.05,MIN(1,(2*J104+I104)/120)*MIN(1,I104/10)*MIN(1,J104/10)))</f>
        <v/>
      </c>
      <c r="Y104" s="5">
        <f>(I$1*((-0.000002)*I104^3+0.00032*I104^2+(-0.0021)*I104)+J$1*((-0.000002)*J104^3+0.00032*J104^2+(-0.0021)*J104)+H$1*((-0.000002)*H104^3+0.00032*H104^2+(-0.0021)*H104))*(MAX(0.05,MIN(1,(2*J104+I104)/120)*MIN(1,I104/10)*MIN(1,J104/10)))</f>
        <v/>
      </c>
      <c r="Z104">
        <f>U104*J$2+V104*O$2+W104*H$2</f>
        <v/>
      </c>
      <c r="AA104">
        <f>IF(AND(J104&gt;50,I104+J104&gt;75),"SP",IF(2*I104+J104&gt;120,"RP","CRAP"))</f>
        <v/>
      </c>
    </row>
    <row r="105" ht="13.5" customHeight="1" s="27" thickBot="1">
      <c r="A105">
        <f>(V105*V$2+W105*W$2+X105*X$2)*100/(V$4*V$2+W$4*W$2+X$4*X$2)</f>
        <v/>
      </c>
      <c r="B105" s="18" t="n">
        <v>172</v>
      </c>
      <c r="C105" s="11" t="inlineStr">
        <is>
          <t>Taylor, Lonnie</t>
        </is>
      </c>
      <c r="D105" s="19" t="inlineStr">
        <is>
          <t>P</t>
        </is>
      </c>
      <c r="E105" s="19" t="inlineStr">
        <is>
          <t>R</t>
        </is>
      </c>
      <c r="F105" s="19" t="inlineStr">
        <is>
          <t>R</t>
        </is>
      </c>
      <c r="G105" s="19" t="n">
        <v>18</v>
      </c>
      <c r="H105" s="19" t="n"/>
      <c r="I105" s="19" t="n"/>
      <c r="J105" s="19" t="n">
        <v>76</v>
      </c>
      <c r="K105" s="19" t="n">
        <v>38</v>
      </c>
      <c r="L105" s="19" t="n">
        <v>27</v>
      </c>
      <c r="M105" s="19" t="n">
        <v>10</v>
      </c>
      <c r="N105" s="19" t="n">
        <v>15</v>
      </c>
      <c r="O105" s="19" t="n">
        <v>72</v>
      </c>
      <c r="P105" s="19" t="n">
        <v>53</v>
      </c>
      <c r="Q105" s="19" t="n">
        <v>58</v>
      </c>
      <c r="R105" s="19" t="n">
        <v>47</v>
      </c>
      <c r="S105" s="19" t="n">
        <v>0</v>
      </c>
      <c r="T105" s="19" t="n">
        <v>0</v>
      </c>
      <c r="U105" s="19" t="n">
        <v>0</v>
      </c>
      <c r="V105" s="19">
        <f>K$1*(0.000001*K105^3)+L$1*((-0.000002)*L105^3+0.00032*L105^2+(-0.0021)*L105)+M$1*((-0.000002)*M105^3+0.00032*M105^2+(-0.0021)*M105)+N$1*((-0.000002)*N105^3+0.00032*N105^2+(-0.0021)*N105)+O$1*((-0.000002)*O105^3+0.00032*O105^2+(-0.0021)*O105)</f>
        <v/>
      </c>
      <c r="W105" s="5">
        <f>P$1*((-0.000002)*P105^3+0.00032*P105^2+(-0.0021)*P105)+Q$1*((-0.000002)*Q105^3+0.00032*Q105^2+(-0.0021)*Q105)+R$1*((-0.000002)*R105^3+0.00032*R105^2+(-0.0021)*R105)+S$1*((-0.000002)*S105^3+0.00032*S105^2+(-0.0021)*S105)+T$1*((-0.000002)*T105^3+0.00032*T105^2+(-0.0021)*T105)</f>
        <v/>
      </c>
      <c r="X105">
        <f>(I$1*((-0.000002)*I105^3+0.00032*I105^2+(-0.0021)*I105)+J$1*((-0.000002)*J105^3+0.00032*J105^2+(-0.0021)*J105)+H$1*((-0.000002)*H105^3+0.00032*H105^2+(-0.0021)*H105))*(MAX(0.05,MIN(1,(2*J105+I105)/120)*MIN(1,I105/10)*MIN(1,J105/10)))</f>
        <v/>
      </c>
      <c r="Y105" s="5">
        <f>(I$1*((-0.000002)*I105^3+0.00032*I105^2+(-0.0021)*I105)+J$1*((-0.000002)*J105^3+0.00032*J105^2+(-0.0021)*J105)+H$1*((-0.000002)*H105^3+0.00032*H105^2+(-0.0021)*H105))*(MAX(0.05,MIN(1,(2*J105+I105)/120)*MIN(1,I105/10)*MIN(1,J105/10)))</f>
        <v/>
      </c>
      <c r="Z105">
        <f>U105*J$2+V105*O$2+W105*H$2</f>
        <v/>
      </c>
      <c r="AA105">
        <f>IF(AND(J105&gt;50,I105+J105&gt;75),"SP",IF(2*I105+J105&gt;120,"RP","CRAP"))</f>
        <v/>
      </c>
    </row>
    <row r="106" ht="13.5" customHeight="1" s="27" thickBot="1">
      <c r="A106">
        <f>(V106*V$2+W106*W$2+X106*X$2)*100/(V$4*V$2+W$4*W$2+X$4*X$2)</f>
        <v/>
      </c>
      <c r="B106" s="18" t="n">
        <v>174</v>
      </c>
      <c r="C106" s="11" t="inlineStr">
        <is>
          <t>Ogea, Ryan</t>
        </is>
      </c>
      <c r="D106" s="19" t="inlineStr">
        <is>
          <t>P</t>
        </is>
      </c>
      <c r="E106" s="19" t="inlineStr">
        <is>
          <t>R</t>
        </is>
      </c>
      <c r="F106" s="19" t="inlineStr">
        <is>
          <t>R</t>
        </is>
      </c>
      <c r="G106" s="19" t="n">
        <v>18</v>
      </c>
      <c r="H106" s="19" t="n"/>
      <c r="I106" s="19" t="n"/>
      <c r="J106" s="19" t="n">
        <v>47</v>
      </c>
      <c r="K106" s="19" t="n">
        <v>20</v>
      </c>
      <c r="L106" s="19" t="n">
        <v>46</v>
      </c>
      <c r="M106" s="19" t="n">
        <v>15</v>
      </c>
      <c r="N106" s="19" t="n">
        <v>32</v>
      </c>
      <c r="O106" s="19" t="n">
        <v>36</v>
      </c>
      <c r="P106" s="19" t="n">
        <v>25</v>
      </c>
      <c r="Q106" s="19" t="n">
        <v>62</v>
      </c>
      <c r="R106" s="19" t="n">
        <v>39</v>
      </c>
      <c r="S106" s="19" t="n">
        <v>26</v>
      </c>
      <c r="T106" s="19" t="n">
        <v>0</v>
      </c>
      <c r="U106" s="19" t="n">
        <v>0</v>
      </c>
      <c r="V106" s="19">
        <f>K$1*(0.000001*K106^3)+L$1*((-0.000002)*L106^3+0.00032*L106^2+(-0.0021)*L106)+M$1*((-0.000002)*M106^3+0.00032*M106^2+(-0.0021)*M106)+N$1*((-0.000002)*N106^3+0.00032*N106^2+(-0.0021)*N106)+O$1*((-0.000002)*O106^3+0.00032*O106^2+(-0.0021)*O106)</f>
        <v/>
      </c>
      <c r="W106" s="5">
        <f>P$1*((-0.000002)*P106^3+0.00032*P106^2+(-0.0021)*P106)+Q$1*((-0.000002)*Q106^3+0.00032*Q106^2+(-0.0021)*Q106)+R$1*((-0.000002)*R106^3+0.00032*R106^2+(-0.0021)*R106)+S$1*((-0.000002)*S106^3+0.00032*S106^2+(-0.0021)*S106)+T$1*((-0.000002)*T106^3+0.00032*T106^2+(-0.0021)*T106)</f>
        <v/>
      </c>
      <c r="X106">
        <f>(I$1*((-0.000002)*I106^3+0.00032*I106^2+(-0.0021)*I106)+J$1*((-0.000002)*J106^3+0.00032*J106^2+(-0.0021)*J106)+H$1*((-0.000002)*H106^3+0.00032*H106^2+(-0.0021)*H106))*(MAX(0.05,MIN(1,(2*J106+I106)/120)*MIN(1,I106/10)*MIN(1,J106/10)))</f>
        <v/>
      </c>
      <c r="Y106" s="5">
        <f>(I$1*((-0.000002)*I106^3+0.00032*I106^2+(-0.0021)*I106)+J$1*((-0.000002)*J106^3+0.00032*J106^2+(-0.0021)*J106)+H$1*((-0.000002)*H106^3+0.00032*H106^2+(-0.0021)*H106))*(MAX(0.05,MIN(1,(2*J106+I106)/120)*MIN(1,I106/10)*MIN(1,J106/10)))</f>
        <v/>
      </c>
      <c r="Z106">
        <f>U106*J$2+V106*O$2+W106*H$2</f>
        <v/>
      </c>
      <c r="AA106">
        <f>IF(AND(J106&gt;50,I106+J106&gt;75),"SP",IF(2*I106+J106&gt;120,"RP","CRAP"))</f>
        <v/>
      </c>
    </row>
    <row r="107" ht="13.5" customHeight="1" s="27" thickBot="1">
      <c r="A107">
        <f>(V107*V$2+W107*W$2+X107*X$2)*100/(V$4*V$2+W$4*W$2+X$4*X$2)</f>
        <v/>
      </c>
      <c r="B107" s="18" t="n">
        <v>170</v>
      </c>
      <c r="C107" s="11" t="inlineStr">
        <is>
          <t>Garland, Darryl</t>
        </is>
      </c>
      <c r="D107" s="19" t="inlineStr">
        <is>
          <t>RF</t>
        </is>
      </c>
      <c r="E107" s="19" t="inlineStr">
        <is>
          <t>L</t>
        </is>
      </c>
      <c r="F107" s="19" t="inlineStr">
        <is>
          <t>R</t>
        </is>
      </c>
      <c r="G107" s="19" t="n">
        <v>21</v>
      </c>
      <c r="H107" s="19" t="n"/>
      <c r="I107" s="19" t="n"/>
      <c r="J107" s="19" t="n">
        <v>100</v>
      </c>
      <c r="K107" s="19" t="n">
        <v>39</v>
      </c>
      <c r="L107" s="19" t="n">
        <v>27</v>
      </c>
      <c r="M107" s="19" t="n">
        <v>44</v>
      </c>
      <c r="N107" s="19" t="n">
        <v>19</v>
      </c>
      <c r="O107" s="19" t="n">
        <v>11</v>
      </c>
      <c r="P107" s="19" t="n">
        <v>52</v>
      </c>
      <c r="Q107" s="19" t="n">
        <v>51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>
        <f>K$1*(0.000001*K107^3)+L$1*((-0.000002)*L107^3+0.00032*L107^2+(-0.0021)*L107)+M$1*((-0.000002)*M107^3+0.00032*M107^2+(-0.0021)*M107)+N$1*((-0.000002)*N107^3+0.00032*N107^2+(-0.0021)*N107)+O$1*((-0.000002)*O107^3+0.00032*O107^2+(-0.0021)*O107)</f>
        <v/>
      </c>
      <c r="W107" s="5">
        <f>P$1*((-0.000002)*P107^3+0.00032*P107^2+(-0.0021)*P107)+Q$1*((-0.000002)*Q107^3+0.00032*Q107^2+(-0.0021)*Q107)+R$1*((-0.000002)*R107^3+0.00032*R107^2+(-0.0021)*R107)+S$1*((-0.000002)*S107^3+0.00032*S107^2+(-0.0021)*S107)+T$1*((-0.000002)*T107^3+0.00032*T107^2+(-0.0021)*T107)</f>
        <v/>
      </c>
      <c r="X107">
        <f>(I$1*((-0.000002)*I107^3+0.00032*I107^2+(-0.0021)*I107)+J$1*((-0.000002)*J107^3+0.00032*J107^2+(-0.0021)*J107)+H$1*((-0.000002)*H107^3+0.00032*H107^2+(-0.0021)*H107))*(MAX(0.05,MIN(1,(2*J107+I107)/120)*MIN(1,I107/10)*MIN(1,J107/10)))</f>
        <v/>
      </c>
      <c r="Y107" s="5">
        <f>(I$1*((-0.000002)*I107^3+0.00032*I107^2+(-0.0021)*I107)+J$1*((-0.000002)*J107^3+0.00032*J107^2+(-0.0021)*J107)+H$1*((-0.000002)*H107^3+0.00032*H107^2+(-0.0021)*H107))*(MAX(0.05,MIN(1,(2*J107+I107)/120)*MIN(1,I107/10)*MIN(1,J107/10)))</f>
        <v/>
      </c>
      <c r="Z107">
        <f>U107*J$2+V107*O$2+W107*H$2</f>
        <v/>
      </c>
      <c r="AA107">
        <f>IF(AND(J107&gt;50,I107+J107&gt;75),"SP",IF(2*I107+J107&gt;120,"RP","CRAP"))</f>
        <v/>
      </c>
    </row>
    <row r="108" ht="13.5" customHeight="1" s="27" thickBot="1">
      <c r="A108">
        <f>(V108*V$2+W108*W$2+X108*X$2)*100/(V$4*V$2+W$4*W$2+X$4*X$2)</f>
        <v/>
      </c>
      <c r="B108" s="16" t="n">
        <v>167</v>
      </c>
      <c r="C108" s="10" t="inlineStr">
        <is>
          <t>Elcano, Dilson</t>
        </is>
      </c>
      <c r="D108" s="17" t="inlineStr">
        <is>
          <t>1B</t>
        </is>
      </c>
      <c r="E108" s="17" t="inlineStr">
        <is>
          <t>R</t>
        </is>
      </c>
      <c r="F108" s="17" t="inlineStr">
        <is>
          <t>R</t>
        </is>
      </c>
      <c r="G108" s="17" t="n">
        <v>21</v>
      </c>
      <c r="H108" s="17" t="n"/>
      <c r="I108" s="17" t="n"/>
      <c r="J108" s="17" t="n">
        <v>98</v>
      </c>
      <c r="K108" s="17" t="n">
        <v>28</v>
      </c>
      <c r="L108" s="17" t="n">
        <v>38</v>
      </c>
      <c r="M108" s="17" t="n">
        <v>47</v>
      </c>
      <c r="N108" s="17" t="n">
        <v>22</v>
      </c>
      <c r="O108" s="17" t="n">
        <v>19</v>
      </c>
      <c r="P108" s="17" t="n">
        <v>49</v>
      </c>
      <c r="Q108" s="17" t="n">
        <v>21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>
        <f>K$1*(0.000001*K108^3)+L$1*((-0.000002)*L108^3+0.00032*L108^2+(-0.0021)*L108)+M$1*((-0.000002)*M108^3+0.00032*M108^2+(-0.0021)*M108)+N$1*((-0.000002)*N108^3+0.00032*N108^2+(-0.0021)*N108)+O$1*((-0.000002)*O108^3+0.00032*O108^2+(-0.0021)*O108)</f>
        <v/>
      </c>
      <c r="W108" s="5">
        <f>P$1*((-0.000002)*P108^3+0.00032*P108^2+(-0.0021)*P108)+Q$1*((-0.000002)*Q108^3+0.00032*Q108^2+(-0.0021)*Q108)+R$1*((-0.000002)*R108^3+0.00032*R108^2+(-0.0021)*R108)+S$1*((-0.000002)*S108^3+0.00032*S108^2+(-0.0021)*S108)+T$1*((-0.000002)*T108^3+0.00032*T108^2+(-0.0021)*T108)</f>
        <v/>
      </c>
      <c r="X108">
        <f>(I$1*((-0.000002)*I108^3+0.00032*I108^2+(-0.0021)*I108)+J$1*((-0.000002)*J108^3+0.00032*J108^2+(-0.0021)*J108)+H$1*((-0.000002)*H108^3+0.00032*H108^2+(-0.0021)*H108))*(MAX(0.05,MIN(1,(2*J108+I108)/120)*MIN(1,I108/10)*MIN(1,J108/10)))</f>
        <v/>
      </c>
      <c r="Y108" s="5">
        <f>(I$1*((-0.000002)*I108^3+0.00032*I108^2+(-0.0021)*I108)+J$1*((-0.000002)*J108^3+0.00032*J108^2+(-0.0021)*J108)+H$1*((-0.000002)*H108^3+0.00032*H108^2+(-0.0021)*H108))*(MAX(0.05,MIN(1,(2*J108+I108)/120)*MIN(1,I108/10)*MIN(1,J108/10)))</f>
        <v/>
      </c>
      <c r="Z108">
        <f>U108*J$2+V108*O$2+W108*H$2</f>
        <v/>
      </c>
      <c r="AA108">
        <f>IF(AND(J108&gt;50,I108+J108&gt;75),"SP",IF(2*I108+J108&gt;120,"RP","CRAP"))</f>
        <v/>
      </c>
    </row>
    <row r="109" ht="13.5" customHeight="1" s="27" thickBot="1">
      <c r="A109">
        <f>(V109*V$2+W109*W$2+X109*X$2)*100/(V$4*V$2+W$4*W$2+X$4*X$2)</f>
        <v/>
      </c>
      <c r="B109" s="16" t="n">
        <v>5</v>
      </c>
      <c r="C109" s="10" t="inlineStr">
        <is>
          <t>Trujillo, Bob</t>
        </is>
      </c>
      <c r="D109" s="17" t="inlineStr">
        <is>
          <t>LF</t>
        </is>
      </c>
      <c r="E109" s="17" t="inlineStr">
        <is>
          <t>R</t>
        </is>
      </c>
      <c r="F109" s="17" t="inlineStr">
        <is>
          <t>R</t>
        </is>
      </c>
      <c r="G109" s="17" t="n">
        <v>18</v>
      </c>
      <c r="H109" s="17" t="n"/>
      <c r="I109" s="17" t="n"/>
      <c r="J109" s="17" t="n">
        <v>90</v>
      </c>
      <c r="K109" s="17" t="n">
        <v>20</v>
      </c>
      <c r="L109" s="17" t="n">
        <v>41</v>
      </c>
      <c r="M109" s="17" t="n">
        <v>24</v>
      </c>
      <c r="N109" s="17" t="n">
        <v>18</v>
      </c>
      <c r="O109" s="17" t="n">
        <v>2</v>
      </c>
      <c r="P109" s="17" t="n">
        <v>51</v>
      </c>
      <c r="Q109" s="17" t="n">
        <v>48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>
        <f>K$1*(0.000001*K109^3)+L$1*((-0.000002)*L109^3+0.00032*L109^2+(-0.0021)*L109)+M$1*((-0.000002)*M109^3+0.00032*M109^2+(-0.0021)*M109)+N$1*((-0.000002)*N109^3+0.00032*N109^2+(-0.0021)*N109)+O$1*((-0.000002)*O109^3+0.00032*O109^2+(-0.0021)*O109)</f>
        <v/>
      </c>
      <c r="W109" s="5">
        <f>P$1*((-0.000002)*P109^3+0.00032*P109^2+(-0.0021)*P109)+Q$1*((-0.000002)*Q109^3+0.00032*Q109^2+(-0.0021)*Q109)+R$1*((-0.000002)*R109^3+0.00032*R109^2+(-0.0021)*R109)+S$1*((-0.000002)*S109^3+0.00032*S109^2+(-0.0021)*S109)+T$1*((-0.000002)*T109^3+0.00032*T109^2+(-0.0021)*T109)</f>
        <v/>
      </c>
      <c r="X109">
        <f>(I$1*((-0.000002)*I109^3+0.00032*I109^2+(-0.0021)*I109)+J$1*((-0.000002)*J109^3+0.00032*J109^2+(-0.0021)*J109)+H$1*((-0.000002)*H109^3+0.00032*H109^2+(-0.0021)*H109))*(MAX(0.05,MIN(1,(2*J109+I109)/120)*MIN(1,I109/10)*MIN(1,J109/10)))</f>
        <v/>
      </c>
      <c r="Y109" s="5">
        <f>(I$1*((-0.000002)*I109^3+0.00032*I109^2+(-0.0021)*I109)+J$1*((-0.000002)*J109^3+0.00032*J109^2+(-0.0021)*J109)+H$1*((-0.000002)*H109^3+0.00032*H109^2+(-0.0021)*H109))*(MAX(0.05,MIN(1,(2*J109+I109)/120)*MIN(1,I109/10)*MIN(1,J109/10)))</f>
        <v/>
      </c>
      <c r="Z109">
        <f>U109*J$2+V109*O$2+W109*H$2</f>
        <v/>
      </c>
      <c r="AA109">
        <f>IF(AND(J109&gt;50,I109+J109&gt;75),"SP",IF(2*I109+J109&gt;120,"RP","CRAP"))</f>
        <v/>
      </c>
    </row>
    <row r="110" ht="13.5" customHeight="1" s="27" thickBot="1">
      <c r="A110">
        <f>(V110*V$2+W110*W$2+X110*X$2)*100/(V$4*V$2+W$4*W$2+X$4*X$2)</f>
        <v/>
      </c>
      <c r="B110" s="18" t="n">
        <v>180</v>
      </c>
      <c r="C110" s="11" t="inlineStr">
        <is>
          <t>Bolick, Christopher</t>
        </is>
      </c>
      <c r="D110" s="19" t="inlineStr">
        <is>
          <t>1B</t>
        </is>
      </c>
      <c r="E110" s="19" t="inlineStr">
        <is>
          <t>R</t>
        </is>
      </c>
      <c r="F110" s="19" t="inlineStr">
        <is>
          <t>R</t>
        </is>
      </c>
      <c r="G110" s="19" t="n">
        <v>21</v>
      </c>
      <c r="H110" s="19" t="n"/>
      <c r="I110" s="19" t="n"/>
      <c r="J110" s="19" t="n">
        <v>88</v>
      </c>
      <c r="K110" s="19" t="n">
        <v>29</v>
      </c>
      <c r="L110" s="19" t="n">
        <v>27</v>
      </c>
      <c r="M110" s="19" t="n">
        <v>27</v>
      </c>
      <c r="N110" s="19" t="n">
        <v>0</v>
      </c>
      <c r="O110" s="19" t="n">
        <v>11</v>
      </c>
      <c r="P110" s="19" t="n">
        <v>57</v>
      </c>
      <c r="Q110" s="19" t="n">
        <v>48</v>
      </c>
      <c r="R110" s="19" t="n">
        <v>0</v>
      </c>
      <c r="S110" s="19" t="n">
        <v>0</v>
      </c>
      <c r="T110" s="19" t="n">
        <v>0</v>
      </c>
      <c r="U110" s="19" t="n">
        <v>0</v>
      </c>
      <c r="V110" s="19">
        <f>K$1*(0.000001*K110^3)+L$1*((-0.000002)*L110^3+0.00032*L110^2+(-0.0021)*L110)+M$1*((-0.000002)*M110^3+0.00032*M110^2+(-0.0021)*M110)+N$1*((-0.000002)*N110^3+0.00032*N110^2+(-0.0021)*N110)+O$1*((-0.000002)*O110^3+0.00032*O110^2+(-0.0021)*O110)</f>
        <v/>
      </c>
      <c r="W110" s="5">
        <f>P$1*((-0.000002)*P110^3+0.00032*P110^2+(-0.0021)*P110)+Q$1*((-0.000002)*Q110^3+0.00032*Q110^2+(-0.0021)*Q110)+R$1*((-0.000002)*R110^3+0.00032*R110^2+(-0.0021)*R110)+S$1*((-0.000002)*S110^3+0.00032*S110^2+(-0.0021)*S110)+T$1*((-0.000002)*T110^3+0.00032*T110^2+(-0.0021)*T110)</f>
        <v/>
      </c>
      <c r="X110">
        <f>(I$1*((-0.000002)*I110^3+0.00032*I110^2+(-0.0021)*I110)+J$1*((-0.000002)*J110^3+0.00032*J110^2+(-0.0021)*J110)+H$1*((-0.000002)*H110^3+0.00032*H110^2+(-0.0021)*H110))*(MAX(0.05,MIN(1,(2*J110+I110)/120)*MIN(1,I110/10)*MIN(1,J110/10)))</f>
        <v/>
      </c>
      <c r="Y110" s="5">
        <f>(I$1*((-0.000002)*I110^3+0.00032*I110^2+(-0.0021)*I110)+J$1*((-0.000002)*J110^3+0.00032*J110^2+(-0.0021)*J110)+H$1*((-0.000002)*H110^3+0.00032*H110^2+(-0.0021)*H110))*(MAX(0.05,MIN(1,(2*J110+I110)/120)*MIN(1,I110/10)*MIN(1,J110/10)))</f>
        <v/>
      </c>
      <c r="Z110">
        <f>U110*J$2+V110*O$2+W110*H$2</f>
        <v/>
      </c>
      <c r="AA110">
        <f>IF(AND(J110&gt;50,I110+J110&gt;75),"SP",IF(2*I110+J110&gt;120,"RP","CRAP"))</f>
        <v/>
      </c>
    </row>
    <row r="111" ht="13.5" customHeight="1" s="27" thickBot="1">
      <c r="A111">
        <f>(V111*V$2+W111*W$2+X111*X$2)*100/(V$4*V$2+W$4*W$2+X$4*X$2)</f>
        <v/>
      </c>
      <c r="B111" s="18" t="n">
        <v>36</v>
      </c>
      <c r="C111" s="11" t="inlineStr">
        <is>
          <t>Griffiths, Eddie</t>
        </is>
      </c>
      <c r="D111" s="19" t="inlineStr">
        <is>
          <t>2B</t>
        </is>
      </c>
      <c r="E111" s="19" t="inlineStr">
        <is>
          <t>L</t>
        </is>
      </c>
      <c r="F111" s="19" t="inlineStr">
        <is>
          <t>R</t>
        </is>
      </c>
      <c r="G111" s="19" t="n">
        <v>18</v>
      </c>
      <c r="H111" s="19" t="n"/>
      <c r="I111" s="19" t="n"/>
      <c r="J111" s="19" t="n">
        <v>84</v>
      </c>
      <c r="K111" s="19" t="n">
        <v>47</v>
      </c>
      <c r="L111" s="19" t="n">
        <v>18</v>
      </c>
      <c r="M111" s="19" t="n">
        <v>15</v>
      </c>
      <c r="N111" s="19" t="n">
        <v>29</v>
      </c>
      <c r="O111" s="19" t="n">
        <v>0</v>
      </c>
      <c r="P111" s="19" t="n">
        <v>27</v>
      </c>
      <c r="Q111" s="19" t="n">
        <v>69</v>
      </c>
      <c r="R111" s="19" t="n">
        <v>0</v>
      </c>
      <c r="S111" s="19" t="n">
        <v>0</v>
      </c>
      <c r="T111" s="19" t="n">
        <v>0</v>
      </c>
      <c r="U111" s="19" t="n">
        <v>0</v>
      </c>
      <c r="V111" s="19">
        <f>K$1*(0.000001*K111^3)+L$1*((-0.000002)*L111^3+0.00032*L111^2+(-0.0021)*L111)+M$1*((-0.000002)*M111^3+0.00032*M111^2+(-0.0021)*M111)+N$1*((-0.000002)*N111^3+0.00032*N111^2+(-0.0021)*N111)+O$1*((-0.000002)*O111^3+0.00032*O111^2+(-0.0021)*O111)</f>
        <v/>
      </c>
      <c r="W111" s="5">
        <f>P$1*((-0.000002)*P111^3+0.00032*P111^2+(-0.0021)*P111)+Q$1*((-0.000002)*Q111^3+0.00032*Q111^2+(-0.0021)*Q111)+R$1*((-0.000002)*R111^3+0.00032*R111^2+(-0.0021)*R111)+S$1*((-0.000002)*S111^3+0.00032*S111^2+(-0.0021)*S111)+T$1*((-0.000002)*T111^3+0.00032*T111^2+(-0.0021)*T111)</f>
        <v/>
      </c>
      <c r="X111">
        <f>(I$1*((-0.000002)*I111^3+0.00032*I111^2+(-0.0021)*I111)+J$1*((-0.000002)*J111^3+0.00032*J111^2+(-0.0021)*J111)+H$1*((-0.000002)*H111^3+0.00032*H111^2+(-0.0021)*H111))*(MAX(0.05,MIN(1,(2*J111+I111)/120)*MIN(1,I111/10)*MIN(1,J111/10)))</f>
        <v/>
      </c>
      <c r="Y111" s="5">
        <f>(I$1*((-0.000002)*I111^3+0.00032*I111^2+(-0.0021)*I111)+J$1*((-0.000002)*J111^3+0.00032*J111^2+(-0.0021)*J111)+H$1*((-0.000002)*H111^3+0.00032*H111^2+(-0.0021)*H111))*(MAX(0.05,MIN(1,(2*J111+I111)/120)*MIN(1,I111/10)*MIN(1,J111/10)))</f>
        <v/>
      </c>
      <c r="Z111">
        <f>U111*J$2+V111*O$2+W111*H$2</f>
        <v/>
      </c>
      <c r="AA111">
        <f>IF(AND(J111&gt;50,I111+J111&gt;75),"SP",IF(2*I111+J111&gt;120,"RP","CRAP"))</f>
        <v/>
      </c>
    </row>
    <row r="112" ht="13.5" customHeight="1" s="27" thickBot="1">
      <c r="A112">
        <f>(V112*V$2+W112*W$2+X112*X$2)*100/(V$4*V$2+W$4*W$2+X$4*X$2)</f>
        <v/>
      </c>
      <c r="B112" s="16" t="n">
        <v>147</v>
      </c>
      <c r="C112" s="10" t="inlineStr">
        <is>
          <t>Sewell, Bruce</t>
        </is>
      </c>
      <c r="D112" s="17" t="inlineStr">
        <is>
          <t>1B</t>
        </is>
      </c>
      <c r="E112" s="17" t="inlineStr">
        <is>
          <t>R</t>
        </is>
      </c>
      <c r="F112" s="17" t="inlineStr">
        <is>
          <t>R</t>
        </is>
      </c>
      <c r="G112" s="17" t="n">
        <v>18</v>
      </c>
      <c r="H112" s="17" t="n"/>
      <c r="I112" s="17" t="n"/>
      <c r="J112" s="17" t="n">
        <v>95</v>
      </c>
      <c r="K112" s="17" t="n">
        <v>28</v>
      </c>
      <c r="L112" s="17" t="n">
        <v>28</v>
      </c>
      <c r="M112" s="17" t="n">
        <v>9</v>
      </c>
      <c r="N112" s="17" t="n">
        <v>27</v>
      </c>
      <c r="O112" s="17" t="n">
        <v>2</v>
      </c>
      <c r="P112" s="17" t="n">
        <v>37</v>
      </c>
      <c r="Q112" s="17" t="n">
        <v>60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>
        <f>K$1*(0.000001*K112^3)+L$1*((-0.000002)*L112^3+0.00032*L112^2+(-0.0021)*L112)+M$1*((-0.000002)*M112^3+0.00032*M112^2+(-0.0021)*M112)+N$1*((-0.000002)*N112^3+0.00032*N112^2+(-0.0021)*N112)+O$1*((-0.000002)*O112^3+0.00032*O112^2+(-0.0021)*O112)</f>
        <v/>
      </c>
      <c r="W112" s="5">
        <f>P$1*((-0.000002)*P112^3+0.00032*P112^2+(-0.0021)*P112)+Q$1*((-0.000002)*Q112^3+0.00032*Q112^2+(-0.0021)*Q112)+R$1*((-0.000002)*R112^3+0.00032*R112^2+(-0.0021)*R112)+S$1*((-0.000002)*S112^3+0.00032*S112^2+(-0.0021)*S112)+T$1*((-0.000002)*T112^3+0.00032*T112^2+(-0.0021)*T112)</f>
        <v/>
      </c>
      <c r="X112">
        <f>(I$1*((-0.000002)*I112^3+0.00032*I112^2+(-0.0021)*I112)+J$1*((-0.000002)*J112^3+0.00032*J112^2+(-0.0021)*J112)+H$1*((-0.000002)*H112^3+0.00032*H112^2+(-0.0021)*H112))*(MAX(0.05,MIN(1,(2*J112+I112)/120)*MIN(1,I112/10)*MIN(1,J112/10)))</f>
        <v/>
      </c>
      <c r="Y112" s="5">
        <f>(I$1*((-0.000002)*I112^3+0.00032*I112^2+(-0.0021)*I112)+J$1*((-0.000002)*J112^3+0.00032*J112^2+(-0.0021)*J112)+H$1*((-0.000002)*H112^3+0.00032*H112^2+(-0.0021)*H112))*(MAX(0.05,MIN(1,(2*J112+I112)/120)*MIN(1,I112/10)*MIN(1,J112/10)))</f>
        <v/>
      </c>
      <c r="Z112">
        <f>U112*J$2+V112*O$2+W112*H$2</f>
        <v/>
      </c>
      <c r="AA112">
        <f>IF(AND(J112&gt;50,I112+J112&gt;75),"SP",IF(2*I112+J112&gt;120,"RP","CRAP"))</f>
        <v/>
      </c>
    </row>
    <row r="113" ht="13.5" customHeight="1" s="27" thickBot="1">
      <c r="A113">
        <f>(V113*V$2+W113*W$2+X113*X$2)*100/(V$4*V$2+W$4*W$2+X$4*X$2)</f>
        <v/>
      </c>
      <c r="B113" s="16" t="n">
        <v>81</v>
      </c>
      <c r="C113" s="10" t="inlineStr">
        <is>
          <t>Paredes, Joaquin</t>
        </is>
      </c>
      <c r="D113" s="17" t="inlineStr">
        <is>
          <t>SS</t>
        </is>
      </c>
      <c r="E113" s="17" t="inlineStr">
        <is>
          <t>S</t>
        </is>
      </c>
      <c r="F113" s="17" t="inlineStr">
        <is>
          <t>R</t>
        </is>
      </c>
      <c r="G113" s="17" t="n">
        <v>18</v>
      </c>
      <c r="H113" s="17" t="n"/>
      <c r="I113" s="17" t="n"/>
      <c r="J113" s="17" t="n">
        <v>90</v>
      </c>
      <c r="K113" s="17" t="n">
        <v>33</v>
      </c>
      <c r="L113" s="17" t="n">
        <v>16</v>
      </c>
      <c r="M113" s="17" t="n">
        <v>7</v>
      </c>
      <c r="N113" s="17" t="n">
        <v>0</v>
      </c>
      <c r="O113" s="17" t="n">
        <v>22</v>
      </c>
      <c r="P113" s="17" t="n">
        <v>49</v>
      </c>
      <c r="Q113" s="17" t="n">
        <v>71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>
        <f>K$1*(0.000001*K113^3)+L$1*((-0.000002)*L113^3+0.00032*L113^2+(-0.0021)*L113)+M$1*((-0.000002)*M113^3+0.00032*M113^2+(-0.0021)*M113)+N$1*((-0.000002)*N113^3+0.00032*N113^2+(-0.0021)*N113)+O$1*((-0.000002)*O113^3+0.00032*O113^2+(-0.0021)*O113)</f>
        <v/>
      </c>
      <c r="W113" s="5">
        <f>P$1*((-0.000002)*P113^3+0.00032*P113^2+(-0.0021)*P113)+Q$1*((-0.000002)*Q113^3+0.00032*Q113^2+(-0.0021)*Q113)+R$1*((-0.000002)*R113^3+0.00032*R113^2+(-0.0021)*R113)+S$1*((-0.000002)*S113^3+0.00032*S113^2+(-0.0021)*S113)+T$1*((-0.000002)*T113^3+0.00032*T113^2+(-0.0021)*T113)</f>
        <v/>
      </c>
      <c r="X113">
        <f>(I$1*((-0.000002)*I113^3+0.00032*I113^2+(-0.0021)*I113)+J$1*((-0.000002)*J113^3+0.00032*J113^2+(-0.0021)*J113)+H$1*((-0.000002)*H113^3+0.00032*H113^2+(-0.0021)*H113))*(MAX(0.05,MIN(1,(2*J113+I113)/120)*MIN(1,I113/10)*MIN(1,J113/10)))</f>
        <v/>
      </c>
      <c r="Y113" s="5">
        <f>(I$1*((-0.000002)*I113^3+0.00032*I113^2+(-0.0021)*I113)+J$1*((-0.000002)*J113^3+0.00032*J113^2+(-0.0021)*J113)+H$1*((-0.000002)*H113^3+0.00032*H113^2+(-0.0021)*H113))*(MAX(0.05,MIN(1,(2*J113+I113)/120)*MIN(1,I113/10)*MIN(1,J113/10)))</f>
        <v/>
      </c>
      <c r="Z113">
        <f>U113*J$2+V113*O$2+W113*H$2</f>
        <v/>
      </c>
      <c r="AA113">
        <f>IF(AND(J113&gt;50,I113+J113&gt;75),"SP",IF(2*I113+J113&gt;120,"RP","CRAP"))</f>
        <v/>
      </c>
    </row>
    <row r="114" ht="13.5" customHeight="1" s="27" thickBot="1">
      <c r="A114">
        <f>(V114*V$2+W114*W$2+X114*X$2)*100/(V$4*V$2+W$4*W$2+X$4*X$2)</f>
        <v/>
      </c>
      <c r="B114" s="18" t="n">
        <v>30</v>
      </c>
      <c r="C114" s="11" t="inlineStr">
        <is>
          <t>Brewington, Beamer</t>
        </is>
      </c>
      <c r="D114" s="19" t="inlineStr">
        <is>
          <t>2B</t>
        </is>
      </c>
      <c r="E114" s="19" t="inlineStr">
        <is>
          <t>R</t>
        </is>
      </c>
      <c r="F114" s="19" t="inlineStr">
        <is>
          <t>R</t>
        </is>
      </c>
      <c r="G114" s="19" t="n">
        <v>18</v>
      </c>
      <c r="H114" s="19" t="n"/>
      <c r="I114" s="19" t="n"/>
      <c r="J114" s="19" t="n">
        <v>84</v>
      </c>
      <c r="K114" s="19" t="n">
        <v>33</v>
      </c>
      <c r="L114" s="19" t="n">
        <v>30</v>
      </c>
      <c r="M114" s="19" t="n">
        <v>15</v>
      </c>
      <c r="N114" s="19" t="n">
        <v>5</v>
      </c>
      <c r="O114" s="19" t="n">
        <v>0</v>
      </c>
      <c r="P114" s="19" t="n">
        <v>30</v>
      </c>
      <c r="Q114" s="19" t="n">
        <v>73</v>
      </c>
      <c r="R114" s="19" t="n">
        <v>0</v>
      </c>
      <c r="S114" s="19" t="n">
        <v>0</v>
      </c>
      <c r="T114" s="19" t="n">
        <v>0</v>
      </c>
      <c r="U114" s="19" t="n">
        <v>0</v>
      </c>
      <c r="V114" s="19">
        <f>K$1*(0.000001*K114^3)+L$1*((-0.000002)*L114^3+0.00032*L114^2+(-0.0021)*L114)+M$1*((-0.000002)*M114^3+0.00032*M114^2+(-0.0021)*M114)+N$1*((-0.000002)*N114^3+0.00032*N114^2+(-0.0021)*N114)+O$1*((-0.000002)*O114^3+0.00032*O114^2+(-0.0021)*O114)</f>
        <v/>
      </c>
      <c r="W114" s="5">
        <f>P$1*((-0.000002)*P114^3+0.00032*P114^2+(-0.0021)*P114)+Q$1*((-0.000002)*Q114^3+0.00032*Q114^2+(-0.0021)*Q114)+R$1*((-0.000002)*R114^3+0.00032*R114^2+(-0.0021)*R114)+S$1*((-0.000002)*S114^3+0.00032*S114^2+(-0.0021)*S114)+T$1*((-0.000002)*T114^3+0.00032*T114^2+(-0.0021)*T114)</f>
        <v/>
      </c>
      <c r="X114">
        <f>(I$1*((-0.000002)*I114^3+0.00032*I114^2+(-0.0021)*I114)+J$1*((-0.000002)*J114^3+0.00032*J114^2+(-0.0021)*J114)+H$1*((-0.000002)*H114^3+0.00032*H114^2+(-0.0021)*H114))*(MAX(0.05,MIN(1,(2*J114+I114)/120)*MIN(1,I114/10)*MIN(1,J114/10)))</f>
        <v/>
      </c>
      <c r="Y114" s="5">
        <f>(I$1*((-0.000002)*I114^3+0.00032*I114^2+(-0.0021)*I114)+J$1*((-0.000002)*J114^3+0.00032*J114^2+(-0.0021)*J114)+H$1*((-0.000002)*H114^3+0.00032*H114^2+(-0.0021)*H114))*(MAX(0.05,MIN(1,(2*J114+I114)/120)*MIN(1,I114/10)*MIN(1,J114/10)))</f>
        <v/>
      </c>
      <c r="Z114">
        <f>U114*J$2+V114*O$2+W114*H$2</f>
        <v/>
      </c>
      <c r="AA114">
        <f>IF(AND(J114&gt;50,I114+J114&gt;75),"SP",IF(2*I114+J114&gt;120,"RP","CRAP"))</f>
        <v/>
      </c>
    </row>
    <row r="115" ht="13.5" customHeight="1" s="27" thickBot="1">
      <c r="A115">
        <f>(V115*V$2+W115*W$2+X115*X$2)*100/(V$4*V$2+W$4*W$2+X$4*X$2)</f>
        <v/>
      </c>
      <c r="B115" s="18" t="n">
        <v>68</v>
      </c>
      <c r="C115" s="11" t="inlineStr">
        <is>
          <t>Frieri, Omar</t>
        </is>
      </c>
      <c r="D115" s="19" t="inlineStr">
        <is>
          <t>C</t>
        </is>
      </c>
      <c r="E115" s="19" t="inlineStr">
        <is>
          <t>R</t>
        </is>
      </c>
      <c r="F115" s="19" t="inlineStr">
        <is>
          <t>R</t>
        </is>
      </c>
      <c r="G115" s="19" t="n">
        <v>20</v>
      </c>
      <c r="H115" s="19" t="n"/>
      <c r="I115" s="19" t="n"/>
      <c r="J115" s="19" t="n">
        <v>83</v>
      </c>
      <c r="K115" s="19" t="n">
        <v>20</v>
      </c>
      <c r="L115" s="19" t="n">
        <v>13</v>
      </c>
      <c r="M115" s="19" t="n">
        <v>6</v>
      </c>
      <c r="N115" s="19" t="n">
        <v>1</v>
      </c>
      <c r="O115" s="19" t="n">
        <v>0</v>
      </c>
      <c r="P115" s="19" t="n">
        <v>44</v>
      </c>
      <c r="Q115" s="19" t="n">
        <v>99</v>
      </c>
      <c r="R115" s="19" t="n">
        <v>0</v>
      </c>
      <c r="S115" s="19" t="n">
        <v>0</v>
      </c>
      <c r="T115" s="19" t="n">
        <v>0</v>
      </c>
      <c r="U115" s="19" t="n">
        <v>0</v>
      </c>
      <c r="V115" s="19">
        <f>K$1*(0.000001*K115^3)+L$1*((-0.000002)*L115^3+0.00032*L115^2+(-0.0021)*L115)+M$1*((-0.000002)*M115^3+0.00032*M115^2+(-0.0021)*M115)+N$1*((-0.000002)*N115^3+0.00032*N115^2+(-0.0021)*N115)+O$1*((-0.000002)*O115^3+0.00032*O115^2+(-0.0021)*O115)</f>
        <v/>
      </c>
      <c r="W115" s="5">
        <f>P$1*((-0.000002)*P115^3+0.00032*P115^2+(-0.0021)*P115)+Q$1*((-0.000002)*Q115^3+0.00032*Q115^2+(-0.0021)*Q115)+R$1*((-0.000002)*R115^3+0.00032*R115^2+(-0.0021)*R115)+S$1*((-0.000002)*S115^3+0.00032*S115^2+(-0.0021)*S115)+T$1*((-0.000002)*T115^3+0.00032*T115^2+(-0.0021)*T115)</f>
        <v/>
      </c>
      <c r="X115">
        <f>(I$1*((-0.000002)*I115^3+0.00032*I115^2+(-0.0021)*I115)+J$1*((-0.000002)*J115^3+0.00032*J115^2+(-0.0021)*J115)+H$1*((-0.000002)*H115^3+0.00032*H115^2+(-0.0021)*H115))*(MAX(0.05,MIN(1,(2*J115+I115)/120)*MIN(1,I115/10)*MIN(1,J115/10)))</f>
        <v/>
      </c>
      <c r="Y115" s="5">
        <f>(I$1*((-0.000002)*I115^3+0.00032*I115^2+(-0.0021)*I115)+J$1*((-0.000002)*J115^3+0.00032*J115^2+(-0.0021)*J115)+H$1*((-0.000002)*H115^3+0.00032*H115^2+(-0.0021)*H115))*(MAX(0.05,MIN(1,(2*J115+I115)/120)*MIN(1,I115/10)*MIN(1,J115/10)))</f>
        <v/>
      </c>
      <c r="Z115">
        <f>U115*J$2+V115*O$2+W115*H$2</f>
        <v/>
      </c>
      <c r="AA115">
        <f>IF(AND(J115&gt;50,I115+J115&gt;75),"SP",IF(2*I115+J115&gt;120,"RP","CRAP"))</f>
        <v/>
      </c>
    </row>
    <row r="116" ht="13.5" customHeight="1" s="27" thickBot="1">
      <c r="A116">
        <f>(V116*V$2+W116*W$2+X116*X$2)*100/(V$4*V$2+W$4*W$2+X$4*X$2)</f>
        <v/>
      </c>
      <c r="B116" s="18" t="n">
        <v>200</v>
      </c>
      <c r="C116" s="11" t="inlineStr">
        <is>
          <t>Slaughter, Milt</t>
        </is>
      </c>
      <c r="D116" s="19" t="inlineStr">
        <is>
          <t>DH</t>
        </is>
      </c>
      <c r="E116" s="19" t="inlineStr">
        <is>
          <t>L</t>
        </is>
      </c>
      <c r="F116" s="19" t="inlineStr">
        <is>
          <t>L</t>
        </is>
      </c>
      <c r="G116" s="19" t="n">
        <v>22</v>
      </c>
      <c r="H116" s="19" t="n"/>
      <c r="I116" s="19" t="n"/>
      <c r="J116" s="19" t="n">
        <v>75</v>
      </c>
      <c r="K116" s="19" t="n">
        <v>8</v>
      </c>
      <c r="L116" s="19" t="n">
        <v>0</v>
      </c>
      <c r="M116" s="19" t="n">
        <v>16</v>
      </c>
      <c r="N116" s="19" t="n">
        <v>39</v>
      </c>
      <c r="O116" s="19" t="n">
        <v>20</v>
      </c>
      <c r="P116" s="19" t="n">
        <v>35</v>
      </c>
      <c r="Q116" s="19" t="n">
        <v>73</v>
      </c>
      <c r="R116" s="19" t="n">
        <v>0</v>
      </c>
      <c r="S116" s="19" t="n">
        <v>0</v>
      </c>
      <c r="T116" s="19" t="n">
        <v>0</v>
      </c>
      <c r="U116" s="19" t="n">
        <v>0</v>
      </c>
      <c r="V116" s="19">
        <f>K$1*(0.000001*K116^3)+L$1*((-0.000002)*L116^3+0.00032*L116^2+(-0.0021)*L116)+M$1*((-0.000002)*M116^3+0.00032*M116^2+(-0.0021)*M116)+N$1*((-0.000002)*N116^3+0.00032*N116^2+(-0.0021)*N116)+O$1*((-0.000002)*O116^3+0.00032*O116^2+(-0.0021)*O116)</f>
        <v/>
      </c>
      <c r="W116" s="5">
        <f>P$1*((-0.000002)*P116^3+0.00032*P116^2+(-0.0021)*P116)+Q$1*((-0.000002)*Q116^3+0.00032*Q116^2+(-0.0021)*Q116)+R$1*((-0.000002)*R116^3+0.00032*R116^2+(-0.0021)*R116)+S$1*((-0.000002)*S116^3+0.00032*S116^2+(-0.0021)*S116)+T$1*((-0.000002)*T116^3+0.00032*T116^2+(-0.0021)*T116)</f>
        <v/>
      </c>
      <c r="X116">
        <f>(I$1*((-0.000002)*I116^3+0.00032*I116^2+(-0.0021)*I116)+J$1*((-0.000002)*J116^3+0.00032*J116^2+(-0.0021)*J116)+H$1*((-0.000002)*H116^3+0.00032*H116^2+(-0.0021)*H116))*(MAX(0.05,MIN(1,(2*J116+I116)/120)*MIN(1,I116/10)*MIN(1,J116/10)))</f>
        <v/>
      </c>
      <c r="Y116" s="5">
        <f>(I$1*((-0.000002)*I116^3+0.00032*I116^2+(-0.0021)*I116)+J$1*((-0.000002)*J116^3+0.00032*J116^2+(-0.0021)*J116)+H$1*((-0.000002)*H116^3+0.00032*H116^2+(-0.0021)*H116))*(MAX(0.05,MIN(1,(2*J116+I116)/120)*MIN(1,I116/10)*MIN(1,J116/10)))</f>
        <v/>
      </c>
      <c r="Z116">
        <f>U116*J$2+V116*O$2+W116*H$2</f>
        <v/>
      </c>
      <c r="AA116">
        <f>IF(AND(J116&gt;50,I116+J116&gt;75),"SP",IF(2*I116+J116&gt;120,"RP","CRAP"))</f>
        <v/>
      </c>
    </row>
    <row r="117" ht="13.5" customHeight="1" s="27" thickBot="1">
      <c r="A117">
        <f>(V117*V$2+W117*W$2+X117*X$2)*100/(V$4*V$2+W$4*W$2+X$4*X$2)</f>
        <v/>
      </c>
      <c r="B117" s="16" t="n">
        <v>1</v>
      </c>
      <c r="C117" s="10" t="inlineStr">
        <is>
          <t>Knotts, Kennie</t>
        </is>
      </c>
      <c r="D117" s="17" t="inlineStr">
        <is>
          <t>RF</t>
        </is>
      </c>
      <c r="E117" s="17" t="inlineStr">
        <is>
          <t>S</t>
        </is>
      </c>
      <c r="F117" s="17" t="inlineStr">
        <is>
          <t>R</t>
        </is>
      </c>
      <c r="G117" s="17" t="n">
        <v>18</v>
      </c>
      <c r="H117" s="17" t="n"/>
      <c r="I117" s="17" t="n"/>
      <c r="J117" s="17" t="n">
        <v>90</v>
      </c>
      <c r="K117" s="17" t="n">
        <v>10</v>
      </c>
      <c r="L117" s="17" t="n">
        <v>11</v>
      </c>
      <c r="M117" s="17" t="n">
        <v>10</v>
      </c>
      <c r="N117" s="17" t="n">
        <v>11</v>
      </c>
      <c r="O117" s="17" t="n">
        <v>17</v>
      </c>
      <c r="P117" s="17" t="n">
        <v>52</v>
      </c>
      <c r="Q117" s="17" t="n">
        <v>77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>
        <f>K$1*(0.000001*K117^3)+L$1*((-0.000002)*L117^3+0.00032*L117^2+(-0.0021)*L117)+M$1*((-0.000002)*M117^3+0.00032*M117^2+(-0.0021)*M117)+N$1*((-0.000002)*N117^3+0.00032*N117^2+(-0.0021)*N117)+O$1*((-0.000002)*O117^3+0.00032*O117^2+(-0.0021)*O117)</f>
        <v/>
      </c>
      <c r="W117" s="5">
        <f>P$1*((-0.000002)*P117^3+0.00032*P117^2+(-0.0021)*P117)+Q$1*((-0.000002)*Q117^3+0.00032*Q117^2+(-0.0021)*Q117)+R$1*((-0.000002)*R117^3+0.00032*R117^2+(-0.0021)*R117)+S$1*((-0.000002)*S117^3+0.00032*S117^2+(-0.0021)*S117)+T$1*((-0.000002)*T117^3+0.00032*T117^2+(-0.0021)*T117)</f>
        <v/>
      </c>
      <c r="X117">
        <f>(I$1*((-0.000002)*I117^3+0.00032*I117^2+(-0.0021)*I117)+J$1*((-0.000002)*J117^3+0.00032*J117^2+(-0.0021)*J117)+H$1*((-0.000002)*H117^3+0.00032*H117^2+(-0.0021)*H117))*(MAX(0.05,MIN(1,(2*J117+I117)/120)*MIN(1,I117/10)*MIN(1,J117/10)))</f>
        <v/>
      </c>
      <c r="Y117" s="5">
        <f>(I$1*((-0.000002)*I117^3+0.00032*I117^2+(-0.0021)*I117)+J$1*((-0.000002)*J117^3+0.00032*J117^2+(-0.0021)*J117)+H$1*((-0.000002)*H117^3+0.00032*H117^2+(-0.0021)*H117))*(MAX(0.05,MIN(1,(2*J117+I117)/120)*MIN(1,I117/10)*MIN(1,J117/10)))</f>
        <v/>
      </c>
      <c r="Z117">
        <f>U117*J$2+V117*O$2+W117*H$2</f>
        <v/>
      </c>
      <c r="AA117">
        <f>IF(AND(J117&gt;50,I117+J117&gt;75),"SP",IF(2*I117+J117&gt;120,"RP","CRAP"))</f>
        <v/>
      </c>
    </row>
    <row r="118" ht="13.5" customHeight="1" s="27" thickBot="1">
      <c r="A118">
        <f>(V118*V$2+W118*W$2+X118*X$2)*100/(V$4*V$2+W$4*W$2+X$4*X$2)</f>
        <v/>
      </c>
      <c r="B118" s="16" t="n">
        <v>47</v>
      </c>
      <c r="C118" s="10" t="inlineStr">
        <is>
          <t>Tapies, Matty</t>
        </is>
      </c>
      <c r="D118" s="17" t="inlineStr">
        <is>
          <t>3B</t>
        </is>
      </c>
      <c r="E118" s="17" t="inlineStr">
        <is>
          <t>R</t>
        </is>
      </c>
      <c r="F118" s="17" t="inlineStr">
        <is>
          <t>R</t>
        </is>
      </c>
      <c r="G118" s="17" t="n">
        <v>18</v>
      </c>
      <c r="H118" s="17" t="n"/>
      <c r="I118" s="17" t="n"/>
      <c r="J118" s="17" t="n">
        <v>76</v>
      </c>
      <c r="K118" s="17" t="n">
        <v>30</v>
      </c>
      <c r="L118" s="17" t="n">
        <v>26</v>
      </c>
      <c r="M118" s="17" t="n">
        <v>0</v>
      </c>
      <c r="N118" s="17" t="n">
        <v>1</v>
      </c>
      <c r="O118" s="17" t="n">
        <v>10</v>
      </c>
      <c r="P118" s="17" t="n">
        <v>43</v>
      </c>
      <c r="Q118" s="17" t="n">
        <v>62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>
        <f>K$1*(0.000001*K118^3)+L$1*((-0.000002)*L118^3+0.00032*L118^2+(-0.0021)*L118)+M$1*((-0.000002)*M118^3+0.00032*M118^2+(-0.0021)*M118)+N$1*((-0.000002)*N118^3+0.00032*N118^2+(-0.0021)*N118)+O$1*((-0.000002)*O118^3+0.00032*O118^2+(-0.0021)*O118)</f>
        <v/>
      </c>
      <c r="W118" s="5">
        <f>P$1*((-0.000002)*P118^3+0.00032*P118^2+(-0.0021)*P118)+Q$1*((-0.000002)*Q118^3+0.00032*Q118^2+(-0.0021)*Q118)+R$1*((-0.000002)*R118^3+0.00032*R118^2+(-0.0021)*R118)+S$1*((-0.000002)*S118^3+0.00032*S118^2+(-0.0021)*S118)+T$1*((-0.000002)*T118^3+0.00032*T118^2+(-0.0021)*T118)</f>
        <v/>
      </c>
      <c r="X118">
        <f>(I$1*((-0.000002)*I118^3+0.00032*I118^2+(-0.0021)*I118)+J$1*((-0.000002)*J118^3+0.00032*J118^2+(-0.0021)*J118)+H$1*((-0.000002)*H118^3+0.00032*H118^2+(-0.0021)*H118))*(MAX(0.05,MIN(1,(2*J118+I118)/120)*MIN(1,I118/10)*MIN(1,J118/10)))</f>
        <v/>
      </c>
      <c r="Y118" s="5">
        <f>(I$1*((-0.000002)*I118^3+0.00032*I118^2+(-0.0021)*I118)+J$1*((-0.000002)*J118^3+0.00032*J118^2+(-0.0021)*J118)+H$1*((-0.000002)*H118^3+0.00032*H118^2+(-0.0021)*H118))*(MAX(0.05,MIN(1,(2*J118+I118)/120)*MIN(1,I118/10)*MIN(1,J118/10)))</f>
        <v/>
      </c>
      <c r="Z118">
        <f>U118*J$2+V118*O$2+W118*H$2</f>
        <v/>
      </c>
      <c r="AA118">
        <f>IF(AND(J118&gt;50,I118+J118&gt;75),"SP",IF(2*I118+J118&gt;120,"RP","CRAP"))</f>
        <v/>
      </c>
    </row>
    <row r="119" ht="13.5" customHeight="1" s="27" thickBot="1">
      <c r="A119">
        <f>(V119*V$2+W119*W$2+X119*X$2)*100/(V$4*V$2+W$4*W$2+X$4*X$2)</f>
        <v/>
      </c>
      <c r="B119" s="16" t="n">
        <v>69</v>
      </c>
      <c r="C119" s="10" t="inlineStr">
        <is>
          <t>Chen, Pat</t>
        </is>
      </c>
      <c r="D119" s="17" t="inlineStr">
        <is>
          <t>RF</t>
        </is>
      </c>
      <c r="E119" s="17" t="inlineStr">
        <is>
          <t>R</t>
        </is>
      </c>
      <c r="F119" s="17" t="inlineStr">
        <is>
          <t>R</t>
        </is>
      </c>
      <c r="G119" s="17" t="n">
        <v>18</v>
      </c>
      <c r="H119" s="17" t="n"/>
      <c r="I119" s="17" t="n"/>
      <c r="J119" s="17" t="n">
        <v>77</v>
      </c>
      <c r="K119" s="17" t="n">
        <v>30</v>
      </c>
      <c r="L119" s="17" t="n">
        <v>7</v>
      </c>
      <c r="M119" s="17" t="n">
        <v>11</v>
      </c>
      <c r="N119" s="17" t="n">
        <v>3</v>
      </c>
      <c r="O119" s="17" t="n">
        <v>13</v>
      </c>
      <c r="P119" s="17" t="n">
        <v>40</v>
      </c>
      <c r="Q119" s="17" t="n">
        <v>85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>
        <f>K$1*(0.000001*K119^3)+L$1*((-0.000002)*L119^3+0.00032*L119^2+(-0.0021)*L119)+M$1*((-0.000002)*M119^3+0.00032*M119^2+(-0.0021)*M119)+N$1*((-0.000002)*N119^3+0.00032*N119^2+(-0.0021)*N119)+O$1*((-0.000002)*O119^3+0.00032*O119^2+(-0.0021)*O119)</f>
        <v/>
      </c>
      <c r="W119" s="5">
        <f>P$1*((-0.000002)*P119^3+0.00032*P119^2+(-0.0021)*P119)+Q$1*((-0.000002)*Q119^3+0.00032*Q119^2+(-0.0021)*Q119)+R$1*((-0.000002)*R119^3+0.00032*R119^2+(-0.0021)*R119)+S$1*((-0.000002)*S119^3+0.00032*S119^2+(-0.0021)*S119)+T$1*((-0.000002)*T119^3+0.00032*T119^2+(-0.0021)*T119)</f>
        <v/>
      </c>
      <c r="X119">
        <f>(I$1*((-0.000002)*I119^3+0.00032*I119^2+(-0.0021)*I119)+J$1*((-0.000002)*J119^3+0.00032*J119^2+(-0.0021)*J119)+H$1*((-0.000002)*H119^3+0.00032*H119^2+(-0.0021)*H119))*(MAX(0.05,MIN(1,(2*J119+I119)/120)*MIN(1,I119/10)*MIN(1,J119/10)))</f>
        <v/>
      </c>
      <c r="Y119" s="5">
        <f>(I$1*((-0.000002)*I119^3+0.00032*I119^2+(-0.0021)*I119)+J$1*((-0.000002)*J119^3+0.00032*J119^2+(-0.0021)*J119)+H$1*((-0.000002)*H119^3+0.00032*H119^2+(-0.0021)*H119))*(MAX(0.05,MIN(1,(2*J119+I119)/120)*MIN(1,I119/10)*MIN(1,J119/10)))</f>
        <v/>
      </c>
      <c r="Z119">
        <f>U119*J$2+V119*O$2+W119*H$2</f>
        <v/>
      </c>
      <c r="AA119">
        <f>IF(AND(J119&gt;50,I119+J119&gt;75),"SP",IF(2*I119+J119&gt;120,"RP","CRAP"))</f>
        <v/>
      </c>
    </row>
    <row r="120" ht="13.5" customHeight="1" s="27" thickBot="1">
      <c r="A120">
        <f>(V120*V$2+W120*W$2+X120*X$2)*100/(V$4*V$2+W$4*W$2+X$4*X$2)</f>
        <v/>
      </c>
      <c r="B120" s="18" t="n">
        <v>130</v>
      </c>
      <c r="C120" s="11" t="inlineStr">
        <is>
          <t>Watson, Roy</t>
        </is>
      </c>
      <c r="D120" s="19" t="inlineStr">
        <is>
          <t>LF</t>
        </is>
      </c>
      <c r="E120" s="19" t="inlineStr">
        <is>
          <t>R</t>
        </is>
      </c>
      <c r="F120" s="19" t="inlineStr">
        <is>
          <t>R</t>
        </is>
      </c>
      <c r="G120" s="19" t="n">
        <v>18</v>
      </c>
      <c r="H120" s="19" t="n"/>
      <c r="I120" s="19" t="n"/>
      <c r="J120" s="19" t="n">
        <v>86</v>
      </c>
      <c r="K120" s="19" t="n">
        <v>25</v>
      </c>
      <c r="L120" s="19" t="n">
        <v>23</v>
      </c>
      <c r="M120" s="19" t="n">
        <v>4</v>
      </c>
      <c r="N120" s="19" t="n">
        <v>6</v>
      </c>
      <c r="O120" s="19" t="n">
        <v>18</v>
      </c>
      <c r="P120" s="19" t="n">
        <v>57</v>
      </c>
      <c r="Q120" s="19" t="n">
        <v>49</v>
      </c>
      <c r="R120" s="19" t="n">
        <v>0</v>
      </c>
      <c r="S120" s="19" t="n">
        <v>0</v>
      </c>
      <c r="T120" s="19" t="n">
        <v>0</v>
      </c>
      <c r="U120" s="19" t="n">
        <v>0</v>
      </c>
      <c r="V120" s="19">
        <f>K$1*(0.000001*K120^3)+L$1*((-0.000002)*L120^3+0.00032*L120^2+(-0.0021)*L120)+M$1*((-0.000002)*M120^3+0.00032*M120^2+(-0.0021)*M120)+N$1*((-0.000002)*N120^3+0.00032*N120^2+(-0.0021)*N120)+O$1*((-0.000002)*O120^3+0.00032*O120^2+(-0.0021)*O120)</f>
        <v/>
      </c>
      <c r="W120" s="5">
        <f>P$1*((-0.000002)*P120^3+0.00032*P120^2+(-0.0021)*P120)+Q$1*((-0.000002)*Q120^3+0.00032*Q120^2+(-0.0021)*Q120)+R$1*((-0.000002)*R120^3+0.00032*R120^2+(-0.0021)*R120)+S$1*((-0.000002)*S120^3+0.00032*S120^2+(-0.0021)*S120)+T$1*((-0.000002)*T120^3+0.00032*T120^2+(-0.0021)*T120)</f>
        <v/>
      </c>
      <c r="X120">
        <f>(I$1*((-0.000002)*I120^3+0.00032*I120^2+(-0.0021)*I120)+J$1*((-0.000002)*J120^3+0.00032*J120^2+(-0.0021)*J120)+H$1*((-0.000002)*H120^3+0.00032*H120^2+(-0.0021)*H120))*(MAX(0.05,MIN(1,(2*J120+I120)/120)*MIN(1,I120/10)*MIN(1,J120/10)))</f>
        <v/>
      </c>
      <c r="Y120" s="5">
        <f>(I$1*((-0.000002)*I120^3+0.00032*I120^2+(-0.0021)*I120)+J$1*((-0.000002)*J120^3+0.00032*J120^2+(-0.0021)*J120)+H$1*((-0.000002)*H120^3+0.00032*H120^2+(-0.0021)*H120))*(MAX(0.05,MIN(1,(2*J120+I120)/120)*MIN(1,I120/10)*MIN(1,J120/10)))</f>
        <v/>
      </c>
      <c r="Z120">
        <f>U120*J$2+V120*O$2+W120*H$2</f>
        <v/>
      </c>
      <c r="AA120">
        <f>IF(AND(J120&gt;50,I120+J120&gt;75),"SP",IF(2*I120+J120&gt;120,"RP","CRAP"))</f>
        <v/>
      </c>
    </row>
    <row r="121" ht="13.5" customHeight="1" s="27" thickBot="1">
      <c r="A121">
        <f>(V121*V$2+W121*W$2+X121*X$2)*100/(V$4*V$2+W$4*W$2+X$4*X$2)</f>
        <v/>
      </c>
      <c r="B121" s="18" t="n">
        <v>188</v>
      </c>
      <c r="C121" s="11" t="inlineStr">
        <is>
          <t>Morton, Mike</t>
        </is>
      </c>
      <c r="D121" s="19" t="inlineStr">
        <is>
          <t>DH</t>
        </is>
      </c>
      <c r="E121" s="19" t="inlineStr">
        <is>
          <t>S</t>
        </is>
      </c>
      <c r="F121" s="19" t="inlineStr">
        <is>
          <t>R</t>
        </is>
      </c>
      <c r="G121" s="19" t="n">
        <v>18</v>
      </c>
      <c r="H121" s="19" t="n"/>
      <c r="I121" s="19" t="n"/>
      <c r="J121" s="19" t="n">
        <v>79</v>
      </c>
      <c r="K121" s="19" t="n">
        <v>30</v>
      </c>
      <c r="L121" s="19" t="n">
        <v>9</v>
      </c>
      <c r="M121" s="19" t="n">
        <v>9</v>
      </c>
      <c r="N121" s="19" t="n">
        <v>13</v>
      </c>
      <c r="O121" s="19" t="n">
        <v>18</v>
      </c>
      <c r="P121" s="19" t="n">
        <v>40</v>
      </c>
      <c r="Q121" s="19" t="n">
        <v>78</v>
      </c>
      <c r="R121" s="19" t="n">
        <v>0</v>
      </c>
      <c r="S121" s="19" t="n">
        <v>0</v>
      </c>
      <c r="T121" s="19" t="n">
        <v>0</v>
      </c>
      <c r="U121" s="19" t="n">
        <v>0</v>
      </c>
      <c r="V121" s="19">
        <f>K$1*(0.000001*K121^3)+L$1*((-0.000002)*L121^3+0.00032*L121^2+(-0.0021)*L121)+M$1*((-0.000002)*M121^3+0.00032*M121^2+(-0.0021)*M121)+N$1*((-0.000002)*N121^3+0.00032*N121^2+(-0.0021)*N121)+O$1*((-0.000002)*O121^3+0.00032*O121^2+(-0.0021)*O121)</f>
        <v/>
      </c>
      <c r="W121" s="5">
        <f>P$1*((-0.000002)*P121^3+0.00032*P121^2+(-0.0021)*P121)+Q$1*((-0.000002)*Q121^3+0.00032*Q121^2+(-0.0021)*Q121)+R$1*((-0.000002)*R121^3+0.00032*R121^2+(-0.0021)*R121)+S$1*((-0.000002)*S121^3+0.00032*S121^2+(-0.0021)*S121)+T$1*((-0.000002)*T121^3+0.00032*T121^2+(-0.0021)*T121)</f>
        <v/>
      </c>
      <c r="X121">
        <f>(I$1*((-0.000002)*I121^3+0.00032*I121^2+(-0.0021)*I121)+J$1*((-0.000002)*J121^3+0.00032*J121^2+(-0.0021)*J121)+H$1*((-0.000002)*H121^3+0.00032*H121^2+(-0.0021)*H121))*(MAX(0.05,MIN(1,(2*J121+I121)/120)*MIN(1,I121/10)*MIN(1,J121/10)))</f>
        <v/>
      </c>
      <c r="Y121" s="5">
        <f>(I$1*((-0.000002)*I121^3+0.00032*I121^2+(-0.0021)*I121)+J$1*((-0.000002)*J121^3+0.00032*J121^2+(-0.0021)*J121)+H$1*((-0.000002)*H121^3+0.00032*H121^2+(-0.0021)*H121))*(MAX(0.05,MIN(1,(2*J121+I121)/120)*MIN(1,I121/10)*MIN(1,J121/10)))</f>
        <v/>
      </c>
      <c r="Z121">
        <f>U121*J$2+V121*O$2+W121*H$2</f>
        <v/>
      </c>
      <c r="AA121">
        <f>IF(AND(J121&gt;50,I121+J121&gt;75),"SP",IF(2*I121+J121&gt;120,"RP","CRAP"))</f>
        <v/>
      </c>
    </row>
    <row r="122" ht="13.5" customHeight="1" s="27" thickBot="1">
      <c r="A122">
        <f>(V122*V$2+W122*W$2+X122*X$2)*100/(V$4*V$2+W$4*W$2+X$4*X$2)</f>
        <v/>
      </c>
      <c r="B122" s="16" t="n">
        <v>21</v>
      </c>
      <c r="C122" s="10" t="inlineStr">
        <is>
          <t>Lewis, Joe</t>
        </is>
      </c>
      <c r="D122" s="17" t="inlineStr">
        <is>
          <t>SS</t>
        </is>
      </c>
      <c r="E122" s="17" t="inlineStr">
        <is>
          <t>R</t>
        </is>
      </c>
      <c r="F122" s="17" t="inlineStr">
        <is>
          <t>R</t>
        </is>
      </c>
      <c r="G122" s="17" t="n">
        <v>18</v>
      </c>
      <c r="H122" s="17" t="n"/>
      <c r="I122" s="17" t="n"/>
      <c r="J122" s="17" t="n">
        <v>96</v>
      </c>
      <c r="K122" s="17" t="n">
        <v>31</v>
      </c>
      <c r="L122" s="17" t="n">
        <v>21</v>
      </c>
      <c r="M122" s="17" t="n">
        <v>29</v>
      </c>
      <c r="N122" s="17" t="n">
        <v>19</v>
      </c>
      <c r="O122" s="17" t="n">
        <v>13</v>
      </c>
      <c r="P122" s="17" t="n">
        <v>35</v>
      </c>
      <c r="Q122" s="17" t="n">
        <v>53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>
        <f>K$1*(0.000001*K122^3)+L$1*((-0.000002)*L122^3+0.00032*L122^2+(-0.0021)*L122)+M$1*((-0.000002)*M122^3+0.00032*M122^2+(-0.0021)*M122)+N$1*((-0.000002)*N122^3+0.00032*N122^2+(-0.0021)*N122)+O$1*((-0.000002)*O122^3+0.00032*O122^2+(-0.0021)*O122)</f>
        <v/>
      </c>
      <c r="W122" s="5">
        <f>P$1*((-0.000002)*P122^3+0.00032*P122^2+(-0.0021)*P122)+Q$1*((-0.000002)*Q122^3+0.00032*Q122^2+(-0.0021)*Q122)+R$1*((-0.000002)*R122^3+0.00032*R122^2+(-0.0021)*R122)+S$1*((-0.000002)*S122^3+0.00032*S122^2+(-0.0021)*S122)+T$1*((-0.000002)*T122^3+0.00032*T122^2+(-0.0021)*T122)</f>
        <v/>
      </c>
      <c r="X122">
        <f>(I$1*((-0.000002)*I122^3+0.00032*I122^2+(-0.0021)*I122)+J$1*((-0.000002)*J122^3+0.00032*J122^2+(-0.0021)*J122)+H$1*((-0.000002)*H122^3+0.00032*H122^2+(-0.0021)*H122))*(MAX(0.05,MIN(1,(2*J122+I122)/120)*MIN(1,I122/10)*MIN(1,J122/10)))</f>
        <v/>
      </c>
      <c r="Y122" s="5">
        <f>(I$1*((-0.000002)*I122^3+0.00032*I122^2+(-0.0021)*I122)+J$1*((-0.000002)*J122^3+0.00032*J122^2+(-0.0021)*J122)+H$1*((-0.000002)*H122^3+0.00032*H122^2+(-0.0021)*H122))*(MAX(0.05,MIN(1,(2*J122+I122)/120)*MIN(1,I122/10)*MIN(1,J122/10)))</f>
        <v/>
      </c>
      <c r="Z122">
        <f>U122*J$2+V122*O$2+W122*H$2</f>
        <v/>
      </c>
      <c r="AA122">
        <f>IF(AND(J122&gt;50,I122+J122&gt;75),"SP",IF(2*I122+J122&gt;120,"RP","CRAP"))</f>
        <v/>
      </c>
    </row>
    <row r="123" ht="13.5" customHeight="1" s="27" thickBot="1">
      <c r="A123">
        <f>(V123*V$2+W123*W$2+X123*X$2)*100/(V$4*V$2+W$4*W$2+X$4*X$2)</f>
        <v/>
      </c>
      <c r="B123" s="16" t="n">
        <v>185</v>
      </c>
      <c r="C123" s="10" t="inlineStr">
        <is>
          <t>Martinez, Angel</t>
        </is>
      </c>
      <c r="D123" s="17" t="inlineStr">
        <is>
          <t>DH</t>
        </is>
      </c>
      <c r="E123" s="17" t="inlineStr">
        <is>
          <t>R</t>
        </is>
      </c>
      <c r="F123" s="17" t="inlineStr">
        <is>
          <t>R</t>
        </is>
      </c>
      <c r="G123" s="17" t="n">
        <v>18</v>
      </c>
      <c r="H123" s="17" t="n"/>
      <c r="I123" s="17" t="n"/>
      <c r="J123" s="17" t="n">
        <v>61</v>
      </c>
      <c r="K123" s="17" t="n">
        <v>36</v>
      </c>
      <c r="L123" s="17" t="n">
        <v>3</v>
      </c>
      <c r="M123" s="17" t="n">
        <v>16</v>
      </c>
      <c r="N123" s="17" t="n">
        <v>29</v>
      </c>
      <c r="O123" s="17" t="n">
        <v>15</v>
      </c>
      <c r="P123" s="17" t="n">
        <v>31</v>
      </c>
      <c r="Q123" s="17" t="n">
        <v>67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>
        <f>K$1*(0.000001*K123^3)+L$1*((-0.000002)*L123^3+0.00032*L123^2+(-0.0021)*L123)+M$1*((-0.000002)*M123^3+0.00032*M123^2+(-0.0021)*M123)+N$1*((-0.000002)*N123^3+0.00032*N123^2+(-0.0021)*N123)+O$1*((-0.000002)*O123^3+0.00032*O123^2+(-0.0021)*O123)</f>
        <v/>
      </c>
      <c r="W123" s="5">
        <f>P$1*((-0.000002)*P123^3+0.00032*P123^2+(-0.0021)*P123)+Q$1*((-0.000002)*Q123^3+0.00032*Q123^2+(-0.0021)*Q123)+R$1*((-0.000002)*R123^3+0.00032*R123^2+(-0.0021)*R123)+S$1*((-0.000002)*S123^3+0.00032*S123^2+(-0.0021)*S123)+T$1*((-0.000002)*T123^3+0.00032*T123^2+(-0.0021)*T123)</f>
        <v/>
      </c>
      <c r="X123">
        <f>(I$1*((-0.000002)*I123^3+0.00032*I123^2+(-0.0021)*I123)+J$1*((-0.000002)*J123^3+0.00032*J123^2+(-0.0021)*J123)+H$1*((-0.000002)*H123^3+0.00032*H123^2+(-0.0021)*H123))*(MAX(0.05,MIN(1,(2*J123+I123)/120)*MIN(1,I123/10)*MIN(1,J123/10)))</f>
        <v/>
      </c>
      <c r="Y123" s="5">
        <f>(I$1*((-0.000002)*I123^3+0.00032*I123^2+(-0.0021)*I123)+J$1*((-0.000002)*J123^3+0.00032*J123^2+(-0.0021)*J123)+H$1*((-0.000002)*H123^3+0.00032*H123^2+(-0.0021)*H123))*(MAX(0.05,MIN(1,(2*J123+I123)/120)*MIN(1,I123/10)*MIN(1,J123/10)))</f>
        <v/>
      </c>
      <c r="Z123">
        <f>U123*J$2+V123*O$2+W123*H$2</f>
        <v/>
      </c>
      <c r="AA123">
        <f>IF(AND(J123&gt;50,I123+J123&gt;75),"SP",IF(2*I123+J123&gt;120,"RP","CRAP"))</f>
        <v/>
      </c>
    </row>
    <row r="124" ht="13.5" customHeight="1" s="27" thickBot="1">
      <c r="A124">
        <f>(V124*V$2+W124*W$2+X124*X$2)*100/(V$4*V$2+W$4*W$2+X$4*X$2)</f>
        <v/>
      </c>
      <c r="B124" s="18" t="n">
        <v>124</v>
      </c>
      <c r="C124" s="11" t="inlineStr">
        <is>
          <t>Jenkins, Chaz</t>
        </is>
      </c>
      <c r="D124" s="19" t="inlineStr">
        <is>
          <t>2B</t>
        </is>
      </c>
      <c r="E124" s="19" t="inlineStr">
        <is>
          <t>L</t>
        </is>
      </c>
      <c r="F124" s="19" t="inlineStr">
        <is>
          <t>R</t>
        </is>
      </c>
      <c r="G124" s="19" t="n">
        <v>18</v>
      </c>
      <c r="H124" s="19" t="n"/>
      <c r="I124" s="19" t="n"/>
      <c r="J124" s="19" t="n">
        <v>86</v>
      </c>
      <c r="K124" s="19" t="n">
        <v>15</v>
      </c>
      <c r="L124" s="19" t="n">
        <v>0</v>
      </c>
      <c r="M124" s="19" t="n">
        <v>7</v>
      </c>
      <c r="N124" s="19" t="n">
        <v>21</v>
      </c>
      <c r="O124" s="19" t="n">
        <v>5</v>
      </c>
      <c r="P124" s="19" t="n">
        <v>55</v>
      </c>
      <c r="Q124" s="19" t="n">
        <v>60</v>
      </c>
      <c r="R124" s="19" t="n">
        <v>0</v>
      </c>
      <c r="S124" s="19" t="n">
        <v>0</v>
      </c>
      <c r="T124" s="19" t="n">
        <v>0</v>
      </c>
      <c r="U124" s="19" t="n">
        <v>0</v>
      </c>
      <c r="V124" s="19">
        <f>K$1*(0.000001*K124^3)+L$1*((-0.000002)*L124^3+0.00032*L124^2+(-0.0021)*L124)+M$1*((-0.000002)*M124^3+0.00032*M124^2+(-0.0021)*M124)+N$1*((-0.000002)*N124^3+0.00032*N124^2+(-0.0021)*N124)+O$1*((-0.000002)*O124^3+0.00032*O124^2+(-0.0021)*O124)</f>
        <v/>
      </c>
      <c r="W124" s="5">
        <f>P$1*((-0.000002)*P124^3+0.00032*P124^2+(-0.0021)*P124)+Q$1*((-0.000002)*Q124^3+0.00032*Q124^2+(-0.0021)*Q124)+R$1*((-0.000002)*R124^3+0.00032*R124^2+(-0.0021)*R124)+S$1*((-0.000002)*S124^3+0.00032*S124^2+(-0.0021)*S124)+T$1*((-0.000002)*T124^3+0.00032*T124^2+(-0.0021)*T124)</f>
        <v/>
      </c>
      <c r="X124">
        <f>(I$1*((-0.000002)*I124^3+0.00032*I124^2+(-0.0021)*I124)+J$1*((-0.000002)*J124^3+0.00032*J124^2+(-0.0021)*J124)+H$1*((-0.000002)*H124^3+0.00032*H124^2+(-0.0021)*H124))*(MAX(0.05,MIN(1,(2*J124+I124)/120)*MIN(1,I124/10)*MIN(1,J124/10)))</f>
        <v/>
      </c>
      <c r="Y124" s="5">
        <f>(I$1*((-0.000002)*I124^3+0.00032*I124^2+(-0.0021)*I124)+J$1*((-0.000002)*J124^3+0.00032*J124^2+(-0.0021)*J124)+H$1*((-0.000002)*H124^3+0.00032*H124^2+(-0.0021)*H124))*(MAX(0.05,MIN(1,(2*J124+I124)/120)*MIN(1,I124/10)*MIN(1,J124/10)))</f>
        <v/>
      </c>
      <c r="Z124">
        <f>U124*J$2+V124*O$2+W124*H$2</f>
        <v/>
      </c>
      <c r="AA124">
        <f>IF(AND(J124&gt;50,I124+J124&gt;75),"SP",IF(2*I124+J124&gt;120,"RP","CRAP"))</f>
        <v/>
      </c>
    </row>
    <row r="125" ht="13.5" customHeight="1" s="27" thickBot="1">
      <c r="A125">
        <f>(V125*V$2+W125*W$2+X125*X$2)*100/(V$4*V$2+W$4*W$2+X$4*X$2)</f>
        <v/>
      </c>
      <c r="B125" s="16" t="n">
        <v>59</v>
      </c>
      <c r="C125" s="10" t="inlineStr">
        <is>
          <t>Maduro, Branden</t>
        </is>
      </c>
      <c r="D125" s="17" t="inlineStr">
        <is>
          <t>2B</t>
        </is>
      </c>
      <c r="E125" s="17" t="inlineStr">
        <is>
          <t>L</t>
        </is>
      </c>
      <c r="F125" s="17" t="inlineStr">
        <is>
          <t>R</t>
        </is>
      </c>
      <c r="G125" s="17" t="n">
        <v>18</v>
      </c>
      <c r="H125" s="17" t="n"/>
      <c r="I125" s="17" t="n"/>
      <c r="J125" s="17" t="n">
        <v>95</v>
      </c>
      <c r="K125" s="17" t="n">
        <v>14</v>
      </c>
      <c r="L125" s="17" t="n">
        <v>7</v>
      </c>
      <c r="M125" s="17" t="n">
        <v>24</v>
      </c>
      <c r="N125" s="17" t="n">
        <v>17</v>
      </c>
      <c r="O125" s="17" t="n">
        <v>0</v>
      </c>
      <c r="P125" s="17" t="n">
        <v>30</v>
      </c>
      <c r="Q125" s="17" t="n">
        <v>85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>
        <f>K$1*(0.000001*K125^3)+L$1*((-0.000002)*L125^3+0.00032*L125^2+(-0.0021)*L125)+M$1*((-0.000002)*M125^3+0.00032*M125^2+(-0.0021)*M125)+N$1*((-0.000002)*N125^3+0.00032*N125^2+(-0.0021)*N125)+O$1*((-0.000002)*O125^3+0.00032*O125^2+(-0.0021)*O125)</f>
        <v/>
      </c>
      <c r="W125" s="5">
        <f>P$1*((-0.000002)*P125^3+0.00032*P125^2+(-0.0021)*P125)+Q$1*((-0.000002)*Q125^3+0.00032*Q125^2+(-0.0021)*Q125)+R$1*((-0.000002)*R125^3+0.00032*R125^2+(-0.0021)*R125)+S$1*((-0.000002)*S125^3+0.00032*S125^2+(-0.0021)*S125)+T$1*((-0.000002)*T125^3+0.00032*T125^2+(-0.0021)*T125)</f>
        <v/>
      </c>
      <c r="X125">
        <f>(I$1*((-0.000002)*I125^3+0.00032*I125^2+(-0.0021)*I125)+J$1*((-0.000002)*J125^3+0.00032*J125^2+(-0.0021)*J125)+H$1*((-0.000002)*H125^3+0.00032*H125^2+(-0.0021)*H125))*(MAX(0.05,MIN(1,(2*J125+I125)/120)*MIN(1,I125/10)*MIN(1,J125/10)))</f>
        <v/>
      </c>
      <c r="Y125" s="5">
        <f>(I$1*((-0.000002)*I125^3+0.00032*I125^2+(-0.0021)*I125)+J$1*((-0.000002)*J125^3+0.00032*J125^2+(-0.0021)*J125)+H$1*((-0.000002)*H125^3+0.00032*H125^2+(-0.0021)*H125))*(MAX(0.05,MIN(1,(2*J125+I125)/120)*MIN(1,I125/10)*MIN(1,J125/10)))</f>
        <v/>
      </c>
      <c r="Z125">
        <f>U125*J$2+V125*O$2+W125*H$2</f>
        <v/>
      </c>
      <c r="AA125">
        <f>IF(AND(J125&gt;50,I125+J125&gt;75),"SP",IF(2*I125+J125&gt;120,"RP","CRAP"))</f>
        <v/>
      </c>
    </row>
    <row r="126" ht="13.5" customHeight="1" s="27" thickBot="1">
      <c r="A126">
        <f>(V126*V$2+W126*W$2+X126*X$2)*100/(V$4*V$2+W$4*W$2+X$4*X$2)</f>
        <v/>
      </c>
      <c r="B126" s="18" t="n">
        <v>98</v>
      </c>
      <c r="C126" s="11" t="inlineStr">
        <is>
          <t>Ward, Ken</t>
        </is>
      </c>
      <c r="D126" s="19" t="inlineStr">
        <is>
          <t>C</t>
        </is>
      </c>
      <c r="E126" s="19" t="inlineStr">
        <is>
          <t>L</t>
        </is>
      </c>
      <c r="F126" s="19" t="inlineStr">
        <is>
          <t>R</t>
        </is>
      </c>
      <c r="G126" s="19" t="n">
        <v>19</v>
      </c>
      <c r="H126" s="19" t="n"/>
      <c r="I126" s="19" t="n"/>
      <c r="J126" s="19" t="n">
        <v>76</v>
      </c>
      <c r="K126" s="19" t="n">
        <v>30</v>
      </c>
      <c r="L126" s="19" t="n">
        <v>2</v>
      </c>
      <c r="M126" s="19" t="n">
        <v>24</v>
      </c>
      <c r="N126" s="19" t="n">
        <v>22</v>
      </c>
      <c r="O126" s="19" t="n">
        <v>2</v>
      </c>
      <c r="P126" s="19" t="n">
        <v>32</v>
      </c>
      <c r="Q126" s="19" t="n">
        <v>66</v>
      </c>
      <c r="R126" s="19" t="n">
        <v>0</v>
      </c>
      <c r="S126" s="19" t="n">
        <v>0</v>
      </c>
      <c r="T126" s="19" t="n">
        <v>0</v>
      </c>
      <c r="U126" s="19" t="n">
        <v>0</v>
      </c>
      <c r="V126" s="19">
        <f>K$1*(0.000001*K126^3)+L$1*((-0.000002)*L126^3+0.00032*L126^2+(-0.0021)*L126)+M$1*((-0.000002)*M126^3+0.00032*M126^2+(-0.0021)*M126)+N$1*((-0.000002)*N126^3+0.00032*N126^2+(-0.0021)*N126)+O$1*((-0.000002)*O126^3+0.00032*O126^2+(-0.0021)*O126)</f>
        <v/>
      </c>
      <c r="W126" s="5">
        <f>P$1*((-0.000002)*P126^3+0.00032*P126^2+(-0.0021)*P126)+Q$1*((-0.000002)*Q126^3+0.00032*Q126^2+(-0.0021)*Q126)+R$1*((-0.000002)*R126^3+0.00032*R126^2+(-0.0021)*R126)+S$1*((-0.000002)*S126^3+0.00032*S126^2+(-0.0021)*S126)+T$1*((-0.000002)*T126^3+0.00032*T126^2+(-0.0021)*T126)</f>
        <v/>
      </c>
      <c r="X126">
        <f>(I$1*((-0.000002)*I126^3+0.00032*I126^2+(-0.0021)*I126)+J$1*((-0.000002)*J126^3+0.00032*J126^2+(-0.0021)*J126)+H$1*((-0.000002)*H126^3+0.00032*H126^2+(-0.0021)*H126))*(MAX(0.05,MIN(1,(2*J126+I126)/120)*MIN(1,I126/10)*MIN(1,J126/10)))</f>
        <v/>
      </c>
      <c r="Y126" s="5">
        <f>(I$1*((-0.000002)*I126^3+0.00032*I126^2+(-0.0021)*I126)+J$1*((-0.000002)*J126^3+0.00032*J126^2+(-0.0021)*J126)+H$1*((-0.000002)*H126^3+0.00032*H126^2+(-0.0021)*H126))*(MAX(0.05,MIN(1,(2*J126+I126)/120)*MIN(1,I126/10)*MIN(1,J126/10)))</f>
        <v/>
      </c>
      <c r="Z126">
        <f>U126*J$2+V126*O$2+W126*H$2</f>
        <v/>
      </c>
      <c r="AA126">
        <f>IF(AND(J126&gt;50,I126+J126&gt;75),"SP",IF(2*I126+J126&gt;120,"RP","CRAP"))</f>
        <v/>
      </c>
    </row>
    <row r="127" ht="13.5" customHeight="1" s="27" thickBot="1">
      <c r="A127">
        <f>(V127*V$2+W127*W$2+X127*X$2)*100/(V$4*V$2+W$4*W$2+X$4*X$2)</f>
        <v/>
      </c>
      <c r="B127" s="18" t="n">
        <v>90</v>
      </c>
      <c r="C127" s="11" t="inlineStr">
        <is>
          <t>Bridges, Luther</t>
        </is>
      </c>
      <c r="D127" s="19" t="inlineStr">
        <is>
          <t>3B</t>
        </is>
      </c>
      <c r="E127" s="19" t="inlineStr">
        <is>
          <t>R</t>
        </is>
      </c>
      <c r="F127" s="19" t="inlineStr">
        <is>
          <t>R</t>
        </is>
      </c>
      <c r="G127" s="19" t="n">
        <v>18</v>
      </c>
      <c r="H127" s="19" t="n"/>
      <c r="I127" s="19" t="n"/>
      <c r="J127" s="19" t="n">
        <v>87</v>
      </c>
      <c r="K127" s="19" t="n">
        <v>43</v>
      </c>
      <c r="L127" s="19" t="n">
        <v>13</v>
      </c>
      <c r="M127" s="19" t="n">
        <v>0</v>
      </c>
      <c r="N127" s="19" t="n">
        <v>6</v>
      </c>
      <c r="O127" s="19" t="n">
        <v>6</v>
      </c>
      <c r="P127" s="19" t="n">
        <v>28</v>
      </c>
      <c r="Q127" s="19" t="n">
        <v>71</v>
      </c>
      <c r="R127" s="19" t="n">
        <v>0</v>
      </c>
      <c r="S127" s="19" t="n">
        <v>0</v>
      </c>
      <c r="T127" s="19" t="n">
        <v>0</v>
      </c>
      <c r="U127" s="19" t="n">
        <v>0</v>
      </c>
      <c r="V127" s="19">
        <f>K$1*(0.000001*K127^3)+L$1*((-0.000002)*L127^3+0.00032*L127^2+(-0.0021)*L127)+M$1*((-0.000002)*M127^3+0.00032*M127^2+(-0.0021)*M127)+N$1*((-0.000002)*N127^3+0.00032*N127^2+(-0.0021)*N127)+O$1*((-0.000002)*O127^3+0.00032*O127^2+(-0.0021)*O127)</f>
        <v/>
      </c>
      <c r="W127" s="5">
        <f>P$1*((-0.000002)*P127^3+0.00032*P127^2+(-0.0021)*P127)+Q$1*((-0.000002)*Q127^3+0.00032*Q127^2+(-0.0021)*Q127)+R$1*((-0.000002)*R127^3+0.00032*R127^2+(-0.0021)*R127)+S$1*((-0.000002)*S127^3+0.00032*S127^2+(-0.0021)*S127)+T$1*((-0.000002)*T127^3+0.00032*T127^2+(-0.0021)*T127)</f>
        <v/>
      </c>
      <c r="X127">
        <f>(I$1*((-0.000002)*I127^3+0.00032*I127^2+(-0.0021)*I127)+J$1*((-0.000002)*J127^3+0.00032*J127^2+(-0.0021)*J127)+H$1*((-0.000002)*H127^3+0.00032*H127^2+(-0.0021)*H127))*(MAX(0.05,MIN(1,(2*J127+I127)/120)*MIN(1,I127/10)*MIN(1,J127/10)))</f>
        <v/>
      </c>
      <c r="Y127" s="5">
        <f>(I$1*((-0.000002)*I127^3+0.00032*I127^2+(-0.0021)*I127)+J$1*((-0.000002)*J127^3+0.00032*J127^2+(-0.0021)*J127)+H$1*((-0.000002)*H127^3+0.00032*H127^2+(-0.0021)*H127))*(MAX(0.05,MIN(1,(2*J127+I127)/120)*MIN(1,I127/10)*MIN(1,J127/10)))</f>
        <v/>
      </c>
      <c r="Z127">
        <f>U127*J$2+V127*O$2+W127*H$2</f>
        <v/>
      </c>
      <c r="AA127">
        <f>IF(AND(J127&gt;50,I127+J127&gt;75),"SP",IF(2*I127+J127&gt;120,"RP","CRAP"))</f>
        <v/>
      </c>
    </row>
    <row r="128" ht="13.5" customHeight="1" s="27" thickBot="1">
      <c r="A128">
        <f>(V128*V$2+W128*W$2+X128*X$2)*100/(V$4*V$2+W$4*W$2+X$4*X$2)</f>
        <v/>
      </c>
      <c r="B128" s="16" t="n">
        <v>129</v>
      </c>
      <c r="C128" s="10" t="inlineStr">
        <is>
          <t>Delcarmen, Richie</t>
        </is>
      </c>
      <c r="D128" s="17" t="inlineStr">
        <is>
          <t>RF</t>
        </is>
      </c>
      <c r="E128" s="17" t="inlineStr">
        <is>
          <t>R</t>
        </is>
      </c>
      <c r="F128" s="17" t="inlineStr">
        <is>
          <t>R</t>
        </is>
      </c>
      <c r="G128" s="17" t="n">
        <v>18</v>
      </c>
      <c r="H128" s="17" t="n"/>
      <c r="I128" s="17" t="n"/>
      <c r="J128" s="17" t="n">
        <v>84</v>
      </c>
      <c r="K128" s="17" t="n">
        <v>22</v>
      </c>
      <c r="L128" s="17" t="n">
        <v>6</v>
      </c>
      <c r="M128" s="17" t="n">
        <v>10</v>
      </c>
      <c r="N128" s="17" t="n">
        <v>14</v>
      </c>
      <c r="O128" s="17" t="n">
        <v>1</v>
      </c>
      <c r="P128" s="17" t="n">
        <v>25</v>
      </c>
      <c r="Q128" s="17" t="n">
        <v>92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>
        <f>K$1*(0.000001*K128^3)+L$1*((-0.000002)*L128^3+0.00032*L128^2+(-0.0021)*L128)+M$1*((-0.000002)*M128^3+0.00032*M128^2+(-0.0021)*M128)+N$1*((-0.000002)*N128^3+0.00032*N128^2+(-0.0021)*N128)+O$1*((-0.000002)*O128^3+0.00032*O128^2+(-0.0021)*O128)</f>
        <v/>
      </c>
      <c r="W128" s="5">
        <f>P$1*((-0.000002)*P128^3+0.00032*P128^2+(-0.0021)*P128)+Q$1*((-0.000002)*Q128^3+0.00032*Q128^2+(-0.0021)*Q128)+R$1*((-0.000002)*R128^3+0.00032*R128^2+(-0.0021)*R128)+S$1*((-0.000002)*S128^3+0.00032*S128^2+(-0.0021)*S128)+T$1*((-0.000002)*T128^3+0.00032*T128^2+(-0.0021)*T128)</f>
        <v/>
      </c>
      <c r="X128">
        <f>(I$1*((-0.000002)*I128^3+0.00032*I128^2+(-0.0021)*I128)+J$1*((-0.000002)*J128^3+0.00032*J128^2+(-0.0021)*J128)+H$1*((-0.000002)*H128^3+0.00032*H128^2+(-0.0021)*H128))*(MAX(0.05,MIN(1,(2*J128+I128)/120)*MIN(1,I128/10)*MIN(1,J128/10)))</f>
        <v/>
      </c>
      <c r="Y128" s="5">
        <f>(I$1*((-0.000002)*I128^3+0.00032*I128^2+(-0.0021)*I128)+J$1*((-0.000002)*J128^3+0.00032*J128^2+(-0.0021)*J128)+H$1*((-0.000002)*H128^3+0.00032*H128^2+(-0.0021)*H128))*(MAX(0.05,MIN(1,(2*J128+I128)/120)*MIN(1,I128/10)*MIN(1,J128/10)))</f>
        <v/>
      </c>
      <c r="Z128">
        <f>U128*J$2+V128*O$2+W128*H$2</f>
        <v/>
      </c>
      <c r="AA128">
        <f>IF(AND(J128&gt;50,I128+J128&gt;75),"SP",IF(2*I128+J128&gt;120,"RP","CRAP"))</f>
        <v/>
      </c>
    </row>
    <row r="129" ht="13.5" customHeight="1" s="27" thickBot="1">
      <c r="A129">
        <f>(V129*V$2+W129*W$2+X129*X$2)*100/(V$4*V$2+W$4*W$2+X$4*X$2)</f>
        <v/>
      </c>
      <c r="B129" s="18" t="n">
        <v>8</v>
      </c>
      <c r="C129" s="11" t="inlineStr">
        <is>
          <t>Yount, Phillip</t>
        </is>
      </c>
      <c r="D129" s="19" t="inlineStr">
        <is>
          <t>2B</t>
        </is>
      </c>
      <c r="E129" s="19" t="inlineStr">
        <is>
          <t>R</t>
        </is>
      </c>
      <c r="F129" s="19" t="inlineStr">
        <is>
          <t>R</t>
        </is>
      </c>
      <c r="G129" s="19" t="n">
        <v>18</v>
      </c>
      <c r="H129" s="19" t="n"/>
      <c r="I129" s="19" t="n"/>
      <c r="J129" s="19" t="n">
        <v>96</v>
      </c>
      <c r="K129" s="19" t="n">
        <v>35</v>
      </c>
      <c r="L129" s="19" t="n">
        <v>18</v>
      </c>
      <c r="M129" s="19" t="n">
        <v>8</v>
      </c>
      <c r="N129" s="19" t="n">
        <v>5</v>
      </c>
      <c r="O129" s="19" t="n">
        <v>8</v>
      </c>
      <c r="P129" s="19" t="n">
        <v>37</v>
      </c>
      <c r="Q129" s="19" t="n">
        <v>58</v>
      </c>
      <c r="R129" s="19" t="n">
        <v>0</v>
      </c>
      <c r="S129" s="19" t="n">
        <v>0</v>
      </c>
      <c r="T129" s="19" t="n">
        <v>0</v>
      </c>
      <c r="U129" s="19" t="n">
        <v>0</v>
      </c>
      <c r="V129" s="19">
        <f>K$1*(0.000001*K129^3)+L$1*((-0.000002)*L129^3+0.00032*L129^2+(-0.0021)*L129)+M$1*((-0.000002)*M129^3+0.00032*M129^2+(-0.0021)*M129)+N$1*((-0.000002)*N129^3+0.00032*N129^2+(-0.0021)*N129)+O$1*((-0.000002)*O129^3+0.00032*O129^2+(-0.0021)*O129)</f>
        <v/>
      </c>
      <c r="W129" s="5">
        <f>P$1*((-0.000002)*P129^3+0.00032*P129^2+(-0.0021)*P129)+Q$1*((-0.000002)*Q129^3+0.00032*Q129^2+(-0.0021)*Q129)+R$1*((-0.000002)*R129^3+0.00032*R129^2+(-0.0021)*R129)+S$1*((-0.000002)*S129^3+0.00032*S129^2+(-0.0021)*S129)+T$1*((-0.000002)*T129^3+0.00032*T129^2+(-0.0021)*T129)</f>
        <v/>
      </c>
      <c r="X129">
        <f>(I$1*((-0.000002)*I129^3+0.00032*I129^2+(-0.0021)*I129)+J$1*((-0.000002)*J129^3+0.00032*J129^2+(-0.0021)*J129)+H$1*((-0.000002)*H129^3+0.00032*H129^2+(-0.0021)*H129))*(MAX(0.05,MIN(1,(2*J129+I129)/120)*MIN(1,I129/10)*MIN(1,J129/10)))</f>
        <v/>
      </c>
      <c r="Y129" s="5">
        <f>(I$1*((-0.000002)*I129^3+0.00032*I129^2+(-0.0021)*I129)+J$1*((-0.000002)*J129^3+0.00032*J129^2+(-0.0021)*J129)+H$1*((-0.000002)*H129^3+0.00032*H129^2+(-0.0021)*H129))*(MAX(0.05,MIN(1,(2*J129+I129)/120)*MIN(1,I129/10)*MIN(1,J129/10)))</f>
        <v/>
      </c>
      <c r="Z129">
        <f>U129*J$2+V129*O$2+W129*H$2</f>
        <v/>
      </c>
      <c r="AA129">
        <f>IF(AND(J129&gt;50,I129+J129&gt;75),"SP",IF(2*I129+J129&gt;120,"RP","CRAP"))</f>
        <v/>
      </c>
    </row>
    <row r="130" ht="13.5" customHeight="1" s="27" thickBot="1">
      <c r="A130">
        <f>(V130*V$2+W130*W$2+X130*X$2)*100/(V$4*V$2+W$4*W$2+X$4*X$2)</f>
        <v/>
      </c>
      <c r="B130" s="16" t="n">
        <v>189</v>
      </c>
      <c r="C130" s="10" t="inlineStr">
        <is>
          <t>Hernandez, Dale</t>
        </is>
      </c>
      <c r="D130" s="17" t="inlineStr">
        <is>
          <t>DH</t>
        </is>
      </c>
      <c r="E130" s="17" t="inlineStr">
        <is>
          <t>R</t>
        </is>
      </c>
      <c r="F130" s="17" t="inlineStr">
        <is>
          <t>R</t>
        </is>
      </c>
      <c r="G130" s="17" t="n">
        <v>18</v>
      </c>
      <c r="H130" s="17" t="n"/>
      <c r="I130" s="17" t="n"/>
      <c r="J130" s="17" t="n">
        <v>95</v>
      </c>
      <c r="K130" s="17" t="n">
        <v>30</v>
      </c>
      <c r="L130" s="17" t="n">
        <v>19</v>
      </c>
      <c r="M130" s="17" t="n">
        <v>7</v>
      </c>
      <c r="N130" s="17" t="n">
        <v>0</v>
      </c>
      <c r="O130" s="17" t="n">
        <v>12</v>
      </c>
      <c r="P130" s="17" t="n">
        <v>22</v>
      </c>
      <c r="Q130" s="17" t="n">
        <v>75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>
        <f>K$1*(0.000001*K130^3)+L$1*((-0.000002)*L130^3+0.00032*L130^2+(-0.0021)*L130)+M$1*((-0.000002)*M130^3+0.00032*M130^2+(-0.0021)*M130)+N$1*((-0.000002)*N130^3+0.00032*N130^2+(-0.0021)*N130)+O$1*((-0.000002)*O130^3+0.00032*O130^2+(-0.0021)*O130)</f>
        <v/>
      </c>
      <c r="W130" s="5">
        <f>P$1*((-0.000002)*P130^3+0.00032*P130^2+(-0.0021)*P130)+Q$1*((-0.000002)*Q130^3+0.00032*Q130^2+(-0.0021)*Q130)+R$1*((-0.000002)*R130^3+0.00032*R130^2+(-0.0021)*R130)+S$1*((-0.000002)*S130^3+0.00032*S130^2+(-0.0021)*S130)+T$1*((-0.000002)*T130^3+0.00032*T130^2+(-0.0021)*T130)</f>
        <v/>
      </c>
      <c r="X130">
        <f>(I$1*((-0.000002)*I130^3+0.00032*I130^2+(-0.0021)*I130)+J$1*((-0.000002)*J130^3+0.00032*J130^2+(-0.0021)*J130)+H$1*((-0.000002)*H130^3+0.00032*H130^2+(-0.0021)*H130))*(MAX(0.05,MIN(1,(2*J130+I130)/120)*MIN(1,I130/10)*MIN(1,J130/10)))</f>
        <v/>
      </c>
      <c r="Y130" s="5">
        <f>(I$1*((-0.000002)*I130^3+0.00032*I130^2+(-0.0021)*I130)+J$1*((-0.000002)*J130^3+0.00032*J130^2+(-0.0021)*J130)+H$1*((-0.000002)*H130^3+0.00032*H130^2+(-0.0021)*H130))*(MAX(0.05,MIN(1,(2*J130+I130)/120)*MIN(1,I130/10)*MIN(1,J130/10)))</f>
        <v/>
      </c>
      <c r="Z130">
        <f>U130*J$2+V130*O$2+W130*H$2</f>
        <v/>
      </c>
      <c r="AA130">
        <f>IF(AND(J130&gt;50,I130+J130&gt;75),"SP",IF(2*I130+J130&gt;120,"RP","CRAP"))</f>
        <v/>
      </c>
    </row>
    <row r="131" ht="13.5" customHeight="1" s="27" thickBot="1">
      <c r="A131">
        <f>(V131*V$2+W131*W$2+X131*X$2)*100/(V$4*V$2+W$4*W$2+X$4*X$2)</f>
        <v/>
      </c>
      <c r="B131" s="16" t="n">
        <v>15</v>
      </c>
      <c r="C131" s="10" t="inlineStr">
        <is>
          <t>Romero, Sam</t>
        </is>
      </c>
      <c r="D131" s="17" t="inlineStr">
        <is>
          <t>C</t>
        </is>
      </c>
      <c r="E131" s="17" t="inlineStr">
        <is>
          <t>R</t>
        </is>
      </c>
      <c r="F131" s="17" t="inlineStr">
        <is>
          <t>R</t>
        </is>
      </c>
      <c r="G131" s="17" t="n">
        <v>20</v>
      </c>
      <c r="H131" s="17" t="n"/>
      <c r="I131" s="17" t="n"/>
      <c r="J131" s="17" t="n">
        <v>98</v>
      </c>
      <c r="K131" s="17" t="n">
        <v>45</v>
      </c>
      <c r="L131" s="17" t="n">
        <v>17</v>
      </c>
      <c r="M131" s="17" t="n">
        <v>7</v>
      </c>
      <c r="N131" s="17" t="n">
        <v>3</v>
      </c>
      <c r="O131" s="17" t="n">
        <v>4</v>
      </c>
      <c r="P131" s="17" t="n">
        <v>29</v>
      </c>
      <c r="Q131" s="17" t="n">
        <v>59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>
        <f>K$1*(0.000001*K131^3)+L$1*((-0.000002)*L131^3+0.00032*L131^2+(-0.0021)*L131)+M$1*((-0.000002)*M131^3+0.00032*M131^2+(-0.0021)*M131)+N$1*((-0.000002)*N131^3+0.00032*N131^2+(-0.0021)*N131)+O$1*((-0.000002)*O131^3+0.00032*O131^2+(-0.0021)*O131)</f>
        <v/>
      </c>
      <c r="W131" s="5">
        <f>P$1*((-0.000002)*P131^3+0.00032*P131^2+(-0.0021)*P131)+Q$1*((-0.000002)*Q131^3+0.00032*Q131^2+(-0.0021)*Q131)+R$1*((-0.000002)*R131^3+0.00032*R131^2+(-0.0021)*R131)+S$1*((-0.000002)*S131^3+0.00032*S131^2+(-0.0021)*S131)+T$1*((-0.000002)*T131^3+0.00032*T131^2+(-0.0021)*T131)</f>
        <v/>
      </c>
      <c r="X131">
        <f>(I$1*((-0.000002)*I131^3+0.00032*I131^2+(-0.0021)*I131)+J$1*((-0.000002)*J131^3+0.00032*J131^2+(-0.0021)*J131)+H$1*((-0.000002)*H131^3+0.00032*H131^2+(-0.0021)*H131))*(MAX(0.05,MIN(1,(2*J131+I131)/120)*MIN(1,I131/10)*MIN(1,J131/10)))</f>
        <v/>
      </c>
      <c r="Y131" s="5">
        <f>(I$1*((-0.000002)*I131^3+0.00032*I131^2+(-0.0021)*I131)+J$1*((-0.000002)*J131^3+0.00032*J131^2+(-0.0021)*J131)+H$1*((-0.000002)*H131^3+0.00032*H131^2+(-0.0021)*H131))*(MAX(0.05,MIN(1,(2*J131+I131)/120)*MIN(1,I131/10)*MIN(1,J131/10)))</f>
        <v/>
      </c>
      <c r="Z131">
        <f>U131*J$2+V131*O$2+W131*H$2</f>
        <v/>
      </c>
      <c r="AA131">
        <f>IF(AND(J131&gt;50,I131+J131&gt;75),"SP",IF(2*I131+J131&gt;120,"RP","CRAP"))</f>
        <v/>
      </c>
    </row>
    <row r="132" ht="13.5" customHeight="1" s="27" thickBot="1">
      <c r="A132">
        <f>(V132*V$2+W132*W$2+X132*X$2)*100/(V$4*V$2+W$4*W$2+X$4*X$2)</f>
        <v/>
      </c>
      <c r="B132" s="18" t="n">
        <v>10</v>
      </c>
      <c r="C132" s="11" t="inlineStr">
        <is>
          <t>Henley, Chris</t>
        </is>
      </c>
      <c r="D132" s="19" t="inlineStr">
        <is>
          <t>RF</t>
        </is>
      </c>
      <c r="E132" s="19" t="inlineStr">
        <is>
          <t>S</t>
        </is>
      </c>
      <c r="F132" s="19" t="inlineStr">
        <is>
          <t>L</t>
        </is>
      </c>
      <c r="G132" s="19" t="n">
        <v>18</v>
      </c>
      <c r="H132" s="19" t="n"/>
      <c r="I132" s="19" t="n"/>
      <c r="J132" s="19" t="n">
        <v>81</v>
      </c>
      <c r="K132" s="19" t="n">
        <v>21</v>
      </c>
      <c r="L132" s="19" t="n">
        <v>3</v>
      </c>
      <c r="M132" s="19" t="n">
        <v>0</v>
      </c>
      <c r="N132" s="19" t="n">
        <v>0</v>
      </c>
      <c r="O132" s="19" t="n">
        <v>26</v>
      </c>
      <c r="P132" s="19" t="n">
        <v>36</v>
      </c>
      <c r="Q132" s="19" t="n">
        <v>76</v>
      </c>
      <c r="R132" s="19" t="n">
        <v>0</v>
      </c>
      <c r="S132" s="19" t="n">
        <v>0</v>
      </c>
      <c r="T132" s="19" t="n">
        <v>0</v>
      </c>
      <c r="U132" s="19" t="n">
        <v>0</v>
      </c>
      <c r="V132" s="19">
        <f>K$1*(0.000001*K132^3)+L$1*((-0.000002)*L132^3+0.00032*L132^2+(-0.0021)*L132)+M$1*((-0.000002)*M132^3+0.00032*M132^2+(-0.0021)*M132)+N$1*((-0.000002)*N132^3+0.00032*N132^2+(-0.0021)*N132)+O$1*((-0.000002)*O132^3+0.00032*O132^2+(-0.0021)*O132)</f>
        <v/>
      </c>
      <c r="W132" s="5">
        <f>P$1*((-0.000002)*P132^3+0.00032*P132^2+(-0.0021)*P132)+Q$1*((-0.000002)*Q132^3+0.00032*Q132^2+(-0.0021)*Q132)+R$1*((-0.000002)*R132^3+0.00032*R132^2+(-0.0021)*R132)+S$1*((-0.000002)*S132^3+0.00032*S132^2+(-0.0021)*S132)+T$1*((-0.000002)*T132^3+0.00032*T132^2+(-0.0021)*T132)</f>
        <v/>
      </c>
      <c r="X132">
        <f>(I$1*((-0.000002)*I132^3+0.00032*I132^2+(-0.0021)*I132)+J$1*((-0.000002)*J132^3+0.00032*J132^2+(-0.0021)*J132)+H$1*((-0.000002)*H132^3+0.00032*H132^2+(-0.0021)*H132))*(MAX(0.05,MIN(1,(2*J132+I132)/120)*MIN(1,I132/10)*MIN(1,J132/10)))</f>
        <v/>
      </c>
      <c r="Y132" s="5">
        <f>(I$1*((-0.000002)*I132^3+0.00032*I132^2+(-0.0021)*I132)+J$1*((-0.000002)*J132^3+0.00032*J132^2+(-0.0021)*J132)+H$1*((-0.000002)*H132^3+0.00032*H132^2+(-0.0021)*H132))*(MAX(0.05,MIN(1,(2*J132+I132)/120)*MIN(1,I132/10)*MIN(1,J132/10)))</f>
        <v/>
      </c>
      <c r="Z132">
        <f>U132*J$2+V132*O$2+W132*H$2</f>
        <v/>
      </c>
      <c r="AA132">
        <f>IF(AND(J132&gt;50,I132+J132&gt;75),"SP",IF(2*I132+J132&gt;120,"RP","CRAP"))</f>
        <v/>
      </c>
    </row>
    <row r="133" ht="13.5" customHeight="1" s="27" thickBot="1">
      <c r="A133">
        <f>(V133*V$2+W133*W$2+X133*X$2)*100/(V$4*V$2+W$4*W$2+X$4*X$2)</f>
        <v/>
      </c>
      <c r="B133" s="18" t="n">
        <v>198</v>
      </c>
      <c r="C133" s="11" t="inlineStr">
        <is>
          <t>Ayala, R.J.</t>
        </is>
      </c>
      <c r="D133" s="19" t="inlineStr">
        <is>
          <t>DH</t>
        </is>
      </c>
      <c r="E133" s="19" t="inlineStr">
        <is>
          <t>R</t>
        </is>
      </c>
      <c r="F133" s="19" t="inlineStr">
        <is>
          <t>R</t>
        </is>
      </c>
      <c r="G133" s="19" t="n">
        <v>21</v>
      </c>
      <c r="H133" s="19" t="n"/>
      <c r="I133" s="19" t="n"/>
      <c r="J133" s="19" t="n">
        <v>83</v>
      </c>
      <c r="K133" s="19" t="n">
        <v>41</v>
      </c>
      <c r="L133" s="19" t="n">
        <v>22</v>
      </c>
      <c r="M133" s="19" t="n">
        <v>34</v>
      </c>
      <c r="N133" s="19" t="n">
        <v>22</v>
      </c>
      <c r="O133" s="19" t="n">
        <v>13</v>
      </c>
      <c r="P133" s="19" t="n">
        <v>30</v>
      </c>
      <c r="Q133" s="19" t="n">
        <v>31</v>
      </c>
      <c r="R133" s="19" t="n">
        <v>0</v>
      </c>
      <c r="S133" s="19" t="n">
        <v>0</v>
      </c>
      <c r="T133" s="19" t="n">
        <v>0</v>
      </c>
      <c r="U133" s="19" t="n">
        <v>0</v>
      </c>
      <c r="V133" s="19">
        <f>K$1*(0.000001*K133^3)+L$1*((-0.000002)*L133^3+0.00032*L133^2+(-0.0021)*L133)+M$1*((-0.000002)*M133^3+0.00032*M133^2+(-0.0021)*M133)+N$1*((-0.000002)*N133^3+0.00032*N133^2+(-0.0021)*N133)+O$1*((-0.000002)*O133^3+0.00032*O133^2+(-0.0021)*O133)</f>
        <v/>
      </c>
      <c r="W133" s="5">
        <f>P$1*((-0.000002)*P133^3+0.00032*P133^2+(-0.0021)*P133)+Q$1*((-0.000002)*Q133^3+0.00032*Q133^2+(-0.0021)*Q133)+R$1*((-0.000002)*R133^3+0.00032*R133^2+(-0.0021)*R133)+S$1*((-0.000002)*S133^3+0.00032*S133^2+(-0.0021)*S133)+T$1*((-0.000002)*T133^3+0.00032*T133^2+(-0.0021)*T133)</f>
        <v/>
      </c>
      <c r="X133">
        <f>(I$1*((-0.000002)*I133^3+0.00032*I133^2+(-0.0021)*I133)+J$1*((-0.000002)*J133^3+0.00032*J133^2+(-0.0021)*J133)+H$1*((-0.000002)*H133^3+0.00032*H133^2+(-0.0021)*H133))*(MAX(0.05,MIN(1,(2*J133+I133)/120)*MIN(1,I133/10)*MIN(1,J133/10)))</f>
        <v/>
      </c>
      <c r="Y133" s="5">
        <f>(I$1*((-0.000002)*I133^3+0.00032*I133^2+(-0.0021)*I133)+J$1*((-0.000002)*J133^3+0.00032*J133^2+(-0.0021)*J133)+H$1*((-0.000002)*H133^3+0.00032*H133^2+(-0.0021)*H133))*(MAX(0.05,MIN(1,(2*J133+I133)/120)*MIN(1,I133/10)*MIN(1,J133/10)))</f>
        <v/>
      </c>
      <c r="Z133">
        <f>U133*J$2+V133*O$2+W133*H$2</f>
        <v/>
      </c>
      <c r="AA133">
        <f>IF(AND(J133&gt;50,I133+J133&gt;75),"SP",IF(2*I133+J133&gt;120,"RP","CRAP"))</f>
        <v/>
      </c>
    </row>
    <row r="134" ht="13.5" customHeight="1" s="27" thickBot="1">
      <c r="A134">
        <f>(V134*V$2+W134*W$2+X134*X$2)*100/(V$4*V$2+W$4*W$2+X$4*X$2)</f>
        <v/>
      </c>
      <c r="B134" s="18" t="n">
        <v>60</v>
      </c>
      <c r="C134" s="11" t="inlineStr">
        <is>
          <t>Rivers, Denny</t>
        </is>
      </c>
      <c r="D134" s="19" t="inlineStr">
        <is>
          <t>LF</t>
        </is>
      </c>
      <c r="E134" s="19" t="inlineStr">
        <is>
          <t>S</t>
        </is>
      </c>
      <c r="F134" s="19" t="inlineStr">
        <is>
          <t>R</t>
        </is>
      </c>
      <c r="G134" s="19" t="n">
        <v>18</v>
      </c>
      <c r="H134" s="19" t="n"/>
      <c r="I134" s="19" t="n"/>
      <c r="J134" s="19" t="n">
        <v>86</v>
      </c>
      <c r="K134" s="19" t="n">
        <v>45</v>
      </c>
      <c r="L134" s="19" t="n">
        <v>7</v>
      </c>
      <c r="M134" s="19" t="n">
        <v>6</v>
      </c>
      <c r="N134" s="19" t="n">
        <v>0</v>
      </c>
      <c r="O134" s="19" t="n">
        <v>5</v>
      </c>
      <c r="P134" s="19" t="n">
        <v>29</v>
      </c>
      <c r="Q134" s="19" t="n">
        <v>66</v>
      </c>
      <c r="R134" s="19" t="n">
        <v>0</v>
      </c>
      <c r="S134" s="19" t="n">
        <v>0</v>
      </c>
      <c r="T134" s="19" t="n">
        <v>0</v>
      </c>
      <c r="U134" s="19" t="n">
        <v>0</v>
      </c>
      <c r="V134" s="19">
        <f>K$1*(0.000001*K134^3)+L$1*((-0.000002)*L134^3+0.00032*L134^2+(-0.0021)*L134)+M$1*((-0.000002)*M134^3+0.00032*M134^2+(-0.0021)*M134)+N$1*((-0.000002)*N134^3+0.00032*N134^2+(-0.0021)*N134)+O$1*((-0.000002)*O134^3+0.00032*O134^2+(-0.0021)*O134)</f>
        <v/>
      </c>
      <c r="W134" s="5">
        <f>P$1*((-0.000002)*P134^3+0.00032*P134^2+(-0.0021)*P134)+Q$1*((-0.000002)*Q134^3+0.00032*Q134^2+(-0.0021)*Q134)+R$1*((-0.000002)*R134^3+0.00032*R134^2+(-0.0021)*R134)+S$1*((-0.000002)*S134^3+0.00032*S134^2+(-0.0021)*S134)+T$1*((-0.000002)*T134^3+0.00032*T134^2+(-0.0021)*T134)</f>
        <v/>
      </c>
      <c r="X134">
        <f>(I$1*((-0.000002)*I134^3+0.00032*I134^2+(-0.0021)*I134)+J$1*((-0.000002)*J134^3+0.00032*J134^2+(-0.0021)*J134)+H$1*((-0.000002)*H134^3+0.00032*H134^2+(-0.0021)*H134))*(MAX(0.05,MIN(1,(2*J134+I134)/120)*MIN(1,I134/10)*MIN(1,J134/10)))</f>
        <v/>
      </c>
      <c r="Y134" s="5">
        <f>(I$1*((-0.000002)*I134^3+0.00032*I134^2+(-0.0021)*I134)+J$1*((-0.000002)*J134^3+0.00032*J134^2+(-0.0021)*J134)+H$1*((-0.000002)*H134^3+0.00032*H134^2+(-0.0021)*H134))*(MAX(0.05,MIN(1,(2*J134+I134)/120)*MIN(1,I134/10)*MIN(1,J134/10)))</f>
        <v/>
      </c>
      <c r="Z134">
        <f>U134*J$2+V134*O$2+W134*H$2</f>
        <v/>
      </c>
      <c r="AA134">
        <f>IF(AND(J134&gt;50,I134+J134&gt;75),"SP",IF(2*I134+J134&gt;120,"RP","CRAP"))</f>
        <v/>
      </c>
    </row>
    <row r="135" ht="13.5" customHeight="1" s="27" thickBot="1">
      <c r="A135">
        <f>(V135*V$2+W135*W$2+X135*X$2)*100/(V$4*V$2+W$4*W$2+X$4*X$2)</f>
        <v/>
      </c>
      <c r="B135" s="18" t="n">
        <v>4</v>
      </c>
      <c r="C135" s="11" t="inlineStr">
        <is>
          <t>Workman, Hub</t>
        </is>
      </c>
      <c r="D135" s="19" t="inlineStr">
        <is>
          <t>2B</t>
        </is>
      </c>
      <c r="E135" s="19" t="inlineStr">
        <is>
          <t>R</t>
        </is>
      </c>
      <c r="F135" s="19" t="inlineStr">
        <is>
          <t>R</t>
        </is>
      </c>
      <c r="G135" s="19" t="n">
        <v>18</v>
      </c>
      <c r="H135" s="19" t="n"/>
      <c r="I135" s="19" t="n"/>
      <c r="J135" s="19" t="n">
        <v>90</v>
      </c>
      <c r="K135" s="19" t="n">
        <v>30</v>
      </c>
      <c r="L135" s="19" t="n">
        <v>17</v>
      </c>
      <c r="M135" s="19" t="n">
        <v>7</v>
      </c>
      <c r="N135" s="19" t="n">
        <v>0</v>
      </c>
      <c r="O135" s="19" t="n">
        <v>25</v>
      </c>
      <c r="P135" s="19" t="n">
        <v>41</v>
      </c>
      <c r="Q135" s="19" t="n">
        <v>54</v>
      </c>
      <c r="R135" s="19" t="n">
        <v>0</v>
      </c>
      <c r="S135" s="19" t="n">
        <v>0</v>
      </c>
      <c r="T135" s="19" t="n">
        <v>0</v>
      </c>
      <c r="U135" s="19" t="n">
        <v>0</v>
      </c>
      <c r="V135" s="19">
        <f>K$1*(0.000001*K135^3)+L$1*((-0.000002)*L135^3+0.00032*L135^2+(-0.0021)*L135)+M$1*((-0.000002)*M135^3+0.00032*M135^2+(-0.0021)*M135)+N$1*((-0.000002)*N135^3+0.00032*N135^2+(-0.0021)*N135)+O$1*((-0.000002)*O135^3+0.00032*O135^2+(-0.0021)*O135)</f>
        <v/>
      </c>
      <c r="W135" s="5">
        <f>P$1*((-0.000002)*P135^3+0.00032*P135^2+(-0.0021)*P135)+Q$1*((-0.000002)*Q135^3+0.00032*Q135^2+(-0.0021)*Q135)+R$1*((-0.000002)*R135^3+0.00032*R135^2+(-0.0021)*R135)+S$1*((-0.000002)*S135^3+0.00032*S135^2+(-0.0021)*S135)+T$1*((-0.000002)*T135^3+0.00032*T135^2+(-0.0021)*T135)</f>
        <v/>
      </c>
      <c r="X135">
        <f>(I$1*((-0.000002)*I135^3+0.00032*I135^2+(-0.0021)*I135)+J$1*((-0.000002)*J135^3+0.00032*J135^2+(-0.0021)*J135)+H$1*((-0.000002)*H135^3+0.00032*H135^2+(-0.0021)*H135))*(MAX(0.05,MIN(1,(2*J135+I135)/120)*MIN(1,I135/10)*MIN(1,J135/10)))</f>
        <v/>
      </c>
      <c r="Y135" s="5">
        <f>(I$1*((-0.000002)*I135^3+0.00032*I135^2+(-0.0021)*I135)+J$1*((-0.000002)*J135^3+0.00032*J135^2+(-0.0021)*J135)+H$1*((-0.000002)*H135^3+0.00032*H135^2+(-0.0021)*H135))*(MAX(0.05,MIN(1,(2*J135+I135)/120)*MIN(1,I135/10)*MIN(1,J135/10)))</f>
        <v/>
      </c>
      <c r="Z135">
        <f>U135*J$2+V135*O$2+W135*H$2</f>
        <v/>
      </c>
      <c r="AA135">
        <f>IF(AND(J135&gt;50,I135+J135&gt;75),"SP",IF(2*I135+J135&gt;120,"RP","CRAP"))</f>
        <v/>
      </c>
    </row>
    <row r="136" ht="13.5" customHeight="1" s="27" thickBot="1">
      <c r="A136">
        <f>(V136*V$2+W136*W$2+X136*X$2)*100/(V$4*V$2+W$4*W$2+X$4*X$2)</f>
        <v/>
      </c>
      <c r="B136" s="16" t="n">
        <v>39</v>
      </c>
      <c r="C136" s="10" t="inlineStr">
        <is>
          <t>Surhoff, Teddy</t>
        </is>
      </c>
      <c r="D136" s="17" t="inlineStr">
        <is>
          <t>C</t>
        </is>
      </c>
      <c r="E136" s="17" t="inlineStr">
        <is>
          <t>R</t>
        </is>
      </c>
      <c r="F136" s="17" t="inlineStr">
        <is>
          <t>R</t>
        </is>
      </c>
      <c r="G136" s="17" t="n">
        <v>18</v>
      </c>
      <c r="H136" s="17" t="n"/>
      <c r="I136" s="17" t="n"/>
      <c r="J136" s="17" t="n">
        <v>68</v>
      </c>
      <c r="K136" s="17" t="n">
        <v>24</v>
      </c>
      <c r="L136" s="17" t="n">
        <v>26</v>
      </c>
      <c r="M136" s="17" t="n">
        <v>11</v>
      </c>
      <c r="N136" s="17" t="n">
        <v>0</v>
      </c>
      <c r="O136" s="17" t="n">
        <v>4</v>
      </c>
      <c r="P136" s="17" t="n">
        <v>28</v>
      </c>
      <c r="Q136" s="17" t="n">
        <v>65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>
        <f>K$1*(0.000001*K136^3)+L$1*((-0.000002)*L136^3+0.00032*L136^2+(-0.0021)*L136)+M$1*((-0.000002)*M136^3+0.00032*M136^2+(-0.0021)*M136)+N$1*((-0.000002)*N136^3+0.00032*N136^2+(-0.0021)*N136)+O$1*((-0.000002)*O136^3+0.00032*O136^2+(-0.0021)*O136)</f>
        <v/>
      </c>
      <c r="W136" s="5">
        <f>P$1*((-0.000002)*P136^3+0.00032*P136^2+(-0.0021)*P136)+Q$1*((-0.000002)*Q136^3+0.00032*Q136^2+(-0.0021)*Q136)+R$1*((-0.000002)*R136^3+0.00032*R136^2+(-0.0021)*R136)+S$1*((-0.000002)*S136^3+0.00032*S136^2+(-0.0021)*S136)+T$1*((-0.000002)*T136^3+0.00032*T136^2+(-0.0021)*T136)</f>
        <v/>
      </c>
      <c r="X136">
        <f>(I$1*((-0.000002)*I136^3+0.00032*I136^2+(-0.0021)*I136)+J$1*((-0.000002)*J136^3+0.00032*J136^2+(-0.0021)*J136)+H$1*((-0.000002)*H136^3+0.00032*H136^2+(-0.0021)*H136))*(MAX(0.05,MIN(1,(2*J136+I136)/120)*MIN(1,I136/10)*MIN(1,J136/10)))</f>
        <v/>
      </c>
      <c r="Y136" s="5">
        <f>(I$1*((-0.000002)*I136^3+0.00032*I136^2+(-0.0021)*I136)+J$1*((-0.000002)*J136^3+0.00032*J136^2+(-0.0021)*J136)+H$1*((-0.000002)*H136^3+0.00032*H136^2+(-0.0021)*H136))*(MAX(0.05,MIN(1,(2*J136+I136)/120)*MIN(1,I136/10)*MIN(1,J136/10)))</f>
        <v/>
      </c>
      <c r="Z136">
        <f>U136*J$2+V136*O$2+W136*H$2</f>
        <v/>
      </c>
      <c r="AA136">
        <f>IF(AND(J136&gt;50,I136+J136&gt;75),"SP",IF(2*I136+J136&gt;120,"RP","CRAP"))</f>
        <v/>
      </c>
    </row>
    <row r="137" ht="13.5" customHeight="1" s="27" thickBot="1">
      <c r="A137">
        <f>(V137*V$2+W137*W$2+X137*X$2)*100/(V$4*V$2+W$4*W$2+X$4*X$2)</f>
        <v/>
      </c>
      <c r="B137" s="18" t="n">
        <v>28</v>
      </c>
      <c r="C137" s="11" t="inlineStr">
        <is>
          <t>Seager, Sean</t>
        </is>
      </c>
      <c r="D137" s="19" t="inlineStr">
        <is>
          <t>2B</t>
        </is>
      </c>
      <c r="E137" s="19" t="inlineStr">
        <is>
          <t>S</t>
        </is>
      </c>
      <c r="F137" s="19" t="inlineStr">
        <is>
          <t>R</t>
        </is>
      </c>
      <c r="G137" s="19" t="n">
        <v>18</v>
      </c>
      <c r="H137" s="19" t="n"/>
      <c r="I137" s="19" t="n"/>
      <c r="J137" s="19" t="n">
        <v>83</v>
      </c>
      <c r="K137" s="19" t="n">
        <v>27</v>
      </c>
      <c r="L137" s="19" t="n">
        <v>0</v>
      </c>
      <c r="M137" s="19" t="n">
        <v>12</v>
      </c>
      <c r="N137" s="19" t="n">
        <v>17</v>
      </c>
      <c r="O137" s="19" t="n">
        <v>26</v>
      </c>
      <c r="P137" s="19" t="n">
        <v>34</v>
      </c>
      <c r="Q137" s="19" t="n">
        <v>64</v>
      </c>
      <c r="R137" s="19" t="n">
        <v>0</v>
      </c>
      <c r="S137" s="19" t="n">
        <v>0</v>
      </c>
      <c r="T137" s="19" t="n">
        <v>0</v>
      </c>
      <c r="U137" s="19" t="n">
        <v>0</v>
      </c>
      <c r="V137" s="19">
        <f>K$1*(0.000001*K137^3)+L$1*((-0.000002)*L137^3+0.00032*L137^2+(-0.0021)*L137)+M$1*((-0.000002)*M137^3+0.00032*M137^2+(-0.0021)*M137)+N$1*((-0.000002)*N137^3+0.00032*N137^2+(-0.0021)*N137)+O$1*((-0.000002)*O137^3+0.00032*O137^2+(-0.0021)*O137)</f>
        <v/>
      </c>
      <c r="W137" s="5">
        <f>P$1*((-0.000002)*P137^3+0.00032*P137^2+(-0.0021)*P137)+Q$1*((-0.000002)*Q137^3+0.00032*Q137^2+(-0.0021)*Q137)+R$1*((-0.000002)*R137^3+0.00032*R137^2+(-0.0021)*R137)+S$1*((-0.000002)*S137^3+0.00032*S137^2+(-0.0021)*S137)+T$1*((-0.000002)*T137^3+0.00032*T137^2+(-0.0021)*T137)</f>
        <v/>
      </c>
      <c r="X137">
        <f>(I$1*((-0.000002)*I137^3+0.00032*I137^2+(-0.0021)*I137)+J$1*((-0.000002)*J137^3+0.00032*J137^2+(-0.0021)*J137)+H$1*((-0.000002)*H137^3+0.00032*H137^2+(-0.0021)*H137))*(MAX(0.05,MIN(1,(2*J137+I137)/120)*MIN(1,I137/10)*MIN(1,J137/10)))</f>
        <v/>
      </c>
      <c r="Y137" s="5">
        <f>(I$1*((-0.000002)*I137^3+0.00032*I137^2+(-0.0021)*I137)+J$1*((-0.000002)*J137^3+0.00032*J137^2+(-0.0021)*J137)+H$1*((-0.000002)*H137^3+0.00032*H137^2+(-0.0021)*H137))*(MAX(0.05,MIN(1,(2*J137+I137)/120)*MIN(1,I137/10)*MIN(1,J137/10)))</f>
        <v/>
      </c>
      <c r="Z137">
        <f>U137*J$2+V137*O$2+W137*H$2</f>
        <v/>
      </c>
      <c r="AA137">
        <f>IF(AND(J137&gt;50,I137+J137&gt;75),"SP",IF(2*I137+J137&gt;120,"RP","CRAP"))</f>
        <v/>
      </c>
    </row>
    <row r="138" ht="13.5" customHeight="1" s="27" thickBot="1">
      <c r="A138">
        <f>(V138*V$2+W138*W$2+X138*X$2)*100/(V$4*V$2+W$4*W$2+X$4*X$2)</f>
        <v/>
      </c>
      <c r="B138" s="18" t="n">
        <v>94</v>
      </c>
      <c r="C138" s="11" t="inlineStr">
        <is>
          <t>McCormick, Terrence</t>
        </is>
      </c>
      <c r="D138" s="19" t="inlineStr">
        <is>
          <t>LF</t>
        </is>
      </c>
      <c r="E138" s="19" t="inlineStr">
        <is>
          <t>L</t>
        </is>
      </c>
      <c r="F138" s="19" t="inlineStr">
        <is>
          <t>L</t>
        </is>
      </c>
      <c r="G138" s="19" t="n">
        <v>18</v>
      </c>
      <c r="H138" s="19" t="n"/>
      <c r="I138" s="19" t="n"/>
      <c r="J138" s="19" t="n">
        <v>94</v>
      </c>
      <c r="K138" s="19" t="n">
        <v>28</v>
      </c>
      <c r="L138" s="19" t="n">
        <v>22</v>
      </c>
      <c r="M138" s="19" t="n">
        <v>5</v>
      </c>
      <c r="N138" s="19" t="n">
        <v>0</v>
      </c>
      <c r="O138" s="19" t="n">
        <v>0</v>
      </c>
      <c r="P138" s="19" t="n">
        <v>20</v>
      </c>
      <c r="Q138" s="19" t="n">
        <v>69</v>
      </c>
      <c r="R138" s="19" t="n">
        <v>0</v>
      </c>
      <c r="S138" s="19" t="n">
        <v>0</v>
      </c>
      <c r="T138" s="19" t="n">
        <v>0</v>
      </c>
      <c r="U138" s="19" t="n">
        <v>0</v>
      </c>
      <c r="V138" s="19">
        <f>K$1*(0.000001*K138^3)+L$1*((-0.000002)*L138^3+0.00032*L138^2+(-0.0021)*L138)+M$1*((-0.000002)*M138^3+0.00032*M138^2+(-0.0021)*M138)+N$1*((-0.000002)*N138^3+0.00032*N138^2+(-0.0021)*N138)+O$1*((-0.000002)*O138^3+0.00032*O138^2+(-0.0021)*O138)</f>
        <v/>
      </c>
      <c r="W138" s="5">
        <f>P$1*((-0.000002)*P138^3+0.00032*P138^2+(-0.0021)*P138)+Q$1*((-0.000002)*Q138^3+0.00032*Q138^2+(-0.0021)*Q138)+R$1*((-0.000002)*R138^3+0.00032*R138^2+(-0.0021)*R138)+S$1*((-0.000002)*S138^3+0.00032*S138^2+(-0.0021)*S138)+T$1*((-0.000002)*T138^3+0.00032*T138^2+(-0.0021)*T138)</f>
        <v/>
      </c>
      <c r="X138">
        <f>(I$1*((-0.000002)*I138^3+0.00032*I138^2+(-0.0021)*I138)+J$1*((-0.000002)*J138^3+0.00032*J138^2+(-0.0021)*J138)+H$1*((-0.000002)*H138^3+0.00032*H138^2+(-0.0021)*H138))*(MAX(0.05,MIN(1,(2*J138+I138)/120)*MIN(1,I138/10)*MIN(1,J138/10)))</f>
        <v/>
      </c>
      <c r="Y138" s="5">
        <f>(I$1*((-0.000002)*I138^3+0.00032*I138^2+(-0.0021)*I138)+J$1*((-0.000002)*J138^3+0.00032*J138^2+(-0.0021)*J138)+H$1*((-0.000002)*H138^3+0.00032*H138^2+(-0.0021)*H138))*(MAX(0.05,MIN(1,(2*J138+I138)/120)*MIN(1,I138/10)*MIN(1,J138/10)))</f>
        <v/>
      </c>
      <c r="Z138">
        <f>U138*J$2+V138*O$2+W138*H$2</f>
        <v/>
      </c>
      <c r="AA138">
        <f>IF(AND(J138&gt;50,I138+J138&gt;75),"SP",IF(2*I138+J138&gt;120,"RP","CRAP"))</f>
        <v/>
      </c>
    </row>
    <row r="139" ht="13.5" customHeight="1" s="27" thickBot="1">
      <c r="A139">
        <f>(V139*V$2+W139*W$2+X139*X$2)*100/(V$4*V$2+W$4*W$2+X$4*X$2)</f>
        <v/>
      </c>
      <c r="B139" s="16" t="n">
        <v>103</v>
      </c>
      <c r="C139" s="10" t="inlineStr">
        <is>
          <t>Schoop, Yogi</t>
        </is>
      </c>
      <c r="D139" s="17" t="inlineStr">
        <is>
          <t>1B</t>
        </is>
      </c>
      <c r="E139" s="17" t="inlineStr">
        <is>
          <t>R</t>
        </is>
      </c>
      <c r="F139" s="17" t="inlineStr">
        <is>
          <t>R</t>
        </is>
      </c>
      <c r="G139" s="17" t="n">
        <v>18</v>
      </c>
      <c r="H139" s="17" t="n"/>
      <c r="I139" s="17" t="n"/>
      <c r="J139" s="17" t="n">
        <v>82</v>
      </c>
      <c r="K139" s="17" t="n">
        <v>31</v>
      </c>
      <c r="L139" s="17" t="n">
        <v>15</v>
      </c>
      <c r="M139" s="17" t="n">
        <v>19</v>
      </c>
      <c r="N139" s="17" t="n">
        <v>20</v>
      </c>
      <c r="O139" s="17" t="n">
        <v>0</v>
      </c>
      <c r="P139" s="17" t="n">
        <v>8</v>
      </c>
      <c r="Q139" s="17" t="n">
        <v>70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>
        <f>K$1*(0.000001*K139^3)+L$1*((-0.000002)*L139^3+0.00032*L139^2+(-0.0021)*L139)+M$1*((-0.000002)*M139^3+0.00032*M139^2+(-0.0021)*M139)+N$1*((-0.000002)*N139^3+0.00032*N139^2+(-0.0021)*N139)+O$1*((-0.000002)*O139^3+0.00032*O139^2+(-0.0021)*O139)</f>
        <v/>
      </c>
      <c r="W139" s="5">
        <f>P$1*((-0.000002)*P139^3+0.00032*P139^2+(-0.0021)*P139)+Q$1*((-0.000002)*Q139^3+0.00032*Q139^2+(-0.0021)*Q139)+R$1*((-0.000002)*R139^3+0.00032*R139^2+(-0.0021)*R139)+S$1*((-0.000002)*S139^3+0.00032*S139^2+(-0.0021)*S139)+T$1*((-0.000002)*T139^3+0.00032*T139^2+(-0.0021)*T139)</f>
        <v/>
      </c>
      <c r="X139">
        <f>(I$1*((-0.000002)*I139^3+0.00032*I139^2+(-0.0021)*I139)+J$1*((-0.000002)*J139^3+0.00032*J139^2+(-0.0021)*J139)+H$1*((-0.000002)*H139^3+0.00032*H139^2+(-0.0021)*H139))*(MAX(0.05,MIN(1,(2*J139+I139)/120)*MIN(1,I139/10)*MIN(1,J139/10)))</f>
        <v/>
      </c>
      <c r="Y139" s="5">
        <f>(I$1*((-0.000002)*I139^3+0.00032*I139^2+(-0.0021)*I139)+J$1*((-0.000002)*J139^3+0.00032*J139^2+(-0.0021)*J139)+H$1*((-0.000002)*H139^3+0.00032*H139^2+(-0.0021)*H139))*(MAX(0.05,MIN(1,(2*J139+I139)/120)*MIN(1,I139/10)*MIN(1,J139/10)))</f>
        <v/>
      </c>
      <c r="Z139">
        <f>U139*J$2+V139*O$2+W139*H$2</f>
        <v/>
      </c>
      <c r="AA139">
        <f>IF(AND(J139&gt;50,I139+J139&gt;75),"SP",IF(2*I139+J139&gt;120,"RP","CRAP"))</f>
        <v/>
      </c>
    </row>
    <row r="140" ht="13.5" customHeight="1" s="27" thickBot="1">
      <c r="A140">
        <f>(V140*V$2+W140*W$2+X140*X$2)*100/(V$4*V$2+W$4*W$2+X$4*X$2)</f>
        <v/>
      </c>
      <c r="B140" s="16" t="n">
        <v>201</v>
      </c>
      <c r="C140" s="10" t="inlineStr">
        <is>
          <t>Happ, Jon</t>
        </is>
      </c>
      <c r="D140" s="17" t="inlineStr">
        <is>
          <t>DH</t>
        </is>
      </c>
      <c r="E140" s="17" t="inlineStr">
        <is>
          <t>L</t>
        </is>
      </c>
      <c r="F140" s="17" t="inlineStr">
        <is>
          <t>L</t>
        </is>
      </c>
      <c r="G140" s="17" t="n">
        <v>18</v>
      </c>
      <c r="H140" s="17" t="n"/>
      <c r="I140" s="17" t="n"/>
      <c r="J140" s="17" t="n">
        <v>79</v>
      </c>
      <c r="K140" s="17" t="n">
        <v>33</v>
      </c>
      <c r="L140" s="17" t="n">
        <v>12</v>
      </c>
      <c r="M140" s="17" t="n">
        <v>22</v>
      </c>
      <c r="N140" s="17" t="n">
        <v>16</v>
      </c>
      <c r="O140" s="17" t="n">
        <v>23</v>
      </c>
      <c r="P140" s="17" t="n">
        <v>22</v>
      </c>
      <c r="Q140" s="17" t="n">
        <v>64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>
        <f>K$1*(0.000001*K140^3)+L$1*((-0.000002)*L140^3+0.00032*L140^2+(-0.0021)*L140)+M$1*((-0.000002)*M140^3+0.00032*M140^2+(-0.0021)*M140)+N$1*((-0.000002)*N140^3+0.00032*N140^2+(-0.0021)*N140)+O$1*((-0.000002)*O140^3+0.00032*O140^2+(-0.0021)*O140)</f>
        <v/>
      </c>
      <c r="W140" s="5">
        <f>P$1*((-0.000002)*P140^3+0.00032*P140^2+(-0.0021)*P140)+Q$1*((-0.000002)*Q140^3+0.00032*Q140^2+(-0.0021)*Q140)+R$1*((-0.000002)*R140^3+0.00032*R140^2+(-0.0021)*R140)+S$1*((-0.000002)*S140^3+0.00032*S140^2+(-0.0021)*S140)+T$1*((-0.000002)*T140^3+0.00032*T140^2+(-0.0021)*T140)</f>
        <v/>
      </c>
      <c r="X140">
        <f>(I$1*((-0.000002)*I140^3+0.00032*I140^2+(-0.0021)*I140)+J$1*((-0.000002)*J140^3+0.00032*J140^2+(-0.0021)*J140)+H$1*((-0.000002)*H140^3+0.00032*H140^2+(-0.0021)*H140))*(MAX(0.05,MIN(1,(2*J140+I140)/120)*MIN(1,I140/10)*MIN(1,J140/10)))</f>
        <v/>
      </c>
      <c r="Y140" s="5">
        <f>(I$1*((-0.000002)*I140^3+0.00032*I140^2+(-0.0021)*I140)+J$1*((-0.000002)*J140^3+0.00032*J140^2+(-0.0021)*J140)+H$1*((-0.000002)*H140^3+0.00032*H140^2+(-0.0021)*H140))*(MAX(0.05,MIN(1,(2*J140+I140)/120)*MIN(1,I140/10)*MIN(1,J140/10)))</f>
        <v/>
      </c>
      <c r="Z140">
        <f>U140*J$2+V140*O$2+W140*H$2</f>
        <v/>
      </c>
      <c r="AA140">
        <f>IF(AND(J140&gt;50,I140+J140&gt;75),"SP",IF(2*I140+J140&gt;120,"RP","CRAP"))</f>
        <v/>
      </c>
    </row>
    <row r="141" ht="13.5" customHeight="1" s="27" thickBot="1">
      <c r="A141">
        <f>(V141*V$2+W141*W$2+X141*X$2)*100/(V$4*V$2+W$4*W$2+X$4*X$2)</f>
        <v/>
      </c>
      <c r="B141" s="16" t="n">
        <v>57</v>
      </c>
      <c r="C141" s="10" t="inlineStr">
        <is>
          <t>Mitchell, Jacob</t>
        </is>
      </c>
      <c r="D141" s="17" t="inlineStr">
        <is>
          <t>LF</t>
        </is>
      </c>
      <c r="E141" s="17" t="inlineStr">
        <is>
          <t>R</t>
        </is>
      </c>
      <c r="F141" s="17" t="inlineStr">
        <is>
          <t>R</t>
        </is>
      </c>
      <c r="G141" s="17" t="n">
        <v>18</v>
      </c>
      <c r="H141" s="17" t="n"/>
      <c r="I141" s="17" t="n"/>
      <c r="J141" s="17" t="n">
        <v>85</v>
      </c>
      <c r="K141" s="17" t="n">
        <v>29</v>
      </c>
      <c r="L141" s="17" t="n">
        <v>13</v>
      </c>
      <c r="M141" s="17" t="n">
        <v>18</v>
      </c>
      <c r="N141" s="17" t="n">
        <v>26</v>
      </c>
      <c r="O141" s="17" t="n">
        <v>13</v>
      </c>
      <c r="P141" s="17" t="n">
        <v>32</v>
      </c>
      <c r="Q141" s="17" t="n">
        <v>50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>
        <f>K$1*(0.000001*K141^3)+L$1*((-0.000002)*L141^3+0.00032*L141^2+(-0.0021)*L141)+M$1*((-0.000002)*M141^3+0.00032*M141^2+(-0.0021)*M141)+N$1*((-0.000002)*N141^3+0.00032*N141^2+(-0.0021)*N141)+O$1*((-0.000002)*O141^3+0.00032*O141^2+(-0.0021)*O141)</f>
        <v/>
      </c>
      <c r="W141" s="5">
        <f>P$1*((-0.000002)*P141^3+0.00032*P141^2+(-0.0021)*P141)+Q$1*((-0.000002)*Q141^3+0.00032*Q141^2+(-0.0021)*Q141)+R$1*((-0.000002)*R141^3+0.00032*R141^2+(-0.0021)*R141)+S$1*((-0.000002)*S141^3+0.00032*S141^2+(-0.0021)*S141)+T$1*((-0.000002)*T141^3+0.00032*T141^2+(-0.0021)*T141)</f>
        <v/>
      </c>
      <c r="X141">
        <f>(I$1*((-0.000002)*I141^3+0.00032*I141^2+(-0.0021)*I141)+J$1*((-0.000002)*J141^3+0.00032*J141^2+(-0.0021)*J141)+H$1*((-0.000002)*H141^3+0.00032*H141^2+(-0.0021)*H141))*(MAX(0.05,MIN(1,(2*J141+I141)/120)*MIN(1,I141/10)*MIN(1,J141/10)))</f>
        <v/>
      </c>
      <c r="Y141" s="5">
        <f>(I$1*((-0.000002)*I141^3+0.00032*I141^2+(-0.0021)*I141)+J$1*((-0.000002)*J141^3+0.00032*J141^2+(-0.0021)*J141)+H$1*((-0.000002)*H141^3+0.00032*H141^2+(-0.0021)*H141))*(MAX(0.05,MIN(1,(2*J141+I141)/120)*MIN(1,I141/10)*MIN(1,J141/10)))</f>
        <v/>
      </c>
      <c r="Z141">
        <f>U141*J$2+V141*O$2+W141*H$2</f>
        <v/>
      </c>
      <c r="AA141">
        <f>IF(AND(J141&gt;50,I141+J141&gt;75),"SP",IF(2*I141+J141&gt;120,"RP","CRAP"))</f>
        <v/>
      </c>
    </row>
    <row r="142" ht="13.5" customHeight="1" s="27" thickBot="1">
      <c r="A142">
        <f>(V142*V$2+W142*W$2+X142*X$2)*100/(V$4*V$2+W$4*W$2+X$4*X$2)</f>
        <v/>
      </c>
      <c r="B142" s="18" t="n">
        <v>18</v>
      </c>
      <c r="C142" s="11" t="inlineStr">
        <is>
          <t>Chang, Calvin</t>
        </is>
      </c>
      <c r="D142" s="19" t="inlineStr">
        <is>
          <t>SS</t>
        </is>
      </c>
      <c r="E142" s="19" t="inlineStr">
        <is>
          <t>R</t>
        </is>
      </c>
      <c r="F142" s="19" t="inlineStr">
        <is>
          <t>R</t>
        </is>
      </c>
      <c r="G142" s="19" t="n">
        <v>18</v>
      </c>
      <c r="H142" s="19" t="n"/>
      <c r="I142" s="19" t="n"/>
      <c r="J142" s="19" t="n">
        <v>100</v>
      </c>
      <c r="K142" s="19" t="n">
        <v>45</v>
      </c>
      <c r="L142" s="19" t="n">
        <v>7</v>
      </c>
      <c r="M142" s="19" t="n">
        <v>7</v>
      </c>
      <c r="N142" s="19" t="n">
        <v>0</v>
      </c>
      <c r="O142" s="19" t="n">
        <v>8</v>
      </c>
      <c r="P142" s="19" t="n">
        <v>27</v>
      </c>
      <c r="Q142" s="19" t="n">
        <v>61</v>
      </c>
      <c r="R142" s="19" t="n">
        <v>0</v>
      </c>
      <c r="S142" s="19" t="n">
        <v>0</v>
      </c>
      <c r="T142" s="19" t="n">
        <v>0</v>
      </c>
      <c r="U142" s="19" t="n">
        <v>0</v>
      </c>
      <c r="V142" s="19">
        <f>K$1*(0.000001*K142^3)+L$1*((-0.000002)*L142^3+0.00032*L142^2+(-0.0021)*L142)+M$1*((-0.000002)*M142^3+0.00032*M142^2+(-0.0021)*M142)+N$1*((-0.000002)*N142^3+0.00032*N142^2+(-0.0021)*N142)+O$1*((-0.000002)*O142^3+0.00032*O142^2+(-0.0021)*O142)</f>
        <v/>
      </c>
      <c r="W142" s="5">
        <f>P$1*((-0.000002)*P142^3+0.00032*P142^2+(-0.0021)*P142)+Q$1*((-0.000002)*Q142^3+0.00032*Q142^2+(-0.0021)*Q142)+R$1*((-0.000002)*R142^3+0.00032*R142^2+(-0.0021)*R142)+S$1*((-0.000002)*S142^3+0.00032*S142^2+(-0.0021)*S142)+T$1*((-0.000002)*T142^3+0.00032*T142^2+(-0.0021)*T142)</f>
        <v/>
      </c>
      <c r="X142">
        <f>(I$1*((-0.000002)*I142^3+0.00032*I142^2+(-0.0021)*I142)+J$1*((-0.000002)*J142^3+0.00032*J142^2+(-0.0021)*J142)+H$1*((-0.000002)*H142^3+0.00032*H142^2+(-0.0021)*H142))*(MAX(0.05,MIN(1,(2*J142+I142)/120)*MIN(1,I142/10)*MIN(1,J142/10)))</f>
        <v/>
      </c>
      <c r="Y142" s="5">
        <f>(I$1*((-0.000002)*I142^3+0.00032*I142^2+(-0.0021)*I142)+J$1*((-0.000002)*J142^3+0.00032*J142^2+(-0.0021)*J142)+H$1*((-0.000002)*H142^3+0.00032*H142^2+(-0.0021)*H142))*(MAX(0.05,MIN(1,(2*J142+I142)/120)*MIN(1,I142/10)*MIN(1,J142/10)))</f>
        <v/>
      </c>
      <c r="Z142">
        <f>U142*J$2+V142*O$2+W142*H$2</f>
        <v/>
      </c>
      <c r="AA142">
        <f>IF(AND(J142&gt;50,I142+J142&gt;75),"SP",IF(2*I142+J142&gt;120,"RP","CRAP"))</f>
        <v/>
      </c>
    </row>
    <row r="143" ht="13.5" customHeight="1" s="27" thickBot="1">
      <c r="A143">
        <f>(V143*V$2+W143*W$2+X143*X$2)*100/(V$4*V$2+W$4*W$2+X$4*X$2)</f>
        <v/>
      </c>
      <c r="B143" s="16" t="n">
        <v>85</v>
      </c>
      <c r="C143" s="10" t="inlineStr">
        <is>
          <t>Lee, Jerry</t>
        </is>
      </c>
      <c r="D143" s="17" t="inlineStr">
        <is>
          <t>2B</t>
        </is>
      </c>
      <c r="E143" s="17" t="inlineStr">
        <is>
          <t>R</t>
        </is>
      </c>
      <c r="F143" s="17" t="inlineStr">
        <is>
          <t>R</t>
        </is>
      </c>
      <c r="G143" s="17" t="n">
        <v>18</v>
      </c>
      <c r="H143" s="17" t="n"/>
      <c r="I143" s="17" t="n"/>
      <c r="J143" s="17" t="n">
        <v>98</v>
      </c>
      <c r="K143" s="17" t="n">
        <v>28</v>
      </c>
      <c r="L143" s="17" t="n">
        <v>27</v>
      </c>
      <c r="M143" s="17" t="n">
        <v>0</v>
      </c>
      <c r="N143" s="17" t="n">
        <v>0</v>
      </c>
      <c r="O143" s="17" t="n">
        <v>21</v>
      </c>
      <c r="P143" s="17" t="n">
        <v>13</v>
      </c>
      <c r="Q143" s="17" t="n">
        <v>61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>
        <f>K$1*(0.000001*K143^3)+L$1*((-0.000002)*L143^3+0.00032*L143^2+(-0.0021)*L143)+M$1*((-0.000002)*M143^3+0.00032*M143^2+(-0.0021)*M143)+N$1*((-0.000002)*N143^3+0.00032*N143^2+(-0.0021)*N143)+O$1*((-0.000002)*O143^3+0.00032*O143^2+(-0.0021)*O143)</f>
        <v/>
      </c>
      <c r="W143" s="5">
        <f>P$1*((-0.000002)*P143^3+0.00032*P143^2+(-0.0021)*P143)+Q$1*((-0.000002)*Q143^3+0.00032*Q143^2+(-0.0021)*Q143)+R$1*((-0.000002)*R143^3+0.00032*R143^2+(-0.0021)*R143)+S$1*((-0.000002)*S143^3+0.00032*S143^2+(-0.0021)*S143)+T$1*((-0.000002)*T143^3+0.00032*T143^2+(-0.0021)*T143)</f>
        <v/>
      </c>
      <c r="X143">
        <f>(I$1*((-0.000002)*I143^3+0.00032*I143^2+(-0.0021)*I143)+J$1*((-0.000002)*J143^3+0.00032*J143^2+(-0.0021)*J143)+H$1*((-0.000002)*H143^3+0.00032*H143^2+(-0.0021)*H143))*(MAX(0.05,MIN(1,(2*J143+I143)/120)*MIN(1,I143/10)*MIN(1,J143/10)))</f>
        <v/>
      </c>
      <c r="Y143" s="5">
        <f>(I$1*((-0.000002)*I143^3+0.00032*I143^2+(-0.0021)*I143)+J$1*((-0.000002)*J143^3+0.00032*J143^2+(-0.0021)*J143)+H$1*((-0.000002)*H143^3+0.00032*H143^2+(-0.0021)*H143))*(MAX(0.05,MIN(1,(2*J143+I143)/120)*MIN(1,I143/10)*MIN(1,J143/10)))</f>
        <v/>
      </c>
      <c r="Z143">
        <f>U143*J$2+V143*O$2+W143*H$2</f>
        <v/>
      </c>
      <c r="AA143">
        <f>IF(AND(J143&gt;50,I143+J143&gt;75),"SP",IF(2*I143+J143&gt;120,"RP","CRAP"))</f>
        <v/>
      </c>
    </row>
    <row r="144" ht="13.5" customHeight="1" s="27" thickBot="1">
      <c r="A144">
        <f>(V144*V$2+W144*W$2+X144*X$2)*100/(V$4*V$2+W$4*W$2+X$4*X$2)</f>
        <v/>
      </c>
      <c r="B144" s="18" t="n">
        <v>66</v>
      </c>
      <c r="C144" s="11" t="inlineStr">
        <is>
          <t>Rain, Abel</t>
        </is>
      </c>
      <c r="D144" s="19" t="inlineStr">
        <is>
          <t>C</t>
        </is>
      </c>
      <c r="E144" s="19" t="inlineStr">
        <is>
          <t>R</t>
        </is>
      </c>
      <c r="F144" s="19" t="inlineStr">
        <is>
          <t>R</t>
        </is>
      </c>
      <c r="G144" s="19" t="n">
        <v>18</v>
      </c>
      <c r="H144" s="19" t="n"/>
      <c r="I144" s="19" t="n"/>
      <c r="J144" s="19" t="n">
        <v>75</v>
      </c>
      <c r="K144" s="19" t="n">
        <v>21</v>
      </c>
      <c r="L144" s="19" t="n">
        <v>18</v>
      </c>
      <c r="M144" s="19" t="n">
        <v>3</v>
      </c>
      <c r="N144" s="19" t="n">
        <v>15</v>
      </c>
      <c r="O144" s="19" t="n">
        <v>4</v>
      </c>
      <c r="P144" s="19" t="n">
        <v>43</v>
      </c>
      <c r="Q144" s="19" t="n">
        <v>52</v>
      </c>
      <c r="R144" s="19" t="n">
        <v>0</v>
      </c>
      <c r="S144" s="19" t="n">
        <v>0</v>
      </c>
      <c r="T144" s="19" t="n">
        <v>0</v>
      </c>
      <c r="U144" s="19" t="n">
        <v>0</v>
      </c>
      <c r="V144" s="19">
        <f>K$1*(0.000001*K144^3)+L$1*((-0.000002)*L144^3+0.00032*L144^2+(-0.0021)*L144)+M$1*((-0.000002)*M144^3+0.00032*M144^2+(-0.0021)*M144)+N$1*((-0.000002)*N144^3+0.00032*N144^2+(-0.0021)*N144)+O$1*((-0.000002)*O144^3+0.00032*O144^2+(-0.0021)*O144)</f>
        <v/>
      </c>
      <c r="W144" s="5">
        <f>P$1*((-0.000002)*P144^3+0.00032*P144^2+(-0.0021)*P144)+Q$1*((-0.000002)*Q144^3+0.00032*Q144^2+(-0.0021)*Q144)+R$1*((-0.000002)*R144^3+0.00032*R144^2+(-0.0021)*R144)+S$1*((-0.000002)*S144^3+0.00032*S144^2+(-0.0021)*S144)+T$1*((-0.000002)*T144^3+0.00032*T144^2+(-0.0021)*T144)</f>
        <v/>
      </c>
      <c r="X144">
        <f>(I$1*((-0.000002)*I144^3+0.00032*I144^2+(-0.0021)*I144)+J$1*((-0.000002)*J144^3+0.00032*J144^2+(-0.0021)*J144)+H$1*((-0.000002)*H144^3+0.00032*H144^2+(-0.0021)*H144))*(MAX(0.05,MIN(1,(2*J144+I144)/120)*MIN(1,I144/10)*MIN(1,J144/10)))</f>
        <v/>
      </c>
      <c r="Y144" s="5">
        <f>(I$1*((-0.000002)*I144^3+0.00032*I144^2+(-0.0021)*I144)+J$1*((-0.000002)*J144^3+0.00032*J144^2+(-0.0021)*J144)+H$1*((-0.000002)*H144^3+0.00032*H144^2+(-0.0021)*H144))*(MAX(0.05,MIN(1,(2*J144+I144)/120)*MIN(1,I144/10)*MIN(1,J144/10)))</f>
        <v/>
      </c>
      <c r="Z144">
        <f>U144*J$2+V144*O$2+W144*H$2</f>
        <v/>
      </c>
      <c r="AA144">
        <f>IF(AND(J144&gt;50,I144+J144&gt;75),"SP",IF(2*I144+J144&gt;120,"RP","CRAP"))</f>
        <v/>
      </c>
    </row>
    <row r="145" ht="13.5" customHeight="1" s="27" thickBot="1">
      <c r="A145">
        <f>(V145*V$2+W145*W$2+X145*X$2)*100/(V$4*V$2+W$4*W$2+X$4*X$2)</f>
        <v/>
      </c>
      <c r="B145" s="18" t="n">
        <v>80</v>
      </c>
      <c r="C145" s="11" t="inlineStr">
        <is>
          <t>Guzman, Ivan</t>
        </is>
      </c>
      <c r="D145" s="19" t="inlineStr">
        <is>
          <t>C</t>
        </is>
      </c>
      <c r="E145" s="19" t="inlineStr">
        <is>
          <t>S</t>
        </is>
      </c>
      <c r="F145" s="19" t="inlineStr">
        <is>
          <t>R</t>
        </is>
      </c>
      <c r="G145" s="19" t="n">
        <v>18</v>
      </c>
      <c r="H145" s="19" t="n"/>
      <c r="I145" s="19" t="n"/>
      <c r="J145" s="19" t="n">
        <v>79</v>
      </c>
      <c r="K145" s="19" t="n">
        <v>7</v>
      </c>
      <c r="L145" s="19" t="n">
        <v>6</v>
      </c>
      <c r="M145" s="19" t="n">
        <v>27</v>
      </c>
      <c r="N145" s="19" t="n">
        <v>35</v>
      </c>
      <c r="O145" s="19" t="n">
        <v>16</v>
      </c>
      <c r="P145" s="19" t="n">
        <v>6</v>
      </c>
      <c r="Q145" s="19" t="n">
        <v>66</v>
      </c>
      <c r="R145" s="19" t="n">
        <v>0</v>
      </c>
      <c r="S145" s="19" t="n">
        <v>0</v>
      </c>
      <c r="T145" s="19" t="n">
        <v>0</v>
      </c>
      <c r="U145" s="19" t="n">
        <v>0</v>
      </c>
      <c r="V145" s="19">
        <f>K$1*(0.000001*K145^3)+L$1*((-0.000002)*L145^3+0.00032*L145^2+(-0.0021)*L145)+M$1*((-0.000002)*M145^3+0.00032*M145^2+(-0.0021)*M145)+N$1*((-0.000002)*N145^3+0.00032*N145^2+(-0.0021)*N145)+O$1*((-0.000002)*O145^3+0.00032*O145^2+(-0.0021)*O145)</f>
        <v/>
      </c>
      <c r="W145" s="5">
        <f>P$1*((-0.000002)*P145^3+0.00032*P145^2+(-0.0021)*P145)+Q$1*((-0.000002)*Q145^3+0.00032*Q145^2+(-0.0021)*Q145)+R$1*((-0.000002)*R145^3+0.00032*R145^2+(-0.0021)*R145)+S$1*((-0.000002)*S145^3+0.00032*S145^2+(-0.0021)*S145)+T$1*((-0.000002)*T145^3+0.00032*T145^2+(-0.0021)*T145)</f>
        <v/>
      </c>
      <c r="X145">
        <f>(I$1*((-0.000002)*I145^3+0.00032*I145^2+(-0.0021)*I145)+J$1*((-0.000002)*J145^3+0.00032*J145^2+(-0.0021)*J145)+H$1*((-0.000002)*H145^3+0.00032*H145^2+(-0.0021)*H145))*(MAX(0.05,MIN(1,(2*J145+I145)/120)*MIN(1,I145/10)*MIN(1,J145/10)))</f>
        <v/>
      </c>
      <c r="Y145" s="5">
        <f>(I$1*((-0.000002)*I145^3+0.00032*I145^2+(-0.0021)*I145)+J$1*((-0.000002)*J145^3+0.00032*J145^2+(-0.0021)*J145)+H$1*((-0.000002)*H145^3+0.00032*H145^2+(-0.0021)*H145))*(MAX(0.05,MIN(1,(2*J145+I145)/120)*MIN(1,I145/10)*MIN(1,J145/10)))</f>
        <v/>
      </c>
      <c r="Z145">
        <f>U145*J$2+V145*O$2+W145*H$2</f>
        <v/>
      </c>
      <c r="AA145">
        <f>IF(AND(J145&gt;50,I145+J145&gt;75),"SP",IF(2*I145+J145&gt;120,"RP","CRAP"))</f>
        <v/>
      </c>
    </row>
    <row r="146" ht="13.5" customHeight="1" s="27" thickBot="1">
      <c r="A146">
        <f>(V146*V$2+W146*W$2+X146*X$2)*100/(V$4*V$2+W$4*W$2+X$4*X$2)</f>
        <v/>
      </c>
      <c r="B146" s="16" t="n">
        <v>161</v>
      </c>
      <c r="C146" s="10" t="inlineStr">
        <is>
          <t>Carlson, Jon</t>
        </is>
      </c>
      <c r="D146" s="17" t="inlineStr">
        <is>
          <t>2B</t>
        </is>
      </c>
      <c r="E146" s="17" t="inlineStr">
        <is>
          <t>S</t>
        </is>
      </c>
      <c r="F146" s="17" t="inlineStr">
        <is>
          <t>R</t>
        </is>
      </c>
      <c r="G146" s="17" t="n">
        <v>21</v>
      </c>
      <c r="H146" s="17" t="n"/>
      <c r="I146" s="17" t="n"/>
      <c r="J146" s="17" t="n">
        <v>70</v>
      </c>
      <c r="K146" s="17" t="n">
        <v>39</v>
      </c>
      <c r="L146" s="17" t="n">
        <v>22</v>
      </c>
      <c r="M146" s="17" t="n">
        <v>33</v>
      </c>
      <c r="N146" s="17" t="n">
        <v>21</v>
      </c>
      <c r="O146" s="17" t="n">
        <v>0</v>
      </c>
      <c r="P146" s="17" t="n">
        <v>18</v>
      </c>
      <c r="Q146" s="17" t="n">
        <v>40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>
        <f>K$1*(0.000001*K146^3)+L$1*((-0.000002)*L146^3+0.00032*L146^2+(-0.0021)*L146)+M$1*((-0.000002)*M146^3+0.00032*M146^2+(-0.0021)*M146)+N$1*((-0.000002)*N146^3+0.00032*N146^2+(-0.0021)*N146)+O$1*((-0.000002)*O146^3+0.00032*O146^2+(-0.0021)*O146)</f>
        <v/>
      </c>
      <c r="W146" s="5">
        <f>P$1*((-0.000002)*P146^3+0.00032*P146^2+(-0.0021)*P146)+Q$1*((-0.000002)*Q146^3+0.00032*Q146^2+(-0.0021)*Q146)+R$1*((-0.000002)*R146^3+0.00032*R146^2+(-0.0021)*R146)+S$1*((-0.000002)*S146^3+0.00032*S146^2+(-0.0021)*S146)+T$1*((-0.000002)*T146^3+0.00032*T146^2+(-0.0021)*T146)</f>
        <v/>
      </c>
      <c r="X146">
        <f>(I$1*((-0.000002)*I146^3+0.00032*I146^2+(-0.0021)*I146)+J$1*((-0.000002)*J146^3+0.00032*J146^2+(-0.0021)*J146)+H$1*((-0.000002)*H146^3+0.00032*H146^2+(-0.0021)*H146))*(MAX(0.05,MIN(1,(2*J146+I146)/120)*MIN(1,I146/10)*MIN(1,J146/10)))</f>
        <v/>
      </c>
      <c r="Y146" s="5">
        <f>(I$1*((-0.000002)*I146^3+0.00032*I146^2+(-0.0021)*I146)+J$1*((-0.000002)*J146^3+0.00032*J146^2+(-0.0021)*J146)+H$1*((-0.000002)*H146^3+0.00032*H146^2+(-0.0021)*H146))*(MAX(0.05,MIN(1,(2*J146+I146)/120)*MIN(1,I146/10)*MIN(1,J146/10)))</f>
        <v/>
      </c>
      <c r="Z146">
        <f>U146*J$2+V146*O$2+W146*H$2</f>
        <v/>
      </c>
      <c r="AA146">
        <f>IF(AND(J146&gt;50,I146+J146&gt;75),"SP",IF(2*I146+J146&gt;120,"RP","CRAP"))</f>
        <v/>
      </c>
    </row>
    <row r="147" ht="13.5" customHeight="1" s="27" thickBot="1">
      <c r="A147">
        <f>(V147*V$2+W147*W$2+X147*X$2)*100/(V$4*V$2+W$4*W$2+X$4*X$2)</f>
        <v/>
      </c>
      <c r="B147" s="16" t="n">
        <v>31</v>
      </c>
      <c r="C147" s="10" t="inlineStr">
        <is>
          <t>Turnbow, Flash</t>
        </is>
      </c>
      <c r="D147" s="17" t="inlineStr">
        <is>
          <t>SS</t>
        </is>
      </c>
      <c r="E147" s="17" t="inlineStr">
        <is>
          <t>R</t>
        </is>
      </c>
      <c r="F147" s="17" t="inlineStr">
        <is>
          <t>R</t>
        </is>
      </c>
      <c r="G147" s="17" t="n">
        <v>18</v>
      </c>
      <c r="H147" s="17" t="n"/>
      <c r="I147" s="17" t="n"/>
      <c r="J147" s="17" t="n">
        <v>93</v>
      </c>
      <c r="K147" s="17" t="n">
        <v>11</v>
      </c>
      <c r="L147" s="17" t="n">
        <v>21</v>
      </c>
      <c r="M147" s="17" t="n">
        <v>11</v>
      </c>
      <c r="N147" s="17" t="n">
        <v>0</v>
      </c>
      <c r="O147" s="17" t="n">
        <v>4</v>
      </c>
      <c r="P147" s="17" t="n">
        <v>24</v>
      </c>
      <c r="Q147" s="17" t="n">
        <v>74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>
        <f>K$1*(0.000001*K147^3)+L$1*((-0.000002)*L147^3+0.00032*L147^2+(-0.0021)*L147)+M$1*((-0.000002)*M147^3+0.00032*M147^2+(-0.0021)*M147)+N$1*((-0.000002)*N147^3+0.00032*N147^2+(-0.0021)*N147)+O$1*((-0.000002)*O147^3+0.00032*O147^2+(-0.0021)*O147)</f>
        <v/>
      </c>
      <c r="W147" s="5">
        <f>P$1*((-0.000002)*P147^3+0.00032*P147^2+(-0.0021)*P147)+Q$1*((-0.000002)*Q147^3+0.00032*Q147^2+(-0.0021)*Q147)+R$1*((-0.000002)*R147^3+0.00032*R147^2+(-0.0021)*R147)+S$1*((-0.000002)*S147^3+0.00032*S147^2+(-0.0021)*S147)+T$1*((-0.000002)*T147^3+0.00032*T147^2+(-0.0021)*T147)</f>
        <v/>
      </c>
      <c r="X147">
        <f>(I$1*((-0.000002)*I147^3+0.00032*I147^2+(-0.0021)*I147)+J$1*((-0.000002)*J147^3+0.00032*J147^2+(-0.0021)*J147)+H$1*((-0.000002)*H147^3+0.00032*H147^2+(-0.0021)*H147))*(MAX(0.05,MIN(1,(2*J147+I147)/120)*MIN(1,I147/10)*MIN(1,J147/10)))</f>
        <v/>
      </c>
      <c r="Y147" s="5">
        <f>(I$1*((-0.000002)*I147^3+0.00032*I147^2+(-0.0021)*I147)+J$1*((-0.000002)*J147^3+0.00032*J147^2+(-0.0021)*J147)+H$1*((-0.000002)*H147^3+0.00032*H147^2+(-0.0021)*H147))*(MAX(0.05,MIN(1,(2*J147+I147)/120)*MIN(1,I147/10)*MIN(1,J147/10)))</f>
        <v/>
      </c>
      <c r="Z147">
        <f>U147*J$2+V147*O$2+W147*H$2</f>
        <v/>
      </c>
      <c r="AA147">
        <f>IF(AND(J147&gt;50,I147+J147&gt;75),"SP",IF(2*I147+J147&gt;120,"RP","CRAP"))</f>
        <v/>
      </c>
    </row>
    <row r="148" ht="13.5" customHeight="1" s="27" thickBot="1">
      <c r="A148">
        <f>(V148*V$2+W148*W$2+X148*X$2)*100/(V$4*V$2+W$4*W$2+X$4*X$2)</f>
        <v/>
      </c>
      <c r="B148" s="18" t="n">
        <v>42</v>
      </c>
      <c r="C148" s="11" t="inlineStr">
        <is>
          <t>Butler, Allen</t>
        </is>
      </c>
      <c r="D148" s="19" t="inlineStr">
        <is>
          <t>C</t>
        </is>
      </c>
      <c r="E148" s="19" t="inlineStr">
        <is>
          <t>R</t>
        </is>
      </c>
      <c r="F148" s="19" t="inlineStr">
        <is>
          <t>R</t>
        </is>
      </c>
      <c r="G148" s="19" t="n">
        <v>18</v>
      </c>
      <c r="H148" s="19" t="n"/>
      <c r="I148" s="19" t="n"/>
      <c r="J148" s="19" t="n">
        <v>79</v>
      </c>
      <c r="K148" s="19" t="n">
        <v>32</v>
      </c>
      <c r="L148" s="19" t="n">
        <v>9</v>
      </c>
      <c r="M148" s="19" t="n">
        <v>0</v>
      </c>
      <c r="N148" s="19" t="n">
        <v>0</v>
      </c>
      <c r="O148" s="19" t="n">
        <v>16</v>
      </c>
      <c r="P148" s="19" t="n">
        <v>25</v>
      </c>
      <c r="Q148" s="19" t="n">
        <v>71</v>
      </c>
      <c r="R148" s="19" t="n">
        <v>0</v>
      </c>
      <c r="S148" s="19" t="n">
        <v>0</v>
      </c>
      <c r="T148" s="19" t="n">
        <v>0</v>
      </c>
      <c r="U148" s="19" t="n">
        <v>0</v>
      </c>
      <c r="V148" s="19">
        <f>K$1*(0.000001*K148^3)+L$1*((-0.000002)*L148^3+0.00032*L148^2+(-0.0021)*L148)+M$1*((-0.000002)*M148^3+0.00032*M148^2+(-0.0021)*M148)+N$1*((-0.000002)*N148^3+0.00032*N148^2+(-0.0021)*N148)+O$1*((-0.000002)*O148^3+0.00032*O148^2+(-0.0021)*O148)</f>
        <v/>
      </c>
      <c r="W148" s="5">
        <f>P$1*((-0.000002)*P148^3+0.00032*P148^2+(-0.0021)*P148)+Q$1*((-0.000002)*Q148^3+0.00032*Q148^2+(-0.0021)*Q148)+R$1*((-0.000002)*R148^3+0.00032*R148^2+(-0.0021)*R148)+S$1*((-0.000002)*S148^3+0.00032*S148^2+(-0.0021)*S148)+T$1*((-0.000002)*T148^3+0.00032*T148^2+(-0.0021)*T148)</f>
        <v/>
      </c>
      <c r="X148">
        <f>(I$1*((-0.000002)*I148^3+0.00032*I148^2+(-0.0021)*I148)+J$1*((-0.000002)*J148^3+0.00032*J148^2+(-0.0021)*J148)+H$1*((-0.000002)*H148^3+0.00032*H148^2+(-0.0021)*H148))*(MAX(0.05,MIN(1,(2*J148+I148)/120)*MIN(1,I148/10)*MIN(1,J148/10)))</f>
        <v/>
      </c>
      <c r="Y148" s="5">
        <f>(I$1*((-0.000002)*I148^3+0.00032*I148^2+(-0.0021)*I148)+J$1*((-0.000002)*J148^3+0.00032*J148^2+(-0.0021)*J148)+H$1*((-0.000002)*H148^3+0.00032*H148^2+(-0.0021)*H148))*(MAX(0.05,MIN(1,(2*J148+I148)/120)*MIN(1,I148/10)*MIN(1,J148/10)))</f>
        <v/>
      </c>
      <c r="Z148">
        <f>U148*J$2+V148*O$2+W148*H$2</f>
        <v/>
      </c>
      <c r="AA148">
        <f>IF(AND(J148&gt;50,I148+J148&gt;75),"SP",IF(2*I148+J148&gt;120,"RP","CRAP"))</f>
        <v/>
      </c>
    </row>
    <row r="149" ht="13.5" customHeight="1" s="27" thickBot="1">
      <c r="A149">
        <f>(V149*V$2+W149*W$2+X149*X$2)*100/(V$4*V$2+W$4*W$2+X$4*X$2)</f>
        <v/>
      </c>
      <c r="B149" s="16" t="n">
        <v>187</v>
      </c>
      <c r="C149" s="10" t="inlineStr">
        <is>
          <t>Milliard, Gary</t>
        </is>
      </c>
      <c r="D149" s="17" t="inlineStr">
        <is>
          <t>DH</t>
        </is>
      </c>
      <c r="E149" s="17" t="inlineStr">
        <is>
          <t>R</t>
        </is>
      </c>
      <c r="F149" s="17" t="inlineStr">
        <is>
          <t>R</t>
        </is>
      </c>
      <c r="G149" s="17" t="n">
        <v>18</v>
      </c>
      <c r="H149" s="17" t="n"/>
      <c r="I149" s="17" t="n"/>
      <c r="J149" s="17" t="n">
        <v>79</v>
      </c>
      <c r="K149" s="17" t="n">
        <v>19</v>
      </c>
      <c r="L149" s="17" t="n">
        <v>15</v>
      </c>
      <c r="M149" s="17" t="n">
        <v>25</v>
      </c>
      <c r="N149" s="17" t="n">
        <v>18</v>
      </c>
      <c r="O149" s="17" t="n">
        <v>9</v>
      </c>
      <c r="P149" s="17" t="n">
        <v>30</v>
      </c>
      <c r="Q149" s="17" t="n">
        <v>58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>
        <f>K$1*(0.000001*K149^3)+L$1*((-0.000002)*L149^3+0.00032*L149^2+(-0.0021)*L149)+M$1*((-0.000002)*M149^3+0.00032*M149^2+(-0.0021)*M149)+N$1*((-0.000002)*N149^3+0.00032*N149^2+(-0.0021)*N149)+O$1*((-0.000002)*O149^3+0.00032*O149^2+(-0.0021)*O149)</f>
        <v/>
      </c>
      <c r="W149" s="5">
        <f>P$1*((-0.000002)*P149^3+0.00032*P149^2+(-0.0021)*P149)+Q$1*((-0.000002)*Q149^3+0.00032*Q149^2+(-0.0021)*Q149)+R$1*((-0.000002)*R149^3+0.00032*R149^2+(-0.0021)*R149)+S$1*((-0.000002)*S149^3+0.00032*S149^2+(-0.0021)*S149)+T$1*((-0.000002)*T149^3+0.00032*T149^2+(-0.0021)*T149)</f>
        <v/>
      </c>
      <c r="X149">
        <f>(I$1*((-0.000002)*I149^3+0.00032*I149^2+(-0.0021)*I149)+J$1*((-0.000002)*J149^3+0.00032*J149^2+(-0.0021)*J149)+H$1*((-0.000002)*H149^3+0.00032*H149^2+(-0.0021)*H149))*(MAX(0.05,MIN(1,(2*J149+I149)/120)*MIN(1,I149/10)*MIN(1,J149/10)))</f>
        <v/>
      </c>
      <c r="Y149" s="5">
        <f>(I$1*((-0.000002)*I149^3+0.00032*I149^2+(-0.0021)*I149)+J$1*((-0.000002)*J149^3+0.00032*J149^2+(-0.0021)*J149)+H$1*((-0.000002)*H149^3+0.00032*H149^2+(-0.0021)*H149))*(MAX(0.05,MIN(1,(2*J149+I149)/120)*MIN(1,I149/10)*MIN(1,J149/10)))</f>
        <v/>
      </c>
      <c r="Z149">
        <f>U149*J$2+V149*O$2+W149*H$2</f>
        <v/>
      </c>
      <c r="AA149">
        <f>IF(AND(J149&gt;50,I149+J149&gt;75),"SP",IF(2*I149+J149&gt;120,"RP","CRAP"))</f>
        <v/>
      </c>
    </row>
    <row r="150" ht="13.5" customHeight="1" s="27" thickBot="1">
      <c r="A150">
        <f>(V150*V$2+W150*W$2+X150*X$2)*100/(V$4*V$2+W$4*W$2+X$4*X$2)</f>
        <v/>
      </c>
      <c r="B150" s="18" t="n">
        <v>32</v>
      </c>
      <c r="C150" s="11" t="inlineStr">
        <is>
          <t>Lockwood, Lou</t>
        </is>
      </c>
      <c r="D150" s="19" t="inlineStr">
        <is>
          <t>2B</t>
        </is>
      </c>
      <c r="E150" s="19" t="inlineStr">
        <is>
          <t>S</t>
        </is>
      </c>
      <c r="F150" s="19" t="inlineStr">
        <is>
          <t>R</t>
        </is>
      </c>
      <c r="G150" s="19" t="n">
        <v>18</v>
      </c>
      <c r="H150" s="19" t="n"/>
      <c r="I150" s="19" t="n"/>
      <c r="J150" s="19" t="n">
        <v>86</v>
      </c>
      <c r="K150" s="19" t="n">
        <v>38</v>
      </c>
      <c r="L150" s="19" t="n">
        <v>8</v>
      </c>
      <c r="M150" s="19" t="n">
        <v>20</v>
      </c>
      <c r="N150" s="19" t="n">
        <v>12</v>
      </c>
      <c r="O150" s="19" t="n">
        <v>28</v>
      </c>
      <c r="P150" s="19" t="n">
        <v>9</v>
      </c>
      <c r="Q150" s="19" t="n">
        <v>66</v>
      </c>
      <c r="R150" s="19" t="n">
        <v>0</v>
      </c>
      <c r="S150" s="19" t="n">
        <v>0</v>
      </c>
      <c r="T150" s="19" t="n">
        <v>0</v>
      </c>
      <c r="U150" s="19" t="n">
        <v>0</v>
      </c>
      <c r="V150" s="19">
        <f>K$1*(0.000001*K150^3)+L$1*((-0.000002)*L150^3+0.00032*L150^2+(-0.0021)*L150)+M$1*((-0.000002)*M150^3+0.00032*M150^2+(-0.0021)*M150)+N$1*((-0.000002)*N150^3+0.00032*N150^2+(-0.0021)*N150)+O$1*((-0.000002)*O150^3+0.00032*O150^2+(-0.0021)*O150)</f>
        <v/>
      </c>
      <c r="W150" s="5">
        <f>P$1*((-0.000002)*P150^3+0.00032*P150^2+(-0.0021)*P150)+Q$1*((-0.000002)*Q150^3+0.00032*Q150^2+(-0.0021)*Q150)+R$1*((-0.000002)*R150^3+0.00032*R150^2+(-0.0021)*R150)+S$1*((-0.000002)*S150^3+0.00032*S150^2+(-0.0021)*S150)+T$1*((-0.000002)*T150^3+0.00032*T150^2+(-0.0021)*T150)</f>
        <v/>
      </c>
      <c r="X150">
        <f>(I$1*((-0.000002)*I150^3+0.00032*I150^2+(-0.0021)*I150)+J$1*((-0.000002)*J150^3+0.00032*J150^2+(-0.0021)*J150)+H$1*((-0.000002)*H150^3+0.00032*H150^2+(-0.0021)*H150))*(MAX(0.05,MIN(1,(2*J150+I150)/120)*MIN(1,I150/10)*MIN(1,J150/10)))</f>
        <v/>
      </c>
      <c r="Y150" s="5">
        <f>(I$1*((-0.000002)*I150^3+0.00032*I150^2+(-0.0021)*I150)+J$1*((-0.000002)*J150^3+0.00032*J150^2+(-0.0021)*J150)+H$1*((-0.000002)*H150^3+0.00032*H150^2+(-0.0021)*H150))*(MAX(0.05,MIN(1,(2*J150+I150)/120)*MIN(1,I150/10)*MIN(1,J150/10)))</f>
        <v/>
      </c>
      <c r="Z150">
        <f>U150*J$2+V150*O$2+W150*H$2</f>
        <v/>
      </c>
      <c r="AA150">
        <f>IF(AND(J150&gt;50,I150+J150&gt;75),"SP",IF(2*I150+J150&gt;120,"RP","CRAP"))</f>
        <v/>
      </c>
    </row>
    <row r="151" ht="13.5" customHeight="1" s="27" thickBot="1">
      <c r="A151">
        <f>(V151*V$2+W151*W$2+X151*X$2)*100/(V$4*V$2+W$4*W$2+X$4*X$2)</f>
        <v/>
      </c>
      <c r="B151" s="18" t="n">
        <v>44</v>
      </c>
      <c r="C151" s="11" t="inlineStr">
        <is>
          <t>Medica, Kirt</t>
        </is>
      </c>
      <c r="D151" s="19" t="inlineStr">
        <is>
          <t>2B</t>
        </is>
      </c>
      <c r="E151" s="19" t="inlineStr">
        <is>
          <t>R</t>
        </is>
      </c>
      <c r="F151" s="19" t="inlineStr">
        <is>
          <t>R</t>
        </is>
      </c>
      <c r="G151" s="19" t="n">
        <v>18</v>
      </c>
      <c r="H151" s="19" t="n"/>
      <c r="I151" s="19" t="n"/>
      <c r="J151" s="19" t="n">
        <v>77</v>
      </c>
      <c r="K151" s="19" t="n">
        <v>40</v>
      </c>
      <c r="L151" s="19" t="n">
        <v>14</v>
      </c>
      <c r="M151" s="19" t="n">
        <v>9</v>
      </c>
      <c r="N151" s="19" t="n">
        <v>25</v>
      </c>
      <c r="O151" s="19" t="n">
        <v>4</v>
      </c>
      <c r="P151" s="19" t="n">
        <v>22</v>
      </c>
      <c r="Q151" s="19" t="n">
        <v>52</v>
      </c>
      <c r="R151" s="19" t="n">
        <v>0</v>
      </c>
      <c r="S151" s="19" t="n">
        <v>0</v>
      </c>
      <c r="T151" s="19" t="n">
        <v>0</v>
      </c>
      <c r="U151" s="19" t="n">
        <v>0</v>
      </c>
      <c r="V151" s="19">
        <f>K$1*(0.000001*K151^3)+L$1*((-0.000002)*L151^3+0.00032*L151^2+(-0.0021)*L151)+M$1*((-0.000002)*M151^3+0.00032*M151^2+(-0.0021)*M151)+N$1*((-0.000002)*N151^3+0.00032*N151^2+(-0.0021)*N151)+O$1*((-0.000002)*O151^3+0.00032*O151^2+(-0.0021)*O151)</f>
        <v/>
      </c>
      <c r="W151" s="5">
        <f>P$1*((-0.000002)*P151^3+0.00032*P151^2+(-0.0021)*P151)+Q$1*((-0.000002)*Q151^3+0.00032*Q151^2+(-0.0021)*Q151)+R$1*((-0.000002)*R151^3+0.00032*R151^2+(-0.0021)*R151)+S$1*((-0.000002)*S151^3+0.00032*S151^2+(-0.0021)*S151)+T$1*((-0.000002)*T151^3+0.00032*T151^2+(-0.0021)*T151)</f>
        <v/>
      </c>
      <c r="X151">
        <f>(I$1*((-0.000002)*I151^3+0.00032*I151^2+(-0.0021)*I151)+J$1*((-0.000002)*J151^3+0.00032*J151^2+(-0.0021)*J151)+H$1*((-0.000002)*H151^3+0.00032*H151^2+(-0.0021)*H151))*(MAX(0.05,MIN(1,(2*J151+I151)/120)*MIN(1,I151/10)*MIN(1,J151/10)))</f>
        <v/>
      </c>
      <c r="Y151" s="5">
        <f>(I$1*((-0.000002)*I151^3+0.00032*I151^2+(-0.0021)*I151)+J$1*((-0.000002)*J151^3+0.00032*J151^2+(-0.0021)*J151)+H$1*((-0.000002)*H151^3+0.00032*H151^2+(-0.0021)*H151))*(MAX(0.05,MIN(1,(2*J151+I151)/120)*MIN(1,I151/10)*MIN(1,J151/10)))</f>
        <v/>
      </c>
      <c r="Z151">
        <f>U151*J$2+V151*O$2+W151*H$2</f>
        <v/>
      </c>
      <c r="AA151">
        <f>IF(AND(J151&gt;50,I151+J151&gt;75),"SP",IF(2*I151+J151&gt;120,"RP","CRAP"))</f>
        <v/>
      </c>
    </row>
    <row r="152" ht="13.5" customHeight="1" s="27" thickBot="1">
      <c r="A152">
        <f>(V152*V$2+W152*W$2+X152*X$2)*100/(V$4*V$2+W$4*W$2+X$4*X$2)</f>
        <v/>
      </c>
      <c r="B152" s="18" t="n">
        <v>40</v>
      </c>
      <c r="C152" s="11" t="inlineStr">
        <is>
          <t>Hague, Jecksson</t>
        </is>
      </c>
      <c r="D152" s="19" t="inlineStr">
        <is>
          <t>2B</t>
        </is>
      </c>
      <c r="E152" s="19" t="inlineStr">
        <is>
          <t>R</t>
        </is>
      </c>
      <c r="F152" s="19" t="inlineStr">
        <is>
          <t>R</t>
        </is>
      </c>
      <c r="G152" s="19" t="n">
        <v>18</v>
      </c>
      <c r="H152" s="19" t="n"/>
      <c r="I152" s="19" t="n"/>
      <c r="J152" s="19" t="n">
        <v>69</v>
      </c>
      <c r="K152" s="19" t="n">
        <v>11</v>
      </c>
      <c r="L152" s="19" t="n">
        <v>13</v>
      </c>
      <c r="M152" s="19" t="n">
        <v>29</v>
      </c>
      <c r="N152" s="19" t="n">
        <v>23</v>
      </c>
      <c r="O152" s="19" t="n">
        <v>21</v>
      </c>
      <c r="P152" s="19" t="n">
        <v>45</v>
      </c>
      <c r="Q152" s="19" t="n">
        <v>41</v>
      </c>
      <c r="R152" s="19" t="n">
        <v>0</v>
      </c>
      <c r="S152" s="19" t="n">
        <v>0</v>
      </c>
      <c r="T152" s="19" t="n">
        <v>0</v>
      </c>
      <c r="U152" s="19" t="n">
        <v>0</v>
      </c>
      <c r="V152" s="19">
        <f>K$1*(0.000001*K152^3)+L$1*((-0.000002)*L152^3+0.00032*L152^2+(-0.0021)*L152)+M$1*((-0.000002)*M152^3+0.00032*M152^2+(-0.0021)*M152)+N$1*((-0.000002)*N152^3+0.00032*N152^2+(-0.0021)*N152)+O$1*((-0.000002)*O152^3+0.00032*O152^2+(-0.0021)*O152)</f>
        <v/>
      </c>
      <c r="W152" s="5">
        <f>P$1*((-0.000002)*P152^3+0.00032*P152^2+(-0.0021)*P152)+Q$1*((-0.000002)*Q152^3+0.00032*Q152^2+(-0.0021)*Q152)+R$1*((-0.000002)*R152^3+0.00032*R152^2+(-0.0021)*R152)+S$1*((-0.000002)*S152^3+0.00032*S152^2+(-0.0021)*S152)+T$1*((-0.000002)*T152^3+0.00032*T152^2+(-0.0021)*T152)</f>
        <v/>
      </c>
      <c r="X152">
        <f>(I$1*((-0.000002)*I152^3+0.00032*I152^2+(-0.0021)*I152)+J$1*((-0.000002)*J152^3+0.00032*J152^2+(-0.0021)*J152)+H$1*((-0.000002)*H152^3+0.00032*H152^2+(-0.0021)*H152))*(MAX(0.05,MIN(1,(2*J152+I152)/120)*MIN(1,I152/10)*MIN(1,J152/10)))</f>
        <v/>
      </c>
      <c r="Y152" s="5">
        <f>(I$1*((-0.000002)*I152^3+0.00032*I152^2+(-0.0021)*I152)+J$1*((-0.000002)*J152^3+0.00032*J152^2+(-0.0021)*J152)+H$1*((-0.000002)*H152^3+0.00032*H152^2+(-0.0021)*H152))*(MAX(0.05,MIN(1,(2*J152+I152)/120)*MIN(1,I152/10)*MIN(1,J152/10)))</f>
        <v/>
      </c>
      <c r="Z152">
        <f>U152*J$2+V152*O$2+W152*H$2</f>
        <v/>
      </c>
      <c r="AA152">
        <f>IF(AND(J152&gt;50,I152+J152&gt;75),"SP",IF(2*I152+J152&gt;120,"RP","CRAP"))</f>
        <v/>
      </c>
    </row>
    <row r="153" ht="13.5" customHeight="1" s="27" thickBot="1">
      <c r="A153">
        <f>(V153*V$2+W153*W$2+X153*X$2)*100/(V$4*V$2+W$4*W$2+X$4*X$2)</f>
        <v/>
      </c>
      <c r="B153" s="18" t="n">
        <v>34</v>
      </c>
      <c r="C153" s="11" t="inlineStr">
        <is>
          <t>Carson, Eric</t>
        </is>
      </c>
      <c r="D153" s="19" t="inlineStr">
        <is>
          <t>SS</t>
        </is>
      </c>
      <c r="E153" s="19" t="inlineStr">
        <is>
          <t>R</t>
        </is>
      </c>
      <c r="F153" s="19" t="inlineStr">
        <is>
          <t>R</t>
        </is>
      </c>
      <c r="G153" s="19" t="n">
        <v>18</v>
      </c>
      <c r="H153" s="19" t="n"/>
      <c r="I153" s="19" t="n"/>
      <c r="J153" s="19" t="n">
        <v>84</v>
      </c>
      <c r="K153" s="19" t="n">
        <v>33</v>
      </c>
      <c r="L153" s="19" t="n">
        <v>11</v>
      </c>
      <c r="M153" s="19" t="n">
        <v>8</v>
      </c>
      <c r="N153" s="19" t="n">
        <v>10</v>
      </c>
      <c r="O153" s="19" t="n">
        <v>0</v>
      </c>
      <c r="P153" s="19" t="n">
        <v>27</v>
      </c>
      <c r="Q153" s="19" t="n">
        <v>64</v>
      </c>
      <c r="R153" s="19" t="n">
        <v>0</v>
      </c>
      <c r="S153" s="19" t="n">
        <v>0</v>
      </c>
      <c r="T153" s="19" t="n">
        <v>0</v>
      </c>
      <c r="U153" s="19" t="n">
        <v>0</v>
      </c>
      <c r="V153" s="19">
        <f>K$1*(0.000001*K153^3)+L$1*((-0.000002)*L153^3+0.00032*L153^2+(-0.0021)*L153)+M$1*((-0.000002)*M153^3+0.00032*M153^2+(-0.0021)*M153)+N$1*((-0.000002)*N153^3+0.00032*N153^2+(-0.0021)*N153)+O$1*((-0.000002)*O153^3+0.00032*O153^2+(-0.0021)*O153)</f>
        <v/>
      </c>
      <c r="W153" s="5">
        <f>P$1*((-0.000002)*P153^3+0.00032*P153^2+(-0.0021)*P153)+Q$1*((-0.000002)*Q153^3+0.00032*Q153^2+(-0.0021)*Q153)+R$1*((-0.000002)*R153^3+0.00032*R153^2+(-0.0021)*R153)+S$1*((-0.000002)*S153^3+0.00032*S153^2+(-0.0021)*S153)+T$1*((-0.000002)*T153^3+0.00032*T153^2+(-0.0021)*T153)</f>
        <v/>
      </c>
      <c r="X153">
        <f>(I$1*((-0.000002)*I153^3+0.00032*I153^2+(-0.0021)*I153)+J$1*((-0.000002)*J153^3+0.00032*J153^2+(-0.0021)*J153)+H$1*((-0.000002)*H153^3+0.00032*H153^2+(-0.0021)*H153))*(MAX(0.05,MIN(1,(2*J153+I153)/120)*MIN(1,I153/10)*MIN(1,J153/10)))</f>
        <v/>
      </c>
      <c r="Y153" s="5">
        <f>(I$1*((-0.000002)*I153^3+0.00032*I153^2+(-0.0021)*I153)+J$1*((-0.000002)*J153^3+0.00032*J153^2+(-0.0021)*J153)+H$1*((-0.000002)*H153^3+0.00032*H153^2+(-0.0021)*H153))*(MAX(0.05,MIN(1,(2*J153+I153)/120)*MIN(1,I153/10)*MIN(1,J153/10)))</f>
        <v/>
      </c>
      <c r="Z153">
        <f>U153*J$2+V153*O$2+W153*H$2</f>
        <v/>
      </c>
      <c r="AA153">
        <f>IF(AND(J153&gt;50,I153+J153&gt;75),"SP",IF(2*I153+J153&gt;120,"RP","CRAP"))</f>
        <v/>
      </c>
    </row>
    <row r="154" ht="13.5" customHeight="1" s="27" thickBot="1">
      <c r="A154">
        <f>(V154*V$2+W154*W$2+X154*X$2)*100/(V$4*V$2+W$4*W$2+X$4*X$2)</f>
        <v/>
      </c>
      <c r="B154" s="18" t="n">
        <v>150</v>
      </c>
      <c r="C154" s="11" t="inlineStr">
        <is>
          <t>Rhodes, Chadd</t>
        </is>
      </c>
      <c r="D154" s="19" t="inlineStr">
        <is>
          <t>LF</t>
        </is>
      </c>
      <c r="E154" s="19" t="inlineStr">
        <is>
          <t>R</t>
        </is>
      </c>
      <c r="F154" s="19" t="inlineStr">
        <is>
          <t>R</t>
        </is>
      </c>
      <c r="G154" s="19" t="n">
        <v>18</v>
      </c>
      <c r="H154" s="19" t="n"/>
      <c r="I154" s="19" t="n"/>
      <c r="J154" s="19" t="n">
        <v>92</v>
      </c>
      <c r="K154" s="19" t="n">
        <v>25</v>
      </c>
      <c r="L154" s="19" t="n">
        <v>26</v>
      </c>
      <c r="M154" s="19" t="n">
        <v>16</v>
      </c>
      <c r="N154" s="19" t="n">
        <v>8</v>
      </c>
      <c r="O154" s="19" t="n">
        <v>13</v>
      </c>
      <c r="P154" s="19" t="n">
        <v>25</v>
      </c>
      <c r="Q154" s="19" t="n">
        <v>52</v>
      </c>
      <c r="R154" s="19" t="n">
        <v>0</v>
      </c>
      <c r="S154" s="19" t="n">
        <v>0</v>
      </c>
      <c r="T154" s="19" t="n">
        <v>0</v>
      </c>
      <c r="U154" s="19" t="n">
        <v>0</v>
      </c>
      <c r="V154" s="19">
        <f>K$1*(0.000001*K154^3)+L$1*((-0.000002)*L154^3+0.00032*L154^2+(-0.0021)*L154)+M$1*((-0.000002)*M154^3+0.00032*M154^2+(-0.0021)*M154)+N$1*((-0.000002)*N154^3+0.00032*N154^2+(-0.0021)*N154)+O$1*((-0.000002)*O154^3+0.00032*O154^2+(-0.0021)*O154)</f>
        <v/>
      </c>
      <c r="W154" s="5">
        <f>P$1*((-0.000002)*P154^3+0.00032*P154^2+(-0.0021)*P154)+Q$1*((-0.000002)*Q154^3+0.00032*Q154^2+(-0.0021)*Q154)+R$1*((-0.000002)*R154^3+0.00032*R154^2+(-0.0021)*R154)+S$1*((-0.000002)*S154^3+0.00032*S154^2+(-0.0021)*S154)+T$1*((-0.000002)*T154^3+0.00032*T154^2+(-0.0021)*T154)</f>
        <v/>
      </c>
      <c r="X154">
        <f>(I$1*((-0.000002)*I154^3+0.00032*I154^2+(-0.0021)*I154)+J$1*((-0.000002)*J154^3+0.00032*J154^2+(-0.0021)*J154)+H$1*((-0.000002)*H154^3+0.00032*H154^2+(-0.0021)*H154))*(MAX(0.05,MIN(1,(2*J154+I154)/120)*MIN(1,I154/10)*MIN(1,J154/10)))</f>
        <v/>
      </c>
      <c r="Y154" s="5">
        <f>(I$1*((-0.000002)*I154^3+0.00032*I154^2+(-0.0021)*I154)+J$1*((-0.000002)*J154^3+0.00032*J154^2+(-0.0021)*J154)+H$1*((-0.000002)*H154^3+0.00032*H154^2+(-0.0021)*H154))*(MAX(0.05,MIN(1,(2*J154+I154)/120)*MIN(1,I154/10)*MIN(1,J154/10)))</f>
        <v/>
      </c>
      <c r="Z154">
        <f>U154*J$2+V154*O$2+W154*H$2</f>
        <v/>
      </c>
      <c r="AA154">
        <f>IF(AND(J154&gt;50,I154+J154&gt;75),"SP",IF(2*I154+J154&gt;120,"RP","CRAP"))</f>
        <v/>
      </c>
    </row>
    <row r="155" ht="13.5" customHeight="1" s="27" thickBot="1">
      <c r="A155">
        <f>(V155*V$2+W155*W$2+X155*X$2)*100/(V$4*V$2+W$4*W$2+X$4*X$2)</f>
        <v/>
      </c>
      <c r="B155" s="16" t="n">
        <v>71</v>
      </c>
      <c r="C155" s="10" t="inlineStr">
        <is>
          <t>Grahe, Jonathan</t>
        </is>
      </c>
      <c r="D155" s="17" t="inlineStr">
        <is>
          <t>LF</t>
        </is>
      </c>
      <c r="E155" s="17" t="inlineStr">
        <is>
          <t>R</t>
        </is>
      </c>
      <c r="F155" s="17" t="inlineStr">
        <is>
          <t>R</t>
        </is>
      </c>
      <c r="G155" s="17" t="n">
        <v>18</v>
      </c>
      <c r="H155" s="17" t="n"/>
      <c r="I155" s="17" t="n"/>
      <c r="J155" s="17" t="n">
        <v>93</v>
      </c>
      <c r="K155" s="17" t="n">
        <v>13</v>
      </c>
      <c r="L155" s="17" t="n">
        <v>19</v>
      </c>
      <c r="M155" s="17" t="n">
        <v>16</v>
      </c>
      <c r="N155" s="17" t="n">
        <v>8</v>
      </c>
      <c r="O155" s="17" t="n">
        <v>9</v>
      </c>
      <c r="P155" s="17" t="n">
        <v>37</v>
      </c>
      <c r="Q155" s="17" t="n">
        <v>57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>
        <f>K$1*(0.000001*K155^3)+L$1*((-0.000002)*L155^3+0.00032*L155^2+(-0.0021)*L155)+M$1*((-0.000002)*M155^3+0.00032*M155^2+(-0.0021)*M155)+N$1*((-0.000002)*N155^3+0.00032*N155^2+(-0.0021)*N155)+O$1*((-0.000002)*O155^3+0.00032*O155^2+(-0.0021)*O155)</f>
        <v/>
      </c>
      <c r="W155" s="5">
        <f>P$1*((-0.000002)*P155^3+0.00032*P155^2+(-0.0021)*P155)+Q$1*((-0.000002)*Q155^3+0.00032*Q155^2+(-0.0021)*Q155)+R$1*((-0.000002)*R155^3+0.00032*R155^2+(-0.0021)*R155)+S$1*((-0.000002)*S155^3+0.00032*S155^2+(-0.0021)*S155)+T$1*((-0.000002)*T155^3+0.00032*T155^2+(-0.0021)*T155)</f>
        <v/>
      </c>
      <c r="X155">
        <f>(I$1*((-0.000002)*I155^3+0.00032*I155^2+(-0.0021)*I155)+J$1*((-0.000002)*J155^3+0.00032*J155^2+(-0.0021)*J155)+H$1*((-0.000002)*H155^3+0.00032*H155^2+(-0.0021)*H155))*(MAX(0.05,MIN(1,(2*J155+I155)/120)*MIN(1,I155/10)*MIN(1,J155/10)))</f>
        <v/>
      </c>
      <c r="Y155" s="5">
        <f>(I$1*((-0.000002)*I155^3+0.00032*I155^2+(-0.0021)*I155)+J$1*((-0.000002)*J155^3+0.00032*J155^2+(-0.0021)*J155)+H$1*((-0.000002)*H155^3+0.00032*H155^2+(-0.0021)*H155))*(MAX(0.05,MIN(1,(2*J155+I155)/120)*MIN(1,I155/10)*MIN(1,J155/10)))</f>
        <v/>
      </c>
      <c r="Z155">
        <f>U155*J$2+V155*O$2+W155*H$2</f>
        <v/>
      </c>
      <c r="AA155">
        <f>IF(AND(J155&gt;50,I155+J155&gt;75),"SP",IF(2*I155+J155&gt;120,"RP","CRAP"))</f>
        <v/>
      </c>
    </row>
    <row r="156" ht="13.5" customHeight="1" s="27" thickBot="1">
      <c r="A156">
        <f>(V156*V$2+W156*W$2+X156*X$2)*100/(V$4*V$2+W$4*W$2+X$4*X$2)</f>
        <v/>
      </c>
      <c r="B156" s="16" t="n">
        <v>141</v>
      </c>
      <c r="C156" s="10" t="inlineStr">
        <is>
          <t>Morris, Blake</t>
        </is>
      </c>
      <c r="D156" s="17" t="inlineStr">
        <is>
          <t>1B</t>
        </is>
      </c>
      <c r="E156" s="17" t="inlineStr">
        <is>
          <t>L</t>
        </is>
      </c>
      <c r="F156" s="17" t="inlineStr">
        <is>
          <t>L</t>
        </is>
      </c>
      <c r="G156" s="17" t="n">
        <v>18</v>
      </c>
      <c r="H156" s="17" t="n"/>
      <c r="I156" s="17" t="n"/>
      <c r="J156" s="17" t="n">
        <v>91</v>
      </c>
      <c r="K156" s="17" t="n">
        <v>10</v>
      </c>
      <c r="L156" s="17" t="n">
        <v>16</v>
      </c>
      <c r="M156" s="17" t="n">
        <v>2</v>
      </c>
      <c r="N156" s="17" t="n">
        <v>13</v>
      </c>
      <c r="O156" s="17" t="n">
        <v>1</v>
      </c>
      <c r="P156" s="17" t="n">
        <v>39</v>
      </c>
      <c r="Q156" s="17" t="n">
        <v>61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>
        <f>K$1*(0.000001*K156^3)+L$1*((-0.000002)*L156^3+0.00032*L156^2+(-0.0021)*L156)+M$1*((-0.000002)*M156^3+0.00032*M156^2+(-0.0021)*M156)+N$1*((-0.000002)*N156^3+0.00032*N156^2+(-0.0021)*N156)+O$1*((-0.000002)*O156^3+0.00032*O156^2+(-0.0021)*O156)</f>
        <v/>
      </c>
      <c r="W156" s="5">
        <f>P$1*((-0.000002)*P156^3+0.00032*P156^2+(-0.0021)*P156)+Q$1*((-0.000002)*Q156^3+0.00032*Q156^2+(-0.0021)*Q156)+R$1*((-0.000002)*R156^3+0.00032*R156^2+(-0.0021)*R156)+S$1*((-0.000002)*S156^3+0.00032*S156^2+(-0.0021)*S156)+T$1*((-0.000002)*T156^3+0.00032*T156^2+(-0.0021)*T156)</f>
        <v/>
      </c>
      <c r="X156">
        <f>(I$1*((-0.000002)*I156^3+0.00032*I156^2+(-0.0021)*I156)+J$1*((-0.000002)*J156^3+0.00032*J156^2+(-0.0021)*J156)+H$1*((-0.000002)*H156^3+0.00032*H156^2+(-0.0021)*H156))*(MAX(0.05,MIN(1,(2*J156+I156)/120)*MIN(1,I156/10)*MIN(1,J156/10)))</f>
        <v/>
      </c>
      <c r="Y156" s="5">
        <f>(I$1*((-0.000002)*I156^3+0.00032*I156^2+(-0.0021)*I156)+J$1*((-0.000002)*J156^3+0.00032*J156^2+(-0.0021)*J156)+H$1*((-0.000002)*H156^3+0.00032*H156^2+(-0.0021)*H156))*(MAX(0.05,MIN(1,(2*J156+I156)/120)*MIN(1,I156/10)*MIN(1,J156/10)))</f>
        <v/>
      </c>
      <c r="Z156">
        <f>U156*J$2+V156*O$2+W156*H$2</f>
        <v/>
      </c>
      <c r="AA156">
        <f>IF(AND(J156&gt;50,I156+J156&gt;75),"SP",IF(2*I156+J156&gt;120,"RP","CRAP"))</f>
        <v/>
      </c>
    </row>
    <row r="157" ht="13.5" customHeight="1" s="27" thickBot="1">
      <c r="A157">
        <f>(V157*V$2+W157*W$2+X157*X$2)*100/(V$4*V$2+W$4*W$2+X$4*X$2)</f>
        <v/>
      </c>
      <c r="B157" s="18" t="n">
        <v>192</v>
      </c>
      <c r="C157" s="11" t="inlineStr">
        <is>
          <t>Castillo, Juan</t>
        </is>
      </c>
      <c r="D157" s="19" t="inlineStr">
        <is>
          <t>DH</t>
        </is>
      </c>
      <c r="E157" s="19" t="inlineStr">
        <is>
          <t>R</t>
        </is>
      </c>
      <c r="F157" s="19" t="inlineStr">
        <is>
          <t>R</t>
        </is>
      </c>
      <c r="G157" s="19" t="n">
        <v>18</v>
      </c>
      <c r="H157" s="19" t="n"/>
      <c r="I157" s="19" t="n"/>
      <c r="J157" s="19" t="n">
        <v>88</v>
      </c>
      <c r="K157" s="19" t="n">
        <v>27</v>
      </c>
      <c r="L157" s="19" t="n">
        <v>7</v>
      </c>
      <c r="M157" s="19" t="n">
        <v>20</v>
      </c>
      <c r="N157" s="19" t="n">
        <v>16</v>
      </c>
      <c r="O157" s="19" t="n">
        <v>13</v>
      </c>
      <c r="P157" s="19" t="n">
        <v>58</v>
      </c>
      <c r="Q157" s="19" t="n">
        <v>19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>
        <f>K$1*(0.000001*K157^3)+L$1*((-0.000002)*L157^3+0.00032*L157^2+(-0.0021)*L157)+M$1*((-0.000002)*M157^3+0.00032*M157^2+(-0.0021)*M157)+N$1*((-0.000002)*N157^3+0.00032*N157^2+(-0.0021)*N157)+O$1*((-0.000002)*O157^3+0.00032*O157^2+(-0.0021)*O157)</f>
        <v/>
      </c>
      <c r="W157" s="5">
        <f>P$1*((-0.000002)*P157^3+0.00032*P157^2+(-0.0021)*P157)+Q$1*((-0.000002)*Q157^3+0.00032*Q157^2+(-0.0021)*Q157)+R$1*((-0.000002)*R157^3+0.00032*R157^2+(-0.0021)*R157)+S$1*((-0.000002)*S157^3+0.00032*S157^2+(-0.0021)*S157)+T$1*((-0.000002)*T157^3+0.00032*T157^2+(-0.0021)*T157)</f>
        <v/>
      </c>
      <c r="X157">
        <f>(I$1*((-0.000002)*I157^3+0.00032*I157^2+(-0.0021)*I157)+J$1*((-0.000002)*J157^3+0.00032*J157^2+(-0.0021)*J157)+H$1*((-0.000002)*H157^3+0.00032*H157^2+(-0.0021)*H157))*(MAX(0.05,MIN(1,(2*J157+I157)/120)*MIN(1,I157/10)*MIN(1,J157/10)))</f>
        <v/>
      </c>
      <c r="Y157" s="5">
        <f>(I$1*((-0.000002)*I157^3+0.00032*I157^2+(-0.0021)*I157)+J$1*((-0.000002)*J157^3+0.00032*J157^2+(-0.0021)*J157)+H$1*((-0.000002)*H157^3+0.00032*H157^2+(-0.0021)*H157))*(MAX(0.05,MIN(1,(2*J157+I157)/120)*MIN(1,I157/10)*MIN(1,J157/10)))</f>
        <v/>
      </c>
      <c r="Z157">
        <f>U157*J$2+V157*O$2+W157*H$2</f>
        <v/>
      </c>
      <c r="AA157">
        <f>IF(AND(J157&gt;50,I157+J157&gt;75),"SP",IF(2*I157+J157&gt;120,"RP","CRAP"))</f>
        <v/>
      </c>
    </row>
    <row r="158" ht="13.5" customHeight="1" s="27" thickBot="1">
      <c r="A158">
        <f>(V158*V$2+W158*W$2+X158*X$2)*100/(V$4*V$2+W$4*W$2+X$4*X$2)</f>
        <v/>
      </c>
      <c r="B158" s="18" t="n">
        <v>184</v>
      </c>
      <c r="C158" s="11" t="inlineStr">
        <is>
          <t>Amaro, Alving</t>
        </is>
      </c>
      <c r="D158" s="19" t="inlineStr">
        <is>
          <t>DH</t>
        </is>
      </c>
      <c r="E158" s="19" t="inlineStr">
        <is>
          <t>R</t>
        </is>
      </c>
      <c r="F158" s="19" t="inlineStr">
        <is>
          <t>R</t>
        </is>
      </c>
      <c r="G158" s="19" t="n">
        <v>22</v>
      </c>
      <c r="H158" s="19" t="n"/>
      <c r="I158" s="19" t="n"/>
      <c r="J158" s="19" t="n">
        <v>91</v>
      </c>
      <c r="K158" s="19" t="n">
        <v>19</v>
      </c>
      <c r="L158" s="19" t="n">
        <v>22</v>
      </c>
      <c r="M158" s="19" t="n">
        <v>0</v>
      </c>
      <c r="N158" s="19" t="n">
        <v>28</v>
      </c>
      <c r="O158" s="19" t="n">
        <v>0</v>
      </c>
      <c r="P158" s="19" t="n">
        <v>6</v>
      </c>
      <c r="Q158" s="19" t="n">
        <v>57</v>
      </c>
      <c r="R158" s="19" t="n">
        <v>0</v>
      </c>
      <c r="S158" s="19" t="n">
        <v>0</v>
      </c>
      <c r="T158" s="19" t="n">
        <v>0</v>
      </c>
      <c r="U158" s="19" t="n">
        <v>0</v>
      </c>
      <c r="V158" s="19">
        <f>K$1*(0.000001*K158^3)+L$1*((-0.000002)*L158^3+0.00032*L158^2+(-0.0021)*L158)+M$1*((-0.000002)*M158^3+0.00032*M158^2+(-0.0021)*M158)+N$1*((-0.000002)*N158^3+0.00032*N158^2+(-0.0021)*N158)+O$1*((-0.000002)*O158^3+0.00032*O158^2+(-0.0021)*O158)</f>
        <v/>
      </c>
      <c r="W158" s="5">
        <f>P$1*((-0.000002)*P158^3+0.00032*P158^2+(-0.0021)*P158)+Q$1*((-0.000002)*Q158^3+0.00032*Q158^2+(-0.0021)*Q158)+R$1*((-0.000002)*R158^3+0.00032*R158^2+(-0.0021)*R158)+S$1*((-0.000002)*S158^3+0.00032*S158^2+(-0.0021)*S158)+T$1*((-0.000002)*T158^3+0.00032*T158^2+(-0.0021)*T158)</f>
        <v/>
      </c>
      <c r="X158">
        <f>(I$1*((-0.000002)*I158^3+0.00032*I158^2+(-0.0021)*I158)+J$1*((-0.000002)*J158^3+0.00032*J158^2+(-0.0021)*J158)+H$1*((-0.000002)*H158^3+0.00032*H158^2+(-0.0021)*H158))*(MAX(0.05,MIN(1,(2*J158+I158)/120)*MIN(1,I158/10)*MIN(1,J158/10)))</f>
        <v/>
      </c>
      <c r="Y158" s="5">
        <f>(I$1*((-0.000002)*I158^3+0.00032*I158^2+(-0.0021)*I158)+J$1*((-0.000002)*J158^3+0.00032*J158^2+(-0.0021)*J158)+H$1*((-0.000002)*H158^3+0.00032*H158^2+(-0.0021)*H158))*(MAX(0.05,MIN(1,(2*J158+I158)/120)*MIN(1,I158/10)*MIN(1,J158/10)))</f>
        <v/>
      </c>
      <c r="Z158">
        <f>U158*J$2+V158*O$2+W158*H$2</f>
        <v/>
      </c>
      <c r="AA158">
        <f>IF(AND(J158&gt;50,I158+J158&gt;75),"SP",IF(2*I158+J158&gt;120,"RP","CRAP"))</f>
        <v/>
      </c>
    </row>
    <row r="159" ht="13.5" customHeight="1" s="27" thickBot="1">
      <c r="A159">
        <f>(V159*V$2+W159*W$2+X159*X$2)*100/(V$4*V$2+W$4*W$2+X$4*X$2)</f>
        <v/>
      </c>
      <c r="B159" s="16" t="n">
        <v>27</v>
      </c>
      <c r="C159" s="10" t="inlineStr">
        <is>
          <t>Bittle, Tommie</t>
        </is>
      </c>
      <c r="D159" s="17" t="inlineStr">
        <is>
          <t>1B</t>
        </is>
      </c>
      <c r="E159" s="17" t="inlineStr">
        <is>
          <t>R</t>
        </is>
      </c>
      <c r="F159" s="17" t="inlineStr">
        <is>
          <t>R</t>
        </is>
      </c>
      <c r="G159" s="17" t="n">
        <v>18</v>
      </c>
      <c r="H159" s="17" t="n"/>
      <c r="I159" s="17" t="n"/>
      <c r="J159" s="17" t="n">
        <v>85</v>
      </c>
      <c r="K159" s="17" t="n">
        <v>36</v>
      </c>
      <c r="L159" s="17" t="n">
        <v>23</v>
      </c>
      <c r="M159" s="17" t="n">
        <v>24</v>
      </c>
      <c r="N159" s="17" t="n">
        <v>16</v>
      </c>
      <c r="O159" s="17" t="n">
        <v>21</v>
      </c>
      <c r="P159" s="17" t="n">
        <v>31</v>
      </c>
      <c r="Q159" s="17" t="n">
        <v>32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>
        <f>K$1*(0.000001*K159^3)+L$1*((-0.000002)*L159^3+0.00032*L159^2+(-0.0021)*L159)+M$1*((-0.000002)*M159^3+0.00032*M159^2+(-0.0021)*M159)+N$1*((-0.000002)*N159^3+0.00032*N159^2+(-0.0021)*N159)+O$1*((-0.000002)*O159^3+0.00032*O159^2+(-0.0021)*O159)</f>
        <v/>
      </c>
      <c r="W159" s="5">
        <f>P$1*((-0.000002)*P159^3+0.00032*P159^2+(-0.0021)*P159)+Q$1*((-0.000002)*Q159^3+0.00032*Q159^2+(-0.0021)*Q159)+R$1*((-0.000002)*R159^3+0.00032*R159^2+(-0.0021)*R159)+S$1*((-0.000002)*S159^3+0.00032*S159^2+(-0.0021)*S159)+T$1*((-0.000002)*T159^3+0.00032*T159^2+(-0.0021)*T159)</f>
        <v/>
      </c>
      <c r="X159">
        <f>(I$1*((-0.000002)*I159^3+0.00032*I159^2+(-0.0021)*I159)+J$1*((-0.000002)*J159^3+0.00032*J159^2+(-0.0021)*J159)+H$1*((-0.000002)*H159^3+0.00032*H159^2+(-0.0021)*H159))*(MAX(0.05,MIN(1,(2*J159+I159)/120)*MIN(1,I159/10)*MIN(1,J159/10)))</f>
        <v/>
      </c>
      <c r="Y159" s="5">
        <f>(I$1*((-0.000002)*I159^3+0.00032*I159^2+(-0.0021)*I159)+J$1*((-0.000002)*J159^3+0.00032*J159^2+(-0.0021)*J159)+H$1*((-0.000002)*H159^3+0.00032*H159^2+(-0.0021)*H159))*(MAX(0.05,MIN(1,(2*J159+I159)/120)*MIN(1,I159/10)*MIN(1,J159/10)))</f>
        <v/>
      </c>
      <c r="Z159">
        <f>U159*J$2+V159*O$2+W159*H$2</f>
        <v/>
      </c>
      <c r="AA159">
        <f>IF(AND(J159&gt;50,I159+J159&gt;75),"SP",IF(2*I159+J159&gt;120,"RP","CRAP"))</f>
        <v/>
      </c>
    </row>
    <row r="160" ht="13.5" customHeight="1" s="27" thickBot="1">
      <c r="A160">
        <f>(V160*V$2+W160*W$2+X160*X$2)*100/(V$4*V$2+W$4*W$2+X$4*X$2)</f>
        <v/>
      </c>
      <c r="B160" s="18" t="n">
        <v>156</v>
      </c>
      <c r="C160" s="11" t="inlineStr">
        <is>
          <t>Cordero, Alfredo</t>
        </is>
      </c>
      <c r="D160" s="19" t="inlineStr">
        <is>
          <t>1B</t>
        </is>
      </c>
      <c r="E160" s="19" t="inlineStr">
        <is>
          <t>S</t>
        </is>
      </c>
      <c r="F160" s="19" t="inlineStr">
        <is>
          <t>R</t>
        </is>
      </c>
      <c r="G160" s="19" t="n">
        <v>18</v>
      </c>
      <c r="H160" s="19" t="n"/>
      <c r="I160" s="19" t="n"/>
      <c r="J160" s="19" t="n">
        <v>81</v>
      </c>
      <c r="K160" s="19" t="n">
        <v>14</v>
      </c>
      <c r="L160" s="19" t="n">
        <v>13</v>
      </c>
      <c r="M160" s="19" t="n">
        <v>17</v>
      </c>
      <c r="N160" s="19" t="n">
        <v>12</v>
      </c>
      <c r="O160" s="19" t="n">
        <v>15</v>
      </c>
      <c r="P160" s="19" t="n">
        <v>39</v>
      </c>
      <c r="Q160" s="19" t="n">
        <v>56</v>
      </c>
      <c r="R160" s="19" t="n">
        <v>0</v>
      </c>
      <c r="S160" s="19" t="n">
        <v>0</v>
      </c>
      <c r="T160" s="19" t="n">
        <v>0</v>
      </c>
      <c r="U160" s="19" t="n">
        <v>0</v>
      </c>
      <c r="V160" s="19">
        <f>K$1*(0.000001*K160^3)+L$1*((-0.000002)*L160^3+0.00032*L160^2+(-0.0021)*L160)+M$1*((-0.000002)*M160^3+0.00032*M160^2+(-0.0021)*M160)+N$1*((-0.000002)*N160^3+0.00032*N160^2+(-0.0021)*N160)+O$1*((-0.000002)*O160^3+0.00032*O160^2+(-0.0021)*O160)</f>
        <v/>
      </c>
      <c r="W160" s="5">
        <f>P$1*((-0.000002)*P160^3+0.00032*P160^2+(-0.0021)*P160)+Q$1*((-0.000002)*Q160^3+0.00032*Q160^2+(-0.0021)*Q160)+R$1*((-0.000002)*R160^3+0.00032*R160^2+(-0.0021)*R160)+S$1*((-0.000002)*S160^3+0.00032*S160^2+(-0.0021)*S160)+T$1*((-0.000002)*T160^3+0.00032*T160^2+(-0.0021)*T160)</f>
        <v/>
      </c>
      <c r="X160">
        <f>(I$1*((-0.000002)*I160^3+0.00032*I160^2+(-0.0021)*I160)+J$1*((-0.000002)*J160^3+0.00032*J160^2+(-0.0021)*J160)+H$1*((-0.000002)*H160^3+0.00032*H160^2+(-0.0021)*H160))*(MAX(0.05,MIN(1,(2*J160+I160)/120)*MIN(1,I160/10)*MIN(1,J160/10)))</f>
        <v/>
      </c>
      <c r="Y160" s="5">
        <f>(I$1*((-0.000002)*I160^3+0.00032*I160^2+(-0.0021)*I160)+J$1*((-0.000002)*J160^3+0.00032*J160^2+(-0.0021)*J160)+H$1*((-0.000002)*H160^3+0.00032*H160^2+(-0.0021)*H160))*(MAX(0.05,MIN(1,(2*J160+I160)/120)*MIN(1,I160/10)*MIN(1,J160/10)))</f>
        <v/>
      </c>
      <c r="Z160">
        <f>U160*J$2+V160*O$2+W160*H$2</f>
        <v/>
      </c>
      <c r="AA160">
        <f>IF(AND(J160&gt;50,I160+J160&gt;75),"SP",IF(2*I160+J160&gt;120,"RP","CRAP"))</f>
        <v/>
      </c>
    </row>
    <row r="161" ht="13.5" customHeight="1" s="27" thickBot="1">
      <c r="A161">
        <f>(V161*V$2+W161*W$2+X161*X$2)*100/(V$4*V$2+W$4*W$2+X$4*X$2)</f>
        <v/>
      </c>
      <c r="B161" s="18" t="n">
        <v>114</v>
      </c>
      <c r="C161" s="11" t="inlineStr">
        <is>
          <t>Viciedo, Everth</t>
        </is>
      </c>
      <c r="D161" s="19" t="inlineStr">
        <is>
          <t>C</t>
        </is>
      </c>
      <c r="E161" s="19" t="inlineStr">
        <is>
          <t>R</t>
        </is>
      </c>
      <c r="F161" s="19" t="inlineStr">
        <is>
          <t>R</t>
        </is>
      </c>
      <c r="G161" s="19" t="n">
        <v>18</v>
      </c>
      <c r="H161" s="19" t="n"/>
      <c r="I161" s="19" t="n"/>
      <c r="J161" s="19" t="n">
        <v>72</v>
      </c>
      <c r="K161" s="19" t="n">
        <v>8</v>
      </c>
      <c r="L161" s="19" t="n">
        <v>5</v>
      </c>
      <c r="M161" s="19" t="n">
        <v>12</v>
      </c>
      <c r="N161" s="19" t="n">
        <v>10</v>
      </c>
      <c r="O161" s="19" t="n">
        <v>11</v>
      </c>
      <c r="P161" s="19" t="n">
        <v>22</v>
      </c>
      <c r="Q161" s="19" t="n">
        <v>89</v>
      </c>
      <c r="R161" s="19" t="n">
        <v>0</v>
      </c>
      <c r="S161" s="19" t="n">
        <v>0</v>
      </c>
      <c r="T161" s="19" t="n">
        <v>0</v>
      </c>
      <c r="U161" s="19" t="n">
        <v>0</v>
      </c>
      <c r="V161" s="19">
        <f>K$1*(0.000001*K161^3)+L$1*((-0.000002)*L161^3+0.00032*L161^2+(-0.0021)*L161)+M$1*((-0.000002)*M161^3+0.00032*M161^2+(-0.0021)*M161)+N$1*((-0.000002)*N161^3+0.00032*N161^2+(-0.0021)*N161)+O$1*((-0.000002)*O161^3+0.00032*O161^2+(-0.0021)*O161)</f>
        <v/>
      </c>
      <c r="W161" s="5">
        <f>P$1*((-0.000002)*P161^3+0.00032*P161^2+(-0.0021)*P161)+Q$1*((-0.000002)*Q161^3+0.00032*Q161^2+(-0.0021)*Q161)+R$1*((-0.000002)*R161^3+0.00032*R161^2+(-0.0021)*R161)+S$1*((-0.000002)*S161^3+0.00032*S161^2+(-0.0021)*S161)+T$1*((-0.000002)*T161^3+0.00032*T161^2+(-0.0021)*T161)</f>
        <v/>
      </c>
      <c r="X161">
        <f>(I$1*((-0.000002)*I161^3+0.00032*I161^2+(-0.0021)*I161)+J$1*((-0.000002)*J161^3+0.00032*J161^2+(-0.0021)*J161)+H$1*((-0.000002)*H161^3+0.00032*H161^2+(-0.0021)*H161))*(MAX(0.05,MIN(1,(2*J161+I161)/120)*MIN(1,I161/10)*MIN(1,J161/10)))</f>
        <v/>
      </c>
      <c r="Y161" s="5">
        <f>(I$1*((-0.000002)*I161^3+0.00032*I161^2+(-0.0021)*I161)+J$1*((-0.000002)*J161^3+0.00032*J161^2+(-0.0021)*J161)+H$1*((-0.000002)*H161^3+0.00032*H161^2+(-0.0021)*H161))*(MAX(0.05,MIN(1,(2*J161+I161)/120)*MIN(1,I161/10)*MIN(1,J161/10)))</f>
        <v/>
      </c>
      <c r="Z161">
        <f>U161*J$2+V161*O$2+W161*H$2</f>
        <v/>
      </c>
      <c r="AA161">
        <f>IF(AND(J161&gt;50,I161+J161&gt;75),"SP",IF(2*I161+J161&gt;120,"RP","CRAP"))</f>
        <v/>
      </c>
    </row>
    <row r="162" ht="13.5" customHeight="1" s="27" thickBot="1">
      <c r="A162">
        <f>(V162*V$2+W162*W$2+X162*X$2)*100/(V$4*V$2+W$4*W$2+X$4*X$2)</f>
        <v/>
      </c>
      <c r="B162" s="16" t="n">
        <v>49</v>
      </c>
      <c r="C162" s="10" t="inlineStr">
        <is>
          <t>Rodriguez, Arquimedes</t>
        </is>
      </c>
      <c r="D162" s="17" t="inlineStr">
        <is>
          <t>RF</t>
        </is>
      </c>
      <c r="E162" s="17" t="inlineStr">
        <is>
          <t>S</t>
        </is>
      </c>
      <c r="F162" s="17" t="inlineStr">
        <is>
          <t>L</t>
        </is>
      </c>
      <c r="G162" s="17" t="n">
        <v>18</v>
      </c>
      <c r="H162" s="17" t="n"/>
      <c r="I162" s="17" t="n"/>
      <c r="J162" s="17" t="n">
        <v>75</v>
      </c>
      <c r="K162" s="17" t="n">
        <v>17</v>
      </c>
      <c r="L162" s="17" t="n">
        <v>22</v>
      </c>
      <c r="M162" s="17" t="n">
        <v>17</v>
      </c>
      <c r="N162" s="17" t="n">
        <v>4</v>
      </c>
      <c r="O162" s="17" t="n">
        <v>0</v>
      </c>
      <c r="P162" s="17" t="n">
        <v>29</v>
      </c>
      <c r="Q162" s="17" t="n">
        <v>58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>
        <f>K$1*(0.000001*K162^3)+L$1*((-0.000002)*L162^3+0.00032*L162^2+(-0.0021)*L162)+M$1*((-0.000002)*M162^3+0.00032*M162^2+(-0.0021)*M162)+N$1*((-0.000002)*N162^3+0.00032*N162^2+(-0.0021)*N162)+O$1*((-0.000002)*O162^3+0.00032*O162^2+(-0.0021)*O162)</f>
        <v/>
      </c>
      <c r="W162" s="5">
        <f>P$1*((-0.000002)*P162^3+0.00032*P162^2+(-0.0021)*P162)+Q$1*((-0.000002)*Q162^3+0.00032*Q162^2+(-0.0021)*Q162)+R$1*((-0.000002)*R162^3+0.00032*R162^2+(-0.0021)*R162)+S$1*((-0.000002)*S162^3+0.00032*S162^2+(-0.0021)*S162)+T$1*((-0.000002)*T162^3+0.00032*T162^2+(-0.0021)*T162)</f>
        <v/>
      </c>
      <c r="X162">
        <f>(I$1*((-0.000002)*I162^3+0.00032*I162^2+(-0.0021)*I162)+J$1*((-0.000002)*J162^3+0.00032*J162^2+(-0.0021)*J162)+H$1*((-0.000002)*H162^3+0.00032*H162^2+(-0.0021)*H162))*(MAX(0.05,MIN(1,(2*J162+I162)/120)*MIN(1,I162/10)*MIN(1,J162/10)))</f>
        <v/>
      </c>
      <c r="Y162" s="5">
        <f>(I$1*((-0.000002)*I162^3+0.00032*I162^2+(-0.0021)*I162)+J$1*((-0.000002)*J162^3+0.00032*J162^2+(-0.0021)*J162)+H$1*((-0.000002)*H162^3+0.00032*H162^2+(-0.0021)*H162))*(MAX(0.05,MIN(1,(2*J162+I162)/120)*MIN(1,I162/10)*MIN(1,J162/10)))</f>
        <v/>
      </c>
      <c r="Z162">
        <f>U162*J$2+V162*O$2+W162*H$2</f>
        <v/>
      </c>
      <c r="AA162">
        <f>IF(AND(J162&gt;50,I162+J162&gt;75),"SP",IF(2*I162+J162&gt;120,"RP","CRAP"))</f>
        <v/>
      </c>
    </row>
    <row r="163" ht="13.5" customHeight="1" s="27" thickBot="1">
      <c r="A163">
        <f>(V163*V$2+W163*W$2+X163*X$2)*100/(V$4*V$2+W$4*W$2+X$4*X$2)</f>
        <v/>
      </c>
      <c r="B163" s="16" t="n">
        <v>155</v>
      </c>
      <c r="C163" s="10" t="inlineStr">
        <is>
          <t>Wagner, Doug</t>
        </is>
      </c>
      <c r="D163" s="17" t="inlineStr">
        <is>
          <t>LF</t>
        </is>
      </c>
      <c r="E163" s="17" t="inlineStr">
        <is>
          <t>R</t>
        </is>
      </c>
      <c r="F163" s="17" t="inlineStr">
        <is>
          <t>R</t>
        </is>
      </c>
      <c r="G163" s="17" t="n">
        <v>18</v>
      </c>
      <c r="H163" s="17" t="n"/>
      <c r="I163" s="17" t="n"/>
      <c r="J163" s="17" t="n">
        <v>87</v>
      </c>
      <c r="K163" s="17" t="n">
        <v>12</v>
      </c>
      <c r="L163" s="17" t="n">
        <v>9</v>
      </c>
      <c r="M163" s="17" t="n">
        <v>26</v>
      </c>
      <c r="N163" s="17" t="n">
        <v>19</v>
      </c>
      <c r="O163" s="17" t="n">
        <v>11</v>
      </c>
      <c r="P163" s="17" t="n">
        <v>35</v>
      </c>
      <c r="Q163" s="17" t="n">
        <v>52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>
        <f>K$1*(0.000001*K163^3)+L$1*((-0.000002)*L163^3+0.00032*L163^2+(-0.0021)*L163)+M$1*((-0.000002)*M163^3+0.00032*M163^2+(-0.0021)*M163)+N$1*((-0.000002)*N163^3+0.00032*N163^2+(-0.0021)*N163)+O$1*((-0.000002)*O163^3+0.00032*O163^2+(-0.0021)*O163)</f>
        <v/>
      </c>
      <c r="W163" s="5">
        <f>P$1*((-0.000002)*P163^3+0.00032*P163^2+(-0.0021)*P163)+Q$1*((-0.000002)*Q163^3+0.00032*Q163^2+(-0.0021)*Q163)+R$1*((-0.000002)*R163^3+0.00032*R163^2+(-0.0021)*R163)+S$1*((-0.000002)*S163^3+0.00032*S163^2+(-0.0021)*S163)+T$1*((-0.000002)*T163^3+0.00032*T163^2+(-0.0021)*T163)</f>
        <v/>
      </c>
      <c r="X163">
        <f>(I$1*((-0.000002)*I163^3+0.00032*I163^2+(-0.0021)*I163)+J$1*((-0.000002)*J163^3+0.00032*J163^2+(-0.0021)*J163)+H$1*((-0.000002)*H163^3+0.00032*H163^2+(-0.0021)*H163))*(MAX(0.05,MIN(1,(2*J163+I163)/120)*MIN(1,I163/10)*MIN(1,J163/10)))</f>
        <v/>
      </c>
      <c r="Y163" s="5">
        <f>(I$1*((-0.000002)*I163^3+0.00032*I163^2+(-0.0021)*I163)+J$1*((-0.000002)*J163^3+0.00032*J163^2+(-0.0021)*J163)+H$1*((-0.000002)*H163^3+0.00032*H163^2+(-0.0021)*H163))*(MAX(0.05,MIN(1,(2*J163+I163)/120)*MIN(1,I163/10)*MIN(1,J163/10)))</f>
        <v/>
      </c>
      <c r="Z163">
        <f>U163*J$2+V163*O$2+W163*H$2</f>
        <v/>
      </c>
      <c r="AA163">
        <f>IF(AND(J163&gt;50,I163+J163&gt;75),"SP",IF(2*I163+J163&gt;120,"RP","CRAP"))</f>
        <v/>
      </c>
    </row>
    <row r="164" ht="13.5" customHeight="1" s="27" thickBot="1">
      <c r="A164">
        <f>(V164*V$2+W164*W$2+X164*X$2)*100/(V$4*V$2+W$4*W$2+X$4*X$2)</f>
        <v/>
      </c>
      <c r="B164" s="16" t="n">
        <v>197</v>
      </c>
      <c r="C164" s="10" t="inlineStr">
        <is>
          <t>Graves, Dion</t>
        </is>
      </c>
      <c r="D164" s="17" t="inlineStr">
        <is>
          <t>DH</t>
        </is>
      </c>
      <c r="E164" s="17" t="inlineStr">
        <is>
          <t>R</t>
        </is>
      </c>
      <c r="F164" s="17" t="inlineStr">
        <is>
          <t>R</t>
        </is>
      </c>
      <c r="G164" s="17" t="n">
        <v>19</v>
      </c>
      <c r="H164" s="17" t="n"/>
      <c r="I164" s="17" t="n"/>
      <c r="J164" s="17" t="n">
        <v>70</v>
      </c>
      <c r="K164" s="17" t="n">
        <v>29</v>
      </c>
      <c r="L164" s="17" t="n">
        <v>3</v>
      </c>
      <c r="M164" s="17" t="n">
        <v>36</v>
      </c>
      <c r="N164" s="17" t="n">
        <v>29</v>
      </c>
      <c r="O164" s="17" t="n">
        <v>0</v>
      </c>
      <c r="P164" s="17" t="n">
        <v>12</v>
      </c>
      <c r="Q164" s="17" t="n">
        <v>44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>
        <f>K$1*(0.000001*K164^3)+L$1*((-0.000002)*L164^3+0.00032*L164^2+(-0.0021)*L164)+M$1*((-0.000002)*M164^3+0.00032*M164^2+(-0.0021)*M164)+N$1*((-0.000002)*N164^3+0.00032*N164^2+(-0.0021)*N164)+O$1*((-0.000002)*O164^3+0.00032*O164^2+(-0.0021)*O164)</f>
        <v/>
      </c>
      <c r="W164" s="5">
        <f>P$1*((-0.000002)*P164^3+0.00032*P164^2+(-0.0021)*P164)+Q$1*((-0.000002)*Q164^3+0.00032*Q164^2+(-0.0021)*Q164)+R$1*((-0.000002)*R164^3+0.00032*R164^2+(-0.0021)*R164)+S$1*((-0.000002)*S164^3+0.00032*S164^2+(-0.0021)*S164)+T$1*((-0.000002)*T164^3+0.00032*T164^2+(-0.0021)*T164)</f>
        <v/>
      </c>
      <c r="X164">
        <f>(I$1*((-0.000002)*I164^3+0.00032*I164^2+(-0.0021)*I164)+J$1*((-0.000002)*J164^3+0.00032*J164^2+(-0.0021)*J164)+H$1*((-0.000002)*H164^3+0.00032*H164^2+(-0.0021)*H164))*(MAX(0.05,MIN(1,(2*J164+I164)/120)*MIN(1,I164/10)*MIN(1,J164/10)))</f>
        <v/>
      </c>
      <c r="Y164" s="5">
        <f>(I$1*((-0.000002)*I164^3+0.00032*I164^2+(-0.0021)*I164)+J$1*((-0.000002)*J164^3+0.00032*J164^2+(-0.0021)*J164)+H$1*((-0.000002)*H164^3+0.00032*H164^2+(-0.0021)*H164))*(MAX(0.05,MIN(1,(2*J164+I164)/120)*MIN(1,I164/10)*MIN(1,J164/10)))</f>
        <v/>
      </c>
      <c r="Z164">
        <f>U164*J$2+V164*O$2+W164*H$2</f>
        <v/>
      </c>
      <c r="AA164">
        <f>IF(AND(J164&gt;50,I164+J164&gt;75),"SP",IF(2*I164+J164&gt;120,"RP","CRAP"))</f>
        <v/>
      </c>
    </row>
    <row r="165" ht="13.5" customHeight="1" s="27" thickBot="1">
      <c r="A165">
        <f>(V165*V$2+W165*W$2+X165*X$2)*100/(V$4*V$2+W$4*W$2+X$4*X$2)</f>
        <v/>
      </c>
      <c r="B165" s="16" t="n">
        <v>55</v>
      </c>
      <c r="C165" s="10" t="inlineStr">
        <is>
          <t>Cruz, Dilson</t>
        </is>
      </c>
      <c r="D165" s="17" t="inlineStr">
        <is>
          <t>1B</t>
        </is>
      </c>
      <c r="E165" s="17" t="inlineStr">
        <is>
          <t>L</t>
        </is>
      </c>
      <c r="F165" s="17" t="inlineStr">
        <is>
          <t>L</t>
        </is>
      </c>
      <c r="G165" s="17" t="n">
        <v>18</v>
      </c>
      <c r="H165" s="17" t="n"/>
      <c r="I165" s="17" t="n"/>
      <c r="J165" s="17" t="n">
        <v>85</v>
      </c>
      <c r="K165" s="17" t="n">
        <v>13</v>
      </c>
      <c r="L165" s="17" t="n">
        <v>10</v>
      </c>
      <c r="M165" s="17" t="n">
        <v>17</v>
      </c>
      <c r="N165" s="17" t="n">
        <v>23</v>
      </c>
      <c r="O165" s="17" t="n">
        <v>3</v>
      </c>
      <c r="P165" s="17" t="n">
        <v>33</v>
      </c>
      <c r="Q165" s="17" t="n">
        <v>55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>
        <f>K$1*(0.000001*K165^3)+L$1*((-0.000002)*L165^3+0.00032*L165^2+(-0.0021)*L165)+M$1*((-0.000002)*M165^3+0.00032*M165^2+(-0.0021)*M165)+N$1*((-0.000002)*N165^3+0.00032*N165^2+(-0.0021)*N165)+O$1*((-0.000002)*O165^3+0.00032*O165^2+(-0.0021)*O165)</f>
        <v/>
      </c>
      <c r="W165" s="5">
        <f>P$1*((-0.000002)*P165^3+0.00032*P165^2+(-0.0021)*P165)+Q$1*((-0.000002)*Q165^3+0.00032*Q165^2+(-0.0021)*Q165)+R$1*((-0.000002)*R165^3+0.00032*R165^2+(-0.0021)*R165)+S$1*((-0.000002)*S165^3+0.00032*S165^2+(-0.0021)*S165)+T$1*((-0.000002)*T165^3+0.00032*T165^2+(-0.0021)*T165)</f>
        <v/>
      </c>
      <c r="X165">
        <f>(I$1*((-0.000002)*I165^3+0.00032*I165^2+(-0.0021)*I165)+J$1*((-0.000002)*J165^3+0.00032*J165^2+(-0.0021)*J165)+H$1*((-0.000002)*H165^3+0.00032*H165^2+(-0.0021)*H165))*(MAX(0.05,MIN(1,(2*J165+I165)/120)*MIN(1,I165/10)*MIN(1,J165/10)))</f>
        <v/>
      </c>
      <c r="Y165" s="5">
        <f>(I$1*((-0.000002)*I165^3+0.00032*I165^2+(-0.0021)*I165)+J$1*((-0.000002)*J165^3+0.00032*J165^2+(-0.0021)*J165)+H$1*((-0.000002)*H165^3+0.00032*H165^2+(-0.0021)*H165))*(MAX(0.05,MIN(1,(2*J165+I165)/120)*MIN(1,I165/10)*MIN(1,J165/10)))</f>
        <v/>
      </c>
      <c r="Z165">
        <f>U165*J$2+V165*O$2+W165*H$2</f>
        <v/>
      </c>
      <c r="AA165">
        <f>IF(AND(J165&gt;50,I165+J165&gt;75),"SP",IF(2*I165+J165&gt;120,"RP","CRAP"))</f>
        <v/>
      </c>
    </row>
    <row r="166" ht="13.5" customHeight="1" s="27" thickBot="1">
      <c r="A166">
        <f>(V166*V$2+W166*W$2+X166*X$2)*100/(V$4*V$2+W$4*W$2+X$4*X$2)</f>
        <v/>
      </c>
      <c r="B166" s="16" t="n">
        <v>193</v>
      </c>
      <c r="C166" s="10" t="inlineStr">
        <is>
          <t>Cunningham, Clem</t>
        </is>
      </c>
      <c r="D166" s="17" t="inlineStr">
        <is>
          <t>DH</t>
        </is>
      </c>
      <c r="E166" s="17" t="inlineStr">
        <is>
          <t>R</t>
        </is>
      </c>
      <c r="F166" s="17" t="inlineStr">
        <is>
          <t>R</t>
        </is>
      </c>
      <c r="G166" s="17" t="n">
        <v>18</v>
      </c>
      <c r="H166" s="17" t="n"/>
      <c r="I166" s="17" t="n"/>
      <c r="J166" s="17" t="n">
        <v>73</v>
      </c>
      <c r="K166" s="17" t="n">
        <v>11</v>
      </c>
      <c r="L166" s="17" t="n">
        <v>7</v>
      </c>
      <c r="M166" s="17" t="n">
        <v>19</v>
      </c>
      <c r="N166" s="17" t="n">
        <v>10</v>
      </c>
      <c r="O166" s="17" t="n">
        <v>1</v>
      </c>
      <c r="P166" s="17" t="n">
        <v>39</v>
      </c>
      <c r="Q166" s="17" t="n">
        <v>61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>
        <f>K$1*(0.000001*K166^3)+L$1*((-0.000002)*L166^3+0.00032*L166^2+(-0.0021)*L166)+M$1*((-0.000002)*M166^3+0.00032*M166^2+(-0.0021)*M166)+N$1*((-0.000002)*N166^3+0.00032*N166^2+(-0.0021)*N166)+O$1*((-0.000002)*O166^3+0.00032*O166^2+(-0.0021)*O166)</f>
        <v/>
      </c>
      <c r="W166" s="5">
        <f>P$1*((-0.000002)*P166^3+0.00032*P166^2+(-0.0021)*P166)+Q$1*((-0.000002)*Q166^3+0.00032*Q166^2+(-0.0021)*Q166)+R$1*((-0.000002)*R166^3+0.00032*R166^2+(-0.0021)*R166)+S$1*((-0.000002)*S166^3+0.00032*S166^2+(-0.0021)*S166)+T$1*((-0.000002)*T166^3+0.00032*T166^2+(-0.0021)*T166)</f>
        <v/>
      </c>
      <c r="X166">
        <f>(I$1*((-0.000002)*I166^3+0.00032*I166^2+(-0.0021)*I166)+J$1*((-0.000002)*J166^3+0.00032*J166^2+(-0.0021)*J166)+H$1*((-0.000002)*H166^3+0.00032*H166^2+(-0.0021)*H166))*(MAX(0.05,MIN(1,(2*J166+I166)/120)*MIN(1,I166/10)*MIN(1,J166/10)))</f>
        <v/>
      </c>
      <c r="Y166" s="5">
        <f>(I$1*((-0.000002)*I166^3+0.00032*I166^2+(-0.0021)*I166)+J$1*((-0.000002)*J166^3+0.00032*J166^2+(-0.0021)*J166)+H$1*((-0.000002)*H166^3+0.00032*H166^2+(-0.0021)*H166))*(MAX(0.05,MIN(1,(2*J166+I166)/120)*MIN(1,I166/10)*MIN(1,J166/10)))</f>
        <v/>
      </c>
      <c r="Z166">
        <f>U166*J$2+V166*O$2+W166*H$2</f>
        <v/>
      </c>
      <c r="AA166">
        <f>IF(AND(J166&gt;50,I166+J166&gt;75),"SP",IF(2*I166+J166&gt;120,"RP","CRAP"))</f>
        <v/>
      </c>
    </row>
    <row r="167" ht="13.5" customHeight="1" s="27" thickBot="1">
      <c r="A167">
        <f>(V167*V$2+W167*W$2+X167*X$2)*100/(V$4*V$2+W$4*W$2+X$4*X$2)</f>
        <v/>
      </c>
      <c r="B167" s="16" t="n">
        <v>143</v>
      </c>
      <c r="C167" s="10" t="inlineStr">
        <is>
          <t>Martin, Placido</t>
        </is>
      </c>
      <c r="D167" s="17" t="inlineStr">
        <is>
          <t>1B</t>
        </is>
      </c>
      <c r="E167" s="17" t="inlineStr">
        <is>
          <t>R</t>
        </is>
      </c>
      <c r="F167" s="17" t="inlineStr">
        <is>
          <t>R</t>
        </is>
      </c>
      <c r="G167" s="17" t="n">
        <v>18</v>
      </c>
      <c r="H167" s="17" t="n"/>
      <c r="I167" s="17" t="n"/>
      <c r="J167" s="17" t="n">
        <v>88</v>
      </c>
      <c r="K167" s="17" t="n">
        <v>7</v>
      </c>
      <c r="L167" s="17" t="n">
        <v>7</v>
      </c>
      <c r="M167" s="17" t="n">
        <v>8</v>
      </c>
      <c r="N167" s="17" t="n">
        <v>0</v>
      </c>
      <c r="O167" s="17" t="n">
        <v>1</v>
      </c>
      <c r="P167" s="17" t="n">
        <v>39</v>
      </c>
      <c r="Q167" s="17" t="n">
        <v>66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>
        <f>K$1*(0.000001*K167^3)+L$1*((-0.000002)*L167^3+0.00032*L167^2+(-0.0021)*L167)+M$1*((-0.000002)*M167^3+0.00032*M167^2+(-0.0021)*M167)+N$1*((-0.000002)*N167^3+0.00032*N167^2+(-0.0021)*N167)+O$1*((-0.000002)*O167^3+0.00032*O167^2+(-0.0021)*O167)</f>
        <v/>
      </c>
      <c r="W167" s="5">
        <f>P$1*((-0.000002)*P167^3+0.00032*P167^2+(-0.0021)*P167)+Q$1*((-0.000002)*Q167^3+0.00032*Q167^2+(-0.0021)*Q167)+R$1*((-0.000002)*R167^3+0.00032*R167^2+(-0.0021)*R167)+S$1*((-0.000002)*S167^3+0.00032*S167^2+(-0.0021)*S167)+T$1*((-0.000002)*T167^3+0.00032*T167^2+(-0.0021)*T167)</f>
        <v/>
      </c>
      <c r="X167">
        <f>(I$1*((-0.000002)*I167^3+0.00032*I167^2+(-0.0021)*I167)+J$1*((-0.000002)*J167^3+0.00032*J167^2+(-0.0021)*J167)+H$1*((-0.000002)*H167^3+0.00032*H167^2+(-0.0021)*H167))*(MAX(0.05,MIN(1,(2*J167+I167)/120)*MIN(1,I167/10)*MIN(1,J167/10)))</f>
        <v/>
      </c>
      <c r="Y167" s="5">
        <f>(I$1*((-0.000002)*I167^3+0.00032*I167^2+(-0.0021)*I167)+J$1*((-0.000002)*J167^3+0.00032*J167^2+(-0.0021)*J167)+H$1*((-0.000002)*H167^3+0.00032*H167^2+(-0.0021)*H167))*(MAX(0.05,MIN(1,(2*J167+I167)/120)*MIN(1,I167/10)*MIN(1,J167/10)))</f>
        <v/>
      </c>
      <c r="Z167">
        <f>U167*J$2+V167*O$2+W167*H$2</f>
        <v/>
      </c>
      <c r="AA167">
        <f>IF(AND(J167&gt;50,I167+J167&gt;75),"SP",IF(2*I167+J167&gt;120,"RP","CRAP"))</f>
        <v/>
      </c>
    </row>
    <row r="168" ht="13.5" customHeight="1" s="27" thickBot="1">
      <c r="A168">
        <f>(V168*V$2+W168*W$2+X168*X$2)*100/(V$4*V$2+W$4*W$2+X$4*X$2)</f>
        <v/>
      </c>
      <c r="B168" s="18" t="n">
        <v>72</v>
      </c>
      <c r="C168" s="11" t="inlineStr">
        <is>
          <t>Brooks, Jody</t>
        </is>
      </c>
      <c r="D168" s="19" t="inlineStr">
        <is>
          <t>3B</t>
        </is>
      </c>
      <c r="E168" s="19" t="inlineStr">
        <is>
          <t>R</t>
        </is>
      </c>
      <c r="F168" s="19" t="inlineStr">
        <is>
          <t>R</t>
        </is>
      </c>
      <c r="G168" s="19" t="n">
        <v>18</v>
      </c>
      <c r="H168" s="19" t="n"/>
      <c r="I168" s="19" t="n"/>
      <c r="J168" s="19" t="n">
        <v>79</v>
      </c>
      <c r="K168" s="19" t="n">
        <v>28</v>
      </c>
      <c r="L168" s="19" t="n">
        <v>8</v>
      </c>
      <c r="M168" s="19" t="n">
        <v>7</v>
      </c>
      <c r="N168" s="19" t="n">
        <v>0</v>
      </c>
      <c r="O168" s="19" t="n">
        <v>11</v>
      </c>
      <c r="P168" s="19" t="n">
        <v>37</v>
      </c>
      <c r="Q168" s="19" t="n">
        <v>55</v>
      </c>
      <c r="R168" s="19" t="n">
        <v>0</v>
      </c>
      <c r="S168" s="19" t="n">
        <v>0</v>
      </c>
      <c r="T168" s="19" t="n">
        <v>0</v>
      </c>
      <c r="U168" s="19" t="n">
        <v>0</v>
      </c>
      <c r="V168" s="19">
        <f>K$1*(0.000001*K168^3)+L$1*((-0.000002)*L168^3+0.00032*L168^2+(-0.0021)*L168)+M$1*((-0.000002)*M168^3+0.00032*M168^2+(-0.0021)*M168)+N$1*((-0.000002)*N168^3+0.00032*N168^2+(-0.0021)*N168)+O$1*((-0.000002)*O168^3+0.00032*O168^2+(-0.0021)*O168)</f>
        <v/>
      </c>
      <c r="W168" s="5">
        <f>P$1*((-0.000002)*P168^3+0.00032*P168^2+(-0.0021)*P168)+Q$1*((-0.000002)*Q168^3+0.00032*Q168^2+(-0.0021)*Q168)+R$1*((-0.000002)*R168^3+0.00032*R168^2+(-0.0021)*R168)+S$1*((-0.000002)*S168^3+0.00032*S168^2+(-0.0021)*S168)+T$1*((-0.000002)*T168^3+0.00032*T168^2+(-0.0021)*T168)</f>
        <v/>
      </c>
      <c r="X168">
        <f>(I$1*((-0.000002)*I168^3+0.00032*I168^2+(-0.0021)*I168)+J$1*((-0.000002)*J168^3+0.00032*J168^2+(-0.0021)*J168)+H$1*((-0.000002)*H168^3+0.00032*H168^2+(-0.0021)*H168))*(MAX(0.05,MIN(1,(2*J168+I168)/120)*MIN(1,I168/10)*MIN(1,J168/10)))</f>
        <v/>
      </c>
      <c r="Y168" s="5">
        <f>(I$1*((-0.000002)*I168^3+0.00032*I168^2+(-0.0021)*I168)+J$1*((-0.000002)*J168^3+0.00032*J168^2+(-0.0021)*J168)+H$1*((-0.000002)*H168^3+0.00032*H168^2+(-0.0021)*H168))*(MAX(0.05,MIN(1,(2*J168+I168)/120)*MIN(1,I168/10)*MIN(1,J168/10)))</f>
        <v/>
      </c>
      <c r="Z168">
        <f>U168*J$2+V168*O$2+W168*H$2</f>
        <v/>
      </c>
      <c r="AA168">
        <f>IF(AND(J168&gt;50,I168+J168&gt;75),"SP",IF(2*I168+J168&gt;120,"RP","CRAP"))</f>
        <v/>
      </c>
    </row>
    <row r="169" ht="13.5" customHeight="1" s="27" thickBot="1">
      <c r="A169">
        <f>(V169*V$2+W169*W$2+X169*X$2)*100/(V$4*V$2+W$4*W$2+X$4*X$2)</f>
        <v/>
      </c>
      <c r="B169" s="18" t="n">
        <v>140</v>
      </c>
      <c r="C169" s="11" t="inlineStr">
        <is>
          <t>Henry, Chipper</t>
        </is>
      </c>
      <c r="D169" s="19" t="inlineStr">
        <is>
          <t>RF</t>
        </is>
      </c>
      <c r="E169" s="19" t="inlineStr">
        <is>
          <t>R</t>
        </is>
      </c>
      <c r="F169" s="19" t="inlineStr">
        <is>
          <t>R</t>
        </is>
      </c>
      <c r="G169" s="19" t="n">
        <v>18</v>
      </c>
      <c r="H169" s="19" t="n"/>
      <c r="I169" s="19" t="n"/>
      <c r="J169" s="19" t="n">
        <v>79</v>
      </c>
      <c r="K169" s="19" t="n">
        <v>29</v>
      </c>
      <c r="L169" s="19" t="n">
        <v>17</v>
      </c>
      <c r="M169" s="19" t="n">
        <v>8</v>
      </c>
      <c r="N169" s="19" t="n">
        <v>0</v>
      </c>
      <c r="O169" s="19" t="n">
        <v>1</v>
      </c>
      <c r="P169" s="19" t="n">
        <v>21</v>
      </c>
      <c r="Q169" s="19" t="n">
        <v>63</v>
      </c>
      <c r="R169" s="19" t="n">
        <v>0</v>
      </c>
      <c r="S169" s="19" t="n">
        <v>0</v>
      </c>
      <c r="T169" s="19" t="n">
        <v>0</v>
      </c>
      <c r="U169" s="19" t="n">
        <v>0</v>
      </c>
      <c r="V169" s="19">
        <f>K$1*(0.000001*K169^3)+L$1*((-0.000002)*L169^3+0.00032*L169^2+(-0.0021)*L169)+M$1*((-0.000002)*M169^3+0.00032*M169^2+(-0.0021)*M169)+N$1*((-0.000002)*N169^3+0.00032*N169^2+(-0.0021)*N169)+O$1*((-0.000002)*O169^3+0.00032*O169^2+(-0.0021)*O169)</f>
        <v/>
      </c>
      <c r="W169" s="5">
        <f>P$1*((-0.000002)*P169^3+0.00032*P169^2+(-0.0021)*P169)+Q$1*((-0.000002)*Q169^3+0.00032*Q169^2+(-0.0021)*Q169)+R$1*((-0.000002)*R169^3+0.00032*R169^2+(-0.0021)*R169)+S$1*((-0.000002)*S169^3+0.00032*S169^2+(-0.0021)*S169)+T$1*((-0.000002)*T169^3+0.00032*T169^2+(-0.0021)*T169)</f>
        <v/>
      </c>
      <c r="X169">
        <f>(I$1*((-0.000002)*I169^3+0.00032*I169^2+(-0.0021)*I169)+J$1*((-0.000002)*J169^3+0.00032*J169^2+(-0.0021)*J169)+H$1*((-0.000002)*H169^3+0.00032*H169^2+(-0.0021)*H169))*(MAX(0.05,MIN(1,(2*J169+I169)/120)*MIN(1,I169/10)*MIN(1,J169/10)))</f>
        <v/>
      </c>
      <c r="Y169" s="5">
        <f>(I$1*((-0.000002)*I169^3+0.00032*I169^2+(-0.0021)*I169)+J$1*((-0.000002)*J169^3+0.00032*J169^2+(-0.0021)*J169)+H$1*((-0.000002)*H169^3+0.00032*H169^2+(-0.0021)*H169))*(MAX(0.05,MIN(1,(2*J169+I169)/120)*MIN(1,I169/10)*MIN(1,J169/10)))</f>
        <v/>
      </c>
      <c r="Z169">
        <f>U169*J$2+V169*O$2+W169*H$2</f>
        <v/>
      </c>
      <c r="AA169">
        <f>IF(AND(J169&gt;50,I169+J169&gt;75),"SP",IF(2*I169+J169&gt;120,"RP","CRAP"))</f>
        <v/>
      </c>
    </row>
    <row r="170" ht="13.5" customHeight="1" s="27" thickBot="1">
      <c r="A170">
        <f>(V170*V$2+W170*W$2+X170*X$2)*100/(V$4*V$2+W$4*W$2+X$4*X$2)</f>
        <v/>
      </c>
      <c r="B170" s="18" t="n">
        <v>190</v>
      </c>
      <c r="C170" s="11" t="inlineStr">
        <is>
          <t>Taylor, Freddy</t>
        </is>
      </c>
      <c r="D170" s="19" t="inlineStr">
        <is>
          <t>DH</t>
        </is>
      </c>
      <c r="E170" s="19" t="inlineStr">
        <is>
          <t>L</t>
        </is>
      </c>
      <c r="F170" s="19" t="inlineStr">
        <is>
          <t>L</t>
        </is>
      </c>
      <c r="G170" s="19" t="n">
        <v>18</v>
      </c>
      <c r="H170" s="19" t="n"/>
      <c r="I170" s="19" t="n"/>
      <c r="J170" s="19" t="n">
        <v>80</v>
      </c>
      <c r="K170" s="19" t="n">
        <v>34</v>
      </c>
      <c r="L170" s="19" t="n">
        <v>2</v>
      </c>
      <c r="M170" s="19" t="n">
        <v>0</v>
      </c>
      <c r="N170" s="19" t="n">
        <v>0</v>
      </c>
      <c r="O170" s="19" t="n">
        <v>10</v>
      </c>
      <c r="P170" s="19" t="n">
        <v>46</v>
      </c>
      <c r="Q170" s="19" t="n">
        <v>41</v>
      </c>
      <c r="R170" s="19" t="n">
        <v>0</v>
      </c>
      <c r="S170" s="19" t="n">
        <v>0</v>
      </c>
      <c r="T170" s="19" t="n">
        <v>0</v>
      </c>
      <c r="U170" s="19" t="n">
        <v>0</v>
      </c>
      <c r="V170" s="19">
        <f>K$1*(0.000001*K170^3)+L$1*((-0.000002)*L170^3+0.00032*L170^2+(-0.0021)*L170)+M$1*((-0.000002)*M170^3+0.00032*M170^2+(-0.0021)*M170)+N$1*((-0.000002)*N170^3+0.00032*N170^2+(-0.0021)*N170)+O$1*((-0.000002)*O170^3+0.00032*O170^2+(-0.0021)*O170)</f>
        <v/>
      </c>
      <c r="W170" s="5">
        <f>P$1*((-0.000002)*P170^3+0.00032*P170^2+(-0.0021)*P170)+Q$1*((-0.000002)*Q170^3+0.00032*Q170^2+(-0.0021)*Q170)+R$1*((-0.000002)*R170^3+0.00032*R170^2+(-0.0021)*R170)+S$1*((-0.000002)*S170^3+0.00032*S170^2+(-0.0021)*S170)+T$1*((-0.000002)*T170^3+0.00032*T170^2+(-0.0021)*T170)</f>
        <v/>
      </c>
      <c r="X170">
        <f>(I$1*((-0.000002)*I170^3+0.00032*I170^2+(-0.0021)*I170)+J$1*((-0.000002)*J170^3+0.00032*J170^2+(-0.0021)*J170)+H$1*((-0.000002)*H170^3+0.00032*H170^2+(-0.0021)*H170))*(MAX(0.05,MIN(1,(2*J170+I170)/120)*MIN(1,I170/10)*MIN(1,J170/10)))</f>
        <v/>
      </c>
      <c r="Y170" s="5">
        <f>(I$1*((-0.000002)*I170^3+0.00032*I170^2+(-0.0021)*I170)+J$1*((-0.000002)*J170^3+0.00032*J170^2+(-0.0021)*J170)+H$1*((-0.000002)*H170^3+0.00032*H170^2+(-0.0021)*H170))*(MAX(0.05,MIN(1,(2*J170+I170)/120)*MIN(1,I170/10)*MIN(1,J170/10)))</f>
        <v/>
      </c>
      <c r="Z170">
        <f>U170*J$2+V170*O$2+W170*H$2</f>
        <v/>
      </c>
      <c r="AA170">
        <f>IF(AND(J170&gt;50,I170+J170&gt;75),"SP",IF(2*I170+J170&gt;120,"RP","CRAP"))</f>
        <v/>
      </c>
    </row>
    <row r="171" ht="13.5" customHeight="1" s="27" thickBot="1">
      <c r="A171">
        <f>(V171*V$2+W171*W$2+X171*X$2)*100/(V$4*V$2+W$4*W$2+X$4*X$2)</f>
        <v/>
      </c>
      <c r="B171" s="18" t="n">
        <v>194</v>
      </c>
      <c r="C171" s="11" t="inlineStr">
        <is>
          <t>Aybar, Addison</t>
        </is>
      </c>
      <c r="D171" s="19" t="inlineStr">
        <is>
          <t>DH</t>
        </is>
      </c>
      <c r="E171" s="19" t="inlineStr">
        <is>
          <t>L</t>
        </is>
      </c>
      <c r="F171" s="19" t="inlineStr">
        <is>
          <t>R</t>
        </is>
      </c>
      <c r="G171" s="19" t="n">
        <v>18</v>
      </c>
      <c r="H171" s="19" t="n"/>
      <c r="I171" s="19" t="n"/>
      <c r="J171" s="19" t="n">
        <v>84</v>
      </c>
      <c r="K171" s="19" t="n">
        <v>21</v>
      </c>
      <c r="L171" s="19" t="n">
        <v>22</v>
      </c>
      <c r="M171" s="19" t="n">
        <v>13</v>
      </c>
      <c r="N171" s="19" t="n">
        <v>7</v>
      </c>
      <c r="O171" s="19" t="n">
        <v>17</v>
      </c>
      <c r="P171" s="19" t="n">
        <v>8</v>
      </c>
      <c r="Q171" s="19" t="n">
        <v>66</v>
      </c>
      <c r="R171" s="19" t="n">
        <v>0</v>
      </c>
      <c r="S171" s="19" t="n">
        <v>0</v>
      </c>
      <c r="T171" s="19" t="n">
        <v>0</v>
      </c>
      <c r="U171" s="19" t="n">
        <v>0</v>
      </c>
      <c r="V171" s="19">
        <f>K$1*(0.000001*K171^3)+L$1*((-0.000002)*L171^3+0.00032*L171^2+(-0.0021)*L171)+M$1*((-0.000002)*M171^3+0.00032*M171^2+(-0.0021)*M171)+N$1*((-0.000002)*N171^3+0.00032*N171^2+(-0.0021)*N171)+O$1*((-0.000002)*O171^3+0.00032*O171^2+(-0.0021)*O171)</f>
        <v/>
      </c>
      <c r="W171" s="5">
        <f>P$1*((-0.000002)*P171^3+0.00032*P171^2+(-0.0021)*P171)+Q$1*((-0.000002)*Q171^3+0.00032*Q171^2+(-0.0021)*Q171)+R$1*((-0.000002)*R171^3+0.00032*R171^2+(-0.0021)*R171)+S$1*((-0.000002)*S171^3+0.00032*S171^2+(-0.0021)*S171)+T$1*((-0.000002)*T171^3+0.00032*T171^2+(-0.0021)*T171)</f>
        <v/>
      </c>
      <c r="X171">
        <f>(I$1*((-0.000002)*I171^3+0.00032*I171^2+(-0.0021)*I171)+J$1*((-0.000002)*J171^3+0.00032*J171^2+(-0.0021)*J171)+H$1*((-0.000002)*H171^3+0.00032*H171^2+(-0.0021)*H171))*(MAX(0.05,MIN(1,(2*J171+I171)/120)*MIN(1,I171/10)*MIN(1,J171/10)))</f>
        <v/>
      </c>
      <c r="Y171" s="5">
        <f>(I$1*((-0.000002)*I171^3+0.00032*I171^2+(-0.0021)*I171)+J$1*((-0.000002)*J171^3+0.00032*J171^2+(-0.0021)*J171)+H$1*((-0.000002)*H171^3+0.00032*H171^2+(-0.0021)*H171))*(MAX(0.05,MIN(1,(2*J171+I171)/120)*MIN(1,I171/10)*MIN(1,J171/10)))</f>
        <v/>
      </c>
      <c r="Z171">
        <f>U171*J$2+V171*O$2+W171*H$2</f>
        <v/>
      </c>
      <c r="AA171">
        <f>IF(AND(J171&gt;50,I171+J171&gt;75),"SP",IF(2*I171+J171&gt;120,"RP","CRAP"))</f>
        <v/>
      </c>
    </row>
    <row r="172" ht="13.5" customHeight="1" s="27" thickBot="1">
      <c r="A172">
        <f>(V172*V$2+W172*W$2+X172*X$2)*100/(V$4*V$2+W$4*W$2+X$4*X$2)</f>
        <v/>
      </c>
      <c r="B172" s="18" t="n">
        <v>104</v>
      </c>
      <c r="C172" s="11" t="inlineStr">
        <is>
          <t>Brandt, Vin</t>
        </is>
      </c>
      <c r="D172" s="19" t="inlineStr">
        <is>
          <t>2B</t>
        </is>
      </c>
      <c r="E172" s="19" t="inlineStr">
        <is>
          <t>R</t>
        </is>
      </c>
      <c r="F172" s="19" t="inlineStr">
        <is>
          <t>R</t>
        </is>
      </c>
      <c r="G172" s="19" t="n">
        <v>18</v>
      </c>
      <c r="H172" s="19" t="n"/>
      <c r="I172" s="19" t="n"/>
      <c r="J172" s="19" t="n">
        <v>83</v>
      </c>
      <c r="K172" s="19" t="n">
        <v>17</v>
      </c>
      <c r="L172" s="19" t="n">
        <v>5</v>
      </c>
      <c r="M172" s="19" t="n">
        <v>7</v>
      </c>
      <c r="N172" s="19" t="n">
        <v>10</v>
      </c>
      <c r="O172" s="19" t="n">
        <v>32</v>
      </c>
      <c r="P172" s="19" t="n">
        <v>30</v>
      </c>
      <c r="Q172" s="19" t="n">
        <v>65</v>
      </c>
      <c r="R172" s="19" t="n">
        <v>0</v>
      </c>
      <c r="S172" s="19" t="n">
        <v>0</v>
      </c>
      <c r="T172" s="19" t="n">
        <v>0</v>
      </c>
      <c r="U172" s="19" t="n">
        <v>0</v>
      </c>
      <c r="V172" s="19">
        <f>K$1*(0.000001*K172^3)+L$1*((-0.000002)*L172^3+0.00032*L172^2+(-0.0021)*L172)+M$1*((-0.000002)*M172^3+0.00032*M172^2+(-0.0021)*M172)+N$1*((-0.000002)*N172^3+0.00032*N172^2+(-0.0021)*N172)+O$1*((-0.000002)*O172^3+0.00032*O172^2+(-0.0021)*O172)</f>
        <v/>
      </c>
      <c r="W172" s="5">
        <f>P$1*((-0.000002)*P172^3+0.00032*P172^2+(-0.0021)*P172)+Q$1*((-0.000002)*Q172^3+0.00032*Q172^2+(-0.0021)*Q172)+R$1*((-0.000002)*R172^3+0.00032*R172^2+(-0.0021)*R172)+S$1*((-0.000002)*S172^3+0.00032*S172^2+(-0.0021)*S172)+T$1*((-0.000002)*T172^3+0.00032*T172^2+(-0.0021)*T172)</f>
        <v/>
      </c>
      <c r="X172">
        <f>(I$1*((-0.000002)*I172^3+0.00032*I172^2+(-0.0021)*I172)+J$1*((-0.000002)*J172^3+0.00032*J172^2+(-0.0021)*J172)+H$1*((-0.000002)*H172^3+0.00032*H172^2+(-0.0021)*H172))*(MAX(0.05,MIN(1,(2*J172+I172)/120)*MIN(1,I172/10)*MIN(1,J172/10)))</f>
        <v/>
      </c>
      <c r="Y172" s="5">
        <f>(I$1*((-0.000002)*I172^3+0.00032*I172^2+(-0.0021)*I172)+J$1*((-0.000002)*J172^3+0.00032*J172^2+(-0.0021)*J172)+H$1*((-0.000002)*H172^3+0.00032*H172^2+(-0.0021)*H172))*(MAX(0.05,MIN(1,(2*J172+I172)/120)*MIN(1,I172/10)*MIN(1,J172/10)))</f>
        <v/>
      </c>
      <c r="Z172">
        <f>U172*J$2+V172*O$2+W172*H$2</f>
        <v/>
      </c>
      <c r="AA172">
        <f>IF(AND(J172&gt;50,I172+J172&gt;75),"SP",IF(2*I172+J172&gt;120,"RP","CRAP"))</f>
        <v/>
      </c>
    </row>
    <row r="173" ht="13.5" customHeight="1" s="27" thickBot="1">
      <c r="A173">
        <f>(V173*V$2+W173*W$2+X173*X$2)*100/(V$4*V$2+W$4*W$2+X$4*X$2)</f>
        <v/>
      </c>
      <c r="B173" s="18" t="n">
        <v>48</v>
      </c>
      <c r="C173" s="11" t="inlineStr">
        <is>
          <t>Wall, Stew</t>
        </is>
      </c>
      <c r="D173" s="19" t="inlineStr">
        <is>
          <t>3B</t>
        </is>
      </c>
      <c r="E173" s="19" t="inlineStr">
        <is>
          <t>R</t>
        </is>
      </c>
      <c r="F173" s="19" t="inlineStr">
        <is>
          <t>R</t>
        </is>
      </c>
      <c r="G173" s="19" t="n">
        <v>21</v>
      </c>
      <c r="H173" s="19" t="n"/>
      <c r="I173" s="19" t="n"/>
      <c r="J173" s="19" t="n">
        <v>100</v>
      </c>
      <c r="K173" s="19" t="n">
        <v>12</v>
      </c>
      <c r="L173" s="19" t="n">
        <v>27</v>
      </c>
      <c r="M173" s="19" t="n">
        <v>15</v>
      </c>
      <c r="N173" s="19" t="n">
        <v>18</v>
      </c>
      <c r="O173" s="19" t="n">
        <v>0</v>
      </c>
      <c r="P173" s="19" t="n">
        <v>38</v>
      </c>
      <c r="Q173" s="19" t="n">
        <v>32</v>
      </c>
      <c r="R173" s="19" t="n">
        <v>0</v>
      </c>
      <c r="S173" s="19" t="n">
        <v>0</v>
      </c>
      <c r="T173" s="19" t="n">
        <v>0</v>
      </c>
      <c r="U173" s="19" t="n">
        <v>0</v>
      </c>
      <c r="V173" s="19">
        <f>K$1*(0.000001*K173^3)+L$1*((-0.000002)*L173^3+0.00032*L173^2+(-0.0021)*L173)+M$1*((-0.000002)*M173^3+0.00032*M173^2+(-0.0021)*M173)+N$1*((-0.000002)*N173^3+0.00032*N173^2+(-0.0021)*N173)+O$1*((-0.000002)*O173^3+0.00032*O173^2+(-0.0021)*O173)</f>
        <v/>
      </c>
      <c r="W173" s="5">
        <f>P$1*((-0.000002)*P173^3+0.00032*P173^2+(-0.0021)*P173)+Q$1*((-0.000002)*Q173^3+0.00032*Q173^2+(-0.0021)*Q173)+R$1*((-0.000002)*R173^3+0.00032*R173^2+(-0.0021)*R173)+S$1*((-0.000002)*S173^3+0.00032*S173^2+(-0.0021)*S173)+T$1*((-0.000002)*T173^3+0.00032*T173^2+(-0.0021)*T173)</f>
        <v/>
      </c>
      <c r="X173">
        <f>(I$1*((-0.000002)*I173^3+0.00032*I173^2+(-0.0021)*I173)+J$1*((-0.000002)*J173^3+0.00032*J173^2+(-0.0021)*J173)+H$1*((-0.000002)*H173^3+0.00032*H173^2+(-0.0021)*H173))*(MAX(0.05,MIN(1,(2*J173+I173)/120)*MIN(1,I173/10)*MIN(1,J173/10)))</f>
        <v/>
      </c>
      <c r="Y173" s="5">
        <f>(I$1*((-0.000002)*I173^3+0.00032*I173^2+(-0.0021)*I173)+J$1*((-0.000002)*J173^3+0.00032*J173^2+(-0.0021)*J173)+H$1*((-0.000002)*H173^3+0.00032*H173^2+(-0.0021)*H173))*(MAX(0.05,MIN(1,(2*J173+I173)/120)*MIN(1,I173/10)*MIN(1,J173/10)))</f>
        <v/>
      </c>
      <c r="Z173">
        <f>U173*J$2+V173*O$2+W173*H$2</f>
        <v/>
      </c>
      <c r="AA173">
        <f>IF(AND(J173&gt;50,I173+J173&gt;75),"SP",IF(2*I173+J173&gt;120,"RP","CRAP"))</f>
        <v/>
      </c>
    </row>
    <row r="174" ht="13.5" customHeight="1" s="27" thickBot="1">
      <c r="A174">
        <f>(V174*V$2+W174*W$2+X174*X$2)*100/(V$4*V$2+W$4*W$2+X$4*X$2)</f>
        <v/>
      </c>
      <c r="B174" s="18" t="n">
        <v>120</v>
      </c>
      <c r="C174" s="11" t="inlineStr">
        <is>
          <t>Stevenson, Bob</t>
        </is>
      </c>
      <c r="D174" s="19" t="inlineStr">
        <is>
          <t>1B</t>
        </is>
      </c>
      <c r="E174" s="19" t="inlineStr">
        <is>
          <t>S</t>
        </is>
      </c>
      <c r="F174" s="19" t="inlineStr">
        <is>
          <t>L</t>
        </is>
      </c>
      <c r="G174" s="19" t="n">
        <v>18</v>
      </c>
      <c r="H174" s="19" t="n"/>
      <c r="I174" s="19" t="n"/>
      <c r="J174" s="19" t="n">
        <v>83</v>
      </c>
      <c r="K174" s="19" t="n">
        <v>18</v>
      </c>
      <c r="L174" s="19" t="n">
        <v>0</v>
      </c>
      <c r="M174" s="19" t="n">
        <v>20</v>
      </c>
      <c r="N174" s="19" t="n">
        <v>21</v>
      </c>
      <c r="O174" s="19" t="n">
        <v>10</v>
      </c>
      <c r="P174" s="19" t="n">
        <v>17</v>
      </c>
      <c r="Q174" s="19" t="n">
        <v>63</v>
      </c>
      <c r="R174" s="19" t="n">
        <v>0</v>
      </c>
      <c r="S174" s="19" t="n">
        <v>0</v>
      </c>
      <c r="T174" s="19" t="n">
        <v>0</v>
      </c>
      <c r="U174" s="19" t="n">
        <v>0</v>
      </c>
      <c r="V174" s="19">
        <f>K$1*(0.000001*K174^3)+L$1*((-0.000002)*L174^3+0.00032*L174^2+(-0.0021)*L174)+M$1*((-0.000002)*M174^3+0.00032*M174^2+(-0.0021)*M174)+N$1*((-0.000002)*N174^3+0.00032*N174^2+(-0.0021)*N174)+O$1*((-0.000002)*O174^3+0.00032*O174^2+(-0.0021)*O174)</f>
        <v/>
      </c>
      <c r="W174" s="5">
        <f>P$1*((-0.000002)*P174^3+0.00032*P174^2+(-0.0021)*P174)+Q$1*((-0.000002)*Q174^3+0.00032*Q174^2+(-0.0021)*Q174)+R$1*((-0.000002)*R174^3+0.00032*R174^2+(-0.0021)*R174)+S$1*((-0.000002)*S174^3+0.00032*S174^2+(-0.0021)*S174)+T$1*((-0.000002)*T174^3+0.00032*T174^2+(-0.0021)*T174)</f>
        <v/>
      </c>
      <c r="X174">
        <f>(I$1*((-0.000002)*I174^3+0.00032*I174^2+(-0.0021)*I174)+J$1*((-0.000002)*J174^3+0.00032*J174^2+(-0.0021)*J174)+H$1*((-0.000002)*H174^3+0.00032*H174^2+(-0.0021)*H174))*(MAX(0.05,MIN(1,(2*J174+I174)/120)*MIN(1,I174/10)*MIN(1,J174/10)))</f>
        <v/>
      </c>
      <c r="Y174" s="5">
        <f>(I$1*((-0.000002)*I174^3+0.00032*I174^2+(-0.0021)*I174)+J$1*((-0.000002)*J174^3+0.00032*J174^2+(-0.0021)*J174)+H$1*((-0.000002)*H174^3+0.00032*H174^2+(-0.0021)*H174))*(MAX(0.05,MIN(1,(2*J174+I174)/120)*MIN(1,I174/10)*MIN(1,J174/10)))</f>
        <v/>
      </c>
      <c r="Z174">
        <f>U174*J$2+V174*O$2+W174*H$2</f>
        <v/>
      </c>
      <c r="AA174">
        <f>IF(AND(J174&gt;50,I174+J174&gt;75),"SP",IF(2*I174+J174&gt;120,"RP","CRAP"))</f>
        <v/>
      </c>
    </row>
    <row r="175" ht="13.5" customHeight="1" s="27" thickBot="1">
      <c r="A175">
        <f>(V175*V$2+W175*W$2+X175*X$2)*100/(V$4*V$2+W$4*W$2+X$4*X$2)</f>
        <v/>
      </c>
      <c r="B175" s="18" t="n">
        <v>148</v>
      </c>
      <c r="C175" s="11" t="inlineStr">
        <is>
          <t>Lynn, Lyle</t>
        </is>
      </c>
      <c r="D175" s="19" t="inlineStr">
        <is>
          <t>1B</t>
        </is>
      </c>
      <c r="E175" s="19" t="inlineStr">
        <is>
          <t>R</t>
        </is>
      </c>
      <c r="F175" s="19" t="inlineStr">
        <is>
          <t>R</t>
        </is>
      </c>
      <c r="G175" s="19" t="n">
        <v>18</v>
      </c>
      <c r="H175" s="19" t="n"/>
      <c r="I175" s="19" t="n"/>
      <c r="J175" s="19" t="n">
        <v>92</v>
      </c>
      <c r="K175" s="19" t="n">
        <v>35</v>
      </c>
      <c r="L175" s="19" t="n">
        <v>14</v>
      </c>
      <c r="M175" s="19" t="n">
        <v>16</v>
      </c>
      <c r="N175" s="19" t="n">
        <v>8</v>
      </c>
      <c r="O175" s="19" t="n">
        <v>10</v>
      </c>
      <c r="P175" s="19" t="n">
        <v>26</v>
      </c>
      <c r="Q175" s="19" t="n">
        <v>49</v>
      </c>
      <c r="R175" s="19" t="n">
        <v>0</v>
      </c>
      <c r="S175" s="19" t="n">
        <v>0</v>
      </c>
      <c r="T175" s="19" t="n">
        <v>0</v>
      </c>
      <c r="U175" s="19" t="n">
        <v>0</v>
      </c>
      <c r="V175" s="19">
        <f>K$1*(0.000001*K175^3)+L$1*((-0.000002)*L175^3+0.00032*L175^2+(-0.0021)*L175)+M$1*((-0.000002)*M175^3+0.00032*M175^2+(-0.0021)*M175)+N$1*((-0.000002)*N175^3+0.00032*N175^2+(-0.0021)*N175)+O$1*((-0.000002)*O175^3+0.00032*O175^2+(-0.0021)*O175)</f>
        <v/>
      </c>
      <c r="W175" s="5">
        <f>P$1*((-0.000002)*P175^3+0.00032*P175^2+(-0.0021)*P175)+Q$1*((-0.000002)*Q175^3+0.00032*Q175^2+(-0.0021)*Q175)+R$1*((-0.000002)*R175^3+0.00032*R175^2+(-0.0021)*R175)+S$1*((-0.000002)*S175^3+0.00032*S175^2+(-0.0021)*S175)+T$1*((-0.000002)*T175^3+0.00032*T175^2+(-0.0021)*T175)</f>
        <v/>
      </c>
      <c r="X175">
        <f>(I$1*((-0.000002)*I175^3+0.00032*I175^2+(-0.0021)*I175)+J$1*((-0.000002)*J175^3+0.00032*J175^2+(-0.0021)*J175)+H$1*((-0.000002)*H175^3+0.00032*H175^2+(-0.0021)*H175))*(MAX(0.05,MIN(1,(2*J175+I175)/120)*MIN(1,I175/10)*MIN(1,J175/10)))</f>
        <v/>
      </c>
      <c r="Y175" s="5">
        <f>(I$1*((-0.000002)*I175^3+0.00032*I175^2+(-0.0021)*I175)+J$1*((-0.000002)*J175^3+0.00032*J175^2+(-0.0021)*J175)+H$1*((-0.000002)*H175^3+0.00032*H175^2+(-0.0021)*H175))*(MAX(0.05,MIN(1,(2*J175+I175)/120)*MIN(1,I175/10)*MIN(1,J175/10)))</f>
        <v/>
      </c>
      <c r="Z175">
        <f>U175*J$2+V175*O$2+W175*H$2</f>
        <v/>
      </c>
      <c r="AA175">
        <f>IF(AND(J175&gt;50,I175+J175&gt;75),"SP",IF(2*I175+J175&gt;120,"RP","CRAP"))</f>
        <v/>
      </c>
    </row>
    <row r="176" ht="13.5" customHeight="1" s="27" thickBot="1">
      <c r="A176">
        <f>(V176*V$2+W176*W$2+X176*X$2)*100/(V$4*V$2+W$4*W$2+X$4*X$2)</f>
        <v/>
      </c>
      <c r="B176" s="18" t="n">
        <v>128</v>
      </c>
      <c r="C176" s="11" t="inlineStr">
        <is>
          <t>Camilli, Billy Ray</t>
        </is>
      </c>
      <c r="D176" s="19" t="inlineStr">
        <is>
          <t>RF</t>
        </is>
      </c>
      <c r="E176" s="19" t="inlineStr">
        <is>
          <t>R</t>
        </is>
      </c>
      <c r="F176" s="19" t="inlineStr">
        <is>
          <t>R</t>
        </is>
      </c>
      <c r="G176" s="19" t="n">
        <v>18</v>
      </c>
      <c r="H176" s="19" t="n"/>
      <c r="I176" s="19" t="n"/>
      <c r="J176" s="19" t="n">
        <v>91</v>
      </c>
      <c r="K176" s="19" t="n">
        <v>20</v>
      </c>
      <c r="L176" s="19" t="n">
        <v>3</v>
      </c>
      <c r="M176" s="19" t="n">
        <v>12</v>
      </c>
      <c r="N176" s="19" t="n">
        <v>4</v>
      </c>
      <c r="O176" s="19" t="n">
        <v>11</v>
      </c>
      <c r="P176" s="19" t="n">
        <v>43</v>
      </c>
      <c r="Q176" s="19" t="n">
        <v>48</v>
      </c>
      <c r="R176" s="19" t="n">
        <v>0</v>
      </c>
      <c r="S176" s="19" t="n">
        <v>0</v>
      </c>
      <c r="T176" s="19" t="n">
        <v>0</v>
      </c>
      <c r="U176" s="19" t="n">
        <v>0</v>
      </c>
      <c r="V176" s="19">
        <f>K$1*(0.000001*K176^3)+L$1*((-0.000002)*L176^3+0.00032*L176^2+(-0.0021)*L176)+M$1*((-0.000002)*M176^3+0.00032*M176^2+(-0.0021)*M176)+N$1*((-0.000002)*N176^3+0.00032*N176^2+(-0.0021)*N176)+O$1*((-0.000002)*O176^3+0.00032*O176^2+(-0.0021)*O176)</f>
        <v/>
      </c>
      <c r="W176" s="5">
        <f>P$1*((-0.000002)*P176^3+0.00032*P176^2+(-0.0021)*P176)+Q$1*((-0.000002)*Q176^3+0.00032*Q176^2+(-0.0021)*Q176)+R$1*((-0.000002)*R176^3+0.00032*R176^2+(-0.0021)*R176)+S$1*((-0.000002)*S176^3+0.00032*S176^2+(-0.0021)*S176)+T$1*((-0.000002)*T176^3+0.00032*T176^2+(-0.0021)*T176)</f>
        <v/>
      </c>
      <c r="X176">
        <f>(I$1*((-0.000002)*I176^3+0.00032*I176^2+(-0.0021)*I176)+J$1*((-0.000002)*J176^3+0.00032*J176^2+(-0.0021)*J176)+H$1*((-0.000002)*H176^3+0.00032*H176^2+(-0.0021)*H176))*(MAX(0.05,MIN(1,(2*J176+I176)/120)*MIN(1,I176/10)*MIN(1,J176/10)))</f>
        <v/>
      </c>
      <c r="Y176" s="5">
        <f>(I$1*((-0.000002)*I176^3+0.00032*I176^2+(-0.0021)*I176)+J$1*((-0.000002)*J176^3+0.00032*J176^2+(-0.0021)*J176)+H$1*((-0.000002)*H176^3+0.00032*H176^2+(-0.0021)*H176))*(MAX(0.05,MIN(1,(2*J176+I176)/120)*MIN(1,I176/10)*MIN(1,J176/10)))</f>
        <v/>
      </c>
      <c r="Z176">
        <f>U176*J$2+V176*O$2+W176*H$2</f>
        <v/>
      </c>
      <c r="AA176">
        <f>IF(AND(J176&gt;50,I176+J176&gt;75),"SP",IF(2*I176+J176&gt;120,"RP","CRAP"))</f>
        <v/>
      </c>
    </row>
    <row r="177" ht="13.5" customHeight="1" s="27" thickBot="1">
      <c r="A177">
        <f>(V177*V$2+W177*W$2+X177*X$2)*100/(V$4*V$2+W$4*W$2+X$4*X$2)</f>
        <v/>
      </c>
      <c r="B177" s="18" t="n">
        <v>160</v>
      </c>
      <c r="C177" s="11" t="inlineStr">
        <is>
          <t>Cashman, Tony</t>
        </is>
      </c>
      <c r="D177" s="19" t="inlineStr">
        <is>
          <t>C</t>
        </is>
      </c>
      <c r="E177" s="19" t="inlineStr">
        <is>
          <t>L</t>
        </is>
      </c>
      <c r="F177" s="19" t="inlineStr">
        <is>
          <t>R</t>
        </is>
      </c>
      <c r="G177" s="19" t="n">
        <v>18</v>
      </c>
      <c r="H177" s="19" t="n"/>
      <c r="I177" s="19" t="n"/>
      <c r="J177" s="19" t="n">
        <v>77</v>
      </c>
      <c r="K177" s="19" t="n">
        <v>25</v>
      </c>
      <c r="L177" s="19" t="n">
        <v>0</v>
      </c>
      <c r="M177" s="19" t="n">
        <v>0</v>
      </c>
      <c r="N177" s="19" t="n">
        <v>8</v>
      </c>
      <c r="O177" s="19" t="n">
        <v>3</v>
      </c>
      <c r="P177" s="19" t="n">
        <v>23</v>
      </c>
      <c r="Q177" s="19" t="n">
        <v>67</v>
      </c>
      <c r="R177" s="19" t="n">
        <v>0</v>
      </c>
      <c r="S177" s="19" t="n">
        <v>0</v>
      </c>
      <c r="T177" s="19" t="n">
        <v>0</v>
      </c>
      <c r="U177" s="19" t="n">
        <v>0</v>
      </c>
      <c r="V177" s="19">
        <f>K$1*(0.000001*K177^3)+L$1*((-0.000002)*L177^3+0.00032*L177^2+(-0.0021)*L177)+M$1*((-0.000002)*M177^3+0.00032*M177^2+(-0.0021)*M177)+N$1*((-0.000002)*N177^3+0.00032*N177^2+(-0.0021)*N177)+O$1*((-0.000002)*O177^3+0.00032*O177^2+(-0.0021)*O177)</f>
        <v/>
      </c>
      <c r="W177" s="5">
        <f>P$1*((-0.000002)*P177^3+0.00032*P177^2+(-0.0021)*P177)+Q$1*((-0.000002)*Q177^3+0.00032*Q177^2+(-0.0021)*Q177)+R$1*((-0.000002)*R177^3+0.00032*R177^2+(-0.0021)*R177)+S$1*((-0.000002)*S177^3+0.00032*S177^2+(-0.0021)*S177)+T$1*((-0.000002)*T177^3+0.00032*T177^2+(-0.0021)*T177)</f>
        <v/>
      </c>
      <c r="X177">
        <f>(I$1*((-0.000002)*I177^3+0.00032*I177^2+(-0.0021)*I177)+J$1*((-0.000002)*J177^3+0.00032*J177^2+(-0.0021)*J177)+H$1*((-0.000002)*H177^3+0.00032*H177^2+(-0.0021)*H177))*(MAX(0.05,MIN(1,(2*J177+I177)/120)*MIN(1,I177/10)*MIN(1,J177/10)))</f>
        <v/>
      </c>
      <c r="Y177" s="5">
        <f>(I$1*((-0.000002)*I177^3+0.00032*I177^2+(-0.0021)*I177)+J$1*((-0.000002)*J177^3+0.00032*J177^2+(-0.0021)*J177)+H$1*((-0.000002)*H177^3+0.00032*H177^2+(-0.0021)*H177))*(MAX(0.05,MIN(1,(2*J177+I177)/120)*MIN(1,I177/10)*MIN(1,J177/10)))</f>
        <v/>
      </c>
      <c r="Z177">
        <f>U177*J$2+V177*O$2+W177*H$2</f>
        <v/>
      </c>
      <c r="AA177">
        <f>IF(AND(J177&gt;50,I177+J177&gt;75),"SP",IF(2*I177+J177&gt;120,"RP","CRAP"))</f>
        <v/>
      </c>
    </row>
    <row r="178" ht="13.5" customHeight="1" s="27" thickBot="1">
      <c r="A178">
        <f>(V178*V$2+W178*W$2+X178*X$2)*100/(V$4*V$2+W$4*W$2+X$4*X$2)</f>
        <v/>
      </c>
      <c r="B178" s="16" t="n">
        <v>191</v>
      </c>
      <c r="C178" s="10" t="inlineStr">
        <is>
          <t>Mazzaro, Burch</t>
        </is>
      </c>
      <c r="D178" s="17" t="inlineStr">
        <is>
          <t>DH</t>
        </is>
      </c>
      <c r="E178" s="17" t="inlineStr">
        <is>
          <t>L</t>
        </is>
      </c>
      <c r="F178" s="17" t="inlineStr">
        <is>
          <t>L</t>
        </is>
      </c>
      <c r="G178" s="17" t="n">
        <v>18</v>
      </c>
      <c r="H178" s="17" t="n"/>
      <c r="I178" s="17" t="n"/>
      <c r="J178" s="17" t="n">
        <v>100</v>
      </c>
      <c r="K178" s="17" t="n">
        <v>33</v>
      </c>
      <c r="L178" s="17" t="n">
        <v>30</v>
      </c>
      <c r="M178" s="17" t="n">
        <v>9</v>
      </c>
      <c r="N178" s="17" t="n">
        <v>0</v>
      </c>
      <c r="O178" s="17" t="n">
        <v>16</v>
      </c>
      <c r="P178" s="17" t="n">
        <v>19</v>
      </c>
      <c r="Q178" s="17" t="n">
        <v>36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>
        <f>K$1*(0.000001*K178^3)+L$1*((-0.000002)*L178^3+0.00032*L178^2+(-0.0021)*L178)+M$1*((-0.000002)*M178^3+0.00032*M178^2+(-0.0021)*M178)+N$1*((-0.000002)*N178^3+0.00032*N178^2+(-0.0021)*N178)+O$1*((-0.000002)*O178^3+0.00032*O178^2+(-0.0021)*O178)</f>
        <v/>
      </c>
      <c r="W178" s="5">
        <f>P$1*((-0.000002)*P178^3+0.00032*P178^2+(-0.0021)*P178)+Q$1*((-0.000002)*Q178^3+0.00032*Q178^2+(-0.0021)*Q178)+R$1*((-0.000002)*R178^3+0.00032*R178^2+(-0.0021)*R178)+S$1*((-0.000002)*S178^3+0.00032*S178^2+(-0.0021)*S178)+T$1*((-0.000002)*T178^3+0.00032*T178^2+(-0.0021)*T178)</f>
        <v/>
      </c>
      <c r="X178">
        <f>(I$1*((-0.000002)*I178^3+0.00032*I178^2+(-0.0021)*I178)+J$1*((-0.000002)*J178^3+0.00032*J178^2+(-0.0021)*J178)+H$1*((-0.000002)*H178^3+0.00032*H178^2+(-0.0021)*H178))*(MAX(0.05,MIN(1,(2*J178+I178)/120)*MIN(1,I178/10)*MIN(1,J178/10)))</f>
        <v/>
      </c>
      <c r="Y178" s="5">
        <f>(I$1*((-0.000002)*I178^3+0.00032*I178^2+(-0.0021)*I178)+J$1*((-0.000002)*J178^3+0.00032*J178^2+(-0.0021)*J178)+H$1*((-0.000002)*H178^3+0.00032*H178^2+(-0.0021)*H178))*(MAX(0.05,MIN(1,(2*J178+I178)/120)*MIN(1,I178/10)*MIN(1,J178/10)))</f>
        <v/>
      </c>
      <c r="Z178">
        <f>U178*J$2+V178*O$2+W178*H$2</f>
        <v/>
      </c>
      <c r="AA178">
        <f>IF(AND(J178&gt;50,I178+J178&gt;75),"SP",IF(2*I178+J178&gt;120,"RP","CRAP"))</f>
        <v/>
      </c>
    </row>
    <row r="179" ht="13.5" customHeight="1" s="27" thickBot="1">
      <c r="A179">
        <f>(V179*V$2+W179*W$2+X179*X$2)*100/(V$4*V$2+W$4*W$2+X$4*X$2)</f>
        <v/>
      </c>
      <c r="B179" s="18" t="n">
        <v>196</v>
      </c>
      <c r="C179" s="11" t="inlineStr">
        <is>
          <t>Reynoso, Leandro</t>
        </is>
      </c>
      <c r="D179" s="19" t="inlineStr">
        <is>
          <t>DH</t>
        </is>
      </c>
      <c r="E179" s="19" t="inlineStr">
        <is>
          <t>R</t>
        </is>
      </c>
      <c r="F179" s="19" t="inlineStr">
        <is>
          <t>R</t>
        </is>
      </c>
      <c r="G179" s="19" t="n">
        <v>21</v>
      </c>
      <c r="H179" s="19" t="n"/>
      <c r="I179" s="19" t="n"/>
      <c r="J179" s="19" t="n">
        <v>95</v>
      </c>
      <c r="K179" s="19" t="n">
        <v>29</v>
      </c>
      <c r="L179" s="19" t="n">
        <v>28</v>
      </c>
      <c r="M179" s="19" t="n">
        <v>0</v>
      </c>
      <c r="N179" s="19" t="n">
        <v>28</v>
      </c>
      <c r="O179" s="19" t="n">
        <v>3</v>
      </c>
      <c r="P179" s="19" t="n">
        <v>12</v>
      </c>
      <c r="Q179" s="19" t="n">
        <v>30</v>
      </c>
      <c r="R179" s="19" t="n">
        <v>0</v>
      </c>
      <c r="S179" s="19" t="n">
        <v>0</v>
      </c>
      <c r="T179" s="19" t="n">
        <v>0</v>
      </c>
      <c r="U179" s="19" t="n">
        <v>0</v>
      </c>
      <c r="V179" s="19">
        <f>K$1*(0.000001*K179^3)+L$1*((-0.000002)*L179^3+0.00032*L179^2+(-0.0021)*L179)+M$1*((-0.000002)*M179^3+0.00032*M179^2+(-0.0021)*M179)+N$1*((-0.000002)*N179^3+0.00032*N179^2+(-0.0021)*N179)+O$1*((-0.000002)*O179^3+0.00032*O179^2+(-0.0021)*O179)</f>
        <v/>
      </c>
      <c r="W179" s="5">
        <f>P$1*((-0.000002)*P179^3+0.00032*P179^2+(-0.0021)*P179)+Q$1*((-0.000002)*Q179^3+0.00032*Q179^2+(-0.0021)*Q179)+R$1*((-0.000002)*R179^3+0.00032*R179^2+(-0.0021)*R179)+S$1*((-0.000002)*S179^3+0.00032*S179^2+(-0.0021)*S179)+T$1*((-0.000002)*T179^3+0.00032*T179^2+(-0.0021)*T179)</f>
        <v/>
      </c>
      <c r="X179">
        <f>(I$1*((-0.000002)*I179^3+0.00032*I179^2+(-0.0021)*I179)+J$1*((-0.000002)*J179^3+0.00032*J179^2+(-0.0021)*J179)+H$1*((-0.000002)*H179^3+0.00032*H179^2+(-0.0021)*H179))*(MAX(0.05,MIN(1,(2*J179+I179)/120)*MIN(1,I179/10)*MIN(1,J179/10)))</f>
        <v/>
      </c>
      <c r="Y179" s="5">
        <f>(I$1*((-0.000002)*I179^3+0.00032*I179^2+(-0.0021)*I179)+J$1*((-0.000002)*J179^3+0.00032*J179^2+(-0.0021)*J179)+H$1*((-0.000002)*H179^3+0.00032*H179^2+(-0.0021)*H179))*(MAX(0.05,MIN(1,(2*J179+I179)/120)*MIN(1,I179/10)*MIN(1,J179/10)))</f>
        <v/>
      </c>
      <c r="Z179">
        <f>U179*J$2+V179*O$2+W179*H$2</f>
        <v/>
      </c>
      <c r="AA179">
        <f>IF(AND(J179&gt;50,I179+J179&gt;75),"SP",IF(2*I179+J179&gt;120,"RP","CRAP"))</f>
        <v/>
      </c>
    </row>
    <row r="180" ht="13.5" customHeight="1" s="27" thickBot="1">
      <c r="A180">
        <f>(V180*V$2+W180*W$2+X180*X$2)*100/(V$4*V$2+W$4*W$2+X$4*X$2)</f>
        <v/>
      </c>
      <c r="B180" s="18" t="n">
        <v>138</v>
      </c>
      <c r="C180" s="11" t="inlineStr">
        <is>
          <t>Garko, Dustin</t>
        </is>
      </c>
      <c r="D180" s="19" t="inlineStr">
        <is>
          <t>C</t>
        </is>
      </c>
      <c r="E180" s="19" t="inlineStr">
        <is>
          <t>R</t>
        </is>
      </c>
      <c r="F180" s="19" t="inlineStr">
        <is>
          <t>R</t>
        </is>
      </c>
      <c r="G180" s="19" t="n">
        <v>18</v>
      </c>
      <c r="H180" s="19" t="n"/>
      <c r="I180" s="19" t="n"/>
      <c r="J180" s="19" t="n">
        <v>90</v>
      </c>
      <c r="K180" s="19" t="n">
        <v>29</v>
      </c>
      <c r="L180" s="19" t="n">
        <v>20</v>
      </c>
      <c r="M180" s="19" t="n">
        <v>7</v>
      </c>
      <c r="N180" s="19" t="n">
        <v>3</v>
      </c>
      <c r="O180" s="19" t="n">
        <v>0</v>
      </c>
      <c r="P180" s="19" t="n">
        <v>10</v>
      </c>
      <c r="Q180" s="19" t="n">
        <v>58</v>
      </c>
      <c r="R180" s="19" t="n">
        <v>0</v>
      </c>
      <c r="S180" s="19" t="n">
        <v>0</v>
      </c>
      <c r="T180" s="19" t="n">
        <v>0</v>
      </c>
      <c r="U180" s="19" t="n">
        <v>0</v>
      </c>
      <c r="V180" s="19">
        <f>K$1*(0.000001*K180^3)+L$1*((-0.000002)*L180^3+0.00032*L180^2+(-0.0021)*L180)+M$1*((-0.000002)*M180^3+0.00032*M180^2+(-0.0021)*M180)+N$1*((-0.000002)*N180^3+0.00032*N180^2+(-0.0021)*N180)+O$1*((-0.000002)*O180^3+0.00032*O180^2+(-0.0021)*O180)</f>
        <v/>
      </c>
      <c r="W180" s="5">
        <f>P$1*((-0.000002)*P180^3+0.00032*P180^2+(-0.0021)*P180)+Q$1*((-0.000002)*Q180^3+0.00032*Q180^2+(-0.0021)*Q180)+R$1*((-0.000002)*R180^3+0.00032*R180^2+(-0.0021)*R180)+S$1*((-0.000002)*S180^3+0.00032*S180^2+(-0.0021)*S180)+T$1*((-0.000002)*T180^3+0.00032*T180^2+(-0.0021)*T180)</f>
        <v/>
      </c>
      <c r="X180">
        <f>(I$1*((-0.000002)*I180^3+0.00032*I180^2+(-0.0021)*I180)+J$1*((-0.000002)*J180^3+0.00032*J180^2+(-0.0021)*J180)+H$1*((-0.000002)*H180^3+0.00032*H180^2+(-0.0021)*H180))*(MAX(0.05,MIN(1,(2*J180+I180)/120)*MIN(1,I180/10)*MIN(1,J180/10)))</f>
        <v/>
      </c>
      <c r="Y180" s="5">
        <f>(I$1*((-0.000002)*I180^3+0.00032*I180^2+(-0.0021)*I180)+J$1*((-0.000002)*J180^3+0.00032*J180^2+(-0.0021)*J180)+H$1*((-0.000002)*H180^3+0.00032*H180^2+(-0.0021)*H180))*(MAX(0.05,MIN(1,(2*J180+I180)/120)*MIN(1,I180/10)*MIN(1,J180/10)))</f>
        <v/>
      </c>
      <c r="Z180">
        <f>U180*J$2+V180*O$2+W180*H$2</f>
        <v/>
      </c>
      <c r="AA180">
        <f>IF(AND(J180&gt;50,I180+J180&gt;75),"SP",IF(2*I180+J180&gt;120,"RP","CRAP"))</f>
        <v/>
      </c>
    </row>
    <row r="181" ht="13.5" customHeight="1" s="27" thickBot="1">
      <c r="A181">
        <f>(V181*V$2+W181*W$2+X181*X$2)*100/(V$4*V$2+W$4*W$2+X$4*X$2)</f>
        <v/>
      </c>
      <c r="B181" s="18" t="n">
        <v>108</v>
      </c>
      <c r="C181" s="11" t="inlineStr">
        <is>
          <t>Killefer, Daniel</t>
        </is>
      </c>
      <c r="D181" s="19" t="inlineStr">
        <is>
          <t>LF</t>
        </is>
      </c>
      <c r="E181" s="19" t="inlineStr">
        <is>
          <t>L</t>
        </is>
      </c>
      <c r="F181" s="19" t="inlineStr">
        <is>
          <t>L</t>
        </is>
      </c>
      <c r="G181" s="19" t="n">
        <v>18</v>
      </c>
      <c r="H181" s="19" t="n"/>
      <c r="I181" s="19" t="n"/>
      <c r="J181" s="19" t="n">
        <v>80</v>
      </c>
      <c r="K181" s="19" t="n">
        <v>17</v>
      </c>
      <c r="L181" s="19" t="n">
        <v>12</v>
      </c>
      <c r="M181" s="19" t="n">
        <v>0</v>
      </c>
      <c r="N181" s="19" t="n">
        <v>8</v>
      </c>
      <c r="O181" s="19" t="n">
        <v>2</v>
      </c>
      <c r="P181" s="19" t="n">
        <v>28</v>
      </c>
      <c r="Q181" s="19" t="n">
        <v>63</v>
      </c>
      <c r="R181" s="19" t="n">
        <v>0</v>
      </c>
      <c r="S181" s="19" t="n">
        <v>0</v>
      </c>
      <c r="T181" s="19" t="n">
        <v>0</v>
      </c>
      <c r="U181" s="19" t="n">
        <v>0</v>
      </c>
      <c r="V181" s="19">
        <f>K$1*(0.000001*K181^3)+L$1*((-0.000002)*L181^3+0.00032*L181^2+(-0.0021)*L181)+M$1*((-0.000002)*M181^3+0.00032*M181^2+(-0.0021)*M181)+N$1*((-0.000002)*N181^3+0.00032*N181^2+(-0.0021)*N181)+O$1*((-0.000002)*O181^3+0.00032*O181^2+(-0.0021)*O181)</f>
        <v/>
      </c>
      <c r="W181" s="5">
        <f>P$1*((-0.000002)*P181^3+0.00032*P181^2+(-0.0021)*P181)+Q$1*((-0.000002)*Q181^3+0.00032*Q181^2+(-0.0021)*Q181)+R$1*((-0.000002)*R181^3+0.00032*R181^2+(-0.0021)*R181)+S$1*((-0.000002)*S181^3+0.00032*S181^2+(-0.0021)*S181)+T$1*((-0.000002)*T181^3+0.00032*T181^2+(-0.0021)*T181)</f>
        <v/>
      </c>
      <c r="X181">
        <f>(I$1*((-0.000002)*I181^3+0.00032*I181^2+(-0.0021)*I181)+J$1*((-0.000002)*J181^3+0.00032*J181^2+(-0.0021)*J181)+H$1*((-0.000002)*H181^3+0.00032*H181^2+(-0.0021)*H181))*(MAX(0.05,MIN(1,(2*J181+I181)/120)*MIN(1,I181/10)*MIN(1,J181/10)))</f>
        <v/>
      </c>
      <c r="Y181" s="5">
        <f>(I$1*((-0.000002)*I181^3+0.00032*I181^2+(-0.0021)*I181)+J$1*((-0.000002)*J181^3+0.00032*J181^2+(-0.0021)*J181)+H$1*((-0.000002)*H181^3+0.00032*H181^2+(-0.0021)*H181))*(MAX(0.05,MIN(1,(2*J181+I181)/120)*MIN(1,I181/10)*MIN(1,J181/10)))</f>
        <v/>
      </c>
      <c r="Z181">
        <f>U181*J$2+V181*O$2+W181*H$2</f>
        <v/>
      </c>
      <c r="AA181">
        <f>IF(AND(J181&gt;50,I181+J181&gt;75),"SP",IF(2*I181+J181&gt;120,"RP","CRAP"))</f>
        <v/>
      </c>
    </row>
    <row r="182" ht="13.5" customHeight="1" s="27" thickBot="1">
      <c r="A182">
        <f>(V182*V$2+W182*W$2+X182*X$2)*100/(V$4*V$2+W$4*W$2+X$4*X$2)</f>
        <v/>
      </c>
      <c r="B182" s="16" t="n">
        <v>67</v>
      </c>
      <c r="C182" s="10" t="inlineStr">
        <is>
          <t>Torres, Emmanuel</t>
        </is>
      </c>
      <c r="D182" s="17" t="inlineStr">
        <is>
          <t>1B</t>
        </is>
      </c>
      <c r="E182" s="17" t="inlineStr">
        <is>
          <t>L</t>
        </is>
      </c>
      <c r="F182" s="17" t="inlineStr">
        <is>
          <t>R</t>
        </is>
      </c>
      <c r="G182" s="17" t="n">
        <v>18</v>
      </c>
      <c r="H182" s="17" t="n"/>
      <c r="I182" s="17" t="n"/>
      <c r="J182" s="17" t="n">
        <v>84</v>
      </c>
      <c r="K182" s="17" t="n">
        <v>37</v>
      </c>
      <c r="L182" s="17" t="n">
        <v>0</v>
      </c>
      <c r="M182" s="17" t="n">
        <v>0</v>
      </c>
      <c r="N182" s="17" t="n">
        <v>11</v>
      </c>
      <c r="O182" s="17" t="n">
        <v>3</v>
      </c>
      <c r="P182" s="17" t="n">
        <v>15</v>
      </c>
      <c r="Q182" s="17" t="n">
        <v>57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>
        <f>K$1*(0.000001*K182^3)+L$1*((-0.000002)*L182^3+0.00032*L182^2+(-0.0021)*L182)+M$1*((-0.000002)*M182^3+0.00032*M182^2+(-0.0021)*M182)+N$1*((-0.000002)*N182^3+0.00032*N182^2+(-0.0021)*N182)+O$1*((-0.000002)*O182^3+0.00032*O182^2+(-0.0021)*O182)</f>
        <v/>
      </c>
      <c r="W182" s="5">
        <f>P$1*((-0.000002)*P182^3+0.00032*P182^2+(-0.0021)*P182)+Q$1*((-0.000002)*Q182^3+0.00032*Q182^2+(-0.0021)*Q182)+R$1*((-0.000002)*R182^3+0.00032*R182^2+(-0.0021)*R182)+S$1*((-0.000002)*S182^3+0.00032*S182^2+(-0.0021)*S182)+T$1*((-0.000002)*T182^3+0.00032*T182^2+(-0.0021)*T182)</f>
        <v/>
      </c>
      <c r="X182">
        <f>(I$1*((-0.000002)*I182^3+0.00032*I182^2+(-0.0021)*I182)+J$1*((-0.000002)*J182^3+0.00032*J182^2+(-0.0021)*J182)+H$1*((-0.000002)*H182^3+0.00032*H182^2+(-0.0021)*H182))*(MAX(0.05,MIN(1,(2*J182+I182)/120)*MIN(1,I182/10)*MIN(1,J182/10)))</f>
        <v/>
      </c>
      <c r="Y182" s="5">
        <f>(I$1*((-0.000002)*I182^3+0.00032*I182^2+(-0.0021)*I182)+J$1*((-0.000002)*J182^3+0.00032*J182^2+(-0.0021)*J182)+H$1*((-0.000002)*H182^3+0.00032*H182^2+(-0.0021)*H182))*(MAX(0.05,MIN(1,(2*J182+I182)/120)*MIN(1,I182/10)*MIN(1,J182/10)))</f>
        <v/>
      </c>
      <c r="Z182">
        <f>U182*J$2+V182*O$2+W182*H$2</f>
        <v/>
      </c>
      <c r="AA182">
        <f>IF(AND(J182&gt;50,I182+J182&gt;75),"SP",IF(2*I182+J182&gt;120,"RP","CRAP"))</f>
        <v/>
      </c>
    </row>
    <row r="183" ht="13.5" customHeight="1" s="27" thickBot="1">
      <c r="A183">
        <f>(V183*V$2+W183*W$2+X183*X$2)*100/(V$4*V$2+W$4*W$2+X$4*X$2)</f>
        <v/>
      </c>
      <c r="B183" s="16" t="n">
        <v>43</v>
      </c>
      <c r="C183" s="10" t="inlineStr">
        <is>
          <t>Castro, David</t>
        </is>
      </c>
      <c r="D183" s="17" t="inlineStr">
        <is>
          <t>2B</t>
        </is>
      </c>
      <c r="E183" s="17" t="inlineStr">
        <is>
          <t>R</t>
        </is>
      </c>
      <c r="F183" s="17" t="inlineStr">
        <is>
          <t>R</t>
        </is>
      </c>
      <c r="G183" s="17" t="n">
        <v>18</v>
      </c>
      <c r="H183" s="17" t="n"/>
      <c r="I183" s="17" t="n"/>
      <c r="J183" s="17" t="n">
        <v>73</v>
      </c>
      <c r="K183" s="17" t="n">
        <v>30</v>
      </c>
      <c r="L183" s="17" t="n">
        <v>8</v>
      </c>
      <c r="M183" s="17" t="n">
        <v>6</v>
      </c>
      <c r="N183" s="17" t="n">
        <v>5</v>
      </c>
      <c r="O183" s="17" t="n">
        <v>3</v>
      </c>
      <c r="P183" s="17" t="n">
        <v>35</v>
      </c>
      <c r="Q183" s="17" t="n">
        <v>47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>
        <f>K$1*(0.000001*K183^3)+L$1*((-0.000002)*L183^3+0.00032*L183^2+(-0.0021)*L183)+M$1*((-0.000002)*M183^3+0.00032*M183^2+(-0.0021)*M183)+N$1*((-0.000002)*N183^3+0.00032*N183^2+(-0.0021)*N183)+O$1*((-0.000002)*O183^3+0.00032*O183^2+(-0.0021)*O183)</f>
        <v/>
      </c>
      <c r="W183" s="5">
        <f>P$1*((-0.000002)*P183^3+0.00032*P183^2+(-0.0021)*P183)+Q$1*((-0.000002)*Q183^3+0.00032*Q183^2+(-0.0021)*Q183)+R$1*((-0.000002)*R183^3+0.00032*R183^2+(-0.0021)*R183)+S$1*((-0.000002)*S183^3+0.00032*S183^2+(-0.0021)*S183)+T$1*((-0.000002)*T183^3+0.00032*T183^2+(-0.0021)*T183)</f>
        <v/>
      </c>
      <c r="X183">
        <f>(I$1*((-0.000002)*I183^3+0.00032*I183^2+(-0.0021)*I183)+J$1*((-0.000002)*J183^3+0.00032*J183^2+(-0.0021)*J183)+H$1*((-0.000002)*H183^3+0.00032*H183^2+(-0.0021)*H183))*(MAX(0.05,MIN(1,(2*J183+I183)/120)*MIN(1,I183/10)*MIN(1,J183/10)))</f>
        <v/>
      </c>
      <c r="Y183" s="5">
        <f>(I$1*((-0.000002)*I183^3+0.00032*I183^2+(-0.0021)*I183)+J$1*((-0.000002)*J183^3+0.00032*J183^2+(-0.0021)*J183)+H$1*((-0.000002)*H183^3+0.00032*H183^2+(-0.0021)*H183))*(MAX(0.05,MIN(1,(2*J183+I183)/120)*MIN(1,I183/10)*MIN(1,J183/10)))</f>
        <v/>
      </c>
      <c r="Z183">
        <f>U183*J$2+V183*O$2+W183*H$2</f>
        <v/>
      </c>
      <c r="AA183">
        <f>IF(AND(J183&gt;50,I183+J183&gt;75),"SP",IF(2*I183+J183&gt;120,"RP","CRAP"))</f>
        <v/>
      </c>
    </row>
    <row r="184" ht="13.5" customHeight="1" s="27" thickBot="1">
      <c r="A184">
        <f>(V184*V$2+W184*W$2+X184*X$2)*100/(V$4*V$2+W$4*W$2+X$4*X$2)</f>
        <v/>
      </c>
      <c r="B184" s="18" t="n">
        <v>176</v>
      </c>
      <c r="C184" s="11" t="inlineStr">
        <is>
          <t>Drabek, Darren</t>
        </is>
      </c>
      <c r="D184" s="19" t="inlineStr">
        <is>
          <t>2B</t>
        </is>
      </c>
      <c r="E184" s="19" t="inlineStr">
        <is>
          <t>R</t>
        </is>
      </c>
      <c r="F184" s="19" t="inlineStr">
        <is>
          <t>R</t>
        </is>
      </c>
      <c r="G184" s="19" t="n">
        <v>21</v>
      </c>
      <c r="H184" s="19" t="n"/>
      <c r="I184" s="19" t="n"/>
      <c r="J184" s="19" t="n">
        <v>54</v>
      </c>
      <c r="K184" s="19" t="n">
        <v>29</v>
      </c>
      <c r="L184" s="19" t="n">
        <v>4</v>
      </c>
      <c r="M184" s="19" t="n">
        <v>29</v>
      </c>
      <c r="N184" s="19" t="n">
        <v>3</v>
      </c>
      <c r="O184" s="19" t="n">
        <v>24</v>
      </c>
      <c r="P184" s="19" t="n">
        <v>0</v>
      </c>
      <c r="Q184" s="19" t="n">
        <v>58</v>
      </c>
      <c r="R184" s="19" t="n">
        <v>0</v>
      </c>
      <c r="S184" s="19" t="n">
        <v>0</v>
      </c>
      <c r="T184" s="19" t="n">
        <v>0</v>
      </c>
      <c r="U184" s="19" t="n">
        <v>0</v>
      </c>
      <c r="V184" s="19">
        <f>K$1*(0.000001*K184^3)+L$1*((-0.000002)*L184^3+0.00032*L184^2+(-0.0021)*L184)+M$1*((-0.000002)*M184^3+0.00032*M184^2+(-0.0021)*M184)+N$1*((-0.000002)*N184^3+0.00032*N184^2+(-0.0021)*N184)+O$1*((-0.000002)*O184^3+0.00032*O184^2+(-0.0021)*O184)</f>
        <v/>
      </c>
      <c r="W184" s="5">
        <f>P$1*((-0.000002)*P184^3+0.00032*P184^2+(-0.0021)*P184)+Q$1*((-0.000002)*Q184^3+0.00032*Q184^2+(-0.0021)*Q184)+R$1*((-0.000002)*R184^3+0.00032*R184^2+(-0.0021)*R184)+S$1*((-0.000002)*S184^3+0.00032*S184^2+(-0.0021)*S184)+T$1*((-0.000002)*T184^3+0.00032*T184^2+(-0.0021)*T184)</f>
        <v/>
      </c>
      <c r="X184">
        <f>(I$1*((-0.000002)*I184^3+0.00032*I184^2+(-0.0021)*I184)+J$1*((-0.000002)*J184^3+0.00032*J184^2+(-0.0021)*J184)+H$1*((-0.000002)*H184^3+0.00032*H184^2+(-0.0021)*H184))*(MAX(0.05,MIN(1,(2*J184+I184)/120)*MIN(1,I184/10)*MIN(1,J184/10)))</f>
        <v/>
      </c>
      <c r="Y184" s="5">
        <f>(I$1*((-0.000002)*I184^3+0.00032*I184^2+(-0.0021)*I184)+J$1*((-0.000002)*J184^3+0.00032*J184^2+(-0.0021)*J184)+H$1*((-0.000002)*H184^3+0.00032*H184^2+(-0.0021)*H184))*(MAX(0.05,MIN(1,(2*J184+I184)/120)*MIN(1,I184/10)*MIN(1,J184/10)))</f>
        <v/>
      </c>
      <c r="Z184">
        <f>U184*J$2+V184*O$2+W184*H$2</f>
        <v/>
      </c>
      <c r="AA184">
        <f>IF(AND(J184&gt;50,I184+J184&gt;75),"SP",IF(2*I184+J184&gt;120,"RP","CRAP"))</f>
        <v/>
      </c>
    </row>
    <row r="185" ht="13.5" customHeight="1" s="27" thickBot="1">
      <c r="A185">
        <f>(V185*V$2+W185*W$2+X185*X$2)*100/(V$4*V$2+W$4*W$2+X$4*X$2)</f>
        <v/>
      </c>
      <c r="B185" s="18" t="n">
        <v>2</v>
      </c>
      <c r="C185" s="11" t="inlineStr">
        <is>
          <t>Burkett, Red</t>
        </is>
      </c>
      <c r="D185" s="19" t="inlineStr">
        <is>
          <t>C</t>
        </is>
      </c>
      <c r="E185" s="19" t="inlineStr">
        <is>
          <t>R</t>
        </is>
      </c>
      <c r="F185" s="19" t="inlineStr">
        <is>
          <t>R</t>
        </is>
      </c>
      <c r="G185" s="19" t="n">
        <v>18</v>
      </c>
      <c r="H185" s="19" t="n"/>
      <c r="I185" s="19" t="n"/>
      <c r="J185" s="19" t="n">
        <v>100</v>
      </c>
      <c r="K185" s="19" t="n">
        <v>31</v>
      </c>
      <c r="L185" s="19" t="n">
        <v>15</v>
      </c>
      <c r="M185" s="19" t="n">
        <v>9</v>
      </c>
      <c r="N185" s="19" t="n">
        <v>0</v>
      </c>
      <c r="O185" s="19" t="n">
        <v>14</v>
      </c>
      <c r="P185" s="19" t="n">
        <v>15</v>
      </c>
      <c r="Q185" s="19" t="n">
        <v>51</v>
      </c>
      <c r="R185" s="19" t="n">
        <v>0</v>
      </c>
      <c r="S185" s="19" t="n">
        <v>0</v>
      </c>
      <c r="T185" s="19" t="n">
        <v>0</v>
      </c>
      <c r="U185" s="19" t="n">
        <v>0</v>
      </c>
      <c r="V185" s="19">
        <f>K$1*(0.000001*K185^3)+L$1*((-0.000002)*L185^3+0.00032*L185^2+(-0.0021)*L185)+M$1*((-0.000002)*M185^3+0.00032*M185^2+(-0.0021)*M185)+N$1*((-0.000002)*N185^3+0.00032*N185^2+(-0.0021)*N185)+O$1*((-0.000002)*O185^3+0.00032*O185^2+(-0.0021)*O185)</f>
        <v/>
      </c>
      <c r="W185" s="5">
        <f>P$1*((-0.000002)*P185^3+0.00032*P185^2+(-0.0021)*P185)+Q$1*((-0.000002)*Q185^3+0.00032*Q185^2+(-0.0021)*Q185)+R$1*((-0.000002)*R185^3+0.00032*R185^2+(-0.0021)*R185)+S$1*((-0.000002)*S185^3+0.00032*S185^2+(-0.0021)*S185)+T$1*((-0.000002)*T185^3+0.00032*T185^2+(-0.0021)*T185)</f>
        <v/>
      </c>
      <c r="X185">
        <f>(I$1*((-0.000002)*I185^3+0.00032*I185^2+(-0.0021)*I185)+J$1*((-0.000002)*J185^3+0.00032*J185^2+(-0.0021)*J185)+H$1*((-0.000002)*H185^3+0.00032*H185^2+(-0.0021)*H185))*(MAX(0.05,MIN(1,(2*J185+I185)/120)*MIN(1,I185/10)*MIN(1,J185/10)))</f>
        <v/>
      </c>
      <c r="Y185" s="5">
        <f>(I$1*((-0.000002)*I185^3+0.00032*I185^2+(-0.0021)*I185)+J$1*((-0.000002)*J185^3+0.00032*J185^2+(-0.0021)*J185)+H$1*((-0.000002)*H185^3+0.00032*H185^2+(-0.0021)*H185))*(MAX(0.05,MIN(1,(2*J185+I185)/120)*MIN(1,I185/10)*MIN(1,J185/10)))</f>
        <v/>
      </c>
      <c r="Z185">
        <f>U185*J$2+V185*O$2+W185*H$2</f>
        <v/>
      </c>
      <c r="AA185">
        <f>IF(AND(J185&gt;50,I185+J185&gt;75),"SP",IF(2*I185+J185&gt;120,"RP","CRAP"))</f>
        <v/>
      </c>
    </row>
    <row r="186" ht="13.5" customHeight="1" s="27" thickBot="1">
      <c r="A186">
        <f>(V186*V$2+W186*W$2+X186*X$2)*100/(V$4*V$2+W$4*W$2+X$4*X$2)</f>
        <v/>
      </c>
      <c r="B186" s="18" t="n">
        <v>56</v>
      </c>
      <c r="C186" s="11" t="inlineStr">
        <is>
          <t>Bergesen, Pete</t>
        </is>
      </c>
      <c r="D186" s="19" t="inlineStr">
        <is>
          <t>LF</t>
        </is>
      </c>
      <c r="E186" s="19" t="inlineStr">
        <is>
          <t>R</t>
        </is>
      </c>
      <c r="F186" s="19" t="inlineStr">
        <is>
          <t>R</t>
        </is>
      </c>
      <c r="G186" s="19" t="n">
        <v>18</v>
      </c>
      <c r="H186" s="19" t="n"/>
      <c r="I186" s="19" t="n"/>
      <c r="J186" s="19" t="n">
        <v>89</v>
      </c>
      <c r="K186" s="19" t="n">
        <v>22</v>
      </c>
      <c r="L186" s="19" t="n">
        <v>12</v>
      </c>
      <c r="M186" s="19" t="n">
        <v>9</v>
      </c>
      <c r="N186" s="19" t="n">
        <v>14</v>
      </c>
      <c r="O186" s="19" t="n">
        <v>15</v>
      </c>
      <c r="P186" s="19" t="n">
        <v>22</v>
      </c>
      <c r="Q186" s="19" t="n">
        <v>53</v>
      </c>
      <c r="R186" s="19" t="n">
        <v>0</v>
      </c>
      <c r="S186" s="19" t="n">
        <v>0</v>
      </c>
      <c r="T186" s="19" t="n">
        <v>0</v>
      </c>
      <c r="U186" s="19" t="n">
        <v>0</v>
      </c>
      <c r="V186" s="19">
        <f>K$1*(0.000001*K186^3)+L$1*((-0.000002)*L186^3+0.00032*L186^2+(-0.0021)*L186)+M$1*((-0.000002)*M186^3+0.00032*M186^2+(-0.0021)*M186)+N$1*((-0.000002)*N186^3+0.00032*N186^2+(-0.0021)*N186)+O$1*((-0.000002)*O186^3+0.00032*O186^2+(-0.0021)*O186)</f>
        <v/>
      </c>
      <c r="W186" s="5">
        <f>P$1*((-0.000002)*P186^3+0.00032*P186^2+(-0.0021)*P186)+Q$1*((-0.000002)*Q186^3+0.00032*Q186^2+(-0.0021)*Q186)+R$1*((-0.000002)*R186^3+0.00032*R186^2+(-0.0021)*R186)+S$1*((-0.000002)*S186^3+0.00032*S186^2+(-0.0021)*S186)+T$1*((-0.000002)*T186^3+0.00032*T186^2+(-0.0021)*T186)</f>
        <v/>
      </c>
      <c r="X186">
        <f>(I$1*((-0.000002)*I186^3+0.00032*I186^2+(-0.0021)*I186)+J$1*((-0.000002)*J186^3+0.00032*J186^2+(-0.0021)*J186)+H$1*((-0.000002)*H186^3+0.00032*H186^2+(-0.0021)*H186))*(MAX(0.05,MIN(1,(2*J186+I186)/120)*MIN(1,I186/10)*MIN(1,J186/10)))</f>
        <v/>
      </c>
      <c r="Y186" s="5">
        <f>(I$1*((-0.000002)*I186^3+0.00032*I186^2+(-0.0021)*I186)+J$1*((-0.000002)*J186^3+0.00032*J186^2+(-0.0021)*J186)+H$1*((-0.000002)*H186^3+0.00032*H186^2+(-0.0021)*H186))*(MAX(0.05,MIN(1,(2*J186+I186)/120)*MIN(1,I186/10)*MIN(1,J186/10)))</f>
        <v/>
      </c>
      <c r="Z186">
        <f>U186*J$2+V186*O$2+W186*H$2</f>
        <v/>
      </c>
      <c r="AA186">
        <f>IF(AND(J186&gt;50,I186+J186&gt;75),"SP",IF(2*I186+J186&gt;120,"RP","CRAP"))</f>
        <v/>
      </c>
    </row>
    <row r="187" ht="13.5" customHeight="1" s="27" thickBot="1">
      <c r="A187">
        <f>(V187*V$2+W187*W$2+X187*X$2)*100/(V$4*V$2+W$4*W$2+X$4*X$2)</f>
        <v/>
      </c>
      <c r="B187" s="16" t="n">
        <v>97</v>
      </c>
      <c r="C187" s="10" t="inlineStr">
        <is>
          <t>Garcia, Jerrud</t>
        </is>
      </c>
      <c r="D187" s="17" t="inlineStr">
        <is>
          <t>2B</t>
        </is>
      </c>
      <c r="E187" s="17" t="inlineStr">
        <is>
          <t>R</t>
        </is>
      </c>
      <c r="F187" s="17" t="inlineStr">
        <is>
          <t>R</t>
        </is>
      </c>
      <c r="G187" s="17" t="n">
        <v>18</v>
      </c>
      <c r="H187" s="17" t="n"/>
      <c r="I187" s="17" t="n"/>
      <c r="J187" s="17" t="n">
        <v>85</v>
      </c>
      <c r="K187" s="17" t="n">
        <v>40</v>
      </c>
      <c r="L187" s="17" t="n">
        <v>7</v>
      </c>
      <c r="M187" s="17" t="n">
        <v>22</v>
      </c>
      <c r="N187" s="17" t="n">
        <v>14</v>
      </c>
      <c r="O187" s="17" t="n">
        <v>5</v>
      </c>
      <c r="P187" s="17" t="n">
        <v>31</v>
      </c>
      <c r="Q187" s="17" t="n">
        <v>29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>
        <f>K$1*(0.000001*K187^3)+L$1*((-0.000002)*L187^3+0.00032*L187^2+(-0.0021)*L187)+M$1*((-0.000002)*M187^3+0.00032*M187^2+(-0.0021)*M187)+N$1*((-0.000002)*N187^3+0.00032*N187^2+(-0.0021)*N187)+O$1*((-0.000002)*O187^3+0.00032*O187^2+(-0.0021)*O187)</f>
        <v/>
      </c>
      <c r="W187" s="5">
        <f>P$1*((-0.000002)*P187^3+0.00032*P187^2+(-0.0021)*P187)+Q$1*((-0.000002)*Q187^3+0.00032*Q187^2+(-0.0021)*Q187)+R$1*((-0.000002)*R187^3+0.00032*R187^2+(-0.0021)*R187)+S$1*((-0.000002)*S187^3+0.00032*S187^2+(-0.0021)*S187)+T$1*((-0.000002)*T187^3+0.00032*T187^2+(-0.0021)*T187)</f>
        <v/>
      </c>
      <c r="X187">
        <f>(I$1*((-0.000002)*I187^3+0.00032*I187^2+(-0.0021)*I187)+J$1*((-0.000002)*J187^3+0.00032*J187^2+(-0.0021)*J187)+H$1*((-0.000002)*H187^3+0.00032*H187^2+(-0.0021)*H187))*(MAX(0.05,MIN(1,(2*J187+I187)/120)*MIN(1,I187/10)*MIN(1,J187/10)))</f>
        <v/>
      </c>
      <c r="Y187" s="5">
        <f>(I$1*((-0.000002)*I187^3+0.00032*I187^2+(-0.0021)*I187)+J$1*((-0.000002)*J187^3+0.00032*J187^2+(-0.0021)*J187)+H$1*((-0.000002)*H187^3+0.00032*H187^2+(-0.0021)*H187))*(MAX(0.05,MIN(1,(2*J187+I187)/120)*MIN(1,I187/10)*MIN(1,J187/10)))</f>
        <v/>
      </c>
      <c r="Z187">
        <f>U187*J$2+V187*O$2+W187*H$2</f>
        <v/>
      </c>
      <c r="AA187">
        <f>IF(AND(J187&gt;50,I187+J187&gt;75),"SP",IF(2*I187+J187&gt;120,"RP","CRAP"))</f>
        <v/>
      </c>
    </row>
    <row r="188" ht="13.5" customHeight="1" s="27" thickBot="1">
      <c r="A188">
        <f>(V188*V$2+W188*W$2+X188*X$2)*100/(V$4*V$2+W$4*W$2+X$4*X$2)</f>
        <v/>
      </c>
      <c r="B188" s="18" t="n">
        <v>182</v>
      </c>
      <c r="C188" s="11" t="inlineStr">
        <is>
          <t>Yoshii, Del</t>
        </is>
      </c>
      <c r="D188" s="19" t="inlineStr">
        <is>
          <t>DH</t>
        </is>
      </c>
      <c r="E188" s="19" t="inlineStr">
        <is>
          <t>S</t>
        </is>
      </c>
      <c r="F188" s="19" t="inlineStr">
        <is>
          <t>R</t>
        </is>
      </c>
      <c r="G188" s="19" t="n">
        <v>18</v>
      </c>
      <c r="H188" s="19" t="n"/>
      <c r="I188" s="19" t="n"/>
      <c r="J188" s="19" t="n">
        <v>100</v>
      </c>
      <c r="K188" s="19" t="n">
        <v>4</v>
      </c>
      <c r="L188" s="19" t="n">
        <v>14</v>
      </c>
      <c r="M188" s="19" t="n">
        <v>22</v>
      </c>
      <c r="N188" s="19" t="n">
        <v>29</v>
      </c>
      <c r="O188" s="19" t="n">
        <v>11</v>
      </c>
      <c r="P188" s="19" t="n">
        <v>30</v>
      </c>
      <c r="Q188" s="19" t="n">
        <v>35</v>
      </c>
      <c r="R188" s="19" t="n">
        <v>0</v>
      </c>
      <c r="S188" s="19" t="n">
        <v>0</v>
      </c>
      <c r="T188" s="19" t="n">
        <v>0</v>
      </c>
      <c r="U188" s="19" t="n">
        <v>0</v>
      </c>
      <c r="V188" s="19">
        <f>K$1*(0.000001*K188^3)+L$1*((-0.000002)*L188^3+0.00032*L188^2+(-0.0021)*L188)+M$1*((-0.000002)*M188^3+0.00032*M188^2+(-0.0021)*M188)+N$1*((-0.000002)*N188^3+0.00032*N188^2+(-0.0021)*N188)+O$1*((-0.000002)*O188^3+0.00032*O188^2+(-0.0021)*O188)</f>
        <v/>
      </c>
      <c r="W188" s="5">
        <f>P$1*((-0.000002)*P188^3+0.00032*P188^2+(-0.0021)*P188)+Q$1*((-0.000002)*Q188^3+0.00032*Q188^2+(-0.0021)*Q188)+R$1*((-0.000002)*R188^3+0.00032*R188^2+(-0.0021)*R188)+S$1*((-0.000002)*S188^3+0.00032*S188^2+(-0.0021)*S188)+T$1*((-0.000002)*T188^3+0.00032*T188^2+(-0.0021)*T188)</f>
        <v/>
      </c>
      <c r="X188">
        <f>(I$1*((-0.000002)*I188^3+0.00032*I188^2+(-0.0021)*I188)+J$1*((-0.000002)*J188^3+0.00032*J188^2+(-0.0021)*J188)+H$1*((-0.000002)*H188^3+0.00032*H188^2+(-0.0021)*H188))*(MAX(0.05,MIN(1,(2*J188+I188)/120)*MIN(1,I188/10)*MIN(1,J188/10)))</f>
        <v/>
      </c>
      <c r="Y188" s="5">
        <f>(I$1*((-0.000002)*I188^3+0.00032*I188^2+(-0.0021)*I188)+J$1*((-0.000002)*J188^3+0.00032*J188^2+(-0.0021)*J188)+H$1*((-0.000002)*H188^3+0.00032*H188^2+(-0.0021)*H188))*(MAX(0.05,MIN(1,(2*J188+I188)/120)*MIN(1,I188/10)*MIN(1,J188/10)))</f>
        <v/>
      </c>
      <c r="Z188">
        <f>U188*J$2+V188*O$2+W188*H$2</f>
        <v/>
      </c>
      <c r="AA188">
        <f>IF(AND(J188&gt;50,I188+J188&gt;75),"SP",IF(2*I188+J188&gt;120,"RP","CRAP"))</f>
        <v/>
      </c>
    </row>
    <row r="189" ht="13.5" customHeight="1" s="27" thickBot="1">
      <c r="A189">
        <f>(V189*V$2+W189*W$2+X189*X$2)*100/(V$4*V$2+W$4*W$2+X$4*X$2)</f>
        <v/>
      </c>
      <c r="B189" s="18" t="n">
        <v>26</v>
      </c>
      <c r="C189" s="11" t="inlineStr">
        <is>
          <t>Dawkins, Marvin</t>
        </is>
      </c>
      <c r="D189" s="19" t="inlineStr">
        <is>
          <t>LF</t>
        </is>
      </c>
      <c r="E189" s="19" t="inlineStr">
        <is>
          <t>S</t>
        </is>
      </c>
      <c r="F189" s="19" t="inlineStr">
        <is>
          <t>L</t>
        </is>
      </c>
      <c r="G189" s="19" t="n">
        <v>18</v>
      </c>
      <c r="H189" s="19" t="n"/>
      <c r="I189" s="19" t="n"/>
      <c r="J189" s="19" t="n">
        <v>93</v>
      </c>
      <c r="K189" s="19" t="n">
        <v>14</v>
      </c>
      <c r="L189" s="19" t="n">
        <v>6</v>
      </c>
      <c r="M189" s="19" t="n">
        <v>20</v>
      </c>
      <c r="N189" s="19" t="n">
        <v>19</v>
      </c>
      <c r="O189" s="19" t="n">
        <v>14</v>
      </c>
      <c r="P189" s="19" t="n">
        <v>28</v>
      </c>
      <c r="Q189" s="19" t="n">
        <v>46</v>
      </c>
      <c r="R189" s="19" t="n">
        <v>0</v>
      </c>
      <c r="S189" s="19" t="n">
        <v>0</v>
      </c>
      <c r="T189" s="19" t="n">
        <v>0</v>
      </c>
      <c r="U189" s="19" t="n">
        <v>0</v>
      </c>
      <c r="V189" s="19">
        <f>K$1*(0.000001*K189^3)+L$1*((-0.000002)*L189^3+0.00032*L189^2+(-0.0021)*L189)+M$1*((-0.000002)*M189^3+0.00032*M189^2+(-0.0021)*M189)+N$1*((-0.000002)*N189^3+0.00032*N189^2+(-0.0021)*N189)+O$1*((-0.000002)*O189^3+0.00032*O189^2+(-0.0021)*O189)</f>
        <v/>
      </c>
      <c r="W189" s="5">
        <f>P$1*((-0.000002)*P189^3+0.00032*P189^2+(-0.0021)*P189)+Q$1*((-0.000002)*Q189^3+0.00032*Q189^2+(-0.0021)*Q189)+R$1*((-0.000002)*R189^3+0.00032*R189^2+(-0.0021)*R189)+S$1*((-0.000002)*S189^3+0.00032*S189^2+(-0.0021)*S189)+T$1*((-0.000002)*T189^3+0.00032*T189^2+(-0.0021)*T189)</f>
        <v/>
      </c>
      <c r="X189">
        <f>(I$1*((-0.000002)*I189^3+0.00032*I189^2+(-0.0021)*I189)+J$1*((-0.000002)*J189^3+0.00032*J189^2+(-0.0021)*J189)+H$1*((-0.000002)*H189^3+0.00032*H189^2+(-0.0021)*H189))*(MAX(0.05,MIN(1,(2*J189+I189)/120)*MIN(1,I189/10)*MIN(1,J189/10)))</f>
        <v/>
      </c>
      <c r="Y189" s="5">
        <f>(I$1*((-0.000002)*I189^3+0.00032*I189^2+(-0.0021)*I189)+J$1*((-0.000002)*J189^3+0.00032*J189^2+(-0.0021)*J189)+H$1*((-0.000002)*H189^3+0.00032*H189^2+(-0.0021)*H189))*(MAX(0.05,MIN(1,(2*J189+I189)/120)*MIN(1,I189/10)*MIN(1,J189/10)))</f>
        <v/>
      </c>
      <c r="Z189">
        <f>U189*J$2+V189*O$2+W189*H$2</f>
        <v/>
      </c>
      <c r="AA189">
        <f>IF(AND(J189&gt;50,I189+J189&gt;75),"SP",IF(2*I189+J189&gt;120,"RP","CRAP"))</f>
        <v/>
      </c>
    </row>
    <row r="190" ht="13.5" customHeight="1" s="27" thickBot="1">
      <c r="A190">
        <f>(V190*V$2+W190*W$2+X190*X$2)*100/(V$4*V$2+W$4*W$2+X$4*X$2)</f>
        <v/>
      </c>
      <c r="B190" s="16" t="n">
        <v>109</v>
      </c>
      <c r="C190" s="10" t="inlineStr">
        <is>
          <t>Constanza, Brian</t>
        </is>
      </c>
      <c r="D190" s="17" t="inlineStr">
        <is>
          <t>LF</t>
        </is>
      </c>
      <c r="E190" s="17" t="inlineStr">
        <is>
          <t>R</t>
        </is>
      </c>
      <c r="F190" s="17" t="inlineStr">
        <is>
          <t>R</t>
        </is>
      </c>
      <c r="G190" s="17" t="n">
        <v>18</v>
      </c>
      <c r="H190" s="17" t="n"/>
      <c r="I190" s="17" t="n"/>
      <c r="J190" s="17" t="n">
        <v>81</v>
      </c>
      <c r="K190" s="17" t="n">
        <v>23</v>
      </c>
      <c r="L190" s="17" t="n">
        <v>5</v>
      </c>
      <c r="M190" s="17" t="n">
        <v>3</v>
      </c>
      <c r="N190" s="17" t="n">
        <v>4</v>
      </c>
      <c r="O190" s="17" t="n">
        <v>16</v>
      </c>
      <c r="P190" s="17" t="n">
        <v>42</v>
      </c>
      <c r="Q190" s="17" t="n">
        <v>38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>
        <f>K$1*(0.000001*K190^3)+L$1*((-0.000002)*L190^3+0.00032*L190^2+(-0.0021)*L190)+M$1*((-0.000002)*M190^3+0.00032*M190^2+(-0.0021)*M190)+N$1*((-0.000002)*N190^3+0.00032*N190^2+(-0.0021)*N190)+O$1*((-0.000002)*O190^3+0.00032*O190^2+(-0.0021)*O190)</f>
        <v/>
      </c>
      <c r="W190" s="5">
        <f>P$1*((-0.000002)*P190^3+0.00032*P190^2+(-0.0021)*P190)+Q$1*((-0.000002)*Q190^3+0.00032*Q190^2+(-0.0021)*Q190)+R$1*((-0.000002)*R190^3+0.00032*R190^2+(-0.0021)*R190)+S$1*((-0.000002)*S190^3+0.00032*S190^2+(-0.0021)*S190)+T$1*((-0.000002)*T190^3+0.00032*T190^2+(-0.0021)*T190)</f>
        <v/>
      </c>
      <c r="X190">
        <f>(I$1*((-0.000002)*I190^3+0.00032*I190^2+(-0.0021)*I190)+J$1*((-0.000002)*J190^3+0.00032*J190^2+(-0.0021)*J190)+H$1*((-0.000002)*H190^3+0.00032*H190^2+(-0.0021)*H190))*(MAX(0.05,MIN(1,(2*J190+I190)/120)*MIN(1,I190/10)*MIN(1,J190/10)))</f>
        <v/>
      </c>
      <c r="Y190" s="5">
        <f>(I$1*((-0.000002)*I190^3+0.00032*I190^2+(-0.0021)*I190)+J$1*((-0.000002)*J190^3+0.00032*J190^2+(-0.0021)*J190)+H$1*((-0.000002)*H190^3+0.00032*H190^2+(-0.0021)*H190))*(MAX(0.05,MIN(1,(2*J190+I190)/120)*MIN(1,I190/10)*MIN(1,J190/10)))</f>
        <v/>
      </c>
      <c r="Z190">
        <f>U190*J$2+V190*O$2+W190*H$2</f>
        <v/>
      </c>
      <c r="AA190">
        <f>IF(AND(J190&gt;50,I190+J190&gt;75),"SP",IF(2*I190+J190&gt;120,"RP","CRAP"))</f>
        <v/>
      </c>
    </row>
    <row r="191" ht="13.5" customHeight="1" s="27" thickBot="1">
      <c r="A191">
        <f>(V191*V$2+W191*W$2+X191*X$2)*100/(V$4*V$2+W$4*W$2+X$4*X$2)</f>
        <v/>
      </c>
      <c r="B191" s="18" t="n">
        <v>86</v>
      </c>
      <c r="C191" s="11" t="inlineStr">
        <is>
          <t>Jefferson, Cameron</t>
        </is>
      </c>
      <c r="D191" s="19" t="inlineStr">
        <is>
          <t>LF</t>
        </is>
      </c>
      <c r="E191" s="19" t="inlineStr">
        <is>
          <t>R</t>
        </is>
      </c>
      <c r="F191" s="19" t="inlineStr">
        <is>
          <t>R</t>
        </is>
      </c>
      <c r="G191" s="19" t="n">
        <v>18</v>
      </c>
      <c r="H191" s="19" t="n"/>
      <c r="I191" s="19" t="n"/>
      <c r="J191" s="19" t="n">
        <v>85</v>
      </c>
      <c r="K191" s="19" t="n">
        <v>28</v>
      </c>
      <c r="L191" s="19" t="n">
        <v>16</v>
      </c>
      <c r="M191" s="19" t="n">
        <v>5</v>
      </c>
      <c r="N191" s="19" t="n">
        <v>0</v>
      </c>
      <c r="O191" s="19" t="n">
        <v>4</v>
      </c>
      <c r="P191" s="19" t="n">
        <v>26</v>
      </c>
      <c r="Q191" s="19" t="n">
        <v>44</v>
      </c>
      <c r="R191" s="19" t="n">
        <v>0</v>
      </c>
      <c r="S191" s="19" t="n">
        <v>0</v>
      </c>
      <c r="T191" s="19" t="n">
        <v>0</v>
      </c>
      <c r="U191" s="19" t="n">
        <v>0</v>
      </c>
      <c r="V191" s="19">
        <f>K$1*(0.000001*K191^3)+L$1*((-0.000002)*L191^3+0.00032*L191^2+(-0.0021)*L191)+M$1*((-0.000002)*M191^3+0.00032*M191^2+(-0.0021)*M191)+N$1*((-0.000002)*N191^3+0.00032*N191^2+(-0.0021)*N191)+O$1*((-0.000002)*O191^3+0.00032*O191^2+(-0.0021)*O191)</f>
        <v/>
      </c>
      <c r="W191" s="5">
        <f>P$1*((-0.000002)*P191^3+0.00032*P191^2+(-0.0021)*P191)+Q$1*((-0.000002)*Q191^3+0.00032*Q191^2+(-0.0021)*Q191)+R$1*((-0.000002)*R191^3+0.00032*R191^2+(-0.0021)*R191)+S$1*((-0.000002)*S191^3+0.00032*S191^2+(-0.0021)*S191)+T$1*((-0.000002)*T191^3+0.00032*T191^2+(-0.0021)*T191)</f>
        <v/>
      </c>
      <c r="X191">
        <f>(I$1*((-0.000002)*I191^3+0.00032*I191^2+(-0.0021)*I191)+J$1*((-0.000002)*J191^3+0.00032*J191^2+(-0.0021)*J191)+H$1*((-0.000002)*H191^3+0.00032*H191^2+(-0.0021)*H191))*(MAX(0.05,MIN(1,(2*J191+I191)/120)*MIN(1,I191/10)*MIN(1,J191/10)))</f>
        <v/>
      </c>
      <c r="Y191" s="5">
        <f>(I$1*((-0.000002)*I191^3+0.00032*I191^2+(-0.0021)*I191)+J$1*((-0.000002)*J191^3+0.00032*J191^2+(-0.0021)*J191)+H$1*((-0.000002)*H191^3+0.00032*H191^2+(-0.0021)*H191))*(MAX(0.05,MIN(1,(2*J191+I191)/120)*MIN(1,I191/10)*MIN(1,J191/10)))</f>
        <v/>
      </c>
      <c r="Z191">
        <f>U191*J$2+V191*O$2+W191*H$2</f>
        <v/>
      </c>
      <c r="AA191">
        <f>IF(AND(J191&gt;50,I191+J191&gt;75),"SP",IF(2*I191+J191&gt;120,"RP","CRAP"))</f>
        <v/>
      </c>
    </row>
    <row r="192" ht="13.5" customHeight="1" s="27" thickBot="1">
      <c r="A192">
        <f>(V192*V$2+W192*W$2+X192*X$2)*100/(V$4*V$2+W$4*W$2+X$4*X$2)</f>
        <v/>
      </c>
      <c r="B192" s="16" t="n">
        <v>199</v>
      </c>
      <c r="C192" s="10" t="inlineStr">
        <is>
          <t>Murray, Cap</t>
        </is>
      </c>
      <c r="D192" s="17" t="inlineStr">
        <is>
          <t>DH</t>
        </is>
      </c>
      <c r="E192" s="17" t="inlineStr">
        <is>
          <t>L</t>
        </is>
      </c>
      <c r="F192" s="17" t="inlineStr">
        <is>
          <t>L</t>
        </is>
      </c>
      <c r="G192" s="17" t="n">
        <v>18</v>
      </c>
      <c r="H192" s="17" t="n"/>
      <c r="I192" s="17" t="n"/>
      <c r="J192" s="17" t="n">
        <v>81</v>
      </c>
      <c r="K192" s="17" t="n">
        <v>26</v>
      </c>
      <c r="L192" s="17" t="n">
        <v>10</v>
      </c>
      <c r="M192" s="17" t="n">
        <v>7</v>
      </c>
      <c r="N192" s="17" t="n">
        <v>3</v>
      </c>
      <c r="O192" s="17" t="n">
        <v>2</v>
      </c>
      <c r="P192" s="17" t="n">
        <v>35</v>
      </c>
      <c r="Q192" s="17" t="n">
        <v>41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>
        <f>K$1*(0.000001*K192^3)+L$1*((-0.000002)*L192^3+0.00032*L192^2+(-0.0021)*L192)+M$1*((-0.000002)*M192^3+0.00032*M192^2+(-0.0021)*M192)+N$1*((-0.000002)*N192^3+0.00032*N192^2+(-0.0021)*N192)+O$1*((-0.000002)*O192^3+0.00032*O192^2+(-0.0021)*O192)</f>
        <v/>
      </c>
      <c r="W192" s="5">
        <f>P$1*((-0.000002)*P192^3+0.00032*P192^2+(-0.0021)*P192)+Q$1*((-0.000002)*Q192^3+0.00032*Q192^2+(-0.0021)*Q192)+R$1*((-0.000002)*R192^3+0.00032*R192^2+(-0.0021)*R192)+S$1*((-0.000002)*S192^3+0.00032*S192^2+(-0.0021)*S192)+T$1*((-0.000002)*T192^3+0.00032*T192^2+(-0.0021)*T192)</f>
        <v/>
      </c>
      <c r="X192">
        <f>(I$1*((-0.000002)*I192^3+0.00032*I192^2+(-0.0021)*I192)+J$1*((-0.000002)*J192^3+0.00032*J192^2+(-0.0021)*J192)+H$1*((-0.000002)*H192^3+0.00032*H192^2+(-0.0021)*H192))*(MAX(0.05,MIN(1,(2*J192+I192)/120)*MIN(1,I192/10)*MIN(1,J192/10)))</f>
        <v/>
      </c>
      <c r="Y192" s="5">
        <f>(I$1*((-0.000002)*I192^3+0.00032*I192^2+(-0.0021)*I192)+J$1*((-0.000002)*J192^3+0.00032*J192^2+(-0.0021)*J192)+H$1*((-0.000002)*H192^3+0.00032*H192^2+(-0.0021)*H192))*(MAX(0.05,MIN(1,(2*J192+I192)/120)*MIN(1,I192/10)*MIN(1,J192/10)))</f>
        <v/>
      </c>
      <c r="Z192">
        <f>U192*J$2+V192*O$2+W192*H$2</f>
        <v/>
      </c>
      <c r="AA192">
        <f>IF(AND(J192&gt;50,I192+J192&gt;75),"SP",IF(2*I192+J192&gt;120,"RP","CRAP"))</f>
        <v/>
      </c>
    </row>
    <row r="193" ht="13.5" customHeight="1" s="27" thickBot="1">
      <c r="A193">
        <f>(V193*V$2+W193*W$2+X193*X$2)*100/(V$4*V$2+W$4*W$2+X$4*X$2)</f>
        <v/>
      </c>
      <c r="B193" s="16" t="n">
        <v>175</v>
      </c>
      <c r="C193" s="10" t="inlineStr">
        <is>
          <t>Young, Kevin</t>
        </is>
      </c>
      <c r="D193" s="17" t="inlineStr">
        <is>
          <t>RF</t>
        </is>
      </c>
      <c r="E193" s="17" t="inlineStr">
        <is>
          <t>L</t>
        </is>
      </c>
      <c r="F193" s="17" t="inlineStr">
        <is>
          <t>R</t>
        </is>
      </c>
      <c r="G193" s="17" t="n">
        <v>22</v>
      </c>
      <c r="H193" s="17" t="n"/>
      <c r="I193" s="17" t="n"/>
      <c r="J193" s="17" t="n">
        <v>100</v>
      </c>
      <c r="K193" s="17" t="n">
        <v>21</v>
      </c>
      <c r="L193" s="17" t="n">
        <v>0</v>
      </c>
      <c r="M193" s="17" t="n">
        <v>41</v>
      </c>
      <c r="N193" s="17" t="n">
        <v>4</v>
      </c>
      <c r="O193" s="17" t="n">
        <v>0</v>
      </c>
      <c r="P193" s="17" t="n">
        <v>15</v>
      </c>
      <c r="Q193" s="17" t="n">
        <v>35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>
        <f>K$1*(0.000001*K193^3)+L$1*((-0.000002)*L193^3+0.00032*L193^2+(-0.0021)*L193)+M$1*((-0.000002)*M193^3+0.00032*M193^2+(-0.0021)*M193)+N$1*((-0.000002)*N193^3+0.00032*N193^2+(-0.0021)*N193)+O$1*((-0.000002)*O193^3+0.00032*O193^2+(-0.0021)*O193)</f>
        <v/>
      </c>
      <c r="W193" s="5">
        <f>P$1*((-0.000002)*P193^3+0.00032*P193^2+(-0.0021)*P193)+Q$1*((-0.000002)*Q193^3+0.00032*Q193^2+(-0.0021)*Q193)+R$1*((-0.000002)*R193^3+0.00032*R193^2+(-0.0021)*R193)+S$1*((-0.000002)*S193^3+0.00032*S193^2+(-0.0021)*S193)+T$1*((-0.000002)*T193^3+0.00032*T193^2+(-0.0021)*T193)</f>
        <v/>
      </c>
      <c r="X193">
        <f>(I$1*((-0.000002)*I193^3+0.00032*I193^2+(-0.0021)*I193)+J$1*((-0.000002)*J193^3+0.00032*J193^2+(-0.0021)*J193)+H$1*((-0.000002)*H193^3+0.00032*H193^2+(-0.0021)*H193))*(MAX(0.05,MIN(1,(2*J193+I193)/120)*MIN(1,I193/10)*MIN(1,J193/10)))</f>
        <v/>
      </c>
      <c r="Y193" s="5">
        <f>(I$1*((-0.000002)*I193^3+0.00032*I193^2+(-0.0021)*I193)+J$1*((-0.000002)*J193^3+0.00032*J193^2+(-0.0021)*J193)+H$1*((-0.000002)*H193^3+0.00032*H193^2+(-0.0021)*H193))*(MAX(0.05,MIN(1,(2*J193+I193)/120)*MIN(1,I193/10)*MIN(1,J193/10)))</f>
        <v/>
      </c>
      <c r="Z193">
        <f>U193*J$2+V193*O$2+W193*H$2</f>
        <v/>
      </c>
      <c r="AA193">
        <f>IF(AND(J193&gt;50,I193+J193&gt;75),"SP",IF(2*I193+J193&gt;120,"RP","CRAP"))</f>
        <v/>
      </c>
    </row>
    <row r="194" ht="13.5" customHeight="1" s="27" thickBot="1">
      <c r="A194">
        <f>(V194*V$2+W194*W$2+X194*X$2)*100/(V$4*V$2+W$4*W$2+X$4*X$2)</f>
        <v/>
      </c>
      <c r="B194" s="18" t="n">
        <v>78</v>
      </c>
      <c r="C194" s="11" t="inlineStr">
        <is>
          <t>Swift, Brent</t>
        </is>
      </c>
      <c r="D194" s="19" t="inlineStr">
        <is>
          <t>LF</t>
        </is>
      </c>
      <c r="E194" s="19" t="inlineStr">
        <is>
          <t>R</t>
        </is>
      </c>
      <c r="F194" s="19" t="inlineStr">
        <is>
          <t>R</t>
        </is>
      </c>
      <c r="G194" s="19" t="n">
        <v>18</v>
      </c>
      <c r="H194" s="19" t="n"/>
      <c r="I194" s="19" t="n"/>
      <c r="J194" s="19" t="n">
        <v>82</v>
      </c>
      <c r="K194" s="19" t="n">
        <v>25</v>
      </c>
      <c r="L194" s="19" t="n">
        <v>12</v>
      </c>
      <c r="M194" s="19" t="n">
        <v>0</v>
      </c>
      <c r="N194" s="19" t="n">
        <v>5</v>
      </c>
      <c r="O194" s="19" t="n">
        <v>0</v>
      </c>
      <c r="P194" s="19" t="n">
        <v>30</v>
      </c>
      <c r="Q194" s="19" t="n">
        <v>42</v>
      </c>
      <c r="R194" s="19" t="n">
        <v>0</v>
      </c>
      <c r="S194" s="19" t="n">
        <v>0</v>
      </c>
      <c r="T194" s="19" t="n">
        <v>0</v>
      </c>
      <c r="U194" s="19" t="n">
        <v>0</v>
      </c>
      <c r="V194" s="19">
        <f>K$1*(0.000001*K194^3)+L$1*((-0.000002)*L194^3+0.00032*L194^2+(-0.0021)*L194)+M$1*((-0.000002)*M194^3+0.00032*M194^2+(-0.0021)*M194)+N$1*((-0.000002)*N194^3+0.00032*N194^2+(-0.0021)*N194)+O$1*((-0.000002)*O194^3+0.00032*O194^2+(-0.0021)*O194)</f>
        <v/>
      </c>
      <c r="W194" s="5">
        <f>P$1*((-0.000002)*P194^3+0.00032*P194^2+(-0.0021)*P194)+Q$1*((-0.000002)*Q194^3+0.00032*Q194^2+(-0.0021)*Q194)+R$1*((-0.000002)*R194^3+0.00032*R194^2+(-0.0021)*R194)+S$1*((-0.000002)*S194^3+0.00032*S194^2+(-0.0021)*S194)+T$1*((-0.000002)*T194^3+0.00032*T194^2+(-0.0021)*T194)</f>
        <v/>
      </c>
      <c r="X194">
        <f>(I$1*((-0.000002)*I194^3+0.00032*I194^2+(-0.0021)*I194)+J$1*((-0.000002)*J194^3+0.00032*J194^2+(-0.0021)*J194)+H$1*((-0.000002)*H194^3+0.00032*H194^2+(-0.0021)*H194))*(MAX(0.05,MIN(1,(2*J194+I194)/120)*MIN(1,I194/10)*MIN(1,J194/10)))</f>
        <v/>
      </c>
      <c r="Y194" s="5">
        <f>(I$1*((-0.000002)*I194^3+0.00032*I194^2+(-0.0021)*I194)+J$1*((-0.000002)*J194^3+0.00032*J194^2+(-0.0021)*J194)+H$1*((-0.000002)*H194^3+0.00032*H194^2+(-0.0021)*H194))*(MAX(0.05,MIN(1,(2*J194+I194)/120)*MIN(1,I194/10)*MIN(1,J194/10)))</f>
        <v/>
      </c>
      <c r="Z194">
        <f>U194*J$2+V194*O$2+W194*H$2</f>
        <v/>
      </c>
      <c r="AA194">
        <f>IF(AND(J194&gt;50,I194+J194&gt;75),"SP",IF(2*I194+J194&gt;120,"RP","CRAP"))</f>
        <v/>
      </c>
    </row>
    <row r="195" ht="13.5" customHeight="1" s="27" thickBot="1">
      <c r="A195">
        <f>(V195*V$2+W195*W$2+X195*X$2)*100/(V$4*V$2+W$4*W$2+X$4*X$2)</f>
        <v/>
      </c>
      <c r="B195" s="18" t="n">
        <v>84</v>
      </c>
      <c r="C195" s="11" t="inlineStr">
        <is>
          <t>McDade, Marshall</t>
        </is>
      </c>
      <c r="D195" s="19" t="inlineStr">
        <is>
          <t>2B</t>
        </is>
      </c>
      <c r="E195" s="19" t="inlineStr">
        <is>
          <t>R</t>
        </is>
      </c>
      <c r="F195" s="19" t="inlineStr">
        <is>
          <t>R</t>
        </is>
      </c>
      <c r="G195" s="19" t="n">
        <v>18</v>
      </c>
      <c r="H195" s="19" t="n"/>
      <c r="I195" s="19" t="n"/>
      <c r="J195" s="19" t="n">
        <v>77</v>
      </c>
      <c r="K195" s="19" t="n">
        <v>33</v>
      </c>
      <c r="L195" s="19" t="n">
        <v>0</v>
      </c>
      <c r="M195" s="19" t="n">
        <v>3</v>
      </c>
      <c r="N195" s="19" t="n">
        <v>4</v>
      </c>
      <c r="O195" s="19" t="n">
        <v>23</v>
      </c>
      <c r="P195" s="19" t="n">
        <v>20</v>
      </c>
      <c r="Q195" s="19" t="n">
        <v>47</v>
      </c>
      <c r="R195" s="19" t="n">
        <v>0</v>
      </c>
      <c r="S195" s="19" t="n">
        <v>0</v>
      </c>
      <c r="T195" s="19" t="n">
        <v>0</v>
      </c>
      <c r="U195" s="19" t="n">
        <v>0</v>
      </c>
      <c r="V195" s="19">
        <f>K$1*(0.000001*K195^3)+L$1*((-0.000002)*L195^3+0.00032*L195^2+(-0.0021)*L195)+M$1*((-0.000002)*M195^3+0.00032*M195^2+(-0.0021)*M195)+N$1*((-0.000002)*N195^3+0.00032*N195^2+(-0.0021)*N195)+O$1*((-0.000002)*O195^3+0.00032*O195^2+(-0.0021)*O195)</f>
        <v/>
      </c>
      <c r="W195" s="5">
        <f>P$1*((-0.000002)*P195^3+0.00032*P195^2+(-0.0021)*P195)+Q$1*((-0.000002)*Q195^3+0.00032*Q195^2+(-0.0021)*Q195)+R$1*((-0.000002)*R195^3+0.00032*R195^2+(-0.0021)*R195)+S$1*((-0.000002)*S195^3+0.00032*S195^2+(-0.0021)*S195)+T$1*((-0.000002)*T195^3+0.00032*T195^2+(-0.0021)*T195)</f>
        <v/>
      </c>
      <c r="X195">
        <f>(I$1*((-0.000002)*I195^3+0.00032*I195^2+(-0.0021)*I195)+J$1*((-0.000002)*J195^3+0.00032*J195^2+(-0.0021)*J195)+H$1*((-0.000002)*H195^3+0.00032*H195^2+(-0.0021)*H195))*(MAX(0.05,MIN(1,(2*J195+I195)/120)*MIN(1,I195/10)*MIN(1,J195/10)))</f>
        <v/>
      </c>
      <c r="Y195" s="5">
        <f>(I$1*((-0.000002)*I195^3+0.00032*I195^2+(-0.0021)*I195)+J$1*((-0.000002)*J195^3+0.00032*J195^2+(-0.0021)*J195)+H$1*((-0.000002)*H195^3+0.00032*H195^2+(-0.0021)*H195))*(MAX(0.05,MIN(1,(2*J195+I195)/120)*MIN(1,I195/10)*MIN(1,J195/10)))</f>
        <v/>
      </c>
      <c r="Z195">
        <f>U195*J$2+V195*O$2+W195*H$2</f>
        <v/>
      </c>
      <c r="AA195">
        <f>IF(AND(J195&gt;50,I195+J195&gt;75),"SP",IF(2*I195+J195&gt;120,"RP","CRAP"))</f>
        <v/>
      </c>
    </row>
    <row r="196" ht="13.5" customHeight="1" s="27" thickBot="1">
      <c r="A196">
        <f>(V196*V$2+W196*W$2+X196*X$2)*100/(V$4*V$2+W$4*W$2+X$4*X$2)</f>
        <v/>
      </c>
      <c r="B196" s="16" t="n">
        <v>139</v>
      </c>
      <c r="C196" s="10" t="inlineStr">
        <is>
          <t>Relaford, Tex</t>
        </is>
      </c>
      <c r="D196" s="17" t="inlineStr">
        <is>
          <t>2B</t>
        </is>
      </c>
      <c r="E196" s="17" t="inlineStr">
        <is>
          <t>R</t>
        </is>
      </c>
      <c r="F196" s="17" t="inlineStr">
        <is>
          <t>R</t>
        </is>
      </c>
      <c r="G196" s="17" t="n">
        <v>18</v>
      </c>
      <c r="H196" s="17" t="n"/>
      <c r="I196" s="17" t="n"/>
      <c r="J196" s="17" t="n">
        <v>76</v>
      </c>
      <c r="K196" s="17" t="n">
        <v>31</v>
      </c>
      <c r="L196" s="17" t="n">
        <v>3</v>
      </c>
      <c r="M196" s="17" t="n">
        <v>9</v>
      </c>
      <c r="N196" s="17" t="n">
        <v>8</v>
      </c>
      <c r="O196" s="17" t="n">
        <v>23</v>
      </c>
      <c r="P196" s="17" t="n">
        <v>30</v>
      </c>
      <c r="Q196" s="17" t="n">
        <v>39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>
        <f>K$1*(0.000001*K196^3)+L$1*((-0.000002)*L196^3+0.00032*L196^2+(-0.0021)*L196)+M$1*((-0.000002)*M196^3+0.00032*M196^2+(-0.0021)*M196)+N$1*((-0.000002)*N196^3+0.00032*N196^2+(-0.0021)*N196)+O$1*((-0.000002)*O196^3+0.00032*O196^2+(-0.0021)*O196)</f>
        <v/>
      </c>
      <c r="W196" s="5">
        <f>P$1*((-0.000002)*P196^3+0.00032*P196^2+(-0.0021)*P196)+Q$1*((-0.000002)*Q196^3+0.00032*Q196^2+(-0.0021)*Q196)+R$1*((-0.000002)*R196^3+0.00032*R196^2+(-0.0021)*R196)+S$1*((-0.000002)*S196^3+0.00032*S196^2+(-0.0021)*S196)+T$1*((-0.000002)*T196^3+0.00032*T196^2+(-0.0021)*T196)</f>
        <v/>
      </c>
      <c r="X196">
        <f>(I$1*((-0.000002)*I196^3+0.00032*I196^2+(-0.0021)*I196)+J$1*((-0.000002)*J196^3+0.00032*J196^2+(-0.0021)*J196)+H$1*((-0.000002)*H196^3+0.00032*H196^2+(-0.0021)*H196))*(MAX(0.05,MIN(1,(2*J196+I196)/120)*MIN(1,I196/10)*MIN(1,J196/10)))</f>
        <v/>
      </c>
      <c r="Y196" s="5">
        <f>(I$1*((-0.000002)*I196^3+0.00032*I196^2+(-0.0021)*I196)+J$1*((-0.000002)*J196^3+0.00032*J196^2+(-0.0021)*J196)+H$1*((-0.000002)*H196^3+0.00032*H196^2+(-0.0021)*H196))*(MAX(0.05,MIN(1,(2*J196+I196)/120)*MIN(1,I196/10)*MIN(1,J196/10)))</f>
        <v/>
      </c>
      <c r="Z196">
        <f>U196*J$2+V196*O$2+W196*H$2</f>
        <v/>
      </c>
      <c r="AA196">
        <f>IF(AND(J196&gt;50,I196+J196&gt;75),"SP",IF(2*I196+J196&gt;120,"RP","CRAP"))</f>
        <v/>
      </c>
    </row>
    <row r="197" ht="13.5" customHeight="1" s="27" thickBot="1">
      <c r="A197">
        <f>(V197*V$2+W197*W$2+X197*X$2)*100/(V$4*V$2+W$4*W$2+X$4*X$2)</f>
        <v/>
      </c>
      <c r="B197" s="18" t="n">
        <v>58</v>
      </c>
      <c r="C197" s="11" t="inlineStr">
        <is>
          <t>Torres, Ed</t>
        </is>
      </c>
      <c r="D197" s="19" t="inlineStr">
        <is>
          <t>LF</t>
        </is>
      </c>
      <c r="E197" s="19" t="inlineStr">
        <is>
          <t>L</t>
        </is>
      </c>
      <c r="F197" s="19" t="inlineStr">
        <is>
          <t>L</t>
        </is>
      </c>
      <c r="G197" s="19" t="n">
        <v>18</v>
      </c>
      <c r="H197" s="19" t="n"/>
      <c r="I197" s="19" t="n"/>
      <c r="J197" s="19" t="n">
        <v>75</v>
      </c>
      <c r="K197" s="19" t="n">
        <v>28</v>
      </c>
      <c r="L197" s="19" t="n">
        <v>6</v>
      </c>
      <c r="M197" s="19" t="n">
        <v>8</v>
      </c>
      <c r="N197" s="19" t="n">
        <v>7</v>
      </c>
      <c r="O197" s="19" t="n">
        <v>25</v>
      </c>
      <c r="P197" s="19" t="n">
        <v>28</v>
      </c>
      <c r="Q197" s="19" t="n">
        <v>42</v>
      </c>
      <c r="R197" s="19" t="n">
        <v>0</v>
      </c>
      <c r="S197" s="19" t="n">
        <v>0</v>
      </c>
      <c r="T197" s="19" t="n">
        <v>0</v>
      </c>
      <c r="U197" s="19" t="n">
        <v>0</v>
      </c>
      <c r="V197" s="19">
        <f>K$1*(0.000001*K197^3)+L$1*((-0.000002)*L197^3+0.00032*L197^2+(-0.0021)*L197)+M$1*((-0.000002)*M197^3+0.00032*M197^2+(-0.0021)*M197)+N$1*((-0.000002)*N197^3+0.00032*N197^2+(-0.0021)*N197)+O$1*((-0.000002)*O197^3+0.00032*O197^2+(-0.0021)*O197)</f>
        <v/>
      </c>
      <c r="W197" s="5">
        <f>P$1*((-0.000002)*P197^3+0.00032*P197^2+(-0.0021)*P197)+Q$1*((-0.000002)*Q197^3+0.00032*Q197^2+(-0.0021)*Q197)+R$1*((-0.000002)*R197^3+0.00032*R197^2+(-0.0021)*R197)+S$1*((-0.000002)*S197^3+0.00032*S197^2+(-0.0021)*S197)+T$1*((-0.000002)*T197^3+0.00032*T197^2+(-0.0021)*T197)</f>
        <v/>
      </c>
      <c r="X197">
        <f>(I$1*((-0.000002)*I197^3+0.00032*I197^2+(-0.0021)*I197)+J$1*((-0.000002)*J197^3+0.00032*J197^2+(-0.0021)*J197)+H$1*((-0.000002)*H197^3+0.00032*H197^2+(-0.0021)*H197))*(MAX(0.05,MIN(1,(2*J197+I197)/120)*MIN(1,I197/10)*MIN(1,J197/10)))</f>
        <v/>
      </c>
      <c r="Y197" s="5">
        <f>(I$1*((-0.000002)*I197^3+0.00032*I197^2+(-0.0021)*I197)+J$1*((-0.000002)*J197^3+0.00032*J197^2+(-0.0021)*J197)+H$1*((-0.000002)*H197^3+0.00032*H197^2+(-0.0021)*H197))*(MAX(0.05,MIN(1,(2*J197+I197)/120)*MIN(1,I197/10)*MIN(1,J197/10)))</f>
        <v/>
      </c>
      <c r="Z197">
        <f>U197*J$2+V197*O$2+W197*H$2</f>
        <v/>
      </c>
      <c r="AA197">
        <f>IF(AND(J197&gt;50,I197+J197&gt;75),"SP",IF(2*I197+J197&gt;120,"RP","CRAP"))</f>
        <v/>
      </c>
    </row>
    <row r="198" ht="13.5" customHeight="1" s="27" thickBot="1">
      <c r="A198">
        <f>(V198*V$2+W198*W$2+X198*X$2)*100/(V$4*V$2+W$4*W$2+X$4*X$2)</f>
        <v/>
      </c>
      <c r="B198" s="18" t="n">
        <v>186</v>
      </c>
      <c r="C198" s="11" t="inlineStr">
        <is>
          <t>Alexander, Levi</t>
        </is>
      </c>
      <c r="D198" s="19" t="inlineStr">
        <is>
          <t>DH</t>
        </is>
      </c>
      <c r="E198" s="19" t="inlineStr">
        <is>
          <t>R</t>
        </is>
      </c>
      <c r="F198" s="19" t="inlineStr">
        <is>
          <t>R</t>
        </is>
      </c>
      <c r="G198" s="19" t="n">
        <v>18</v>
      </c>
      <c r="H198" s="19" t="n"/>
      <c r="I198" s="19" t="n"/>
      <c r="J198" s="19" t="n">
        <v>81</v>
      </c>
      <c r="K198" s="19" t="n">
        <v>11</v>
      </c>
      <c r="L198" s="19" t="n">
        <v>17</v>
      </c>
      <c r="M198" s="19" t="n">
        <v>5</v>
      </c>
      <c r="N198" s="19" t="n">
        <v>3</v>
      </c>
      <c r="O198" s="19" t="n">
        <v>8</v>
      </c>
      <c r="P198" s="19" t="n">
        <v>9</v>
      </c>
      <c r="Q198" s="19" t="n">
        <v>59</v>
      </c>
      <c r="R198" s="19" t="n">
        <v>0</v>
      </c>
      <c r="S198" s="19" t="n">
        <v>0</v>
      </c>
      <c r="T198" s="19" t="n">
        <v>0</v>
      </c>
      <c r="U198" s="19" t="n">
        <v>0</v>
      </c>
      <c r="V198" s="19">
        <f>K$1*(0.000001*K198^3)+L$1*((-0.000002)*L198^3+0.00032*L198^2+(-0.0021)*L198)+M$1*((-0.000002)*M198^3+0.00032*M198^2+(-0.0021)*M198)+N$1*((-0.000002)*N198^3+0.00032*N198^2+(-0.0021)*N198)+O$1*((-0.000002)*O198^3+0.00032*O198^2+(-0.0021)*O198)</f>
        <v/>
      </c>
      <c r="W198" s="5">
        <f>P$1*((-0.000002)*P198^3+0.00032*P198^2+(-0.0021)*P198)+Q$1*((-0.000002)*Q198^3+0.00032*Q198^2+(-0.0021)*Q198)+R$1*((-0.000002)*R198^3+0.00032*R198^2+(-0.0021)*R198)+S$1*((-0.000002)*S198^3+0.00032*S198^2+(-0.0021)*S198)+T$1*((-0.000002)*T198^3+0.00032*T198^2+(-0.0021)*T198)</f>
        <v/>
      </c>
      <c r="X198">
        <f>(I$1*((-0.000002)*I198^3+0.00032*I198^2+(-0.0021)*I198)+J$1*((-0.000002)*J198^3+0.00032*J198^2+(-0.0021)*J198)+H$1*((-0.000002)*H198^3+0.00032*H198^2+(-0.0021)*H198))*(MAX(0.05,MIN(1,(2*J198+I198)/120)*MIN(1,I198/10)*MIN(1,J198/10)))</f>
        <v/>
      </c>
      <c r="Y198" s="5">
        <f>(I$1*((-0.000002)*I198^3+0.00032*I198^2+(-0.0021)*I198)+J$1*((-0.000002)*J198^3+0.00032*J198^2+(-0.0021)*J198)+H$1*((-0.000002)*H198^3+0.00032*H198^2+(-0.0021)*H198))*(MAX(0.05,MIN(1,(2*J198+I198)/120)*MIN(1,I198/10)*MIN(1,J198/10)))</f>
        <v/>
      </c>
      <c r="Z198">
        <f>U198*J$2+V198*O$2+W198*H$2</f>
        <v/>
      </c>
      <c r="AA198">
        <f>IF(AND(J198&gt;50,I198+J198&gt;75),"SP",IF(2*I198+J198&gt;120,"RP","CRAP"))</f>
        <v/>
      </c>
    </row>
    <row r="199" ht="13.5" customHeight="1" s="27" thickBot="1">
      <c r="A199">
        <f>(V199*V$2+W199*W$2+X199*X$2)*100/(V$4*V$2+W$4*W$2+X$4*X$2)</f>
        <v/>
      </c>
      <c r="B199" s="16" t="n">
        <v>73</v>
      </c>
      <c r="C199" s="10" t="inlineStr">
        <is>
          <t>Garza, Hector</t>
        </is>
      </c>
      <c r="D199" s="17" t="inlineStr">
        <is>
          <t>LF</t>
        </is>
      </c>
      <c r="E199" s="17" t="inlineStr">
        <is>
          <t>L</t>
        </is>
      </c>
      <c r="F199" s="17" t="inlineStr">
        <is>
          <t>L</t>
        </is>
      </c>
      <c r="G199" s="17" t="n">
        <v>18</v>
      </c>
      <c r="H199" s="17" t="n"/>
      <c r="I199" s="17" t="n"/>
      <c r="J199" s="17" t="n">
        <v>81</v>
      </c>
      <c r="K199" s="17" t="n">
        <v>19</v>
      </c>
      <c r="L199" s="17" t="n">
        <v>10</v>
      </c>
      <c r="M199" s="17" t="n">
        <v>3</v>
      </c>
      <c r="N199" s="17" t="n">
        <v>9</v>
      </c>
      <c r="O199" s="17" t="n">
        <v>0</v>
      </c>
      <c r="P199" s="17" t="n">
        <v>28</v>
      </c>
      <c r="Q199" s="17" t="n">
        <v>44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>
        <f>K$1*(0.000001*K199^3)+L$1*((-0.000002)*L199^3+0.00032*L199^2+(-0.0021)*L199)+M$1*((-0.000002)*M199^3+0.00032*M199^2+(-0.0021)*M199)+N$1*((-0.000002)*N199^3+0.00032*N199^2+(-0.0021)*N199)+O$1*((-0.000002)*O199^3+0.00032*O199^2+(-0.0021)*O199)</f>
        <v/>
      </c>
      <c r="W199" s="5">
        <f>P$1*((-0.000002)*P199^3+0.00032*P199^2+(-0.0021)*P199)+Q$1*((-0.000002)*Q199^3+0.00032*Q199^2+(-0.0021)*Q199)+R$1*((-0.000002)*R199^3+0.00032*R199^2+(-0.0021)*R199)+S$1*((-0.000002)*S199^3+0.00032*S199^2+(-0.0021)*S199)+T$1*((-0.000002)*T199^3+0.00032*T199^2+(-0.0021)*T199)</f>
        <v/>
      </c>
      <c r="X199">
        <f>(I$1*((-0.000002)*I199^3+0.00032*I199^2+(-0.0021)*I199)+J$1*((-0.000002)*J199^3+0.00032*J199^2+(-0.0021)*J199)+H$1*((-0.000002)*H199^3+0.00032*H199^2+(-0.0021)*H199))*(MAX(0.05,MIN(1,(2*J199+I199)/120)*MIN(1,I199/10)*MIN(1,J199/10)))</f>
        <v/>
      </c>
      <c r="Y199" s="5">
        <f>(I$1*((-0.000002)*I199^3+0.00032*I199^2+(-0.0021)*I199)+J$1*((-0.000002)*J199^3+0.00032*J199^2+(-0.0021)*J199)+H$1*((-0.000002)*H199^3+0.00032*H199^2+(-0.0021)*H199))*(MAX(0.05,MIN(1,(2*J199+I199)/120)*MIN(1,I199/10)*MIN(1,J199/10)))</f>
        <v/>
      </c>
      <c r="Z199">
        <f>U199*J$2+V199*O$2+W199*H$2</f>
        <v/>
      </c>
      <c r="AA199">
        <f>IF(AND(J199&gt;50,I199+J199&gt;75),"SP",IF(2*I199+J199&gt;120,"RP","CRAP"))</f>
        <v/>
      </c>
    </row>
    <row r="200" ht="13.5" customHeight="1" s="27" thickBot="1">
      <c r="A200">
        <f>(V200*V$2+W200*W$2+X200*X$2)*100/(V$4*V$2+W$4*W$2+X$4*X$2)</f>
        <v/>
      </c>
      <c r="B200" s="16" t="n">
        <v>183</v>
      </c>
      <c r="C200" s="10" t="inlineStr">
        <is>
          <t>Bullinger, Woodie</t>
        </is>
      </c>
      <c r="D200" s="17" t="inlineStr">
        <is>
          <t>DH</t>
        </is>
      </c>
      <c r="E200" s="17" t="inlineStr">
        <is>
          <t>R</t>
        </is>
      </c>
      <c r="F200" s="17" t="inlineStr">
        <is>
          <t>R</t>
        </is>
      </c>
      <c r="G200" s="17" t="n">
        <v>18</v>
      </c>
      <c r="H200" s="17" t="n"/>
      <c r="I200" s="17" t="n"/>
      <c r="J200" s="17" t="n">
        <v>77</v>
      </c>
      <c r="K200" s="17" t="n">
        <v>25</v>
      </c>
      <c r="L200" s="17" t="n">
        <v>2</v>
      </c>
      <c r="M200" s="17" t="n">
        <v>6</v>
      </c>
      <c r="N200" s="17" t="n">
        <v>5</v>
      </c>
      <c r="O200" s="17" t="n">
        <v>24</v>
      </c>
      <c r="P200" s="17" t="n">
        <v>20</v>
      </c>
      <c r="Q200" s="17" t="n">
        <v>46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>
        <f>K$1*(0.000001*K200^3)+L$1*((-0.000002)*L200^3+0.00032*L200^2+(-0.0021)*L200)+M$1*((-0.000002)*M200^3+0.00032*M200^2+(-0.0021)*M200)+N$1*((-0.000002)*N200^3+0.00032*N200^2+(-0.0021)*N200)+O$1*((-0.000002)*O200^3+0.00032*O200^2+(-0.0021)*O200)</f>
        <v/>
      </c>
      <c r="W200" s="5">
        <f>P$1*((-0.000002)*P200^3+0.00032*P200^2+(-0.0021)*P200)+Q$1*((-0.000002)*Q200^3+0.00032*Q200^2+(-0.0021)*Q200)+R$1*((-0.000002)*R200^3+0.00032*R200^2+(-0.0021)*R200)+S$1*((-0.000002)*S200^3+0.00032*S200^2+(-0.0021)*S200)+T$1*((-0.000002)*T200^3+0.00032*T200^2+(-0.0021)*T200)</f>
        <v/>
      </c>
      <c r="X200">
        <f>(I$1*((-0.000002)*I200^3+0.00032*I200^2+(-0.0021)*I200)+J$1*((-0.000002)*J200^3+0.00032*J200^2+(-0.0021)*J200)+H$1*((-0.000002)*H200^3+0.00032*H200^2+(-0.0021)*H200))*(MAX(0.05,MIN(1,(2*J200+I200)/120)*MIN(1,I200/10)*MIN(1,J200/10)))</f>
        <v/>
      </c>
      <c r="Y200" s="5">
        <f>(I$1*((-0.000002)*I200^3+0.00032*I200^2+(-0.0021)*I200)+J$1*((-0.000002)*J200^3+0.00032*J200^2+(-0.0021)*J200)+H$1*((-0.000002)*H200^3+0.00032*H200^2+(-0.0021)*H200))*(MAX(0.05,MIN(1,(2*J200+I200)/120)*MIN(1,I200/10)*MIN(1,J200/10)))</f>
        <v/>
      </c>
      <c r="Z200">
        <f>U200*J$2+V200*O$2+W200*H$2</f>
        <v/>
      </c>
      <c r="AA200">
        <f>IF(AND(J200&gt;50,I200+J200&gt;75),"SP",IF(2*I200+J200&gt;120,"RP","CRAP"))</f>
        <v/>
      </c>
    </row>
    <row r="201" ht="13.5" customHeight="1" s="27" thickBot="1">
      <c r="A201">
        <f>(V201*V$2+W201*W$2+X201*X$2)*100/(V$4*V$2+W$4*W$2+X$4*X$2)</f>
        <v/>
      </c>
      <c r="B201" s="18" t="n">
        <v>12</v>
      </c>
      <c r="C201" s="11" t="inlineStr">
        <is>
          <t>Schneider, Jim</t>
        </is>
      </c>
      <c r="D201" s="19" t="inlineStr">
        <is>
          <t>1B</t>
        </is>
      </c>
      <c r="E201" s="19" t="inlineStr">
        <is>
          <t>R</t>
        </is>
      </c>
      <c r="F201" s="19" t="inlineStr">
        <is>
          <t>R</t>
        </is>
      </c>
      <c r="G201" s="19" t="n">
        <v>18</v>
      </c>
      <c r="H201" s="19" t="n"/>
      <c r="I201" s="19" t="n"/>
      <c r="J201" s="19" t="n">
        <v>95</v>
      </c>
      <c r="K201" s="19" t="n">
        <v>30</v>
      </c>
      <c r="L201" s="19" t="n">
        <v>13</v>
      </c>
      <c r="M201" s="19" t="n">
        <v>4</v>
      </c>
      <c r="N201" s="19" t="n">
        <v>0</v>
      </c>
      <c r="O201" s="19" t="n">
        <v>4</v>
      </c>
      <c r="P201" s="19" t="n">
        <v>12</v>
      </c>
      <c r="Q201" s="19" t="n">
        <v>41</v>
      </c>
      <c r="R201" s="19" t="n">
        <v>0</v>
      </c>
      <c r="S201" s="19" t="n">
        <v>0</v>
      </c>
      <c r="T201" s="19" t="n">
        <v>0</v>
      </c>
      <c r="U201" s="19" t="n">
        <v>0</v>
      </c>
      <c r="V201" s="19">
        <f>K$1*(0.000001*K201^3)+L$1*((-0.000002)*L201^3+0.00032*L201^2+(-0.0021)*L201)+M$1*((-0.000002)*M201^3+0.00032*M201^2+(-0.0021)*M201)+N$1*((-0.000002)*N201^3+0.00032*N201^2+(-0.0021)*N201)+O$1*((-0.000002)*O201^3+0.00032*O201^2+(-0.0021)*O201)</f>
        <v/>
      </c>
      <c r="W201" s="5">
        <f>P$1*((-0.000002)*P201^3+0.00032*P201^2+(-0.0021)*P201)+Q$1*((-0.000002)*Q201^3+0.00032*Q201^2+(-0.0021)*Q201)+R$1*((-0.000002)*R201^3+0.00032*R201^2+(-0.0021)*R201)+S$1*((-0.000002)*S201^3+0.00032*S201^2+(-0.0021)*S201)+T$1*((-0.000002)*T201^3+0.00032*T201^2+(-0.0021)*T201)</f>
        <v/>
      </c>
      <c r="X201">
        <f>(I$1*((-0.000002)*I201^3+0.00032*I201^2+(-0.0021)*I201)+J$1*((-0.000002)*J201^3+0.00032*J201^2+(-0.0021)*J201)+H$1*((-0.000002)*H201^3+0.00032*H201^2+(-0.0021)*H201))*(MAX(0.05,MIN(1,(2*J201+I201)/120)*MIN(1,I201/10)*MIN(1,J201/10)))</f>
        <v/>
      </c>
      <c r="Y201" s="5">
        <f>(I$1*((-0.000002)*I201^3+0.00032*I201^2+(-0.0021)*I201)+J$1*((-0.000002)*J201^3+0.00032*J201^2+(-0.0021)*J201)+H$1*((-0.000002)*H201^3+0.00032*H201^2+(-0.0021)*H201))*(MAX(0.05,MIN(1,(2*J201+I201)/120)*MIN(1,I201/10)*MIN(1,J201/10)))</f>
        <v/>
      </c>
      <c r="Z201">
        <f>U201*J$2+V201*O$2+W201*H$2</f>
        <v/>
      </c>
      <c r="AA201">
        <f>IF(AND(J201&gt;50,I201+J201&gt;75),"SP",IF(2*I201+J201&gt;120,"RP","CRAP"))</f>
        <v/>
      </c>
    </row>
    <row r="202" ht="13.5" customHeight="1" s="27" thickBot="1">
      <c r="A202">
        <f>(V202*V$2+W202*W$2+X202*X$2)*100/(V$4*V$2+W$4*W$2+X$4*X$2)</f>
        <v/>
      </c>
      <c r="B202" s="16" t="n">
        <v>105</v>
      </c>
      <c r="C202" s="10" t="inlineStr">
        <is>
          <t>Milton, Rick</t>
        </is>
      </c>
      <c r="D202" s="17" t="inlineStr">
        <is>
          <t>LF</t>
        </is>
      </c>
      <c r="E202" s="17" t="inlineStr">
        <is>
          <t>R</t>
        </is>
      </c>
      <c r="F202" s="17" t="inlineStr">
        <is>
          <t>R</t>
        </is>
      </c>
      <c r="G202" s="17" t="n">
        <v>18</v>
      </c>
      <c r="H202" s="17" t="n"/>
      <c r="I202" s="17" t="n"/>
      <c r="J202" s="17" t="n">
        <v>76</v>
      </c>
      <c r="K202" s="17" t="n">
        <v>26</v>
      </c>
      <c r="L202" s="17" t="n">
        <v>7</v>
      </c>
      <c r="M202" s="17" t="n">
        <v>7</v>
      </c>
      <c r="N202" s="17" t="n">
        <v>0</v>
      </c>
      <c r="O202" s="17" t="n">
        <v>28</v>
      </c>
      <c r="P202" s="17" t="n">
        <v>31</v>
      </c>
      <c r="Q202" s="17" t="n">
        <v>32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>
        <f>K$1*(0.000001*K202^3)+L$1*((-0.000002)*L202^3+0.00032*L202^2+(-0.0021)*L202)+M$1*((-0.000002)*M202^3+0.00032*M202^2+(-0.0021)*M202)+N$1*((-0.000002)*N202^3+0.00032*N202^2+(-0.0021)*N202)+O$1*((-0.000002)*O202^3+0.00032*O202^2+(-0.0021)*O202)</f>
        <v/>
      </c>
      <c r="W202" s="5">
        <f>P$1*((-0.000002)*P202^3+0.00032*P202^2+(-0.0021)*P202)+Q$1*((-0.000002)*Q202^3+0.00032*Q202^2+(-0.0021)*Q202)+R$1*((-0.000002)*R202^3+0.00032*R202^2+(-0.0021)*R202)+S$1*((-0.000002)*S202^3+0.00032*S202^2+(-0.0021)*S202)+T$1*((-0.000002)*T202^3+0.00032*T202^2+(-0.0021)*T202)</f>
        <v/>
      </c>
      <c r="X202">
        <f>(I$1*((-0.000002)*I202^3+0.00032*I202^2+(-0.0021)*I202)+J$1*((-0.000002)*J202^3+0.00032*J202^2+(-0.0021)*J202)+H$1*((-0.000002)*H202^3+0.00032*H202^2+(-0.0021)*H202))*(MAX(0.05,MIN(1,(2*J202+I202)/120)*MIN(1,I202/10)*MIN(1,J202/10)))</f>
        <v/>
      </c>
      <c r="Y202" s="5">
        <f>(I$1*((-0.000002)*I202^3+0.00032*I202^2+(-0.0021)*I202)+J$1*((-0.000002)*J202^3+0.00032*J202^2+(-0.0021)*J202)+H$1*((-0.000002)*H202^3+0.00032*H202^2+(-0.0021)*H202))*(MAX(0.05,MIN(1,(2*J202+I202)/120)*MIN(1,I202/10)*MIN(1,J202/10)))</f>
        <v/>
      </c>
      <c r="Z202">
        <f>U202*J$2+V202*O$2+W202*H$2</f>
        <v/>
      </c>
      <c r="AA202">
        <f>IF(AND(J202&gt;50,I202+J202&gt;75),"SP",IF(2*I202+J202&gt;120,"RP","CRAP"))</f>
        <v/>
      </c>
    </row>
    <row r="203" ht="13.5" customHeight="1" s="27" thickBot="1">
      <c r="A203">
        <f>(V203*V$2+W203*W$2+X203*X$2)*100/(V$4*V$2+W$4*W$2+X$4*X$2)</f>
        <v/>
      </c>
      <c r="B203" s="18" t="n">
        <v>142</v>
      </c>
      <c r="C203" s="11" t="inlineStr">
        <is>
          <t>Gallagher, Vance</t>
        </is>
      </c>
      <c r="D203" s="19" t="inlineStr">
        <is>
          <t>1B</t>
        </is>
      </c>
      <c r="E203" s="19" t="inlineStr">
        <is>
          <t>L</t>
        </is>
      </c>
      <c r="F203" s="19" t="inlineStr">
        <is>
          <t>L</t>
        </is>
      </c>
      <c r="G203" s="19" t="n">
        <v>18</v>
      </c>
      <c r="H203" s="19" t="n"/>
      <c r="I203" s="19" t="n"/>
      <c r="J203" s="19" t="n">
        <v>92</v>
      </c>
      <c r="K203" s="19" t="n">
        <v>34</v>
      </c>
      <c r="L203" s="19" t="n">
        <v>10</v>
      </c>
      <c r="M203" s="19" t="n">
        <v>1</v>
      </c>
      <c r="N203" s="19" t="n">
        <v>3</v>
      </c>
      <c r="O203" s="19" t="n">
        <v>16</v>
      </c>
      <c r="P203" s="19" t="n">
        <v>19</v>
      </c>
      <c r="Q203" s="19" t="n">
        <v>33</v>
      </c>
      <c r="R203" s="19" t="n">
        <v>0</v>
      </c>
      <c r="S203" s="19" t="n">
        <v>0</v>
      </c>
      <c r="T203" s="19" t="n">
        <v>0</v>
      </c>
      <c r="U203" s="19" t="n">
        <v>0</v>
      </c>
      <c r="V203" s="19">
        <f>K$1*(0.000001*K203^3)+L$1*((-0.000002)*L203^3+0.00032*L203^2+(-0.0021)*L203)+M$1*((-0.000002)*M203^3+0.00032*M203^2+(-0.0021)*M203)+N$1*((-0.000002)*N203^3+0.00032*N203^2+(-0.0021)*N203)+O$1*((-0.000002)*O203^3+0.00032*O203^2+(-0.0021)*O203)</f>
        <v/>
      </c>
      <c r="W203" s="5">
        <f>P$1*((-0.000002)*P203^3+0.00032*P203^2+(-0.0021)*P203)+Q$1*((-0.000002)*Q203^3+0.00032*Q203^2+(-0.0021)*Q203)+R$1*((-0.000002)*R203^3+0.00032*R203^2+(-0.0021)*R203)+S$1*((-0.000002)*S203^3+0.00032*S203^2+(-0.0021)*S203)+T$1*((-0.000002)*T203^3+0.00032*T203^2+(-0.0021)*T203)</f>
        <v/>
      </c>
      <c r="X203">
        <f>(I$1*((-0.000002)*I203^3+0.00032*I203^2+(-0.0021)*I203)+J$1*((-0.000002)*J203^3+0.00032*J203^2+(-0.0021)*J203)+H$1*((-0.000002)*H203^3+0.00032*H203^2+(-0.0021)*H203))*(MAX(0.05,MIN(1,(2*J203+I203)/120)*MIN(1,I203/10)*MIN(1,J203/10)))</f>
        <v/>
      </c>
      <c r="Y203" s="5">
        <f>(I$1*((-0.000002)*I203^3+0.00032*I203^2+(-0.0021)*I203)+J$1*((-0.000002)*J203^3+0.00032*J203^2+(-0.0021)*J203)+H$1*((-0.000002)*H203^3+0.00032*H203^2+(-0.0021)*H203))*(MAX(0.05,MIN(1,(2*J203+I203)/120)*MIN(1,I203/10)*MIN(1,J203/10)))</f>
        <v/>
      </c>
      <c r="Z203">
        <f>U203*J$2+V203*O$2+W203*H$2</f>
        <v/>
      </c>
      <c r="AA203">
        <f>IF(AND(J203&gt;50,I203+J203&gt;75),"SP",IF(2*I203+J203&gt;120,"RP","CRAP"))</f>
        <v/>
      </c>
    </row>
    <row r="204" ht="13.5" customHeight="1" s="27" thickBot="1">
      <c r="A204">
        <f>(V204*V$2+W204*W$2+X204*X$2)*100/(V$4*V$2+W$4*W$2+X$4*X$2)</f>
        <v/>
      </c>
      <c r="B204" s="16" t="n">
        <v>195</v>
      </c>
      <c r="C204" s="10" t="inlineStr">
        <is>
          <t>Vaughn, Lawrence</t>
        </is>
      </c>
      <c r="D204" s="17" t="inlineStr">
        <is>
          <t>DH</t>
        </is>
      </c>
      <c r="E204" s="17" t="inlineStr">
        <is>
          <t>R</t>
        </is>
      </c>
      <c r="F204" s="17" t="inlineStr">
        <is>
          <t>R</t>
        </is>
      </c>
      <c r="G204" s="17" t="n">
        <v>18</v>
      </c>
      <c r="H204" s="17" t="n"/>
      <c r="I204" s="17" t="n"/>
      <c r="J204" s="17" t="n">
        <v>75</v>
      </c>
      <c r="K204" s="17" t="n">
        <v>30</v>
      </c>
      <c r="L204" s="17" t="n">
        <v>13</v>
      </c>
      <c r="M204" s="17" t="n">
        <v>15</v>
      </c>
      <c r="N204" s="17" t="n">
        <v>9</v>
      </c>
      <c r="O204" s="17" t="n">
        <v>0</v>
      </c>
      <c r="P204" s="17" t="n">
        <v>28</v>
      </c>
      <c r="Q204" s="17" t="n">
        <v>24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>
        <f>K$1*(0.000001*K204^3)+L$1*((-0.000002)*L204^3+0.00032*L204^2+(-0.0021)*L204)+M$1*((-0.000002)*M204^3+0.00032*M204^2+(-0.0021)*M204)+N$1*((-0.000002)*N204^3+0.00032*N204^2+(-0.0021)*N204)+O$1*((-0.000002)*O204^3+0.00032*O204^2+(-0.0021)*O204)</f>
        <v/>
      </c>
      <c r="W204" s="5">
        <f>P$1*((-0.000002)*P204^3+0.00032*P204^2+(-0.0021)*P204)+Q$1*((-0.000002)*Q204^3+0.00032*Q204^2+(-0.0021)*Q204)+R$1*((-0.000002)*R204^3+0.00032*R204^2+(-0.0021)*R204)+S$1*((-0.000002)*S204^3+0.00032*S204^2+(-0.0021)*S204)+T$1*((-0.000002)*T204^3+0.00032*T204^2+(-0.0021)*T204)</f>
        <v/>
      </c>
      <c r="X204">
        <f>(I$1*((-0.000002)*I204^3+0.00032*I204^2+(-0.0021)*I204)+J$1*((-0.000002)*J204^3+0.00032*J204^2+(-0.0021)*J204)+H$1*((-0.000002)*H204^3+0.00032*H204^2+(-0.0021)*H204))*(MAX(0.05,MIN(1,(2*J204+I204)/120)*MIN(1,I204/10)*MIN(1,J204/10)))</f>
        <v/>
      </c>
      <c r="Y204" s="5">
        <f>(I$1*((-0.000002)*I204^3+0.00032*I204^2+(-0.0021)*I204)+J$1*((-0.000002)*J204^3+0.00032*J204^2+(-0.0021)*J204)+H$1*((-0.000002)*H204^3+0.00032*H204^2+(-0.0021)*H204))*(MAX(0.05,MIN(1,(2*J204+I204)/120)*MIN(1,I204/10)*MIN(1,J204/10)))</f>
        <v/>
      </c>
      <c r="Z204">
        <f>U204*J$2+V204*O$2+W204*H$2</f>
        <v/>
      </c>
      <c r="AA204">
        <f>IF(AND(J204&gt;50,I204+J204&gt;75),"SP",IF(2*I204+J204&gt;120,"RP","CRAP"))</f>
        <v/>
      </c>
    </row>
    <row r="205" ht="13.5" customHeight="1" s="27" thickBot="1">
      <c r="A205">
        <f>(V205*V$2+W205*W$2+X205*X$2)*100/(V$4*V$2+W$4*W$2+X$4*X$2)</f>
        <v/>
      </c>
      <c r="B205" s="16" t="n">
        <v>13</v>
      </c>
      <c r="C205" s="10" t="inlineStr">
        <is>
          <t>Phillips, Brian</t>
        </is>
      </c>
      <c r="D205" s="17" t="inlineStr">
        <is>
          <t>LF</t>
        </is>
      </c>
      <c r="E205" s="17" t="inlineStr">
        <is>
          <t>R</t>
        </is>
      </c>
      <c r="F205" s="17" t="inlineStr">
        <is>
          <t>R</t>
        </is>
      </c>
      <c r="G205" s="17" t="n">
        <v>18</v>
      </c>
      <c r="H205" s="17" t="n"/>
      <c r="I205" s="17" t="n"/>
      <c r="J205" s="17" t="n">
        <v>89</v>
      </c>
      <c r="K205" s="17" t="n">
        <v>22</v>
      </c>
      <c r="L205" s="17" t="n">
        <v>0</v>
      </c>
      <c r="M205" s="17" t="n">
        <v>10</v>
      </c>
      <c r="N205" s="17" t="n">
        <v>19</v>
      </c>
      <c r="O205" s="17" t="n">
        <v>2</v>
      </c>
      <c r="P205" s="17" t="n">
        <v>28</v>
      </c>
      <c r="Q205" s="17" t="n">
        <v>25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>
        <f>K$1*(0.000001*K205^3)+L$1*((-0.000002)*L205^3+0.00032*L205^2+(-0.0021)*L205)+M$1*((-0.000002)*M205^3+0.00032*M205^2+(-0.0021)*M205)+N$1*((-0.000002)*N205^3+0.00032*N205^2+(-0.0021)*N205)+O$1*((-0.000002)*O205^3+0.00032*O205^2+(-0.0021)*O205)</f>
        <v/>
      </c>
      <c r="W205" s="5">
        <f>P$1*((-0.000002)*P205^3+0.00032*P205^2+(-0.0021)*P205)+Q$1*((-0.000002)*Q205^3+0.00032*Q205^2+(-0.0021)*Q205)+R$1*((-0.000002)*R205^3+0.00032*R205^2+(-0.0021)*R205)+S$1*((-0.000002)*S205^3+0.00032*S205^2+(-0.0021)*S205)+T$1*((-0.000002)*T205^3+0.00032*T205^2+(-0.0021)*T205)</f>
        <v/>
      </c>
      <c r="X205">
        <f>(I$1*((-0.000002)*I205^3+0.00032*I205^2+(-0.0021)*I205)+J$1*((-0.000002)*J205^3+0.00032*J205^2+(-0.0021)*J205)+H$1*((-0.000002)*H205^3+0.00032*H205^2+(-0.0021)*H205))*(MAX(0.05,MIN(1,(2*J205+I205)/120)*MIN(1,I205/10)*MIN(1,J205/10)))</f>
        <v/>
      </c>
      <c r="Y205" s="5">
        <f>(I$1*((-0.000002)*I205^3+0.00032*I205^2+(-0.0021)*I205)+J$1*((-0.000002)*J205^3+0.00032*J205^2+(-0.0021)*J205)+H$1*((-0.000002)*H205^3+0.00032*H205^2+(-0.0021)*H205))*(MAX(0.05,MIN(1,(2*J205+I205)/120)*MIN(1,I205/10)*MIN(1,J205/10)))</f>
        <v/>
      </c>
      <c r="Z205">
        <f>U205*J$2+V205*O$2+W205*H$2</f>
        <v/>
      </c>
      <c r="AA205">
        <f>IF(AND(J205&gt;50,I205+J205&gt;75),"SP",IF(2*I205+J205&gt;120,"RP","CRAP"))</f>
        <v/>
      </c>
    </row>
    <row r="206" ht="13.5" customHeight="1" s="27" thickBot="1">
      <c r="A206">
        <f>(V206*V$2+W206*W$2+X206*X$2)*100/(V$4*V$2+W$4*W$2+X$4*X$2)</f>
        <v/>
      </c>
      <c r="B206" s="16" t="n">
        <v>91</v>
      </c>
      <c r="C206" s="10" t="inlineStr">
        <is>
          <t>Woodall, Timothy</t>
        </is>
      </c>
      <c r="D206" s="17" t="inlineStr">
        <is>
          <t>1B</t>
        </is>
      </c>
      <c r="E206" s="17" t="inlineStr">
        <is>
          <t>L</t>
        </is>
      </c>
      <c r="F206" s="17" t="inlineStr">
        <is>
          <t>L</t>
        </is>
      </c>
      <c r="G206" s="17" t="n">
        <v>18</v>
      </c>
      <c r="H206" s="17" t="n"/>
      <c r="I206" s="17" t="n"/>
      <c r="J206" s="17" t="n">
        <v>86</v>
      </c>
      <c r="K206" s="17" t="n">
        <v>13</v>
      </c>
      <c r="L206" s="17" t="n">
        <v>6</v>
      </c>
      <c r="M206" s="17" t="n">
        <v>6</v>
      </c>
      <c r="N206" s="17" t="n">
        <v>7</v>
      </c>
      <c r="O206" s="17" t="n">
        <v>0</v>
      </c>
      <c r="P206" s="17" t="n">
        <v>4</v>
      </c>
      <c r="Q206" s="17" t="n">
        <v>31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>
        <f>K$1*(0.000001*K206^3)+L$1*((-0.000002)*L206^3+0.00032*L206^2+(-0.0021)*L206)+M$1*((-0.000002)*M206^3+0.00032*M206^2+(-0.0021)*M206)+N$1*((-0.000002)*N206^3+0.00032*N206^2+(-0.0021)*N206)+O$1*((-0.000002)*O206^3+0.00032*O206^2+(-0.0021)*O206)</f>
        <v/>
      </c>
      <c r="W206" s="5">
        <f>P$1*((-0.000002)*P206^3+0.00032*P206^2+(-0.0021)*P206)+Q$1*((-0.000002)*Q206^3+0.00032*Q206^2+(-0.0021)*Q206)+R$1*((-0.000002)*R206^3+0.00032*R206^2+(-0.0021)*R206)+S$1*((-0.000002)*S206^3+0.00032*S206^2+(-0.0021)*S206)+T$1*((-0.000002)*T206^3+0.00032*T206^2+(-0.0021)*T206)</f>
        <v/>
      </c>
      <c r="X206">
        <f>(I$1*((-0.000002)*I206^3+0.00032*I206^2+(-0.0021)*I206)+J$1*((-0.000002)*J206^3+0.00032*J206^2+(-0.0021)*J206)+H$1*((-0.000002)*H206^3+0.00032*H206^2+(-0.0021)*H206))*(MAX(0.05,MIN(1,(2*J206+I206)/120)*MIN(1,I206/10)*MIN(1,J206/10)))</f>
        <v/>
      </c>
      <c r="Y206" s="5">
        <f>(I$1*((-0.000002)*I206^3+0.00032*I206^2+(-0.0021)*I206)+J$1*((-0.000002)*J206^3+0.00032*J206^2+(-0.0021)*J206)+H$1*((-0.000002)*H206^3+0.00032*H206^2+(-0.0021)*H206))*(MAX(0.05,MIN(1,(2*J206+I206)/120)*MIN(1,I206/10)*MIN(1,J206/10)))</f>
        <v/>
      </c>
      <c r="Z206">
        <f>U206*J$2+V206*O$2+W206*H$2</f>
        <v/>
      </c>
      <c r="AA206">
        <f>IF(AND(J206&gt;50,I206+J206&gt;75),"SP",IF(2*I206+J206&gt;120,"RP","CRAP"))</f>
        <v/>
      </c>
    </row>
    <row r="207" ht="13.5" customHeight="1" s="27" thickBot="1">
      <c r="A207">
        <f>(V207*V$2+W207*W$2+X207*X$2)*100/(V$4*V$2+W$4*W$2+X$4*X$2)</f>
        <v/>
      </c>
      <c r="B207" s="18" t="n"/>
      <c r="C207" s="11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>
        <f>K$1*(0.000001*K207^3)+L$1*((-0.000002)*L207^3+0.00032*L207^2+(-0.0021)*L207)+M$1*((-0.000002)*M207^3+0.00032*M207^2+(-0.0021)*M207)+N$1*((-0.000002)*N207^3+0.00032*N207^2+(-0.0021)*N207)+O$1*((-0.000002)*O207^3+0.00032*O207^2+(-0.0021)*O207)</f>
        <v/>
      </c>
      <c r="W207">
        <f>P$1*((-0.000002)*P207^3+0.00032*P207^2+(-0.0021)*P207)+Q$1*((-0.000002)*Q207^3+0.00032*Q207^2+(-0.0021)*Q207)+R$1*((-0.000002)*R207^3+0.00032*R207^2+(-0.0021)*R207)+S$1*((-0.000002)*S207^3+0.00032*S207^2+(-0.0021)*S207)+T$1*((-0.000002)*T207^3+0.00032*T207^2+(-0.0021)*T207)</f>
        <v/>
      </c>
      <c r="X207">
        <f>(I$1*((-0.000002)*I207^3+0.00032*I207^2+(-0.0021)*I207)+J$1*((-0.000002)*J207^3+0.00032*J207^2+(-0.0021)*J207)+H$1*((-0.000002)*H207^3+0.00032*H207^2+(-0.0021)*H207))*(MAX(0.05,MIN(1,(2*J207+I207)/120)*MIN(1,I207/10)*MIN(1,J207/10)))</f>
        <v/>
      </c>
      <c r="Y207">
        <f>(I$1*((-0.000002)*I207^3+0.00032*I207^2+(-0.0021)*I207)+J$1*((-0.000002)*J207^3+0.00032*J207^2+(-0.0021)*J207)+H$1*((-0.000002)*H207^3+0.00032*H207^2+(-0.0021)*H207))*(MAX(0.05,MIN(1,(2*J207+I207)/120)*MIN(1,I207/10)*MIN(1,J207/10)))</f>
        <v/>
      </c>
      <c r="Z207">
        <f>U207*J$2+V207*O$2+W207*H$2</f>
        <v/>
      </c>
      <c r="AA207">
        <f>IF(AND(J207&gt;50,I207+J207&gt;75),"SP",IF(2*I207+J207&gt;120,"RP","CRAP"))</f>
        <v/>
      </c>
    </row>
    <row r="208" ht="13.5" customHeight="1" s="27" thickBot="1">
      <c r="A208">
        <f>(V208*V$2+W208*W$2+X208*X$2)*100/(V$4*V$2+W$4*W$2+X$4*X$2)</f>
        <v/>
      </c>
      <c r="B208" s="16" t="n"/>
      <c r="C208" s="10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>
        <f>K$1*(0.000001*K208^3)+L$1*((-0.000002)*L208^3+0.00032*L208^2+(-0.0021)*L208)+M$1*((-0.000002)*M208^3+0.00032*M208^2+(-0.0021)*M208)+N$1*((-0.000002)*N208^3+0.00032*N208^2+(-0.0021)*N208)+O$1*((-0.000002)*O208^3+0.00032*O208^2+(-0.0021)*O208)</f>
        <v/>
      </c>
      <c r="W208">
        <f>P$1*((-0.000002)*P208^3+0.00032*P208^2+(-0.0021)*P208)+Q$1*((-0.000002)*Q208^3+0.00032*Q208^2+(-0.0021)*Q208)+R$1*((-0.000002)*R208^3+0.00032*R208^2+(-0.0021)*R208)+S$1*((-0.000002)*S208^3+0.00032*S208^2+(-0.0021)*S208)+T$1*((-0.000002)*T208^3+0.00032*T208^2+(-0.0021)*T208)</f>
        <v/>
      </c>
      <c r="X208">
        <f>(I$1*((-0.000002)*I208^3+0.00032*I208^2+(-0.0021)*I208)+J$1*((-0.000002)*J208^3+0.00032*J208^2+(-0.0021)*J208)+H$1*((-0.000002)*H208^3+0.00032*H208^2+(-0.0021)*H208))*(MAX(0.05,MIN(1,(2*J208+I208)/120)*MIN(1,I208/10)*MIN(1,J208/10)))</f>
        <v/>
      </c>
      <c r="Y208">
        <f>(I$1*((-0.000002)*I208^3+0.00032*I208^2+(-0.0021)*I208)+J$1*((-0.000002)*J208^3+0.00032*J208^2+(-0.0021)*J208)+H$1*((-0.000002)*H208^3+0.00032*H208^2+(-0.0021)*H208))*(MAX(0.05,MIN(1,(2*J208+I208)/120)*MIN(1,I208/10)*MIN(1,J208/10)))</f>
        <v/>
      </c>
      <c r="Z208">
        <f>U208*J$2+V208*O$2+W208*H$2</f>
        <v/>
      </c>
      <c r="AA208">
        <f>IF(AND(J208&gt;50,I208+J208&gt;75),"SP",IF(2*I208+J208&gt;120,"RP","CRAP"))</f>
        <v/>
      </c>
    </row>
    <row r="209" ht="13.5" customHeight="1" s="27" thickBot="1">
      <c r="A209">
        <f>(V209*V$2+W209*W$2+X209*X$2)*100/(V$4*V$2+W$4*W$2+X$4*X$2)</f>
        <v/>
      </c>
      <c r="B209" s="18" t="n"/>
      <c r="C209" s="11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>
        <f>K$1*(0.000001*K209^3)+L$1*((-0.000002)*L209^3+0.00032*L209^2+(-0.0021)*L209)+M$1*((-0.000002)*M209^3+0.00032*M209^2+(-0.0021)*M209)+N$1*((-0.000002)*N209^3+0.00032*N209^2+(-0.0021)*N209)+O$1*((-0.000002)*O209^3+0.00032*O209^2+(-0.0021)*O209)</f>
        <v/>
      </c>
      <c r="W209">
        <f>P$1*((-0.000002)*P209^3+0.00032*P209^2+(-0.0021)*P209)+Q$1*((-0.000002)*Q209^3+0.00032*Q209^2+(-0.0021)*Q209)+R$1*((-0.000002)*R209^3+0.00032*R209^2+(-0.0021)*R209)+S$1*((-0.000002)*S209^3+0.00032*S209^2+(-0.0021)*S209)+T$1*((-0.000002)*T209^3+0.00032*T209^2+(-0.0021)*T209)</f>
        <v/>
      </c>
      <c r="X209">
        <f>(I$1*((-0.000002)*I209^3+0.00032*I209^2+(-0.0021)*I209)+J$1*((-0.000002)*J209^3+0.00032*J209^2+(-0.0021)*J209)+H$1*((-0.000002)*H209^3+0.00032*H209^2+(-0.0021)*H209))*(MAX(0.05,MIN(1,(2*J209+I209)/120)*MIN(1,I209/10)*MIN(1,J209/10)))</f>
        <v/>
      </c>
      <c r="Y209">
        <f>(I$1*((-0.000002)*I209^3+0.00032*I209^2+(-0.0021)*I209)+J$1*((-0.000002)*J209^3+0.00032*J209^2+(-0.0021)*J209)+H$1*((-0.000002)*H209^3+0.00032*H209^2+(-0.0021)*H209))*(MAX(0.05,MIN(1,(2*J209+I209)/120)*MIN(1,I209/10)*MIN(1,J209/10)))</f>
        <v/>
      </c>
      <c r="Z209">
        <f>U209*J$2+V209*O$2+W209*H$2</f>
        <v/>
      </c>
      <c r="AA209">
        <f>IF(AND(J209&gt;50,I209+J209&gt;75),"SP",IF(2*I209+J209&gt;120,"RP","CRAP"))</f>
        <v/>
      </c>
    </row>
    <row r="210" ht="13.5" customHeight="1" s="27" thickBot="1">
      <c r="A210">
        <f>(V210*V$2+W210*W$2+X210*X$2)*100/(V$4*V$2+W$4*W$2+X$4*X$2)</f>
        <v/>
      </c>
      <c r="B210" s="16" t="n"/>
      <c r="C210" s="10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>
        <f>K$1*(0.000001*K210^3)+L$1*((-0.000002)*L210^3+0.00032*L210^2+(-0.0021)*L210)+M$1*((-0.000002)*M210^3+0.00032*M210^2+(-0.0021)*M210)+N$1*((-0.000002)*N210^3+0.00032*N210^2+(-0.0021)*N210)+O$1*((-0.000002)*O210^3+0.00032*O210^2+(-0.0021)*O210)</f>
        <v/>
      </c>
      <c r="W210">
        <f>P$1*((-0.000002)*P210^3+0.00032*P210^2+(-0.0021)*P210)+Q$1*((-0.000002)*Q210^3+0.00032*Q210^2+(-0.0021)*Q210)+R$1*((-0.000002)*R210^3+0.00032*R210^2+(-0.0021)*R210)+S$1*((-0.000002)*S210^3+0.00032*S210^2+(-0.0021)*S210)+T$1*((-0.000002)*T210^3+0.00032*T210^2+(-0.0021)*T210)</f>
        <v/>
      </c>
      <c r="X210">
        <f>(I$1*((-0.000002)*I210^3+0.00032*I210^2+(-0.0021)*I210)+J$1*((-0.000002)*J210^3+0.00032*J210^2+(-0.0021)*J210)+H$1*((-0.000002)*H210^3+0.00032*H210^2+(-0.0021)*H210))*(MAX(0.05,MIN(1,(2*J210+I210)/120)*MIN(1,I210/10)*MIN(1,J210/10)))</f>
        <v/>
      </c>
      <c r="Y210">
        <f>(I$1*((-0.000002)*I210^3+0.00032*I210^2+(-0.0021)*I210)+J$1*((-0.000002)*J210^3+0.00032*J210^2+(-0.0021)*J210)+H$1*((-0.000002)*H210^3+0.00032*H210^2+(-0.0021)*H210))*(MAX(0.05,MIN(1,(2*J210+I210)/120)*MIN(1,I210/10)*MIN(1,J210/10)))</f>
        <v/>
      </c>
      <c r="Z210">
        <f>U210*J$2+V210*O$2+W210*H$2</f>
        <v/>
      </c>
      <c r="AA210">
        <f>IF(AND(J210&gt;50,I210+J210&gt;75),"SP",IF(2*I210+J210&gt;120,"RP","CRAP"))</f>
        <v/>
      </c>
    </row>
    <row r="211" ht="13.5" customHeight="1" s="27" thickBot="1">
      <c r="A211">
        <f>(V211*V$2+W211*W$2+X211*X$2)*100/(V$4*V$2+W$4*W$2+X$4*X$2)</f>
        <v/>
      </c>
      <c r="B211" s="18" t="n"/>
      <c r="C211" s="11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>
        <f>K$1*(0.000001*K211^3)+L$1*((-0.000002)*L211^3+0.00032*L211^2+(-0.0021)*L211)+M$1*((-0.000002)*M211^3+0.00032*M211^2+(-0.0021)*M211)+N$1*((-0.000002)*N211^3+0.00032*N211^2+(-0.0021)*N211)+O$1*((-0.000002)*O211^3+0.00032*O211^2+(-0.0021)*O211)</f>
        <v/>
      </c>
      <c r="W211">
        <f>P$1*((-0.000002)*P211^3+0.00032*P211^2+(-0.0021)*P211)+Q$1*((-0.000002)*Q211^3+0.00032*Q211^2+(-0.0021)*Q211)+R$1*((-0.000002)*R211^3+0.00032*R211^2+(-0.0021)*R211)+S$1*((-0.000002)*S211^3+0.00032*S211^2+(-0.0021)*S211)+T$1*((-0.000002)*T211^3+0.00032*T211^2+(-0.0021)*T211)</f>
        <v/>
      </c>
      <c r="X211">
        <f>(I$1*((-0.000002)*I211^3+0.00032*I211^2+(-0.0021)*I211)+J$1*((-0.000002)*J211^3+0.00032*J211^2+(-0.0021)*J211)+H$1*((-0.000002)*H211^3+0.00032*H211^2+(-0.0021)*H211))*(MAX(0.05,MIN(1,(2*J211+I211)/120)*MIN(1,I211/10)*MIN(1,J211/10)))</f>
        <v/>
      </c>
      <c r="Y211">
        <f>(I$1*((-0.000002)*I211^3+0.00032*I211^2+(-0.0021)*I211)+J$1*((-0.000002)*J211^3+0.00032*J211^2+(-0.0021)*J211)+H$1*((-0.000002)*H211^3+0.00032*H211^2+(-0.0021)*H211))*(MAX(0.05,MIN(1,(2*J211+I211)/120)*MIN(1,I211/10)*MIN(1,J211/10)))</f>
        <v/>
      </c>
      <c r="Z211">
        <f>U211*J$2+V211*O$2+W211*H$2</f>
        <v/>
      </c>
      <c r="AA211">
        <f>IF(AND(J211&gt;50,I211+J211&gt;75),"SP",IF(2*I211+J211&gt;120,"RP","CRAP"))</f>
        <v/>
      </c>
    </row>
    <row r="212" ht="13.5" customHeight="1" s="27" thickBot="1">
      <c r="A212">
        <f>(V212*V$2+W212*W$2+X212*X$2)*100/(V$4*V$2+W$4*W$2+X$4*X$2)</f>
        <v/>
      </c>
      <c r="B212" s="16" t="n"/>
      <c r="C212" s="10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>
        <f>K$1*(0.000001*K212^3)+L$1*((-0.000002)*L212^3+0.00032*L212^2+(-0.0021)*L212)+M$1*((-0.000002)*M212^3+0.00032*M212^2+(-0.0021)*M212)+N$1*((-0.000002)*N212^3+0.00032*N212^2+(-0.0021)*N212)+O$1*((-0.000002)*O212^3+0.00032*O212^2+(-0.0021)*O212)</f>
        <v/>
      </c>
      <c r="W212">
        <f>P$1*((-0.000002)*P212^3+0.00032*P212^2+(-0.0021)*P212)+Q$1*((-0.000002)*Q212^3+0.00032*Q212^2+(-0.0021)*Q212)+R$1*((-0.000002)*R212^3+0.00032*R212^2+(-0.0021)*R212)+S$1*((-0.000002)*S212^3+0.00032*S212^2+(-0.0021)*S212)+T$1*((-0.000002)*T212^3+0.00032*T212^2+(-0.0021)*T212)</f>
        <v/>
      </c>
      <c r="X212">
        <f>(I$1*((-0.000002)*I212^3+0.00032*I212^2+(-0.0021)*I212)+J$1*((-0.000002)*J212^3+0.00032*J212^2+(-0.0021)*J212)+H$1*((-0.000002)*H212^3+0.00032*H212^2+(-0.0021)*H212))*(MAX(0.05,MIN(1,(2*J212+I212)/120)*MIN(1,I212/10)*MIN(1,J212/10)))</f>
        <v/>
      </c>
      <c r="Y212">
        <f>(I$1*((-0.000002)*I212^3+0.00032*I212^2+(-0.0021)*I212)+J$1*((-0.000002)*J212^3+0.00032*J212^2+(-0.0021)*J212)+H$1*((-0.000002)*H212^3+0.00032*H212^2+(-0.0021)*H212))*(MAX(0.05,MIN(1,(2*J212+I212)/120)*MIN(1,I212/10)*MIN(1,J212/10)))</f>
        <v/>
      </c>
      <c r="Z212">
        <f>U212*J$2+V212*O$2+W212*H$2</f>
        <v/>
      </c>
      <c r="AA212">
        <f>IF(AND(J212&gt;50,I212+J212&gt;75),"SP",IF(2*I212+J212&gt;120,"RP","CRAP"))</f>
        <v/>
      </c>
    </row>
    <row r="213" ht="13.5" customHeight="1" s="27" thickBot="1">
      <c r="A213">
        <f>(V213*V$2+W213*W$2+X213*X$2)*100/(V$4*V$2+W$4*W$2+X$4*X$2)</f>
        <v/>
      </c>
      <c r="B213" s="18" t="n"/>
      <c r="C213" s="11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>
        <f>K$1*(0.000001*K213^3)+L$1*((-0.000002)*L213^3+0.00032*L213^2+(-0.0021)*L213)+M$1*((-0.000002)*M213^3+0.00032*M213^2+(-0.0021)*M213)+N$1*((-0.000002)*N213^3+0.00032*N213^2+(-0.0021)*N213)+O$1*((-0.000002)*O213^3+0.00032*O213^2+(-0.0021)*O213)</f>
        <v/>
      </c>
      <c r="W213">
        <f>P$1*((-0.000002)*P213^3+0.00032*P213^2+(-0.0021)*P213)+Q$1*((-0.000002)*Q213^3+0.00032*Q213^2+(-0.0021)*Q213)+R$1*((-0.000002)*R213^3+0.00032*R213^2+(-0.0021)*R213)+S$1*((-0.000002)*S213^3+0.00032*S213^2+(-0.0021)*S213)+T$1*((-0.000002)*T213^3+0.00032*T213^2+(-0.0021)*T213)</f>
        <v/>
      </c>
      <c r="X213">
        <f>(I$1*((-0.000002)*I213^3+0.00032*I213^2+(-0.0021)*I213)+J$1*((-0.000002)*J213^3+0.00032*J213^2+(-0.0021)*J213)+H$1*((-0.000002)*H213^3+0.00032*H213^2+(-0.0021)*H213))*(MAX(0.05,MIN(1,(2*J213+I213)/120)*MIN(1,I213/10)*MIN(1,J213/10)))</f>
        <v/>
      </c>
      <c r="Y213">
        <f>(I$1*((-0.000002)*I213^3+0.00032*I213^2+(-0.0021)*I213)+J$1*((-0.000002)*J213^3+0.00032*J213^2+(-0.0021)*J213)+H$1*((-0.000002)*H213^3+0.00032*H213^2+(-0.0021)*H213))*(MAX(0.05,MIN(1,(2*J213+I213)/120)*MIN(1,I213/10)*MIN(1,J213/10)))</f>
        <v/>
      </c>
      <c r="Z213">
        <f>U213*J$2+V213*O$2+W213*H$2</f>
        <v/>
      </c>
      <c r="AA213">
        <f>IF(AND(J213&gt;50,I213+J213&gt;75),"SP",IF(2*I213+J213&gt;120,"RP","CRAP"))</f>
        <v/>
      </c>
    </row>
    <row r="214" ht="13.5" customHeight="1" s="27" thickBot="1">
      <c r="A214">
        <f>(V214*V$2+W214*W$2+X214*X$2)*100/(V$4*V$2+W$4*W$2+X$4*X$2)</f>
        <v/>
      </c>
      <c r="B214" s="16" t="n"/>
      <c r="C214" s="10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>
        <f>K$1*(0.000001*K214^3)+L$1*((-0.000002)*L214^3+0.00032*L214^2+(-0.0021)*L214)+M$1*((-0.000002)*M214^3+0.00032*M214^2+(-0.0021)*M214)+N$1*((-0.000002)*N214^3+0.00032*N214^2+(-0.0021)*N214)+O$1*((-0.000002)*O214^3+0.00032*O214^2+(-0.0021)*O214)</f>
        <v/>
      </c>
      <c r="W214">
        <f>P$1*((-0.000002)*P214^3+0.00032*P214^2+(-0.0021)*P214)+Q$1*((-0.000002)*Q214^3+0.00032*Q214^2+(-0.0021)*Q214)+R$1*((-0.000002)*R214^3+0.00032*R214^2+(-0.0021)*R214)+S$1*((-0.000002)*S214^3+0.00032*S214^2+(-0.0021)*S214)+T$1*((-0.000002)*T214^3+0.00032*T214^2+(-0.0021)*T214)</f>
        <v/>
      </c>
      <c r="X214">
        <f>(I$1*((-0.000002)*I214^3+0.00032*I214^2+(-0.0021)*I214)+J$1*((-0.000002)*J214^3+0.00032*J214^2+(-0.0021)*J214)+H$1*((-0.000002)*H214^3+0.00032*H214^2+(-0.0021)*H214))*(MAX(0.05,MIN(1,(2*J214+I214)/120)*MIN(1,I214/10)*MIN(1,J214/10)))</f>
        <v/>
      </c>
      <c r="Y214">
        <f>(I$1*((-0.000002)*I214^3+0.00032*I214^2+(-0.0021)*I214)+J$1*((-0.000002)*J214^3+0.00032*J214^2+(-0.0021)*J214)+H$1*((-0.000002)*H214^3+0.00032*H214^2+(-0.0021)*H214))*(MAX(0.05,MIN(1,(2*J214+I214)/120)*MIN(1,I214/10)*MIN(1,J214/10)))</f>
        <v/>
      </c>
      <c r="Z214">
        <f>U214*J$2+V214*O$2+W214*H$2</f>
        <v/>
      </c>
      <c r="AA214">
        <f>IF(AND(J214&gt;50,I214+J214&gt;75),"SP",IF(2*I214+J214&gt;120,"RP","CRAP"))</f>
        <v/>
      </c>
    </row>
    <row r="215" ht="13.5" customHeight="1" s="27" thickBot="1">
      <c r="A215">
        <f>(V215*V$2+W215*W$2+X215*X$2)*100/(V$4*V$2+W$4*W$2+X$4*X$2)</f>
        <v/>
      </c>
      <c r="B215" s="18" t="n"/>
      <c r="C215" s="11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>
        <f>K$1*(0.000001*K215^3)+L$1*((-0.000002)*L215^3+0.00032*L215^2+(-0.0021)*L215)+M$1*((-0.000002)*M215^3+0.00032*M215^2+(-0.0021)*M215)+N$1*((-0.000002)*N215^3+0.00032*N215^2+(-0.0021)*N215)+O$1*((-0.000002)*O215^3+0.00032*O215^2+(-0.0021)*O215)</f>
        <v/>
      </c>
      <c r="W215">
        <f>P$1*((-0.000002)*P215^3+0.00032*P215^2+(-0.0021)*P215)+Q$1*((-0.000002)*Q215^3+0.00032*Q215^2+(-0.0021)*Q215)+R$1*((-0.000002)*R215^3+0.00032*R215^2+(-0.0021)*R215)+S$1*((-0.000002)*S215^3+0.00032*S215^2+(-0.0021)*S215)+T$1*((-0.000002)*T215^3+0.00032*T215^2+(-0.0021)*T215)</f>
        <v/>
      </c>
      <c r="X215">
        <f>(I$1*((-0.000002)*I215^3+0.00032*I215^2+(-0.0021)*I215)+J$1*((-0.000002)*J215^3+0.00032*J215^2+(-0.0021)*J215)+H$1*((-0.000002)*H215^3+0.00032*H215^2+(-0.0021)*H215))*(MAX(0.05,MIN(1,(2*J215+I215)/120)*MIN(1,I215/10)*MIN(1,J215/10)))</f>
        <v/>
      </c>
      <c r="Y215">
        <f>(I$1*((-0.000002)*I215^3+0.00032*I215^2+(-0.0021)*I215)+J$1*((-0.000002)*J215^3+0.00032*J215^2+(-0.0021)*J215)+H$1*((-0.000002)*H215^3+0.00032*H215^2+(-0.0021)*H215))*(MAX(0.05,MIN(1,(2*J215+I215)/120)*MIN(1,I215/10)*MIN(1,J215/10)))</f>
        <v/>
      </c>
      <c r="Z215">
        <f>U215*J$2+V215*O$2+W215*H$2</f>
        <v/>
      </c>
      <c r="AA215">
        <f>IF(AND(J215&gt;50,I215+J215&gt;75),"SP",IF(2*I215+J215&gt;120,"RP","CRAP"))</f>
        <v/>
      </c>
    </row>
    <row r="216" ht="13.5" customHeight="1" s="27" thickBot="1">
      <c r="A216">
        <f>(V216*V$2+W216*W$2+X216*X$2)*100/(V$4*V$2+W$4*W$2+X$4*X$2)</f>
        <v/>
      </c>
      <c r="B216" s="16" t="n"/>
      <c r="C216" s="10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>
        <f>K$1*(0.000001*K216^3)+L$1*((-0.000002)*L216^3+0.00032*L216^2+(-0.0021)*L216)+M$1*((-0.000002)*M216^3+0.00032*M216^2+(-0.0021)*M216)+N$1*((-0.000002)*N216^3+0.00032*N216^2+(-0.0021)*N216)+O$1*((-0.000002)*O216^3+0.00032*O216^2+(-0.0021)*O216)</f>
        <v/>
      </c>
      <c r="W216">
        <f>P$1*((-0.000002)*P216^3+0.00032*P216^2+(-0.0021)*P216)+Q$1*((-0.000002)*Q216^3+0.00032*Q216^2+(-0.0021)*Q216)+R$1*((-0.000002)*R216^3+0.00032*R216^2+(-0.0021)*R216)+S$1*((-0.000002)*S216^3+0.00032*S216^2+(-0.0021)*S216)+T$1*((-0.000002)*T216^3+0.00032*T216^2+(-0.0021)*T216)</f>
        <v/>
      </c>
      <c r="X216">
        <f>(I$1*((-0.000002)*I216^3+0.00032*I216^2+(-0.0021)*I216)+J$1*((-0.000002)*J216^3+0.00032*J216^2+(-0.0021)*J216)+H$1*((-0.000002)*H216^3+0.00032*H216^2+(-0.0021)*H216))*(MAX(0.05,MIN(1,(2*J216+I216)/120)*MIN(1,I216/10)*MIN(1,J216/10)))</f>
        <v/>
      </c>
      <c r="Y216">
        <f>(I$1*((-0.000002)*I216^3+0.00032*I216^2+(-0.0021)*I216)+J$1*((-0.000002)*J216^3+0.00032*J216^2+(-0.0021)*J216)+H$1*((-0.000002)*H216^3+0.00032*H216^2+(-0.0021)*H216))*(MAX(0.05,MIN(1,(2*J216+I216)/120)*MIN(1,I216/10)*MIN(1,J216/10)))</f>
        <v/>
      </c>
      <c r="Z216">
        <f>U216*J$2+V216*O$2+W216*H$2</f>
        <v/>
      </c>
      <c r="AA216">
        <f>IF(AND(J216&gt;50,I216+J216&gt;75),"SP",IF(2*I216+J216&gt;120,"RP","CRAP"))</f>
        <v/>
      </c>
    </row>
    <row r="217" ht="13.5" customHeight="1" s="27" thickBot="1">
      <c r="A217">
        <f>(V217*V$2+W217*W$2+X217*X$2)*100/(V$4*V$2+W$4*W$2+X$4*X$2)</f>
        <v/>
      </c>
      <c r="B217" s="18" t="n"/>
      <c r="C217" s="11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>
        <f>K$1*(0.000001*K217^3)+L$1*((-0.000002)*L217^3+0.00032*L217^2+(-0.0021)*L217)+M$1*((-0.000002)*M217^3+0.00032*M217^2+(-0.0021)*M217)+N$1*((-0.000002)*N217^3+0.00032*N217^2+(-0.0021)*N217)+O$1*((-0.000002)*O217^3+0.00032*O217^2+(-0.0021)*O217)</f>
        <v/>
      </c>
      <c r="W217">
        <f>P$1*((-0.000002)*P217^3+0.00032*P217^2+(-0.0021)*P217)+Q$1*((-0.000002)*Q217^3+0.00032*Q217^2+(-0.0021)*Q217)+R$1*((-0.000002)*R217^3+0.00032*R217^2+(-0.0021)*R217)+S$1*((-0.000002)*S217^3+0.00032*S217^2+(-0.0021)*S217)+T$1*((-0.000002)*T217^3+0.00032*T217^2+(-0.0021)*T217)</f>
        <v/>
      </c>
      <c r="X217">
        <f>(I$1*((-0.000002)*I217^3+0.00032*I217^2+(-0.0021)*I217)+J$1*((-0.000002)*J217^3+0.00032*J217^2+(-0.0021)*J217)+H$1*((-0.000002)*H217^3+0.00032*H217^2+(-0.0021)*H217))*(MAX(0.05,MIN(1,(2*J217+I217)/120)*MIN(1,I217/10)*MIN(1,J217/10)))</f>
        <v/>
      </c>
      <c r="Y217">
        <f>(I$1*((-0.000002)*I217^3+0.00032*I217^2+(-0.0021)*I217)+J$1*((-0.000002)*J217^3+0.00032*J217^2+(-0.0021)*J217)+H$1*((-0.000002)*H217^3+0.00032*H217^2+(-0.0021)*H217))*(MAX(0.05,MIN(1,(2*J217+I217)/120)*MIN(1,I217/10)*MIN(1,J217/10)))</f>
        <v/>
      </c>
      <c r="Z217">
        <f>U217*J$2+V217*O$2+W217*H$2</f>
        <v/>
      </c>
      <c r="AA217">
        <f>IF(AND(J217&gt;50,I217+J217&gt;75),"SP",IF(2*I217+J217&gt;120,"RP","CRAP"))</f>
        <v/>
      </c>
    </row>
    <row r="218" ht="13.5" customHeight="1" s="27" thickBot="1">
      <c r="A218">
        <f>(V218*V$2+W218*W$2+X218*X$2)*100/(V$4*V$2+W$4*W$2+X$4*X$2)</f>
        <v/>
      </c>
      <c r="B218" s="16" t="n"/>
      <c r="C218" s="10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>
        <f>K$1*(0.000001*K218^3)+L$1*((-0.000002)*L218^3+0.00032*L218^2+(-0.0021)*L218)+M$1*((-0.000002)*M218^3+0.00032*M218^2+(-0.0021)*M218)+N$1*((-0.000002)*N218^3+0.00032*N218^2+(-0.0021)*N218)+O$1*((-0.000002)*O218^3+0.00032*O218^2+(-0.0021)*O218)</f>
        <v/>
      </c>
      <c r="W218">
        <f>P$1*((-0.000002)*P218^3+0.00032*P218^2+(-0.0021)*P218)+Q$1*((-0.000002)*Q218^3+0.00032*Q218^2+(-0.0021)*Q218)+R$1*((-0.000002)*R218^3+0.00032*R218^2+(-0.0021)*R218)+S$1*((-0.000002)*S218^3+0.00032*S218^2+(-0.0021)*S218)+T$1*((-0.000002)*T218^3+0.00032*T218^2+(-0.0021)*T218)</f>
        <v/>
      </c>
      <c r="X218">
        <f>(I$1*((-0.000002)*I218^3+0.00032*I218^2+(-0.0021)*I218)+J$1*((-0.000002)*J218^3+0.00032*J218^2+(-0.0021)*J218)+H$1*((-0.000002)*H218^3+0.00032*H218^2+(-0.0021)*H218))*(MAX(0.05,MIN(1,(2*J218+I218)/120)*MIN(1,I218/10)*MIN(1,J218/10)))</f>
        <v/>
      </c>
      <c r="Y218">
        <f>(I$1*((-0.000002)*I218^3+0.00032*I218^2+(-0.0021)*I218)+J$1*((-0.000002)*J218^3+0.00032*J218^2+(-0.0021)*J218)+H$1*((-0.000002)*H218^3+0.00032*H218^2+(-0.0021)*H218))*(MAX(0.05,MIN(1,(2*J218+I218)/120)*MIN(1,I218/10)*MIN(1,J218/10)))</f>
        <v/>
      </c>
      <c r="Z218">
        <f>U218*J$2+V218*O$2+W218*H$2</f>
        <v/>
      </c>
      <c r="AA218">
        <f>IF(AND(J218&gt;50,I218+J218&gt;75),"SP",IF(2*I218+J218&gt;120,"RP","CRAP"))</f>
        <v/>
      </c>
    </row>
    <row r="219" ht="13.5" customHeight="1" s="27" thickBot="1">
      <c r="A219">
        <f>(V219*V$2+W219*W$2+X219*X$2)*100/(V$4*V$2+W$4*W$2+X$4*X$2)</f>
        <v/>
      </c>
      <c r="B219" s="18" t="n"/>
      <c r="C219" s="11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>
        <f>K$1*(0.000001*K219^3)+L$1*((-0.000002)*L219^3+0.00032*L219^2+(-0.0021)*L219)+M$1*((-0.000002)*M219^3+0.00032*M219^2+(-0.0021)*M219)+N$1*((-0.000002)*N219^3+0.00032*N219^2+(-0.0021)*N219)+O$1*((-0.000002)*O219^3+0.00032*O219^2+(-0.0021)*O219)</f>
        <v/>
      </c>
      <c r="W219">
        <f>P$1*((-0.000002)*P219^3+0.00032*P219^2+(-0.0021)*P219)+Q$1*((-0.000002)*Q219^3+0.00032*Q219^2+(-0.0021)*Q219)+R$1*((-0.000002)*R219^3+0.00032*R219^2+(-0.0021)*R219)+S$1*((-0.000002)*S219^3+0.00032*S219^2+(-0.0021)*S219)+T$1*((-0.000002)*T219^3+0.00032*T219^2+(-0.0021)*T219)</f>
        <v/>
      </c>
      <c r="X219">
        <f>(I$1*((-0.000002)*I219^3+0.00032*I219^2+(-0.0021)*I219)+J$1*((-0.000002)*J219^3+0.00032*J219^2+(-0.0021)*J219)+H$1*((-0.000002)*H219^3+0.00032*H219^2+(-0.0021)*H219))*(MAX(0.05,MIN(1,(2*J219+I219)/120)*MIN(1,I219/10)*MIN(1,J219/10)))</f>
        <v/>
      </c>
      <c r="Y219">
        <f>(I$1*((-0.000002)*I219^3+0.00032*I219^2+(-0.0021)*I219)+J$1*((-0.000002)*J219^3+0.00032*J219^2+(-0.0021)*J219)+H$1*((-0.000002)*H219^3+0.00032*H219^2+(-0.0021)*H219))*(MAX(0.05,MIN(1,(2*J219+I219)/120)*MIN(1,I219/10)*MIN(1,J219/10)))</f>
        <v/>
      </c>
      <c r="Z219">
        <f>U219*J$2+V219*O$2+W219*H$2</f>
        <v/>
      </c>
      <c r="AA219">
        <f>IF(AND(J219&gt;50,I219+J219&gt;75),"SP",IF(2*I219+J219&gt;120,"RP","CRAP"))</f>
        <v/>
      </c>
    </row>
    <row r="220" ht="13.5" customHeight="1" s="27" thickBot="1">
      <c r="A220">
        <f>(V220*V$2+W220*W$2+X220*X$2)*100/(V$4*V$2+W$4*W$2+X$4*X$2)</f>
        <v/>
      </c>
      <c r="B220" s="16" t="n"/>
      <c r="C220" s="10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>
        <f>K$1*(0.000001*K220^3)+L$1*((-0.000002)*L220^3+0.00032*L220^2+(-0.0021)*L220)+M$1*((-0.000002)*M220^3+0.00032*M220^2+(-0.0021)*M220)+N$1*((-0.000002)*N220^3+0.00032*N220^2+(-0.0021)*N220)+O$1*((-0.000002)*O220^3+0.00032*O220^2+(-0.0021)*O220)</f>
        <v/>
      </c>
      <c r="W220">
        <f>P$1*((-0.000002)*P220^3+0.00032*P220^2+(-0.0021)*P220)+Q$1*((-0.000002)*Q220^3+0.00032*Q220^2+(-0.0021)*Q220)+R$1*((-0.000002)*R220^3+0.00032*R220^2+(-0.0021)*R220)+S$1*((-0.000002)*S220^3+0.00032*S220^2+(-0.0021)*S220)+T$1*((-0.000002)*T220^3+0.00032*T220^2+(-0.0021)*T220)</f>
        <v/>
      </c>
      <c r="X220">
        <f>(I$1*((-0.000002)*I220^3+0.00032*I220^2+(-0.0021)*I220)+J$1*((-0.000002)*J220^3+0.00032*J220^2+(-0.0021)*J220)+H$1*((-0.000002)*H220^3+0.00032*H220^2+(-0.0021)*H220))*(MAX(0.05,MIN(1,(2*J220+I220)/120)*MIN(1,I220/10)*MIN(1,J220/10)))</f>
        <v/>
      </c>
      <c r="Y220">
        <f>(I$1*((-0.000002)*I220^3+0.00032*I220^2+(-0.0021)*I220)+J$1*((-0.000002)*J220^3+0.00032*J220^2+(-0.0021)*J220)+H$1*((-0.000002)*H220^3+0.00032*H220^2+(-0.0021)*H220))*(MAX(0.05,MIN(1,(2*J220+I220)/120)*MIN(1,I220/10)*MIN(1,J220/10)))</f>
        <v/>
      </c>
      <c r="Z220">
        <f>U220*J$2+V220*O$2+W220*H$2</f>
        <v/>
      </c>
      <c r="AA220">
        <f>IF(AND(J220&gt;50,I220+J220&gt;75),"SP",IF(2*I220+J220&gt;120,"RP","CRAP"))</f>
        <v/>
      </c>
    </row>
    <row r="221" ht="13.5" customHeight="1" s="27" thickBot="1">
      <c r="A221">
        <f>(V221*V$2+W221*W$2+X221*X$2)*100/(V$4*V$2+W$4*W$2+X$4*X$2)</f>
        <v/>
      </c>
      <c r="B221" s="18" t="n"/>
      <c r="C221" s="11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>
        <f>K$1*(0.000001*K221^3)+L$1*((-0.000002)*L221^3+0.00032*L221^2+(-0.0021)*L221)+M$1*((-0.000002)*M221^3+0.00032*M221^2+(-0.0021)*M221)+N$1*((-0.000002)*N221^3+0.00032*N221^2+(-0.0021)*N221)+O$1*((-0.000002)*O221^3+0.00032*O221^2+(-0.0021)*O221)</f>
        <v/>
      </c>
      <c r="W221">
        <f>P$1*((-0.000002)*P221^3+0.00032*P221^2+(-0.0021)*P221)+Q$1*((-0.000002)*Q221^3+0.00032*Q221^2+(-0.0021)*Q221)+R$1*((-0.000002)*R221^3+0.00032*R221^2+(-0.0021)*R221)+S$1*((-0.000002)*S221^3+0.00032*S221^2+(-0.0021)*S221)+T$1*((-0.000002)*T221^3+0.00032*T221^2+(-0.0021)*T221)</f>
        <v/>
      </c>
      <c r="X221">
        <f>(I$1*((-0.000002)*I221^3+0.00032*I221^2+(-0.0021)*I221)+J$1*((-0.000002)*J221^3+0.00032*J221^2+(-0.0021)*J221)+H$1*((-0.000002)*H221^3+0.00032*H221^2+(-0.0021)*H221))*(MAX(0.05,MIN(1,(2*J221+I221)/120)*MIN(1,I221/10)*MIN(1,J221/10)))</f>
        <v/>
      </c>
      <c r="Y221">
        <f>(I$1*((-0.000002)*I221^3+0.00032*I221^2+(-0.0021)*I221)+J$1*((-0.000002)*J221^3+0.00032*J221^2+(-0.0021)*J221)+H$1*((-0.000002)*H221^3+0.00032*H221^2+(-0.0021)*H221))*(MAX(0.05,MIN(1,(2*J221+I221)/120)*MIN(1,I221/10)*MIN(1,J221/10)))</f>
        <v/>
      </c>
      <c r="Z221">
        <f>U221*J$2+V221*O$2+W221*H$2</f>
        <v/>
      </c>
      <c r="AA221">
        <f>IF(AND(J221&gt;50,I221+J221&gt;75),"SP",IF(2*I221+J221&gt;120,"RP","CRAP"))</f>
        <v/>
      </c>
    </row>
    <row r="222" ht="13.5" customHeight="1" s="27" thickBot="1">
      <c r="A222">
        <f>(V222*V$2+W222*W$2+X222*X$2)*100/(V$4*V$2+W$4*W$2+X$4*X$2)</f>
        <v/>
      </c>
      <c r="B222" s="16" t="n"/>
      <c r="C222" s="10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>
        <f>K$1*(0.000001*K222^3)+L$1*((-0.000002)*L222^3+0.00032*L222^2+(-0.0021)*L222)+M$1*((-0.000002)*M222^3+0.00032*M222^2+(-0.0021)*M222)+N$1*((-0.000002)*N222^3+0.00032*N222^2+(-0.0021)*N222)+O$1*((-0.000002)*O222^3+0.00032*O222^2+(-0.0021)*O222)</f>
        <v/>
      </c>
      <c r="W222">
        <f>P$1*((-0.000002)*P222^3+0.00032*P222^2+(-0.0021)*P222)+Q$1*((-0.000002)*Q222^3+0.00032*Q222^2+(-0.0021)*Q222)+R$1*((-0.000002)*R222^3+0.00032*R222^2+(-0.0021)*R222)+S$1*((-0.000002)*S222^3+0.00032*S222^2+(-0.0021)*S222)+T$1*((-0.000002)*T222^3+0.00032*T222^2+(-0.0021)*T222)</f>
        <v/>
      </c>
      <c r="X222">
        <f>(I$1*((-0.000002)*I222^3+0.00032*I222^2+(-0.0021)*I222)+J$1*((-0.000002)*J222^3+0.00032*J222^2+(-0.0021)*J222)+H$1*((-0.000002)*H222^3+0.00032*H222^2+(-0.0021)*H222))*(MAX(0.05,MIN(1,(2*J222+I222)/120)*MIN(1,I222/10)*MIN(1,J222/10)))</f>
        <v/>
      </c>
      <c r="Y222">
        <f>(I$1*((-0.000002)*I222^3+0.00032*I222^2+(-0.0021)*I222)+J$1*((-0.000002)*J222^3+0.00032*J222^2+(-0.0021)*J222)+H$1*((-0.000002)*H222^3+0.00032*H222^2+(-0.0021)*H222))*(MAX(0.05,MIN(1,(2*J222+I222)/120)*MIN(1,I222/10)*MIN(1,J222/10)))</f>
        <v/>
      </c>
      <c r="Z222">
        <f>U222*J$2+V222*O$2+W222*H$2</f>
        <v/>
      </c>
      <c r="AA222">
        <f>IF(AND(J222&gt;50,I222+J222&gt;75),"SP",IF(2*I222+J222&gt;120,"RP","CRAP"))</f>
        <v/>
      </c>
    </row>
    <row r="223" ht="13.5" customHeight="1" s="27" thickBot="1">
      <c r="A223">
        <f>(V223*V$2+W223*W$2+X223*X$2)*100/(V$4*V$2+W$4*W$2+X$4*X$2)</f>
        <v/>
      </c>
      <c r="B223" s="18" t="n"/>
      <c r="C223" s="11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>
        <f>K$1*(0.000001*K223^3)+L$1*((-0.000002)*L223^3+0.00032*L223^2+(-0.0021)*L223)+M$1*((-0.000002)*M223^3+0.00032*M223^2+(-0.0021)*M223)+N$1*((-0.000002)*N223^3+0.00032*N223^2+(-0.0021)*N223)+O$1*((-0.000002)*O223^3+0.00032*O223^2+(-0.0021)*O223)</f>
        <v/>
      </c>
      <c r="W223">
        <f>P$1*((-0.000002)*P223^3+0.00032*P223^2+(-0.0021)*P223)+Q$1*((-0.000002)*Q223^3+0.00032*Q223^2+(-0.0021)*Q223)+R$1*((-0.000002)*R223^3+0.00032*R223^2+(-0.0021)*R223)+S$1*((-0.000002)*S223^3+0.00032*S223^2+(-0.0021)*S223)+T$1*((-0.000002)*T223^3+0.00032*T223^2+(-0.0021)*T223)</f>
        <v/>
      </c>
      <c r="X223">
        <f>(I$1*((-0.000002)*I223^3+0.00032*I223^2+(-0.0021)*I223)+J$1*((-0.000002)*J223^3+0.00032*J223^2+(-0.0021)*J223)+H$1*((-0.000002)*H223^3+0.00032*H223^2+(-0.0021)*H223))*(MAX(0.05,MIN(1,(2*J223+I223)/120)*MIN(1,I223/10)*MIN(1,J223/10)))</f>
        <v/>
      </c>
      <c r="Y223">
        <f>(I$1*((-0.000002)*I223^3+0.00032*I223^2+(-0.0021)*I223)+J$1*((-0.000002)*J223^3+0.00032*J223^2+(-0.0021)*J223)+H$1*((-0.000002)*H223^3+0.00032*H223^2+(-0.0021)*H223))*(MAX(0.05,MIN(1,(2*J223+I223)/120)*MIN(1,I223/10)*MIN(1,J223/10)))</f>
        <v/>
      </c>
      <c r="Z223">
        <f>U223*J$2+V223*O$2+W223*H$2</f>
        <v/>
      </c>
      <c r="AA223">
        <f>IF(AND(J223&gt;50,I223+J223&gt;75),"SP",IF(2*I223+J223&gt;120,"RP","CRAP"))</f>
        <v/>
      </c>
    </row>
    <row r="224" ht="13.5" customHeight="1" s="27" thickBot="1">
      <c r="A224">
        <f>(V224*V$2+W224*W$2+X224*X$2)*100/(V$4*V$2+W$4*W$2+X$4*X$2)</f>
        <v/>
      </c>
      <c r="B224" s="16" t="n"/>
      <c r="C224" s="10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>
        <f>K$1*(0.000001*K224^3)+L$1*((-0.000002)*L224^3+0.00032*L224^2+(-0.0021)*L224)+M$1*((-0.000002)*M224^3+0.00032*M224^2+(-0.0021)*M224)+N$1*((-0.000002)*N224^3+0.00032*N224^2+(-0.0021)*N224)+O$1*((-0.000002)*O224^3+0.00032*O224^2+(-0.0021)*O224)</f>
        <v/>
      </c>
      <c r="W224">
        <f>P$1*((-0.000002)*P224^3+0.00032*P224^2+(-0.0021)*P224)+Q$1*((-0.000002)*Q224^3+0.00032*Q224^2+(-0.0021)*Q224)+R$1*((-0.000002)*R224^3+0.00032*R224^2+(-0.0021)*R224)+S$1*((-0.000002)*S224^3+0.00032*S224^2+(-0.0021)*S224)+T$1*((-0.000002)*T224^3+0.00032*T224^2+(-0.0021)*T224)</f>
        <v/>
      </c>
      <c r="X224">
        <f>(I$1*((-0.000002)*I224^3+0.00032*I224^2+(-0.0021)*I224)+J$1*((-0.000002)*J224^3+0.00032*J224^2+(-0.0021)*J224)+H$1*((-0.000002)*H224^3+0.00032*H224^2+(-0.0021)*H224))*(MAX(0.05,MIN(1,(2*J224+I224)/120)*MIN(1,I224/10)*MIN(1,J224/10)))</f>
        <v/>
      </c>
      <c r="Y224">
        <f>(I$1*((-0.000002)*I224^3+0.00032*I224^2+(-0.0021)*I224)+J$1*((-0.000002)*J224^3+0.00032*J224^2+(-0.0021)*J224)+H$1*((-0.000002)*H224^3+0.00032*H224^2+(-0.0021)*H224))*(MAX(0.05,MIN(1,(2*J224+I224)/120)*MIN(1,I224/10)*MIN(1,J224/10)))</f>
        <v/>
      </c>
      <c r="Z224">
        <f>U224*J$2+V224*O$2+W224*H$2</f>
        <v/>
      </c>
      <c r="AA224">
        <f>IF(AND(J224&gt;50,I224+J224&gt;75),"SP",IF(2*I224+J224&gt;120,"RP","CRAP"))</f>
        <v/>
      </c>
    </row>
    <row r="225" ht="13.5" customHeight="1" s="27" thickBot="1">
      <c r="A225">
        <f>(V225*V$2+W225*W$2+X225*X$2)*100/(V$4*V$2+W$4*W$2+X$4*X$2)</f>
        <v/>
      </c>
      <c r="B225" s="18" t="n"/>
      <c r="C225" s="11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>
        <f>K$1*(0.000001*K225^3)+L$1*((-0.000002)*L225^3+0.00032*L225^2+(-0.0021)*L225)+M$1*((-0.000002)*M225^3+0.00032*M225^2+(-0.0021)*M225)+N$1*((-0.000002)*N225^3+0.00032*N225^2+(-0.0021)*N225)+O$1*((-0.000002)*O225^3+0.00032*O225^2+(-0.0021)*O225)</f>
        <v/>
      </c>
      <c r="W225">
        <f>P$1*((-0.000002)*P225^3+0.00032*P225^2+(-0.0021)*P225)+Q$1*((-0.000002)*Q225^3+0.00032*Q225^2+(-0.0021)*Q225)+R$1*((-0.000002)*R225^3+0.00032*R225^2+(-0.0021)*R225)+S$1*((-0.000002)*S225^3+0.00032*S225^2+(-0.0021)*S225)+T$1*((-0.000002)*T225^3+0.00032*T225^2+(-0.0021)*T225)</f>
        <v/>
      </c>
      <c r="X225">
        <f>(I$1*((-0.000002)*I225^3+0.00032*I225^2+(-0.0021)*I225)+J$1*((-0.000002)*J225^3+0.00032*J225^2+(-0.0021)*J225)+H$1*((-0.000002)*H225^3+0.00032*H225^2+(-0.0021)*H225))*(MAX(0.05,MIN(1,(2*J225+I225)/120)*MIN(1,I225/10)*MIN(1,J225/10)))</f>
        <v/>
      </c>
      <c r="Y225">
        <f>(I$1*((-0.000002)*I225^3+0.00032*I225^2+(-0.0021)*I225)+J$1*((-0.000002)*J225^3+0.00032*J225^2+(-0.0021)*J225)+H$1*((-0.000002)*H225^3+0.00032*H225^2+(-0.0021)*H225))*(MAX(0.05,MIN(1,(2*J225+I225)/120)*MIN(1,I225/10)*MIN(1,J225/10)))</f>
        <v/>
      </c>
      <c r="Z225">
        <f>U225*J$2+V225*O$2+W225*H$2</f>
        <v/>
      </c>
      <c r="AA225">
        <f>IF(AND(J225&gt;50,I225+J225&gt;75),"SP",IF(2*I225+J225&gt;120,"RP","CRAP"))</f>
        <v/>
      </c>
    </row>
    <row r="226" ht="13.5" customHeight="1" s="27" thickBot="1">
      <c r="A226">
        <f>(V226*V$2+W226*W$2+X226*X$2)*100/(V$4*V$2+W$4*W$2+X$4*X$2)</f>
        <v/>
      </c>
      <c r="B226" s="16" t="n"/>
      <c r="C226" s="10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>
        <f>K$1*(0.000001*K226^3)+L$1*((-0.000002)*L226^3+0.00032*L226^2+(-0.0021)*L226)+M$1*((-0.000002)*M226^3+0.00032*M226^2+(-0.0021)*M226)+N$1*((-0.000002)*N226^3+0.00032*N226^2+(-0.0021)*N226)+O$1*((-0.000002)*O226^3+0.00032*O226^2+(-0.0021)*O226)</f>
        <v/>
      </c>
      <c r="W226">
        <f>P$1*((-0.000002)*P226^3+0.00032*P226^2+(-0.0021)*P226)+Q$1*((-0.000002)*Q226^3+0.00032*Q226^2+(-0.0021)*Q226)+R$1*((-0.000002)*R226^3+0.00032*R226^2+(-0.0021)*R226)+S$1*((-0.000002)*S226^3+0.00032*S226^2+(-0.0021)*S226)+T$1*((-0.000002)*T226^3+0.00032*T226^2+(-0.0021)*T226)</f>
        <v/>
      </c>
      <c r="X226">
        <f>(I$1*((-0.000002)*I226^3+0.00032*I226^2+(-0.0021)*I226)+J$1*((-0.000002)*J226^3+0.00032*J226^2+(-0.0021)*J226)+H$1*((-0.000002)*H226^3+0.00032*H226^2+(-0.0021)*H226))*(MAX(0.05,MIN(1,(2*J226+I226)/120)*MIN(1,I226/10)*MIN(1,J226/10)))</f>
        <v/>
      </c>
      <c r="Y226">
        <f>(I$1*((-0.000002)*I226^3+0.00032*I226^2+(-0.0021)*I226)+J$1*((-0.000002)*J226^3+0.00032*J226^2+(-0.0021)*J226)+H$1*((-0.000002)*H226^3+0.00032*H226^2+(-0.0021)*H226))*(MAX(0.05,MIN(1,(2*J226+I226)/120)*MIN(1,I226/10)*MIN(1,J226/10)))</f>
        <v/>
      </c>
      <c r="Z226">
        <f>U226*J$2+V226*O$2+W226*H$2</f>
        <v/>
      </c>
      <c r="AA226">
        <f>IF(AND(J226&gt;50,I226+J226&gt;75),"SP",IF(2*I226+J226&gt;120,"RP","CRAP"))</f>
        <v/>
      </c>
    </row>
    <row r="227" ht="13.5" customHeight="1" s="27" thickBot="1">
      <c r="A227">
        <f>(V227*V$2+W227*W$2+X227*X$2)*100/(V$4*V$2+W$4*W$2+X$4*X$2)</f>
        <v/>
      </c>
      <c r="B227" s="18" t="n"/>
      <c r="C227" s="11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>
        <f>K$1*(0.000001*K227^3)+L$1*((-0.000002)*L227^3+0.00032*L227^2+(-0.0021)*L227)+M$1*((-0.000002)*M227^3+0.00032*M227^2+(-0.0021)*M227)+N$1*((-0.000002)*N227^3+0.00032*N227^2+(-0.0021)*N227)+O$1*((-0.000002)*O227^3+0.00032*O227^2+(-0.0021)*O227)</f>
        <v/>
      </c>
      <c r="W227">
        <f>P$1*((-0.000002)*P227^3+0.00032*P227^2+(-0.0021)*P227)+Q$1*((-0.000002)*Q227^3+0.00032*Q227^2+(-0.0021)*Q227)+R$1*((-0.000002)*R227^3+0.00032*R227^2+(-0.0021)*R227)+S$1*((-0.000002)*S227^3+0.00032*S227^2+(-0.0021)*S227)+T$1*((-0.000002)*T227^3+0.00032*T227^2+(-0.0021)*T227)</f>
        <v/>
      </c>
      <c r="X227">
        <f>(I$1*((-0.000002)*I227^3+0.00032*I227^2+(-0.0021)*I227)+J$1*((-0.000002)*J227^3+0.00032*J227^2+(-0.0021)*J227)+H$1*((-0.000002)*H227^3+0.00032*H227^2+(-0.0021)*H227))*(MAX(0.05,MIN(1,(2*J227+I227)/120)*MIN(1,I227/10)*MIN(1,J227/10)))</f>
        <v/>
      </c>
      <c r="Y227">
        <f>(I$1*((-0.000002)*I227^3+0.00032*I227^2+(-0.0021)*I227)+J$1*((-0.000002)*J227^3+0.00032*J227^2+(-0.0021)*J227)+H$1*((-0.000002)*H227^3+0.00032*H227^2+(-0.0021)*H227))*(MAX(0.05,MIN(1,(2*J227+I227)/120)*MIN(1,I227/10)*MIN(1,J227/10)))</f>
        <v/>
      </c>
      <c r="Z227">
        <f>U227*J$2+V227*O$2+W227*H$2</f>
        <v/>
      </c>
      <c r="AA227">
        <f>IF(AND(J227&gt;50,I227+J227&gt;75),"SP",IF(2*I227+J227&gt;120,"RP","CRAP"))</f>
        <v/>
      </c>
    </row>
    <row r="228" ht="13.5" customHeight="1" s="27" thickBot="1">
      <c r="A228">
        <f>(V228*V$2+W228*W$2+X228*X$2)*100/(V$4*V$2+W$4*W$2+X$4*X$2)</f>
        <v/>
      </c>
      <c r="B228" s="16" t="n"/>
      <c r="C228" s="10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>
        <f>K$1*(0.000001*K228^3)+L$1*((-0.000002)*L228^3+0.00032*L228^2+(-0.0021)*L228)+M$1*((-0.000002)*M228^3+0.00032*M228^2+(-0.0021)*M228)+N$1*((-0.000002)*N228^3+0.00032*N228^2+(-0.0021)*N228)+O$1*((-0.000002)*O228^3+0.00032*O228^2+(-0.0021)*O228)</f>
        <v/>
      </c>
      <c r="W228">
        <f>P$1*((-0.000002)*P228^3+0.00032*P228^2+(-0.0021)*P228)+Q$1*((-0.000002)*Q228^3+0.00032*Q228^2+(-0.0021)*Q228)+R$1*((-0.000002)*R228^3+0.00032*R228^2+(-0.0021)*R228)+S$1*((-0.000002)*S228^3+0.00032*S228^2+(-0.0021)*S228)+T$1*((-0.000002)*T228^3+0.00032*T228^2+(-0.0021)*T228)</f>
        <v/>
      </c>
      <c r="X228">
        <f>(I$1*((-0.000002)*I228^3+0.00032*I228^2+(-0.0021)*I228)+J$1*((-0.000002)*J228^3+0.00032*J228^2+(-0.0021)*J228)+H$1*((-0.000002)*H228^3+0.00032*H228^2+(-0.0021)*H228))*(MAX(0.05,MIN(1,(2*J228+I228)/120)*MIN(1,I228/10)*MIN(1,J228/10)))</f>
        <v/>
      </c>
      <c r="Y228">
        <f>(I$1*((-0.000002)*I228^3+0.00032*I228^2+(-0.0021)*I228)+J$1*((-0.000002)*J228^3+0.00032*J228^2+(-0.0021)*J228)+H$1*((-0.000002)*H228^3+0.00032*H228^2+(-0.0021)*H228))*(MAX(0.05,MIN(1,(2*J228+I228)/120)*MIN(1,I228/10)*MIN(1,J228/10)))</f>
        <v/>
      </c>
      <c r="Z228">
        <f>U228*J$2+V228*O$2+W228*H$2</f>
        <v/>
      </c>
      <c r="AA228">
        <f>IF(AND(J228&gt;50,I228+J228&gt;75),"SP",IF(2*I228+J228&gt;120,"RP","CRAP"))</f>
        <v/>
      </c>
    </row>
    <row r="229" ht="13.5" customHeight="1" s="27" thickBot="1">
      <c r="A229">
        <f>(V229*V$2+W229*W$2+X229*X$2)*100/(V$4*V$2+W$4*W$2+X$4*X$2)</f>
        <v/>
      </c>
      <c r="B229" s="18" t="n"/>
      <c r="C229" s="11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>
        <f>K$1*(0.000001*K229^3)+L$1*((-0.000002)*L229^3+0.00032*L229^2+(-0.0021)*L229)+M$1*((-0.000002)*M229^3+0.00032*M229^2+(-0.0021)*M229)+N$1*((-0.000002)*N229^3+0.00032*N229^2+(-0.0021)*N229)+O$1*((-0.000002)*O229^3+0.00032*O229^2+(-0.0021)*O229)</f>
        <v/>
      </c>
      <c r="W229">
        <f>P$1*((-0.000002)*P229^3+0.00032*P229^2+(-0.0021)*P229)+Q$1*((-0.000002)*Q229^3+0.00032*Q229^2+(-0.0021)*Q229)+R$1*((-0.000002)*R229^3+0.00032*R229^2+(-0.0021)*R229)+S$1*((-0.000002)*S229^3+0.00032*S229^2+(-0.0021)*S229)+T$1*((-0.000002)*T229^3+0.00032*T229^2+(-0.0021)*T229)</f>
        <v/>
      </c>
      <c r="X229">
        <f>(I$1*((-0.000002)*I229^3+0.00032*I229^2+(-0.0021)*I229)+J$1*((-0.000002)*J229^3+0.00032*J229^2+(-0.0021)*J229)+H$1*((-0.000002)*H229^3+0.00032*H229^2+(-0.0021)*H229))*(MAX(0.05,MIN(1,(2*J229+I229)/120)*MIN(1,I229/10)*MIN(1,J229/10)))</f>
        <v/>
      </c>
      <c r="Y229">
        <f>(I$1*((-0.000002)*I229^3+0.00032*I229^2+(-0.0021)*I229)+J$1*((-0.000002)*J229^3+0.00032*J229^2+(-0.0021)*J229)+H$1*((-0.000002)*H229^3+0.00032*H229^2+(-0.0021)*H229))*(MAX(0.05,MIN(1,(2*J229+I229)/120)*MIN(1,I229/10)*MIN(1,J229/10)))</f>
        <v/>
      </c>
      <c r="Z229">
        <f>U229*J$2+V229*O$2+W229*H$2</f>
        <v/>
      </c>
      <c r="AA229">
        <f>IF(AND(J229&gt;50,I229+J229&gt;75),"SP",IF(2*I229+J229&gt;120,"RP","CRAP"))</f>
        <v/>
      </c>
    </row>
    <row r="230" ht="13.5" customHeight="1" s="27" thickBot="1">
      <c r="A230">
        <f>(V230*V$2+W230*W$2+X230*X$2)*100/(V$4*V$2+W$4*W$2+X$4*X$2)</f>
        <v/>
      </c>
      <c r="B230" s="16" t="n"/>
      <c r="C230" s="10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>
        <f>K$1*(0.000001*K230^3)+L$1*((-0.000002)*L230^3+0.00032*L230^2+(-0.0021)*L230)+M$1*((-0.000002)*M230^3+0.00032*M230^2+(-0.0021)*M230)+N$1*((-0.000002)*N230^3+0.00032*N230^2+(-0.0021)*N230)+O$1*((-0.000002)*O230^3+0.00032*O230^2+(-0.0021)*O230)</f>
        <v/>
      </c>
      <c r="W230">
        <f>P$1*((-0.000002)*P230^3+0.00032*P230^2+(-0.0021)*P230)+Q$1*((-0.000002)*Q230^3+0.00032*Q230^2+(-0.0021)*Q230)+R$1*((-0.000002)*R230^3+0.00032*R230^2+(-0.0021)*R230)+S$1*((-0.000002)*S230^3+0.00032*S230^2+(-0.0021)*S230)+T$1*((-0.000002)*T230^3+0.00032*T230^2+(-0.0021)*T230)</f>
        <v/>
      </c>
      <c r="X230">
        <f>(I$1*((-0.000002)*I230^3+0.00032*I230^2+(-0.0021)*I230)+J$1*((-0.000002)*J230^3+0.00032*J230^2+(-0.0021)*J230)+H$1*((-0.000002)*H230^3+0.00032*H230^2+(-0.0021)*H230))*(MAX(0.05,MIN(1,(2*J230+I230)/120)*MIN(1,I230/10)*MIN(1,J230/10)))</f>
        <v/>
      </c>
      <c r="Y230">
        <f>(I$1*((-0.000002)*I230^3+0.00032*I230^2+(-0.0021)*I230)+J$1*((-0.000002)*J230^3+0.00032*J230^2+(-0.0021)*J230)+H$1*((-0.000002)*H230^3+0.00032*H230^2+(-0.0021)*H230))*(MAX(0.05,MIN(1,(2*J230+I230)/120)*MIN(1,I230/10)*MIN(1,J230/10)))</f>
        <v/>
      </c>
      <c r="Z230">
        <f>U230*J$2+V230*O$2+W230*H$2</f>
        <v/>
      </c>
      <c r="AA230">
        <f>IF(AND(J230&gt;50,I230+J230&gt;75),"SP",IF(2*I230+J230&gt;120,"RP","CRAP"))</f>
        <v/>
      </c>
    </row>
    <row r="231" ht="13.5" customHeight="1" s="27" thickBot="1">
      <c r="A231">
        <f>(V231*V$2+W231*W$2+X231*X$2)*100/(V$4*V$2+W$4*W$2+X$4*X$2)</f>
        <v/>
      </c>
      <c r="B231" s="18" t="n"/>
      <c r="C231" s="11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>
        <f>K$1*(0.000001*K231^3)+L$1*((-0.000002)*L231^3+0.00032*L231^2+(-0.0021)*L231)+M$1*((-0.000002)*M231^3+0.00032*M231^2+(-0.0021)*M231)+N$1*((-0.000002)*N231^3+0.00032*N231^2+(-0.0021)*N231)+O$1*((-0.000002)*O231^3+0.00032*O231^2+(-0.0021)*O231)</f>
        <v/>
      </c>
      <c r="W231">
        <f>P$1*((-0.000002)*P231^3+0.00032*P231^2+(-0.0021)*P231)+Q$1*((-0.000002)*Q231^3+0.00032*Q231^2+(-0.0021)*Q231)+R$1*((-0.000002)*R231^3+0.00032*R231^2+(-0.0021)*R231)+S$1*((-0.000002)*S231^3+0.00032*S231^2+(-0.0021)*S231)+T$1*((-0.000002)*T231^3+0.00032*T231^2+(-0.0021)*T231)</f>
        <v/>
      </c>
      <c r="X231">
        <f>(I$1*((-0.000002)*I231^3+0.00032*I231^2+(-0.0021)*I231)+J$1*((-0.000002)*J231^3+0.00032*J231^2+(-0.0021)*J231)+H$1*((-0.000002)*H231^3+0.00032*H231^2+(-0.0021)*H231))*(MAX(0.05,MIN(1,(2*J231+I231)/120)*MIN(1,I231/10)*MIN(1,J231/10)))</f>
        <v/>
      </c>
      <c r="Y231">
        <f>(I$1*((-0.000002)*I231^3+0.00032*I231^2+(-0.0021)*I231)+J$1*((-0.000002)*J231^3+0.00032*J231^2+(-0.0021)*J231)+H$1*((-0.000002)*H231^3+0.00032*H231^2+(-0.0021)*H231))*(MAX(0.05,MIN(1,(2*J231+I231)/120)*MIN(1,I231/10)*MIN(1,J231/10)))</f>
        <v/>
      </c>
      <c r="Z231">
        <f>U231*J$2+V231*O$2+W231*H$2</f>
        <v/>
      </c>
      <c r="AA231">
        <f>IF(AND(J231&gt;50,I231+J231&gt;75),"SP",IF(2*I231+J231&gt;120,"RP","CRAP"))</f>
        <v/>
      </c>
    </row>
    <row r="232" ht="13.5" customHeight="1" s="27" thickBot="1">
      <c r="A232">
        <f>(V232*V$2+W232*W$2+X232*X$2)*100/(V$4*V$2+W$4*W$2+X$4*X$2)</f>
        <v/>
      </c>
      <c r="B232" s="16" t="n"/>
      <c r="C232" s="10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>
        <f>K$1*(0.000001*K232^3)+L$1*((-0.000002)*L232^3+0.00032*L232^2+(-0.0021)*L232)+M$1*((-0.000002)*M232^3+0.00032*M232^2+(-0.0021)*M232)+N$1*((-0.000002)*N232^3+0.00032*N232^2+(-0.0021)*N232)+O$1*((-0.000002)*O232^3+0.00032*O232^2+(-0.0021)*O232)</f>
        <v/>
      </c>
      <c r="W232">
        <f>P$1*((-0.000002)*P232^3+0.00032*P232^2+(-0.0021)*P232)+Q$1*((-0.000002)*Q232^3+0.00032*Q232^2+(-0.0021)*Q232)+R$1*((-0.000002)*R232^3+0.00032*R232^2+(-0.0021)*R232)+S$1*((-0.000002)*S232^3+0.00032*S232^2+(-0.0021)*S232)+T$1*((-0.000002)*T232^3+0.00032*T232^2+(-0.0021)*T232)</f>
        <v/>
      </c>
      <c r="X232">
        <f>(I$1*((-0.000002)*I232^3+0.00032*I232^2+(-0.0021)*I232)+J$1*((-0.000002)*J232^3+0.00032*J232^2+(-0.0021)*J232)+H$1*((-0.000002)*H232^3+0.00032*H232^2+(-0.0021)*H232))*(MAX(0.05,MIN(1,(2*J232+I232)/120)*MIN(1,I232/10)*MIN(1,J232/10)))</f>
        <v/>
      </c>
      <c r="Y232">
        <f>(I$1*((-0.000002)*I232^3+0.00032*I232^2+(-0.0021)*I232)+J$1*((-0.000002)*J232^3+0.00032*J232^2+(-0.0021)*J232)+H$1*((-0.000002)*H232^3+0.00032*H232^2+(-0.0021)*H232))*(MAX(0.05,MIN(1,(2*J232+I232)/120)*MIN(1,I232/10)*MIN(1,J232/10)))</f>
        <v/>
      </c>
      <c r="Z232">
        <f>U232*J$2+V232*O$2+W232*H$2</f>
        <v/>
      </c>
      <c r="AA232">
        <f>IF(AND(J232&gt;50,I232+J232&gt;75),"SP",IF(2*I232+J232&gt;120,"RP","CRAP"))</f>
        <v/>
      </c>
    </row>
    <row r="233" ht="13.5" customHeight="1" s="27" thickBot="1">
      <c r="A233">
        <f>(V233*V$2+W233*W$2+X233*X$2)*100/(V$4*V$2+W$4*W$2+X$4*X$2)</f>
        <v/>
      </c>
      <c r="B233" s="18" t="n"/>
      <c r="C233" s="11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>
        <f>K$1*(0.000001*K233^3)+L$1*((-0.000002)*L233^3+0.00032*L233^2+(-0.0021)*L233)+M$1*((-0.000002)*M233^3+0.00032*M233^2+(-0.0021)*M233)+N$1*((-0.000002)*N233^3+0.00032*N233^2+(-0.0021)*N233)+O$1*((-0.000002)*O233^3+0.00032*O233^2+(-0.0021)*O233)</f>
        <v/>
      </c>
      <c r="W233">
        <f>P$1*((-0.000002)*P233^3+0.00032*P233^2+(-0.0021)*P233)+Q$1*((-0.000002)*Q233^3+0.00032*Q233^2+(-0.0021)*Q233)+R$1*((-0.000002)*R233^3+0.00032*R233^2+(-0.0021)*R233)+S$1*((-0.000002)*S233^3+0.00032*S233^2+(-0.0021)*S233)+T$1*((-0.000002)*T233^3+0.00032*T233^2+(-0.0021)*T233)</f>
        <v/>
      </c>
      <c r="X233">
        <f>(I$1*((-0.000002)*I233^3+0.00032*I233^2+(-0.0021)*I233)+J$1*((-0.000002)*J233^3+0.00032*J233^2+(-0.0021)*J233)+H$1*((-0.000002)*H233^3+0.00032*H233^2+(-0.0021)*H233))*(MAX(0.05,MIN(1,(2*J233+I233)/120)*MIN(1,I233/10)*MIN(1,J233/10)))</f>
        <v/>
      </c>
      <c r="Y233">
        <f>(I$1*((-0.000002)*I233^3+0.00032*I233^2+(-0.0021)*I233)+J$1*((-0.000002)*J233^3+0.00032*J233^2+(-0.0021)*J233)+H$1*((-0.000002)*H233^3+0.00032*H233^2+(-0.0021)*H233))*(MAX(0.05,MIN(1,(2*J233+I233)/120)*MIN(1,I233/10)*MIN(1,J233/10)))</f>
        <v/>
      </c>
      <c r="Z233">
        <f>U233*J$2+V233*O$2+W233*H$2</f>
        <v/>
      </c>
      <c r="AA233">
        <f>IF(AND(J233&gt;50,I233+J233&gt;75),"SP",IF(2*I233+J233&gt;120,"RP","CRAP"))</f>
        <v/>
      </c>
    </row>
    <row r="234" ht="13.5" customHeight="1" s="27" thickBot="1">
      <c r="A234">
        <f>(V234*V$2+W234*W$2+X234*X$2)*100/(V$4*V$2+W$4*W$2+X$4*X$2)</f>
        <v/>
      </c>
      <c r="B234" s="16" t="n"/>
      <c r="C234" s="10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>
        <f>K$1*(0.000001*K234^3)+L$1*((-0.000002)*L234^3+0.00032*L234^2+(-0.0021)*L234)+M$1*((-0.000002)*M234^3+0.00032*M234^2+(-0.0021)*M234)+N$1*((-0.000002)*N234^3+0.00032*N234^2+(-0.0021)*N234)+O$1*((-0.000002)*O234^3+0.00032*O234^2+(-0.0021)*O234)</f>
        <v/>
      </c>
      <c r="W234">
        <f>P$1*((-0.000002)*P234^3+0.00032*P234^2+(-0.0021)*P234)+Q$1*((-0.000002)*Q234^3+0.00032*Q234^2+(-0.0021)*Q234)+R$1*((-0.000002)*R234^3+0.00032*R234^2+(-0.0021)*R234)+S$1*((-0.000002)*S234^3+0.00032*S234^2+(-0.0021)*S234)+T$1*((-0.000002)*T234^3+0.00032*T234^2+(-0.0021)*T234)</f>
        <v/>
      </c>
      <c r="X234">
        <f>(I$1*((-0.000002)*I234^3+0.00032*I234^2+(-0.0021)*I234)+J$1*((-0.000002)*J234^3+0.00032*J234^2+(-0.0021)*J234)+H$1*((-0.000002)*H234^3+0.00032*H234^2+(-0.0021)*H234))*(MAX(0.05,MIN(1,(2*J234+I234)/120)*MIN(1,I234/10)*MIN(1,J234/10)))</f>
        <v/>
      </c>
      <c r="Y234">
        <f>(I$1*((-0.000002)*I234^3+0.00032*I234^2+(-0.0021)*I234)+J$1*((-0.000002)*J234^3+0.00032*J234^2+(-0.0021)*J234)+H$1*((-0.000002)*H234^3+0.00032*H234^2+(-0.0021)*H234))*(MAX(0.05,MIN(1,(2*J234+I234)/120)*MIN(1,I234/10)*MIN(1,J234/10)))</f>
        <v/>
      </c>
      <c r="Z234">
        <f>U234*J$2+V234*O$2+W234*H$2</f>
        <v/>
      </c>
      <c r="AA234">
        <f>IF(AND(J234&gt;50,I234+J234&gt;75),"SP",IF(2*I234+J234&gt;120,"RP","CRAP"))</f>
        <v/>
      </c>
    </row>
    <row r="235" ht="13.5" customHeight="1" s="27" thickBot="1">
      <c r="A235">
        <f>(V235*V$2+W235*W$2+X235*X$2)*100/(V$4*V$2+W$4*W$2+X$4*X$2)</f>
        <v/>
      </c>
      <c r="B235" s="18" t="n"/>
      <c r="C235" s="11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>
        <f>K$1*(0.000001*K235^3)+L$1*((-0.000002)*L235^3+0.00032*L235^2+(-0.0021)*L235)+M$1*((-0.000002)*M235^3+0.00032*M235^2+(-0.0021)*M235)+N$1*((-0.000002)*N235^3+0.00032*N235^2+(-0.0021)*N235)+O$1*((-0.000002)*O235^3+0.00032*O235^2+(-0.0021)*O235)</f>
        <v/>
      </c>
      <c r="W235">
        <f>P$1*((-0.000002)*P235^3+0.00032*P235^2+(-0.0021)*P235)+Q$1*((-0.000002)*Q235^3+0.00032*Q235^2+(-0.0021)*Q235)+R$1*((-0.000002)*R235^3+0.00032*R235^2+(-0.0021)*R235)+S$1*((-0.000002)*S235^3+0.00032*S235^2+(-0.0021)*S235)+T$1*((-0.000002)*T235^3+0.00032*T235^2+(-0.0021)*T235)</f>
        <v/>
      </c>
      <c r="X235">
        <f>(I$1*((-0.000002)*I235^3+0.00032*I235^2+(-0.0021)*I235)+J$1*((-0.000002)*J235^3+0.00032*J235^2+(-0.0021)*J235)+H$1*((-0.000002)*H235^3+0.00032*H235^2+(-0.0021)*H235))*(MAX(0.05,MIN(1,(2*J235+I235)/120)*MIN(1,I235/10)*MIN(1,J235/10)))</f>
        <v/>
      </c>
      <c r="Y235">
        <f>(I$1*((-0.000002)*I235^3+0.00032*I235^2+(-0.0021)*I235)+J$1*((-0.000002)*J235^3+0.00032*J235^2+(-0.0021)*J235)+H$1*((-0.000002)*H235^3+0.00032*H235^2+(-0.0021)*H235))*(MAX(0.05,MIN(1,(2*J235+I235)/120)*MIN(1,I235/10)*MIN(1,J235/10)))</f>
        <v/>
      </c>
      <c r="Z235">
        <f>U235*J$2+V235*O$2+W235*H$2</f>
        <v/>
      </c>
      <c r="AA235">
        <f>IF(AND(J235&gt;50,I235+J235&gt;75),"SP",IF(2*I235+J235&gt;120,"RP","CRAP"))</f>
        <v/>
      </c>
    </row>
    <row r="236" ht="13.5" customHeight="1" s="27" thickBot="1">
      <c r="A236">
        <f>(V236*V$2+W236*W$2+X236*X$2)*100/(V$4*V$2+W$4*W$2+X$4*X$2)</f>
        <v/>
      </c>
      <c r="B236" s="16" t="n"/>
      <c r="C236" s="10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>
        <f>K$1*(0.000001*K236^3)+L$1*((-0.000002)*L236^3+0.00032*L236^2+(-0.0021)*L236)+M$1*((-0.000002)*M236^3+0.00032*M236^2+(-0.0021)*M236)+N$1*((-0.000002)*N236^3+0.00032*N236^2+(-0.0021)*N236)+O$1*((-0.000002)*O236^3+0.00032*O236^2+(-0.0021)*O236)</f>
        <v/>
      </c>
      <c r="W236">
        <f>P$1*((-0.000002)*P236^3+0.00032*P236^2+(-0.0021)*P236)+Q$1*((-0.000002)*Q236^3+0.00032*Q236^2+(-0.0021)*Q236)+R$1*((-0.000002)*R236^3+0.00032*R236^2+(-0.0021)*R236)+S$1*((-0.000002)*S236^3+0.00032*S236^2+(-0.0021)*S236)+T$1*((-0.000002)*T236^3+0.00032*T236^2+(-0.0021)*T236)</f>
        <v/>
      </c>
      <c r="X236">
        <f>(I$1*((-0.000002)*I236^3+0.00032*I236^2+(-0.0021)*I236)+J$1*((-0.000002)*J236^3+0.00032*J236^2+(-0.0021)*J236)+H$1*((-0.000002)*H236^3+0.00032*H236^2+(-0.0021)*H236))*(MAX(0.05,MIN(1,(2*J236+I236)/120)*MIN(1,I236/10)*MIN(1,J236/10)))</f>
        <v/>
      </c>
      <c r="Y236">
        <f>(I$1*((-0.000002)*I236^3+0.00032*I236^2+(-0.0021)*I236)+J$1*((-0.000002)*J236^3+0.00032*J236^2+(-0.0021)*J236)+H$1*((-0.000002)*H236^3+0.00032*H236^2+(-0.0021)*H236))*(MAX(0.05,MIN(1,(2*J236+I236)/120)*MIN(1,I236/10)*MIN(1,J236/10)))</f>
        <v/>
      </c>
      <c r="Z236">
        <f>U236*J$2+V236*O$2+W236*H$2</f>
        <v/>
      </c>
      <c r="AA236">
        <f>IF(AND(J236&gt;50,I236+J236&gt;75),"SP",IF(2*I236+J236&gt;120,"RP","CRAP"))</f>
        <v/>
      </c>
    </row>
    <row r="237" ht="13.5" customHeight="1" s="27" thickBot="1">
      <c r="A237">
        <f>(V237*V$2+W237*W$2+X237*X$2)*100/(V$4*V$2+W$4*W$2+X$4*X$2)</f>
        <v/>
      </c>
      <c r="B237" s="18" t="n"/>
      <c r="C237" s="11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>
        <f>K$1*(0.000001*K237^3)+L$1*((-0.000002)*L237^3+0.00032*L237^2+(-0.0021)*L237)+M$1*((-0.000002)*M237^3+0.00032*M237^2+(-0.0021)*M237)+N$1*((-0.000002)*N237^3+0.00032*N237^2+(-0.0021)*N237)+O$1*((-0.000002)*O237^3+0.00032*O237^2+(-0.0021)*O237)</f>
        <v/>
      </c>
      <c r="W237">
        <f>P$1*((-0.000002)*P237^3+0.00032*P237^2+(-0.0021)*P237)+Q$1*((-0.000002)*Q237^3+0.00032*Q237^2+(-0.0021)*Q237)+R$1*((-0.000002)*R237^3+0.00032*R237^2+(-0.0021)*R237)+S$1*((-0.000002)*S237^3+0.00032*S237^2+(-0.0021)*S237)+T$1*((-0.000002)*T237^3+0.00032*T237^2+(-0.0021)*T237)</f>
        <v/>
      </c>
      <c r="X237">
        <f>(I$1*((-0.000002)*I237^3+0.00032*I237^2+(-0.0021)*I237)+J$1*((-0.000002)*J237^3+0.00032*J237^2+(-0.0021)*J237)+H$1*((-0.000002)*H237^3+0.00032*H237^2+(-0.0021)*H237))*(MAX(0.05,MIN(1,(2*J237+I237)/120)*MIN(1,I237/10)*MIN(1,J237/10)))</f>
        <v/>
      </c>
      <c r="Y237">
        <f>(I$1*((-0.000002)*I237^3+0.00032*I237^2+(-0.0021)*I237)+J$1*((-0.000002)*J237^3+0.00032*J237^2+(-0.0021)*J237)+H$1*((-0.000002)*H237^3+0.00032*H237^2+(-0.0021)*H237))*(MAX(0.05,MIN(1,(2*J237+I237)/120)*MIN(1,I237/10)*MIN(1,J237/10)))</f>
        <v/>
      </c>
      <c r="Z237">
        <f>U237*J$2+V237*O$2+W237*H$2</f>
        <v/>
      </c>
      <c r="AA237">
        <f>IF(AND(J237&gt;50,I237+J237&gt;75),"SP",IF(2*I237+J237&gt;120,"RP","CRAP"))</f>
        <v/>
      </c>
    </row>
    <row r="238" ht="13.5" customHeight="1" s="27" thickBot="1">
      <c r="A238">
        <f>(V238*V$2+W238*W$2+X238*X$2)*100/(V$4*V$2+W$4*W$2+X$4*X$2)</f>
        <v/>
      </c>
      <c r="B238" s="16" t="n"/>
      <c r="C238" s="10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>
        <f>K$1*(0.000001*K238^3)+L$1*((-0.000002)*L238^3+0.00032*L238^2+(-0.0021)*L238)+M$1*((-0.000002)*M238^3+0.00032*M238^2+(-0.0021)*M238)+N$1*((-0.000002)*N238^3+0.00032*N238^2+(-0.0021)*N238)+O$1*((-0.000002)*O238^3+0.00032*O238^2+(-0.0021)*O238)</f>
        <v/>
      </c>
      <c r="W238">
        <f>P$1*((-0.000002)*P238^3+0.00032*P238^2+(-0.0021)*P238)+Q$1*((-0.000002)*Q238^3+0.00032*Q238^2+(-0.0021)*Q238)+R$1*((-0.000002)*R238^3+0.00032*R238^2+(-0.0021)*R238)+S$1*((-0.000002)*S238^3+0.00032*S238^2+(-0.0021)*S238)+T$1*((-0.000002)*T238^3+0.00032*T238^2+(-0.0021)*T238)</f>
        <v/>
      </c>
      <c r="X238">
        <f>(I$1*((-0.000002)*I238^3+0.00032*I238^2+(-0.0021)*I238)+J$1*((-0.000002)*J238^3+0.00032*J238^2+(-0.0021)*J238)+H$1*((-0.000002)*H238^3+0.00032*H238^2+(-0.0021)*H238))*(MAX(0.05,MIN(1,(2*J238+I238)/120)*MIN(1,I238/10)*MIN(1,J238/10)))</f>
        <v/>
      </c>
      <c r="Y238">
        <f>(I$1*((-0.000002)*I238^3+0.00032*I238^2+(-0.0021)*I238)+J$1*((-0.000002)*J238^3+0.00032*J238^2+(-0.0021)*J238)+H$1*((-0.000002)*H238^3+0.00032*H238^2+(-0.0021)*H238))*(MAX(0.05,MIN(1,(2*J238+I238)/120)*MIN(1,I238/10)*MIN(1,J238/10)))</f>
        <v/>
      </c>
      <c r="Z238">
        <f>U238*J$2+V238*O$2+W238*H$2</f>
        <v/>
      </c>
      <c r="AA238">
        <f>IF(AND(J238&gt;50,I238+J238&gt;75),"SP",IF(2*I238+J238&gt;120,"RP","CRAP"))</f>
        <v/>
      </c>
    </row>
    <row r="239" ht="13.5" customHeight="1" s="27" thickBot="1">
      <c r="A239">
        <f>(V239*V$2+W239*W$2+X239*X$2)*100/(V$4*V$2+W$4*W$2+X$4*X$2)</f>
        <v/>
      </c>
      <c r="B239" s="18" t="n"/>
      <c r="C239" s="11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>
        <f>K$1*(0.000001*K239^3)+L$1*((-0.000002)*L239^3+0.00032*L239^2+(-0.0021)*L239)+M$1*((-0.000002)*M239^3+0.00032*M239^2+(-0.0021)*M239)+N$1*((-0.000002)*N239^3+0.00032*N239^2+(-0.0021)*N239)+O$1*((-0.000002)*O239^3+0.00032*O239^2+(-0.0021)*O239)</f>
        <v/>
      </c>
      <c r="W239">
        <f>P$1*((-0.000002)*P239^3+0.00032*P239^2+(-0.0021)*P239)+Q$1*((-0.000002)*Q239^3+0.00032*Q239^2+(-0.0021)*Q239)+R$1*((-0.000002)*R239^3+0.00032*R239^2+(-0.0021)*R239)+S$1*((-0.000002)*S239^3+0.00032*S239^2+(-0.0021)*S239)+T$1*((-0.000002)*T239^3+0.00032*T239^2+(-0.0021)*T239)</f>
        <v/>
      </c>
      <c r="X239">
        <f>(I$1*((-0.000002)*I239^3+0.00032*I239^2+(-0.0021)*I239)+J$1*((-0.000002)*J239^3+0.00032*J239^2+(-0.0021)*J239)+H$1*((-0.000002)*H239^3+0.00032*H239^2+(-0.0021)*H239))*(MAX(0.05,MIN(1,(2*J239+I239)/120)*MIN(1,I239/10)*MIN(1,J239/10)))</f>
        <v/>
      </c>
      <c r="Y239">
        <f>(I$1*((-0.000002)*I239^3+0.00032*I239^2+(-0.0021)*I239)+J$1*((-0.000002)*J239^3+0.00032*J239^2+(-0.0021)*J239)+H$1*((-0.000002)*H239^3+0.00032*H239^2+(-0.0021)*H239))*(MAX(0.05,MIN(1,(2*J239+I239)/120)*MIN(1,I239/10)*MIN(1,J239/10)))</f>
        <v/>
      </c>
      <c r="Z239">
        <f>U239*J$2+V239*O$2+W239*H$2</f>
        <v/>
      </c>
      <c r="AA239">
        <f>IF(AND(J239&gt;50,I239+J239&gt;75),"SP",IF(2*I239+J239&gt;120,"RP","CRAP"))</f>
        <v/>
      </c>
    </row>
    <row r="240" ht="13.5" customHeight="1" s="27" thickBot="1">
      <c r="A240">
        <f>(V240*V$2+W240*W$2+X240*X$2)*100/(V$4*V$2+W$4*W$2+X$4*X$2)</f>
        <v/>
      </c>
      <c r="B240" s="16" t="n"/>
      <c r="C240" s="10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>
        <f>K$1*(0.000001*K240^3)+L$1*((-0.000002)*L240^3+0.00032*L240^2+(-0.0021)*L240)+M$1*((-0.000002)*M240^3+0.00032*M240^2+(-0.0021)*M240)+N$1*((-0.000002)*N240^3+0.00032*N240^2+(-0.0021)*N240)+O$1*((-0.000002)*O240^3+0.00032*O240^2+(-0.0021)*O240)</f>
        <v/>
      </c>
      <c r="W240">
        <f>P$1*((-0.000002)*P240^3+0.00032*P240^2+(-0.0021)*P240)+Q$1*((-0.000002)*Q240^3+0.00032*Q240^2+(-0.0021)*Q240)+R$1*((-0.000002)*R240^3+0.00032*R240^2+(-0.0021)*R240)+S$1*((-0.000002)*S240^3+0.00032*S240^2+(-0.0021)*S240)+T$1*((-0.000002)*T240^3+0.00032*T240^2+(-0.0021)*T240)</f>
        <v/>
      </c>
      <c r="X240">
        <f>(I$1*((-0.000002)*I240^3+0.00032*I240^2+(-0.0021)*I240)+J$1*((-0.000002)*J240^3+0.00032*J240^2+(-0.0021)*J240)+H$1*((-0.000002)*H240^3+0.00032*H240^2+(-0.0021)*H240))*(MAX(0.05,MIN(1,(2*J240+I240)/120)*MIN(1,I240/10)*MIN(1,J240/10)))</f>
        <v/>
      </c>
      <c r="Y240">
        <f>(I$1*((-0.000002)*I240^3+0.00032*I240^2+(-0.0021)*I240)+J$1*((-0.000002)*J240^3+0.00032*J240^2+(-0.0021)*J240)+H$1*((-0.000002)*H240^3+0.00032*H240^2+(-0.0021)*H240))*(MAX(0.05,MIN(1,(2*J240+I240)/120)*MIN(1,I240/10)*MIN(1,J240/10)))</f>
        <v/>
      </c>
      <c r="Z240">
        <f>U240*J$2+V240*O$2+W240*H$2</f>
        <v/>
      </c>
      <c r="AA240">
        <f>IF(AND(J240&gt;50,I240+J240&gt;75),"SP",IF(2*I240+J240&gt;120,"RP","CRAP"))</f>
        <v/>
      </c>
    </row>
    <row r="241" ht="13.5" customHeight="1" s="27" thickBot="1">
      <c r="A241">
        <f>(V241*V$2+W241*W$2+X241*X$2)*100/(V$4*V$2+W$4*W$2+X$4*X$2)</f>
        <v/>
      </c>
      <c r="B241" s="18" t="n"/>
      <c r="C241" s="11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>
        <f>K$1*(0.000001*K241^3)+L$1*((-0.000002)*L241^3+0.00032*L241^2+(-0.0021)*L241)+M$1*((-0.000002)*M241^3+0.00032*M241^2+(-0.0021)*M241)+N$1*((-0.000002)*N241^3+0.00032*N241^2+(-0.0021)*N241)+O$1*((-0.000002)*O241^3+0.00032*O241^2+(-0.0021)*O241)</f>
        <v/>
      </c>
      <c r="W241">
        <f>P$1*((-0.000002)*P241^3+0.00032*P241^2+(-0.0021)*P241)+Q$1*((-0.000002)*Q241^3+0.00032*Q241^2+(-0.0021)*Q241)+R$1*((-0.000002)*R241^3+0.00032*R241^2+(-0.0021)*R241)+S$1*((-0.000002)*S241^3+0.00032*S241^2+(-0.0021)*S241)+T$1*((-0.000002)*T241^3+0.00032*T241^2+(-0.0021)*T241)</f>
        <v/>
      </c>
      <c r="X241">
        <f>(I$1*((-0.000002)*I241^3+0.00032*I241^2+(-0.0021)*I241)+J$1*((-0.000002)*J241^3+0.00032*J241^2+(-0.0021)*J241)+H$1*((-0.000002)*H241^3+0.00032*H241^2+(-0.0021)*H241))*(MAX(0.05,MIN(1,(2*J241+I241)/120)*MIN(1,I241/10)*MIN(1,J241/10)))</f>
        <v/>
      </c>
      <c r="Y241">
        <f>(I$1*((-0.000002)*I241^3+0.00032*I241^2+(-0.0021)*I241)+J$1*((-0.000002)*J241^3+0.00032*J241^2+(-0.0021)*J241)+H$1*((-0.000002)*H241^3+0.00032*H241^2+(-0.0021)*H241))*(MAX(0.05,MIN(1,(2*J241+I241)/120)*MIN(1,I241/10)*MIN(1,J241/10)))</f>
        <v/>
      </c>
      <c r="Z241">
        <f>U241*J$2+V241*O$2+W241*H$2</f>
        <v/>
      </c>
      <c r="AA241">
        <f>IF(AND(J241&gt;50,I241+J241&gt;75),"SP",IF(2*I241+J241&gt;120,"RP","CRAP"))</f>
        <v/>
      </c>
    </row>
    <row r="242" ht="13.5" customHeight="1" s="27" thickBot="1">
      <c r="A242">
        <f>(V242*V$2+W242*W$2+X242*X$2)*100/(V$4*V$2+W$4*W$2+X$4*X$2)</f>
        <v/>
      </c>
      <c r="B242" s="16" t="n"/>
      <c r="C242" s="10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>
        <f>K$1*(0.000001*K242^3)+L$1*((-0.000002)*L242^3+0.00032*L242^2+(-0.0021)*L242)+M$1*((-0.000002)*M242^3+0.00032*M242^2+(-0.0021)*M242)+N$1*((-0.000002)*N242^3+0.00032*N242^2+(-0.0021)*N242)+O$1*((-0.000002)*O242^3+0.00032*O242^2+(-0.0021)*O242)</f>
        <v/>
      </c>
      <c r="W242">
        <f>P$1*((-0.000002)*P242^3+0.00032*P242^2+(-0.0021)*P242)+Q$1*((-0.000002)*Q242^3+0.00032*Q242^2+(-0.0021)*Q242)+R$1*((-0.000002)*R242^3+0.00032*R242^2+(-0.0021)*R242)+S$1*((-0.000002)*S242^3+0.00032*S242^2+(-0.0021)*S242)+T$1*((-0.000002)*T242^3+0.00032*T242^2+(-0.0021)*T242)</f>
        <v/>
      </c>
      <c r="X242">
        <f>(I$1*((-0.000002)*I242^3+0.00032*I242^2+(-0.0021)*I242)+J$1*((-0.000002)*J242^3+0.00032*J242^2+(-0.0021)*J242)+H$1*((-0.000002)*H242^3+0.00032*H242^2+(-0.0021)*H242))*(MAX(0.05,MIN(1,(2*J242+I242)/120)*MIN(1,I242/10)*MIN(1,J242/10)))</f>
        <v/>
      </c>
      <c r="Y242">
        <f>(I$1*((-0.000002)*I242^3+0.00032*I242^2+(-0.0021)*I242)+J$1*((-0.000002)*J242^3+0.00032*J242^2+(-0.0021)*J242)+H$1*((-0.000002)*H242^3+0.00032*H242^2+(-0.0021)*H242))*(MAX(0.05,MIN(1,(2*J242+I242)/120)*MIN(1,I242/10)*MIN(1,J242/10)))</f>
        <v/>
      </c>
      <c r="Z242">
        <f>U242*J$2+V242*O$2+W242*H$2</f>
        <v/>
      </c>
      <c r="AA242">
        <f>IF(AND(J242&gt;50,I242+J242&gt;75),"SP",IF(2*I242+J242&gt;120,"RP","CRAP"))</f>
        <v/>
      </c>
    </row>
    <row r="243" ht="13.5" customHeight="1" s="27" thickBot="1">
      <c r="A243">
        <f>(V243*V$2+W243*W$2+X243*X$2)*100/(V$4*V$2+W$4*W$2+X$4*X$2)</f>
        <v/>
      </c>
      <c r="B243" s="18" t="n"/>
      <c r="C243" s="11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>
        <f>K$1*(0.000001*K243^3)+L$1*((-0.000002)*L243^3+0.00032*L243^2+(-0.0021)*L243)+M$1*((-0.000002)*M243^3+0.00032*M243^2+(-0.0021)*M243)+N$1*((-0.000002)*N243^3+0.00032*N243^2+(-0.0021)*N243)+O$1*((-0.000002)*O243^3+0.00032*O243^2+(-0.0021)*O243)</f>
        <v/>
      </c>
      <c r="W243">
        <f>P$1*((-0.000002)*P243^3+0.00032*P243^2+(-0.0021)*P243)+Q$1*((-0.000002)*Q243^3+0.00032*Q243^2+(-0.0021)*Q243)+R$1*((-0.000002)*R243^3+0.00032*R243^2+(-0.0021)*R243)+S$1*((-0.000002)*S243^3+0.00032*S243^2+(-0.0021)*S243)+T$1*((-0.000002)*T243^3+0.00032*T243^2+(-0.0021)*T243)</f>
        <v/>
      </c>
      <c r="X243">
        <f>(I$1*((-0.000002)*I243^3+0.00032*I243^2+(-0.0021)*I243)+J$1*((-0.000002)*J243^3+0.00032*J243^2+(-0.0021)*J243)+H$1*((-0.000002)*H243^3+0.00032*H243^2+(-0.0021)*H243))*(MAX(0.05,MIN(1,(2*J243+I243)/120)*MIN(1,I243/10)*MIN(1,J243/10)))</f>
        <v/>
      </c>
      <c r="Y243">
        <f>(I$1*((-0.000002)*I243^3+0.00032*I243^2+(-0.0021)*I243)+J$1*((-0.000002)*J243^3+0.00032*J243^2+(-0.0021)*J243)+H$1*((-0.000002)*H243^3+0.00032*H243^2+(-0.0021)*H243))*(MAX(0.05,MIN(1,(2*J243+I243)/120)*MIN(1,I243/10)*MIN(1,J243/10)))</f>
        <v/>
      </c>
      <c r="Z243">
        <f>U243*J$2+V243*O$2+W243*H$2</f>
        <v/>
      </c>
      <c r="AA243">
        <f>IF(AND(J243&gt;50,I243+J243&gt;75),"SP",IF(2*I243+J243&gt;120,"RP","CRAP"))</f>
        <v/>
      </c>
    </row>
    <row r="244" ht="13.5" customHeight="1" s="27" thickBot="1">
      <c r="A244">
        <f>(V244*V$2+W244*W$2+X244*X$2)*100/(V$4*V$2+W$4*W$2+X$4*X$2)</f>
        <v/>
      </c>
      <c r="B244" s="16" t="n"/>
      <c r="C244" s="10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>
        <f>K$1*(0.000001*K244^3)+L$1*((-0.000002)*L244^3+0.00032*L244^2+(-0.0021)*L244)+M$1*((-0.000002)*M244^3+0.00032*M244^2+(-0.0021)*M244)+N$1*((-0.000002)*N244^3+0.00032*N244^2+(-0.0021)*N244)+O$1*((-0.000002)*O244^3+0.00032*O244^2+(-0.0021)*O244)</f>
        <v/>
      </c>
      <c r="W244">
        <f>P$1*((-0.000002)*P244^3+0.00032*P244^2+(-0.0021)*P244)+Q$1*((-0.000002)*Q244^3+0.00032*Q244^2+(-0.0021)*Q244)+R$1*((-0.000002)*R244^3+0.00032*R244^2+(-0.0021)*R244)+S$1*((-0.000002)*S244^3+0.00032*S244^2+(-0.0021)*S244)+T$1*((-0.000002)*T244^3+0.00032*T244^2+(-0.0021)*T244)</f>
        <v/>
      </c>
      <c r="X244">
        <f>(I$1*((-0.000002)*I244^3+0.00032*I244^2+(-0.0021)*I244)+J$1*((-0.000002)*J244^3+0.00032*J244^2+(-0.0021)*J244)+H$1*((-0.000002)*H244^3+0.00032*H244^2+(-0.0021)*H244))*(MAX(0.05,MIN(1,(2*J244+I244)/120)*MIN(1,I244/10)*MIN(1,J244/10)))</f>
        <v/>
      </c>
      <c r="Y244">
        <f>(I$1*((-0.000002)*I244^3+0.00032*I244^2+(-0.0021)*I244)+J$1*((-0.000002)*J244^3+0.00032*J244^2+(-0.0021)*J244)+H$1*((-0.000002)*H244^3+0.00032*H244^2+(-0.0021)*H244))*(MAX(0.05,MIN(1,(2*J244+I244)/120)*MIN(1,I244/10)*MIN(1,J244/10)))</f>
        <v/>
      </c>
      <c r="Z244">
        <f>U244*J$2+V244*O$2+W244*H$2</f>
        <v/>
      </c>
      <c r="AA244">
        <f>IF(AND(J244&gt;50,I244+J244&gt;75),"SP",IF(2*I244+J244&gt;120,"RP","CRAP"))</f>
        <v/>
      </c>
    </row>
    <row r="245" ht="13.5" customHeight="1" s="27" thickBot="1">
      <c r="A245">
        <f>(V245*V$2+W245*W$2+X245*X$2)*100/(V$4*V$2+W$4*W$2+X$4*X$2)</f>
        <v/>
      </c>
      <c r="B245" s="18" t="n"/>
      <c r="C245" s="11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>
        <f>K$1*(0.000001*K245^3)+L$1*((-0.000002)*L245^3+0.00032*L245^2+(-0.0021)*L245)+M$1*((-0.000002)*M245^3+0.00032*M245^2+(-0.0021)*M245)+N$1*((-0.000002)*N245^3+0.00032*N245^2+(-0.0021)*N245)+O$1*((-0.000002)*O245^3+0.00032*O245^2+(-0.0021)*O245)</f>
        <v/>
      </c>
      <c r="W245">
        <f>P$1*((-0.000002)*P245^3+0.00032*P245^2+(-0.0021)*P245)+Q$1*((-0.000002)*Q245^3+0.00032*Q245^2+(-0.0021)*Q245)+R$1*((-0.000002)*R245^3+0.00032*R245^2+(-0.0021)*R245)+S$1*((-0.000002)*S245^3+0.00032*S245^2+(-0.0021)*S245)+T$1*((-0.000002)*T245^3+0.00032*T245^2+(-0.0021)*T245)</f>
        <v/>
      </c>
      <c r="X245">
        <f>(I$1*((-0.000002)*I245^3+0.00032*I245^2+(-0.0021)*I245)+J$1*((-0.000002)*J245^3+0.00032*J245^2+(-0.0021)*J245)+H$1*((-0.000002)*H245^3+0.00032*H245^2+(-0.0021)*H245))*(MAX(0.05,MIN(1,(2*J245+I245)/120)*MIN(1,I245/10)*MIN(1,J245/10)))</f>
        <v/>
      </c>
      <c r="Y245">
        <f>(I$1*((-0.000002)*I245^3+0.00032*I245^2+(-0.0021)*I245)+J$1*((-0.000002)*J245^3+0.00032*J245^2+(-0.0021)*J245)+H$1*((-0.000002)*H245^3+0.00032*H245^2+(-0.0021)*H245))*(MAX(0.05,MIN(1,(2*J245+I245)/120)*MIN(1,I245/10)*MIN(1,J245/10)))</f>
        <v/>
      </c>
      <c r="Z245">
        <f>U245*J$2+V245*O$2+W245*H$2</f>
        <v/>
      </c>
      <c r="AA245">
        <f>IF(AND(J245&gt;50,I245+J245&gt;75),"SP",IF(2*I245+J245&gt;120,"RP","CRAP"))</f>
        <v/>
      </c>
    </row>
    <row r="246" ht="13.5" customHeight="1" s="27" thickBot="1">
      <c r="A246">
        <f>(V246*V$2+W246*W$2+X246*X$2)*100/(V$4*V$2+W$4*W$2+X$4*X$2)</f>
        <v/>
      </c>
      <c r="B246" s="16" t="n"/>
      <c r="C246" s="10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>
        <f>K$1*(0.000001*K246^3)+L$1*((-0.000002)*L246^3+0.00032*L246^2+(-0.0021)*L246)+M$1*((-0.000002)*M246^3+0.00032*M246^2+(-0.0021)*M246)+N$1*((-0.000002)*N246^3+0.00032*N246^2+(-0.0021)*N246)+O$1*((-0.000002)*O246^3+0.00032*O246^2+(-0.0021)*O246)</f>
        <v/>
      </c>
      <c r="W246">
        <f>P$1*((-0.000002)*P246^3+0.00032*P246^2+(-0.0021)*P246)+Q$1*((-0.000002)*Q246^3+0.00032*Q246^2+(-0.0021)*Q246)+R$1*((-0.000002)*R246^3+0.00032*R246^2+(-0.0021)*R246)+S$1*((-0.000002)*S246^3+0.00032*S246^2+(-0.0021)*S246)+T$1*((-0.000002)*T246^3+0.00032*T246^2+(-0.0021)*T246)</f>
        <v/>
      </c>
      <c r="X246">
        <f>(I$1*((-0.000002)*I246^3+0.00032*I246^2+(-0.0021)*I246)+J$1*((-0.000002)*J246^3+0.00032*J246^2+(-0.0021)*J246)+H$1*((-0.000002)*H246^3+0.00032*H246^2+(-0.0021)*H246))*(MAX(0.05,MIN(1,(2*J246+I246)/120)*MIN(1,I246/10)*MIN(1,J246/10)))</f>
        <v/>
      </c>
      <c r="Y246">
        <f>(I$1*((-0.000002)*I246^3+0.00032*I246^2+(-0.0021)*I246)+J$1*((-0.000002)*J246^3+0.00032*J246^2+(-0.0021)*J246)+H$1*((-0.000002)*H246^3+0.00032*H246^2+(-0.0021)*H246))*(MAX(0.05,MIN(1,(2*J246+I246)/120)*MIN(1,I246/10)*MIN(1,J246/10)))</f>
        <v/>
      </c>
      <c r="Z246">
        <f>U246*J$2+V246*O$2+W246*H$2</f>
        <v/>
      </c>
      <c r="AA246">
        <f>IF(AND(J246&gt;50,I246+J246&gt;75),"SP",IF(2*I246+J246&gt;120,"RP","CRAP"))</f>
        <v/>
      </c>
    </row>
    <row r="247" ht="13.5" customHeight="1" s="27" thickBot="1">
      <c r="A247">
        <f>(V247*V$2+W247*W$2+X247*X$2)*100/(V$4*V$2+W$4*W$2+X$4*X$2)</f>
        <v/>
      </c>
      <c r="B247" s="18" t="n"/>
      <c r="C247" s="11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>
        <f>K$1*(0.000001*K247^3)+L$1*((-0.000002)*L247^3+0.00032*L247^2+(-0.0021)*L247)+M$1*((-0.000002)*M247^3+0.00032*M247^2+(-0.0021)*M247)+N$1*((-0.000002)*N247^3+0.00032*N247^2+(-0.0021)*N247)+O$1*((-0.000002)*O247^3+0.00032*O247^2+(-0.0021)*O247)</f>
        <v/>
      </c>
      <c r="W247">
        <f>P$1*((-0.000002)*P247^3+0.00032*P247^2+(-0.0021)*P247)+Q$1*((-0.000002)*Q247^3+0.00032*Q247^2+(-0.0021)*Q247)+R$1*((-0.000002)*R247^3+0.00032*R247^2+(-0.0021)*R247)+S$1*((-0.000002)*S247^3+0.00032*S247^2+(-0.0021)*S247)+T$1*((-0.000002)*T247^3+0.00032*T247^2+(-0.0021)*T247)</f>
        <v/>
      </c>
      <c r="X247">
        <f>(I$1*((-0.000002)*I247^3+0.00032*I247^2+(-0.0021)*I247)+J$1*((-0.000002)*J247^3+0.00032*J247^2+(-0.0021)*J247)+H$1*((-0.000002)*H247^3+0.00032*H247^2+(-0.0021)*H247))*(MAX(0.05,MIN(1,(2*J247+I247)/120)*MIN(1,I247/10)*MIN(1,J247/10)))</f>
        <v/>
      </c>
      <c r="Y247">
        <f>(I$1*((-0.000002)*I247^3+0.00032*I247^2+(-0.0021)*I247)+J$1*((-0.000002)*J247^3+0.00032*J247^2+(-0.0021)*J247)+H$1*((-0.000002)*H247^3+0.00032*H247^2+(-0.0021)*H247))*(MAX(0.05,MIN(1,(2*J247+I247)/120)*MIN(1,I247/10)*MIN(1,J247/10)))</f>
        <v/>
      </c>
      <c r="Z247">
        <f>U247*J$2+V247*O$2+W247*H$2</f>
        <v/>
      </c>
      <c r="AA247">
        <f>IF(AND(J247&gt;50,I247+J247&gt;75),"SP",IF(2*I247+J247&gt;120,"RP","CRAP"))</f>
        <v/>
      </c>
    </row>
    <row r="248" ht="13.5" customHeight="1" s="27" thickBot="1">
      <c r="A248">
        <f>(V248*V$2+W248*W$2+X248*X$2)*100/(V$4*V$2+W$4*W$2+X$4*X$2)</f>
        <v/>
      </c>
      <c r="B248" s="16" t="n"/>
      <c r="C248" s="10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>
        <f>K$1*(0.000001*K248^3)+L$1*((-0.000002)*L248^3+0.00032*L248^2+(-0.0021)*L248)+M$1*((-0.000002)*M248^3+0.00032*M248^2+(-0.0021)*M248)+N$1*((-0.000002)*N248^3+0.00032*N248^2+(-0.0021)*N248)+O$1*((-0.000002)*O248^3+0.00032*O248^2+(-0.0021)*O248)</f>
        <v/>
      </c>
      <c r="W248">
        <f>P$1*((-0.000002)*P248^3+0.00032*P248^2+(-0.0021)*P248)+Q$1*((-0.000002)*Q248^3+0.00032*Q248^2+(-0.0021)*Q248)+R$1*((-0.000002)*R248^3+0.00032*R248^2+(-0.0021)*R248)+S$1*((-0.000002)*S248^3+0.00032*S248^2+(-0.0021)*S248)+T$1*((-0.000002)*T248^3+0.00032*T248^2+(-0.0021)*T248)</f>
        <v/>
      </c>
      <c r="X248">
        <f>(I$1*((-0.000002)*I248^3+0.00032*I248^2+(-0.0021)*I248)+J$1*((-0.000002)*J248^3+0.00032*J248^2+(-0.0021)*J248)+H$1*((-0.000002)*H248^3+0.00032*H248^2+(-0.0021)*H248))*(MAX(0.05,MIN(1,(2*J248+I248)/120)*MIN(1,I248/10)*MIN(1,J248/10)))</f>
        <v/>
      </c>
      <c r="Y248">
        <f>(I$1*((-0.000002)*I248^3+0.00032*I248^2+(-0.0021)*I248)+J$1*((-0.000002)*J248^3+0.00032*J248^2+(-0.0021)*J248)+H$1*((-0.000002)*H248^3+0.00032*H248^2+(-0.0021)*H248))*(MAX(0.05,MIN(1,(2*J248+I248)/120)*MIN(1,I248/10)*MIN(1,J248/10)))</f>
        <v/>
      </c>
      <c r="Z248">
        <f>U248*J$2+V248*O$2+W248*H$2</f>
        <v/>
      </c>
      <c r="AA248">
        <f>IF(AND(J248&gt;50,I248+J248&gt;75),"SP",IF(2*I248+J248&gt;120,"RP","CRAP"))</f>
        <v/>
      </c>
    </row>
    <row r="249" ht="13.5" customHeight="1" s="27" thickBot="1">
      <c r="A249">
        <f>(V249*V$2+W249*W$2+X249*X$2)*100/(V$4*V$2+W$4*W$2+X$4*X$2)</f>
        <v/>
      </c>
      <c r="B249" s="18" t="n"/>
      <c r="C249" s="11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>
        <f>K$1*(0.000001*K249^3)+L$1*((-0.000002)*L249^3+0.00032*L249^2+(-0.0021)*L249)+M$1*((-0.000002)*M249^3+0.00032*M249^2+(-0.0021)*M249)+N$1*((-0.000002)*N249^3+0.00032*N249^2+(-0.0021)*N249)+O$1*((-0.000002)*O249^3+0.00032*O249^2+(-0.0021)*O249)</f>
        <v/>
      </c>
      <c r="W249">
        <f>P$1*((-0.000002)*P249^3+0.00032*P249^2+(-0.0021)*P249)+Q$1*((-0.000002)*Q249^3+0.00032*Q249^2+(-0.0021)*Q249)+R$1*((-0.000002)*R249^3+0.00032*R249^2+(-0.0021)*R249)+S$1*((-0.000002)*S249^3+0.00032*S249^2+(-0.0021)*S249)+T$1*((-0.000002)*T249^3+0.00032*T249^2+(-0.0021)*T249)</f>
        <v/>
      </c>
      <c r="X249">
        <f>(I$1*((-0.000002)*I249^3+0.00032*I249^2+(-0.0021)*I249)+J$1*((-0.000002)*J249^3+0.00032*J249^2+(-0.0021)*J249)+H$1*((-0.000002)*H249^3+0.00032*H249^2+(-0.0021)*H249))*(MAX(0.05,MIN(1,(2*J249+I249)/120)*MIN(1,I249/10)*MIN(1,J249/10)))</f>
        <v/>
      </c>
      <c r="Y249">
        <f>(I$1*((-0.000002)*I249^3+0.00032*I249^2+(-0.0021)*I249)+J$1*((-0.000002)*J249^3+0.00032*J249^2+(-0.0021)*J249)+H$1*((-0.000002)*H249^3+0.00032*H249^2+(-0.0021)*H249))*(MAX(0.05,MIN(1,(2*J249+I249)/120)*MIN(1,I249/10)*MIN(1,J249/10)))</f>
        <v/>
      </c>
      <c r="Z249">
        <f>U249*J$2+V249*O$2+W249*H$2</f>
        <v/>
      </c>
      <c r="AA249">
        <f>IF(AND(J249&gt;50,I249+J249&gt;75),"SP",IF(2*I249+J249&gt;120,"RP","CRAP"))</f>
        <v/>
      </c>
    </row>
    <row r="250" ht="13.5" customHeight="1" s="27" thickBot="1">
      <c r="A250">
        <f>(V250*V$2+W250*W$2+X250*X$2)*100/(V$4*V$2+W$4*W$2+X$4*X$2)</f>
        <v/>
      </c>
      <c r="B250" s="16" t="n"/>
      <c r="C250" s="10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>
        <f>K$1*(0.000001*K250^3)+L$1*((-0.000002)*L250^3+0.00032*L250^2+(-0.0021)*L250)+M$1*((-0.000002)*M250^3+0.00032*M250^2+(-0.0021)*M250)+N$1*((-0.000002)*N250^3+0.00032*N250^2+(-0.0021)*N250)+O$1*((-0.000002)*O250^3+0.00032*O250^2+(-0.0021)*O250)</f>
        <v/>
      </c>
      <c r="W250">
        <f>P$1*((-0.000002)*P250^3+0.00032*P250^2+(-0.0021)*P250)+Q$1*((-0.000002)*Q250^3+0.00032*Q250^2+(-0.0021)*Q250)+R$1*((-0.000002)*R250^3+0.00032*R250^2+(-0.0021)*R250)+S$1*((-0.000002)*S250^3+0.00032*S250^2+(-0.0021)*S250)+T$1*((-0.000002)*T250^3+0.00032*T250^2+(-0.0021)*T250)</f>
        <v/>
      </c>
      <c r="X250">
        <f>(I$1*((-0.000002)*I250^3+0.00032*I250^2+(-0.0021)*I250)+J$1*((-0.000002)*J250^3+0.00032*J250^2+(-0.0021)*J250)+H$1*((-0.000002)*H250^3+0.00032*H250^2+(-0.0021)*H250))*(MAX(0.05,MIN(1,(2*J250+I250)/120)*MIN(1,I250/10)*MIN(1,J250/10)))</f>
        <v/>
      </c>
      <c r="Y250">
        <f>(I$1*((-0.000002)*I250^3+0.00032*I250^2+(-0.0021)*I250)+J$1*((-0.000002)*J250^3+0.00032*J250^2+(-0.0021)*J250)+H$1*((-0.000002)*H250^3+0.00032*H250^2+(-0.0021)*H250))*(MAX(0.05,MIN(1,(2*J250+I250)/120)*MIN(1,I250/10)*MIN(1,J250/10)))</f>
        <v/>
      </c>
      <c r="Z250">
        <f>U250*J$2+V250*O$2+W250*H$2</f>
        <v/>
      </c>
      <c r="AA250">
        <f>IF(AND(J250&gt;50,I250+J250&gt;75),"SP",IF(2*I250+J250&gt;120,"RP","CRAP"))</f>
        <v/>
      </c>
    </row>
    <row r="251" ht="13.5" customHeight="1" s="27" thickBot="1">
      <c r="A251">
        <f>(V251*V$2+W251*W$2+X251*X$2)*100/(V$4*V$2+W$4*W$2+X$4*X$2)</f>
        <v/>
      </c>
      <c r="B251" s="18" t="n"/>
      <c r="C251" s="11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>
        <f>K$1*(0.000001*K251^3)+L$1*((-0.000002)*L251^3+0.00032*L251^2+(-0.0021)*L251)+M$1*((-0.000002)*M251^3+0.00032*M251^2+(-0.0021)*M251)+N$1*((-0.000002)*N251^3+0.00032*N251^2+(-0.0021)*N251)+O$1*((-0.000002)*O251^3+0.00032*O251^2+(-0.0021)*O251)</f>
        <v/>
      </c>
      <c r="W251">
        <f>P$1*((-0.000002)*P251^3+0.00032*P251^2+(-0.0021)*P251)+Q$1*((-0.000002)*Q251^3+0.00032*Q251^2+(-0.0021)*Q251)+R$1*((-0.000002)*R251^3+0.00032*R251^2+(-0.0021)*R251)+S$1*((-0.000002)*S251^3+0.00032*S251^2+(-0.0021)*S251)+T$1*((-0.000002)*T251^3+0.00032*T251^2+(-0.0021)*T251)</f>
        <v/>
      </c>
      <c r="X251">
        <f>(I$1*((-0.000002)*I251^3+0.00032*I251^2+(-0.0021)*I251)+J$1*((-0.000002)*J251^3+0.00032*J251^2+(-0.0021)*J251)+H$1*((-0.000002)*H251^3+0.00032*H251^2+(-0.0021)*H251))*(MAX(0.05,MIN(1,(2*J251+I251)/120)*MIN(1,I251/10)*MIN(1,J251/10)))</f>
        <v/>
      </c>
      <c r="Y251">
        <f>(I$1*((-0.000002)*I251^3+0.00032*I251^2+(-0.0021)*I251)+J$1*((-0.000002)*J251^3+0.00032*J251^2+(-0.0021)*J251)+H$1*((-0.000002)*H251^3+0.00032*H251^2+(-0.0021)*H251))*(MAX(0.05,MIN(1,(2*J251+I251)/120)*MIN(1,I251/10)*MIN(1,J251/10)))</f>
        <v/>
      </c>
      <c r="Z251">
        <f>U251*J$2+V251*O$2+W251*H$2</f>
        <v/>
      </c>
      <c r="AA251">
        <f>IF(AND(J251&gt;50,I251+J251&gt;75),"SP",IF(2*I251+J251&gt;120,"RP","CRAP"))</f>
        <v/>
      </c>
    </row>
    <row r="252" ht="13.5" customHeight="1" s="27" thickBot="1">
      <c r="A252">
        <f>(V252*V$2+W252*W$2+X252*X$2)*100/(V$4*V$2+W$4*W$2+X$4*X$2)</f>
        <v/>
      </c>
      <c r="B252" s="16" t="n"/>
      <c r="C252" s="10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>
        <f>K$1*(0.000001*K252^3)+L$1*((-0.000002)*L252^3+0.00032*L252^2+(-0.0021)*L252)+M$1*((-0.000002)*M252^3+0.00032*M252^2+(-0.0021)*M252)+N$1*((-0.000002)*N252^3+0.00032*N252^2+(-0.0021)*N252)+O$1*((-0.000002)*O252^3+0.00032*O252^2+(-0.0021)*O252)</f>
        <v/>
      </c>
      <c r="W252">
        <f>P$1*((-0.000002)*P252^3+0.00032*P252^2+(-0.0021)*P252)+Q$1*((-0.000002)*Q252^3+0.00032*Q252^2+(-0.0021)*Q252)+R$1*((-0.000002)*R252^3+0.00032*R252^2+(-0.0021)*R252)+S$1*((-0.000002)*S252^3+0.00032*S252^2+(-0.0021)*S252)+T$1*((-0.000002)*T252^3+0.00032*T252^2+(-0.0021)*T252)</f>
        <v/>
      </c>
      <c r="X252">
        <f>(I$1*((-0.000002)*I252^3+0.00032*I252^2+(-0.0021)*I252)+J$1*((-0.000002)*J252^3+0.00032*J252^2+(-0.0021)*J252)+H$1*((-0.000002)*H252^3+0.00032*H252^2+(-0.0021)*H252))*(MAX(0.05,MIN(1,(2*J252+I252)/120)*MIN(1,I252/10)*MIN(1,J252/10)))</f>
        <v/>
      </c>
      <c r="Y252">
        <f>(I$1*((-0.000002)*I252^3+0.00032*I252^2+(-0.0021)*I252)+J$1*((-0.000002)*J252^3+0.00032*J252^2+(-0.0021)*J252)+H$1*((-0.000002)*H252^3+0.00032*H252^2+(-0.0021)*H252))*(MAX(0.05,MIN(1,(2*J252+I252)/120)*MIN(1,I252/10)*MIN(1,J252/10)))</f>
        <v/>
      </c>
      <c r="Z252">
        <f>U252*J$2+V252*O$2+W252*H$2</f>
        <v/>
      </c>
      <c r="AA252">
        <f>IF(AND(J252&gt;50,I252+J252&gt;75),"SP",IF(2*I252+J252&gt;120,"RP","CRAP"))</f>
        <v/>
      </c>
    </row>
    <row r="253" ht="13.5" customHeight="1" s="27" thickBot="1">
      <c r="A253">
        <f>(V253*V$2+W253*W$2+X253*X$2)*100/(V$4*V$2+W$4*W$2+X$4*X$2)</f>
        <v/>
      </c>
      <c r="B253" s="18" t="n"/>
      <c r="C253" s="11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>
        <f>K$1*(0.000001*K253^3)+L$1*((-0.000002)*L253^3+0.00032*L253^2+(-0.0021)*L253)+M$1*((-0.000002)*M253^3+0.00032*M253^2+(-0.0021)*M253)+N$1*((-0.000002)*N253^3+0.00032*N253^2+(-0.0021)*N253)+O$1*((-0.000002)*O253^3+0.00032*O253^2+(-0.0021)*O253)</f>
        <v/>
      </c>
      <c r="W253">
        <f>P$1*((-0.000002)*P253^3+0.00032*P253^2+(-0.0021)*P253)+Q$1*((-0.000002)*Q253^3+0.00032*Q253^2+(-0.0021)*Q253)+R$1*((-0.000002)*R253^3+0.00032*R253^2+(-0.0021)*R253)+S$1*((-0.000002)*S253^3+0.00032*S253^2+(-0.0021)*S253)+T$1*((-0.000002)*T253^3+0.00032*T253^2+(-0.0021)*T253)</f>
        <v/>
      </c>
      <c r="X253">
        <f>(I$1*((-0.000002)*I253^3+0.00032*I253^2+(-0.0021)*I253)+J$1*((-0.000002)*J253^3+0.00032*J253^2+(-0.0021)*J253)+H$1*((-0.000002)*H253^3+0.00032*H253^2+(-0.0021)*H253))*(MAX(0.05,MIN(1,(2*J253+I253)/120)*MIN(1,I253/10)*MIN(1,J253/10)))</f>
        <v/>
      </c>
      <c r="Y253">
        <f>(I$1*((-0.000002)*I253^3+0.00032*I253^2+(-0.0021)*I253)+J$1*((-0.000002)*J253^3+0.00032*J253^2+(-0.0021)*J253)+H$1*((-0.000002)*H253^3+0.00032*H253^2+(-0.0021)*H253))*(MAX(0.05,MIN(1,(2*J253+I253)/120)*MIN(1,I253/10)*MIN(1,J253/10)))</f>
        <v/>
      </c>
      <c r="Z253">
        <f>U253*J$2+V253*O$2+W253*H$2</f>
        <v/>
      </c>
      <c r="AA253">
        <f>IF(AND(J253&gt;50,I253+J253&gt;75),"SP",IF(2*I253+J253&gt;120,"RP","CRAP"))</f>
        <v/>
      </c>
    </row>
    <row r="254" ht="13.5" customHeight="1" s="27" thickBot="1">
      <c r="A254">
        <f>(V254*V$2+W254*W$2+X254*X$2)*100/(V$4*V$2+W$4*W$2+X$4*X$2)</f>
        <v/>
      </c>
      <c r="B254" s="16" t="n"/>
      <c r="C254" s="10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>
        <f>K$1*(0.000001*K254^3)+L$1*((-0.000002)*L254^3+0.00032*L254^2+(-0.0021)*L254)+M$1*((-0.000002)*M254^3+0.00032*M254^2+(-0.0021)*M254)+N$1*((-0.000002)*N254^3+0.00032*N254^2+(-0.0021)*N254)+O$1*((-0.000002)*O254^3+0.00032*O254^2+(-0.0021)*O254)</f>
        <v/>
      </c>
      <c r="W254">
        <f>P$1*((-0.000002)*P254^3+0.00032*P254^2+(-0.0021)*P254)+Q$1*((-0.000002)*Q254^3+0.00032*Q254^2+(-0.0021)*Q254)+R$1*((-0.000002)*R254^3+0.00032*R254^2+(-0.0021)*R254)+S$1*((-0.000002)*S254^3+0.00032*S254^2+(-0.0021)*S254)+T$1*((-0.000002)*T254^3+0.00032*T254^2+(-0.0021)*T254)</f>
        <v/>
      </c>
      <c r="X254">
        <f>(I$1*((-0.000002)*I254^3+0.00032*I254^2+(-0.0021)*I254)+J$1*((-0.000002)*J254^3+0.00032*J254^2+(-0.0021)*J254)+H$1*((-0.000002)*H254^3+0.00032*H254^2+(-0.0021)*H254))*(MAX(0.05,MIN(1,(2*J254+I254)/120)*MIN(1,I254/10)*MIN(1,J254/10)))</f>
        <v/>
      </c>
      <c r="Y254">
        <f>(I$1*((-0.000002)*I254^3+0.00032*I254^2+(-0.0021)*I254)+J$1*((-0.000002)*J254^3+0.00032*J254^2+(-0.0021)*J254)+H$1*((-0.000002)*H254^3+0.00032*H254^2+(-0.0021)*H254))*(MAX(0.05,MIN(1,(2*J254+I254)/120)*MIN(1,I254/10)*MIN(1,J254/10)))</f>
        <v/>
      </c>
      <c r="Z254">
        <f>U254*J$2+V254*O$2+W254*H$2</f>
        <v/>
      </c>
      <c r="AA254">
        <f>IF(AND(J254&gt;50,I254+J254&gt;75),"SP",IF(2*I254+J254&gt;120,"RP","CRAP"))</f>
        <v/>
      </c>
    </row>
    <row r="255" ht="13.5" customHeight="1" s="27" thickBot="1">
      <c r="A255">
        <f>(V255*V$2+W255*W$2+X255*X$2)*100/(V$4*V$2+W$4*W$2+X$4*X$2)</f>
        <v/>
      </c>
      <c r="B255" s="18" t="n"/>
      <c r="C255" s="11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>
        <f>K$1*(0.000001*K255^3)+L$1*((-0.000002)*L255^3+0.00032*L255^2+(-0.0021)*L255)+M$1*((-0.000002)*M255^3+0.00032*M255^2+(-0.0021)*M255)+N$1*((-0.000002)*N255^3+0.00032*N255^2+(-0.0021)*N255)+O$1*((-0.000002)*O255^3+0.00032*O255^2+(-0.0021)*O255)</f>
        <v/>
      </c>
      <c r="W255">
        <f>P$1*((-0.000002)*P255^3+0.00032*P255^2+(-0.0021)*P255)+Q$1*((-0.000002)*Q255^3+0.00032*Q255^2+(-0.0021)*Q255)+R$1*((-0.000002)*R255^3+0.00032*R255^2+(-0.0021)*R255)+S$1*((-0.000002)*S255^3+0.00032*S255^2+(-0.0021)*S255)+T$1*((-0.000002)*T255^3+0.00032*T255^2+(-0.0021)*T255)</f>
        <v/>
      </c>
      <c r="X255">
        <f>(I$1*((-0.000002)*I255^3+0.00032*I255^2+(-0.0021)*I255)+J$1*((-0.000002)*J255^3+0.00032*J255^2+(-0.0021)*J255)+H$1*((-0.000002)*H255^3+0.00032*H255^2+(-0.0021)*H255))*(MAX(0.05,MIN(1,(2*J255+I255)/120)*MIN(1,I255/10)*MIN(1,J255/10)))</f>
        <v/>
      </c>
      <c r="Y255">
        <f>(I$1*((-0.000002)*I255^3+0.00032*I255^2+(-0.0021)*I255)+J$1*((-0.000002)*J255^3+0.00032*J255^2+(-0.0021)*J255)+H$1*((-0.000002)*H255^3+0.00032*H255^2+(-0.0021)*H255))*(MAX(0.05,MIN(1,(2*J255+I255)/120)*MIN(1,I255/10)*MIN(1,J255/10)))</f>
        <v/>
      </c>
      <c r="Z255">
        <f>U255*J$2+V255*O$2+W255*H$2</f>
        <v/>
      </c>
      <c r="AA255">
        <f>IF(AND(J255&gt;50,I255+J255&gt;75),"SP",IF(2*I255+J255&gt;120,"RP","CRAP"))</f>
        <v/>
      </c>
    </row>
    <row r="256" ht="13.5" customHeight="1" s="27" thickBot="1">
      <c r="A256">
        <f>(V256*V$2+W256*W$2+X256*X$2)*100/(V$4*V$2+W$4*W$2+X$4*X$2)</f>
        <v/>
      </c>
      <c r="B256" s="16" t="n"/>
      <c r="C256" s="10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>
        <f>K$1*(0.000001*K256^3)+L$1*((-0.000002)*L256^3+0.00032*L256^2+(-0.0021)*L256)+M$1*((-0.000002)*M256^3+0.00032*M256^2+(-0.0021)*M256)+N$1*((-0.000002)*N256^3+0.00032*N256^2+(-0.0021)*N256)+O$1*((-0.000002)*O256^3+0.00032*O256^2+(-0.0021)*O256)</f>
        <v/>
      </c>
      <c r="W256">
        <f>P$1*((-0.000002)*P256^3+0.00032*P256^2+(-0.0021)*P256)+Q$1*((-0.000002)*Q256^3+0.00032*Q256^2+(-0.0021)*Q256)+R$1*((-0.000002)*R256^3+0.00032*R256^2+(-0.0021)*R256)+S$1*((-0.000002)*S256^3+0.00032*S256^2+(-0.0021)*S256)+T$1*((-0.000002)*T256^3+0.00032*T256^2+(-0.0021)*T256)</f>
        <v/>
      </c>
      <c r="X256">
        <f>(I$1*((-0.000002)*I256^3+0.00032*I256^2+(-0.0021)*I256)+J$1*((-0.000002)*J256^3+0.00032*J256^2+(-0.0021)*J256)+H$1*((-0.000002)*H256^3+0.00032*H256^2+(-0.0021)*H256))*(MAX(0.05,MIN(1,(2*J256+I256)/120)*MIN(1,I256/10)*MIN(1,J256/10)))</f>
        <v/>
      </c>
      <c r="Y256">
        <f>(I$1*((-0.000002)*I256^3+0.00032*I256^2+(-0.0021)*I256)+J$1*((-0.000002)*J256^3+0.00032*J256^2+(-0.0021)*J256)+H$1*((-0.000002)*H256^3+0.00032*H256^2+(-0.0021)*H256))*(MAX(0.05,MIN(1,(2*J256+I256)/120)*MIN(1,I256/10)*MIN(1,J256/10)))</f>
        <v/>
      </c>
      <c r="Z256">
        <f>U256*J$2+V256*O$2+W256*H$2</f>
        <v/>
      </c>
      <c r="AA256">
        <f>IF(AND(J256&gt;50,I256+J256&gt;75),"SP",IF(2*I256+J256&gt;120,"RP","CRAP"))</f>
        <v/>
      </c>
    </row>
    <row r="257" ht="13.5" customHeight="1" s="27" thickBot="1">
      <c r="A257">
        <f>(V257*V$2+W257*W$2+X257*X$2)*100/(V$4*V$2+W$4*W$2+X$4*X$2)</f>
        <v/>
      </c>
      <c r="B257" s="18" t="n"/>
      <c r="C257" s="11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>
        <f>K$1*(0.000001*K257^3)+L$1*((-0.000002)*L257^3+0.00032*L257^2+(-0.0021)*L257)+M$1*((-0.000002)*M257^3+0.00032*M257^2+(-0.0021)*M257)+N$1*((-0.000002)*N257^3+0.00032*N257^2+(-0.0021)*N257)+O$1*((-0.000002)*O257^3+0.00032*O257^2+(-0.0021)*O257)</f>
        <v/>
      </c>
      <c r="W257">
        <f>P$1*((-0.000002)*P257^3+0.00032*P257^2+(-0.0021)*P257)+Q$1*((-0.000002)*Q257^3+0.00032*Q257^2+(-0.0021)*Q257)+R$1*((-0.000002)*R257^3+0.00032*R257^2+(-0.0021)*R257)+S$1*((-0.000002)*S257^3+0.00032*S257^2+(-0.0021)*S257)+T$1*((-0.000002)*T257^3+0.00032*T257^2+(-0.0021)*T257)</f>
        <v/>
      </c>
      <c r="X257">
        <f>(I$1*((-0.000002)*I257^3+0.00032*I257^2+(-0.0021)*I257)+J$1*((-0.000002)*J257^3+0.00032*J257^2+(-0.0021)*J257)+H$1*((-0.000002)*H257^3+0.00032*H257^2+(-0.0021)*H257))*(MAX(0.05,MIN(1,(2*J257+I257)/120)*MIN(1,I257/10)*MIN(1,J257/10)))</f>
        <v/>
      </c>
      <c r="Y257">
        <f>(I$1*((-0.000002)*I257^3+0.00032*I257^2+(-0.0021)*I257)+J$1*((-0.000002)*J257^3+0.00032*J257^2+(-0.0021)*J257)+H$1*((-0.000002)*H257^3+0.00032*H257^2+(-0.0021)*H257))*(MAX(0.05,MIN(1,(2*J257+I257)/120)*MIN(1,I257/10)*MIN(1,J257/10)))</f>
        <v/>
      </c>
      <c r="Z257">
        <f>U257*J$2+V257*O$2+W257*H$2</f>
        <v/>
      </c>
      <c r="AA257">
        <f>IF(AND(J257&gt;50,I257+J257&gt;75),"SP",IF(2*I257+J257&gt;120,"RP","CRAP"))</f>
        <v/>
      </c>
    </row>
    <row r="258" ht="13.5" customHeight="1" s="27" thickBot="1">
      <c r="A258">
        <f>(V258*V$2+W258*W$2+X258*X$2)*100/(V$4*V$2+W$4*W$2+X$4*X$2)</f>
        <v/>
      </c>
      <c r="B258" s="16" t="n"/>
      <c r="C258" s="10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>
        <f>K$1*(0.000001*K258^3)+L$1*((-0.000002)*L258^3+0.00032*L258^2+(-0.0021)*L258)+M$1*((-0.000002)*M258^3+0.00032*M258^2+(-0.0021)*M258)+N$1*((-0.000002)*N258^3+0.00032*N258^2+(-0.0021)*N258)+O$1*((-0.000002)*O258^3+0.00032*O258^2+(-0.0021)*O258)</f>
        <v/>
      </c>
      <c r="W258">
        <f>P$1*((-0.000002)*P258^3+0.00032*P258^2+(-0.0021)*P258)+Q$1*((-0.000002)*Q258^3+0.00032*Q258^2+(-0.0021)*Q258)+R$1*((-0.000002)*R258^3+0.00032*R258^2+(-0.0021)*R258)+S$1*((-0.000002)*S258^3+0.00032*S258^2+(-0.0021)*S258)+T$1*((-0.000002)*T258^3+0.00032*T258^2+(-0.0021)*T258)</f>
        <v/>
      </c>
      <c r="X258">
        <f>(I$1*((-0.000002)*I258^3+0.00032*I258^2+(-0.0021)*I258)+J$1*((-0.000002)*J258^3+0.00032*J258^2+(-0.0021)*J258)+H$1*((-0.000002)*H258^3+0.00032*H258^2+(-0.0021)*H258))*(MAX(0.05,MIN(1,(2*J258+I258)/120)*MIN(1,I258/10)*MIN(1,J258/10)))</f>
        <v/>
      </c>
      <c r="Y258">
        <f>(I$1*((-0.000002)*I258^3+0.00032*I258^2+(-0.0021)*I258)+J$1*((-0.000002)*J258^3+0.00032*J258^2+(-0.0021)*J258)+H$1*((-0.000002)*H258^3+0.00032*H258^2+(-0.0021)*H258))*(MAX(0.05,MIN(1,(2*J258+I258)/120)*MIN(1,I258/10)*MIN(1,J258/10)))</f>
        <v/>
      </c>
      <c r="Z258">
        <f>U258*J$2+V258*O$2+W258*H$2</f>
        <v/>
      </c>
      <c r="AA258">
        <f>IF(AND(J258&gt;50,I258+J258&gt;75),"SP",IF(2*I258+J258&gt;120,"RP","CRAP"))</f>
        <v/>
      </c>
    </row>
    <row r="259" ht="13.5" customHeight="1" s="27" thickBot="1">
      <c r="A259">
        <f>(V259*V$2+W259*W$2+X259*X$2)*100/(V$4*V$2+W$4*W$2+X$4*X$2)</f>
        <v/>
      </c>
      <c r="B259" s="18" t="n"/>
      <c r="C259" s="11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>
        <f>K$1*(0.000001*K259^3)+L$1*((-0.000002)*L259^3+0.00032*L259^2+(-0.0021)*L259)+M$1*((-0.000002)*M259^3+0.00032*M259^2+(-0.0021)*M259)+N$1*((-0.000002)*N259^3+0.00032*N259^2+(-0.0021)*N259)+O$1*((-0.000002)*O259^3+0.00032*O259^2+(-0.0021)*O259)</f>
        <v/>
      </c>
      <c r="W259">
        <f>P$1*((-0.000002)*P259^3+0.00032*P259^2+(-0.0021)*P259)+Q$1*((-0.000002)*Q259^3+0.00032*Q259^2+(-0.0021)*Q259)+R$1*((-0.000002)*R259^3+0.00032*R259^2+(-0.0021)*R259)+S$1*((-0.000002)*S259^3+0.00032*S259^2+(-0.0021)*S259)+T$1*((-0.000002)*T259^3+0.00032*T259^2+(-0.0021)*T259)</f>
        <v/>
      </c>
      <c r="X259">
        <f>(I$1*((-0.000002)*I259^3+0.00032*I259^2+(-0.0021)*I259)+J$1*((-0.000002)*J259^3+0.00032*J259^2+(-0.0021)*J259)+H$1*((-0.000002)*H259^3+0.00032*H259^2+(-0.0021)*H259))*(MAX(0.05,MIN(1,(2*J259+I259)/120)*MIN(1,I259/10)*MIN(1,J259/10)))</f>
        <v/>
      </c>
      <c r="Y259">
        <f>(I$1*((-0.000002)*I259^3+0.00032*I259^2+(-0.0021)*I259)+J$1*((-0.000002)*J259^3+0.00032*J259^2+(-0.0021)*J259)+H$1*((-0.000002)*H259^3+0.00032*H259^2+(-0.0021)*H259))*(MAX(0.05,MIN(1,(2*J259+I259)/120)*MIN(1,I259/10)*MIN(1,J259/10)))</f>
        <v/>
      </c>
      <c r="Z259">
        <f>U259*J$2+V259*O$2+W259*H$2</f>
        <v/>
      </c>
      <c r="AA259">
        <f>IF(AND(J259&gt;50,I259+J259&gt;75),"SP",IF(2*I259+J259&gt;120,"RP","CRAP"))</f>
        <v/>
      </c>
    </row>
    <row r="260" ht="13.5" customHeight="1" s="27" thickBot="1">
      <c r="A260">
        <f>(V260*V$2+W260*W$2+X260*X$2)*100/(V$4*V$2+W$4*W$2+X$4*X$2)</f>
        <v/>
      </c>
      <c r="B260" s="16" t="n"/>
      <c r="C260" s="10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>
        <f>K$1*(0.000001*K260^3)+L$1*((-0.000002)*L260^3+0.00032*L260^2+(-0.0021)*L260)+M$1*((-0.000002)*M260^3+0.00032*M260^2+(-0.0021)*M260)+N$1*((-0.000002)*N260^3+0.00032*N260^2+(-0.0021)*N260)+O$1*((-0.000002)*O260^3+0.00032*O260^2+(-0.0021)*O260)</f>
        <v/>
      </c>
      <c r="W260">
        <f>P$1*((-0.000002)*P260^3+0.00032*P260^2+(-0.0021)*P260)+Q$1*((-0.000002)*Q260^3+0.00032*Q260^2+(-0.0021)*Q260)+R$1*((-0.000002)*R260^3+0.00032*R260^2+(-0.0021)*R260)+S$1*((-0.000002)*S260^3+0.00032*S260^2+(-0.0021)*S260)+T$1*((-0.000002)*T260^3+0.00032*T260^2+(-0.0021)*T260)</f>
        <v/>
      </c>
      <c r="X260">
        <f>(I$1*((-0.000002)*I260^3+0.00032*I260^2+(-0.0021)*I260)+J$1*((-0.000002)*J260^3+0.00032*J260^2+(-0.0021)*J260)+H$1*((-0.000002)*H260^3+0.00032*H260^2+(-0.0021)*H260))*(MAX(0.05,MIN(1,(2*J260+I260)/120)*MIN(1,I260/10)*MIN(1,J260/10)))</f>
        <v/>
      </c>
      <c r="Y260">
        <f>(I$1*((-0.000002)*I260^3+0.00032*I260^2+(-0.0021)*I260)+J$1*((-0.000002)*J260^3+0.00032*J260^2+(-0.0021)*J260)+H$1*((-0.000002)*H260^3+0.00032*H260^2+(-0.0021)*H260))*(MAX(0.05,MIN(1,(2*J260+I260)/120)*MIN(1,I260/10)*MIN(1,J260/10)))</f>
        <v/>
      </c>
      <c r="Z260">
        <f>U260*J$2+V260*O$2+W260*H$2</f>
        <v/>
      </c>
      <c r="AA260">
        <f>IF(AND(J260&gt;50,I260+J260&gt;75),"SP",IF(2*I260+J260&gt;120,"RP","CRAP"))</f>
        <v/>
      </c>
    </row>
    <row r="261" ht="13.5" customHeight="1" s="27" thickBot="1">
      <c r="A261">
        <f>(V261*V$2+W261*W$2+X261*X$2)*100/(V$4*V$2+W$4*W$2+X$4*X$2)</f>
        <v/>
      </c>
      <c r="B261" s="18" t="n"/>
      <c r="C261" s="11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>
        <f>K$1*(0.000001*K261^3)+L$1*((-0.000002)*L261^3+0.00032*L261^2+(-0.0021)*L261)+M$1*((-0.000002)*M261^3+0.00032*M261^2+(-0.0021)*M261)+N$1*((-0.000002)*N261^3+0.00032*N261^2+(-0.0021)*N261)+O$1*((-0.000002)*O261^3+0.00032*O261^2+(-0.0021)*O261)</f>
        <v/>
      </c>
      <c r="W261">
        <f>P$1*((-0.000002)*P261^3+0.00032*P261^2+(-0.0021)*P261)+Q$1*((-0.000002)*Q261^3+0.00032*Q261^2+(-0.0021)*Q261)+R$1*((-0.000002)*R261^3+0.00032*R261^2+(-0.0021)*R261)+S$1*((-0.000002)*S261^3+0.00032*S261^2+(-0.0021)*S261)+T$1*((-0.000002)*T261^3+0.00032*T261^2+(-0.0021)*T261)</f>
        <v/>
      </c>
      <c r="X261">
        <f>(I$1*((-0.000002)*I261^3+0.00032*I261^2+(-0.0021)*I261)+J$1*((-0.000002)*J261^3+0.00032*J261^2+(-0.0021)*J261)+H$1*((-0.000002)*H261^3+0.00032*H261^2+(-0.0021)*H261))*(MAX(0.05,MIN(1,(2*J261+I261)/120)*MIN(1,I261/10)*MIN(1,J261/10)))</f>
        <v/>
      </c>
      <c r="Y261">
        <f>(I$1*((-0.000002)*I261^3+0.00032*I261^2+(-0.0021)*I261)+J$1*((-0.000002)*J261^3+0.00032*J261^2+(-0.0021)*J261)+H$1*((-0.000002)*H261^3+0.00032*H261^2+(-0.0021)*H261))*(MAX(0.05,MIN(1,(2*J261+I261)/120)*MIN(1,I261/10)*MIN(1,J261/10)))</f>
        <v/>
      </c>
      <c r="Z261">
        <f>U261*J$2+V261*O$2+W261*H$2</f>
        <v/>
      </c>
      <c r="AA261">
        <f>IF(AND(J261&gt;50,I261+J261&gt;75),"SP",IF(2*I261+J261&gt;120,"RP","CRAP"))</f>
        <v/>
      </c>
    </row>
    <row r="262" ht="13.5" customHeight="1" s="27" thickBot="1">
      <c r="A262">
        <f>(V262*V$2+W262*W$2+X262*X$2)*100/(V$4*V$2+W$4*W$2+X$4*X$2)</f>
        <v/>
      </c>
      <c r="B262" s="16" t="n"/>
      <c r="C262" s="10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>
        <f>K$1*(0.000001*K262^3)+L$1*((-0.000002)*L262^3+0.00032*L262^2+(-0.0021)*L262)+M$1*((-0.000002)*M262^3+0.00032*M262^2+(-0.0021)*M262)+N$1*((-0.000002)*N262^3+0.00032*N262^2+(-0.0021)*N262)+O$1*((-0.000002)*O262^3+0.00032*O262^2+(-0.0021)*O262)</f>
        <v/>
      </c>
      <c r="W262">
        <f>P$1*((-0.000002)*P262^3+0.00032*P262^2+(-0.0021)*P262)+Q$1*((-0.000002)*Q262^3+0.00032*Q262^2+(-0.0021)*Q262)+R$1*((-0.000002)*R262^3+0.00032*R262^2+(-0.0021)*R262)+S$1*((-0.000002)*S262^3+0.00032*S262^2+(-0.0021)*S262)+T$1*((-0.000002)*T262^3+0.00032*T262^2+(-0.0021)*T262)</f>
        <v/>
      </c>
      <c r="X262">
        <f>(I$1*((-0.000002)*I262^3+0.00032*I262^2+(-0.0021)*I262)+J$1*((-0.000002)*J262^3+0.00032*J262^2+(-0.0021)*J262)+H$1*((-0.000002)*H262^3+0.00032*H262^2+(-0.0021)*H262))*(MAX(0.05,MIN(1,(2*J262+I262)/120)*MIN(1,I262/10)*MIN(1,J262/10)))</f>
        <v/>
      </c>
      <c r="Y262">
        <f>(I$1*((-0.000002)*I262^3+0.00032*I262^2+(-0.0021)*I262)+J$1*((-0.000002)*J262^3+0.00032*J262^2+(-0.0021)*J262)+H$1*((-0.000002)*H262^3+0.00032*H262^2+(-0.0021)*H262))*(MAX(0.05,MIN(1,(2*J262+I262)/120)*MIN(1,I262/10)*MIN(1,J262/10)))</f>
        <v/>
      </c>
      <c r="Z262">
        <f>U262*J$2+V262*O$2+W262*H$2</f>
        <v/>
      </c>
      <c r="AA262">
        <f>IF(AND(J262&gt;50,I262+J262&gt;75),"SP",IF(2*I262+J262&gt;120,"RP","CRAP"))</f>
        <v/>
      </c>
    </row>
    <row r="263" ht="13.5" customHeight="1" s="27" thickBot="1">
      <c r="A263">
        <f>(V263*V$2+W263*W$2+X263*X$2)*100/(V$4*V$2+W$4*W$2+X$4*X$2)</f>
        <v/>
      </c>
      <c r="B263" s="18" t="n"/>
      <c r="C263" s="11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>
        <f>K$1*(0.000001*K263^3)+L$1*((-0.000002)*L263^3+0.00032*L263^2+(-0.0021)*L263)+M$1*((-0.000002)*M263^3+0.00032*M263^2+(-0.0021)*M263)+N$1*((-0.000002)*N263^3+0.00032*N263^2+(-0.0021)*N263)+O$1*((-0.000002)*O263^3+0.00032*O263^2+(-0.0021)*O263)</f>
        <v/>
      </c>
      <c r="W263">
        <f>P$1*((-0.000002)*P263^3+0.00032*P263^2+(-0.0021)*P263)+Q$1*((-0.000002)*Q263^3+0.00032*Q263^2+(-0.0021)*Q263)+R$1*((-0.000002)*R263^3+0.00032*R263^2+(-0.0021)*R263)+S$1*((-0.000002)*S263^3+0.00032*S263^2+(-0.0021)*S263)+T$1*((-0.000002)*T263^3+0.00032*T263^2+(-0.0021)*T263)</f>
        <v/>
      </c>
      <c r="X263">
        <f>(I$1*((-0.000002)*I263^3+0.00032*I263^2+(-0.0021)*I263)+J$1*((-0.000002)*J263^3+0.00032*J263^2+(-0.0021)*J263)+H$1*((-0.000002)*H263^3+0.00032*H263^2+(-0.0021)*H263))*(MAX(0.05,MIN(1,(2*J263+I263)/120)*MIN(1,I263/10)*MIN(1,J263/10)))</f>
        <v/>
      </c>
      <c r="Y263">
        <f>(I$1*((-0.000002)*I263^3+0.00032*I263^2+(-0.0021)*I263)+J$1*((-0.000002)*J263^3+0.00032*J263^2+(-0.0021)*J263)+H$1*((-0.000002)*H263^3+0.00032*H263^2+(-0.0021)*H263))*(MAX(0.05,MIN(1,(2*J263+I263)/120)*MIN(1,I263/10)*MIN(1,J263/10)))</f>
        <v/>
      </c>
      <c r="Z263">
        <f>U263*J$2+V263*O$2+W263*H$2</f>
        <v/>
      </c>
      <c r="AA263">
        <f>IF(AND(J263&gt;50,I263+J263&gt;75),"SP",IF(2*I263+J263&gt;120,"RP","CRAP"))</f>
        <v/>
      </c>
    </row>
    <row r="264" ht="13.5" customHeight="1" s="27" thickBot="1">
      <c r="A264">
        <f>(V264*V$2+W264*W$2+X264*X$2)*100/(V$4*V$2+W$4*W$2+X$4*X$2)</f>
        <v/>
      </c>
      <c r="B264" s="16" t="n"/>
      <c r="C264" s="10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>
        <f>K$1*(0.000001*K264^3)+L$1*((-0.000002)*L264^3+0.00032*L264^2+(-0.0021)*L264)+M$1*((-0.000002)*M264^3+0.00032*M264^2+(-0.0021)*M264)+N$1*((-0.000002)*N264^3+0.00032*N264^2+(-0.0021)*N264)+O$1*((-0.000002)*O264^3+0.00032*O264^2+(-0.0021)*O264)</f>
        <v/>
      </c>
      <c r="W264">
        <f>P$1*((-0.000002)*P264^3+0.00032*P264^2+(-0.0021)*P264)+Q$1*((-0.000002)*Q264^3+0.00032*Q264^2+(-0.0021)*Q264)+R$1*((-0.000002)*R264^3+0.00032*R264^2+(-0.0021)*R264)+S$1*((-0.000002)*S264^3+0.00032*S264^2+(-0.0021)*S264)+T$1*((-0.000002)*T264^3+0.00032*T264^2+(-0.0021)*T264)</f>
        <v/>
      </c>
      <c r="X264">
        <f>(I$1*((-0.000002)*I264^3+0.00032*I264^2+(-0.0021)*I264)+J$1*((-0.000002)*J264^3+0.00032*J264^2+(-0.0021)*J264)+H$1*((-0.000002)*H264^3+0.00032*H264^2+(-0.0021)*H264))*(MAX(0.05,MIN(1,(2*J264+I264)/120)*MIN(1,I264/10)*MIN(1,J264/10)))</f>
        <v/>
      </c>
      <c r="Y264">
        <f>(I$1*((-0.000002)*I264^3+0.00032*I264^2+(-0.0021)*I264)+J$1*((-0.000002)*J264^3+0.00032*J264^2+(-0.0021)*J264)+H$1*((-0.000002)*H264^3+0.00032*H264^2+(-0.0021)*H264))*(MAX(0.05,MIN(1,(2*J264+I264)/120)*MIN(1,I264/10)*MIN(1,J264/10)))</f>
        <v/>
      </c>
      <c r="Z264">
        <f>U264*J$2+V264*O$2+W264*H$2</f>
        <v/>
      </c>
      <c r="AA264">
        <f>IF(AND(J264&gt;50,I264+J264&gt;75),"SP",IF(2*I264+J264&gt;120,"RP","CRAP"))</f>
        <v/>
      </c>
    </row>
    <row r="265" ht="13.5" customHeight="1" s="27" thickBot="1">
      <c r="A265">
        <f>(V265*V$2+W265*W$2+X265*X$2)*100/(V$4*V$2+W$4*W$2+X$4*X$2)</f>
        <v/>
      </c>
      <c r="B265" s="18" t="n"/>
      <c r="C265" s="11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>
        <f>K$1*(0.000001*K265^3)+L$1*((-0.000002)*L265^3+0.00032*L265^2+(-0.0021)*L265)+M$1*((-0.000002)*M265^3+0.00032*M265^2+(-0.0021)*M265)+N$1*((-0.000002)*N265^3+0.00032*N265^2+(-0.0021)*N265)+O$1*((-0.000002)*O265^3+0.00032*O265^2+(-0.0021)*O265)</f>
        <v/>
      </c>
      <c r="W265">
        <f>P$1*((-0.000002)*P265^3+0.00032*P265^2+(-0.0021)*P265)+Q$1*((-0.000002)*Q265^3+0.00032*Q265^2+(-0.0021)*Q265)+R$1*((-0.000002)*R265^3+0.00032*R265^2+(-0.0021)*R265)+S$1*((-0.000002)*S265^3+0.00032*S265^2+(-0.0021)*S265)+T$1*((-0.000002)*T265^3+0.00032*T265^2+(-0.0021)*T265)</f>
        <v/>
      </c>
      <c r="X265">
        <f>(I$1*((-0.000002)*I265^3+0.00032*I265^2+(-0.0021)*I265)+J$1*((-0.000002)*J265^3+0.00032*J265^2+(-0.0021)*J265)+H$1*((-0.000002)*H265^3+0.00032*H265^2+(-0.0021)*H265))*(MAX(0.05,MIN(1,(2*J265+I265)/120)*MIN(1,I265/10)*MIN(1,J265/10)))</f>
        <v/>
      </c>
      <c r="Y265">
        <f>(I$1*((-0.000002)*I265^3+0.00032*I265^2+(-0.0021)*I265)+J$1*((-0.000002)*J265^3+0.00032*J265^2+(-0.0021)*J265)+H$1*((-0.000002)*H265^3+0.00032*H265^2+(-0.0021)*H265))*(MAX(0.05,MIN(1,(2*J265+I265)/120)*MIN(1,I265/10)*MIN(1,J265/10)))</f>
        <v/>
      </c>
      <c r="Z265">
        <f>U265*J$2+V265*O$2+W265*H$2</f>
        <v/>
      </c>
      <c r="AA265">
        <f>IF(AND(J265&gt;50,I265+J265&gt;75),"SP",IF(2*I265+J265&gt;120,"RP","CRAP"))</f>
        <v/>
      </c>
    </row>
    <row r="266" ht="13.5" customHeight="1" s="27" thickBot="1">
      <c r="A266">
        <f>(V266*V$2+W266*W$2+X266*X$2)*100/(V$4*V$2+W$4*W$2+X$4*X$2)</f>
        <v/>
      </c>
      <c r="B266" s="16" t="n"/>
      <c r="C266" s="10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>
        <f>K$1*(0.000001*K266^3)+L$1*((-0.000002)*L266^3+0.00032*L266^2+(-0.0021)*L266)+M$1*((-0.000002)*M266^3+0.00032*M266^2+(-0.0021)*M266)+N$1*((-0.000002)*N266^3+0.00032*N266^2+(-0.0021)*N266)+O$1*((-0.000002)*O266^3+0.00032*O266^2+(-0.0021)*O266)</f>
        <v/>
      </c>
      <c r="W266">
        <f>P$1*((-0.000002)*P266^3+0.00032*P266^2+(-0.0021)*P266)+Q$1*((-0.000002)*Q266^3+0.00032*Q266^2+(-0.0021)*Q266)+R$1*((-0.000002)*R266^3+0.00032*R266^2+(-0.0021)*R266)+S$1*((-0.000002)*S266^3+0.00032*S266^2+(-0.0021)*S266)+T$1*((-0.000002)*T266^3+0.00032*T266^2+(-0.0021)*T266)</f>
        <v/>
      </c>
      <c r="X266">
        <f>(I$1*((-0.000002)*I266^3+0.00032*I266^2+(-0.0021)*I266)+J$1*((-0.000002)*J266^3+0.00032*J266^2+(-0.0021)*J266)+H$1*((-0.000002)*H266^3+0.00032*H266^2+(-0.0021)*H266))*(MAX(0.05,MIN(1,(2*J266+I266)/120)*MIN(1,I266/10)*MIN(1,J266/10)))</f>
        <v/>
      </c>
      <c r="Y266">
        <f>(I$1*((-0.000002)*I266^3+0.00032*I266^2+(-0.0021)*I266)+J$1*((-0.000002)*J266^3+0.00032*J266^2+(-0.0021)*J266)+H$1*((-0.000002)*H266^3+0.00032*H266^2+(-0.0021)*H266))*(MAX(0.05,MIN(1,(2*J266+I266)/120)*MIN(1,I266/10)*MIN(1,J266/10)))</f>
        <v/>
      </c>
      <c r="Z266">
        <f>U266*J$2+V266*O$2+W266*H$2</f>
        <v/>
      </c>
      <c r="AA266">
        <f>IF(AND(J266&gt;50,I266+J266&gt;75),"SP",IF(2*I266+J266&gt;120,"RP","CRAP"))</f>
        <v/>
      </c>
    </row>
    <row r="267" ht="13.5" customHeight="1" s="27" thickBot="1">
      <c r="A267">
        <f>(V267*V$2+W267*W$2+X267*X$2)*100/(V$4*V$2+W$4*W$2+X$4*X$2)</f>
        <v/>
      </c>
      <c r="B267" s="18" t="n"/>
      <c r="C267" s="11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>
        <f>K$1*(0.000001*K267^3)+L$1*((-0.000002)*L267^3+0.00032*L267^2+(-0.0021)*L267)+M$1*((-0.000002)*M267^3+0.00032*M267^2+(-0.0021)*M267)+N$1*((-0.000002)*N267^3+0.00032*N267^2+(-0.0021)*N267)+O$1*((-0.000002)*O267^3+0.00032*O267^2+(-0.0021)*O267)</f>
        <v/>
      </c>
      <c r="W267">
        <f>P$1*((-0.000002)*P267^3+0.00032*P267^2+(-0.0021)*P267)+Q$1*((-0.000002)*Q267^3+0.00032*Q267^2+(-0.0021)*Q267)+R$1*((-0.000002)*R267^3+0.00032*R267^2+(-0.0021)*R267)+S$1*((-0.000002)*S267^3+0.00032*S267^2+(-0.0021)*S267)+T$1*((-0.000002)*T267^3+0.00032*T267^2+(-0.0021)*T267)</f>
        <v/>
      </c>
      <c r="X267">
        <f>(I$1*((-0.000002)*I267^3+0.00032*I267^2+(-0.0021)*I267)+J$1*((-0.000002)*J267^3+0.00032*J267^2+(-0.0021)*J267)+H$1*((-0.000002)*H267^3+0.00032*H267^2+(-0.0021)*H267))*(MAX(0.05,MIN(1,(2*J267+I267)/120)*MIN(1,I267/10)*MIN(1,J267/10)))</f>
        <v/>
      </c>
      <c r="Y267">
        <f>(I$1*((-0.000002)*I267^3+0.00032*I267^2+(-0.0021)*I267)+J$1*((-0.000002)*J267^3+0.00032*J267^2+(-0.0021)*J267)+H$1*((-0.000002)*H267^3+0.00032*H267^2+(-0.0021)*H267))*(MAX(0.05,MIN(1,(2*J267+I267)/120)*MIN(1,I267/10)*MIN(1,J267/10)))</f>
        <v/>
      </c>
      <c r="Z267">
        <f>U267*J$2+V267*O$2+W267*H$2</f>
        <v/>
      </c>
      <c r="AA267">
        <f>IF(AND(J267&gt;50,I267+J267&gt;75),"SP",IF(2*I267+J267&gt;120,"RP","CRAP"))</f>
        <v/>
      </c>
    </row>
    <row r="268" ht="13.5" customHeight="1" s="27" thickBot="1">
      <c r="A268">
        <f>(V268*V$2+W268*W$2+X268*X$2)*100/(V$4*V$2+W$4*W$2+X$4*X$2)</f>
        <v/>
      </c>
      <c r="B268" s="16" t="n"/>
      <c r="C268" s="10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>
        <f>K$1*(0.000001*K268^3)+L$1*((-0.000002)*L268^3+0.00032*L268^2+(-0.0021)*L268)+M$1*((-0.000002)*M268^3+0.00032*M268^2+(-0.0021)*M268)+N$1*((-0.000002)*N268^3+0.00032*N268^2+(-0.0021)*N268)+O$1*((-0.000002)*O268^3+0.00032*O268^2+(-0.0021)*O268)</f>
        <v/>
      </c>
      <c r="W268">
        <f>P$1*((-0.000002)*P268^3+0.00032*P268^2+(-0.0021)*P268)+Q$1*((-0.000002)*Q268^3+0.00032*Q268^2+(-0.0021)*Q268)+R$1*((-0.000002)*R268^3+0.00032*R268^2+(-0.0021)*R268)+S$1*((-0.000002)*S268^3+0.00032*S268^2+(-0.0021)*S268)+T$1*((-0.000002)*T268^3+0.00032*T268^2+(-0.0021)*T268)</f>
        <v/>
      </c>
      <c r="X268">
        <f>(I$1*((-0.000002)*I268^3+0.00032*I268^2+(-0.0021)*I268)+J$1*((-0.000002)*J268^3+0.00032*J268^2+(-0.0021)*J268)+H$1*((-0.000002)*H268^3+0.00032*H268^2+(-0.0021)*H268))*(MAX(0.05,MIN(1,(2*J268+I268)/120)*MIN(1,I268/10)*MIN(1,J268/10)))</f>
        <v/>
      </c>
      <c r="Y268">
        <f>(I$1*((-0.000002)*I268^3+0.00032*I268^2+(-0.0021)*I268)+J$1*((-0.000002)*J268^3+0.00032*J268^2+(-0.0021)*J268)+H$1*((-0.000002)*H268^3+0.00032*H268^2+(-0.0021)*H268))*(MAX(0.05,MIN(1,(2*J268+I268)/120)*MIN(1,I268/10)*MIN(1,J268/10)))</f>
        <v/>
      </c>
      <c r="Z268">
        <f>U268*J$2+V268*O$2+W268*H$2</f>
        <v/>
      </c>
      <c r="AA268">
        <f>IF(AND(J268&gt;50,I268+J268&gt;75),"SP",IF(2*I268+J268&gt;120,"RP","CRAP"))</f>
        <v/>
      </c>
    </row>
    <row r="269" ht="13.5" customHeight="1" s="27" thickBot="1">
      <c r="A269">
        <f>(V269*V$2+W269*W$2+X269*X$2)*100/(V$4*V$2+W$4*W$2+X$4*X$2)</f>
        <v/>
      </c>
      <c r="B269" s="18" t="n"/>
      <c r="C269" s="11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>
        <f>K$1*(0.000001*K269^3)+L$1*((-0.000002)*L269^3+0.00032*L269^2+(-0.0021)*L269)+M$1*((-0.000002)*M269^3+0.00032*M269^2+(-0.0021)*M269)+N$1*((-0.000002)*N269^3+0.00032*N269^2+(-0.0021)*N269)+O$1*((-0.000002)*O269^3+0.00032*O269^2+(-0.0021)*O269)</f>
        <v/>
      </c>
      <c r="W269">
        <f>P$1*((-0.000002)*P269^3+0.00032*P269^2+(-0.0021)*P269)+Q$1*((-0.000002)*Q269^3+0.00032*Q269^2+(-0.0021)*Q269)+R$1*((-0.000002)*R269^3+0.00032*R269^2+(-0.0021)*R269)+S$1*((-0.000002)*S269^3+0.00032*S269^2+(-0.0021)*S269)+T$1*((-0.000002)*T269^3+0.00032*T269^2+(-0.0021)*T269)</f>
        <v/>
      </c>
      <c r="X269">
        <f>(I$1*((-0.000002)*I269^3+0.00032*I269^2+(-0.0021)*I269)+J$1*((-0.000002)*J269^3+0.00032*J269^2+(-0.0021)*J269)+H$1*((-0.000002)*H269^3+0.00032*H269^2+(-0.0021)*H269))*(MAX(0.05,MIN(1,(2*J269+I269)/120)*MIN(1,I269/10)*MIN(1,J269/10)))</f>
        <v/>
      </c>
      <c r="Y269">
        <f>(I$1*((-0.000002)*I269^3+0.00032*I269^2+(-0.0021)*I269)+J$1*((-0.000002)*J269^3+0.00032*J269^2+(-0.0021)*J269)+H$1*((-0.000002)*H269^3+0.00032*H269^2+(-0.0021)*H269))*(MAX(0.05,MIN(1,(2*J269+I269)/120)*MIN(1,I269/10)*MIN(1,J269/10)))</f>
        <v/>
      </c>
      <c r="Z269">
        <f>U269*J$2+V269*O$2+W269*H$2</f>
        <v/>
      </c>
      <c r="AA269">
        <f>IF(AND(J269&gt;50,I269+J269&gt;75),"SP",IF(2*I269+J269&gt;120,"RP","CRAP"))</f>
        <v/>
      </c>
    </row>
    <row r="270" ht="13.5" customHeight="1" s="27" thickBot="1">
      <c r="A270">
        <f>(V270*V$2+W270*W$2+X270*X$2)*100/(V$4*V$2+W$4*W$2+X$4*X$2)</f>
        <v/>
      </c>
      <c r="B270" s="16" t="n"/>
      <c r="C270" s="10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>
        <f>K$1*(0.000001*K270^3)+L$1*((-0.000002)*L270^3+0.00032*L270^2+(-0.0021)*L270)+M$1*((-0.000002)*M270^3+0.00032*M270^2+(-0.0021)*M270)+N$1*((-0.000002)*N270^3+0.00032*N270^2+(-0.0021)*N270)+O$1*((-0.000002)*O270^3+0.00032*O270^2+(-0.0021)*O270)</f>
        <v/>
      </c>
      <c r="W270">
        <f>P$1*((-0.000002)*P270^3+0.00032*P270^2+(-0.0021)*P270)+Q$1*((-0.000002)*Q270^3+0.00032*Q270^2+(-0.0021)*Q270)+R$1*((-0.000002)*R270^3+0.00032*R270^2+(-0.0021)*R270)+S$1*((-0.000002)*S270^3+0.00032*S270^2+(-0.0021)*S270)+T$1*((-0.000002)*T270^3+0.00032*T270^2+(-0.0021)*T270)</f>
        <v/>
      </c>
      <c r="X270">
        <f>(I$1*((-0.000002)*I270^3+0.00032*I270^2+(-0.0021)*I270)+J$1*((-0.000002)*J270^3+0.00032*J270^2+(-0.0021)*J270)+H$1*((-0.000002)*H270^3+0.00032*H270^2+(-0.0021)*H270))*(MAX(0.05,MIN(1,(2*J270+I270)/120)*MIN(1,I270/10)*MIN(1,J270/10)))</f>
        <v/>
      </c>
      <c r="Y270">
        <f>(I$1*((-0.000002)*I270^3+0.00032*I270^2+(-0.0021)*I270)+J$1*((-0.000002)*J270^3+0.00032*J270^2+(-0.0021)*J270)+H$1*((-0.000002)*H270^3+0.00032*H270^2+(-0.0021)*H270))*(MAX(0.05,MIN(1,(2*J270+I270)/120)*MIN(1,I270/10)*MIN(1,J270/10)))</f>
        <v/>
      </c>
      <c r="Z270">
        <f>U270*J$2+V270*O$2+W270*H$2</f>
        <v/>
      </c>
      <c r="AA270">
        <f>IF(AND(J270&gt;50,I270+J270&gt;75),"SP",IF(2*I270+J270&gt;120,"RP","CRAP"))</f>
        <v/>
      </c>
    </row>
    <row r="271" ht="13.5" customHeight="1" s="27" thickBot="1">
      <c r="A271">
        <f>(V271*V$2+W271*W$2+X271*X$2)*100/(V$4*V$2+W$4*W$2+X$4*X$2)</f>
        <v/>
      </c>
      <c r="B271" s="18" t="n"/>
      <c r="C271" s="11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>
        <f>K$1*(0.000001*K271^3)+L$1*((-0.000002)*L271^3+0.00032*L271^2+(-0.0021)*L271)+M$1*((-0.000002)*M271^3+0.00032*M271^2+(-0.0021)*M271)+N$1*((-0.000002)*N271^3+0.00032*N271^2+(-0.0021)*N271)+O$1*((-0.000002)*O271^3+0.00032*O271^2+(-0.0021)*O271)</f>
        <v/>
      </c>
      <c r="W271">
        <f>P$1*((-0.000002)*P271^3+0.00032*P271^2+(-0.0021)*P271)+Q$1*((-0.000002)*Q271^3+0.00032*Q271^2+(-0.0021)*Q271)+R$1*((-0.000002)*R271^3+0.00032*R271^2+(-0.0021)*R271)+S$1*((-0.000002)*S271^3+0.00032*S271^2+(-0.0021)*S271)+T$1*((-0.000002)*T271^3+0.00032*T271^2+(-0.0021)*T271)</f>
        <v/>
      </c>
      <c r="X271">
        <f>(I$1*((-0.000002)*I271^3+0.00032*I271^2+(-0.0021)*I271)+J$1*((-0.000002)*J271^3+0.00032*J271^2+(-0.0021)*J271)+H$1*((-0.000002)*H271^3+0.00032*H271^2+(-0.0021)*H271))*(MAX(0.05,MIN(1,(2*J271+I271)/120)*MIN(1,I271/10)*MIN(1,J271/10)))</f>
        <v/>
      </c>
      <c r="Y271">
        <f>(I$1*((-0.000002)*I271^3+0.00032*I271^2+(-0.0021)*I271)+J$1*((-0.000002)*J271^3+0.00032*J271^2+(-0.0021)*J271)+H$1*((-0.000002)*H271^3+0.00032*H271^2+(-0.0021)*H271))*(MAX(0.05,MIN(1,(2*J271+I271)/120)*MIN(1,I271/10)*MIN(1,J271/10)))</f>
        <v/>
      </c>
      <c r="Z271">
        <f>U271*J$2+V271*O$2+W271*H$2</f>
        <v/>
      </c>
      <c r="AA271">
        <f>IF(AND(J271&gt;50,I271+J271&gt;75),"SP",IF(2*I271+J271&gt;120,"RP","CRAP"))</f>
        <v/>
      </c>
    </row>
    <row r="272" ht="13.5" customHeight="1" s="27" thickBot="1">
      <c r="A272">
        <f>(V272*V$2+W272*W$2+X272*X$2)*100/(V$4*V$2+W$4*W$2+X$4*X$2)</f>
        <v/>
      </c>
      <c r="B272" s="16" t="n"/>
      <c r="C272" s="10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>
        <f>K$1*(0.000001*K272^3)+L$1*((-0.000002)*L272^3+0.00032*L272^2+(-0.0021)*L272)+M$1*((-0.000002)*M272^3+0.00032*M272^2+(-0.0021)*M272)+N$1*((-0.000002)*N272^3+0.00032*N272^2+(-0.0021)*N272)+O$1*((-0.000002)*O272^3+0.00032*O272^2+(-0.0021)*O272)</f>
        <v/>
      </c>
      <c r="W272">
        <f>P$1*((-0.000002)*P272^3+0.00032*P272^2+(-0.0021)*P272)+Q$1*((-0.000002)*Q272^3+0.00032*Q272^2+(-0.0021)*Q272)+R$1*((-0.000002)*R272^3+0.00032*R272^2+(-0.0021)*R272)+S$1*((-0.000002)*S272^3+0.00032*S272^2+(-0.0021)*S272)+T$1*((-0.000002)*T272^3+0.00032*T272^2+(-0.0021)*T272)</f>
        <v/>
      </c>
      <c r="X272">
        <f>(I$1*((-0.000002)*I272^3+0.00032*I272^2+(-0.0021)*I272)+J$1*((-0.000002)*J272^3+0.00032*J272^2+(-0.0021)*J272)+H$1*((-0.000002)*H272^3+0.00032*H272^2+(-0.0021)*H272))*(MAX(0.05,MIN(1,(2*J272+I272)/120)*MIN(1,I272/10)*MIN(1,J272/10)))</f>
        <v/>
      </c>
      <c r="Y272">
        <f>(I$1*((-0.000002)*I272^3+0.00032*I272^2+(-0.0021)*I272)+J$1*((-0.000002)*J272^3+0.00032*J272^2+(-0.0021)*J272)+H$1*((-0.000002)*H272^3+0.00032*H272^2+(-0.0021)*H272))*(MAX(0.05,MIN(1,(2*J272+I272)/120)*MIN(1,I272/10)*MIN(1,J272/10)))</f>
        <v/>
      </c>
      <c r="Z272">
        <f>U272*J$2+V272*O$2+W272*H$2</f>
        <v/>
      </c>
      <c r="AA272">
        <f>IF(AND(J272&gt;50,I272+J272&gt;75),"SP",IF(2*I272+J272&gt;120,"RP","CRAP"))</f>
        <v/>
      </c>
    </row>
    <row r="273" ht="13.5" customHeight="1" s="27" thickBot="1">
      <c r="A273">
        <f>(V273*V$2+W273*W$2+X273*X$2)*100/(V$4*V$2+W$4*W$2+X$4*X$2)</f>
        <v/>
      </c>
      <c r="B273" s="18" t="n"/>
      <c r="C273" s="11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>
        <f>K$1*(0.000001*K273^3)+L$1*((-0.000002)*L273^3+0.00032*L273^2+(-0.0021)*L273)+M$1*((-0.000002)*M273^3+0.00032*M273^2+(-0.0021)*M273)+N$1*((-0.000002)*N273^3+0.00032*N273^2+(-0.0021)*N273)+O$1*((-0.000002)*O273^3+0.00032*O273^2+(-0.0021)*O273)</f>
        <v/>
      </c>
      <c r="W273">
        <f>P$1*((-0.000002)*P273^3+0.00032*P273^2+(-0.0021)*P273)+Q$1*((-0.000002)*Q273^3+0.00032*Q273^2+(-0.0021)*Q273)+R$1*((-0.000002)*R273^3+0.00032*R273^2+(-0.0021)*R273)+S$1*((-0.000002)*S273^3+0.00032*S273^2+(-0.0021)*S273)+T$1*((-0.000002)*T273^3+0.00032*T273^2+(-0.0021)*T273)</f>
        <v/>
      </c>
      <c r="X273">
        <f>(I$1*((-0.000002)*I273^3+0.00032*I273^2+(-0.0021)*I273)+J$1*((-0.000002)*J273^3+0.00032*J273^2+(-0.0021)*J273)+H$1*((-0.000002)*H273^3+0.00032*H273^2+(-0.0021)*H273))*(MAX(0.05,MIN(1,(2*J273+I273)/120)*MIN(1,I273/10)*MIN(1,J273/10)))</f>
        <v/>
      </c>
      <c r="Y273">
        <f>(I$1*((-0.000002)*I273^3+0.00032*I273^2+(-0.0021)*I273)+J$1*((-0.000002)*J273^3+0.00032*J273^2+(-0.0021)*J273)+H$1*((-0.000002)*H273^3+0.00032*H273^2+(-0.0021)*H273))*(MAX(0.05,MIN(1,(2*J273+I273)/120)*MIN(1,I273/10)*MIN(1,J273/10)))</f>
        <v/>
      </c>
      <c r="Z273">
        <f>U273*J$2+V273*O$2+W273*H$2</f>
        <v/>
      </c>
      <c r="AA273">
        <f>IF(AND(J273&gt;50,I273+J273&gt;75),"SP",IF(2*I273+J273&gt;120,"RP","CRAP"))</f>
        <v/>
      </c>
    </row>
    <row r="274" ht="13.5" customHeight="1" s="27" thickBot="1">
      <c r="A274">
        <f>(V274*V$2+W274*W$2+X274*X$2)*100/(V$4*V$2+W$4*W$2+X$4*X$2)</f>
        <v/>
      </c>
      <c r="B274" s="16" t="n"/>
      <c r="C274" s="10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>
        <f>K$1*(0.000001*K274^3)+L$1*((-0.000002)*L274^3+0.00032*L274^2+(-0.0021)*L274)+M$1*((-0.000002)*M274^3+0.00032*M274^2+(-0.0021)*M274)+N$1*((-0.000002)*N274^3+0.00032*N274^2+(-0.0021)*N274)+O$1*((-0.000002)*O274^3+0.00032*O274^2+(-0.0021)*O274)</f>
        <v/>
      </c>
      <c r="W274">
        <f>P$1*((-0.000002)*P274^3+0.00032*P274^2+(-0.0021)*P274)+Q$1*((-0.000002)*Q274^3+0.00032*Q274^2+(-0.0021)*Q274)+R$1*((-0.000002)*R274^3+0.00032*R274^2+(-0.0021)*R274)+S$1*((-0.000002)*S274^3+0.00032*S274^2+(-0.0021)*S274)+T$1*((-0.000002)*T274^3+0.00032*T274^2+(-0.0021)*T274)</f>
        <v/>
      </c>
      <c r="X274">
        <f>(I$1*((-0.000002)*I274^3+0.00032*I274^2+(-0.0021)*I274)+J$1*((-0.000002)*J274^3+0.00032*J274^2+(-0.0021)*J274)+H$1*((-0.000002)*H274^3+0.00032*H274^2+(-0.0021)*H274))*(MAX(0.05,MIN(1,(2*J274+I274)/120)*MIN(1,I274/10)*MIN(1,J274/10)))</f>
        <v/>
      </c>
      <c r="Y274">
        <f>(I$1*((-0.000002)*I274^3+0.00032*I274^2+(-0.0021)*I274)+J$1*((-0.000002)*J274^3+0.00032*J274^2+(-0.0021)*J274)+H$1*((-0.000002)*H274^3+0.00032*H274^2+(-0.0021)*H274))*(MAX(0.05,MIN(1,(2*J274+I274)/120)*MIN(1,I274/10)*MIN(1,J274/10)))</f>
        <v/>
      </c>
      <c r="Z274">
        <f>U274*J$2+V274*O$2+W274*H$2</f>
        <v/>
      </c>
      <c r="AA274">
        <f>IF(AND(J274&gt;50,I274+J274&gt;75),"SP",IF(2*I274+J274&gt;120,"RP","CRAP"))</f>
        <v/>
      </c>
    </row>
    <row r="275" ht="13.5" customHeight="1" s="27" thickBot="1">
      <c r="A275">
        <f>(V275*V$2+W275*W$2+X275*X$2)*100/(V$4*V$2+W$4*W$2+X$4*X$2)</f>
        <v/>
      </c>
      <c r="B275" s="18" t="n"/>
      <c r="C275" s="11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>
        <f>K$1*(0.000001*K275^3)+L$1*((-0.000002)*L275^3+0.00032*L275^2+(-0.0021)*L275)+M$1*((-0.000002)*M275^3+0.00032*M275^2+(-0.0021)*M275)+N$1*((-0.000002)*N275^3+0.00032*N275^2+(-0.0021)*N275)+O$1*((-0.000002)*O275^3+0.00032*O275^2+(-0.0021)*O275)</f>
        <v/>
      </c>
      <c r="W275">
        <f>P$1*((-0.000002)*P275^3+0.00032*P275^2+(-0.0021)*P275)+Q$1*((-0.000002)*Q275^3+0.00032*Q275^2+(-0.0021)*Q275)+R$1*((-0.000002)*R275^3+0.00032*R275^2+(-0.0021)*R275)+S$1*((-0.000002)*S275^3+0.00032*S275^2+(-0.0021)*S275)+T$1*((-0.000002)*T275^3+0.00032*T275^2+(-0.0021)*T275)</f>
        <v/>
      </c>
      <c r="X275">
        <f>(I$1*((-0.000002)*I275^3+0.00032*I275^2+(-0.0021)*I275)+J$1*((-0.000002)*J275^3+0.00032*J275^2+(-0.0021)*J275)+H$1*((-0.000002)*H275^3+0.00032*H275^2+(-0.0021)*H275))*(MAX(0.05,MIN(1,(2*J275+I275)/120)*MIN(1,I275/10)*MIN(1,J275/10)))</f>
        <v/>
      </c>
      <c r="Y275">
        <f>(I$1*((-0.000002)*I275^3+0.00032*I275^2+(-0.0021)*I275)+J$1*((-0.000002)*J275^3+0.00032*J275^2+(-0.0021)*J275)+H$1*((-0.000002)*H275^3+0.00032*H275^2+(-0.0021)*H275))*(MAX(0.05,MIN(1,(2*J275+I275)/120)*MIN(1,I275/10)*MIN(1,J275/10)))</f>
        <v/>
      </c>
      <c r="Z275">
        <f>U275*J$2+V275*O$2+W275*H$2</f>
        <v/>
      </c>
      <c r="AA275">
        <f>IF(AND(J275&gt;50,I275+J275&gt;75),"SP",IF(2*I275+J275&gt;120,"RP","CRAP"))</f>
        <v/>
      </c>
    </row>
    <row r="276" ht="13.5" customHeight="1" s="27" thickBot="1">
      <c r="A276">
        <f>(V276*V$2+W276*W$2+X276*X$2)*100/(V$4*V$2+W$4*W$2+X$4*X$2)</f>
        <v/>
      </c>
      <c r="B276" s="16" t="n"/>
      <c r="C276" s="10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>
        <f>K$1*(0.000001*K276^3)+L$1*((-0.000002)*L276^3+0.00032*L276^2+(-0.0021)*L276)+M$1*((-0.000002)*M276^3+0.00032*M276^2+(-0.0021)*M276)+N$1*((-0.000002)*N276^3+0.00032*N276^2+(-0.0021)*N276)+O$1*((-0.000002)*O276^3+0.00032*O276^2+(-0.0021)*O276)</f>
        <v/>
      </c>
      <c r="W276">
        <f>P$1*((-0.000002)*P276^3+0.00032*P276^2+(-0.0021)*P276)+Q$1*((-0.000002)*Q276^3+0.00032*Q276^2+(-0.0021)*Q276)+R$1*((-0.000002)*R276^3+0.00032*R276^2+(-0.0021)*R276)+S$1*((-0.000002)*S276^3+0.00032*S276^2+(-0.0021)*S276)+T$1*((-0.000002)*T276^3+0.00032*T276^2+(-0.0021)*T276)</f>
        <v/>
      </c>
      <c r="X276">
        <f>(I$1*((-0.000002)*I276^3+0.00032*I276^2+(-0.0021)*I276)+J$1*((-0.000002)*J276^3+0.00032*J276^2+(-0.0021)*J276)+H$1*((-0.000002)*H276^3+0.00032*H276^2+(-0.0021)*H276))*(MAX(0.05,MIN(1,(2*J276+I276)/120)*MIN(1,I276/10)*MIN(1,J276/10)))</f>
        <v/>
      </c>
      <c r="Y276">
        <f>(I$1*((-0.000002)*I276^3+0.00032*I276^2+(-0.0021)*I276)+J$1*((-0.000002)*J276^3+0.00032*J276^2+(-0.0021)*J276)+H$1*((-0.000002)*H276^3+0.00032*H276^2+(-0.0021)*H276))*(MAX(0.05,MIN(1,(2*J276+I276)/120)*MIN(1,I276/10)*MIN(1,J276/10)))</f>
        <v/>
      </c>
      <c r="Z276">
        <f>U276*J$2+V276*O$2+W276*H$2</f>
        <v/>
      </c>
      <c r="AA276">
        <f>IF(AND(J276&gt;50,I276+J276&gt;75),"SP",IF(2*I276+J276&gt;120,"RP","CRAP"))</f>
        <v/>
      </c>
    </row>
    <row r="277" ht="13.5" customHeight="1" s="27" thickBot="1">
      <c r="A277">
        <f>(V277*V$2+W277*W$2+X277*X$2)*100/(V$4*V$2+W$4*W$2+X$4*X$2)</f>
        <v/>
      </c>
      <c r="B277" s="18" t="n"/>
      <c r="C277" s="11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>
        <f>K$1*(0.000001*K277^3)+L$1*((-0.000002)*L277^3+0.00032*L277^2+(-0.0021)*L277)+M$1*((-0.000002)*M277^3+0.00032*M277^2+(-0.0021)*M277)+N$1*((-0.000002)*N277^3+0.00032*N277^2+(-0.0021)*N277)+O$1*((-0.000002)*O277^3+0.00032*O277^2+(-0.0021)*O277)</f>
        <v/>
      </c>
      <c r="W277">
        <f>P$1*((-0.000002)*P277^3+0.00032*P277^2+(-0.0021)*P277)+Q$1*((-0.000002)*Q277^3+0.00032*Q277^2+(-0.0021)*Q277)+R$1*((-0.000002)*R277^3+0.00032*R277^2+(-0.0021)*R277)+S$1*((-0.000002)*S277^3+0.00032*S277^2+(-0.0021)*S277)+T$1*((-0.000002)*T277^3+0.00032*T277^2+(-0.0021)*T277)</f>
        <v/>
      </c>
      <c r="X277">
        <f>(I$1*((-0.000002)*I277^3+0.00032*I277^2+(-0.0021)*I277)+J$1*((-0.000002)*J277^3+0.00032*J277^2+(-0.0021)*J277)+H$1*((-0.000002)*H277^3+0.00032*H277^2+(-0.0021)*H277))*(MAX(0.05,MIN(1,(2*J277+I277)/120)*MIN(1,I277/10)*MIN(1,J277/10)))</f>
        <v/>
      </c>
      <c r="Y277">
        <f>(I$1*((-0.000002)*I277^3+0.00032*I277^2+(-0.0021)*I277)+J$1*((-0.000002)*J277^3+0.00032*J277^2+(-0.0021)*J277)+H$1*((-0.000002)*H277^3+0.00032*H277^2+(-0.0021)*H277))*(MAX(0.05,MIN(1,(2*J277+I277)/120)*MIN(1,I277/10)*MIN(1,J277/10)))</f>
        <v/>
      </c>
      <c r="Z277">
        <f>U277*J$2+V277*O$2+W277*H$2</f>
        <v/>
      </c>
      <c r="AA277">
        <f>IF(AND(J277&gt;50,I277+J277&gt;75),"SP",IF(2*I277+J277&gt;120,"RP","CRAP"))</f>
        <v/>
      </c>
    </row>
    <row r="278" ht="13.5" customHeight="1" s="27" thickBot="1">
      <c r="A278">
        <f>(V278*V$2+W278*W$2+X278*X$2)*100/(V$4*V$2+W$4*W$2+X$4*X$2)</f>
        <v/>
      </c>
      <c r="B278" s="16" t="n"/>
      <c r="C278" s="10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>
        <f>K$1*(0.000001*K278^3)+L$1*((-0.000002)*L278^3+0.00032*L278^2+(-0.0021)*L278)+M$1*((-0.000002)*M278^3+0.00032*M278^2+(-0.0021)*M278)+N$1*((-0.000002)*N278^3+0.00032*N278^2+(-0.0021)*N278)+O$1*((-0.000002)*O278^3+0.00032*O278^2+(-0.0021)*O278)</f>
        <v/>
      </c>
      <c r="W278">
        <f>P$1*((-0.000002)*P278^3+0.00032*P278^2+(-0.0021)*P278)+Q$1*((-0.000002)*Q278^3+0.00032*Q278^2+(-0.0021)*Q278)+R$1*((-0.000002)*R278^3+0.00032*R278^2+(-0.0021)*R278)+S$1*((-0.000002)*S278^3+0.00032*S278^2+(-0.0021)*S278)+T$1*((-0.000002)*T278^3+0.00032*T278^2+(-0.0021)*T278)</f>
        <v/>
      </c>
      <c r="X278">
        <f>(I$1*((-0.000002)*I278^3+0.00032*I278^2+(-0.0021)*I278)+J$1*((-0.000002)*J278^3+0.00032*J278^2+(-0.0021)*J278)+H$1*((-0.000002)*H278^3+0.00032*H278^2+(-0.0021)*H278))*(MAX(0.05,MIN(1,(2*J278+I278)/120)*MIN(1,I278/10)*MIN(1,J278/10)))</f>
        <v/>
      </c>
      <c r="Y278">
        <f>(I$1*((-0.000002)*I278^3+0.00032*I278^2+(-0.0021)*I278)+J$1*((-0.000002)*J278^3+0.00032*J278^2+(-0.0021)*J278)+H$1*((-0.000002)*H278^3+0.00032*H278^2+(-0.0021)*H278))*(MAX(0.05,MIN(1,(2*J278+I278)/120)*MIN(1,I278/10)*MIN(1,J278/10)))</f>
        <v/>
      </c>
      <c r="Z278">
        <f>U278*J$2+V278*O$2+W278*H$2</f>
        <v/>
      </c>
      <c r="AA278">
        <f>IF(AND(J278&gt;50,I278+J278&gt;75),"SP",IF(2*I278+J278&gt;120,"RP","CRAP"))</f>
        <v/>
      </c>
    </row>
    <row r="279" ht="13.5" customHeight="1" s="27" thickBot="1">
      <c r="A279">
        <f>(V279*V$2+W279*W$2+X279*X$2)*100/(V$4*V$2+W$4*W$2+X$4*X$2)</f>
        <v/>
      </c>
      <c r="B279" s="18" t="n"/>
      <c r="C279" s="11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>
        <f>K$1*(0.000001*K279^3)+L$1*((-0.000002)*L279^3+0.00032*L279^2+(-0.0021)*L279)+M$1*((-0.000002)*M279^3+0.00032*M279^2+(-0.0021)*M279)+N$1*((-0.000002)*N279^3+0.00032*N279^2+(-0.0021)*N279)+O$1*((-0.000002)*O279^3+0.00032*O279^2+(-0.0021)*O279)</f>
        <v/>
      </c>
      <c r="W279">
        <f>P$1*((-0.000002)*P279^3+0.00032*P279^2+(-0.0021)*P279)+Q$1*((-0.000002)*Q279^3+0.00032*Q279^2+(-0.0021)*Q279)+R$1*((-0.000002)*R279^3+0.00032*R279^2+(-0.0021)*R279)+S$1*((-0.000002)*S279^3+0.00032*S279^2+(-0.0021)*S279)+T$1*((-0.000002)*T279^3+0.00032*T279^2+(-0.0021)*T279)</f>
        <v/>
      </c>
      <c r="X279">
        <f>(I$1*((-0.000002)*I279^3+0.00032*I279^2+(-0.0021)*I279)+J$1*((-0.000002)*J279^3+0.00032*J279^2+(-0.0021)*J279)+H$1*((-0.000002)*H279^3+0.00032*H279^2+(-0.0021)*H279))*(MAX(0.05,MIN(1,(2*J279+I279)/120)*MIN(1,I279/10)*MIN(1,J279/10)))</f>
        <v/>
      </c>
      <c r="Y279">
        <f>(I$1*((-0.000002)*I279^3+0.00032*I279^2+(-0.0021)*I279)+J$1*((-0.000002)*J279^3+0.00032*J279^2+(-0.0021)*J279)+H$1*((-0.000002)*H279^3+0.00032*H279^2+(-0.0021)*H279))*(MAX(0.05,MIN(1,(2*J279+I279)/120)*MIN(1,I279/10)*MIN(1,J279/10)))</f>
        <v/>
      </c>
      <c r="Z279">
        <f>U279*J$2+V279*O$2+W279*H$2</f>
        <v/>
      </c>
      <c r="AA279">
        <f>IF(AND(J279&gt;50,I279+J279&gt;75),"SP",IF(2*I279+J279&gt;120,"RP","CRAP"))</f>
        <v/>
      </c>
    </row>
    <row r="280" ht="13.5" customHeight="1" s="27" thickBot="1">
      <c r="A280">
        <f>(V280*V$2+W280*W$2+X280*X$2)*100/(V$4*V$2+W$4*W$2+X$4*X$2)</f>
        <v/>
      </c>
      <c r="B280" s="16" t="n"/>
      <c r="C280" s="10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>
        <f>K$1*(0.000001*K280^3)+L$1*((-0.000002)*L280^3+0.00032*L280^2+(-0.0021)*L280)+M$1*((-0.000002)*M280^3+0.00032*M280^2+(-0.0021)*M280)+N$1*((-0.000002)*N280^3+0.00032*N280^2+(-0.0021)*N280)+O$1*((-0.000002)*O280^3+0.00032*O280^2+(-0.0021)*O280)</f>
        <v/>
      </c>
      <c r="W280">
        <f>P$1*((-0.000002)*P280^3+0.00032*P280^2+(-0.0021)*P280)+Q$1*((-0.000002)*Q280^3+0.00032*Q280^2+(-0.0021)*Q280)+R$1*((-0.000002)*R280^3+0.00032*R280^2+(-0.0021)*R280)+S$1*((-0.000002)*S280^3+0.00032*S280^2+(-0.0021)*S280)+T$1*((-0.000002)*T280^3+0.00032*T280^2+(-0.0021)*T280)</f>
        <v/>
      </c>
      <c r="X280">
        <f>(I$1*((-0.000002)*I280^3+0.00032*I280^2+(-0.0021)*I280)+J$1*((-0.000002)*J280^3+0.00032*J280^2+(-0.0021)*J280)+H$1*((-0.000002)*H280^3+0.00032*H280^2+(-0.0021)*H280))*(MAX(0.05,MIN(1,(2*J280+I280)/120)*MIN(1,I280/10)*MIN(1,J280/10)))</f>
        <v/>
      </c>
      <c r="Y280">
        <f>(I$1*((-0.000002)*I280^3+0.00032*I280^2+(-0.0021)*I280)+J$1*((-0.000002)*J280^3+0.00032*J280^2+(-0.0021)*J280)+H$1*((-0.000002)*H280^3+0.00032*H280^2+(-0.0021)*H280))*(MAX(0.05,MIN(1,(2*J280+I280)/120)*MIN(1,I280/10)*MIN(1,J280/10)))</f>
        <v/>
      </c>
      <c r="Z280">
        <f>U280*J$2+V280*O$2+W280*H$2</f>
        <v/>
      </c>
      <c r="AA280">
        <f>IF(AND(J280&gt;50,I280+J280&gt;75),"SP",IF(2*I280+J280&gt;120,"RP","CRAP"))</f>
        <v/>
      </c>
    </row>
    <row r="281" ht="13.5" customHeight="1" s="27" thickBot="1">
      <c r="A281">
        <f>(V281*V$2+W281*W$2+X281*X$2)*100/(V$4*V$2+W$4*W$2+X$4*X$2)</f>
        <v/>
      </c>
      <c r="B281" s="18" t="n"/>
      <c r="C281" s="11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>
        <f>K$1*(0.000001*K281^3)+L$1*((-0.000002)*L281^3+0.00032*L281^2+(-0.0021)*L281)+M$1*((-0.000002)*M281^3+0.00032*M281^2+(-0.0021)*M281)+N$1*((-0.000002)*N281^3+0.00032*N281^2+(-0.0021)*N281)+O$1*((-0.000002)*O281^3+0.00032*O281^2+(-0.0021)*O281)</f>
        <v/>
      </c>
      <c r="W281">
        <f>P$1*((-0.000002)*P281^3+0.00032*P281^2+(-0.0021)*P281)+Q$1*((-0.000002)*Q281^3+0.00032*Q281^2+(-0.0021)*Q281)+R$1*((-0.000002)*R281^3+0.00032*R281^2+(-0.0021)*R281)+S$1*((-0.000002)*S281^3+0.00032*S281^2+(-0.0021)*S281)+T$1*((-0.000002)*T281^3+0.00032*T281^2+(-0.0021)*T281)</f>
        <v/>
      </c>
      <c r="X281">
        <f>(I$1*((-0.000002)*I281^3+0.00032*I281^2+(-0.0021)*I281)+J$1*((-0.000002)*J281^3+0.00032*J281^2+(-0.0021)*J281)+H$1*((-0.000002)*H281^3+0.00032*H281^2+(-0.0021)*H281))*(MAX(0.05,MIN(1,(2*J281+I281)/120)*MIN(1,I281/10)*MIN(1,J281/10)))</f>
        <v/>
      </c>
      <c r="Y281">
        <f>(I$1*((-0.000002)*I281^3+0.00032*I281^2+(-0.0021)*I281)+J$1*((-0.000002)*J281^3+0.00032*J281^2+(-0.0021)*J281)+H$1*((-0.000002)*H281^3+0.00032*H281^2+(-0.0021)*H281))*(MAX(0.05,MIN(1,(2*J281+I281)/120)*MIN(1,I281/10)*MIN(1,J281/10)))</f>
        <v/>
      </c>
      <c r="Z281">
        <f>U281*J$2+V281*O$2+W281*H$2</f>
        <v/>
      </c>
      <c r="AA281">
        <f>IF(AND(J281&gt;50,I281+J281&gt;75),"SP",IF(2*I281+J281&gt;120,"RP","CRAP"))</f>
        <v/>
      </c>
    </row>
    <row r="282" ht="13.5" customHeight="1" s="27" thickBot="1">
      <c r="A282">
        <f>(V282*V$2+W282*W$2+X282*X$2)*100/(V$4*V$2+W$4*W$2+X$4*X$2)</f>
        <v/>
      </c>
      <c r="B282" s="16" t="n"/>
      <c r="C282" s="10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>
        <f>K$1*(0.000001*K282^3)+L$1*((-0.000002)*L282^3+0.00032*L282^2+(-0.0021)*L282)+M$1*((-0.000002)*M282^3+0.00032*M282^2+(-0.0021)*M282)+N$1*((-0.000002)*N282^3+0.00032*N282^2+(-0.0021)*N282)+O$1*((-0.000002)*O282^3+0.00032*O282^2+(-0.0021)*O282)</f>
        <v/>
      </c>
      <c r="W282">
        <f>P$1*((-0.000002)*P282^3+0.00032*P282^2+(-0.0021)*P282)+Q$1*((-0.000002)*Q282^3+0.00032*Q282^2+(-0.0021)*Q282)+R$1*((-0.000002)*R282^3+0.00032*R282^2+(-0.0021)*R282)+S$1*((-0.000002)*S282^3+0.00032*S282^2+(-0.0021)*S282)+T$1*((-0.000002)*T282^3+0.00032*T282^2+(-0.0021)*T282)</f>
        <v/>
      </c>
      <c r="X282">
        <f>(I$1*((-0.000002)*I282^3+0.00032*I282^2+(-0.0021)*I282)+J$1*((-0.000002)*J282^3+0.00032*J282^2+(-0.0021)*J282)+H$1*((-0.000002)*H282^3+0.00032*H282^2+(-0.0021)*H282))*(MAX(0.05,MIN(1,(2*J282+I282)/120)*MIN(1,I282/10)*MIN(1,J282/10)))</f>
        <v/>
      </c>
      <c r="Y282">
        <f>(I$1*((-0.000002)*I282^3+0.00032*I282^2+(-0.0021)*I282)+J$1*((-0.000002)*J282^3+0.00032*J282^2+(-0.0021)*J282)+H$1*((-0.000002)*H282^3+0.00032*H282^2+(-0.0021)*H282))*(MAX(0.05,MIN(1,(2*J282+I282)/120)*MIN(1,I282/10)*MIN(1,J282/10)))</f>
        <v/>
      </c>
      <c r="Z282">
        <f>U282*J$2+V282*O$2+W282*H$2</f>
        <v/>
      </c>
      <c r="AA282">
        <f>IF(AND(J282&gt;50,I282+J282&gt;75),"SP",IF(2*I282+J282&gt;120,"RP","CRAP"))</f>
        <v/>
      </c>
    </row>
    <row r="283" ht="13.5" customHeight="1" s="27" thickBot="1">
      <c r="A283">
        <f>(V283*V$2+W283*W$2+X283*X$2)*100/(V$4*V$2+W$4*W$2+X$4*X$2)</f>
        <v/>
      </c>
      <c r="B283" s="18" t="n"/>
      <c r="C283" s="11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>
        <f>K$1*(0.000001*K283^3)+L$1*((-0.000002)*L283^3+0.00032*L283^2+(-0.0021)*L283)+M$1*((-0.000002)*M283^3+0.00032*M283^2+(-0.0021)*M283)+N$1*((-0.000002)*N283^3+0.00032*N283^2+(-0.0021)*N283)+O$1*((-0.000002)*O283^3+0.00032*O283^2+(-0.0021)*O283)</f>
        <v/>
      </c>
      <c r="W283">
        <f>P$1*((-0.000002)*P283^3+0.00032*P283^2+(-0.0021)*P283)+Q$1*((-0.000002)*Q283^3+0.00032*Q283^2+(-0.0021)*Q283)+R$1*((-0.000002)*R283^3+0.00032*R283^2+(-0.0021)*R283)+S$1*((-0.000002)*S283^3+0.00032*S283^2+(-0.0021)*S283)+T$1*((-0.000002)*T283^3+0.00032*T283^2+(-0.0021)*T283)</f>
        <v/>
      </c>
      <c r="X283">
        <f>(I$1*((-0.000002)*I283^3+0.00032*I283^2+(-0.0021)*I283)+J$1*((-0.000002)*J283^3+0.00032*J283^2+(-0.0021)*J283)+H$1*((-0.000002)*H283^3+0.00032*H283^2+(-0.0021)*H283))*(MAX(0.05,MIN(1,(2*J283+I283)/120)*MIN(1,I283/10)*MIN(1,J283/10)))</f>
        <v/>
      </c>
      <c r="Y283">
        <f>(I$1*((-0.000002)*I283^3+0.00032*I283^2+(-0.0021)*I283)+J$1*((-0.000002)*J283^3+0.00032*J283^2+(-0.0021)*J283)+H$1*((-0.000002)*H283^3+0.00032*H283^2+(-0.0021)*H283))*(MAX(0.05,MIN(1,(2*J283+I283)/120)*MIN(1,I283/10)*MIN(1,J283/10)))</f>
        <v/>
      </c>
      <c r="Z283">
        <f>U283*J$2+V283*O$2+W283*H$2</f>
        <v/>
      </c>
      <c r="AA283">
        <f>IF(AND(J283&gt;50,I283+J283&gt;75),"SP",IF(2*I283+J283&gt;120,"RP","CRAP"))</f>
        <v/>
      </c>
    </row>
    <row r="284" ht="13.5" customHeight="1" s="27" thickBot="1">
      <c r="A284">
        <f>(V284*V$2+W284*W$2+X284*X$2)*100/(V$4*V$2+W$4*W$2+X$4*X$2)</f>
        <v/>
      </c>
      <c r="B284" s="16" t="n"/>
      <c r="C284" s="10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>
        <f>K$1*(0.000001*K284^3)+L$1*((-0.000002)*L284^3+0.00032*L284^2+(-0.0021)*L284)+M$1*((-0.000002)*M284^3+0.00032*M284^2+(-0.0021)*M284)+N$1*((-0.000002)*N284^3+0.00032*N284^2+(-0.0021)*N284)+O$1*((-0.000002)*O284^3+0.00032*O284^2+(-0.0021)*O284)</f>
        <v/>
      </c>
      <c r="W284">
        <f>P$1*((-0.000002)*P284^3+0.00032*P284^2+(-0.0021)*P284)+Q$1*((-0.000002)*Q284^3+0.00032*Q284^2+(-0.0021)*Q284)+R$1*((-0.000002)*R284^3+0.00032*R284^2+(-0.0021)*R284)+S$1*((-0.000002)*S284^3+0.00032*S284^2+(-0.0021)*S284)+T$1*((-0.000002)*T284^3+0.00032*T284^2+(-0.0021)*T284)</f>
        <v/>
      </c>
      <c r="X284">
        <f>(I$1*((-0.000002)*I284^3+0.00032*I284^2+(-0.0021)*I284)+J$1*((-0.000002)*J284^3+0.00032*J284^2+(-0.0021)*J284)+H$1*((-0.000002)*H284^3+0.00032*H284^2+(-0.0021)*H284))*(MAX(0.05,MIN(1,(2*J284+I284)/120)*MIN(1,I284/10)*MIN(1,J284/10)))</f>
        <v/>
      </c>
      <c r="Y284">
        <f>(I$1*((-0.000002)*I284^3+0.00032*I284^2+(-0.0021)*I284)+J$1*((-0.000002)*J284^3+0.00032*J284^2+(-0.0021)*J284)+H$1*((-0.000002)*H284^3+0.00032*H284^2+(-0.0021)*H284))*(MAX(0.05,MIN(1,(2*J284+I284)/120)*MIN(1,I284/10)*MIN(1,J284/10)))</f>
        <v/>
      </c>
      <c r="Z284">
        <f>U284*J$2+V284*O$2+W284*H$2</f>
        <v/>
      </c>
      <c r="AA284">
        <f>IF(AND(J284&gt;50,I284+J284&gt;75),"SP",IF(2*I284+J284&gt;120,"RP","CRAP"))</f>
        <v/>
      </c>
    </row>
    <row r="285" ht="13.5" customHeight="1" s="27" thickBot="1">
      <c r="A285">
        <f>(V285*V$2+W285*W$2+X285*X$2)*100/(V$4*V$2+W$4*W$2+X$4*X$2)</f>
        <v/>
      </c>
      <c r="B285" s="18" t="n"/>
      <c r="C285" s="11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>
        <f>K$1*(0.000001*K285^3)+L$1*((-0.000002)*L285^3+0.00032*L285^2+(-0.0021)*L285)+M$1*((-0.000002)*M285^3+0.00032*M285^2+(-0.0021)*M285)+N$1*((-0.000002)*N285^3+0.00032*N285^2+(-0.0021)*N285)+O$1*((-0.000002)*O285^3+0.00032*O285^2+(-0.0021)*O285)</f>
        <v/>
      </c>
      <c r="W285">
        <f>P$1*((-0.000002)*P285^3+0.00032*P285^2+(-0.0021)*P285)+Q$1*((-0.000002)*Q285^3+0.00032*Q285^2+(-0.0021)*Q285)+R$1*((-0.000002)*R285^3+0.00032*R285^2+(-0.0021)*R285)+S$1*((-0.000002)*S285^3+0.00032*S285^2+(-0.0021)*S285)+T$1*((-0.000002)*T285^3+0.00032*T285^2+(-0.0021)*T285)</f>
        <v/>
      </c>
      <c r="X285">
        <f>(I$1*((-0.000002)*I285^3+0.00032*I285^2+(-0.0021)*I285)+J$1*((-0.000002)*J285^3+0.00032*J285^2+(-0.0021)*J285)+H$1*((-0.000002)*H285^3+0.00032*H285^2+(-0.0021)*H285))*(MAX(0.05,MIN(1,(2*J285+I285)/120)*MIN(1,I285/10)*MIN(1,J285/10)))</f>
        <v/>
      </c>
      <c r="Y285">
        <f>(I$1*((-0.000002)*I285^3+0.00032*I285^2+(-0.0021)*I285)+J$1*((-0.000002)*J285^3+0.00032*J285^2+(-0.0021)*J285)+H$1*((-0.000002)*H285^3+0.00032*H285^2+(-0.0021)*H285))*(MAX(0.05,MIN(1,(2*J285+I285)/120)*MIN(1,I285/10)*MIN(1,J285/10)))</f>
        <v/>
      </c>
      <c r="Z285">
        <f>U285*J$2+V285*O$2+W285*H$2</f>
        <v/>
      </c>
      <c r="AA285">
        <f>IF(AND(J285&gt;50,I285+J285&gt;75),"SP",IF(2*I285+J285&gt;120,"RP","CRAP"))</f>
        <v/>
      </c>
    </row>
    <row r="286" ht="13.5" customHeight="1" s="27" thickBot="1">
      <c r="A286">
        <f>(V286*V$2+W286*W$2+X286*X$2)*100/(V$4*V$2+W$4*W$2+X$4*X$2)</f>
        <v/>
      </c>
      <c r="B286" s="16" t="n"/>
      <c r="C286" s="10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>
        <f>K$1*(0.000001*K286^3)+L$1*((-0.000002)*L286^3+0.00032*L286^2+(-0.0021)*L286)+M$1*((-0.000002)*M286^3+0.00032*M286^2+(-0.0021)*M286)+N$1*((-0.000002)*N286^3+0.00032*N286^2+(-0.0021)*N286)+O$1*((-0.000002)*O286^3+0.00032*O286^2+(-0.0021)*O286)</f>
        <v/>
      </c>
      <c r="W286">
        <f>P$1*((-0.000002)*P286^3+0.00032*P286^2+(-0.0021)*P286)+Q$1*((-0.000002)*Q286^3+0.00032*Q286^2+(-0.0021)*Q286)+R$1*((-0.000002)*R286^3+0.00032*R286^2+(-0.0021)*R286)+S$1*((-0.000002)*S286^3+0.00032*S286^2+(-0.0021)*S286)+T$1*((-0.000002)*T286^3+0.00032*T286^2+(-0.0021)*T286)</f>
        <v/>
      </c>
      <c r="X286">
        <f>(I$1*((-0.000002)*I286^3+0.00032*I286^2+(-0.0021)*I286)+J$1*((-0.000002)*J286^3+0.00032*J286^2+(-0.0021)*J286)+H$1*((-0.000002)*H286^3+0.00032*H286^2+(-0.0021)*H286))*(MAX(0.05,MIN(1,(2*J286+I286)/120)*MIN(1,I286/10)*MIN(1,J286/10)))</f>
        <v/>
      </c>
      <c r="Y286">
        <f>(I$1*((-0.000002)*I286^3+0.00032*I286^2+(-0.0021)*I286)+J$1*((-0.000002)*J286^3+0.00032*J286^2+(-0.0021)*J286)+H$1*((-0.000002)*H286^3+0.00032*H286^2+(-0.0021)*H286))*(MAX(0.05,MIN(1,(2*J286+I286)/120)*MIN(1,I286/10)*MIN(1,J286/10)))</f>
        <v/>
      </c>
      <c r="Z286">
        <f>U286*J$2+V286*O$2+W286*H$2</f>
        <v/>
      </c>
      <c r="AA286">
        <f>IF(AND(J286&gt;50,I286+J286&gt;75),"SP",IF(2*I286+J286&gt;120,"RP","CRAP"))</f>
        <v/>
      </c>
    </row>
    <row r="287" ht="13.5" customHeight="1" s="27" thickBot="1">
      <c r="A287">
        <f>(V287*V$2+W287*W$2+X287*X$2)*100/(V$4*V$2+W$4*W$2+X$4*X$2)</f>
        <v/>
      </c>
      <c r="B287" s="18" t="n"/>
      <c r="C287" s="11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>
        <f>K$1*(0.000001*K287^3)+L$1*((-0.000002)*L287^3+0.00032*L287^2+(-0.0021)*L287)+M$1*((-0.000002)*M287^3+0.00032*M287^2+(-0.0021)*M287)+N$1*((-0.000002)*N287^3+0.00032*N287^2+(-0.0021)*N287)+O$1*((-0.000002)*O287^3+0.00032*O287^2+(-0.0021)*O287)</f>
        <v/>
      </c>
      <c r="W287">
        <f>P$1*((-0.000002)*P287^3+0.00032*P287^2+(-0.0021)*P287)+Q$1*((-0.000002)*Q287^3+0.00032*Q287^2+(-0.0021)*Q287)+R$1*((-0.000002)*R287^3+0.00032*R287^2+(-0.0021)*R287)+S$1*((-0.000002)*S287^3+0.00032*S287^2+(-0.0021)*S287)+T$1*((-0.000002)*T287^3+0.00032*T287^2+(-0.0021)*T287)</f>
        <v/>
      </c>
      <c r="X287">
        <f>(I$1*((-0.000002)*I287^3+0.00032*I287^2+(-0.0021)*I287)+J$1*((-0.000002)*J287^3+0.00032*J287^2+(-0.0021)*J287)+H$1*((-0.000002)*H287^3+0.00032*H287^2+(-0.0021)*H287))*(MAX(0.05,MIN(1,(2*J287+I287)/120)*MIN(1,I287/10)*MIN(1,J287/10)))</f>
        <v/>
      </c>
      <c r="Y287">
        <f>(I$1*((-0.000002)*I287^3+0.00032*I287^2+(-0.0021)*I287)+J$1*((-0.000002)*J287^3+0.00032*J287^2+(-0.0021)*J287)+H$1*((-0.000002)*H287^3+0.00032*H287^2+(-0.0021)*H287))*(MAX(0.05,MIN(1,(2*J287+I287)/120)*MIN(1,I287/10)*MIN(1,J287/10)))</f>
        <v/>
      </c>
      <c r="Z287">
        <f>U287*J$2+V287*O$2+W287*H$2</f>
        <v/>
      </c>
      <c r="AA287">
        <f>IF(AND(J287&gt;50,I287+J287&gt;75),"SP",IF(2*I287+J287&gt;120,"RP","CRAP"))</f>
        <v/>
      </c>
    </row>
    <row r="288" ht="13.5" customHeight="1" s="27" thickBot="1">
      <c r="A288">
        <f>(V288*V$2+W288*W$2+X288*X$2)*100/(V$4*V$2+W$4*W$2+X$4*X$2)</f>
        <v/>
      </c>
      <c r="B288" s="16" t="n"/>
      <c r="C288" s="10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>
        <f>K$1*(0.000001*K288^3)+L$1*((-0.000002)*L288^3+0.00032*L288^2+(-0.0021)*L288)+M$1*((-0.000002)*M288^3+0.00032*M288^2+(-0.0021)*M288)+N$1*((-0.000002)*N288^3+0.00032*N288^2+(-0.0021)*N288)+O$1*((-0.000002)*O288^3+0.00032*O288^2+(-0.0021)*O288)</f>
        <v/>
      </c>
      <c r="W288">
        <f>P$1*((-0.000002)*P288^3+0.00032*P288^2+(-0.0021)*P288)+Q$1*((-0.000002)*Q288^3+0.00032*Q288^2+(-0.0021)*Q288)+R$1*((-0.000002)*R288^3+0.00032*R288^2+(-0.0021)*R288)+S$1*((-0.000002)*S288^3+0.00032*S288^2+(-0.0021)*S288)+T$1*((-0.000002)*T288^3+0.00032*T288^2+(-0.0021)*T288)</f>
        <v/>
      </c>
      <c r="X288">
        <f>(I$1*((-0.000002)*I288^3+0.00032*I288^2+(-0.0021)*I288)+J$1*((-0.000002)*J288^3+0.00032*J288^2+(-0.0021)*J288)+H$1*((-0.000002)*H288^3+0.00032*H288^2+(-0.0021)*H288))*(MAX(0.05,MIN(1,(2*J288+I288)/120)*MIN(1,I288/10)*MIN(1,J288/10)))</f>
        <v/>
      </c>
      <c r="Y288">
        <f>(I$1*((-0.000002)*I288^3+0.00032*I288^2+(-0.0021)*I288)+J$1*((-0.000002)*J288^3+0.00032*J288^2+(-0.0021)*J288)+H$1*((-0.000002)*H288^3+0.00032*H288^2+(-0.0021)*H288))*(MAX(0.05,MIN(1,(2*J288+I288)/120)*MIN(1,I288/10)*MIN(1,J288/10)))</f>
        <v/>
      </c>
      <c r="Z288">
        <f>U288*J$2+V288*O$2+W288*H$2</f>
        <v/>
      </c>
      <c r="AA288">
        <f>IF(AND(J288&gt;50,I288+J288&gt;75),"SP",IF(2*I288+J288&gt;120,"RP","CRAP"))</f>
        <v/>
      </c>
    </row>
    <row r="289" ht="13.5" customHeight="1" s="27" thickBot="1">
      <c r="A289">
        <f>(V289*V$2+W289*W$2+X289*X$2)*100/(V$4*V$2+W$4*W$2+X$4*X$2)</f>
        <v/>
      </c>
      <c r="B289" s="18" t="n"/>
      <c r="C289" s="11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>
        <f>K$1*(0.000001*K289^3)+L$1*((-0.000002)*L289^3+0.00032*L289^2+(-0.0021)*L289)+M$1*((-0.000002)*M289^3+0.00032*M289^2+(-0.0021)*M289)+N$1*((-0.000002)*N289^3+0.00032*N289^2+(-0.0021)*N289)+O$1*((-0.000002)*O289^3+0.00032*O289^2+(-0.0021)*O289)</f>
        <v/>
      </c>
      <c r="W289">
        <f>P$1*((-0.000002)*P289^3+0.00032*P289^2+(-0.0021)*P289)+Q$1*((-0.000002)*Q289^3+0.00032*Q289^2+(-0.0021)*Q289)+R$1*((-0.000002)*R289^3+0.00032*R289^2+(-0.0021)*R289)+S$1*((-0.000002)*S289^3+0.00032*S289^2+(-0.0021)*S289)+T$1*((-0.000002)*T289^3+0.00032*T289^2+(-0.0021)*T289)</f>
        <v/>
      </c>
      <c r="X289">
        <f>(I$1*((-0.000002)*I289^3+0.00032*I289^2+(-0.0021)*I289)+J$1*((-0.000002)*J289^3+0.00032*J289^2+(-0.0021)*J289)+H$1*((-0.000002)*H289^3+0.00032*H289^2+(-0.0021)*H289))*(MAX(0.05,MIN(1,(2*J289+I289)/120)*MIN(1,I289/10)*MIN(1,J289/10)))</f>
        <v/>
      </c>
      <c r="Y289">
        <f>(I$1*((-0.000002)*I289^3+0.00032*I289^2+(-0.0021)*I289)+J$1*((-0.000002)*J289^3+0.00032*J289^2+(-0.0021)*J289)+H$1*((-0.000002)*H289^3+0.00032*H289^2+(-0.0021)*H289))*(MAX(0.05,MIN(1,(2*J289+I289)/120)*MIN(1,I289/10)*MIN(1,J289/10)))</f>
        <v/>
      </c>
      <c r="Z289">
        <f>U289*J$2+V289*O$2+W289*H$2</f>
        <v/>
      </c>
      <c r="AA289">
        <f>IF(AND(J289&gt;50,I289+J289&gt;75),"SP",IF(2*I289+J289&gt;120,"RP","CRAP"))</f>
        <v/>
      </c>
    </row>
    <row r="290" ht="13.5" customHeight="1" s="27" thickBot="1">
      <c r="A290">
        <f>(V290*V$2+W290*W$2+X290*X$2)*100/(V$4*V$2+W$4*W$2+X$4*X$2)</f>
        <v/>
      </c>
      <c r="B290" s="16" t="n"/>
      <c r="C290" s="10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>
        <f>K$1*(0.000001*K290^3)+L$1*((-0.000002)*L290^3+0.00032*L290^2+(-0.0021)*L290)+M$1*((-0.000002)*M290^3+0.00032*M290^2+(-0.0021)*M290)+N$1*((-0.000002)*N290^3+0.00032*N290^2+(-0.0021)*N290)+O$1*((-0.000002)*O290^3+0.00032*O290^2+(-0.0021)*O290)</f>
        <v/>
      </c>
      <c r="W290">
        <f>P$1*((-0.000002)*P290^3+0.00032*P290^2+(-0.0021)*P290)+Q$1*((-0.000002)*Q290^3+0.00032*Q290^2+(-0.0021)*Q290)+R$1*((-0.000002)*R290^3+0.00032*R290^2+(-0.0021)*R290)+S$1*((-0.000002)*S290^3+0.00032*S290^2+(-0.0021)*S290)+T$1*((-0.000002)*T290^3+0.00032*T290^2+(-0.0021)*T290)</f>
        <v/>
      </c>
      <c r="X290">
        <f>(I$1*((-0.000002)*I290^3+0.00032*I290^2+(-0.0021)*I290)+J$1*((-0.000002)*J290^3+0.00032*J290^2+(-0.0021)*J290)+H$1*((-0.000002)*H290^3+0.00032*H290^2+(-0.0021)*H290))*(MAX(0.05,MIN(1,(2*J290+I290)/120)*MIN(1,I290/10)*MIN(1,J290/10)))</f>
        <v/>
      </c>
      <c r="Y290">
        <f>(I$1*((-0.000002)*I290^3+0.00032*I290^2+(-0.0021)*I290)+J$1*((-0.000002)*J290^3+0.00032*J290^2+(-0.0021)*J290)+H$1*((-0.000002)*H290^3+0.00032*H290^2+(-0.0021)*H290))*(MAX(0.05,MIN(1,(2*J290+I290)/120)*MIN(1,I290/10)*MIN(1,J290/10)))</f>
        <v/>
      </c>
      <c r="Z290">
        <f>U290*J$2+V290*O$2+W290*H$2</f>
        <v/>
      </c>
      <c r="AA290">
        <f>IF(AND(J290&gt;50,I290+J290&gt;75),"SP",IF(2*I290+J290&gt;120,"RP","CRAP"))</f>
        <v/>
      </c>
    </row>
    <row r="291" ht="13.5" customHeight="1" s="27" thickBot="1">
      <c r="A291">
        <f>(V291*V$2+W291*W$2+X291*X$2)*100/(V$4*V$2+W$4*W$2+X$4*X$2)</f>
        <v/>
      </c>
      <c r="B291" s="18" t="n"/>
      <c r="C291" s="11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>
        <f>K$1*(0.000001*K291^3)+L$1*((-0.000002)*L291^3+0.00032*L291^2+(-0.0021)*L291)+M$1*((-0.000002)*M291^3+0.00032*M291^2+(-0.0021)*M291)+N$1*((-0.000002)*N291^3+0.00032*N291^2+(-0.0021)*N291)+O$1*((-0.000002)*O291^3+0.00032*O291^2+(-0.0021)*O291)</f>
        <v/>
      </c>
      <c r="W291">
        <f>P$1*((-0.000002)*P291^3+0.00032*P291^2+(-0.0021)*P291)+Q$1*((-0.000002)*Q291^3+0.00032*Q291^2+(-0.0021)*Q291)+R$1*((-0.000002)*R291^3+0.00032*R291^2+(-0.0021)*R291)+S$1*((-0.000002)*S291^3+0.00032*S291^2+(-0.0021)*S291)+T$1*((-0.000002)*T291^3+0.00032*T291^2+(-0.0021)*T291)</f>
        <v/>
      </c>
      <c r="X291">
        <f>(I$1*((-0.000002)*I291^3+0.00032*I291^2+(-0.0021)*I291)+J$1*((-0.000002)*J291^3+0.00032*J291^2+(-0.0021)*J291)+H$1*((-0.000002)*H291^3+0.00032*H291^2+(-0.0021)*H291))*(MAX(0.05,MIN(1,(2*J291+I291)/120)*MIN(1,I291/10)*MIN(1,J291/10)))</f>
        <v/>
      </c>
      <c r="Y291">
        <f>(I$1*((-0.000002)*I291^3+0.00032*I291^2+(-0.0021)*I291)+J$1*((-0.000002)*J291^3+0.00032*J291^2+(-0.0021)*J291)+H$1*((-0.000002)*H291^3+0.00032*H291^2+(-0.0021)*H291))*(MAX(0.05,MIN(1,(2*J291+I291)/120)*MIN(1,I291/10)*MIN(1,J291/10)))</f>
        <v/>
      </c>
      <c r="Z291">
        <f>U291*J$2+V291*O$2+W291*H$2</f>
        <v/>
      </c>
      <c r="AA291">
        <f>IF(AND(J291&gt;50,I291+J291&gt;75),"SP",IF(2*I291+J291&gt;120,"RP","CRAP"))</f>
        <v/>
      </c>
    </row>
    <row r="292" ht="13.5" customHeight="1" s="27" thickBot="1">
      <c r="A292">
        <f>(V292*V$2+W292*W$2+X292*X$2)*100/(V$4*V$2+W$4*W$2+X$4*X$2)</f>
        <v/>
      </c>
      <c r="B292" s="16" t="n"/>
      <c r="C292" s="10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>
        <f>K$1*(0.000001*K292^3)+L$1*((-0.000002)*L292^3+0.00032*L292^2+(-0.0021)*L292)+M$1*((-0.000002)*M292^3+0.00032*M292^2+(-0.0021)*M292)+N$1*((-0.000002)*N292^3+0.00032*N292^2+(-0.0021)*N292)+O$1*((-0.000002)*O292^3+0.00032*O292^2+(-0.0021)*O292)</f>
        <v/>
      </c>
      <c r="W292">
        <f>P$1*((-0.000002)*P292^3+0.00032*P292^2+(-0.0021)*P292)+Q$1*((-0.000002)*Q292^3+0.00032*Q292^2+(-0.0021)*Q292)+R$1*((-0.000002)*R292^3+0.00032*R292^2+(-0.0021)*R292)+S$1*((-0.000002)*S292^3+0.00032*S292^2+(-0.0021)*S292)+T$1*((-0.000002)*T292^3+0.00032*T292^2+(-0.0021)*T292)</f>
        <v/>
      </c>
      <c r="X292">
        <f>(I$1*((-0.000002)*I292^3+0.00032*I292^2+(-0.0021)*I292)+J$1*((-0.000002)*J292^3+0.00032*J292^2+(-0.0021)*J292)+H$1*((-0.000002)*H292^3+0.00032*H292^2+(-0.0021)*H292))*(MAX(0.05,MIN(1,(2*J292+I292)/120)*MIN(1,I292/10)*MIN(1,J292/10)))</f>
        <v/>
      </c>
      <c r="Y292">
        <f>(I$1*((-0.000002)*I292^3+0.00032*I292^2+(-0.0021)*I292)+J$1*((-0.000002)*J292^3+0.00032*J292^2+(-0.0021)*J292)+H$1*((-0.000002)*H292^3+0.00032*H292^2+(-0.0021)*H292))*(MAX(0.05,MIN(1,(2*J292+I292)/120)*MIN(1,I292/10)*MIN(1,J292/10)))</f>
        <v/>
      </c>
      <c r="Z292">
        <f>U292*J$2+V292*O$2+W292*H$2</f>
        <v/>
      </c>
      <c r="AA292">
        <f>IF(AND(J292&gt;50,I292+J292&gt;75),"SP",IF(2*I292+J292&gt;120,"RP","CRAP"))</f>
        <v/>
      </c>
    </row>
    <row r="293" ht="13.5" customHeight="1" s="27" thickBot="1">
      <c r="A293">
        <f>(V293*V$2+W293*W$2+X293*X$2)*100/(V$4*V$2+W$4*W$2+X$4*X$2)</f>
        <v/>
      </c>
      <c r="B293" s="18" t="n"/>
      <c r="C293" s="11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>
        <f>K$1*(0.000001*K293^3)+L$1*((-0.000002)*L293^3+0.00032*L293^2+(-0.0021)*L293)+M$1*((-0.000002)*M293^3+0.00032*M293^2+(-0.0021)*M293)+N$1*((-0.000002)*N293^3+0.00032*N293^2+(-0.0021)*N293)+O$1*((-0.000002)*O293^3+0.00032*O293^2+(-0.0021)*O293)</f>
        <v/>
      </c>
      <c r="W293">
        <f>P$1*((-0.000002)*P293^3+0.00032*P293^2+(-0.0021)*P293)+Q$1*((-0.000002)*Q293^3+0.00032*Q293^2+(-0.0021)*Q293)+R$1*((-0.000002)*R293^3+0.00032*R293^2+(-0.0021)*R293)+S$1*((-0.000002)*S293^3+0.00032*S293^2+(-0.0021)*S293)+T$1*((-0.000002)*T293^3+0.00032*T293^2+(-0.0021)*T293)</f>
        <v/>
      </c>
      <c r="X293">
        <f>(I$1*((-0.000002)*I293^3+0.00032*I293^2+(-0.0021)*I293)+J$1*((-0.000002)*J293^3+0.00032*J293^2+(-0.0021)*J293)+H$1*((-0.000002)*H293^3+0.00032*H293^2+(-0.0021)*H293))*(MAX(0.05,MIN(1,(2*J293+I293)/120)*MIN(1,I293/10)*MIN(1,J293/10)))</f>
        <v/>
      </c>
      <c r="Y293">
        <f>(I$1*((-0.000002)*I293^3+0.00032*I293^2+(-0.0021)*I293)+J$1*((-0.000002)*J293^3+0.00032*J293^2+(-0.0021)*J293)+H$1*((-0.000002)*H293^3+0.00032*H293^2+(-0.0021)*H293))*(MAX(0.05,MIN(1,(2*J293+I293)/120)*MIN(1,I293/10)*MIN(1,J293/10)))</f>
        <v/>
      </c>
      <c r="Z293">
        <f>U293*J$2+V293*O$2+W293*H$2</f>
        <v/>
      </c>
      <c r="AA293">
        <f>IF(AND(J293&gt;50,I293+J293&gt;75),"SP",IF(2*I293+J293&gt;120,"RP","CRAP"))</f>
        <v/>
      </c>
    </row>
    <row r="294" ht="13.5" customHeight="1" s="27" thickBot="1">
      <c r="A294">
        <f>(V294*V$2+W294*W$2+X294*X$2)*100/(V$4*V$2+W$4*W$2+X$4*X$2)</f>
        <v/>
      </c>
      <c r="B294" s="16" t="n"/>
      <c r="C294" s="10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>
        <f>K$1*(0.000001*K294^3)+L$1*((-0.000002)*L294^3+0.00032*L294^2+(-0.0021)*L294)+M$1*((-0.000002)*M294^3+0.00032*M294^2+(-0.0021)*M294)+N$1*((-0.000002)*N294^3+0.00032*N294^2+(-0.0021)*N294)+O$1*((-0.000002)*O294^3+0.00032*O294^2+(-0.0021)*O294)</f>
        <v/>
      </c>
      <c r="W294">
        <f>P$1*((-0.000002)*P294^3+0.00032*P294^2+(-0.0021)*P294)+Q$1*((-0.000002)*Q294^3+0.00032*Q294^2+(-0.0021)*Q294)+R$1*((-0.000002)*R294^3+0.00032*R294^2+(-0.0021)*R294)+S$1*((-0.000002)*S294^3+0.00032*S294^2+(-0.0021)*S294)+T$1*((-0.000002)*T294^3+0.00032*T294^2+(-0.0021)*T294)</f>
        <v/>
      </c>
      <c r="X294">
        <f>(I$1*((-0.000002)*I294^3+0.00032*I294^2+(-0.0021)*I294)+J$1*((-0.000002)*J294^3+0.00032*J294^2+(-0.0021)*J294)+H$1*((-0.000002)*H294^3+0.00032*H294^2+(-0.0021)*H294))*(MAX(0.05,MIN(1,(2*J294+I294)/120)*MIN(1,I294/10)*MIN(1,J294/10)))</f>
        <v/>
      </c>
      <c r="Y294">
        <f>(I$1*((-0.000002)*I294^3+0.00032*I294^2+(-0.0021)*I294)+J$1*((-0.000002)*J294^3+0.00032*J294^2+(-0.0021)*J294)+H$1*((-0.000002)*H294^3+0.00032*H294^2+(-0.0021)*H294))*(MAX(0.05,MIN(1,(2*J294+I294)/120)*MIN(1,I294/10)*MIN(1,J294/10)))</f>
        <v/>
      </c>
      <c r="Z294">
        <f>U294*J$2+V294*O$2+W294*H$2</f>
        <v/>
      </c>
      <c r="AA294">
        <f>IF(AND(J294&gt;50,I294+J294&gt;75),"SP",IF(2*I294+J294&gt;120,"RP","CRAP"))</f>
        <v/>
      </c>
    </row>
    <row r="295" ht="13.5" customHeight="1" s="27" thickBot="1">
      <c r="A295">
        <f>(V295*V$2+W295*W$2+X295*X$2)*100/(V$4*V$2+W$4*W$2+X$4*X$2)</f>
        <v/>
      </c>
      <c r="B295" s="18" t="n"/>
      <c r="C295" s="11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>
        <f>K$1*(0.000001*K295^3)+L$1*((-0.000002)*L295^3+0.00032*L295^2+(-0.0021)*L295)+M$1*((-0.000002)*M295^3+0.00032*M295^2+(-0.0021)*M295)+N$1*((-0.000002)*N295^3+0.00032*N295^2+(-0.0021)*N295)+O$1*((-0.000002)*O295^3+0.00032*O295^2+(-0.0021)*O295)</f>
        <v/>
      </c>
      <c r="W295">
        <f>P$1*((-0.000002)*P295^3+0.00032*P295^2+(-0.0021)*P295)+Q$1*((-0.000002)*Q295^3+0.00032*Q295^2+(-0.0021)*Q295)+R$1*((-0.000002)*R295^3+0.00032*R295^2+(-0.0021)*R295)+S$1*((-0.000002)*S295^3+0.00032*S295^2+(-0.0021)*S295)+T$1*((-0.000002)*T295^3+0.00032*T295^2+(-0.0021)*T295)</f>
        <v/>
      </c>
      <c r="X295">
        <f>(I$1*((-0.000002)*I295^3+0.00032*I295^2+(-0.0021)*I295)+J$1*((-0.000002)*J295^3+0.00032*J295^2+(-0.0021)*J295)+H$1*((-0.000002)*H295^3+0.00032*H295^2+(-0.0021)*H295))*(MAX(0.05,MIN(1,(2*J295+I295)/120)*MIN(1,I295/10)*MIN(1,J295/10)))</f>
        <v/>
      </c>
      <c r="Y295">
        <f>(I$1*((-0.000002)*I295^3+0.00032*I295^2+(-0.0021)*I295)+J$1*((-0.000002)*J295^3+0.00032*J295^2+(-0.0021)*J295)+H$1*((-0.000002)*H295^3+0.00032*H295^2+(-0.0021)*H295))*(MAX(0.05,MIN(1,(2*J295+I295)/120)*MIN(1,I295/10)*MIN(1,J295/10)))</f>
        <v/>
      </c>
      <c r="Z295">
        <f>U295*J$2+V295*O$2+W295*H$2</f>
        <v/>
      </c>
      <c r="AA295">
        <f>IF(AND(J295&gt;50,I295+J295&gt;75),"SP",IF(2*I295+J295&gt;120,"RP","CRAP"))</f>
        <v/>
      </c>
    </row>
    <row r="296" ht="13.5" customHeight="1" s="27" thickBot="1">
      <c r="A296">
        <f>(V296*V$2+W296*W$2+X296*X$2)*100/(V$4*V$2+W$4*W$2+X$4*X$2)</f>
        <v/>
      </c>
      <c r="B296" s="16" t="n"/>
      <c r="C296" s="10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>
        <f>K$1*(0.000001*K296^3)+L$1*((-0.000002)*L296^3+0.00032*L296^2+(-0.0021)*L296)+M$1*((-0.000002)*M296^3+0.00032*M296^2+(-0.0021)*M296)+N$1*((-0.000002)*N296^3+0.00032*N296^2+(-0.0021)*N296)+O$1*((-0.000002)*O296^3+0.00032*O296^2+(-0.0021)*O296)</f>
        <v/>
      </c>
      <c r="W296">
        <f>P$1*((-0.000002)*P296^3+0.00032*P296^2+(-0.0021)*P296)+Q$1*((-0.000002)*Q296^3+0.00032*Q296^2+(-0.0021)*Q296)+R$1*((-0.000002)*R296^3+0.00032*R296^2+(-0.0021)*R296)+S$1*((-0.000002)*S296^3+0.00032*S296^2+(-0.0021)*S296)+T$1*((-0.000002)*T296^3+0.00032*T296^2+(-0.0021)*T296)</f>
        <v/>
      </c>
      <c r="X296">
        <f>(I$1*((-0.000002)*I296^3+0.00032*I296^2+(-0.0021)*I296)+J$1*((-0.000002)*J296^3+0.00032*J296^2+(-0.0021)*J296)+H$1*((-0.000002)*H296^3+0.00032*H296^2+(-0.0021)*H296))*(MAX(0.05,MIN(1,(2*J296+I296)/120)*MIN(1,I296/10)*MIN(1,J296/10)))</f>
        <v/>
      </c>
      <c r="Y296">
        <f>(I$1*((-0.000002)*I296^3+0.00032*I296^2+(-0.0021)*I296)+J$1*((-0.000002)*J296^3+0.00032*J296^2+(-0.0021)*J296)+H$1*((-0.000002)*H296^3+0.00032*H296^2+(-0.0021)*H296))*(MAX(0.05,MIN(1,(2*J296+I296)/120)*MIN(1,I296/10)*MIN(1,J296/10)))</f>
        <v/>
      </c>
      <c r="Z296">
        <f>U296*J$2+V296*O$2+W296*H$2</f>
        <v/>
      </c>
      <c r="AA296">
        <f>IF(AND(J296&gt;50,I296+J296&gt;75),"SP",IF(2*I296+J296&gt;120,"RP","CRAP"))</f>
        <v/>
      </c>
    </row>
    <row r="297" ht="13.5" customHeight="1" s="27" thickBot="1">
      <c r="A297">
        <f>(V297*V$2+W297*W$2+X297*X$2)*100/(V$4*V$2+W$4*W$2+X$4*X$2)</f>
        <v/>
      </c>
      <c r="B297" s="18" t="n"/>
      <c r="C297" s="11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>
        <f>K$1*(0.000001*K297^3)+L$1*((-0.000002)*L297^3+0.00032*L297^2+(-0.0021)*L297)+M$1*((-0.000002)*M297^3+0.00032*M297^2+(-0.0021)*M297)+N$1*((-0.000002)*N297^3+0.00032*N297^2+(-0.0021)*N297)+O$1*((-0.000002)*O297^3+0.00032*O297^2+(-0.0021)*O297)</f>
        <v/>
      </c>
      <c r="W297">
        <f>P$1*((-0.000002)*P297^3+0.00032*P297^2+(-0.0021)*P297)+Q$1*((-0.000002)*Q297^3+0.00032*Q297^2+(-0.0021)*Q297)+R$1*((-0.000002)*R297^3+0.00032*R297^2+(-0.0021)*R297)+S$1*((-0.000002)*S297^3+0.00032*S297^2+(-0.0021)*S297)+T$1*((-0.000002)*T297^3+0.00032*T297^2+(-0.0021)*T297)</f>
        <v/>
      </c>
      <c r="X297">
        <f>(I$1*((-0.000002)*I297^3+0.00032*I297^2+(-0.0021)*I297)+J$1*((-0.000002)*J297^3+0.00032*J297^2+(-0.0021)*J297)+H$1*((-0.000002)*H297^3+0.00032*H297^2+(-0.0021)*H297))*(MAX(0.05,MIN(1,(2*J297+I297)/120)*MIN(1,I297/10)*MIN(1,J297/10)))</f>
        <v/>
      </c>
      <c r="Y297">
        <f>(I$1*((-0.000002)*I297^3+0.00032*I297^2+(-0.0021)*I297)+J$1*((-0.000002)*J297^3+0.00032*J297^2+(-0.0021)*J297)+H$1*((-0.000002)*H297^3+0.00032*H297^2+(-0.0021)*H297))*(MAX(0.05,MIN(1,(2*J297+I297)/120)*MIN(1,I297/10)*MIN(1,J297/10)))</f>
        <v/>
      </c>
      <c r="Z297">
        <f>U297*J$2+V297*O$2+W297*H$2</f>
        <v/>
      </c>
      <c r="AA297">
        <f>IF(AND(J297&gt;50,I297+J297&gt;75),"SP",IF(2*I297+J297&gt;120,"RP","CRAP"))</f>
        <v/>
      </c>
    </row>
    <row r="298" ht="13.5" customHeight="1" s="27" thickBot="1">
      <c r="A298">
        <f>(V298*V$2+W298*W$2+X298*X$2)*100/(V$4*V$2+W$4*W$2+X$4*X$2)</f>
        <v/>
      </c>
      <c r="B298" s="16" t="n"/>
      <c r="C298" s="10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>
        <f>K$1*(0.000001*K298^3)+L$1*((-0.000002)*L298^3+0.00032*L298^2+(-0.0021)*L298)+M$1*((-0.000002)*M298^3+0.00032*M298^2+(-0.0021)*M298)+N$1*((-0.000002)*N298^3+0.00032*N298^2+(-0.0021)*N298)+O$1*((-0.000002)*O298^3+0.00032*O298^2+(-0.0021)*O298)</f>
        <v/>
      </c>
      <c r="W298">
        <f>P$1*((-0.000002)*P298^3+0.00032*P298^2+(-0.0021)*P298)+Q$1*((-0.000002)*Q298^3+0.00032*Q298^2+(-0.0021)*Q298)+R$1*((-0.000002)*R298^3+0.00032*R298^2+(-0.0021)*R298)+S$1*((-0.000002)*S298^3+0.00032*S298^2+(-0.0021)*S298)+T$1*((-0.000002)*T298^3+0.00032*T298^2+(-0.0021)*T298)</f>
        <v/>
      </c>
      <c r="X298">
        <f>(I$1*((-0.000002)*I298^3+0.00032*I298^2+(-0.0021)*I298)+J$1*((-0.000002)*J298^3+0.00032*J298^2+(-0.0021)*J298)+H$1*((-0.000002)*H298^3+0.00032*H298^2+(-0.0021)*H298))*(MAX(0.05,MIN(1,(2*J298+I298)/120)*MIN(1,I298/10)*MIN(1,J298/10)))</f>
        <v/>
      </c>
      <c r="Y298">
        <f>(I$1*((-0.000002)*I298^3+0.00032*I298^2+(-0.0021)*I298)+J$1*((-0.000002)*J298^3+0.00032*J298^2+(-0.0021)*J298)+H$1*((-0.000002)*H298^3+0.00032*H298^2+(-0.0021)*H298))*(MAX(0.05,MIN(1,(2*J298+I298)/120)*MIN(1,I298/10)*MIN(1,J298/10)))</f>
        <v/>
      </c>
      <c r="Z298">
        <f>U298*J$2+V298*O$2+W298*H$2</f>
        <v/>
      </c>
      <c r="AA298">
        <f>IF(AND(J298&gt;50,I298+J298&gt;75),"SP",IF(2*I298+J298&gt;120,"RP","CRAP"))</f>
        <v/>
      </c>
    </row>
    <row r="299" ht="13.5" customHeight="1" s="27" thickBot="1">
      <c r="A299">
        <f>(V299*V$2+W299*W$2+X299*X$2)*100/(V$4*V$2+W$4*W$2+X$4*X$2)</f>
        <v/>
      </c>
      <c r="B299" s="18" t="n"/>
      <c r="C299" s="11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>
        <f>K$1*(0.000001*K299^3)+L$1*((-0.000002)*L299^3+0.00032*L299^2+(-0.0021)*L299)+M$1*((-0.000002)*M299^3+0.00032*M299^2+(-0.0021)*M299)+N$1*((-0.000002)*N299^3+0.00032*N299^2+(-0.0021)*N299)+O$1*((-0.000002)*O299^3+0.00032*O299^2+(-0.0021)*O299)</f>
        <v/>
      </c>
      <c r="W299">
        <f>P$1*((-0.000002)*P299^3+0.00032*P299^2+(-0.0021)*P299)+Q$1*((-0.000002)*Q299^3+0.00032*Q299^2+(-0.0021)*Q299)+R$1*((-0.000002)*R299^3+0.00032*R299^2+(-0.0021)*R299)+S$1*((-0.000002)*S299^3+0.00032*S299^2+(-0.0021)*S299)+T$1*((-0.000002)*T299^3+0.00032*T299^2+(-0.0021)*T299)</f>
        <v/>
      </c>
      <c r="X299">
        <f>(I$1*((-0.000002)*I299^3+0.00032*I299^2+(-0.0021)*I299)+J$1*((-0.000002)*J299^3+0.00032*J299^2+(-0.0021)*J299)+H$1*((-0.000002)*H299^3+0.00032*H299^2+(-0.0021)*H299))*(MAX(0.05,MIN(1,(2*J299+I299)/120)*MIN(1,I299/10)*MIN(1,J299/10)))</f>
        <v/>
      </c>
      <c r="Y299">
        <f>(I$1*((-0.000002)*I299^3+0.00032*I299^2+(-0.0021)*I299)+J$1*((-0.000002)*J299^3+0.00032*J299^2+(-0.0021)*J299)+H$1*((-0.000002)*H299^3+0.00032*H299^2+(-0.0021)*H299))*(MAX(0.05,MIN(1,(2*J299+I299)/120)*MIN(1,I299/10)*MIN(1,J299/10)))</f>
        <v/>
      </c>
      <c r="Z299">
        <f>U299*J$2+V299*O$2+W299*H$2</f>
        <v/>
      </c>
      <c r="AA299">
        <f>IF(AND(J299&gt;50,I299+J299&gt;75),"SP",IF(2*I299+J299&gt;120,"RP","CRAP"))</f>
        <v/>
      </c>
    </row>
    <row r="300" ht="13.5" customHeight="1" s="27" thickBot="1">
      <c r="A300">
        <f>(V300*V$2+W300*W$2+X300*X$2)*100/(V$4*V$2+W$4*W$2+X$4*X$2)</f>
        <v/>
      </c>
      <c r="B300" s="16" t="n"/>
      <c r="C300" s="10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>
        <f>K$1*(0.000001*K300^3)+L$1*((-0.000002)*L300^3+0.00032*L300^2+(-0.0021)*L300)+M$1*((-0.000002)*M300^3+0.00032*M300^2+(-0.0021)*M300)+N$1*((-0.000002)*N300^3+0.00032*N300^2+(-0.0021)*N300)+O$1*((-0.000002)*O300^3+0.00032*O300^2+(-0.0021)*O300)</f>
        <v/>
      </c>
      <c r="W300">
        <f>P$1*((-0.000002)*P300^3+0.00032*P300^2+(-0.0021)*P300)+Q$1*((-0.000002)*Q300^3+0.00032*Q300^2+(-0.0021)*Q300)+R$1*((-0.000002)*R300^3+0.00032*R300^2+(-0.0021)*R300)+S$1*((-0.000002)*S300^3+0.00032*S300^2+(-0.0021)*S300)+T$1*((-0.000002)*T300^3+0.00032*T300^2+(-0.0021)*T300)</f>
        <v/>
      </c>
      <c r="X300">
        <f>(I$1*((-0.000002)*I300^3+0.00032*I300^2+(-0.0021)*I300)+J$1*((-0.000002)*J300^3+0.00032*J300^2+(-0.0021)*J300)+H$1*((-0.000002)*H300^3+0.00032*H300^2+(-0.0021)*H300))*(MAX(0.05,MIN(1,(2*J300+I300)/120)*MIN(1,I300/10)*MIN(1,J300/10)))</f>
        <v/>
      </c>
      <c r="Y300">
        <f>(I$1*((-0.000002)*I300^3+0.00032*I300^2+(-0.0021)*I300)+J$1*((-0.000002)*J300^3+0.00032*J300^2+(-0.0021)*J300)+H$1*((-0.000002)*H300^3+0.00032*H300^2+(-0.0021)*H300))*(MAX(0.05,MIN(1,(2*J300+I300)/120)*MIN(1,I300/10)*MIN(1,J300/10)))</f>
        <v/>
      </c>
      <c r="Z300">
        <f>U300*J$2+V300*O$2+W300*H$2</f>
        <v/>
      </c>
      <c r="AA300">
        <f>IF(AND(J300&gt;50,I300+J300&gt;75),"SP",IF(2*I300+J300&gt;120,"RP","CRAP"))</f>
        <v/>
      </c>
    </row>
    <row r="301" ht="13.5" customHeight="1" s="27" thickBot="1">
      <c r="A301">
        <f>(V301*V$2+W301*W$2+X301*X$2)*100/(V$4*V$2+W$4*W$2+X$4*X$2)</f>
        <v/>
      </c>
      <c r="B301" s="18" t="n"/>
      <c r="C301" s="11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>
        <f>K$1*(0.000001*K301^3)+L$1*((-0.000002)*L301^3+0.00032*L301^2+(-0.0021)*L301)+M$1*((-0.000002)*M301^3+0.00032*M301^2+(-0.0021)*M301)+N$1*((-0.000002)*N301^3+0.00032*N301^2+(-0.0021)*N301)+O$1*((-0.000002)*O301^3+0.00032*O301^2+(-0.0021)*O301)</f>
        <v/>
      </c>
      <c r="W301">
        <f>P$1*((-0.000002)*P301^3+0.00032*P301^2+(-0.0021)*P301)+Q$1*((-0.000002)*Q301^3+0.00032*Q301^2+(-0.0021)*Q301)+R$1*((-0.000002)*R301^3+0.00032*R301^2+(-0.0021)*R301)+S$1*((-0.000002)*S301^3+0.00032*S301^2+(-0.0021)*S301)+T$1*((-0.000002)*T301^3+0.00032*T301^2+(-0.0021)*T301)</f>
        <v/>
      </c>
      <c r="X301">
        <f>(I$1*((-0.000002)*I301^3+0.00032*I301^2+(-0.0021)*I301)+J$1*((-0.000002)*J301^3+0.00032*J301^2+(-0.0021)*J301)+H$1*((-0.000002)*H301^3+0.00032*H301^2+(-0.0021)*H301))*(MAX(0.05,MIN(1,(2*J301+I301)/120)*MIN(1,I301/10)*MIN(1,J301/10)))</f>
        <v/>
      </c>
      <c r="Y301">
        <f>(I$1*((-0.000002)*I301^3+0.00032*I301^2+(-0.0021)*I301)+J$1*((-0.000002)*J301^3+0.00032*J301^2+(-0.0021)*J301)+H$1*((-0.000002)*H301^3+0.00032*H301^2+(-0.0021)*H301))*(MAX(0.05,MIN(1,(2*J301+I301)/120)*MIN(1,I301/10)*MIN(1,J301/10)))</f>
        <v/>
      </c>
      <c r="Z301">
        <f>U301*J$2+V301*O$2+W301*H$2</f>
        <v/>
      </c>
      <c r="AA301">
        <f>IF(AND(J301&gt;50,I301+J301&gt;75),"SP",IF(2*I301+J301&gt;120,"RP","CRAP"))</f>
        <v/>
      </c>
    </row>
    <row r="302" ht="13.5" customHeight="1" s="27" thickBot="1">
      <c r="A302">
        <f>(V302*V$2+W302*W$2+X302*X$2)*100/(V$4*V$2+W$4*W$2+X$4*X$2)</f>
        <v/>
      </c>
      <c r="B302" s="16" t="n"/>
      <c r="C302" s="10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>
        <f>K$1*(0.000001*K302^3)+L$1*((-0.000002)*L302^3+0.00032*L302^2+(-0.0021)*L302)+M$1*((-0.000002)*M302^3+0.00032*M302^2+(-0.0021)*M302)+N$1*((-0.000002)*N302^3+0.00032*N302^2+(-0.0021)*N302)+O$1*((-0.000002)*O302^3+0.00032*O302^2+(-0.0021)*O302)</f>
        <v/>
      </c>
      <c r="W302">
        <f>P$1*((-0.000002)*P302^3+0.00032*P302^2+(-0.0021)*P302)+Q$1*((-0.000002)*Q302^3+0.00032*Q302^2+(-0.0021)*Q302)+R$1*((-0.000002)*R302^3+0.00032*R302^2+(-0.0021)*R302)+S$1*((-0.000002)*S302^3+0.00032*S302^2+(-0.0021)*S302)+T$1*((-0.000002)*T302^3+0.00032*T302^2+(-0.0021)*T302)</f>
        <v/>
      </c>
      <c r="X302">
        <f>(I$1*((-0.000002)*I302^3+0.00032*I302^2+(-0.0021)*I302)+J$1*((-0.000002)*J302^3+0.00032*J302^2+(-0.0021)*J302)+H$1*((-0.000002)*H302^3+0.00032*H302^2+(-0.0021)*H302))*(MAX(0.05,MIN(1,(2*J302+I302)/120)*MIN(1,I302/10)*MIN(1,J302/10)))</f>
        <v/>
      </c>
      <c r="Y302">
        <f>(I$1*((-0.000002)*I302^3+0.00032*I302^2+(-0.0021)*I302)+J$1*((-0.000002)*J302^3+0.00032*J302^2+(-0.0021)*J302)+H$1*((-0.000002)*H302^3+0.00032*H302^2+(-0.0021)*H302))*(MAX(0.05,MIN(1,(2*J302+I302)/120)*MIN(1,I302/10)*MIN(1,J302/10)))</f>
        <v/>
      </c>
      <c r="Z302">
        <f>U302*J$2+V302*O$2+W302*H$2</f>
        <v/>
      </c>
      <c r="AA302">
        <f>IF(AND(J302&gt;50,I302+J302&gt;75),"SP",IF(2*I302+J302&gt;120,"RP","CRAP"))</f>
        <v/>
      </c>
    </row>
    <row r="303" ht="13.5" customHeight="1" s="27" thickBot="1">
      <c r="A303">
        <f>(V303*V$2+W303*W$2+X303*X$2)*100/(V$4*V$2+W$4*W$2+X$4*X$2)</f>
        <v/>
      </c>
      <c r="B303" s="18" t="n"/>
      <c r="C303" s="11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>
        <f>K$1*(0.000001*K303^3)+L$1*((-0.000002)*L303^3+0.00032*L303^2+(-0.0021)*L303)+M$1*((-0.000002)*M303^3+0.00032*M303^2+(-0.0021)*M303)+N$1*((-0.000002)*N303^3+0.00032*N303^2+(-0.0021)*N303)+O$1*((-0.000002)*O303^3+0.00032*O303^2+(-0.0021)*O303)</f>
        <v/>
      </c>
      <c r="W303">
        <f>P$1*((-0.000002)*P303^3+0.00032*P303^2+(-0.0021)*P303)+Q$1*((-0.000002)*Q303^3+0.00032*Q303^2+(-0.0021)*Q303)+R$1*((-0.000002)*R303^3+0.00032*R303^2+(-0.0021)*R303)+S$1*((-0.000002)*S303^3+0.00032*S303^2+(-0.0021)*S303)+T$1*((-0.000002)*T303^3+0.00032*T303^2+(-0.0021)*T303)</f>
        <v/>
      </c>
      <c r="X303">
        <f>(I$1*((-0.000002)*I303^3+0.00032*I303^2+(-0.0021)*I303)+J$1*((-0.000002)*J303^3+0.00032*J303^2+(-0.0021)*J303)+H$1*((-0.000002)*H303^3+0.00032*H303^2+(-0.0021)*H303))*(MAX(0.05,MIN(1,(2*J303+I303)/120)*MIN(1,I303/10)*MIN(1,J303/10)))</f>
        <v/>
      </c>
      <c r="Y303">
        <f>(I$1*((-0.000002)*I303^3+0.00032*I303^2+(-0.0021)*I303)+J$1*((-0.000002)*J303^3+0.00032*J303^2+(-0.0021)*J303)+H$1*((-0.000002)*H303^3+0.00032*H303^2+(-0.0021)*H303))*(MAX(0.05,MIN(1,(2*J303+I303)/120)*MIN(1,I303/10)*MIN(1,J303/10)))</f>
        <v/>
      </c>
      <c r="Z303">
        <f>U303*J$2+V303*O$2+W303*H$2</f>
        <v/>
      </c>
      <c r="AA303">
        <f>IF(AND(J303&gt;50,I303+J303&gt;75),"SP",IF(2*I303+J303&gt;120,"RP","CRAP"))</f>
        <v/>
      </c>
    </row>
    <row r="304" ht="13.5" customHeight="1" s="27" thickBot="1">
      <c r="A304">
        <f>(V304*V$2+W304*W$2+X304*X$2)*100/(V$4*V$2+W$4*W$2+X$4*X$2)</f>
        <v/>
      </c>
      <c r="B304" s="16" t="n"/>
      <c r="C304" s="10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>
        <f>K$1*(0.000001*K304^3)+L$1*((-0.000002)*L304^3+0.00032*L304^2+(-0.0021)*L304)+M$1*((-0.000002)*M304^3+0.00032*M304^2+(-0.0021)*M304)+N$1*((-0.000002)*N304^3+0.00032*N304^2+(-0.0021)*N304)+O$1*((-0.000002)*O304^3+0.00032*O304^2+(-0.0021)*O304)</f>
        <v/>
      </c>
      <c r="W304">
        <f>P$1*((-0.000002)*P304^3+0.00032*P304^2+(-0.0021)*P304)+Q$1*((-0.000002)*Q304^3+0.00032*Q304^2+(-0.0021)*Q304)+R$1*((-0.000002)*R304^3+0.00032*R304^2+(-0.0021)*R304)+S$1*((-0.000002)*S304^3+0.00032*S304^2+(-0.0021)*S304)+T$1*((-0.000002)*T304^3+0.00032*T304^2+(-0.0021)*T304)</f>
        <v/>
      </c>
      <c r="X304">
        <f>(I$1*((-0.000002)*I304^3+0.00032*I304^2+(-0.0021)*I304)+J$1*((-0.000002)*J304^3+0.00032*J304^2+(-0.0021)*J304)+H$1*((-0.000002)*H304^3+0.00032*H304^2+(-0.0021)*H304))*(MAX(0.05,MIN(1,(2*J304+I304)/120)*MIN(1,I304/10)*MIN(1,J304/10)))</f>
        <v/>
      </c>
      <c r="Y304">
        <f>(I$1*((-0.000002)*I304^3+0.00032*I304^2+(-0.0021)*I304)+J$1*((-0.000002)*J304^3+0.00032*J304^2+(-0.0021)*J304)+H$1*((-0.000002)*H304^3+0.00032*H304^2+(-0.0021)*H304))*(MAX(0.05,MIN(1,(2*J304+I304)/120)*MIN(1,I304/10)*MIN(1,J304/10)))</f>
        <v/>
      </c>
      <c r="Z304">
        <f>U304*J$2+V304*O$2+W304*H$2</f>
        <v/>
      </c>
      <c r="AA304">
        <f>IF(AND(J304&gt;50,I304+J304&gt;75),"SP",IF(2*I304+J304&gt;120,"RP","CRAP"))</f>
        <v/>
      </c>
    </row>
    <row r="305" ht="13.5" customHeight="1" s="27" thickBot="1">
      <c r="A305">
        <f>(V305*V$2+W305*W$2+X305*X$2)*100/(V$4*V$2+W$4*W$2+X$4*X$2)</f>
        <v/>
      </c>
      <c r="B305" s="18" t="n"/>
      <c r="C305" s="11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>
        <f>K$1*(0.000001*K305^3)+L$1*((-0.000002)*L305^3+0.00032*L305^2+(-0.0021)*L305)+M$1*((-0.000002)*M305^3+0.00032*M305^2+(-0.0021)*M305)+N$1*((-0.000002)*N305^3+0.00032*N305^2+(-0.0021)*N305)+O$1*((-0.000002)*O305^3+0.00032*O305^2+(-0.0021)*O305)</f>
        <v/>
      </c>
      <c r="W305">
        <f>P$1*((-0.000002)*P305^3+0.00032*P305^2+(-0.0021)*P305)+Q$1*((-0.000002)*Q305^3+0.00032*Q305^2+(-0.0021)*Q305)+R$1*((-0.000002)*R305^3+0.00032*R305^2+(-0.0021)*R305)+S$1*((-0.000002)*S305^3+0.00032*S305^2+(-0.0021)*S305)+T$1*((-0.000002)*T305^3+0.00032*T305^2+(-0.0021)*T305)</f>
        <v/>
      </c>
      <c r="X305">
        <f>(I$1*((-0.000002)*I305^3+0.00032*I305^2+(-0.0021)*I305)+J$1*((-0.000002)*J305^3+0.00032*J305^2+(-0.0021)*J305)+H$1*((-0.000002)*H305^3+0.00032*H305^2+(-0.0021)*H305))*(MAX(0.05,MIN(1,(2*J305+I305)/120)*MIN(1,I305/10)*MIN(1,J305/10)))</f>
        <v/>
      </c>
      <c r="Y305">
        <f>(I$1*((-0.000002)*I305^3+0.00032*I305^2+(-0.0021)*I305)+J$1*((-0.000002)*J305^3+0.00032*J305^2+(-0.0021)*J305)+H$1*((-0.000002)*H305^3+0.00032*H305^2+(-0.0021)*H305))*(MAX(0.05,MIN(1,(2*J305+I305)/120)*MIN(1,I305/10)*MIN(1,J305/10)))</f>
        <v/>
      </c>
      <c r="Z305">
        <f>U305*J$2+V305*O$2+W305*H$2</f>
        <v/>
      </c>
      <c r="AA305">
        <f>IF(AND(J305&gt;50,I305+J305&gt;75),"SP",IF(2*I305+J305&gt;120,"RP","CRAP"))</f>
        <v/>
      </c>
    </row>
    <row r="306" ht="13.5" customHeight="1" s="27" thickBot="1">
      <c r="A306">
        <f>(V306*V$2+W306*W$2+X306*X$2)*100/(V$4*V$2+W$4*W$2+X$4*X$2)</f>
        <v/>
      </c>
      <c r="B306" s="16" t="n"/>
      <c r="C306" s="10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>
        <f>K$1*(0.000001*K306^3)+L$1*((-0.000002)*L306^3+0.00032*L306^2+(-0.0021)*L306)+M$1*((-0.000002)*M306^3+0.00032*M306^2+(-0.0021)*M306)+N$1*((-0.000002)*N306^3+0.00032*N306^2+(-0.0021)*N306)+O$1*((-0.000002)*O306^3+0.00032*O306^2+(-0.0021)*O306)</f>
        <v/>
      </c>
      <c r="W306">
        <f>P$1*((-0.000002)*P306^3+0.00032*P306^2+(-0.0021)*P306)+Q$1*((-0.000002)*Q306^3+0.00032*Q306^2+(-0.0021)*Q306)+R$1*((-0.000002)*R306^3+0.00032*R306^2+(-0.0021)*R306)+S$1*((-0.000002)*S306^3+0.00032*S306^2+(-0.0021)*S306)+T$1*((-0.000002)*T306^3+0.00032*T306^2+(-0.0021)*T306)</f>
        <v/>
      </c>
      <c r="X306">
        <f>(I$1*((-0.000002)*I306^3+0.00032*I306^2+(-0.0021)*I306)+J$1*((-0.000002)*J306^3+0.00032*J306^2+(-0.0021)*J306)+H$1*((-0.000002)*H306^3+0.00032*H306^2+(-0.0021)*H306))*(MAX(0.05,MIN(1,(2*J306+I306)/120)*MIN(1,I306/10)*MIN(1,J306/10)))</f>
        <v/>
      </c>
      <c r="Y306">
        <f>(I$1*((-0.000002)*I306^3+0.00032*I306^2+(-0.0021)*I306)+J$1*((-0.000002)*J306^3+0.00032*J306^2+(-0.0021)*J306)+H$1*((-0.000002)*H306^3+0.00032*H306^2+(-0.0021)*H306))*(MAX(0.05,MIN(1,(2*J306+I306)/120)*MIN(1,I306/10)*MIN(1,J306/10)))</f>
        <v/>
      </c>
      <c r="Z306">
        <f>U306*J$2+V306*O$2+W306*H$2</f>
        <v/>
      </c>
      <c r="AA306">
        <f>IF(AND(J306&gt;50,I306+J306&gt;75),"SP",IF(2*I306+J306&gt;120,"RP","CRAP"))</f>
        <v/>
      </c>
    </row>
    <row r="307" ht="13.5" customHeight="1" s="27" thickBot="1">
      <c r="A307">
        <f>(V307*V$2+W307*W$2+X307*X$2)*100/(V$4*V$2+W$4*W$2+X$4*X$2)</f>
        <v/>
      </c>
      <c r="B307" s="18" t="n"/>
      <c r="C307" s="11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>
        <f>K$1*(0.000001*K307^3)+L$1*((-0.000002)*L307^3+0.00032*L307^2+(-0.0021)*L307)+M$1*((-0.000002)*M307^3+0.00032*M307^2+(-0.0021)*M307)+N$1*((-0.000002)*N307^3+0.00032*N307^2+(-0.0021)*N307)+O$1*((-0.000002)*O307^3+0.00032*O307^2+(-0.0021)*O307)</f>
        <v/>
      </c>
      <c r="W307">
        <f>P$1*((-0.000002)*P307^3+0.00032*P307^2+(-0.0021)*P307)+Q$1*((-0.000002)*Q307^3+0.00032*Q307^2+(-0.0021)*Q307)+R$1*((-0.000002)*R307^3+0.00032*R307^2+(-0.0021)*R307)+S$1*((-0.000002)*S307^3+0.00032*S307^2+(-0.0021)*S307)+T$1*((-0.000002)*T307^3+0.00032*T307^2+(-0.0021)*T307)</f>
        <v/>
      </c>
      <c r="X307">
        <f>(I$1*((-0.000002)*I307^3+0.00032*I307^2+(-0.0021)*I307)+J$1*((-0.000002)*J307^3+0.00032*J307^2+(-0.0021)*J307)+H$1*((-0.000002)*H307^3+0.00032*H307^2+(-0.0021)*H307))*(MAX(0.05,MIN(1,(2*J307+I307)/120)*MIN(1,I307/10)*MIN(1,J307/10)))</f>
        <v/>
      </c>
      <c r="Y307">
        <f>(I$1*((-0.000002)*I307^3+0.00032*I307^2+(-0.0021)*I307)+J$1*((-0.000002)*J307^3+0.00032*J307^2+(-0.0021)*J307)+H$1*((-0.000002)*H307^3+0.00032*H307^2+(-0.0021)*H307))*(MAX(0.05,MIN(1,(2*J307+I307)/120)*MIN(1,I307/10)*MIN(1,J307/10)))</f>
        <v/>
      </c>
      <c r="Z307">
        <f>U307*J$2+V307*O$2+W307*H$2</f>
        <v/>
      </c>
      <c r="AA307">
        <f>IF(AND(J307&gt;50,I307+J307&gt;75),"SP",IF(2*I307+J307&gt;120,"RP","CRAP"))</f>
        <v/>
      </c>
    </row>
    <row r="308" ht="13.5" customHeight="1" s="27" thickBot="1">
      <c r="A308">
        <f>(V308*V$2+W308*W$2+X308*X$2)*100/(V$4*V$2+W$4*W$2+X$4*X$2)</f>
        <v/>
      </c>
      <c r="B308" s="16" t="n"/>
      <c r="C308" s="10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>
        <f>K$1*(0.000001*K308^3)+L$1*((-0.000002)*L308^3+0.00032*L308^2+(-0.0021)*L308)+M$1*((-0.000002)*M308^3+0.00032*M308^2+(-0.0021)*M308)+N$1*((-0.000002)*N308^3+0.00032*N308^2+(-0.0021)*N308)+O$1*((-0.000002)*O308^3+0.00032*O308^2+(-0.0021)*O308)</f>
        <v/>
      </c>
      <c r="W308">
        <f>P$1*((-0.000002)*P308^3+0.00032*P308^2+(-0.0021)*P308)+Q$1*((-0.000002)*Q308^3+0.00032*Q308^2+(-0.0021)*Q308)+R$1*((-0.000002)*R308^3+0.00032*R308^2+(-0.0021)*R308)+S$1*((-0.000002)*S308^3+0.00032*S308^2+(-0.0021)*S308)+T$1*((-0.000002)*T308^3+0.00032*T308^2+(-0.0021)*T308)</f>
        <v/>
      </c>
      <c r="X308">
        <f>(I$1*((-0.000002)*I308^3+0.00032*I308^2+(-0.0021)*I308)+J$1*((-0.000002)*J308^3+0.00032*J308^2+(-0.0021)*J308)+H$1*((-0.000002)*H308^3+0.00032*H308^2+(-0.0021)*H308))*(MAX(0.05,MIN(1,(2*J308+I308)/120)*MIN(1,I308/10)*MIN(1,J308/10)))</f>
        <v/>
      </c>
      <c r="Y308">
        <f>(I$1*((-0.000002)*I308^3+0.00032*I308^2+(-0.0021)*I308)+J$1*((-0.000002)*J308^3+0.00032*J308^2+(-0.0021)*J308)+H$1*((-0.000002)*H308^3+0.00032*H308^2+(-0.0021)*H308))*(MAX(0.05,MIN(1,(2*J308+I308)/120)*MIN(1,I308/10)*MIN(1,J308/10)))</f>
        <v/>
      </c>
      <c r="Z308">
        <f>U308*J$2+V308*O$2+W308*H$2</f>
        <v/>
      </c>
      <c r="AA308">
        <f>IF(AND(J308&gt;50,I308+J308&gt;75),"SP",IF(2*I308+J308&gt;120,"RP","CRAP"))</f>
        <v/>
      </c>
    </row>
    <row r="309" ht="13.5" customHeight="1" s="27" thickBot="1">
      <c r="A309">
        <f>(V309*V$2+W309*W$2+X309*X$2)*100/(V$4*V$2+W$4*W$2+X$4*X$2)</f>
        <v/>
      </c>
      <c r="B309" s="18" t="n"/>
      <c r="C309" s="11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>
        <f>K$1*(0.000001*K309^3)+L$1*((-0.000002)*L309^3+0.00032*L309^2+(-0.0021)*L309)+M$1*((-0.000002)*M309^3+0.00032*M309^2+(-0.0021)*M309)+N$1*((-0.000002)*N309^3+0.00032*N309^2+(-0.0021)*N309)+O$1*((-0.000002)*O309^3+0.00032*O309^2+(-0.0021)*O309)</f>
        <v/>
      </c>
      <c r="W309">
        <f>P$1*((-0.000002)*P309^3+0.00032*P309^2+(-0.0021)*P309)+Q$1*((-0.000002)*Q309^3+0.00032*Q309^2+(-0.0021)*Q309)+R$1*((-0.000002)*R309^3+0.00032*R309^2+(-0.0021)*R309)+S$1*((-0.000002)*S309^3+0.00032*S309^2+(-0.0021)*S309)+T$1*((-0.000002)*T309^3+0.00032*T309^2+(-0.0021)*T309)</f>
        <v/>
      </c>
      <c r="X309">
        <f>(I$1*((-0.000002)*I309^3+0.00032*I309^2+(-0.0021)*I309)+J$1*((-0.000002)*J309^3+0.00032*J309^2+(-0.0021)*J309)+H$1*((-0.000002)*H309^3+0.00032*H309^2+(-0.0021)*H309))*(MAX(0.05,MIN(1,(2*J309+I309)/120)*MIN(1,I309/10)*MIN(1,J309/10)))</f>
        <v/>
      </c>
      <c r="Y309">
        <f>(I$1*((-0.000002)*I309^3+0.00032*I309^2+(-0.0021)*I309)+J$1*((-0.000002)*J309^3+0.00032*J309^2+(-0.0021)*J309)+H$1*((-0.000002)*H309^3+0.00032*H309^2+(-0.0021)*H309))*(MAX(0.05,MIN(1,(2*J309+I309)/120)*MIN(1,I309/10)*MIN(1,J309/10)))</f>
        <v/>
      </c>
      <c r="Z309">
        <f>U309*J$2+V309*O$2+W309*H$2</f>
        <v/>
      </c>
      <c r="AA309">
        <f>IF(AND(J309&gt;50,I309+J309&gt;75),"SP",IF(2*I309+J309&gt;120,"RP","CRAP"))</f>
        <v/>
      </c>
    </row>
    <row r="310" ht="13.5" customHeight="1" s="27" thickBot="1">
      <c r="A310">
        <f>(V310*V$2+W310*W$2+X310*X$2)*100/(V$4*V$2+W$4*W$2+X$4*X$2)</f>
        <v/>
      </c>
      <c r="B310" s="16" t="n"/>
      <c r="C310" s="10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>
        <f>K$1*(0.000001*K310^3)+L$1*((-0.000002)*L310^3+0.00032*L310^2+(-0.0021)*L310)+M$1*((-0.000002)*M310^3+0.00032*M310^2+(-0.0021)*M310)+N$1*((-0.000002)*N310^3+0.00032*N310^2+(-0.0021)*N310)+O$1*((-0.000002)*O310^3+0.00032*O310^2+(-0.0021)*O310)</f>
        <v/>
      </c>
      <c r="W310">
        <f>P$1*((-0.000002)*P310^3+0.00032*P310^2+(-0.0021)*P310)+Q$1*((-0.000002)*Q310^3+0.00032*Q310^2+(-0.0021)*Q310)+R$1*((-0.000002)*R310^3+0.00032*R310^2+(-0.0021)*R310)+S$1*((-0.000002)*S310^3+0.00032*S310^2+(-0.0021)*S310)+T$1*((-0.000002)*T310^3+0.00032*T310^2+(-0.0021)*T310)</f>
        <v/>
      </c>
      <c r="X310">
        <f>(I$1*((-0.000002)*I310^3+0.00032*I310^2+(-0.0021)*I310)+J$1*((-0.000002)*J310^3+0.00032*J310^2+(-0.0021)*J310)+H$1*((-0.000002)*H310^3+0.00032*H310^2+(-0.0021)*H310))*(MAX(0.05,MIN(1,(2*J310+I310)/120)*MIN(1,I310/10)*MIN(1,J310/10)))</f>
        <v/>
      </c>
      <c r="Y310">
        <f>(I$1*((-0.000002)*I310^3+0.00032*I310^2+(-0.0021)*I310)+J$1*((-0.000002)*J310^3+0.00032*J310^2+(-0.0021)*J310)+H$1*((-0.000002)*H310^3+0.00032*H310^2+(-0.0021)*H310))*(MAX(0.05,MIN(1,(2*J310+I310)/120)*MIN(1,I310/10)*MIN(1,J310/10)))</f>
        <v/>
      </c>
      <c r="Z310">
        <f>U310*J$2+V310*O$2+W310*H$2</f>
        <v/>
      </c>
      <c r="AA310">
        <f>IF(AND(J310&gt;50,I310+J310&gt;75),"SP",IF(2*I310+J310&gt;120,"RP","CRAP"))</f>
        <v/>
      </c>
    </row>
    <row r="311" ht="13.5" customHeight="1" s="27" thickBot="1">
      <c r="A311">
        <f>(V311*V$2+W311*W$2+X311*X$2)*100/(V$4*V$2+W$4*W$2+X$4*X$2)</f>
        <v/>
      </c>
      <c r="B311" s="18" t="n"/>
      <c r="C311" s="11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>
        <f>K$1*(0.000001*K311^3)+L$1*((-0.000002)*L311^3+0.00032*L311^2+(-0.0021)*L311)+M$1*((-0.000002)*M311^3+0.00032*M311^2+(-0.0021)*M311)+N$1*((-0.000002)*N311^3+0.00032*N311^2+(-0.0021)*N311)+O$1*((-0.000002)*O311^3+0.00032*O311^2+(-0.0021)*O311)</f>
        <v/>
      </c>
      <c r="W311">
        <f>P$1*((-0.000002)*P311^3+0.00032*P311^2+(-0.0021)*P311)+Q$1*((-0.000002)*Q311^3+0.00032*Q311^2+(-0.0021)*Q311)+R$1*((-0.000002)*R311^3+0.00032*R311^2+(-0.0021)*R311)+S$1*((-0.000002)*S311^3+0.00032*S311^2+(-0.0021)*S311)+T$1*((-0.000002)*T311^3+0.00032*T311^2+(-0.0021)*T311)</f>
        <v/>
      </c>
      <c r="X311">
        <f>(I$1*((-0.000002)*I311^3+0.00032*I311^2+(-0.0021)*I311)+J$1*((-0.000002)*J311^3+0.00032*J311^2+(-0.0021)*J311)+H$1*((-0.000002)*H311^3+0.00032*H311^2+(-0.0021)*H311))*(MAX(0.05,MIN(1,(2*J311+I311)/120)*MIN(1,I311/10)*MIN(1,J311/10)))</f>
        <v/>
      </c>
      <c r="Y311">
        <f>(I$1*((-0.000002)*I311^3+0.00032*I311^2+(-0.0021)*I311)+J$1*((-0.000002)*J311^3+0.00032*J311^2+(-0.0021)*J311)+H$1*((-0.000002)*H311^3+0.00032*H311^2+(-0.0021)*H311))*(MAX(0.05,MIN(1,(2*J311+I311)/120)*MIN(1,I311/10)*MIN(1,J311/10)))</f>
        <v/>
      </c>
      <c r="Z311">
        <f>U311*J$2+V311*O$2+W311*H$2</f>
        <v/>
      </c>
      <c r="AA311">
        <f>IF(AND(J311&gt;50,I311+J311&gt;75),"SP",IF(2*I311+J311&gt;120,"RP","CRAP"))</f>
        <v/>
      </c>
    </row>
    <row r="312" ht="13.5" customHeight="1" s="27" thickBot="1">
      <c r="A312">
        <f>(V312*V$2+W312*W$2+X312*X$2)*100/(V$4*V$2+W$4*W$2+X$4*X$2)</f>
        <v/>
      </c>
      <c r="B312" s="16" t="n"/>
      <c r="C312" s="10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>
        <f>K$1*(0.000001*K312^3)+L$1*((-0.000002)*L312^3+0.00032*L312^2+(-0.0021)*L312)+M$1*((-0.000002)*M312^3+0.00032*M312^2+(-0.0021)*M312)+N$1*((-0.000002)*N312^3+0.00032*N312^2+(-0.0021)*N312)+O$1*((-0.000002)*O312^3+0.00032*O312^2+(-0.0021)*O312)</f>
        <v/>
      </c>
      <c r="W312">
        <f>P$1*((-0.000002)*P312^3+0.00032*P312^2+(-0.0021)*P312)+Q$1*((-0.000002)*Q312^3+0.00032*Q312^2+(-0.0021)*Q312)+R$1*((-0.000002)*R312^3+0.00032*R312^2+(-0.0021)*R312)+S$1*((-0.000002)*S312^3+0.00032*S312^2+(-0.0021)*S312)+T$1*((-0.000002)*T312^3+0.00032*T312^2+(-0.0021)*T312)</f>
        <v/>
      </c>
      <c r="X312">
        <f>(I$1*((-0.000002)*I312^3+0.00032*I312^2+(-0.0021)*I312)+J$1*((-0.000002)*J312^3+0.00032*J312^2+(-0.0021)*J312)+H$1*((-0.000002)*H312^3+0.00032*H312^2+(-0.0021)*H312))*(MAX(0.05,MIN(1,(2*J312+I312)/120)*MIN(1,I312/10)*MIN(1,J312/10)))</f>
        <v/>
      </c>
      <c r="Y312">
        <f>(I$1*((-0.000002)*I312^3+0.00032*I312^2+(-0.0021)*I312)+J$1*((-0.000002)*J312^3+0.00032*J312^2+(-0.0021)*J312)+H$1*((-0.000002)*H312^3+0.00032*H312^2+(-0.0021)*H312))*(MAX(0.05,MIN(1,(2*J312+I312)/120)*MIN(1,I312/10)*MIN(1,J312/10)))</f>
        <v/>
      </c>
      <c r="Z312">
        <f>U312*J$2+V312*O$2+W312*H$2</f>
        <v/>
      </c>
      <c r="AA312">
        <f>IF(AND(J312&gt;50,I312+J312&gt;75),"SP",IF(2*I312+J312&gt;120,"RP","CRAP"))</f>
        <v/>
      </c>
    </row>
    <row r="313" ht="13.5" customHeight="1" s="27" thickBot="1">
      <c r="A313">
        <f>(V313*V$2+W313*W$2+X313*X$2)*100/(V$4*V$2+W$4*W$2+X$4*X$2)</f>
        <v/>
      </c>
      <c r="B313" s="18" t="n"/>
      <c r="C313" s="11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>
        <f>K$1*(0.000001*K313^3)+L$1*((-0.000002)*L313^3+0.00032*L313^2+(-0.0021)*L313)+M$1*((-0.000002)*M313^3+0.00032*M313^2+(-0.0021)*M313)+N$1*((-0.000002)*N313^3+0.00032*N313^2+(-0.0021)*N313)+O$1*((-0.000002)*O313^3+0.00032*O313^2+(-0.0021)*O313)</f>
        <v/>
      </c>
      <c r="W313">
        <f>P$1*((-0.000002)*P313^3+0.00032*P313^2+(-0.0021)*P313)+Q$1*((-0.000002)*Q313^3+0.00032*Q313^2+(-0.0021)*Q313)+R$1*((-0.000002)*R313^3+0.00032*R313^2+(-0.0021)*R313)+S$1*((-0.000002)*S313^3+0.00032*S313^2+(-0.0021)*S313)+T$1*((-0.000002)*T313^3+0.00032*T313^2+(-0.0021)*T313)</f>
        <v/>
      </c>
      <c r="X313">
        <f>(I$1*((-0.000002)*I313^3+0.00032*I313^2+(-0.0021)*I313)+J$1*((-0.000002)*J313^3+0.00032*J313^2+(-0.0021)*J313)+H$1*((-0.000002)*H313^3+0.00032*H313^2+(-0.0021)*H313))*(MAX(0.05,MIN(1,(2*J313+I313)/120)*MIN(1,I313/10)*MIN(1,J313/10)))</f>
        <v/>
      </c>
      <c r="Y313">
        <f>(I$1*((-0.000002)*I313^3+0.00032*I313^2+(-0.0021)*I313)+J$1*((-0.000002)*J313^3+0.00032*J313^2+(-0.0021)*J313)+H$1*((-0.000002)*H313^3+0.00032*H313^2+(-0.0021)*H313))*(MAX(0.05,MIN(1,(2*J313+I313)/120)*MIN(1,I313/10)*MIN(1,J313/10)))</f>
        <v/>
      </c>
      <c r="Z313">
        <f>U313*J$2+V313*O$2+W313*H$2</f>
        <v/>
      </c>
      <c r="AA313">
        <f>IF(AND(J313&gt;50,I313+J313&gt;75),"SP",IF(2*I313+J313&gt;120,"RP","CRAP"))</f>
        <v/>
      </c>
    </row>
    <row r="314" ht="13.5" customHeight="1" s="27" thickBot="1">
      <c r="A314">
        <f>(V314*V$2+W314*W$2+X314*X$2)*100/(V$4*V$2+W$4*W$2+X$4*X$2)</f>
        <v/>
      </c>
      <c r="B314" s="16" t="n"/>
      <c r="C314" s="10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>
        <f>K$1*(0.000001*K314^3)+L$1*((-0.000002)*L314^3+0.00032*L314^2+(-0.0021)*L314)+M$1*((-0.000002)*M314^3+0.00032*M314^2+(-0.0021)*M314)+N$1*((-0.000002)*N314^3+0.00032*N314^2+(-0.0021)*N314)+O$1*((-0.000002)*O314^3+0.00032*O314^2+(-0.0021)*O314)</f>
        <v/>
      </c>
      <c r="W314">
        <f>P$1*((-0.000002)*P314^3+0.00032*P314^2+(-0.0021)*P314)+Q$1*((-0.000002)*Q314^3+0.00032*Q314^2+(-0.0021)*Q314)+R$1*((-0.000002)*R314^3+0.00032*R314^2+(-0.0021)*R314)+S$1*((-0.000002)*S314^3+0.00032*S314^2+(-0.0021)*S314)+T$1*((-0.000002)*T314^3+0.00032*T314^2+(-0.0021)*T314)</f>
        <v/>
      </c>
      <c r="X314">
        <f>(I$1*((-0.000002)*I314^3+0.00032*I314^2+(-0.0021)*I314)+J$1*((-0.000002)*J314^3+0.00032*J314^2+(-0.0021)*J314)+H$1*((-0.000002)*H314^3+0.00032*H314^2+(-0.0021)*H314))*(MAX(0.05,MIN(1,(2*J314+I314)/120)*MIN(1,I314/10)*MIN(1,J314/10)))</f>
        <v/>
      </c>
      <c r="Y314">
        <f>(I$1*((-0.000002)*I314^3+0.00032*I314^2+(-0.0021)*I314)+J$1*((-0.000002)*J314^3+0.00032*J314^2+(-0.0021)*J314)+H$1*((-0.000002)*H314^3+0.00032*H314^2+(-0.0021)*H314))*(MAX(0.05,MIN(1,(2*J314+I314)/120)*MIN(1,I314/10)*MIN(1,J314/10)))</f>
        <v/>
      </c>
      <c r="Z314">
        <f>U314*J$2+V314*O$2+W314*H$2</f>
        <v/>
      </c>
      <c r="AA314">
        <f>IF(AND(J314&gt;50,I314+J314&gt;75),"SP",IF(2*I314+J314&gt;120,"RP","CRAP"))</f>
        <v/>
      </c>
    </row>
    <row r="315" ht="13.5" customHeight="1" s="27" thickBot="1">
      <c r="A315">
        <f>(V315*V$2+W315*W$2+X315*X$2)*100/(V$4*V$2+W$4*W$2+X$4*X$2)</f>
        <v/>
      </c>
      <c r="B315" s="18" t="n"/>
      <c r="C315" s="11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>
        <f>K$1*(0.000001*K315^3)+L$1*((-0.000002)*L315^3+0.00032*L315^2+(-0.0021)*L315)+M$1*((-0.000002)*M315^3+0.00032*M315^2+(-0.0021)*M315)+N$1*((-0.000002)*N315^3+0.00032*N315^2+(-0.0021)*N315)+O$1*((-0.000002)*O315^3+0.00032*O315^2+(-0.0021)*O315)</f>
        <v/>
      </c>
      <c r="W315">
        <f>P$1*((-0.000002)*P315^3+0.00032*P315^2+(-0.0021)*P315)+Q$1*((-0.000002)*Q315^3+0.00032*Q315^2+(-0.0021)*Q315)+R$1*((-0.000002)*R315^3+0.00032*R315^2+(-0.0021)*R315)+S$1*((-0.000002)*S315^3+0.00032*S315^2+(-0.0021)*S315)+T$1*((-0.000002)*T315^3+0.00032*T315^2+(-0.0021)*T315)</f>
        <v/>
      </c>
      <c r="X315">
        <f>(I$1*((-0.000002)*I315^3+0.00032*I315^2+(-0.0021)*I315)+J$1*((-0.000002)*J315^3+0.00032*J315^2+(-0.0021)*J315)+H$1*((-0.000002)*H315^3+0.00032*H315^2+(-0.0021)*H315))*(MAX(0.05,MIN(1,(2*J315+I315)/120)*MIN(1,I315/10)*MIN(1,J315/10)))</f>
        <v/>
      </c>
      <c r="Y315">
        <f>(I$1*((-0.000002)*I315^3+0.00032*I315^2+(-0.0021)*I315)+J$1*((-0.000002)*J315^3+0.00032*J315^2+(-0.0021)*J315)+H$1*((-0.000002)*H315^3+0.00032*H315^2+(-0.0021)*H315))*(MAX(0.05,MIN(1,(2*J315+I315)/120)*MIN(1,I315/10)*MIN(1,J315/10)))</f>
        <v/>
      </c>
      <c r="Z315">
        <f>U315*J$2+V315*O$2+W315*H$2</f>
        <v/>
      </c>
      <c r="AA315">
        <f>IF(AND(J315&gt;50,I315+J315&gt;75),"SP",IF(2*I315+J315&gt;120,"RP","CRAP"))</f>
        <v/>
      </c>
    </row>
    <row r="316" ht="13.5" customHeight="1" s="27" thickBot="1">
      <c r="A316">
        <f>(V316*V$2+W316*W$2+X316*X$2)*100/(V$4*V$2+W$4*W$2+X$4*X$2)</f>
        <v/>
      </c>
      <c r="B316" s="16" t="n"/>
      <c r="C316" s="10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>
        <f>K$1*(0.000001*K316^3)+L$1*((-0.000002)*L316^3+0.00032*L316^2+(-0.0021)*L316)+M$1*((-0.000002)*M316^3+0.00032*M316^2+(-0.0021)*M316)+N$1*((-0.000002)*N316^3+0.00032*N316^2+(-0.0021)*N316)+O$1*((-0.000002)*O316^3+0.00032*O316^2+(-0.0021)*O316)</f>
        <v/>
      </c>
      <c r="W316">
        <f>P$1*((-0.000002)*P316^3+0.00032*P316^2+(-0.0021)*P316)+Q$1*((-0.000002)*Q316^3+0.00032*Q316^2+(-0.0021)*Q316)+R$1*((-0.000002)*R316^3+0.00032*R316^2+(-0.0021)*R316)+S$1*((-0.000002)*S316^3+0.00032*S316^2+(-0.0021)*S316)+T$1*((-0.000002)*T316^3+0.00032*T316^2+(-0.0021)*T316)</f>
        <v/>
      </c>
      <c r="X316">
        <f>(I$1*((-0.000002)*I316^3+0.00032*I316^2+(-0.0021)*I316)+J$1*((-0.000002)*J316^3+0.00032*J316^2+(-0.0021)*J316)+H$1*((-0.000002)*H316^3+0.00032*H316^2+(-0.0021)*H316))*(MAX(0.05,MIN(1,(2*J316+I316)/120)*MIN(1,I316/10)*MIN(1,J316/10)))</f>
        <v/>
      </c>
      <c r="Y316">
        <f>(I$1*((-0.000002)*I316^3+0.00032*I316^2+(-0.0021)*I316)+J$1*((-0.000002)*J316^3+0.00032*J316^2+(-0.0021)*J316)+H$1*((-0.000002)*H316^3+0.00032*H316^2+(-0.0021)*H316))*(MAX(0.05,MIN(1,(2*J316+I316)/120)*MIN(1,I316/10)*MIN(1,J316/10)))</f>
        <v/>
      </c>
      <c r="Z316">
        <f>U316*J$2+V316*O$2+W316*H$2</f>
        <v/>
      </c>
      <c r="AA316">
        <f>IF(AND(J316&gt;50,I316+J316&gt;75),"SP",IF(2*I316+J316&gt;120,"RP","CRAP"))</f>
        <v/>
      </c>
    </row>
    <row r="317" ht="13.5" customHeight="1" s="27" thickBot="1">
      <c r="A317">
        <f>(V317*V$2+W317*W$2+X317*X$2)*100/(V$4*V$2+W$4*W$2+X$4*X$2)</f>
        <v/>
      </c>
      <c r="B317" s="18" t="n"/>
      <c r="C317" s="11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>
        <f>K$1*(0.000001*K317^3)+L$1*((-0.000002)*L317^3+0.00032*L317^2+(-0.0021)*L317)+M$1*((-0.000002)*M317^3+0.00032*M317^2+(-0.0021)*M317)+N$1*((-0.000002)*N317^3+0.00032*N317^2+(-0.0021)*N317)+O$1*((-0.000002)*O317^3+0.00032*O317^2+(-0.0021)*O317)</f>
        <v/>
      </c>
      <c r="W317">
        <f>P$1*((-0.000002)*P317^3+0.00032*P317^2+(-0.0021)*P317)+Q$1*((-0.000002)*Q317^3+0.00032*Q317^2+(-0.0021)*Q317)+R$1*((-0.000002)*R317^3+0.00032*R317^2+(-0.0021)*R317)+S$1*((-0.000002)*S317^3+0.00032*S317^2+(-0.0021)*S317)+T$1*((-0.000002)*T317^3+0.00032*T317^2+(-0.0021)*T317)</f>
        <v/>
      </c>
      <c r="X317">
        <f>(I$1*((-0.000002)*I317^3+0.00032*I317^2+(-0.0021)*I317)+J$1*((-0.000002)*J317^3+0.00032*J317^2+(-0.0021)*J317)+H$1*((-0.000002)*H317^3+0.00032*H317^2+(-0.0021)*H317))*(MAX(0.05,MIN(1,(2*J317+I317)/120)*MIN(1,I317/10)*MIN(1,J317/10)))</f>
        <v/>
      </c>
      <c r="Y317">
        <f>(I$1*((-0.000002)*I317^3+0.00032*I317^2+(-0.0021)*I317)+J$1*((-0.000002)*J317^3+0.00032*J317^2+(-0.0021)*J317)+H$1*((-0.000002)*H317^3+0.00032*H317^2+(-0.0021)*H317))*(MAX(0.05,MIN(1,(2*J317+I317)/120)*MIN(1,I317/10)*MIN(1,J317/10)))</f>
        <v/>
      </c>
      <c r="Z317">
        <f>U317*J$2+V317*O$2+W317*H$2</f>
        <v/>
      </c>
      <c r="AA317">
        <f>IF(AND(J317&gt;50,I317+J317&gt;75),"SP",IF(2*I317+J317&gt;120,"RP","CRAP"))</f>
        <v/>
      </c>
    </row>
    <row r="318" ht="13.5" customHeight="1" s="27" thickBot="1">
      <c r="A318">
        <f>(V318*V$2+W318*W$2+X318*X$2)*100/(V$4*V$2+W$4*W$2+X$4*X$2)</f>
        <v/>
      </c>
      <c r="B318" s="16" t="n"/>
      <c r="C318" s="10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>
        <f>K$1*(0.000001*K318^3)+L$1*((-0.000002)*L318^3+0.00032*L318^2+(-0.0021)*L318)+M$1*((-0.000002)*M318^3+0.00032*M318^2+(-0.0021)*M318)+N$1*((-0.000002)*N318^3+0.00032*N318^2+(-0.0021)*N318)+O$1*((-0.000002)*O318^3+0.00032*O318^2+(-0.0021)*O318)</f>
        <v/>
      </c>
      <c r="W318">
        <f>P$1*((-0.000002)*P318^3+0.00032*P318^2+(-0.0021)*P318)+Q$1*((-0.000002)*Q318^3+0.00032*Q318^2+(-0.0021)*Q318)+R$1*((-0.000002)*R318^3+0.00032*R318^2+(-0.0021)*R318)+S$1*((-0.000002)*S318^3+0.00032*S318^2+(-0.0021)*S318)+T$1*((-0.000002)*T318^3+0.00032*T318^2+(-0.0021)*T318)</f>
        <v/>
      </c>
      <c r="X318">
        <f>(I$1*((-0.000002)*I318^3+0.00032*I318^2+(-0.0021)*I318)+J$1*((-0.000002)*J318^3+0.00032*J318^2+(-0.0021)*J318)+H$1*((-0.000002)*H318^3+0.00032*H318^2+(-0.0021)*H318))*(MAX(0.05,MIN(1,(2*J318+I318)/120)*MIN(1,I318/10)*MIN(1,J318/10)))</f>
        <v/>
      </c>
      <c r="Y318">
        <f>(I$1*((-0.000002)*I318^3+0.00032*I318^2+(-0.0021)*I318)+J$1*((-0.000002)*J318^3+0.00032*J318^2+(-0.0021)*J318)+H$1*((-0.000002)*H318^3+0.00032*H318^2+(-0.0021)*H318))*(MAX(0.05,MIN(1,(2*J318+I318)/120)*MIN(1,I318/10)*MIN(1,J318/10)))</f>
        <v/>
      </c>
      <c r="Z318">
        <f>U318*J$2+V318*O$2+W318*H$2</f>
        <v/>
      </c>
      <c r="AA318">
        <f>IF(AND(J318&gt;50,I318+J318&gt;75),"SP",IF(2*I318+J318&gt;120,"RP","CRAP"))</f>
        <v/>
      </c>
    </row>
    <row r="319" ht="13.5" customHeight="1" s="27" thickBot="1">
      <c r="A319">
        <f>(V319*V$2+W319*W$2+X319*X$2)*100/(V$4*V$2+W$4*W$2+X$4*X$2)</f>
        <v/>
      </c>
      <c r="B319" s="18" t="n"/>
      <c r="C319" s="11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>
        <f>K$1*(0.000001*K319^3)+L$1*((-0.000002)*L319^3+0.00032*L319^2+(-0.0021)*L319)+M$1*((-0.000002)*M319^3+0.00032*M319^2+(-0.0021)*M319)+N$1*((-0.000002)*N319^3+0.00032*N319^2+(-0.0021)*N319)+O$1*((-0.000002)*O319^3+0.00032*O319^2+(-0.0021)*O319)</f>
        <v/>
      </c>
      <c r="W319">
        <f>P$1*((-0.000002)*P319^3+0.00032*P319^2+(-0.0021)*P319)+Q$1*((-0.000002)*Q319^3+0.00032*Q319^2+(-0.0021)*Q319)+R$1*((-0.000002)*R319^3+0.00032*R319^2+(-0.0021)*R319)+S$1*((-0.000002)*S319^3+0.00032*S319^2+(-0.0021)*S319)+T$1*((-0.000002)*T319^3+0.00032*T319^2+(-0.0021)*T319)</f>
        <v/>
      </c>
      <c r="X319">
        <f>(I$1*((-0.000002)*I319^3+0.00032*I319^2+(-0.0021)*I319)+J$1*((-0.000002)*J319^3+0.00032*J319^2+(-0.0021)*J319)+H$1*((-0.000002)*H319^3+0.00032*H319^2+(-0.0021)*H319))*(MAX(0.05,MIN(1,(2*J319+I319)/120)*MIN(1,I319/10)*MIN(1,J319/10)))</f>
        <v/>
      </c>
      <c r="Y319">
        <f>(I$1*((-0.000002)*I319^3+0.00032*I319^2+(-0.0021)*I319)+J$1*((-0.000002)*J319^3+0.00032*J319^2+(-0.0021)*J319)+H$1*((-0.000002)*H319^3+0.00032*H319^2+(-0.0021)*H319))*(MAX(0.05,MIN(1,(2*J319+I319)/120)*MIN(1,I319/10)*MIN(1,J319/10)))</f>
        <v/>
      </c>
      <c r="Z319">
        <f>U319*J$2+V319*O$2+W319*H$2</f>
        <v/>
      </c>
      <c r="AA319">
        <f>IF(AND(J319&gt;50,I319+J319&gt;75),"SP",IF(2*I319+J319&gt;120,"RP","CRAP"))</f>
        <v/>
      </c>
    </row>
    <row r="320" ht="13.5" customHeight="1" s="27" thickBot="1">
      <c r="A320">
        <f>(V320*V$2+W320*W$2+X320*X$2)*100/(V$4*V$2+W$4*W$2+X$4*X$2)</f>
        <v/>
      </c>
      <c r="B320" s="16" t="n"/>
      <c r="C320" s="10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>
        <f>K$1*(0.000001*K320^3)+L$1*((-0.000002)*L320^3+0.00032*L320^2+(-0.0021)*L320)+M$1*((-0.000002)*M320^3+0.00032*M320^2+(-0.0021)*M320)+N$1*((-0.000002)*N320^3+0.00032*N320^2+(-0.0021)*N320)+O$1*((-0.000002)*O320^3+0.00032*O320^2+(-0.0021)*O320)</f>
        <v/>
      </c>
      <c r="W320">
        <f>P$1*((-0.000002)*P320^3+0.00032*P320^2+(-0.0021)*P320)+Q$1*((-0.000002)*Q320^3+0.00032*Q320^2+(-0.0021)*Q320)+R$1*((-0.000002)*R320^3+0.00032*R320^2+(-0.0021)*R320)+S$1*((-0.000002)*S320^3+0.00032*S320^2+(-0.0021)*S320)+T$1*((-0.000002)*T320^3+0.00032*T320^2+(-0.0021)*T320)</f>
        <v/>
      </c>
      <c r="X320">
        <f>(I$1*((-0.000002)*I320^3+0.00032*I320^2+(-0.0021)*I320)+J$1*((-0.000002)*J320^3+0.00032*J320^2+(-0.0021)*J320)+H$1*((-0.000002)*H320^3+0.00032*H320^2+(-0.0021)*H320))*(MAX(0.05,MIN(1,(2*J320+I320)/120)*MIN(1,I320/10)*MIN(1,J320/10)))</f>
        <v/>
      </c>
      <c r="Y320">
        <f>(I$1*((-0.000002)*I320^3+0.00032*I320^2+(-0.0021)*I320)+J$1*((-0.000002)*J320^3+0.00032*J320^2+(-0.0021)*J320)+H$1*((-0.000002)*H320^3+0.00032*H320^2+(-0.0021)*H320))*(MAX(0.05,MIN(1,(2*J320+I320)/120)*MIN(1,I320/10)*MIN(1,J320/10)))</f>
        <v/>
      </c>
      <c r="Z320">
        <f>U320*J$2+V320*O$2+W320*H$2</f>
        <v/>
      </c>
      <c r="AA320">
        <f>IF(AND(J320&gt;50,I320+J320&gt;75),"SP",IF(2*I320+J320&gt;120,"RP","CRAP"))</f>
        <v/>
      </c>
    </row>
    <row r="321" ht="13.5" customHeight="1" s="27" thickBot="1">
      <c r="A321">
        <f>(V321*V$2+W321*W$2+X321*X$2)*100/(V$4*V$2+W$4*W$2+X$4*X$2)</f>
        <v/>
      </c>
      <c r="B321" s="18" t="n"/>
      <c r="C321" s="11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>
        <f>K$1*(0.000001*K321^3)+L$1*((-0.000002)*L321^3+0.00032*L321^2+(-0.0021)*L321)+M$1*((-0.000002)*M321^3+0.00032*M321^2+(-0.0021)*M321)+N$1*((-0.000002)*N321^3+0.00032*N321^2+(-0.0021)*N321)+O$1*((-0.000002)*O321^3+0.00032*O321^2+(-0.0021)*O321)</f>
        <v/>
      </c>
      <c r="W321">
        <f>P$1*((-0.000002)*P321^3+0.00032*P321^2+(-0.0021)*P321)+Q$1*((-0.000002)*Q321^3+0.00032*Q321^2+(-0.0021)*Q321)+R$1*((-0.000002)*R321^3+0.00032*R321^2+(-0.0021)*R321)+S$1*((-0.000002)*S321^3+0.00032*S321^2+(-0.0021)*S321)+T$1*((-0.000002)*T321^3+0.00032*T321^2+(-0.0021)*T321)</f>
        <v/>
      </c>
      <c r="X321">
        <f>(I$1*((-0.000002)*I321^3+0.00032*I321^2+(-0.0021)*I321)+J$1*((-0.000002)*J321^3+0.00032*J321^2+(-0.0021)*J321)+H$1*((-0.000002)*H321^3+0.00032*H321^2+(-0.0021)*H321))*(MAX(0.05,MIN(1,(2*J321+I321)/120)*MIN(1,I321/10)*MIN(1,J321/10)))</f>
        <v/>
      </c>
      <c r="Y321">
        <f>(I$1*((-0.000002)*I321^3+0.00032*I321^2+(-0.0021)*I321)+J$1*((-0.000002)*J321^3+0.00032*J321^2+(-0.0021)*J321)+H$1*((-0.000002)*H321^3+0.00032*H321^2+(-0.0021)*H321))*(MAX(0.05,MIN(1,(2*J321+I321)/120)*MIN(1,I321/10)*MIN(1,J321/10)))</f>
        <v/>
      </c>
      <c r="Z321">
        <f>U321*J$2+V321*O$2+W321*H$2</f>
        <v/>
      </c>
      <c r="AA321">
        <f>IF(AND(J321&gt;50,I321+J321&gt;75),"SP",IF(2*I321+J321&gt;120,"RP","CRAP"))</f>
        <v/>
      </c>
    </row>
    <row r="322" ht="13.5" customHeight="1" s="27" thickBot="1">
      <c r="A322">
        <f>(V322*V$2+W322*W$2+X322*X$2)*100/(V$4*V$2+W$4*W$2+X$4*X$2)</f>
        <v/>
      </c>
      <c r="B322" s="16" t="n"/>
      <c r="C322" s="10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>
        <f>K$1*(0.000001*K322^3)+L$1*((-0.000002)*L322^3+0.00032*L322^2+(-0.0021)*L322)+M$1*((-0.000002)*M322^3+0.00032*M322^2+(-0.0021)*M322)+N$1*((-0.000002)*N322^3+0.00032*N322^2+(-0.0021)*N322)+O$1*((-0.000002)*O322^3+0.00032*O322^2+(-0.0021)*O322)</f>
        <v/>
      </c>
      <c r="W322">
        <f>P$1*((-0.000002)*P322^3+0.00032*P322^2+(-0.0021)*P322)+Q$1*((-0.000002)*Q322^3+0.00032*Q322^2+(-0.0021)*Q322)+R$1*((-0.000002)*R322^3+0.00032*R322^2+(-0.0021)*R322)+S$1*((-0.000002)*S322^3+0.00032*S322^2+(-0.0021)*S322)+T$1*((-0.000002)*T322^3+0.00032*T322^2+(-0.0021)*T322)</f>
        <v/>
      </c>
      <c r="X322">
        <f>(I$1*((-0.000002)*I322^3+0.00032*I322^2+(-0.0021)*I322)+J$1*((-0.000002)*J322^3+0.00032*J322^2+(-0.0021)*J322)+H$1*((-0.000002)*H322^3+0.00032*H322^2+(-0.0021)*H322))*(MAX(0.05,MIN(1,(2*J322+I322)/120)*MIN(1,I322/10)*MIN(1,J322/10)))</f>
        <v/>
      </c>
      <c r="Y322">
        <f>(I$1*((-0.000002)*I322^3+0.00032*I322^2+(-0.0021)*I322)+J$1*((-0.000002)*J322^3+0.00032*J322^2+(-0.0021)*J322)+H$1*((-0.000002)*H322^3+0.00032*H322^2+(-0.0021)*H322))*(MAX(0.05,MIN(1,(2*J322+I322)/120)*MIN(1,I322/10)*MIN(1,J322/10)))</f>
        <v/>
      </c>
      <c r="Z322">
        <f>U322*J$2+V322*O$2+W322*H$2</f>
        <v/>
      </c>
      <c r="AA322">
        <f>IF(AND(J322&gt;50,I322+J322&gt;75),"SP",IF(2*I322+J322&gt;120,"RP","CRAP"))</f>
        <v/>
      </c>
    </row>
    <row r="323" ht="13.5" customHeight="1" s="27" thickBot="1">
      <c r="A323">
        <f>(V323*V$2+W323*W$2+X323*X$2)*100/(V$4*V$2+W$4*W$2+X$4*X$2)</f>
        <v/>
      </c>
      <c r="B323" s="18" t="n"/>
      <c r="C323" s="11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>
        <f>K$1*(0.000001*K323^3)+L$1*((-0.000002)*L323^3+0.00032*L323^2+(-0.0021)*L323)+M$1*((-0.000002)*M323^3+0.00032*M323^2+(-0.0021)*M323)+N$1*((-0.000002)*N323^3+0.00032*N323^2+(-0.0021)*N323)+O$1*((-0.000002)*O323^3+0.00032*O323^2+(-0.0021)*O323)</f>
        <v/>
      </c>
      <c r="W323">
        <f>P$1*((-0.000002)*P323^3+0.00032*P323^2+(-0.0021)*P323)+Q$1*((-0.000002)*Q323^3+0.00032*Q323^2+(-0.0021)*Q323)+R$1*((-0.000002)*R323^3+0.00032*R323^2+(-0.0021)*R323)+S$1*((-0.000002)*S323^3+0.00032*S323^2+(-0.0021)*S323)+T$1*((-0.000002)*T323^3+0.00032*T323^2+(-0.0021)*T323)</f>
        <v/>
      </c>
      <c r="X323">
        <f>(I$1*((-0.000002)*I323^3+0.00032*I323^2+(-0.0021)*I323)+J$1*((-0.000002)*J323^3+0.00032*J323^2+(-0.0021)*J323)+H$1*((-0.000002)*H323^3+0.00032*H323^2+(-0.0021)*H323))*(MAX(0.05,MIN(1,(2*J323+I323)/120)*MIN(1,I323/10)*MIN(1,J323/10)))</f>
        <v/>
      </c>
      <c r="Y323">
        <f>(I$1*((-0.000002)*I323^3+0.00032*I323^2+(-0.0021)*I323)+J$1*((-0.000002)*J323^3+0.00032*J323^2+(-0.0021)*J323)+H$1*((-0.000002)*H323^3+0.00032*H323^2+(-0.0021)*H323))*(MAX(0.05,MIN(1,(2*J323+I323)/120)*MIN(1,I323/10)*MIN(1,J323/10)))</f>
        <v/>
      </c>
      <c r="Z323">
        <f>U323*J$2+V323*O$2+W323*H$2</f>
        <v/>
      </c>
      <c r="AA323">
        <f>IF(AND(J323&gt;50,I323+J323&gt;75),"SP",IF(2*I323+J323&gt;120,"RP","CRAP"))</f>
        <v/>
      </c>
    </row>
    <row r="324" ht="13.5" customHeight="1" s="27" thickBot="1">
      <c r="A324">
        <f>(V324*V$2+W324*W$2+X324*X$2)*100/(V$4*V$2+W$4*W$2+X$4*X$2)</f>
        <v/>
      </c>
      <c r="B324" s="16" t="n"/>
      <c r="C324" s="10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>
        <f>K$1*(0.000001*K324^3)+L$1*((-0.000002)*L324^3+0.00032*L324^2+(-0.0021)*L324)+M$1*((-0.000002)*M324^3+0.00032*M324^2+(-0.0021)*M324)+N$1*((-0.000002)*N324^3+0.00032*N324^2+(-0.0021)*N324)+O$1*((-0.000002)*O324^3+0.00032*O324^2+(-0.0021)*O324)</f>
        <v/>
      </c>
      <c r="W324">
        <f>P$1*((-0.000002)*P324^3+0.00032*P324^2+(-0.0021)*P324)+Q$1*((-0.000002)*Q324^3+0.00032*Q324^2+(-0.0021)*Q324)+R$1*((-0.000002)*R324^3+0.00032*R324^2+(-0.0021)*R324)+S$1*((-0.000002)*S324^3+0.00032*S324^2+(-0.0021)*S324)+T$1*((-0.000002)*T324^3+0.00032*T324^2+(-0.0021)*T324)</f>
        <v/>
      </c>
      <c r="X324">
        <f>(I$1*((-0.000002)*I324^3+0.00032*I324^2+(-0.0021)*I324)+J$1*((-0.000002)*J324^3+0.00032*J324^2+(-0.0021)*J324)+H$1*((-0.000002)*H324^3+0.00032*H324^2+(-0.0021)*H324))*(MAX(0.05,MIN(1,(2*J324+I324)/120)*MIN(1,I324/10)*MIN(1,J324/10)))</f>
        <v/>
      </c>
      <c r="Y324">
        <f>(I$1*((-0.000002)*I324^3+0.00032*I324^2+(-0.0021)*I324)+J$1*((-0.000002)*J324^3+0.00032*J324^2+(-0.0021)*J324)+H$1*((-0.000002)*H324^3+0.00032*H324^2+(-0.0021)*H324))*(MAX(0.05,MIN(1,(2*J324+I324)/120)*MIN(1,I324/10)*MIN(1,J324/10)))</f>
        <v/>
      </c>
      <c r="Z324">
        <f>U324*J$2+V324*O$2+W324*H$2</f>
        <v/>
      </c>
      <c r="AA324">
        <f>IF(AND(J324&gt;50,I324+J324&gt;75),"SP",IF(2*I324+J324&gt;120,"RP","CRAP"))</f>
        <v/>
      </c>
    </row>
    <row r="325" ht="13.5" customHeight="1" s="27" thickBot="1">
      <c r="A325">
        <f>(V325*V$2+W325*W$2+X325*X$2)*100/(V$4*V$2+W$4*W$2+X$4*X$2)</f>
        <v/>
      </c>
      <c r="B325" s="18" t="n"/>
      <c r="C325" s="11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>
        <f>K$1*(0.000001*K325^3)+L$1*((-0.000002)*L325^3+0.00032*L325^2+(-0.0021)*L325)+M$1*((-0.000002)*M325^3+0.00032*M325^2+(-0.0021)*M325)+N$1*((-0.000002)*N325^3+0.00032*N325^2+(-0.0021)*N325)+O$1*((-0.000002)*O325^3+0.00032*O325^2+(-0.0021)*O325)</f>
        <v/>
      </c>
      <c r="W325">
        <f>P$1*((-0.000002)*P325^3+0.00032*P325^2+(-0.0021)*P325)+Q$1*((-0.000002)*Q325^3+0.00032*Q325^2+(-0.0021)*Q325)+R$1*((-0.000002)*R325^3+0.00032*R325^2+(-0.0021)*R325)+S$1*((-0.000002)*S325^3+0.00032*S325^2+(-0.0021)*S325)+T$1*((-0.000002)*T325^3+0.00032*T325^2+(-0.0021)*T325)</f>
        <v/>
      </c>
      <c r="X325">
        <f>(I$1*((-0.000002)*I325^3+0.00032*I325^2+(-0.0021)*I325)+J$1*((-0.000002)*J325^3+0.00032*J325^2+(-0.0021)*J325)+H$1*((-0.000002)*H325^3+0.00032*H325^2+(-0.0021)*H325))*(MAX(0.05,MIN(1,(2*J325+I325)/120)*MIN(1,I325/10)*MIN(1,J325/10)))</f>
        <v/>
      </c>
      <c r="Y325">
        <f>(I$1*((-0.000002)*I325^3+0.00032*I325^2+(-0.0021)*I325)+J$1*((-0.000002)*J325^3+0.00032*J325^2+(-0.0021)*J325)+H$1*((-0.000002)*H325^3+0.00032*H325^2+(-0.0021)*H325))*(MAX(0.05,MIN(1,(2*J325+I325)/120)*MIN(1,I325/10)*MIN(1,J325/10)))</f>
        <v/>
      </c>
      <c r="Z325">
        <f>U325*J$2+V325*O$2+W325*H$2</f>
        <v/>
      </c>
      <c r="AA325">
        <f>IF(AND(J325&gt;50,I325+J325&gt;75),"SP",IF(2*I325+J325&gt;120,"RP","CRAP"))</f>
        <v/>
      </c>
    </row>
    <row r="326" ht="13.5" customHeight="1" s="27" thickBot="1">
      <c r="A326">
        <f>(V326*V$2+W326*W$2+X326*X$2)*100/(V$4*V$2+W$4*W$2+X$4*X$2)</f>
        <v/>
      </c>
      <c r="B326" s="16" t="n"/>
      <c r="C326" s="10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>
        <f>K$1*(0.000001*K326^3)+L$1*((-0.000002)*L326^3+0.00032*L326^2+(-0.0021)*L326)+M$1*((-0.000002)*M326^3+0.00032*M326^2+(-0.0021)*M326)+N$1*((-0.000002)*N326^3+0.00032*N326^2+(-0.0021)*N326)+O$1*((-0.000002)*O326^3+0.00032*O326^2+(-0.0021)*O326)</f>
        <v/>
      </c>
      <c r="W326">
        <f>P$1*((-0.000002)*P326^3+0.00032*P326^2+(-0.0021)*P326)+Q$1*((-0.000002)*Q326^3+0.00032*Q326^2+(-0.0021)*Q326)+R$1*((-0.000002)*R326^3+0.00032*R326^2+(-0.0021)*R326)+S$1*((-0.000002)*S326^3+0.00032*S326^2+(-0.0021)*S326)+T$1*((-0.000002)*T326^3+0.00032*T326^2+(-0.0021)*T326)</f>
        <v/>
      </c>
      <c r="X326">
        <f>(I$1*((-0.000002)*I326^3+0.00032*I326^2+(-0.0021)*I326)+J$1*((-0.000002)*J326^3+0.00032*J326^2+(-0.0021)*J326)+H$1*((-0.000002)*H326^3+0.00032*H326^2+(-0.0021)*H326))*(MAX(0.05,MIN(1,(2*J326+I326)/120)*MIN(1,I326/10)*MIN(1,J326/10)))</f>
        <v/>
      </c>
      <c r="Y326">
        <f>(I$1*((-0.000002)*I326^3+0.00032*I326^2+(-0.0021)*I326)+J$1*((-0.000002)*J326^3+0.00032*J326^2+(-0.0021)*J326)+H$1*((-0.000002)*H326^3+0.00032*H326^2+(-0.0021)*H326))*(MAX(0.05,MIN(1,(2*J326+I326)/120)*MIN(1,I326/10)*MIN(1,J326/10)))</f>
        <v/>
      </c>
      <c r="Z326">
        <f>U326*J$2+V326*O$2+W326*H$2</f>
        <v/>
      </c>
      <c r="AA326">
        <f>IF(AND(J326&gt;50,I326+J326&gt;75),"SP",IF(2*I326+J326&gt;120,"RP","CRAP"))</f>
        <v/>
      </c>
    </row>
    <row r="327" ht="13.5" customHeight="1" s="27" thickBot="1">
      <c r="A327">
        <f>(V327*V$2+W327*W$2+X327*X$2)*100/(V$4*V$2+W$4*W$2+X$4*X$2)</f>
        <v/>
      </c>
      <c r="B327" s="18" t="n"/>
      <c r="C327" s="11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>
        <f>K$1*(0.000001*K327^3)+L$1*((-0.000002)*L327^3+0.00032*L327^2+(-0.0021)*L327)+M$1*((-0.000002)*M327^3+0.00032*M327^2+(-0.0021)*M327)+N$1*((-0.000002)*N327^3+0.00032*N327^2+(-0.0021)*N327)+O$1*((-0.000002)*O327^3+0.00032*O327^2+(-0.0021)*O327)</f>
        <v/>
      </c>
      <c r="W327">
        <f>P$1*((-0.000002)*P327^3+0.00032*P327^2+(-0.0021)*P327)+Q$1*((-0.000002)*Q327^3+0.00032*Q327^2+(-0.0021)*Q327)+R$1*((-0.000002)*R327^3+0.00032*R327^2+(-0.0021)*R327)+S$1*((-0.000002)*S327^3+0.00032*S327^2+(-0.0021)*S327)+T$1*((-0.000002)*T327^3+0.00032*T327^2+(-0.0021)*T327)</f>
        <v/>
      </c>
      <c r="X327">
        <f>(I$1*((-0.000002)*I327^3+0.00032*I327^2+(-0.0021)*I327)+J$1*((-0.000002)*J327^3+0.00032*J327^2+(-0.0021)*J327)+H$1*((-0.000002)*H327^3+0.00032*H327^2+(-0.0021)*H327))*(MAX(0.05,MIN(1,(2*J327+I327)/120)*MIN(1,I327/10)*MIN(1,J327/10)))</f>
        <v/>
      </c>
      <c r="Y327">
        <f>(I$1*((-0.000002)*I327^3+0.00032*I327^2+(-0.0021)*I327)+J$1*((-0.000002)*J327^3+0.00032*J327^2+(-0.0021)*J327)+H$1*((-0.000002)*H327^3+0.00032*H327^2+(-0.0021)*H327))*(MAX(0.05,MIN(1,(2*J327+I327)/120)*MIN(1,I327/10)*MIN(1,J327/10)))</f>
        <v/>
      </c>
      <c r="Z327">
        <f>U327*J$2+V327*O$2+W327*H$2</f>
        <v/>
      </c>
      <c r="AA327">
        <f>IF(AND(J327&gt;50,I327+J327&gt;75),"SP",IF(2*I327+J327&gt;120,"RP","CRAP"))</f>
        <v/>
      </c>
    </row>
    <row r="328" ht="13.5" customHeight="1" s="27" thickBot="1">
      <c r="A328">
        <f>(V328*V$2+W328*W$2+X328*X$2)*100/(V$4*V$2+W$4*W$2+X$4*X$2)</f>
        <v/>
      </c>
      <c r="B328" s="16" t="n"/>
      <c r="C328" s="10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>
        <f>K$1*(0.000001*K328^3)+L$1*((-0.000002)*L328^3+0.00032*L328^2+(-0.0021)*L328)+M$1*((-0.000002)*M328^3+0.00032*M328^2+(-0.0021)*M328)+N$1*((-0.000002)*N328^3+0.00032*N328^2+(-0.0021)*N328)+O$1*((-0.000002)*O328^3+0.00032*O328^2+(-0.0021)*O328)</f>
        <v/>
      </c>
      <c r="W328">
        <f>P$1*((-0.000002)*P328^3+0.00032*P328^2+(-0.0021)*P328)+Q$1*((-0.000002)*Q328^3+0.00032*Q328^2+(-0.0021)*Q328)+R$1*((-0.000002)*R328^3+0.00032*R328^2+(-0.0021)*R328)+S$1*((-0.000002)*S328^3+0.00032*S328^2+(-0.0021)*S328)+T$1*((-0.000002)*T328^3+0.00032*T328^2+(-0.0021)*T328)</f>
        <v/>
      </c>
      <c r="X328">
        <f>(I$1*((-0.000002)*I328^3+0.00032*I328^2+(-0.0021)*I328)+J$1*((-0.000002)*J328^3+0.00032*J328^2+(-0.0021)*J328)+H$1*((-0.000002)*H328^3+0.00032*H328^2+(-0.0021)*H328))*(MAX(0.05,MIN(1,(2*J328+I328)/120)*MIN(1,I328/10)*MIN(1,J328/10)))</f>
        <v/>
      </c>
      <c r="Y328">
        <f>(I$1*((-0.000002)*I328^3+0.00032*I328^2+(-0.0021)*I328)+J$1*((-0.000002)*J328^3+0.00032*J328^2+(-0.0021)*J328)+H$1*((-0.000002)*H328^3+0.00032*H328^2+(-0.0021)*H328))*(MAX(0.05,MIN(1,(2*J328+I328)/120)*MIN(1,I328/10)*MIN(1,J328/10)))</f>
        <v/>
      </c>
      <c r="Z328">
        <f>U328*J$2+V328*O$2+W328*H$2</f>
        <v/>
      </c>
      <c r="AA328">
        <f>IF(AND(J328&gt;50,I328+J328&gt;75),"SP",IF(2*I328+J328&gt;120,"RP","CRAP"))</f>
        <v/>
      </c>
    </row>
    <row r="329" ht="13.5" customHeight="1" s="27" thickBot="1">
      <c r="A329">
        <f>(V329*V$2+W329*W$2+X329*X$2)*100/(V$4*V$2+W$4*W$2+X$4*X$2)</f>
        <v/>
      </c>
      <c r="B329" s="18" t="n"/>
      <c r="C329" s="11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>
        <f>K$1*(0.000001*K329^3)+L$1*((-0.000002)*L329^3+0.00032*L329^2+(-0.0021)*L329)+M$1*((-0.000002)*M329^3+0.00032*M329^2+(-0.0021)*M329)+N$1*((-0.000002)*N329^3+0.00032*N329^2+(-0.0021)*N329)+O$1*((-0.000002)*O329^3+0.00032*O329^2+(-0.0021)*O329)</f>
        <v/>
      </c>
      <c r="W329">
        <f>P$1*((-0.000002)*P329^3+0.00032*P329^2+(-0.0021)*P329)+Q$1*((-0.000002)*Q329^3+0.00032*Q329^2+(-0.0021)*Q329)+R$1*((-0.000002)*R329^3+0.00032*R329^2+(-0.0021)*R329)+S$1*((-0.000002)*S329^3+0.00032*S329^2+(-0.0021)*S329)+T$1*((-0.000002)*T329^3+0.00032*T329^2+(-0.0021)*T329)</f>
        <v/>
      </c>
      <c r="X329">
        <f>(I$1*((-0.000002)*I329^3+0.00032*I329^2+(-0.0021)*I329)+J$1*((-0.000002)*J329^3+0.00032*J329^2+(-0.0021)*J329)+H$1*((-0.000002)*H329^3+0.00032*H329^2+(-0.0021)*H329))*(MAX(0.05,MIN(1,(2*J329+I329)/120)*MIN(1,I329/10)*MIN(1,J329/10)))</f>
        <v/>
      </c>
      <c r="Y329">
        <f>(I$1*((-0.000002)*I329^3+0.00032*I329^2+(-0.0021)*I329)+J$1*((-0.000002)*J329^3+0.00032*J329^2+(-0.0021)*J329)+H$1*((-0.000002)*H329^3+0.00032*H329^2+(-0.0021)*H329))*(MAX(0.05,MIN(1,(2*J329+I329)/120)*MIN(1,I329/10)*MIN(1,J329/10)))</f>
        <v/>
      </c>
      <c r="Z329">
        <f>U329*J$2+V329*O$2+W329*H$2</f>
        <v/>
      </c>
      <c r="AA329">
        <f>IF(AND(J329&gt;50,I329+J329&gt;75),"SP",IF(2*I329+J329&gt;120,"RP","CRAP"))</f>
        <v/>
      </c>
    </row>
    <row r="330" ht="13.5" customHeight="1" s="27" thickBot="1">
      <c r="A330">
        <f>(V330*V$2+W330*W$2+X330*X$2)*100/(V$4*V$2+W$4*W$2+X$4*X$2)</f>
        <v/>
      </c>
      <c r="B330" s="16" t="n"/>
      <c r="C330" s="10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>
        <f>K$1*(0.000001*K330^3)+L$1*((-0.000002)*L330^3+0.00032*L330^2+(-0.0021)*L330)+M$1*((-0.000002)*M330^3+0.00032*M330^2+(-0.0021)*M330)+N$1*((-0.000002)*N330^3+0.00032*N330^2+(-0.0021)*N330)+O$1*((-0.000002)*O330^3+0.00032*O330^2+(-0.0021)*O330)</f>
        <v/>
      </c>
      <c r="W330">
        <f>P$1*((-0.000002)*P330^3+0.00032*P330^2+(-0.0021)*P330)+Q$1*((-0.000002)*Q330^3+0.00032*Q330^2+(-0.0021)*Q330)+R$1*((-0.000002)*R330^3+0.00032*R330^2+(-0.0021)*R330)+S$1*((-0.000002)*S330^3+0.00032*S330^2+(-0.0021)*S330)+T$1*((-0.000002)*T330^3+0.00032*T330^2+(-0.0021)*T330)</f>
        <v/>
      </c>
      <c r="X330">
        <f>(I$1*((-0.000002)*I330^3+0.00032*I330^2+(-0.0021)*I330)+J$1*((-0.000002)*J330^3+0.00032*J330^2+(-0.0021)*J330)+H$1*((-0.000002)*H330^3+0.00032*H330^2+(-0.0021)*H330))*(MAX(0.05,MIN(1,(2*J330+I330)/120)*MIN(1,I330/10)*MIN(1,J330/10)))</f>
        <v/>
      </c>
      <c r="Y330">
        <f>(I$1*((-0.000002)*I330^3+0.00032*I330^2+(-0.0021)*I330)+J$1*((-0.000002)*J330^3+0.00032*J330^2+(-0.0021)*J330)+H$1*((-0.000002)*H330^3+0.00032*H330^2+(-0.0021)*H330))*(MAX(0.05,MIN(1,(2*J330+I330)/120)*MIN(1,I330/10)*MIN(1,J330/10)))</f>
        <v/>
      </c>
      <c r="Z330">
        <f>U330*J$2+V330*O$2+W330*H$2</f>
        <v/>
      </c>
      <c r="AA330">
        <f>IF(AND(J330&gt;50,I330+J330&gt;75),"SP",IF(2*I330+J330&gt;120,"RP","CRAP"))</f>
        <v/>
      </c>
    </row>
    <row r="331" ht="13.5" customHeight="1" s="27" thickBot="1">
      <c r="A331">
        <f>(V331*V$2+W331*W$2+X331*X$2)*100/(V$4*V$2+W$4*W$2+X$4*X$2)</f>
        <v/>
      </c>
      <c r="B331" s="18" t="n"/>
      <c r="C331" s="11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>
        <f>K$1*(0.000001*K331^3)+L$1*((-0.000002)*L331^3+0.00032*L331^2+(-0.0021)*L331)+M$1*((-0.000002)*M331^3+0.00032*M331^2+(-0.0021)*M331)+N$1*((-0.000002)*N331^3+0.00032*N331^2+(-0.0021)*N331)+O$1*((-0.000002)*O331^3+0.00032*O331^2+(-0.0021)*O331)</f>
        <v/>
      </c>
      <c r="W331">
        <f>P$1*((-0.000002)*P331^3+0.00032*P331^2+(-0.0021)*P331)+Q$1*((-0.000002)*Q331^3+0.00032*Q331^2+(-0.0021)*Q331)+R$1*((-0.000002)*R331^3+0.00032*R331^2+(-0.0021)*R331)+S$1*((-0.000002)*S331^3+0.00032*S331^2+(-0.0021)*S331)+T$1*((-0.000002)*T331^3+0.00032*T331^2+(-0.0021)*T331)</f>
        <v/>
      </c>
      <c r="X331">
        <f>(I$1*((-0.000002)*I331^3+0.00032*I331^2+(-0.0021)*I331)+J$1*((-0.000002)*J331^3+0.00032*J331^2+(-0.0021)*J331)+H$1*((-0.000002)*H331^3+0.00032*H331^2+(-0.0021)*H331))*(MAX(0.05,MIN(1,(2*J331+I331)/120)*MIN(1,I331/10)*MIN(1,J331/10)))</f>
        <v/>
      </c>
      <c r="Y331">
        <f>(I$1*((-0.000002)*I331^3+0.00032*I331^2+(-0.0021)*I331)+J$1*((-0.000002)*J331^3+0.00032*J331^2+(-0.0021)*J331)+H$1*((-0.000002)*H331^3+0.00032*H331^2+(-0.0021)*H331))*(MAX(0.05,MIN(1,(2*J331+I331)/120)*MIN(1,I331/10)*MIN(1,J331/10)))</f>
        <v/>
      </c>
      <c r="Z331">
        <f>U331*J$2+V331*O$2+W331*H$2</f>
        <v/>
      </c>
      <c r="AA331">
        <f>IF(AND(J331&gt;50,I331+J331&gt;75),"SP",IF(2*I331+J331&gt;120,"RP","CRAP"))</f>
        <v/>
      </c>
    </row>
    <row r="332" ht="13.5" customHeight="1" s="27" thickBot="1">
      <c r="A332">
        <f>(V332*V$2+W332*W$2+X332*X$2)*100/(V$4*V$2+W$4*W$2+X$4*X$2)</f>
        <v/>
      </c>
      <c r="B332" s="16" t="n"/>
      <c r="C332" s="10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>
        <f>K$1*(0.000001*K332^3)+L$1*((-0.000002)*L332^3+0.00032*L332^2+(-0.0021)*L332)+M$1*((-0.000002)*M332^3+0.00032*M332^2+(-0.0021)*M332)+N$1*((-0.000002)*N332^3+0.00032*N332^2+(-0.0021)*N332)+O$1*((-0.000002)*O332^3+0.00032*O332^2+(-0.0021)*O332)</f>
        <v/>
      </c>
      <c r="W332">
        <f>P$1*((-0.000002)*P332^3+0.00032*P332^2+(-0.0021)*P332)+Q$1*((-0.000002)*Q332^3+0.00032*Q332^2+(-0.0021)*Q332)+R$1*((-0.000002)*R332^3+0.00032*R332^2+(-0.0021)*R332)+S$1*((-0.000002)*S332^3+0.00032*S332^2+(-0.0021)*S332)+T$1*((-0.000002)*T332^3+0.00032*T332^2+(-0.0021)*T332)</f>
        <v/>
      </c>
      <c r="X332">
        <f>(I$1*((-0.000002)*I332^3+0.00032*I332^2+(-0.0021)*I332)+J$1*((-0.000002)*J332^3+0.00032*J332^2+(-0.0021)*J332)+H$1*((-0.000002)*H332^3+0.00032*H332^2+(-0.0021)*H332))*(MAX(0.05,MIN(1,(2*J332+I332)/120)*MIN(1,I332/10)*MIN(1,J332/10)))</f>
        <v/>
      </c>
      <c r="Y332">
        <f>(I$1*((-0.000002)*I332^3+0.00032*I332^2+(-0.0021)*I332)+J$1*((-0.000002)*J332^3+0.00032*J332^2+(-0.0021)*J332)+H$1*((-0.000002)*H332^3+0.00032*H332^2+(-0.0021)*H332))*(MAX(0.05,MIN(1,(2*J332+I332)/120)*MIN(1,I332/10)*MIN(1,J332/10)))</f>
        <v/>
      </c>
      <c r="Z332">
        <f>U332*J$2+V332*O$2+W332*H$2</f>
        <v/>
      </c>
      <c r="AA332">
        <f>IF(AND(J332&gt;50,I332+J332&gt;75),"SP",IF(2*I332+J332&gt;120,"RP","CRAP"))</f>
        <v/>
      </c>
    </row>
    <row r="333" ht="13.5" customHeight="1" s="27" thickBot="1">
      <c r="A333">
        <f>(V333*V$2+W333*W$2+X333*X$2)*100/(V$4*V$2+W$4*W$2+X$4*X$2)</f>
        <v/>
      </c>
      <c r="B333" s="18" t="n"/>
      <c r="C333" s="11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>
        <f>K$1*(0.000001*K333^3)+L$1*((-0.000002)*L333^3+0.00032*L333^2+(-0.0021)*L333)+M$1*((-0.000002)*M333^3+0.00032*M333^2+(-0.0021)*M333)+N$1*((-0.000002)*N333^3+0.00032*N333^2+(-0.0021)*N333)+O$1*((-0.000002)*O333^3+0.00032*O333^2+(-0.0021)*O333)</f>
        <v/>
      </c>
      <c r="W333">
        <f>P$1*((-0.000002)*P333^3+0.00032*P333^2+(-0.0021)*P333)+Q$1*((-0.000002)*Q333^3+0.00032*Q333^2+(-0.0021)*Q333)+R$1*((-0.000002)*R333^3+0.00032*R333^2+(-0.0021)*R333)+S$1*((-0.000002)*S333^3+0.00032*S333^2+(-0.0021)*S333)+T$1*((-0.000002)*T333^3+0.00032*T333^2+(-0.0021)*T333)</f>
        <v/>
      </c>
      <c r="X333">
        <f>(I$1*((-0.000002)*I333^3+0.00032*I333^2+(-0.0021)*I333)+J$1*((-0.000002)*J333^3+0.00032*J333^2+(-0.0021)*J333)+H$1*((-0.000002)*H333^3+0.00032*H333^2+(-0.0021)*H333))*(MAX(0.05,MIN(1,(2*J333+I333)/120)*MIN(1,I333/10)*MIN(1,J333/10)))</f>
        <v/>
      </c>
      <c r="Y333">
        <f>(I$1*((-0.000002)*I333^3+0.00032*I333^2+(-0.0021)*I333)+J$1*((-0.000002)*J333^3+0.00032*J333^2+(-0.0021)*J333)+H$1*((-0.000002)*H333^3+0.00032*H333^2+(-0.0021)*H333))*(MAX(0.05,MIN(1,(2*J333+I333)/120)*MIN(1,I333/10)*MIN(1,J333/10)))</f>
        <v/>
      </c>
      <c r="Z333">
        <f>U333*J$2+V333*O$2+W333*H$2</f>
        <v/>
      </c>
      <c r="AA333">
        <f>IF(AND(J333&gt;50,I333+J333&gt;75),"SP",IF(2*I333+J333&gt;120,"RP","CRAP"))</f>
        <v/>
      </c>
    </row>
    <row r="334" ht="13.5" customHeight="1" s="27" thickBot="1">
      <c r="A334">
        <f>(V334*V$2+W334*W$2+X334*X$2)*100/(V$4*V$2+W$4*W$2+X$4*X$2)</f>
        <v/>
      </c>
      <c r="B334" s="16" t="n"/>
      <c r="C334" s="10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>
        <f>K$1*(0.000001*K334^3)+L$1*((-0.000002)*L334^3+0.00032*L334^2+(-0.0021)*L334)+M$1*((-0.000002)*M334^3+0.00032*M334^2+(-0.0021)*M334)+N$1*((-0.000002)*N334^3+0.00032*N334^2+(-0.0021)*N334)+O$1*((-0.000002)*O334^3+0.00032*O334^2+(-0.0021)*O334)</f>
        <v/>
      </c>
      <c r="W334">
        <f>P$1*((-0.000002)*P334^3+0.00032*P334^2+(-0.0021)*P334)+Q$1*((-0.000002)*Q334^3+0.00032*Q334^2+(-0.0021)*Q334)+R$1*((-0.000002)*R334^3+0.00032*R334^2+(-0.0021)*R334)+S$1*((-0.000002)*S334^3+0.00032*S334^2+(-0.0021)*S334)+T$1*((-0.000002)*T334^3+0.00032*T334^2+(-0.0021)*T334)</f>
        <v/>
      </c>
      <c r="X334">
        <f>(I$1*((-0.000002)*I334^3+0.00032*I334^2+(-0.0021)*I334)+J$1*((-0.000002)*J334^3+0.00032*J334^2+(-0.0021)*J334)+H$1*((-0.000002)*H334^3+0.00032*H334^2+(-0.0021)*H334))*(MAX(0.05,MIN(1,(2*J334+I334)/120)*MIN(1,I334/10)*MIN(1,J334/10)))</f>
        <v/>
      </c>
      <c r="Y334">
        <f>(I$1*((-0.000002)*I334^3+0.00032*I334^2+(-0.0021)*I334)+J$1*((-0.000002)*J334^3+0.00032*J334^2+(-0.0021)*J334)+H$1*((-0.000002)*H334^3+0.00032*H334^2+(-0.0021)*H334))*(MAX(0.05,MIN(1,(2*J334+I334)/120)*MIN(1,I334/10)*MIN(1,J334/10)))</f>
        <v/>
      </c>
      <c r="Z334">
        <f>U334*J$2+V334*O$2+W334*H$2</f>
        <v/>
      </c>
      <c r="AA334">
        <f>IF(AND(J334&gt;50,I334+J334&gt;75),"SP",IF(2*I334+J334&gt;120,"RP","CRAP"))</f>
        <v/>
      </c>
    </row>
    <row r="335" ht="13.5" customHeight="1" s="27" thickBot="1">
      <c r="A335">
        <f>(V335*V$2+W335*W$2+X335*X$2)*100/(V$4*V$2+W$4*W$2+X$4*X$2)</f>
        <v/>
      </c>
      <c r="B335" s="18" t="n"/>
      <c r="C335" s="11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>
        <f>K$1*(0.000001*K335^3)+L$1*((-0.000002)*L335^3+0.00032*L335^2+(-0.0021)*L335)+M$1*((-0.000002)*M335^3+0.00032*M335^2+(-0.0021)*M335)+N$1*((-0.000002)*N335^3+0.00032*N335^2+(-0.0021)*N335)+O$1*((-0.000002)*O335^3+0.00032*O335^2+(-0.0021)*O335)</f>
        <v/>
      </c>
      <c r="W335">
        <f>P$1*((-0.000002)*P335^3+0.00032*P335^2+(-0.0021)*P335)+Q$1*((-0.000002)*Q335^3+0.00032*Q335^2+(-0.0021)*Q335)+R$1*((-0.000002)*R335^3+0.00032*R335^2+(-0.0021)*R335)+S$1*((-0.000002)*S335^3+0.00032*S335^2+(-0.0021)*S335)+T$1*((-0.000002)*T335^3+0.00032*T335^2+(-0.0021)*T335)</f>
        <v/>
      </c>
      <c r="X335">
        <f>(I$1*((-0.000002)*I335^3+0.00032*I335^2+(-0.0021)*I335)+J$1*((-0.000002)*J335^3+0.00032*J335^2+(-0.0021)*J335)+H$1*((-0.000002)*H335^3+0.00032*H335^2+(-0.0021)*H335))*(MAX(0.05,MIN(1,(2*J335+I335)/120)*MIN(1,I335/10)*MIN(1,J335/10)))</f>
        <v/>
      </c>
      <c r="Y335">
        <f>(I$1*((-0.000002)*I335^3+0.00032*I335^2+(-0.0021)*I335)+J$1*((-0.000002)*J335^3+0.00032*J335^2+(-0.0021)*J335)+H$1*((-0.000002)*H335^3+0.00032*H335^2+(-0.0021)*H335))*(MAX(0.05,MIN(1,(2*J335+I335)/120)*MIN(1,I335/10)*MIN(1,J335/10)))</f>
        <v/>
      </c>
      <c r="Z335">
        <f>U335*J$2+V335*O$2+W335*H$2</f>
        <v/>
      </c>
      <c r="AA335">
        <f>IF(AND(J335&gt;50,I335+J335&gt;75),"SP",IF(2*I335+J335&gt;120,"RP","CRAP"))</f>
        <v/>
      </c>
    </row>
    <row r="336" ht="13.5" customHeight="1" s="27" thickBot="1">
      <c r="A336">
        <f>(V336*V$2+W336*W$2+X336*X$2)*100/(V$4*V$2+W$4*W$2+X$4*X$2)</f>
        <v/>
      </c>
      <c r="B336" s="16" t="n"/>
      <c r="C336" s="10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>
        <f>K$1*(0.000001*K336^3)+L$1*((-0.000002)*L336^3+0.00032*L336^2+(-0.0021)*L336)+M$1*((-0.000002)*M336^3+0.00032*M336^2+(-0.0021)*M336)+N$1*((-0.000002)*N336^3+0.00032*N336^2+(-0.0021)*N336)+O$1*((-0.000002)*O336^3+0.00032*O336^2+(-0.0021)*O336)</f>
        <v/>
      </c>
      <c r="W336">
        <f>P$1*((-0.000002)*P336^3+0.00032*P336^2+(-0.0021)*P336)+Q$1*((-0.000002)*Q336^3+0.00032*Q336^2+(-0.0021)*Q336)+R$1*((-0.000002)*R336^3+0.00032*R336^2+(-0.0021)*R336)+S$1*((-0.000002)*S336^3+0.00032*S336^2+(-0.0021)*S336)+T$1*((-0.000002)*T336^3+0.00032*T336^2+(-0.0021)*T336)</f>
        <v/>
      </c>
      <c r="X336">
        <f>(I$1*((-0.000002)*I336^3+0.00032*I336^2+(-0.0021)*I336)+J$1*((-0.000002)*J336^3+0.00032*J336^2+(-0.0021)*J336)+H$1*((-0.000002)*H336^3+0.00032*H336^2+(-0.0021)*H336))*(MAX(0.05,MIN(1,(2*J336+I336)/120)*MIN(1,I336/10)*MIN(1,J336/10)))</f>
        <v/>
      </c>
      <c r="Y336">
        <f>(I$1*((-0.000002)*I336^3+0.00032*I336^2+(-0.0021)*I336)+J$1*((-0.000002)*J336^3+0.00032*J336^2+(-0.0021)*J336)+H$1*((-0.000002)*H336^3+0.00032*H336^2+(-0.0021)*H336))*(MAX(0.05,MIN(1,(2*J336+I336)/120)*MIN(1,I336/10)*MIN(1,J336/10)))</f>
        <v/>
      </c>
      <c r="Z336">
        <f>U336*J$2+V336*O$2+W336*H$2</f>
        <v/>
      </c>
      <c r="AA336">
        <f>IF(AND(J336&gt;50,I336+J336&gt;75),"SP",IF(2*I336+J336&gt;120,"RP","CRAP"))</f>
        <v/>
      </c>
    </row>
    <row r="337" ht="13.5" customHeight="1" s="27" thickBot="1">
      <c r="A337">
        <f>(V337*V$2+W337*W$2+X337*X$2)*100/(V$4*V$2+W$4*W$2+X$4*X$2)</f>
        <v/>
      </c>
      <c r="B337" s="18" t="n"/>
      <c r="C337" s="11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>
        <f>K$1*(0.000001*K337^3)+L$1*((-0.000002)*L337^3+0.00032*L337^2+(-0.0021)*L337)+M$1*((-0.000002)*M337^3+0.00032*M337^2+(-0.0021)*M337)+N$1*((-0.000002)*N337^3+0.00032*N337^2+(-0.0021)*N337)+O$1*((-0.000002)*O337^3+0.00032*O337^2+(-0.0021)*O337)</f>
        <v/>
      </c>
      <c r="W337">
        <f>P$1*((-0.000002)*P337^3+0.00032*P337^2+(-0.0021)*P337)+Q$1*((-0.000002)*Q337^3+0.00032*Q337^2+(-0.0021)*Q337)+R$1*((-0.000002)*R337^3+0.00032*R337^2+(-0.0021)*R337)+S$1*((-0.000002)*S337^3+0.00032*S337^2+(-0.0021)*S337)+T$1*((-0.000002)*T337^3+0.00032*T337^2+(-0.0021)*T337)</f>
        <v/>
      </c>
      <c r="X337">
        <f>(I$1*((-0.000002)*I337^3+0.00032*I337^2+(-0.0021)*I337)+J$1*((-0.000002)*J337^3+0.00032*J337^2+(-0.0021)*J337)+H$1*((-0.000002)*H337^3+0.00032*H337^2+(-0.0021)*H337))*(MAX(0.05,MIN(1,(2*J337+I337)/120)*MIN(1,I337/10)*MIN(1,J337/10)))</f>
        <v/>
      </c>
      <c r="Y337">
        <f>(I$1*((-0.000002)*I337^3+0.00032*I337^2+(-0.0021)*I337)+J$1*((-0.000002)*J337^3+0.00032*J337^2+(-0.0021)*J337)+H$1*((-0.000002)*H337^3+0.00032*H337^2+(-0.0021)*H337))*(MAX(0.05,MIN(1,(2*J337+I337)/120)*MIN(1,I337/10)*MIN(1,J337/10)))</f>
        <v/>
      </c>
      <c r="Z337">
        <f>U337*J$2+V337*O$2+W337*H$2</f>
        <v/>
      </c>
      <c r="AA337">
        <f>IF(AND(J337&gt;50,I337+J337&gt;75),"SP",IF(2*I337+J337&gt;120,"RP","CRAP"))</f>
        <v/>
      </c>
    </row>
    <row r="338" ht="13.5" customHeight="1" s="27" thickBot="1">
      <c r="A338">
        <f>(V338*V$2+W338*W$2+X338*X$2)*100/(V$4*V$2+W$4*W$2+X$4*X$2)</f>
        <v/>
      </c>
      <c r="B338" s="16" t="n"/>
      <c r="C338" s="10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>
        <f>K$1*(0.000001*K338^3)+L$1*((-0.000002)*L338^3+0.00032*L338^2+(-0.0021)*L338)+M$1*((-0.000002)*M338^3+0.00032*M338^2+(-0.0021)*M338)+N$1*((-0.000002)*N338^3+0.00032*N338^2+(-0.0021)*N338)+O$1*((-0.000002)*O338^3+0.00032*O338^2+(-0.0021)*O338)</f>
        <v/>
      </c>
      <c r="W338">
        <f>P$1*((-0.000002)*P338^3+0.00032*P338^2+(-0.0021)*P338)+Q$1*((-0.000002)*Q338^3+0.00032*Q338^2+(-0.0021)*Q338)+R$1*((-0.000002)*R338^3+0.00032*R338^2+(-0.0021)*R338)+S$1*((-0.000002)*S338^3+0.00032*S338^2+(-0.0021)*S338)+T$1*((-0.000002)*T338^3+0.00032*T338^2+(-0.0021)*T338)</f>
        <v/>
      </c>
      <c r="X338">
        <f>(I$1*((-0.000002)*I338^3+0.00032*I338^2+(-0.0021)*I338)+J$1*((-0.000002)*J338^3+0.00032*J338^2+(-0.0021)*J338)+H$1*((-0.000002)*H338^3+0.00032*H338^2+(-0.0021)*H338))*(MAX(0.05,MIN(1,(2*J338+I338)/120)*MIN(1,I338/10)*MIN(1,J338/10)))</f>
        <v/>
      </c>
      <c r="Y338">
        <f>(I$1*((-0.000002)*I338^3+0.00032*I338^2+(-0.0021)*I338)+J$1*((-0.000002)*J338^3+0.00032*J338^2+(-0.0021)*J338)+H$1*((-0.000002)*H338^3+0.00032*H338^2+(-0.0021)*H338))*(MAX(0.05,MIN(1,(2*J338+I338)/120)*MIN(1,I338/10)*MIN(1,J338/10)))</f>
        <v/>
      </c>
      <c r="Z338">
        <f>U338*J$2+V338*O$2+W338*H$2</f>
        <v/>
      </c>
      <c r="AA338">
        <f>IF(AND(J338&gt;50,I338+J338&gt;75),"SP",IF(2*I338+J338&gt;120,"RP","CRAP"))</f>
        <v/>
      </c>
    </row>
    <row r="339" ht="13.5" customHeight="1" s="27" thickBot="1">
      <c r="A339">
        <f>(V339*V$2+W339*W$2+X339*X$2)*100/(V$4*V$2+W$4*W$2+X$4*X$2)</f>
        <v/>
      </c>
      <c r="B339" s="18" t="n"/>
      <c r="C339" s="11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>
        <f>K$1*(0.000001*K339^3)+L$1*((-0.000002)*L339^3+0.00032*L339^2+(-0.0021)*L339)+M$1*((-0.000002)*M339^3+0.00032*M339^2+(-0.0021)*M339)+N$1*((-0.000002)*N339^3+0.00032*N339^2+(-0.0021)*N339)+O$1*((-0.000002)*O339^3+0.00032*O339^2+(-0.0021)*O339)</f>
        <v/>
      </c>
      <c r="W339">
        <f>P$1*((-0.000002)*P339^3+0.00032*P339^2+(-0.0021)*P339)+Q$1*((-0.000002)*Q339^3+0.00032*Q339^2+(-0.0021)*Q339)+R$1*((-0.000002)*R339^3+0.00032*R339^2+(-0.0021)*R339)+S$1*((-0.000002)*S339^3+0.00032*S339^2+(-0.0021)*S339)+T$1*((-0.000002)*T339^3+0.00032*T339^2+(-0.0021)*T339)</f>
        <v/>
      </c>
      <c r="X339">
        <f>(I$1*((-0.000002)*I339^3+0.00032*I339^2+(-0.0021)*I339)+J$1*((-0.000002)*J339^3+0.00032*J339^2+(-0.0021)*J339)+H$1*((-0.000002)*H339^3+0.00032*H339^2+(-0.0021)*H339))*(MAX(0.05,MIN(1,(2*J339+I339)/120)*MIN(1,I339/10)*MIN(1,J339/10)))</f>
        <v/>
      </c>
      <c r="Y339">
        <f>(I$1*((-0.000002)*I339^3+0.00032*I339^2+(-0.0021)*I339)+J$1*((-0.000002)*J339^3+0.00032*J339^2+(-0.0021)*J339)+H$1*((-0.000002)*H339^3+0.00032*H339^2+(-0.0021)*H339))*(MAX(0.05,MIN(1,(2*J339+I339)/120)*MIN(1,I339/10)*MIN(1,J339/10)))</f>
        <v/>
      </c>
      <c r="Z339">
        <f>U339*J$2+V339*O$2+W339*H$2</f>
        <v/>
      </c>
      <c r="AA339">
        <f>IF(AND(J339&gt;50,I339+J339&gt;75),"SP",IF(2*I339+J339&gt;120,"RP","CRAP"))</f>
        <v/>
      </c>
    </row>
    <row r="340" ht="13.5" customHeight="1" s="27" thickBot="1">
      <c r="A340">
        <f>(V340*V$2+W340*W$2+X340*X$2)*100/(V$4*V$2+W$4*W$2+X$4*X$2)</f>
        <v/>
      </c>
      <c r="B340" s="16" t="n"/>
      <c r="C340" s="10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>
        <f>K$1*(0.000001*K340^3)+L$1*((-0.000002)*L340^3+0.00032*L340^2+(-0.0021)*L340)+M$1*((-0.000002)*M340^3+0.00032*M340^2+(-0.0021)*M340)+N$1*((-0.000002)*N340^3+0.00032*N340^2+(-0.0021)*N340)+O$1*((-0.000002)*O340^3+0.00032*O340^2+(-0.0021)*O340)</f>
        <v/>
      </c>
      <c r="W340">
        <f>P$1*((-0.000002)*P340^3+0.00032*P340^2+(-0.0021)*P340)+Q$1*((-0.000002)*Q340^3+0.00032*Q340^2+(-0.0021)*Q340)+R$1*((-0.000002)*R340^3+0.00032*R340^2+(-0.0021)*R340)+S$1*((-0.000002)*S340^3+0.00032*S340^2+(-0.0021)*S340)+T$1*((-0.000002)*T340^3+0.00032*T340^2+(-0.0021)*T340)</f>
        <v/>
      </c>
      <c r="X340">
        <f>(I$1*((-0.000002)*I340^3+0.00032*I340^2+(-0.0021)*I340)+J$1*((-0.000002)*J340^3+0.00032*J340^2+(-0.0021)*J340)+H$1*((-0.000002)*H340^3+0.00032*H340^2+(-0.0021)*H340))*(MAX(0.05,MIN(1,(2*J340+I340)/120)*MIN(1,I340/10)*MIN(1,J340/10)))</f>
        <v/>
      </c>
      <c r="Y340">
        <f>(I$1*((-0.000002)*I340^3+0.00032*I340^2+(-0.0021)*I340)+J$1*((-0.000002)*J340^3+0.00032*J340^2+(-0.0021)*J340)+H$1*((-0.000002)*H340^3+0.00032*H340^2+(-0.0021)*H340))*(MAX(0.05,MIN(1,(2*J340+I340)/120)*MIN(1,I340/10)*MIN(1,J340/10)))</f>
        <v/>
      </c>
      <c r="Z340">
        <f>U340*J$2+V340*O$2+W340*H$2</f>
        <v/>
      </c>
      <c r="AA340">
        <f>IF(AND(J340&gt;50,I340+J340&gt;75),"SP",IF(2*I340+J340&gt;120,"RP","CRAP"))</f>
        <v/>
      </c>
    </row>
    <row r="341" ht="13.5" customHeight="1" s="27" thickBot="1">
      <c r="A341">
        <f>(V341*V$2+W341*W$2+X341*X$2)*100/(V$4*V$2+W$4*W$2+X$4*X$2)</f>
        <v/>
      </c>
      <c r="B341" s="18" t="n"/>
      <c r="C341" s="11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>
        <f>K$1*(0.000001*K341^3)+L$1*((-0.000002)*L341^3+0.00032*L341^2+(-0.0021)*L341)+M$1*((-0.000002)*M341^3+0.00032*M341^2+(-0.0021)*M341)+N$1*((-0.000002)*N341^3+0.00032*N341^2+(-0.0021)*N341)+O$1*((-0.000002)*O341^3+0.00032*O341^2+(-0.0021)*O341)</f>
        <v/>
      </c>
      <c r="W341">
        <f>P$1*((-0.000002)*P341^3+0.00032*P341^2+(-0.0021)*P341)+Q$1*((-0.000002)*Q341^3+0.00032*Q341^2+(-0.0021)*Q341)+R$1*((-0.000002)*R341^3+0.00032*R341^2+(-0.0021)*R341)+S$1*((-0.000002)*S341^3+0.00032*S341^2+(-0.0021)*S341)+T$1*((-0.000002)*T341^3+0.00032*T341^2+(-0.0021)*T341)</f>
        <v/>
      </c>
      <c r="X341">
        <f>(I$1*((-0.000002)*I341^3+0.00032*I341^2+(-0.0021)*I341)+J$1*((-0.000002)*J341^3+0.00032*J341^2+(-0.0021)*J341)+H$1*((-0.000002)*H341^3+0.00032*H341^2+(-0.0021)*H341))*(MAX(0.05,MIN(1,(2*J341+I341)/120)*MIN(1,I341/10)*MIN(1,J341/10)))</f>
        <v/>
      </c>
      <c r="Y341">
        <f>(I$1*((-0.000002)*I341^3+0.00032*I341^2+(-0.0021)*I341)+J$1*((-0.000002)*J341^3+0.00032*J341^2+(-0.0021)*J341)+H$1*((-0.000002)*H341^3+0.00032*H341^2+(-0.0021)*H341))*(MAX(0.05,MIN(1,(2*J341+I341)/120)*MIN(1,I341/10)*MIN(1,J341/10)))</f>
        <v/>
      </c>
      <c r="Z341">
        <f>U341*J$2+V341*O$2+W341*H$2</f>
        <v/>
      </c>
      <c r="AA341">
        <f>IF(AND(J341&gt;50,I341+J341&gt;75),"SP",IF(2*I341+J341&gt;120,"RP","CRAP"))</f>
        <v/>
      </c>
    </row>
    <row r="342" ht="13.5" customHeight="1" s="27" thickBot="1">
      <c r="A342">
        <f>(V342*V$2+W342*W$2+X342*X$2)*100/(V$4*V$2+W$4*W$2+X$4*X$2)</f>
        <v/>
      </c>
      <c r="B342" s="16" t="n"/>
      <c r="C342" s="10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>
        <f>K$1*(0.000001*K342^3)+L$1*((-0.000002)*L342^3+0.00032*L342^2+(-0.0021)*L342)+M$1*((-0.000002)*M342^3+0.00032*M342^2+(-0.0021)*M342)+N$1*((-0.000002)*N342^3+0.00032*N342^2+(-0.0021)*N342)+O$1*((-0.000002)*O342^3+0.00032*O342^2+(-0.0021)*O342)</f>
        <v/>
      </c>
      <c r="W342">
        <f>P$1*((-0.000002)*P342^3+0.00032*P342^2+(-0.0021)*P342)+Q$1*((-0.000002)*Q342^3+0.00032*Q342^2+(-0.0021)*Q342)+R$1*((-0.000002)*R342^3+0.00032*R342^2+(-0.0021)*R342)+S$1*((-0.000002)*S342^3+0.00032*S342^2+(-0.0021)*S342)+T$1*((-0.000002)*T342^3+0.00032*T342^2+(-0.0021)*T342)</f>
        <v/>
      </c>
      <c r="X342">
        <f>(I$1*((-0.000002)*I342^3+0.00032*I342^2+(-0.0021)*I342)+J$1*((-0.000002)*J342^3+0.00032*J342^2+(-0.0021)*J342)+H$1*((-0.000002)*H342^3+0.00032*H342^2+(-0.0021)*H342))*(MAX(0.05,MIN(1,(2*J342+I342)/120)*MIN(1,I342/10)*MIN(1,J342/10)))</f>
        <v/>
      </c>
      <c r="Y342">
        <f>(I$1*((-0.000002)*I342^3+0.00032*I342^2+(-0.0021)*I342)+J$1*((-0.000002)*J342^3+0.00032*J342^2+(-0.0021)*J342)+H$1*((-0.000002)*H342^3+0.00032*H342^2+(-0.0021)*H342))*(MAX(0.05,MIN(1,(2*J342+I342)/120)*MIN(1,I342/10)*MIN(1,J342/10)))</f>
        <v/>
      </c>
      <c r="Z342">
        <f>U342*J$2+V342*O$2+W342*H$2</f>
        <v/>
      </c>
      <c r="AA342">
        <f>IF(AND(J342&gt;50,I342+J342&gt;75),"SP",IF(2*I342+J342&gt;120,"RP","CRAP"))</f>
        <v/>
      </c>
    </row>
    <row r="343" ht="13.5" customHeight="1" s="27" thickBot="1">
      <c r="A343">
        <f>(V343*V$2+W343*W$2+X343*X$2)*100/(V$4*V$2+W$4*W$2+X$4*X$2)</f>
        <v/>
      </c>
      <c r="B343" s="18" t="n"/>
      <c r="C343" s="11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>
        <f>K$1*(0.000001*K343^3)+L$1*((-0.000002)*L343^3+0.00032*L343^2+(-0.0021)*L343)+M$1*((-0.000002)*M343^3+0.00032*M343^2+(-0.0021)*M343)+N$1*((-0.000002)*N343^3+0.00032*N343^2+(-0.0021)*N343)+O$1*((-0.000002)*O343^3+0.00032*O343^2+(-0.0021)*O343)</f>
        <v/>
      </c>
      <c r="W343">
        <f>P$1*((-0.000002)*P343^3+0.00032*P343^2+(-0.0021)*P343)+Q$1*((-0.000002)*Q343^3+0.00032*Q343^2+(-0.0021)*Q343)+R$1*((-0.000002)*R343^3+0.00032*R343^2+(-0.0021)*R343)+S$1*((-0.000002)*S343^3+0.00032*S343^2+(-0.0021)*S343)+T$1*((-0.000002)*T343^3+0.00032*T343^2+(-0.0021)*T343)</f>
        <v/>
      </c>
      <c r="X343">
        <f>(I$1*((-0.000002)*I343^3+0.00032*I343^2+(-0.0021)*I343)+J$1*((-0.000002)*J343^3+0.00032*J343^2+(-0.0021)*J343)+H$1*((-0.000002)*H343^3+0.00032*H343^2+(-0.0021)*H343))*(MAX(0.05,MIN(1,(2*J343+I343)/120)*MIN(1,I343/10)*MIN(1,J343/10)))</f>
        <v/>
      </c>
      <c r="Y343">
        <f>(I$1*((-0.000002)*I343^3+0.00032*I343^2+(-0.0021)*I343)+J$1*((-0.000002)*J343^3+0.00032*J343^2+(-0.0021)*J343)+H$1*((-0.000002)*H343^3+0.00032*H343^2+(-0.0021)*H343))*(MAX(0.05,MIN(1,(2*J343+I343)/120)*MIN(1,I343/10)*MIN(1,J343/10)))</f>
        <v/>
      </c>
      <c r="Z343">
        <f>U343*J$2+V343*O$2+W343*H$2</f>
        <v/>
      </c>
      <c r="AA343">
        <f>IF(AND(J343&gt;50,I343+J343&gt;75),"SP",IF(2*I343+J343&gt;120,"RP","CRAP"))</f>
        <v/>
      </c>
    </row>
    <row r="344" ht="13.5" customHeight="1" s="27" thickBot="1">
      <c r="A344">
        <f>(V344*V$2+W344*W$2+X344*X$2)*100/(V$4*V$2+W$4*W$2+X$4*X$2)</f>
        <v/>
      </c>
      <c r="B344" s="16" t="n"/>
      <c r="C344" s="10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>
        <f>K$1*(0.000001*K344^3)+L$1*((-0.000002)*L344^3+0.00032*L344^2+(-0.0021)*L344)+M$1*((-0.000002)*M344^3+0.00032*M344^2+(-0.0021)*M344)+N$1*((-0.000002)*N344^3+0.00032*N344^2+(-0.0021)*N344)+O$1*((-0.000002)*O344^3+0.00032*O344^2+(-0.0021)*O344)</f>
        <v/>
      </c>
      <c r="W344">
        <f>P$1*((-0.000002)*P344^3+0.00032*P344^2+(-0.0021)*P344)+Q$1*((-0.000002)*Q344^3+0.00032*Q344^2+(-0.0021)*Q344)+R$1*((-0.000002)*R344^3+0.00032*R344^2+(-0.0021)*R344)+S$1*((-0.000002)*S344^3+0.00032*S344^2+(-0.0021)*S344)+T$1*((-0.000002)*T344^3+0.00032*T344^2+(-0.0021)*T344)</f>
        <v/>
      </c>
      <c r="X344">
        <f>(I$1*((-0.000002)*I344^3+0.00032*I344^2+(-0.0021)*I344)+J$1*((-0.000002)*J344^3+0.00032*J344^2+(-0.0021)*J344)+H$1*((-0.000002)*H344^3+0.00032*H344^2+(-0.0021)*H344))*(MAX(0.05,MIN(1,(2*J344+I344)/120)*MIN(1,I344/10)*MIN(1,J344/10)))</f>
        <v/>
      </c>
      <c r="Y344">
        <f>(I$1*((-0.000002)*I344^3+0.00032*I344^2+(-0.0021)*I344)+J$1*((-0.000002)*J344^3+0.00032*J344^2+(-0.0021)*J344)+H$1*((-0.000002)*H344^3+0.00032*H344^2+(-0.0021)*H344))*(MAX(0.05,MIN(1,(2*J344+I344)/120)*MIN(1,I344/10)*MIN(1,J344/10)))</f>
        <v/>
      </c>
      <c r="Z344">
        <f>U344*J$2+V344*O$2+W344*H$2</f>
        <v/>
      </c>
      <c r="AA344">
        <f>IF(AND(J344&gt;50,I344+J344&gt;75),"SP",IF(2*I344+J344&gt;120,"RP","CRAP"))</f>
        <v/>
      </c>
    </row>
    <row r="345" ht="13.5" customHeight="1" s="27" thickBot="1">
      <c r="A345">
        <f>(V345*V$2+W345*W$2+X345*X$2)*100/(V$4*V$2+W$4*W$2+X$4*X$2)</f>
        <v/>
      </c>
      <c r="B345" s="18" t="n"/>
      <c r="C345" s="11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>
        <f>K$1*(0.000001*K345^3)+L$1*((-0.000002)*L345^3+0.00032*L345^2+(-0.0021)*L345)+M$1*((-0.000002)*M345^3+0.00032*M345^2+(-0.0021)*M345)+N$1*((-0.000002)*N345^3+0.00032*N345^2+(-0.0021)*N345)+O$1*((-0.000002)*O345^3+0.00032*O345^2+(-0.0021)*O345)</f>
        <v/>
      </c>
      <c r="W345">
        <f>P$1*((-0.000002)*P345^3+0.00032*P345^2+(-0.0021)*P345)+Q$1*((-0.000002)*Q345^3+0.00032*Q345^2+(-0.0021)*Q345)+R$1*((-0.000002)*R345^3+0.00032*R345^2+(-0.0021)*R345)+S$1*((-0.000002)*S345^3+0.00032*S345^2+(-0.0021)*S345)+T$1*((-0.000002)*T345^3+0.00032*T345^2+(-0.0021)*T345)</f>
        <v/>
      </c>
      <c r="X345">
        <f>(I$1*((-0.000002)*I345^3+0.00032*I345^2+(-0.0021)*I345)+J$1*((-0.000002)*J345^3+0.00032*J345^2+(-0.0021)*J345)+H$1*((-0.000002)*H345^3+0.00032*H345^2+(-0.0021)*H345))*(MAX(0.05,MIN(1,(2*J345+I345)/120)*MIN(1,I345/10)*MIN(1,J345/10)))</f>
        <v/>
      </c>
      <c r="Y345">
        <f>(I$1*((-0.000002)*I345^3+0.00032*I345^2+(-0.0021)*I345)+J$1*((-0.000002)*J345^3+0.00032*J345^2+(-0.0021)*J345)+H$1*((-0.000002)*H345^3+0.00032*H345^2+(-0.0021)*H345))*(MAX(0.05,MIN(1,(2*J345+I345)/120)*MIN(1,I345/10)*MIN(1,J345/10)))</f>
        <v/>
      </c>
      <c r="Z345">
        <f>U345*J$2+V345*O$2+W345*H$2</f>
        <v/>
      </c>
      <c r="AA345">
        <f>IF(AND(J345&gt;50,I345+J345&gt;75),"SP",IF(2*I345+J345&gt;120,"RP","CRAP"))</f>
        <v/>
      </c>
    </row>
    <row r="346" ht="13.5" customHeight="1" s="27" thickBot="1">
      <c r="A346">
        <f>(V346*V$2+W346*W$2+X346*X$2)*100/(V$4*V$2+W$4*W$2+X$4*X$2)</f>
        <v/>
      </c>
      <c r="B346" s="16" t="n"/>
      <c r="C346" s="10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>
        <f>K$1*(0.000001*K346^3)+L$1*((-0.000002)*L346^3+0.00032*L346^2+(-0.0021)*L346)+M$1*((-0.000002)*M346^3+0.00032*M346^2+(-0.0021)*M346)+N$1*((-0.000002)*N346^3+0.00032*N346^2+(-0.0021)*N346)+O$1*((-0.000002)*O346^3+0.00032*O346^2+(-0.0021)*O346)</f>
        <v/>
      </c>
      <c r="W346">
        <f>P$1*((-0.000002)*P346^3+0.00032*P346^2+(-0.0021)*P346)+Q$1*((-0.000002)*Q346^3+0.00032*Q346^2+(-0.0021)*Q346)+R$1*((-0.000002)*R346^3+0.00032*R346^2+(-0.0021)*R346)+S$1*((-0.000002)*S346^3+0.00032*S346^2+(-0.0021)*S346)+T$1*((-0.000002)*T346^3+0.00032*T346^2+(-0.0021)*T346)</f>
        <v/>
      </c>
      <c r="X346">
        <f>(I$1*((-0.000002)*I346^3+0.00032*I346^2+(-0.0021)*I346)+J$1*((-0.000002)*J346^3+0.00032*J346^2+(-0.0021)*J346)+H$1*((-0.000002)*H346^3+0.00032*H346^2+(-0.0021)*H346))*(MAX(0.05,MIN(1,(2*J346+I346)/120)*MIN(1,I346/10)*MIN(1,J346/10)))</f>
        <v/>
      </c>
      <c r="Y346">
        <f>(I$1*((-0.000002)*I346^3+0.00032*I346^2+(-0.0021)*I346)+J$1*((-0.000002)*J346^3+0.00032*J346^2+(-0.0021)*J346)+H$1*((-0.000002)*H346^3+0.00032*H346^2+(-0.0021)*H346))*(MAX(0.05,MIN(1,(2*J346+I346)/120)*MIN(1,I346/10)*MIN(1,J346/10)))</f>
        <v/>
      </c>
      <c r="Z346">
        <f>U346*J$2+V346*O$2+W346*H$2</f>
        <v/>
      </c>
      <c r="AA346">
        <f>IF(AND(J346&gt;50,I346+J346&gt;75),"SP",IF(2*I346+J346&gt;120,"RP","CRAP"))</f>
        <v/>
      </c>
    </row>
    <row r="347" ht="13.5" customHeight="1" s="27" thickBot="1">
      <c r="A347">
        <f>(V347*V$2+W347*W$2+X347*X$2)*100/(V$4*V$2+W$4*W$2+X$4*X$2)</f>
        <v/>
      </c>
      <c r="B347" s="18" t="n"/>
      <c r="C347" s="11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>
        <f>K$1*(0.000001*K347^3)+L$1*((-0.000002)*L347^3+0.00032*L347^2+(-0.0021)*L347)+M$1*((-0.000002)*M347^3+0.00032*M347^2+(-0.0021)*M347)+N$1*((-0.000002)*N347^3+0.00032*N347^2+(-0.0021)*N347)+O$1*((-0.000002)*O347^3+0.00032*O347^2+(-0.0021)*O347)</f>
        <v/>
      </c>
      <c r="W347">
        <f>P$1*((-0.000002)*P347^3+0.00032*P347^2+(-0.0021)*P347)+Q$1*((-0.000002)*Q347^3+0.00032*Q347^2+(-0.0021)*Q347)+R$1*((-0.000002)*R347^3+0.00032*R347^2+(-0.0021)*R347)+S$1*((-0.000002)*S347^3+0.00032*S347^2+(-0.0021)*S347)+T$1*((-0.000002)*T347^3+0.00032*T347^2+(-0.0021)*T347)</f>
        <v/>
      </c>
      <c r="X347">
        <f>(I$1*((-0.000002)*I347^3+0.00032*I347^2+(-0.0021)*I347)+J$1*((-0.000002)*J347^3+0.00032*J347^2+(-0.0021)*J347)+H$1*((-0.000002)*H347^3+0.00032*H347^2+(-0.0021)*H347))*(MAX(0.05,MIN(1,(2*J347+I347)/120)*MIN(1,I347/10)*MIN(1,J347/10)))</f>
        <v/>
      </c>
      <c r="Y347">
        <f>(I$1*((-0.000002)*I347^3+0.00032*I347^2+(-0.0021)*I347)+J$1*((-0.000002)*J347^3+0.00032*J347^2+(-0.0021)*J347)+H$1*((-0.000002)*H347^3+0.00032*H347^2+(-0.0021)*H347))*(MAX(0.05,MIN(1,(2*J347+I347)/120)*MIN(1,I347/10)*MIN(1,J347/10)))</f>
        <v/>
      </c>
      <c r="Z347">
        <f>U347*J$2+V347*O$2+W347*H$2</f>
        <v/>
      </c>
      <c r="AA347">
        <f>IF(AND(J347&gt;50,I347+J347&gt;75),"SP",IF(2*I347+J347&gt;120,"RP","CRAP"))</f>
        <v/>
      </c>
    </row>
    <row r="348" ht="13.5" customHeight="1" s="27" thickBot="1">
      <c r="A348">
        <f>(V348*V$2+W348*W$2+X348*X$2)*100/(V$4*V$2+W$4*W$2+X$4*X$2)</f>
        <v/>
      </c>
      <c r="B348" s="16" t="n"/>
      <c r="C348" s="10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>
        <f>K$1*(0.000001*K348^3)+L$1*((-0.000002)*L348^3+0.00032*L348^2+(-0.0021)*L348)+M$1*((-0.000002)*M348^3+0.00032*M348^2+(-0.0021)*M348)+N$1*((-0.000002)*N348^3+0.00032*N348^2+(-0.0021)*N348)+O$1*((-0.000002)*O348^3+0.00032*O348^2+(-0.0021)*O348)</f>
        <v/>
      </c>
      <c r="W348">
        <f>P$1*((-0.000002)*P348^3+0.00032*P348^2+(-0.0021)*P348)+Q$1*((-0.000002)*Q348^3+0.00032*Q348^2+(-0.0021)*Q348)+R$1*((-0.000002)*R348^3+0.00032*R348^2+(-0.0021)*R348)+S$1*((-0.000002)*S348^3+0.00032*S348^2+(-0.0021)*S348)+T$1*((-0.000002)*T348^3+0.00032*T348^2+(-0.0021)*T348)</f>
        <v/>
      </c>
      <c r="X348">
        <f>(I$1*((-0.000002)*I348^3+0.00032*I348^2+(-0.0021)*I348)+J$1*((-0.000002)*J348^3+0.00032*J348^2+(-0.0021)*J348)+H$1*((-0.000002)*H348^3+0.00032*H348^2+(-0.0021)*H348))*(MAX(0.05,MIN(1,(2*J348+I348)/120)*MIN(1,I348/10)*MIN(1,J348/10)))</f>
        <v/>
      </c>
      <c r="Y348">
        <f>(I$1*((-0.000002)*I348^3+0.00032*I348^2+(-0.0021)*I348)+J$1*((-0.000002)*J348^3+0.00032*J348^2+(-0.0021)*J348)+H$1*((-0.000002)*H348^3+0.00032*H348^2+(-0.0021)*H348))*(MAX(0.05,MIN(1,(2*J348+I348)/120)*MIN(1,I348/10)*MIN(1,J348/10)))</f>
        <v/>
      </c>
      <c r="Z348">
        <f>U348*J$2+V348*O$2+W348*H$2</f>
        <v/>
      </c>
      <c r="AA348">
        <f>IF(AND(J348&gt;50,I348+J348&gt;75),"SP",IF(2*I348+J348&gt;120,"RP","CRAP"))</f>
        <v/>
      </c>
    </row>
    <row r="349" ht="13.5" customHeight="1" s="27" thickBot="1">
      <c r="A349">
        <f>(V349*V$2+W349*W$2+X349*X$2)*100/(V$4*V$2+W$4*W$2+X$4*X$2)</f>
        <v/>
      </c>
      <c r="B349" s="18" t="n"/>
      <c r="C349" s="11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>
        <f>K$1*(0.000001*K349^3)+L$1*((-0.000002)*L349^3+0.00032*L349^2+(-0.0021)*L349)+M$1*((-0.000002)*M349^3+0.00032*M349^2+(-0.0021)*M349)+N$1*((-0.000002)*N349^3+0.00032*N349^2+(-0.0021)*N349)+O$1*((-0.000002)*O349^3+0.00032*O349^2+(-0.0021)*O349)</f>
        <v/>
      </c>
      <c r="W349">
        <f>P$1*((-0.000002)*P349^3+0.00032*P349^2+(-0.0021)*P349)+Q$1*((-0.000002)*Q349^3+0.00032*Q349^2+(-0.0021)*Q349)+R$1*((-0.000002)*R349^3+0.00032*R349^2+(-0.0021)*R349)+S$1*((-0.000002)*S349^3+0.00032*S349^2+(-0.0021)*S349)+T$1*((-0.000002)*T349^3+0.00032*T349^2+(-0.0021)*T349)</f>
        <v/>
      </c>
      <c r="X349">
        <f>(I$1*((-0.000002)*I349^3+0.00032*I349^2+(-0.0021)*I349)+J$1*((-0.000002)*J349^3+0.00032*J349^2+(-0.0021)*J349)+H$1*((-0.000002)*H349^3+0.00032*H349^2+(-0.0021)*H349))*(MAX(0.05,MIN(1,(2*J349+I349)/120)*MIN(1,I349/10)*MIN(1,J349/10)))</f>
        <v/>
      </c>
      <c r="Y349">
        <f>(I$1*((-0.000002)*I349^3+0.00032*I349^2+(-0.0021)*I349)+J$1*((-0.000002)*J349^3+0.00032*J349^2+(-0.0021)*J349)+H$1*((-0.000002)*H349^3+0.00032*H349^2+(-0.0021)*H349))*(MAX(0.05,MIN(1,(2*J349+I349)/120)*MIN(1,I349/10)*MIN(1,J349/10)))</f>
        <v/>
      </c>
      <c r="Z349">
        <f>U349*J$2+V349*O$2+W349*H$2</f>
        <v/>
      </c>
      <c r="AA349">
        <f>IF(AND(J349&gt;50,I349+J349&gt;75),"SP",IF(2*I349+J349&gt;120,"RP","CRAP"))</f>
        <v/>
      </c>
    </row>
    <row r="350" ht="13.5" customHeight="1" s="27" thickBot="1">
      <c r="A350">
        <f>(V350*V$2+W350*W$2+X350*X$2)*100/(V$4*V$2+W$4*W$2+X$4*X$2)</f>
        <v/>
      </c>
      <c r="B350" s="16" t="n"/>
      <c r="C350" s="10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>
        <f>K$1*(0.000001*K350^3)+L$1*((-0.000002)*L350^3+0.00032*L350^2+(-0.0021)*L350)+M$1*((-0.000002)*M350^3+0.00032*M350^2+(-0.0021)*M350)+N$1*((-0.000002)*N350^3+0.00032*N350^2+(-0.0021)*N350)+O$1*((-0.000002)*O350^3+0.00032*O350^2+(-0.0021)*O350)</f>
        <v/>
      </c>
      <c r="W350">
        <f>P$1*((-0.000002)*P350^3+0.00032*P350^2+(-0.0021)*P350)+Q$1*((-0.000002)*Q350^3+0.00032*Q350^2+(-0.0021)*Q350)+R$1*((-0.000002)*R350^3+0.00032*R350^2+(-0.0021)*R350)+S$1*((-0.000002)*S350^3+0.00032*S350^2+(-0.0021)*S350)+T$1*((-0.000002)*T350^3+0.00032*T350^2+(-0.0021)*T350)</f>
        <v/>
      </c>
      <c r="X350">
        <f>(I$1*((-0.000002)*I350^3+0.00032*I350^2+(-0.0021)*I350)+J$1*((-0.000002)*J350^3+0.00032*J350^2+(-0.0021)*J350)+H$1*((-0.000002)*H350^3+0.00032*H350^2+(-0.0021)*H350))*(MAX(0.05,MIN(1,(2*J350+I350)/120)*MIN(1,I350/10)*MIN(1,J350/10)))</f>
        <v/>
      </c>
      <c r="Y350">
        <f>(I$1*((-0.000002)*I350^3+0.00032*I350^2+(-0.0021)*I350)+J$1*((-0.000002)*J350^3+0.00032*J350^2+(-0.0021)*J350)+H$1*((-0.000002)*H350^3+0.00032*H350^2+(-0.0021)*H350))*(MAX(0.05,MIN(1,(2*J350+I350)/120)*MIN(1,I350/10)*MIN(1,J350/10)))</f>
        <v/>
      </c>
      <c r="Z350">
        <f>U350*J$2+V350*O$2+W350*H$2</f>
        <v/>
      </c>
      <c r="AA350">
        <f>IF(AND(J350&gt;50,I350+J350&gt;75),"SP",IF(2*I350+J350&gt;120,"RP","CRAP"))</f>
        <v/>
      </c>
    </row>
    <row r="351" ht="13.5" customHeight="1" s="27" thickBot="1">
      <c r="A351">
        <f>(V351*V$2+W351*W$2+X351*X$2)*100/(V$4*V$2+W$4*W$2+X$4*X$2)</f>
        <v/>
      </c>
      <c r="B351" s="18" t="n"/>
      <c r="C351" s="11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>
        <f>K$1*(0.000001*K351^3)+L$1*((-0.000002)*L351^3+0.00032*L351^2+(-0.0021)*L351)+M$1*((-0.000002)*M351^3+0.00032*M351^2+(-0.0021)*M351)+N$1*((-0.000002)*N351^3+0.00032*N351^2+(-0.0021)*N351)+O$1*((-0.000002)*O351^3+0.00032*O351^2+(-0.0021)*O351)</f>
        <v/>
      </c>
      <c r="W351">
        <f>P$1*((-0.000002)*P351^3+0.00032*P351^2+(-0.0021)*P351)+Q$1*((-0.000002)*Q351^3+0.00032*Q351^2+(-0.0021)*Q351)+R$1*((-0.000002)*R351^3+0.00032*R351^2+(-0.0021)*R351)+S$1*((-0.000002)*S351^3+0.00032*S351^2+(-0.0021)*S351)+T$1*((-0.000002)*T351^3+0.00032*T351^2+(-0.0021)*T351)</f>
        <v/>
      </c>
      <c r="X351">
        <f>(I$1*((-0.000002)*I351^3+0.00032*I351^2+(-0.0021)*I351)+J$1*((-0.000002)*J351^3+0.00032*J351^2+(-0.0021)*J351)+H$1*((-0.000002)*H351^3+0.00032*H351^2+(-0.0021)*H351))*(MAX(0.05,MIN(1,(2*J351+I351)/120)*MIN(1,I351/10)*MIN(1,J351/10)))</f>
        <v/>
      </c>
      <c r="Y351">
        <f>(I$1*((-0.000002)*I351^3+0.00032*I351^2+(-0.0021)*I351)+J$1*((-0.000002)*J351^3+0.00032*J351^2+(-0.0021)*J351)+H$1*((-0.000002)*H351^3+0.00032*H351^2+(-0.0021)*H351))*(MAX(0.05,MIN(1,(2*J351+I351)/120)*MIN(1,I351/10)*MIN(1,J351/10)))</f>
        <v/>
      </c>
      <c r="Z351">
        <f>U351*J$2+V351*O$2+W351*H$2</f>
        <v/>
      </c>
      <c r="AA351">
        <f>IF(AND(J351&gt;50,I351+J351&gt;75),"SP",IF(2*I351+J351&gt;120,"RP","CRAP"))</f>
        <v/>
      </c>
    </row>
    <row r="352" ht="13.5" customHeight="1" s="27" thickBot="1">
      <c r="A352">
        <f>(V352*V$2+W352*W$2+X352*X$2)*100/(V$4*V$2+W$4*W$2+X$4*X$2)</f>
        <v/>
      </c>
      <c r="B352" s="16" t="n"/>
      <c r="C352" s="10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>
        <f>K$1*(0.000001*K352^3)+L$1*((-0.000002)*L352^3+0.00032*L352^2+(-0.0021)*L352)+M$1*((-0.000002)*M352^3+0.00032*M352^2+(-0.0021)*M352)+N$1*((-0.000002)*N352^3+0.00032*N352^2+(-0.0021)*N352)+O$1*((-0.000002)*O352^3+0.00032*O352^2+(-0.0021)*O352)</f>
        <v/>
      </c>
      <c r="W352">
        <f>P$1*((-0.000002)*P352^3+0.00032*P352^2+(-0.0021)*P352)+Q$1*((-0.000002)*Q352^3+0.00032*Q352^2+(-0.0021)*Q352)+R$1*((-0.000002)*R352^3+0.00032*R352^2+(-0.0021)*R352)+S$1*((-0.000002)*S352^3+0.00032*S352^2+(-0.0021)*S352)+T$1*((-0.000002)*T352^3+0.00032*T352^2+(-0.0021)*T352)</f>
        <v/>
      </c>
      <c r="X352">
        <f>(I$1*((-0.000002)*I352^3+0.00032*I352^2+(-0.0021)*I352)+J$1*((-0.000002)*J352^3+0.00032*J352^2+(-0.0021)*J352)+H$1*((-0.000002)*H352^3+0.00032*H352^2+(-0.0021)*H352))*(MAX(0.05,MIN(1,(2*J352+I352)/120)*MIN(1,I352/10)*MIN(1,J352/10)))</f>
        <v/>
      </c>
      <c r="Y352">
        <f>(I$1*((-0.000002)*I352^3+0.00032*I352^2+(-0.0021)*I352)+J$1*((-0.000002)*J352^3+0.00032*J352^2+(-0.0021)*J352)+H$1*((-0.000002)*H352^3+0.00032*H352^2+(-0.0021)*H352))*(MAX(0.05,MIN(1,(2*J352+I352)/120)*MIN(1,I352/10)*MIN(1,J352/10)))</f>
        <v/>
      </c>
      <c r="Z352">
        <f>U352*J$2+V352*O$2+W352*H$2</f>
        <v/>
      </c>
      <c r="AA352">
        <f>IF(AND(J352&gt;50,I352+J352&gt;75),"SP",IF(2*I352+J352&gt;120,"RP","CRAP"))</f>
        <v/>
      </c>
    </row>
    <row r="353" ht="13.5" customHeight="1" s="27" thickBot="1">
      <c r="A353">
        <f>(V353*V$2+W353*W$2+X353*X$2)*100/(V$4*V$2+W$4*W$2+X$4*X$2)</f>
        <v/>
      </c>
      <c r="B353" s="18" t="n"/>
      <c r="C353" s="11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>
        <f>K$1*(0.000001*K353^3)+L$1*((-0.000002)*L353^3+0.00032*L353^2+(-0.0021)*L353)+M$1*((-0.000002)*M353^3+0.00032*M353^2+(-0.0021)*M353)+N$1*((-0.000002)*N353^3+0.00032*N353^2+(-0.0021)*N353)+O$1*((-0.000002)*O353^3+0.00032*O353^2+(-0.0021)*O353)</f>
        <v/>
      </c>
      <c r="W353">
        <f>P$1*((-0.000002)*P353^3+0.00032*P353^2+(-0.0021)*P353)+Q$1*((-0.000002)*Q353^3+0.00032*Q353^2+(-0.0021)*Q353)+R$1*((-0.000002)*R353^3+0.00032*R353^2+(-0.0021)*R353)+S$1*((-0.000002)*S353^3+0.00032*S353^2+(-0.0021)*S353)+T$1*((-0.000002)*T353^3+0.00032*T353^2+(-0.0021)*T353)</f>
        <v/>
      </c>
      <c r="X353">
        <f>(I$1*((-0.000002)*I353^3+0.00032*I353^2+(-0.0021)*I353)+J$1*((-0.000002)*J353^3+0.00032*J353^2+(-0.0021)*J353)+H$1*((-0.000002)*H353^3+0.00032*H353^2+(-0.0021)*H353))*(MAX(0.05,MIN(1,(2*J353+I353)/120)*MIN(1,I353/10)*MIN(1,J353/10)))</f>
        <v/>
      </c>
      <c r="Y353">
        <f>(I$1*((-0.000002)*I353^3+0.00032*I353^2+(-0.0021)*I353)+J$1*((-0.000002)*J353^3+0.00032*J353^2+(-0.0021)*J353)+H$1*((-0.000002)*H353^3+0.00032*H353^2+(-0.0021)*H353))*(MAX(0.05,MIN(1,(2*J353+I353)/120)*MIN(1,I353/10)*MIN(1,J353/10)))</f>
        <v/>
      </c>
      <c r="Z353">
        <f>U353*J$2+V353*O$2+W353*H$2</f>
        <v/>
      </c>
      <c r="AA353">
        <f>IF(AND(J353&gt;50,I353+J353&gt;75),"SP",IF(2*I353+J353&gt;120,"RP","CRAP"))</f>
        <v/>
      </c>
    </row>
    <row r="354" ht="13.5" customHeight="1" s="27" thickBot="1">
      <c r="A354">
        <f>(V354*V$2+W354*W$2+X354*X$2)*100/(V$4*V$2+W$4*W$2+X$4*X$2)</f>
        <v/>
      </c>
      <c r="B354" s="16" t="n"/>
      <c r="C354" s="10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>
        <f>K$1*(0.000001*K354^3)+L$1*((-0.000002)*L354^3+0.00032*L354^2+(-0.0021)*L354)+M$1*((-0.000002)*M354^3+0.00032*M354^2+(-0.0021)*M354)+N$1*((-0.000002)*N354^3+0.00032*N354^2+(-0.0021)*N354)+O$1*((-0.000002)*O354^3+0.00032*O354^2+(-0.0021)*O354)</f>
        <v/>
      </c>
      <c r="W354">
        <f>P$1*((-0.000002)*P354^3+0.00032*P354^2+(-0.0021)*P354)+Q$1*((-0.000002)*Q354^3+0.00032*Q354^2+(-0.0021)*Q354)+R$1*((-0.000002)*R354^3+0.00032*R354^2+(-0.0021)*R354)+S$1*((-0.000002)*S354^3+0.00032*S354^2+(-0.0021)*S354)+T$1*((-0.000002)*T354^3+0.00032*T354^2+(-0.0021)*T354)</f>
        <v/>
      </c>
      <c r="X354">
        <f>(I$1*((-0.000002)*I354^3+0.00032*I354^2+(-0.0021)*I354)+J$1*((-0.000002)*J354^3+0.00032*J354^2+(-0.0021)*J354)+H$1*((-0.000002)*H354^3+0.00032*H354^2+(-0.0021)*H354))*(MAX(0.05,MIN(1,(2*J354+I354)/120)*MIN(1,I354/10)*MIN(1,J354/10)))</f>
        <v/>
      </c>
      <c r="Y354">
        <f>(I$1*((-0.000002)*I354^3+0.00032*I354^2+(-0.0021)*I354)+J$1*((-0.000002)*J354^3+0.00032*J354^2+(-0.0021)*J354)+H$1*((-0.000002)*H354^3+0.00032*H354^2+(-0.0021)*H354))*(MAX(0.05,MIN(1,(2*J354+I354)/120)*MIN(1,I354/10)*MIN(1,J354/10)))</f>
        <v/>
      </c>
      <c r="Z354">
        <f>U354*J$2+V354*O$2+W354*H$2</f>
        <v/>
      </c>
      <c r="AA354">
        <f>IF(AND(J354&gt;50,I354+J354&gt;75),"SP",IF(2*I354+J354&gt;120,"RP","CRAP"))</f>
        <v/>
      </c>
    </row>
    <row r="355" ht="13.5" customHeight="1" s="27" thickBot="1">
      <c r="A355">
        <f>(V355*V$2+W355*W$2+X355*X$2)*100/(V$4*V$2+W$4*W$2+X$4*X$2)</f>
        <v/>
      </c>
      <c r="B355" s="18" t="n"/>
      <c r="C355" s="11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>
        <f>K$1*(0.000001*K355^3)+L$1*((-0.000002)*L355^3+0.00032*L355^2+(-0.0021)*L355)+M$1*((-0.000002)*M355^3+0.00032*M355^2+(-0.0021)*M355)+N$1*((-0.000002)*N355^3+0.00032*N355^2+(-0.0021)*N355)+O$1*((-0.000002)*O355^3+0.00032*O355^2+(-0.0021)*O355)</f>
        <v/>
      </c>
      <c r="W355">
        <f>P$1*((-0.000002)*P355^3+0.00032*P355^2+(-0.0021)*P355)+Q$1*((-0.000002)*Q355^3+0.00032*Q355^2+(-0.0021)*Q355)+R$1*((-0.000002)*R355^3+0.00032*R355^2+(-0.0021)*R355)+S$1*((-0.000002)*S355^3+0.00032*S355^2+(-0.0021)*S355)+T$1*((-0.000002)*T355^3+0.00032*T355^2+(-0.0021)*T355)</f>
        <v/>
      </c>
      <c r="X355">
        <f>(I$1*((-0.000002)*I355^3+0.00032*I355^2+(-0.0021)*I355)+J$1*((-0.000002)*J355^3+0.00032*J355^2+(-0.0021)*J355)+H$1*((-0.000002)*H355^3+0.00032*H355^2+(-0.0021)*H355))*(MAX(0.05,MIN(1,(2*J355+I355)/120)*MIN(1,I355/10)*MIN(1,J355/10)))</f>
        <v/>
      </c>
      <c r="Y355">
        <f>(I$1*((-0.000002)*I355^3+0.00032*I355^2+(-0.0021)*I355)+J$1*((-0.000002)*J355^3+0.00032*J355^2+(-0.0021)*J355)+H$1*((-0.000002)*H355^3+0.00032*H355^2+(-0.0021)*H355))*(MAX(0.05,MIN(1,(2*J355+I355)/120)*MIN(1,I355/10)*MIN(1,J355/10)))</f>
        <v/>
      </c>
      <c r="Z355">
        <f>U355*J$2+V355*O$2+W355*H$2</f>
        <v/>
      </c>
      <c r="AA355">
        <f>IF(AND(J355&gt;50,I355+J355&gt;75),"SP",IF(2*I355+J355&gt;120,"RP","CRAP"))</f>
        <v/>
      </c>
    </row>
    <row r="356" ht="13.5" customHeight="1" s="27" thickBot="1">
      <c r="A356">
        <f>(V356*V$2+W356*W$2+X356*X$2)*100/(V$4*V$2+W$4*W$2+X$4*X$2)</f>
        <v/>
      </c>
      <c r="B356" s="16" t="n"/>
      <c r="C356" s="10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>
        <f>K$1*(0.000001*K356^3)+L$1*((-0.000002)*L356^3+0.00032*L356^2+(-0.0021)*L356)+M$1*((-0.000002)*M356^3+0.00032*M356^2+(-0.0021)*M356)+N$1*((-0.000002)*N356^3+0.00032*N356^2+(-0.0021)*N356)+O$1*((-0.000002)*O356^3+0.00032*O356^2+(-0.0021)*O356)</f>
        <v/>
      </c>
      <c r="W356">
        <f>P$1*((-0.000002)*P356^3+0.00032*P356^2+(-0.0021)*P356)+Q$1*((-0.000002)*Q356^3+0.00032*Q356^2+(-0.0021)*Q356)+R$1*((-0.000002)*R356^3+0.00032*R356^2+(-0.0021)*R356)+S$1*((-0.000002)*S356^3+0.00032*S356^2+(-0.0021)*S356)+T$1*((-0.000002)*T356^3+0.00032*T356^2+(-0.0021)*T356)</f>
        <v/>
      </c>
      <c r="X356">
        <f>(I$1*((-0.000002)*I356^3+0.00032*I356^2+(-0.0021)*I356)+J$1*((-0.000002)*J356^3+0.00032*J356^2+(-0.0021)*J356)+H$1*((-0.000002)*H356^3+0.00032*H356^2+(-0.0021)*H356))*(MAX(0.05,MIN(1,(2*J356+I356)/120)*MIN(1,I356/10)*MIN(1,J356/10)))</f>
        <v/>
      </c>
      <c r="Y356">
        <f>(I$1*((-0.000002)*I356^3+0.00032*I356^2+(-0.0021)*I356)+J$1*((-0.000002)*J356^3+0.00032*J356^2+(-0.0021)*J356)+H$1*((-0.000002)*H356^3+0.00032*H356^2+(-0.0021)*H356))*(MAX(0.05,MIN(1,(2*J356+I356)/120)*MIN(1,I356/10)*MIN(1,J356/10)))</f>
        <v/>
      </c>
      <c r="Z356">
        <f>U356*J$2+V356*O$2+W356*H$2</f>
        <v/>
      </c>
      <c r="AA356">
        <f>IF(AND(J356&gt;50,I356+J356&gt;75),"SP",IF(2*I356+J356&gt;120,"RP","CRAP"))</f>
        <v/>
      </c>
    </row>
    <row r="357" ht="13.5" customHeight="1" s="27" thickBot="1">
      <c r="A357">
        <f>(V357*V$2+W357*W$2+X357*X$2)*100/(V$4*V$2+W$4*W$2+X$4*X$2)</f>
        <v/>
      </c>
      <c r="B357" s="18" t="n"/>
      <c r="C357" s="11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>
        <f>K$1*(0.000001*K357^3)+L$1*((-0.000002)*L357^3+0.00032*L357^2+(-0.0021)*L357)+M$1*((-0.000002)*M357^3+0.00032*M357^2+(-0.0021)*M357)+N$1*((-0.000002)*N357^3+0.00032*N357^2+(-0.0021)*N357)+O$1*((-0.000002)*O357^3+0.00032*O357^2+(-0.0021)*O357)</f>
        <v/>
      </c>
      <c r="W357">
        <f>P$1*((-0.000002)*P357^3+0.00032*P357^2+(-0.0021)*P357)+Q$1*((-0.000002)*Q357^3+0.00032*Q357^2+(-0.0021)*Q357)+R$1*((-0.000002)*R357^3+0.00032*R357^2+(-0.0021)*R357)+S$1*((-0.000002)*S357^3+0.00032*S357^2+(-0.0021)*S357)+T$1*((-0.000002)*T357^3+0.00032*T357^2+(-0.0021)*T357)</f>
        <v/>
      </c>
      <c r="X357">
        <f>(I$1*((-0.000002)*I357^3+0.00032*I357^2+(-0.0021)*I357)+J$1*((-0.000002)*J357^3+0.00032*J357^2+(-0.0021)*J357)+H$1*((-0.000002)*H357^3+0.00032*H357^2+(-0.0021)*H357))*(MAX(0.05,MIN(1,(2*J357+I357)/120)*MIN(1,I357/10)*MIN(1,J357/10)))</f>
        <v/>
      </c>
      <c r="Y357">
        <f>(I$1*((-0.000002)*I357^3+0.00032*I357^2+(-0.0021)*I357)+J$1*((-0.000002)*J357^3+0.00032*J357^2+(-0.0021)*J357)+H$1*((-0.000002)*H357^3+0.00032*H357^2+(-0.0021)*H357))*(MAX(0.05,MIN(1,(2*J357+I357)/120)*MIN(1,I357/10)*MIN(1,J357/10)))</f>
        <v/>
      </c>
      <c r="Z357">
        <f>U357*J$2+V357*O$2+W357*H$2</f>
        <v/>
      </c>
      <c r="AA357">
        <f>IF(AND(J357&gt;50,I357+J357&gt;75),"SP",IF(2*I357+J357&gt;120,"RP","CRAP"))</f>
        <v/>
      </c>
    </row>
    <row r="358" ht="13.5" customHeight="1" s="27" thickBot="1">
      <c r="A358">
        <f>(V358*V$2+W358*W$2+X358*X$2)*100/(V$4*V$2+W$4*W$2+X$4*X$2)</f>
        <v/>
      </c>
      <c r="B358" s="16" t="n"/>
      <c r="C358" s="10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>
        <f>K$1*(0.000001*K358^3)+L$1*((-0.000002)*L358^3+0.00032*L358^2+(-0.0021)*L358)+M$1*((-0.000002)*M358^3+0.00032*M358^2+(-0.0021)*M358)+N$1*((-0.000002)*N358^3+0.00032*N358^2+(-0.0021)*N358)+O$1*((-0.000002)*O358^3+0.00032*O358^2+(-0.0021)*O358)</f>
        <v/>
      </c>
      <c r="W358">
        <f>P$1*((-0.000002)*P358^3+0.00032*P358^2+(-0.0021)*P358)+Q$1*((-0.000002)*Q358^3+0.00032*Q358^2+(-0.0021)*Q358)+R$1*((-0.000002)*R358^3+0.00032*R358^2+(-0.0021)*R358)+S$1*((-0.000002)*S358^3+0.00032*S358^2+(-0.0021)*S358)+T$1*((-0.000002)*T358^3+0.00032*T358^2+(-0.0021)*T358)</f>
        <v/>
      </c>
      <c r="X358">
        <f>(I$1*((-0.000002)*I358^3+0.00032*I358^2+(-0.0021)*I358)+J$1*((-0.000002)*J358^3+0.00032*J358^2+(-0.0021)*J358)+H$1*((-0.000002)*H358^3+0.00032*H358^2+(-0.0021)*H358))*(MAX(0.05,MIN(1,(2*J358+I358)/120)*MIN(1,I358/10)*MIN(1,J358/10)))</f>
        <v/>
      </c>
      <c r="Y358">
        <f>(I$1*((-0.000002)*I358^3+0.00032*I358^2+(-0.0021)*I358)+J$1*((-0.000002)*J358^3+0.00032*J358^2+(-0.0021)*J358)+H$1*((-0.000002)*H358^3+0.00032*H358^2+(-0.0021)*H358))*(MAX(0.05,MIN(1,(2*J358+I358)/120)*MIN(1,I358/10)*MIN(1,J358/10)))</f>
        <v/>
      </c>
      <c r="Z358">
        <f>U358*J$2+V358*O$2+W358*H$2</f>
        <v/>
      </c>
      <c r="AA358">
        <f>IF(AND(J358&gt;50,I358+J358&gt;75),"SP",IF(2*I358+J358&gt;120,"RP","CRAP"))</f>
        <v/>
      </c>
    </row>
    <row r="359" ht="13.5" customHeight="1" s="27" thickBot="1">
      <c r="A359">
        <f>(V359*V$2+W359*W$2+X359*X$2)*100/(V$4*V$2+W$4*W$2+X$4*X$2)</f>
        <v/>
      </c>
      <c r="B359" s="18" t="n"/>
      <c r="C359" s="11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>
        <f>K$1*(0.000001*K359^3)+L$1*((-0.000002)*L359^3+0.00032*L359^2+(-0.0021)*L359)+M$1*((-0.000002)*M359^3+0.00032*M359^2+(-0.0021)*M359)+N$1*((-0.000002)*N359^3+0.00032*N359^2+(-0.0021)*N359)+O$1*((-0.000002)*O359^3+0.00032*O359^2+(-0.0021)*O359)</f>
        <v/>
      </c>
      <c r="W359">
        <f>P$1*((-0.000002)*P359^3+0.00032*P359^2+(-0.0021)*P359)+Q$1*((-0.000002)*Q359^3+0.00032*Q359^2+(-0.0021)*Q359)+R$1*((-0.000002)*R359^3+0.00032*R359^2+(-0.0021)*R359)+S$1*((-0.000002)*S359^3+0.00032*S359^2+(-0.0021)*S359)+T$1*((-0.000002)*T359^3+0.00032*T359^2+(-0.0021)*T359)</f>
        <v/>
      </c>
      <c r="X359">
        <f>(I$1*((-0.000002)*I359^3+0.00032*I359^2+(-0.0021)*I359)+J$1*((-0.000002)*J359^3+0.00032*J359^2+(-0.0021)*J359)+H$1*((-0.000002)*H359^3+0.00032*H359^2+(-0.0021)*H359))*(MAX(0.05,MIN(1,(2*J359+I359)/120)*MIN(1,I359/10)*MIN(1,J359/10)))</f>
        <v/>
      </c>
      <c r="Y359">
        <f>(I$1*((-0.000002)*I359^3+0.00032*I359^2+(-0.0021)*I359)+J$1*((-0.000002)*J359^3+0.00032*J359^2+(-0.0021)*J359)+H$1*((-0.000002)*H359^3+0.00032*H359^2+(-0.0021)*H359))*(MAX(0.05,MIN(1,(2*J359+I359)/120)*MIN(1,I359/10)*MIN(1,J359/10)))</f>
        <v/>
      </c>
      <c r="Z359">
        <f>U359*J$2+V359*O$2+W359*H$2</f>
        <v/>
      </c>
      <c r="AA359">
        <f>IF(AND(J359&gt;50,I359+J359&gt;75),"SP",IF(2*I359+J359&gt;120,"RP","CRAP"))</f>
        <v/>
      </c>
    </row>
    <row r="360" ht="13.5" customHeight="1" s="27" thickBot="1">
      <c r="A360">
        <f>(V360*V$2+W360*W$2+X360*X$2)*100/(V$4*V$2+W$4*W$2+X$4*X$2)</f>
        <v/>
      </c>
      <c r="B360" s="16" t="n"/>
      <c r="C360" s="10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>
        <f>K$1*(0.000001*K360^3)+L$1*((-0.000002)*L360^3+0.00032*L360^2+(-0.0021)*L360)+M$1*((-0.000002)*M360^3+0.00032*M360^2+(-0.0021)*M360)+N$1*((-0.000002)*N360^3+0.00032*N360^2+(-0.0021)*N360)+O$1*((-0.000002)*O360^3+0.00032*O360^2+(-0.0021)*O360)</f>
        <v/>
      </c>
      <c r="W360">
        <f>P$1*((-0.000002)*P360^3+0.00032*P360^2+(-0.0021)*P360)+Q$1*((-0.000002)*Q360^3+0.00032*Q360^2+(-0.0021)*Q360)+R$1*((-0.000002)*R360^3+0.00032*R360^2+(-0.0021)*R360)+S$1*((-0.000002)*S360^3+0.00032*S360^2+(-0.0021)*S360)+T$1*((-0.000002)*T360^3+0.00032*T360^2+(-0.0021)*T360)</f>
        <v/>
      </c>
      <c r="X360">
        <f>(I$1*((-0.000002)*I360^3+0.00032*I360^2+(-0.0021)*I360)+J$1*((-0.000002)*J360^3+0.00032*J360^2+(-0.0021)*J360)+H$1*((-0.000002)*H360^3+0.00032*H360^2+(-0.0021)*H360))*(MAX(0.05,MIN(1,(2*J360+I360)/120)*MIN(1,I360/10)*MIN(1,J360/10)))</f>
        <v/>
      </c>
      <c r="Y360">
        <f>(I$1*((-0.000002)*I360^3+0.00032*I360^2+(-0.0021)*I360)+J$1*((-0.000002)*J360^3+0.00032*J360^2+(-0.0021)*J360)+H$1*((-0.000002)*H360^3+0.00032*H360^2+(-0.0021)*H360))*(MAX(0.05,MIN(1,(2*J360+I360)/120)*MIN(1,I360/10)*MIN(1,J360/10)))</f>
        <v/>
      </c>
      <c r="Z360">
        <f>U360*J$2+V360*O$2+W360*H$2</f>
        <v/>
      </c>
      <c r="AA360">
        <f>IF(AND(J360&gt;50,I360+J360&gt;75),"SP",IF(2*I360+J360&gt;120,"RP","CRAP"))</f>
        <v/>
      </c>
    </row>
    <row r="361" ht="13.5" customHeight="1" s="27" thickBot="1">
      <c r="A361">
        <f>(V361*V$2+W361*W$2+X361*X$2)*100/(V$4*V$2+W$4*W$2+X$4*X$2)</f>
        <v/>
      </c>
      <c r="B361" s="18" t="n"/>
      <c r="C361" s="11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>
        <f>K$1*(0.000001*K361^3)+L$1*((-0.000002)*L361^3+0.00032*L361^2+(-0.0021)*L361)+M$1*((-0.000002)*M361^3+0.00032*M361^2+(-0.0021)*M361)+N$1*((-0.000002)*N361^3+0.00032*N361^2+(-0.0021)*N361)+O$1*((-0.000002)*O361^3+0.00032*O361^2+(-0.0021)*O361)</f>
        <v/>
      </c>
      <c r="W361">
        <f>P$1*((-0.000002)*P361^3+0.00032*P361^2+(-0.0021)*P361)+Q$1*((-0.000002)*Q361^3+0.00032*Q361^2+(-0.0021)*Q361)+R$1*((-0.000002)*R361^3+0.00032*R361^2+(-0.0021)*R361)+S$1*((-0.000002)*S361^3+0.00032*S361^2+(-0.0021)*S361)+T$1*((-0.000002)*T361^3+0.00032*T361^2+(-0.0021)*T361)</f>
        <v/>
      </c>
      <c r="X361">
        <f>(I$1*((-0.000002)*I361^3+0.00032*I361^2+(-0.0021)*I361)+J$1*((-0.000002)*J361^3+0.00032*J361^2+(-0.0021)*J361)+H$1*((-0.000002)*H361^3+0.00032*H361^2+(-0.0021)*H361))*(MAX(0.05,MIN(1,(2*J361+I361)/120)*MIN(1,I361/10)*MIN(1,J361/10)))</f>
        <v/>
      </c>
      <c r="Y361">
        <f>(I$1*((-0.000002)*I361^3+0.00032*I361^2+(-0.0021)*I361)+J$1*((-0.000002)*J361^3+0.00032*J361^2+(-0.0021)*J361)+H$1*((-0.000002)*H361^3+0.00032*H361^2+(-0.0021)*H361))*(MAX(0.05,MIN(1,(2*J361+I361)/120)*MIN(1,I361/10)*MIN(1,J361/10)))</f>
        <v/>
      </c>
      <c r="Z361">
        <f>U361*J$2+V361*O$2+W361*H$2</f>
        <v/>
      </c>
      <c r="AA361">
        <f>IF(AND(J361&gt;50,I361+J361&gt;75),"SP",IF(2*I361+J361&gt;120,"RP","CRAP"))</f>
        <v/>
      </c>
    </row>
    <row r="362" ht="13.5" customHeight="1" s="27" thickBot="1">
      <c r="A362">
        <f>(V362*V$2+W362*W$2+X362*X$2)*100/(V$4*V$2+W$4*W$2+X$4*X$2)</f>
        <v/>
      </c>
      <c r="B362" s="16" t="n"/>
      <c r="C362" s="10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>
        <f>K$1*(0.000001*K362^3)+L$1*((-0.000002)*L362^3+0.00032*L362^2+(-0.0021)*L362)+M$1*((-0.000002)*M362^3+0.00032*M362^2+(-0.0021)*M362)+N$1*((-0.000002)*N362^3+0.00032*N362^2+(-0.0021)*N362)+O$1*((-0.000002)*O362^3+0.00032*O362^2+(-0.0021)*O362)</f>
        <v/>
      </c>
      <c r="W362">
        <f>P$1*((-0.000002)*P362^3+0.00032*P362^2+(-0.0021)*P362)+Q$1*((-0.000002)*Q362^3+0.00032*Q362^2+(-0.0021)*Q362)+R$1*((-0.000002)*R362^3+0.00032*R362^2+(-0.0021)*R362)+S$1*((-0.000002)*S362^3+0.00032*S362^2+(-0.0021)*S362)+T$1*((-0.000002)*T362^3+0.00032*T362^2+(-0.0021)*T362)</f>
        <v/>
      </c>
      <c r="X362">
        <f>(I$1*((-0.000002)*I362^3+0.00032*I362^2+(-0.0021)*I362)+J$1*((-0.000002)*J362^3+0.00032*J362^2+(-0.0021)*J362)+H$1*((-0.000002)*H362^3+0.00032*H362^2+(-0.0021)*H362))*(MAX(0.05,MIN(1,(2*J362+I362)/120)*MIN(1,I362/10)*MIN(1,J362/10)))</f>
        <v/>
      </c>
      <c r="Y362">
        <f>(I$1*((-0.000002)*I362^3+0.00032*I362^2+(-0.0021)*I362)+J$1*((-0.000002)*J362^3+0.00032*J362^2+(-0.0021)*J362)+H$1*((-0.000002)*H362^3+0.00032*H362^2+(-0.0021)*H362))*(MAX(0.05,MIN(1,(2*J362+I362)/120)*MIN(1,I362/10)*MIN(1,J362/10)))</f>
        <v/>
      </c>
      <c r="Z362">
        <f>U362*J$2+V362*O$2+W362*H$2</f>
        <v/>
      </c>
      <c r="AA362">
        <f>IF(AND(J362&gt;50,I362+J362&gt;75),"SP",IF(2*I362+J362&gt;120,"RP","CRAP"))</f>
        <v/>
      </c>
    </row>
    <row r="363" ht="13.5" customHeight="1" s="27" thickBot="1">
      <c r="A363">
        <f>(V363*V$2+W363*W$2+X363*X$2)*100/(V$4*V$2+W$4*W$2+X$4*X$2)</f>
        <v/>
      </c>
      <c r="B363" s="18" t="n"/>
      <c r="C363" s="11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>
        <f>K$1*(0.000001*K363^3)+L$1*((-0.000002)*L363^3+0.00032*L363^2+(-0.0021)*L363)+M$1*((-0.000002)*M363^3+0.00032*M363^2+(-0.0021)*M363)+N$1*((-0.000002)*N363^3+0.00032*N363^2+(-0.0021)*N363)+O$1*((-0.000002)*O363^3+0.00032*O363^2+(-0.0021)*O363)</f>
        <v/>
      </c>
      <c r="W363">
        <f>P$1*((-0.000002)*P363^3+0.00032*P363^2+(-0.0021)*P363)+Q$1*((-0.000002)*Q363^3+0.00032*Q363^2+(-0.0021)*Q363)+R$1*((-0.000002)*R363^3+0.00032*R363^2+(-0.0021)*R363)+S$1*((-0.000002)*S363^3+0.00032*S363^2+(-0.0021)*S363)+T$1*((-0.000002)*T363^3+0.00032*T363^2+(-0.0021)*T363)</f>
        <v/>
      </c>
      <c r="X363">
        <f>(I$1*((-0.000002)*I363^3+0.00032*I363^2+(-0.0021)*I363)+J$1*((-0.000002)*J363^3+0.00032*J363^2+(-0.0021)*J363)+H$1*((-0.000002)*H363^3+0.00032*H363^2+(-0.0021)*H363))*(MAX(0.05,MIN(1,(2*J363+I363)/120)*MIN(1,I363/10)*MIN(1,J363/10)))</f>
        <v/>
      </c>
      <c r="Y363">
        <f>(I$1*((-0.000002)*I363^3+0.00032*I363^2+(-0.0021)*I363)+J$1*((-0.000002)*J363^3+0.00032*J363^2+(-0.0021)*J363)+H$1*((-0.000002)*H363^3+0.00032*H363^2+(-0.0021)*H363))*(MAX(0.05,MIN(1,(2*J363+I363)/120)*MIN(1,I363/10)*MIN(1,J363/10)))</f>
        <v/>
      </c>
      <c r="Z363">
        <f>U363*J$2+V363*O$2+W363*H$2</f>
        <v/>
      </c>
      <c r="AA363">
        <f>IF(AND(J363&gt;50,I363+J363&gt;75),"SP",IF(2*I363+J363&gt;120,"RP","CRAP"))</f>
        <v/>
      </c>
    </row>
    <row r="364" ht="13.5" customHeight="1" s="27" thickBot="1">
      <c r="A364">
        <f>(V364*V$2+W364*W$2+X364*X$2)*100/(V$4*V$2+W$4*W$2+X$4*X$2)</f>
        <v/>
      </c>
      <c r="B364" s="16" t="n"/>
      <c r="C364" s="10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>
        <f>K$1*(0.000001*K364^3)+L$1*((-0.000002)*L364^3+0.00032*L364^2+(-0.0021)*L364)+M$1*((-0.000002)*M364^3+0.00032*M364^2+(-0.0021)*M364)+N$1*((-0.000002)*N364^3+0.00032*N364^2+(-0.0021)*N364)+O$1*((-0.000002)*O364^3+0.00032*O364^2+(-0.0021)*O364)</f>
        <v/>
      </c>
      <c r="W364">
        <f>P$1*((-0.000002)*P364^3+0.00032*P364^2+(-0.0021)*P364)+Q$1*((-0.000002)*Q364^3+0.00032*Q364^2+(-0.0021)*Q364)+R$1*((-0.000002)*R364^3+0.00032*R364^2+(-0.0021)*R364)+S$1*((-0.000002)*S364^3+0.00032*S364^2+(-0.0021)*S364)+T$1*((-0.000002)*T364^3+0.00032*T364^2+(-0.0021)*T364)</f>
        <v/>
      </c>
      <c r="X364">
        <f>(I$1*((-0.000002)*I364^3+0.00032*I364^2+(-0.0021)*I364)+J$1*((-0.000002)*J364^3+0.00032*J364^2+(-0.0021)*J364)+H$1*((-0.000002)*H364^3+0.00032*H364^2+(-0.0021)*H364))*(MAX(0.05,MIN(1,(2*J364+I364)/120)*MIN(1,I364/10)*MIN(1,J364/10)))</f>
        <v/>
      </c>
      <c r="Y364">
        <f>(I$1*((-0.000002)*I364^3+0.00032*I364^2+(-0.0021)*I364)+J$1*((-0.000002)*J364^3+0.00032*J364^2+(-0.0021)*J364)+H$1*((-0.000002)*H364^3+0.00032*H364^2+(-0.0021)*H364))*(MAX(0.05,MIN(1,(2*J364+I364)/120)*MIN(1,I364/10)*MIN(1,J364/10)))</f>
        <v/>
      </c>
      <c r="Z364">
        <f>U364*J$2+V364*O$2+W364*H$2</f>
        <v/>
      </c>
      <c r="AA364">
        <f>IF(AND(J364&gt;50,I364+J364&gt;75),"SP",IF(2*I364+J364&gt;120,"RP","CRAP"))</f>
        <v/>
      </c>
    </row>
    <row r="365" ht="13.5" customHeight="1" s="27" thickBot="1">
      <c r="A365">
        <f>(V365*V$2+W365*W$2+X365*X$2)*100/(V$4*V$2+W$4*W$2+X$4*X$2)</f>
        <v/>
      </c>
      <c r="B365" s="18" t="n"/>
      <c r="C365" s="11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>
        <f>K$1*(0.000001*K365^3)+L$1*((-0.000002)*L365^3+0.00032*L365^2+(-0.0021)*L365)+M$1*((-0.000002)*M365^3+0.00032*M365^2+(-0.0021)*M365)+N$1*((-0.000002)*N365^3+0.00032*N365^2+(-0.0021)*N365)+O$1*((-0.000002)*O365^3+0.00032*O365^2+(-0.0021)*O365)</f>
        <v/>
      </c>
      <c r="W365">
        <f>P$1*((-0.000002)*P365^3+0.00032*P365^2+(-0.0021)*P365)+Q$1*((-0.000002)*Q365^3+0.00032*Q365^2+(-0.0021)*Q365)+R$1*((-0.000002)*R365^3+0.00032*R365^2+(-0.0021)*R365)+S$1*((-0.000002)*S365^3+0.00032*S365^2+(-0.0021)*S365)+T$1*((-0.000002)*T365^3+0.00032*T365^2+(-0.0021)*T365)</f>
        <v/>
      </c>
      <c r="X365">
        <f>(I$1*((-0.000002)*I365^3+0.00032*I365^2+(-0.0021)*I365)+J$1*((-0.000002)*J365^3+0.00032*J365^2+(-0.0021)*J365)+H$1*((-0.000002)*H365^3+0.00032*H365^2+(-0.0021)*H365))*(MAX(0.05,MIN(1,(2*J365+I365)/120)*MIN(1,I365/10)*MIN(1,J365/10)))</f>
        <v/>
      </c>
      <c r="Y365">
        <f>(I$1*((-0.000002)*I365^3+0.00032*I365^2+(-0.0021)*I365)+J$1*((-0.000002)*J365^3+0.00032*J365^2+(-0.0021)*J365)+H$1*((-0.000002)*H365^3+0.00032*H365^2+(-0.0021)*H365))*(MAX(0.05,MIN(1,(2*J365+I365)/120)*MIN(1,I365/10)*MIN(1,J365/10)))</f>
        <v/>
      </c>
      <c r="Z365">
        <f>U365*J$2+V365*O$2+W365*H$2</f>
        <v/>
      </c>
      <c r="AA365">
        <f>IF(AND(J365&gt;50,I365+J365&gt;75),"SP",IF(2*I365+J365&gt;120,"RP","CRAP"))</f>
        <v/>
      </c>
    </row>
    <row r="366" ht="13.5" customHeight="1" s="27" thickBot="1">
      <c r="A366">
        <f>(V366*V$2+W366*W$2+X366*X$2)*100/(V$4*V$2+W$4*W$2+X$4*X$2)</f>
        <v/>
      </c>
      <c r="B366" s="16" t="n"/>
      <c r="C366" s="10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>
        <f>K$1*(0.000001*K366^3)+L$1*((-0.000002)*L366^3+0.00032*L366^2+(-0.0021)*L366)+M$1*((-0.000002)*M366^3+0.00032*M366^2+(-0.0021)*M366)+N$1*((-0.000002)*N366^3+0.00032*N366^2+(-0.0021)*N366)+O$1*((-0.000002)*O366^3+0.00032*O366^2+(-0.0021)*O366)</f>
        <v/>
      </c>
      <c r="W366">
        <f>P$1*((-0.000002)*P366^3+0.00032*P366^2+(-0.0021)*P366)+Q$1*((-0.000002)*Q366^3+0.00032*Q366^2+(-0.0021)*Q366)+R$1*((-0.000002)*R366^3+0.00032*R366^2+(-0.0021)*R366)+S$1*((-0.000002)*S366^3+0.00032*S366^2+(-0.0021)*S366)+T$1*((-0.000002)*T366^3+0.00032*T366^2+(-0.0021)*T366)</f>
        <v/>
      </c>
      <c r="X366">
        <f>(I$1*((-0.000002)*I366^3+0.00032*I366^2+(-0.0021)*I366)+J$1*((-0.000002)*J366^3+0.00032*J366^2+(-0.0021)*J366)+H$1*((-0.000002)*H366^3+0.00032*H366^2+(-0.0021)*H366))*(MAX(0.05,MIN(1,(2*J366+I366)/120)*MIN(1,I366/10)*MIN(1,J366/10)))</f>
        <v/>
      </c>
      <c r="Y366">
        <f>(I$1*((-0.000002)*I366^3+0.00032*I366^2+(-0.0021)*I366)+J$1*((-0.000002)*J366^3+0.00032*J366^2+(-0.0021)*J366)+H$1*((-0.000002)*H366^3+0.00032*H366^2+(-0.0021)*H366))*(MAX(0.05,MIN(1,(2*J366+I366)/120)*MIN(1,I366/10)*MIN(1,J366/10)))</f>
        <v/>
      </c>
      <c r="Z366">
        <f>U366*J$2+V366*O$2+W366*H$2</f>
        <v/>
      </c>
      <c r="AA366">
        <f>IF(AND(J366&gt;50,I366+J366&gt;75),"SP",IF(2*I366+J366&gt;120,"RP","CRAP"))</f>
        <v/>
      </c>
    </row>
    <row r="367" ht="13.5" customHeight="1" s="27" thickBot="1">
      <c r="A367">
        <f>(V367*V$2+W367*W$2+X367*X$2)*100/(V$4*V$2+W$4*W$2+X$4*X$2)</f>
        <v/>
      </c>
      <c r="B367" s="18" t="n"/>
      <c r="C367" s="11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>
        <f>K$1*(0.000001*K367^3)+L$1*((-0.000002)*L367^3+0.00032*L367^2+(-0.0021)*L367)+M$1*((-0.000002)*M367^3+0.00032*M367^2+(-0.0021)*M367)+N$1*((-0.000002)*N367^3+0.00032*N367^2+(-0.0021)*N367)+O$1*((-0.000002)*O367^3+0.00032*O367^2+(-0.0021)*O367)</f>
        <v/>
      </c>
      <c r="W367">
        <f>P$1*((-0.000002)*P367^3+0.00032*P367^2+(-0.0021)*P367)+Q$1*((-0.000002)*Q367^3+0.00032*Q367^2+(-0.0021)*Q367)+R$1*((-0.000002)*R367^3+0.00032*R367^2+(-0.0021)*R367)+S$1*((-0.000002)*S367^3+0.00032*S367^2+(-0.0021)*S367)+T$1*((-0.000002)*T367^3+0.00032*T367^2+(-0.0021)*T367)</f>
        <v/>
      </c>
      <c r="X367">
        <f>(I$1*((-0.000002)*I367^3+0.00032*I367^2+(-0.0021)*I367)+J$1*((-0.000002)*J367^3+0.00032*J367^2+(-0.0021)*J367)+H$1*((-0.000002)*H367^3+0.00032*H367^2+(-0.0021)*H367))*(MAX(0.05,MIN(1,(2*J367+I367)/120)*MIN(1,I367/10)*MIN(1,J367/10)))</f>
        <v/>
      </c>
      <c r="Y367">
        <f>(I$1*((-0.000002)*I367^3+0.00032*I367^2+(-0.0021)*I367)+J$1*((-0.000002)*J367^3+0.00032*J367^2+(-0.0021)*J367)+H$1*((-0.000002)*H367^3+0.00032*H367^2+(-0.0021)*H367))*(MAX(0.05,MIN(1,(2*J367+I367)/120)*MIN(1,I367/10)*MIN(1,J367/10)))</f>
        <v/>
      </c>
      <c r="Z367">
        <f>U367*J$2+V367*O$2+W367*H$2</f>
        <v/>
      </c>
      <c r="AA367">
        <f>IF(AND(J367&gt;50,I367+J367&gt;75),"SP",IF(2*I367+J367&gt;120,"RP","CRAP"))</f>
        <v/>
      </c>
    </row>
    <row r="368" ht="13.5" customHeight="1" s="27" thickBot="1">
      <c r="A368">
        <f>(V368*V$2+W368*W$2+X368*X$2)*100/(V$4*V$2+W$4*W$2+X$4*X$2)</f>
        <v/>
      </c>
      <c r="B368" s="16" t="n"/>
      <c r="C368" s="10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>
        <f>K$1*(0.000001*K368^3)+L$1*((-0.000002)*L368^3+0.00032*L368^2+(-0.0021)*L368)+M$1*((-0.000002)*M368^3+0.00032*M368^2+(-0.0021)*M368)+N$1*((-0.000002)*N368^3+0.00032*N368^2+(-0.0021)*N368)+O$1*((-0.000002)*O368^3+0.00032*O368^2+(-0.0021)*O368)</f>
        <v/>
      </c>
      <c r="W368">
        <f>P$1*((-0.000002)*P368^3+0.00032*P368^2+(-0.0021)*P368)+Q$1*((-0.000002)*Q368^3+0.00032*Q368^2+(-0.0021)*Q368)+R$1*((-0.000002)*R368^3+0.00032*R368^2+(-0.0021)*R368)+S$1*((-0.000002)*S368^3+0.00032*S368^2+(-0.0021)*S368)+T$1*((-0.000002)*T368^3+0.00032*T368^2+(-0.0021)*T368)</f>
        <v/>
      </c>
      <c r="X368">
        <f>(I$1*((-0.000002)*I368^3+0.00032*I368^2+(-0.0021)*I368)+J$1*((-0.000002)*J368^3+0.00032*J368^2+(-0.0021)*J368)+H$1*((-0.000002)*H368^3+0.00032*H368^2+(-0.0021)*H368))*(MAX(0.05,MIN(1,(2*J368+I368)/120)*MIN(1,I368/10)*MIN(1,J368/10)))</f>
        <v/>
      </c>
      <c r="Y368">
        <f>(I$1*((-0.000002)*I368^3+0.00032*I368^2+(-0.0021)*I368)+J$1*((-0.000002)*J368^3+0.00032*J368^2+(-0.0021)*J368)+H$1*((-0.000002)*H368^3+0.00032*H368^2+(-0.0021)*H368))*(MAX(0.05,MIN(1,(2*J368+I368)/120)*MIN(1,I368/10)*MIN(1,J368/10)))</f>
        <v/>
      </c>
      <c r="Z368">
        <f>U368*J$2+V368*O$2+W368*H$2</f>
        <v/>
      </c>
      <c r="AA368">
        <f>IF(AND(J368&gt;50,I368+J368&gt;75),"SP",IF(2*I368+J368&gt;120,"RP","CRAP"))</f>
        <v/>
      </c>
    </row>
    <row r="369" ht="13.5" customHeight="1" s="27" thickBot="1">
      <c r="A369">
        <f>(V369*V$2+W369*W$2+X369*X$2)*100/(V$4*V$2+W$4*W$2+X$4*X$2)</f>
        <v/>
      </c>
      <c r="B369" s="18" t="n"/>
      <c r="C369" s="11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>
        <f>K$1*(0.000001*K369^3)+L$1*((-0.000002)*L369^3+0.00032*L369^2+(-0.0021)*L369)+M$1*((-0.000002)*M369^3+0.00032*M369^2+(-0.0021)*M369)+N$1*((-0.000002)*N369^3+0.00032*N369^2+(-0.0021)*N369)+O$1*((-0.000002)*O369^3+0.00032*O369^2+(-0.0021)*O369)</f>
        <v/>
      </c>
      <c r="W369">
        <f>P$1*((-0.000002)*P369^3+0.00032*P369^2+(-0.0021)*P369)+Q$1*((-0.000002)*Q369^3+0.00032*Q369^2+(-0.0021)*Q369)+R$1*((-0.000002)*R369^3+0.00032*R369^2+(-0.0021)*R369)+S$1*((-0.000002)*S369^3+0.00032*S369^2+(-0.0021)*S369)+T$1*((-0.000002)*T369^3+0.00032*T369^2+(-0.0021)*T369)</f>
        <v/>
      </c>
      <c r="X369">
        <f>(I$1*((-0.000002)*I369^3+0.00032*I369^2+(-0.0021)*I369)+J$1*((-0.000002)*J369^3+0.00032*J369^2+(-0.0021)*J369)+H$1*((-0.000002)*H369^3+0.00032*H369^2+(-0.0021)*H369))*(MAX(0.05,MIN(1,(2*J369+I369)/120)*MIN(1,I369/10)*MIN(1,J369/10)))</f>
        <v/>
      </c>
      <c r="Y369">
        <f>(I$1*((-0.000002)*I369^3+0.00032*I369^2+(-0.0021)*I369)+J$1*((-0.000002)*J369^3+0.00032*J369^2+(-0.0021)*J369)+H$1*((-0.000002)*H369^3+0.00032*H369^2+(-0.0021)*H369))*(MAX(0.05,MIN(1,(2*J369+I369)/120)*MIN(1,I369/10)*MIN(1,J369/10)))</f>
        <v/>
      </c>
      <c r="Z369">
        <f>U369*J$2+V369*O$2+W369*H$2</f>
        <v/>
      </c>
      <c r="AA369">
        <f>IF(AND(J369&gt;50,I369+J369&gt;75),"SP",IF(2*I369+J369&gt;120,"RP","CRAP"))</f>
        <v/>
      </c>
    </row>
    <row r="370" ht="13.5" customHeight="1" s="27" thickBot="1">
      <c r="A370">
        <f>(V370*V$2+W370*W$2+X370*X$2)*100/(V$4*V$2+W$4*W$2+X$4*X$2)</f>
        <v/>
      </c>
      <c r="B370" s="16" t="n"/>
      <c r="C370" s="10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>
        <f>K$1*(0.000001*K370^3)+L$1*((-0.000002)*L370^3+0.00032*L370^2+(-0.0021)*L370)+M$1*((-0.000002)*M370^3+0.00032*M370^2+(-0.0021)*M370)+N$1*((-0.000002)*N370^3+0.00032*N370^2+(-0.0021)*N370)+O$1*((-0.000002)*O370^3+0.00032*O370^2+(-0.0021)*O370)</f>
        <v/>
      </c>
      <c r="W370">
        <f>P$1*((-0.000002)*P370^3+0.00032*P370^2+(-0.0021)*P370)+Q$1*((-0.000002)*Q370^3+0.00032*Q370^2+(-0.0021)*Q370)+R$1*((-0.000002)*R370^3+0.00032*R370^2+(-0.0021)*R370)+S$1*((-0.000002)*S370^3+0.00032*S370^2+(-0.0021)*S370)+T$1*((-0.000002)*T370^3+0.00032*T370^2+(-0.0021)*T370)</f>
        <v/>
      </c>
      <c r="X370">
        <f>(I$1*((-0.000002)*I370^3+0.00032*I370^2+(-0.0021)*I370)+J$1*((-0.000002)*J370^3+0.00032*J370^2+(-0.0021)*J370)+H$1*((-0.000002)*H370^3+0.00032*H370^2+(-0.0021)*H370))*(MAX(0.05,MIN(1,(2*J370+I370)/120)*MIN(1,I370/10)*MIN(1,J370/10)))</f>
        <v/>
      </c>
      <c r="Y370">
        <f>(I$1*((-0.000002)*I370^3+0.00032*I370^2+(-0.0021)*I370)+J$1*((-0.000002)*J370^3+0.00032*J370^2+(-0.0021)*J370)+H$1*((-0.000002)*H370^3+0.00032*H370^2+(-0.0021)*H370))*(MAX(0.05,MIN(1,(2*J370+I370)/120)*MIN(1,I370/10)*MIN(1,J370/10)))</f>
        <v/>
      </c>
      <c r="Z370">
        <f>U370*J$2+V370*O$2+W370*H$2</f>
        <v/>
      </c>
      <c r="AA370">
        <f>IF(AND(J370&gt;50,I370+J370&gt;75),"SP",IF(2*I370+J370&gt;120,"RP","CRAP"))</f>
        <v/>
      </c>
    </row>
    <row r="371" ht="13.5" customHeight="1" s="27" thickBot="1">
      <c r="A371">
        <f>(V371*V$2+W371*W$2+X371*X$2)*100/(V$4*V$2+W$4*W$2+X$4*X$2)</f>
        <v/>
      </c>
      <c r="B371" s="18" t="n"/>
      <c r="C371" s="11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>
        <f>K$1*(0.000001*K371^3)+L$1*((-0.000002)*L371^3+0.00032*L371^2+(-0.0021)*L371)+M$1*((-0.000002)*M371^3+0.00032*M371^2+(-0.0021)*M371)+N$1*((-0.000002)*N371^3+0.00032*N371^2+(-0.0021)*N371)+O$1*((-0.000002)*O371^3+0.00032*O371^2+(-0.0021)*O371)</f>
        <v/>
      </c>
      <c r="W371">
        <f>P$1*((-0.000002)*P371^3+0.00032*P371^2+(-0.0021)*P371)+Q$1*((-0.000002)*Q371^3+0.00032*Q371^2+(-0.0021)*Q371)+R$1*((-0.000002)*R371^3+0.00032*R371^2+(-0.0021)*R371)+S$1*((-0.000002)*S371^3+0.00032*S371^2+(-0.0021)*S371)+T$1*((-0.000002)*T371^3+0.00032*T371^2+(-0.0021)*T371)</f>
        <v/>
      </c>
      <c r="X371">
        <f>(I$1*((-0.000002)*I371^3+0.00032*I371^2+(-0.0021)*I371)+J$1*((-0.000002)*J371^3+0.00032*J371^2+(-0.0021)*J371)+H$1*((-0.000002)*H371^3+0.00032*H371^2+(-0.0021)*H371))*(MAX(0.05,MIN(1,(2*J371+I371)/120)*MIN(1,I371/10)*MIN(1,J371/10)))</f>
        <v/>
      </c>
      <c r="Y371">
        <f>(I$1*((-0.000002)*I371^3+0.00032*I371^2+(-0.0021)*I371)+J$1*((-0.000002)*J371^3+0.00032*J371^2+(-0.0021)*J371)+H$1*((-0.000002)*H371^3+0.00032*H371^2+(-0.0021)*H371))*(MAX(0.05,MIN(1,(2*J371+I371)/120)*MIN(1,I371/10)*MIN(1,J371/10)))</f>
        <v/>
      </c>
      <c r="Z371">
        <f>U371*J$2+V371*O$2+W371*H$2</f>
        <v/>
      </c>
      <c r="AA371">
        <f>IF(AND(J371&gt;50,I371+J371&gt;75),"SP",IF(2*I371+J371&gt;120,"RP","CRAP"))</f>
        <v/>
      </c>
    </row>
    <row r="372" ht="13.5" customHeight="1" s="27" thickBot="1">
      <c r="A372">
        <f>(V372*V$2+W372*W$2+X372*X$2)*100/(V$4*V$2+W$4*W$2+X$4*X$2)</f>
        <v/>
      </c>
      <c r="B372" s="16" t="n"/>
      <c r="C372" s="10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>
        <f>K$1*(0.000001*K372^3)+L$1*((-0.000002)*L372^3+0.00032*L372^2+(-0.0021)*L372)+M$1*((-0.000002)*M372^3+0.00032*M372^2+(-0.0021)*M372)+N$1*((-0.000002)*N372^3+0.00032*N372^2+(-0.0021)*N372)+O$1*((-0.000002)*O372^3+0.00032*O372^2+(-0.0021)*O372)</f>
        <v/>
      </c>
      <c r="W372">
        <f>P$1*((-0.000002)*P372^3+0.00032*P372^2+(-0.0021)*P372)+Q$1*((-0.000002)*Q372^3+0.00032*Q372^2+(-0.0021)*Q372)+R$1*((-0.000002)*R372^3+0.00032*R372^2+(-0.0021)*R372)+S$1*((-0.000002)*S372^3+0.00032*S372^2+(-0.0021)*S372)+T$1*((-0.000002)*T372^3+0.00032*T372^2+(-0.0021)*T372)</f>
        <v/>
      </c>
      <c r="X372">
        <f>(I$1*((-0.000002)*I372^3+0.00032*I372^2+(-0.0021)*I372)+J$1*((-0.000002)*J372^3+0.00032*J372^2+(-0.0021)*J372)+H$1*((-0.000002)*H372^3+0.00032*H372^2+(-0.0021)*H372))*(MAX(0.05,MIN(1,(2*J372+I372)/120)*MIN(1,I372/10)*MIN(1,J372/10)))</f>
        <v/>
      </c>
      <c r="Y372">
        <f>(I$1*((-0.000002)*I372^3+0.00032*I372^2+(-0.0021)*I372)+J$1*((-0.000002)*J372^3+0.00032*J372^2+(-0.0021)*J372)+H$1*((-0.000002)*H372^3+0.00032*H372^2+(-0.0021)*H372))*(MAX(0.05,MIN(1,(2*J372+I372)/120)*MIN(1,I372/10)*MIN(1,J372/10)))</f>
        <v/>
      </c>
      <c r="Z372">
        <f>U372*J$2+V372*O$2+W372*H$2</f>
        <v/>
      </c>
      <c r="AA372">
        <f>IF(AND(J372&gt;50,I372+J372&gt;75),"SP",IF(2*I372+J372&gt;120,"RP","CRAP"))</f>
        <v/>
      </c>
    </row>
    <row r="373" ht="13.5" customHeight="1" s="27" thickBot="1">
      <c r="A373">
        <f>(V373*V$2+W373*W$2+X373*X$2)*100/(V$4*V$2+W$4*W$2+X$4*X$2)</f>
        <v/>
      </c>
      <c r="B373" s="18" t="n"/>
      <c r="C373" s="11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>
        <f>K$1*(0.000001*K373^3)+L$1*((-0.000002)*L373^3+0.00032*L373^2+(-0.0021)*L373)+M$1*((-0.000002)*M373^3+0.00032*M373^2+(-0.0021)*M373)+N$1*((-0.000002)*N373^3+0.00032*N373^2+(-0.0021)*N373)+O$1*((-0.000002)*O373^3+0.00032*O373^2+(-0.0021)*O373)</f>
        <v/>
      </c>
      <c r="W373">
        <f>P$1*((-0.000002)*P373^3+0.00032*P373^2+(-0.0021)*P373)+Q$1*((-0.000002)*Q373^3+0.00032*Q373^2+(-0.0021)*Q373)+R$1*((-0.000002)*R373^3+0.00032*R373^2+(-0.0021)*R373)+S$1*((-0.000002)*S373^3+0.00032*S373^2+(-0.0021)*S373)+T$1*((-0.000002)*T373^3+0.00032*T373^2+(-0.0021)*T373)</f>
        <v/>
      </c>
      <c r="X373">
        <f>(I$1*((-0.000002)*I373^3+0.00032*I373^2+(-0.0021)*I373)+J$1*((-0.000002)*J373^3+0.00032*J373^2+(-0.0021)*J373)+H$1*((-0.000002)*H373^3+0.00032*H373^2+(-0.0021)*H373))*(MAX(0.05,MIN(1,(2*J373+I373)/120)*MIN(1,I373/10)*MIN(1,J373/10)))</f>
        <v/>
      </c>
      <c r="Y373">
        <f>(I$1*((-0.000002)*I373^3+0.00032*I373^2+(-0.0021)*I373)+J$1*((-0.000002)*J373^3+0.00032*J373^2+(-0.0021)*J373)+H$1*((-0.000002)*H373^3+0.00032*H373^2+(-0.0021)*H373))*(MAX(0.05,MIN(1,(2*J373+I373)/120)*MIN(1,I373/10)*MIN(1,J373/10)))</f>
        <v/>
      </c>
      <c r="Z373">
        <f>U373*J$2+V373*O$2+W373*H$2</f>
        <v/>
      </c>
      <c r="AA373">
        <f>IF(AND(J373&gt;50,I373+J373&gt;75),"SP",IF(2*I373+J373&gt;120,"RP","CRAP"))</f>
        <v/>
      </c>
    </row>
    <row r="374" ht="13.5" customHeight="1" s="27" thickBot="1">
      <c r="A374">
        <f>(V374*V$2+W374*W$2+X374*X$2)*100/(V$4*V$2+W$4*W$2+X$4*X$2)</f>
        <v/>
      </c>
      <c r="B374" s="16" t="n"/>
      <c r="C374" s="10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>
        <f>K$1*(0.000001*K374^3)+L$1*((-0.000002)*L374^3+0.00032*L374^2+(-0.0021)*L374)+M$1*((-0.000002)*M374^3+0.00032*M374^2+(-0.0021)*M374)+N$1*((-0.000002)*N374^3+0.00032*N374^2+(-0.0021)*N374)+O$1*((-0.000002)*O374^3+0.00032*O374^2+(-0.0021)*O374)</f>
        <v/>
      </c>
      <c r="W374">
        <f>P$1*((-0.000002)*P374^3+0.00032*P374^2+(-0.0021)*P374)+Q$1*((-0.000002)*Q374^3+0.00032*Q374^2+(-0.0021)*Q374)+R$1*((-0.000002)*R374^3+0.00032*R374^2+(-0.0021)*R374)+S$1*((-0.000002)*S374^3+0.00032*S374^2+(-0.0021)*S374)+T$1*((-0.000002)*T374^3+0.00032*T374^2+(-0.0021)*T374)</f>
        <v/>
      </c>
      <c r="X374">
        <f>(I$1*((-0.000002)*I374^3+0.00032*I374^2+(-0.0021)*I374)+J$1*((-0.000002)*J374^3+0.00032*J374^2+(-0.0021)*J374)+H$1*((-0.000002)*H374^3+0.00032*H374^2+(-0.0021)*H374))*(MAX(0.05,MIN(1,(2*J374+I374)/120)*MIN(1,I374/10)*MIN(1,J374/10)))</f>
        <v/>
      </c>
      <c r="Y374">
        <f>(I$1*((-0.000002)*I374^3+0.00032*I374^2+(-0.0021)*I374)+J$1*((-0.000002)*J374^3+0.00032*J374^2+(-0.0021)*J374)+H$1*((-0.000002)*H374^3+0.00032*H374^2+(-0.0021)*H374))*(MAX(0.05,MIN(1,(2*J374+I374)/120)*MIN(1,I374/10)*MIN(1,J374/10)))</f>
        <v/>
      </c>
      <c r="Z374">
        <f>U374*J$2+V374*O$2+W374*H$2</f>
        <v/>
      </c>
      <c r="AA374">
        <f>IF(AND(J374&gt;50,I374+J374&gt;75),"SP",IF(2*I374+J374&gt;120,"RP","CRAP"))</f>
        <v/>
      </c>
    </row>
    <row r="375" ht="13.5" customHeight="1" s="27" thickBot="1">
      <c r="A375">
        <f>(V375*V$2+W375*W$2+X375*X$2)*100/(V$4*V$2+W$4*W$2+X$4*X$2)</f>
        <v/>
      </c>
      <c r="B375" s="18" t="n"/>
      <c r="C375" s="11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>
        <f>K$1*(0.000001*K375^3)+L$1*((-0.000002)*L375^3+0.00032*L375^2+(-0.0021)*L375)+M$1*((-0.000002)*M375^3+0.00032*M375^2+(-0.0021)*M375)+N$1*((-0.000002)*N375^3+0.00032*N375^2+(-0.0021)*N375)+O$1*((-0.000002)*O375^3+0.00032*O375^2+(-0.0021)*O375)</f>
        <v/>
      </c>
      <c r="W375">
        <f>P$1*((-0.000002)*P375^3+0.00032*P375^2+(-0.0021)*P375)+Q$1*((-0.000002)*Q375^3+0.00032*Q375^2+(-0.0021)*Q375)+R$1*((-0.000002)*R375^3+0.00032*R375^2+(-0.0021)*R375)+S$1*((-0.000002)*S375^3+0.00032*S375^2+(-0.0021)*S375)+T$1*((-0.000002)*T375^3+0.00032*T375^2+(-0.0021)*T375)</f>
        <v/>
      </c>
      <c r="X375">
        <f>(I$1*((-0.000002)*I375^3+0.00032*I375^2+(-0.0021)*I375)+J$1*((-0.000002)*J375^3+0.00032*J375^2+(-0.0021)*J375)+H$1*((-0.000002)*H375^3+0.00032*H375^2+(-0.0021)*H375))*(MAX(0.05,MIN(1,(2*J375+I375)/120)*MIN(1,I375/10)*MIN(1,J375/10)))</f>
        <v/>
      </c>
      <c r="Y375">
        <f>(I$1*((-0.000002)*I375^3+0.00032*I375^2+(-0.0021)*I375)+J$1*((-0.000002)*J375^3+0.00032*J375^2+(-0.0021)*J375)+H$1*((-0.000002)*H375^3+0.00032*H375^2+(-0.0021)*H375))*(MAX(0.05,MIN(1,(2*J375+I375)/120)*MIN(1,I375/10)*MIN(1,J375/10)))</f>
        <v/>
      </c>
      <c r="Z375">
        <f>U375*J$2+V375*O$2+W375*H$2</f>
        <v/>
      </c>
      <c r="AA375">
        <f>IF(AND(J375&gt;50,I375+J375&gt;75),"SP",IF(2*I375+J375&gt;120,"RP","CRAP"))</f>
        <v/>
      </c>
    </row>
    <row r="376" ht="13.5" customHeight="1" s="27" thickBot="1">
      <c r="A376">
        <f>(V376*V$2+W376*W$2+X376*X$2)*100/(V$4*V$2+W$4*W$2+X$4*X$2)</f>
        <v/>
      </c>
      <c r="B376" s="16" t="n"/>
      <c r="C376" s="10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>
        <f>K$1*(0.000001*K376^3)+L$1*((-0.000002)*L376^3+0.00032*L376^2+(-0.0021)*L376)+M$1*((-0.000002)*M376^3+0.00032*M376^2+(-0.0021)*M376)+N$1*((-0.000002)*N376^3+0.00032*N376^2+(-0.0021)*N376)+O$1*((-0.000002)*O376^3+0.00032*O376^2+(-0.0021)*O376)</f>
        <v/>
      </c>
      <c r="W376">
        <f>P$1*((-0.000002)*P376^3+0.00032*P376^2+(-0.0021)*P376)+Q$1*((-0.000002)*Q376^3+0.00032*Q376^2+(-0.0021)*Q376)+R$1*((-0.000002)*R376^3+0.00032*R376^2+(-0.0021)*R376)+S$1*((-0.000002)*S376^3+0.00032*S376^2+(-0.0021)*S376)+T$1*((-0.000002)*T376^3+0.00032*T376^2+(-0.0021)*T376)</f>
        <v/>
      </c>
      <c r="X376">
        <f>(I$1*((-0.000002)*I376^3+0.00032*I376^2+(-0.0021)*I376)+J$1*((-0.000002)*J376^3+0.00032*J376^2+(-0.0021)*J376)+H$1*((-0.000002)*H376^3+0.00032*H376^2+(-0.0021)*H376))*(MAX(0.05,MIN(1,(2*J376+I376)/120)*MIN(1,I376/10)*MIN(1,J376/10)))</f>
        <v/>
      </c>
      <c r="Y376">
        <f>(I$1*((-0.000002)*I376^3+0.00032*I376^2+(-0.0021)*I376)+J$1*((-0.000002)*J376^3+0.00032*J376^2+(-0.0021)*J376)+H$1*((-0.000002)*H376^3+0.00032*H376^2+(-0.0021)*H376))*(MAX(0.05,MIN(1,(2*J376+I376)/120)*MIN(1,I376/10)*MIN(1,J376/10)))</f>
        <v/>
      </c>
      <c r="Z376">
        <f>U376*J$2+V376*O$2+W376*H$2</f>
        <v/>
      </c>
      <c r="AA376">
        <f>IF(AND(J376&gt;50,I376+J376&gt;75),"SP",IF(2*I376+J376&gt;120,"RP","CRAP"))</f>
        <v/>
      </c>
    </row>
    <row r="377" ht="13.5" customHeight="1" s="27" thickBot="1">
      <c r="A377">
        <f>(V377*V$2+W377*W$2+X377*X$2)*100/(V$4*V$2+W$4*W$2+X$4*X$2)</f>
        <v/>
      </c>
      <c r="B377" s="18" t="n"/>
      <c r="C377" s="11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>
        <f>K$1*(0.000001*K377^3)+L$1*((-0.000002)*L377^3+0.00032*L377^2+(-0.0021)*L377)+M$1*((-0.000002)*M377^3+0.00032*M377^2+(-0.0021)*M377)+N$1*((-0.000002)*N377^3+0.00032*N377^2+(-0.0021)*N377)+O$1*((-0.000002)*O377^3+0.00032*O377^2+(-0.0021)*O377)</f>
        <v/>
      </c>
      <c r="W377">
        <f>P$1*((-0.000002)*P377^3+0.00032*P377^2+(-0.0021)*P377)+Q$1*((-0.000002)*Q377^3+0.00032*Q377^2+(-0.0021)*Q377)+R$1*((-0.000002)*R377^3+0.00032*R377^2+(-0.0021)*R377)+S$1*((-0.000002)*S377^3+0.00032*S377^2+(-0.0021)*S377)+T$1*((-0.000002)*T377^3+0.00032*T377^2+(-0.0021)*T377)</f>
        <v/>
      </c>
      <c r="X377">
        <f>(I$1*((-0.000002)*I377^3+0.00032*I377^2+(-0.0021)*I377)+J$1*((-0.000002)*J377^3+0.00032*J377^2+(-0.0021)*J377)+H$1*((-0.000002)*H377^3+0.00032*H377^2+(-0.0021)*H377))*(MAX(0.05,MIN(1,(2*J377+I377)/120)*MIN(1,I377/10)*MIN(1,J377/10)))</f>
        <v/>
      </c>
      <c r="Y377">
        <f>(I$1*((-0.000002)*I377^3+0.00032*I377^2+(-0.0021)*I377)+J$1*((-0.000002)*J377^3+0.00032*J377^2+(-0.0021)*J377)+H$1*((-0.000002)*H377^3+0.00032*H377^2+(-0.0021)*H377))*(MAX(0.05,MIN(1,(2*J377+I377)/120)*MIN(1,I377/10)*MIN(1,J377/10)))</f>
        <v/>
      </c>
      <c r="Z377">
        <f>U377*J$2+V377*O$2+W377*H$2</f>
        <v/>
      </c>
      <c r="AA377">
        <f>IF(AND(J377&gt;50,I377+J377&gt;75),"SP",IF(2*I377+J377&gt;120,"RP","CRAP"))</f>
        <v/>
      </c>
    </row>
    <row r="378" ht="13.5" customHeight="1" s="27" thickBot="1">
      <c r="A378">
        <f>(V378*V$2+W378*W$2+X378*X$2)*100/(V$4*V$2+W$4*W$2+X$4*X$2)</f>
        <v/>
      </c>
      <c r="B378" s="16" t="n"/>
      <c r="C378" s="10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>
        <f>K$1*(0.000001*K378^3)+L$1*((-0.000002)*L378^3+0.00032*L378^2+(-0.0021)*L378)+M$1*((-0.000002)*M378^3+0.00032*M378^2+(-0.0021)*M378)+N$1*((-0.000002)*N378^3+0.00032*N378^2+(-0.0021)*N378)+O$1*((-0.000002)*O378^3+0.00032*O378^2+(-0.0021)*O378)</f>
        <v/>
      </c>
      <c r="W378">
        <f>P$1*((-0.000002)*P378^3+0.00032*P378^2+(-0.0021)*P378)+Q$1*((-0.000002)*Q378^3+0.00032*Q378^2+(-0.0021)*Q378)+R$1*((-0.000002)*R378^3+0.00032*R378^2+(-0.0021)*R378)+S$1*((-0.000002)*S378^3+0.00032*S378^2+(-0.0021)*S378)+T$1*((-0.000002)*T378^3+0.00032*T378^2+(-0.0021)*T378)</f>
        <v/>
      </c>
      <c r="X378">
        <f>(I$1*((-0.000002)*I378^3+0.00032*I378^2+(-0.0021)*I378)+J$1*((-0.000002)*J378^3+0.00032*J378^2+(-0.0021)*J378)+H$1*((-0.000002)*H378^3+0.00032*H378^2+(-0.0021)*H378))*(MAX(0.05,MIN(1,(2*J378+I378)/120)*MIN(1,I378/10)*MIN(1,J378/10)))</f>
        <v/>
      </c>
      <c r="Y378">
        <f>(I$1*((-0.000002)*I378^3+0.00032*I378^2+(-0.0021)*I378)+J$1*((-0.000002)*J378^3+0.00032*J378^2+(-0.0021)*J378)+H$1*((-0.000002)*H378^3+0.00032*H378^2+(-0.0021)*H378))*(MAX(0.05,MIN(1,(2*J378+I378)/120)*MIN(1,I378/10)*MIN(1,J378/10)))</f>
        <v/>
      </c>
      <c r="Z378">
        <f>U378*J$2+V378*O$2+W378*H$2</f>
        <v/>
      </c>
      <c r="AA378">
        <f>IF(AND(J378&gt;50,I378+J378&gt;75),"SP",IF(2*I378+J378&gt;120,"RP","CRAP"))</f>
        <v/>
      </c>
    </row>
    <row r="379" ht="13.5" customHeight="1" s="27" thickBot="1">
      <c r="A379">
        <f>(V379*V$2+W379*W$2+X379*X$2)*100/(V$4*V$2+W$4*W$2+X$4*X$2)</f>
        <v/>
      </c>
      <c r="B379" s="18" t="n"/>
      <c r="C379" s="11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>
        <f>K$1*(0.000001*K379^3)+L$1*((-0.000002)*L379^3+0.00032*L379^2+(-0.0021)*L379)+M$1*((-0.000002)*M379^3+0.00032*M379^2+(-0.0021)*M379)+N$1*((-0.000002)*N379^3+0.00032*N379^2+(-0.0021)*N379)+O$1*((-0.000002)*O379^3+0.00032*O379^2+(-0.0021)*O379)</f>
        <v/>
      </c>
      <c r="W379">
        <f>P$1*((-0.000002)*P379^3+0.00032*P379^2+(-0.0021)*P379)+Q$1*((-0.000002)*Q379^3+0.00032*Q379^2+(-0.0021)*Q379)+R$1*((-0.000002)*R379^3+0.00032*R379^2+(-0.0021)*R379)+S$1*((-0.000002)*S379^3+0.00032*S379^2+(-0.0021)*S379)+T$1*((-0.000002)*T379^3+0.00032*T379^2+(-0.0021)*T379)</f>
        <v/>
      </c>
      <c r="X379">
        <f>(I$1*((-0.000002)*I379^3+0.00032*I379^2+(-0.0021)*I379)+J$1*((-0.000002)*J379^3+0.00032*J379^2+(-0.0021)*J379)+H$1*((-0.000002)*H379^3+0.00032*H379^2+(-0.0021)*H379))*(MAX(0.05,MIN(1,(2*J379+I379)/120)*MIN(1,I379/10)*MIN(1,J379/10)))</f>
        <v/>
      </c>
      <c r="Y379">
        <f>(I$1*((-0.000002)*I379^3+0.00032*I379^2+(-0.0021)*I379)+J$1*((-0.000002)*J379^3+0.00032*J379^2+(-0.0021)*J379)+H$1*((-0.000002)*H379^3+0.00032*H379^2+(-0.0021)*H379))*(MAX(0.05,MIN(1,(2*J379+I379)/120)*MIN(1,I379/10)*MIN(1,J379/10)))</f>
        <v/>
      </c>
      <c r="Z379">
        <f>U379*J$2+V379*O$2+W379*H$2</f>
        <v/>
      </c>
      <c r="AA379">
        <f>IF(AND(J379&gt;50,I379+J379&gt;75),"SP",IF(2*I379+J379&gt;120,"RP","CRAP"))</f>
        <v/>
      </c>
    </row>
    <row r="380" ht="13.5" customHeight="1" s="27" thickBot="1">
      <c r="A380">
        <f>(V380*V$2+W380*W$2+X380*X$2)*100/(V$4*V$2+W$4*W$2+X$4*X$2)</f>
        <v/>
      </c>
      <c r="B380" s="16" t="n"/>
      <c r="C380" s="10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>
        <f>K$1*(0.000001*K380^3)+L$1*((-0.000002)*L380^3+0.00032*L380^2+(-0.0021)*L380)+M$1*((-0.000002)*M380^3+0.00032*M380^2+(-0.0021)*M380)+N$1*((-0.000002)*N380^3+0.00032*N380^2+(-0.0021)*N380)+O$1*((-0.000002)*O380^3+0.00032*O380^2+(-0.0021)*O380)</f>
        <v/>
      </c>
      <c r="W380">
        <f>P$1*((-0.000002)*P380^3+0.00032*P380^2+(-0.0021)*P380)+Q$1*((-0.000002)*Q380^3+0.00032*Q380^2+(-0.0021)*Q380)+R$1*((-0.000002)*R380^3+0.00032*R380^2+(-0.0021)*R380)+S$1*((-0.000002)*S380^3+0.00032*S380^2+(-0.0021)*S380)+T$1*((-0.000002)*T380^3+0.00032*T380^2+(-0.0021)*T380)</f>
        <v/>
      </c>
      <c r="X380">
        <f>(I$1*((-0.000002)*I380^3+0.00032*I380^2+(-0.0021)*I380)+J$1*((-0.000002)*J380^3+0.00032*J380^2+(-0.0021)*J380)+H$1*((-0.000002)*H380^3+0.00032*H380^2+(-0.0021)*H380))*(MAX(0.05,MIN(1,(2*J380+I380)/120)*MIN(1,I380/10)*MIN(1,J380/10)))</f>
        <v/>
      </c>
      <c r="Y380">
        <f>(I$1*((-0.000002)*I380^3+0.00032*I380^2+(-0.0021)*I380)+J$1*((-0.000002)*J380^3+0.00032*J380^2+(-0.0021)*J380)+H$1*((-0.000002)*H380^3+0.00032*H380^2+(-0.0021)*H380))*(MAX(0.05,MIN(1,(2*J380+I380)/120)*MIN(1,I380/10)*MIN(1,J380/10)))</f>
        <v/>
      </c>
      <c r="Z380">
        <f>U380*J$2+V380*O$2+W380*H$2</f>
        <v/>
      </c>
      <c r="AA380">
        <f>IF(AND(J380&gt;50,I380+J380&gt;75),"SP",IF(2*I380+J380&gt;120,"RP","CRAP"))</f>
        <v/>
      </c>
    </row>
    <row r="381" ht="13.5" customHeight="1" s="27" thickBot="1">
      <c r="A381">
        <f>(V381*V$2+W381*W$2+X381*X$2)*100/(V$4*V$2+W$4*W$2+X$4*X$2)</f>
        <v/>
      </c>
      <c r="B381" s="18" t="n"/>
      <c r="C381" s="11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>
        <f>K$1*(0.000001*K381^3)+L$1*((-0.000002)*L381^3+0.00032*L381^2+(-0.0021)*L381)+M$1*((-0.000002)*M381^3+0.00032*M381^2+(-0.0021)*M381)+N$1*((-0.000002)*N381^3+0.00032*N381^2+(-0.0021)*N381)+O$1*((-0.000002)*O381^3+0.00032*O381^2+(-0.0021)*O381)</f>
        <v/>
      </c>
      <c r="W381">
        <f>P$1*((-0.000002)*P381^3+0.00032*P381^2+(-0.0021)*P381)+Q$1*((-0.000002)*Q381^3+0.00032*Q381^2+(-0.0021)*Q381)+R$1*((-0.000002)*R381^3+0.00032*R381^2+(-0.0021)*R381)+S$1*((-0.000002)*S381^3+0.00032*S381^2+(-0.0021)*S381)+T$1*((-0.000002)*T381^3+0.00032*T381^2+(-0.0021)*T381)</f>
        <v/>
      </c>
      <c r="X381">
        <f>(I$1*((-0.000002)*I381^3+0.00032*I381^2+(-0.0021)*I381)+J$1*((-0.000002)*J381^3+0.00032*J381^2+(-0.0021)*J381)+H$1*((-0.000002)*H381^3+0.00032*H381^2+(-0.0021)*H381))*(MAX(0.05,MIN(1,(2*J381+I381)/120)*MIN(1,I381/10)*MIN(1,J381/10)))</f>
        <v/>
      </c>
      <c r="Y381">
        <f>(I$1*((-0.000002)*I381^3+0.00032*I381^2+(-0.0021)*I381)+J$1*((-0.000002)*J381^3+0.00032*J381^2+(-0.0021)*J381)+H$1*((-0.000002)*H381^3+0.00032*H381^2+(-0.0021)*H381))*(MAX(0.05,MIN(1,(2*J381+I381)/120)*MIN(1,I381/10)*MIN(1,J381/10)))</f>
        <v/>
      </c>
      <c r="Z381">
        <f>U381*J$2+V381*O$2+W381*H$2</f>
        <v/>
      </c>
      <c r="AA381">
        <f>IF(AND(J381&gt;50,I381+J381&gt;75),"SP",IF(2*I381+J381&gt;120,"RP","CRAP"))</f>
        <v/>
      </c>
    </row>
    <row r="382" ht="13.5" customHeight="1" s="27" thickBot="1">
      <c r="A382">
        <f>(V382*V$2+W382*W$2+X382*X$2)*100/(V$4*V$2+W$4*W$2+X$4*X$2)</f>
        <v/>
      </c>
      <c r="B382" s="16" t="n"/>
      <c r="C382" s="10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>
        <f>K$1*(0.000001*K382^3)+L$1*((-0.000002)*L382^3+0.00032*L382^2+(-0.0021)*L382)+M$1*((-0.000002)*M382^3+0.00032*M382^2+(-0.0021)*M382)+N$1*((-0.000002)*N382^3+0.00032*N382^2+(-0.0021)*N382)+O$1*((-0.000002)*O382^3+0.00032*O382^2+(-0.0021)*O382)</f>
        <v/>
      </c>
      <c r="W382">
        <f>P$1*((-0.000002)*P382^3+0.00032*P382^2+(-0.0021)*P382)+Q$1*((-0.000002)*Q382^3+0.00032*Q382^2+(-0.0021)*Q382)+R$1*((-0.000002)*R382^3+0.00032*R382^2+(-0.0021)*R382)+S$1*((-0.000002)*S382^3+0.00032*S382^2+(-0.0021)*S382)+T$1*((-0.000002)*T382^3+0.00032*T382^2+(-0.0021)*T382)</f>
        <v/>
      </c>
      <c r="X382">
        <f>(I$1*((-0.000002)*I382^3+0.00032*I382^2+(-0.0021)*I382)+J$1*((-0.000002)*J382^3+0.00032*J382^2+(-0.0021)*J382)+H$1*((-0.000002)*H382^3+0.00032*H382^2+(-0.0021)*H382))*(MAX(0.05,MIN(1,(2*J382+I382)/120)*MIN(1,I382/10)*MIN(1,J382/10)))</f>
        <v/>
      </c>
      <c r="Y382">
        <f>(I$1*((-0.000002)*I382^3+0.00032*I382^2+(-0.0021)*I382)+J$1*((-0.000002)*J382^3+0.00032*J382^2+(-0.0021)*J382)+H$1*((-0.000002)*H382^3+0.00032*H382^2+(-0.0021)*H382))*(MAX(0.05,MIN(1,(2*J382+I382)/120)*MIN(1,I382/10)*MIN(1,J382/10)))</f>
        <v/>
      </c>
      <c r="Z382">
        <f>U382*J$2+V382*O$2+W382*H$2</f>
        <v/>
      </c>
      <c r="AA382">
        <f>IF(AND(J382&gt;50,I382+J382&gt;75),"SP",IF(2*I382+J382&gt;120,"RP","CRAP"))</f>
        <v/>
      </c>
    </row>
    <row r="383" ht="13.5" customHeight="1" s="27" thickBot="1">
      <c r="A383">
        <f>(V383*V$2+W383*W$2+X383*X$2)*100/(V$4*V$2+W$4*W$2+X$4*X$2)</f>
        <v/>
      </c>
      <c r="B383" s="18" t="n"/>
      <c r="C383" s="11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>
        <f>K$1*(0.000001*K383^3)+L$1*((-0.000002)*L383^3+0.00032*L383^2+(-0.0021)*L383)+M$1*((-0.000002)*M383^3+0.00032*M383^2+(-0.0021)*M383)+N$1*((-0.000002)*N383^3+0.00032*N383^2+(-0.0021)*N383)+O$1*((-0.000002)*O383^3+0.00032*O383^2+(-0.0021)*O383)</f>
        <v/>
      </c>
      <c r="W383">
        <f>P$1*((-0.000002)*P383^3+0.00032*P383^2+(-0.0021)*P383)+Q$1*((-0.000002)*Q383^3+0.00032*Q383^2+(-0.0021)*Q383)+R$1*((-0.000002)*R383^3+0.00032*R383^2+(-0.0021)*R383)+S$1*((-0.000002)*S383^3+0.00032*S383^2+(-0.0021)*S383)+T$1*((-0.000002)*T383^3+0.00032*T383^2+(-0.0021)*T383)</f>
        <v/>
      </c>
      <c r="X383">
        <f>(I$1*((-0.000002)*I383^3+0.00032*I383^2+(-0.0021)*I383)+J$1*((-0.000002)*J383^3+0.00032*J383^2+(-0.0021)*J383)+H$1*((-0.000002)*H383^3+0.00032*H383^2+(-0.0021)*H383))*(MAX(0.05,MIN(1,(2*J383+I383)/120)*MIN(1,I383/10)*MIN(1,J383/10)))</f>
        <v/>
      </c>
      <c r="Y383">
        <f>(I$1*((-0.000002)*I383^3+0.00032*I383^2+(-0.0021)*I383)+J$1*((-0.000002)*J383^3+0.00032*J383^2+(-0.0021)*J383)+H$1*((-0.000002)*H383^3+0.00032*H383^2+(-0.0021)*H383))*(MAX(0.05,MIN(1,(2*J383+I383)/120)*MIN(1,I383/10)*MIN(1,J383/10)))</f>
        <v/>
      </c>
      <c r="Z383">
        <f>U383*J$2+V383*O$2+W383*H$2</f>
        <v/>
      </c>
      <c r="AA383">
        <f>IF(AND(J383&gt;50,I383+J383&gt;75),"SP",IF(2*I383+J383&gt;120,"RP","CRAP"))</f>
        <v/>
      </c>
    </row>
    <row r="384" ht="13.5" customHeight="1" s="27" thickBot="1">
      <c r="A384">
        <f>(V384*V$2+W384*W$2+X384*X$2)*100/(V$4*V$2+W$4*W$2+X$4*X$2)</f>
        <v/>
      </c>
      <c r="B384" s="16" t="n"/>
      <c r="C384" s="10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>
        <f>K$1*(0.000001*K384^3)+L$1*((-0.000002)*L384^3+0.00032*L384^2+(-0.0021)*L384)+M$1*((-0.000002)*M384^3+0.00032*M384^2+(-0.0021)*M384)+N$1*((-0.000002)*N384^3+0.00032*N384^2+(-0.0021)*N384)+O$1*((-0.000002)*O384^3+0.00032*O384^2+(-0.0021)*O384)</f>
        <v/>
      </c>
      <c r="W384">
        <f>P$1*((-0.000002)*P384^3+0.00032*P384^2+(-0.0021)*P384)+Q$1*((-0.000002)*Q384^3+0.00032*Q384^2+(-0.0021)*Q384)+R$1*((-0.000002)*R384^3+0.00032*R384^2+(-0.0021)*R384)+S$1*((-0.000002)*S384^3+0.00032*S384^2+(-0.0021)*S384)+T$1*((-0.000002)*T384^3+0.00032*T384^2+(-0.0021)*T384)</f>
        <v/>
      </c>
      <c r="X384">
        <f>(I$1*((-0.000002)*I384^3+0.00032*I384^2+(-0.0021)*I384)+J$1*((-0.000002)*J384^3+0.00032*J384^2+(-0.0021)*J384)+H$1*((-0.000002)*H384^3+0.00032*H384^2+(-0.0021)*H384))*(MAX(0.05,MIN(1,(2*J384+I384)/120)*MIN(1,I384/10)*MIN(1,J384/10)))</f>
        <v/>
      </c>
      <c r="Y384">
        <f>(I$1*((-0.000002)*I384^3+0.00032*I384^2+(-0.0021)*I384)+J$1*((-0.000002)*J384^3+0.00032*J384^2+(-0.0021)*J384)+H$1*((-0.000002)*H384^3+0.00032*H384^2+(-0.0021)*H384))*(MAX(0.05,MIN(1,(2*J384+I384)/120)*MIN(1,I384/10)*MIN(1,J384/10)))</f>
        <v/>
      </c>
      <c r="Z384">
        <f>U384*J$2+V384*O$2+W384*H$2</f>
        <v/>
      </c>
      <c r="AA384">
        <f>IF(AND(J384&gt;50,I384+J384&gt;75),"SP",IF(2*I384+J384&gt;120,"RP","CRAP"))</f>
        <v/>
      </c>
    </row>
    <row r="385" ht="13.5" customHeight="1" s="27" thickBot="1">
      <c r="A385">
        <f>(V385*V$2+W385*W$2+X385*X$2)*100/(V$4*V$2+W$4*W$2+X$4*X$2)</f>
        <v/>
      </c>
      <c r="B385" s="18" t="n"/>
      <c r="C385" s="11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>
        <f>K$1*(0.000001*K385^3)+L$1*((-0.000002)*L385^3+0.00032*L385^2+(-0.0021)*L385)+M$1*((-0.000002)*M385^3+0.00032*M385^2+(-0.0021)*M385)+N$1*((-0.000002)*N385^3+0.00032*N385^2+(-0.0021)*N385)+O$1*((-0.000002)*O385^3+0.00032*O385^2+(-0.0021)*O385)</f>
        <v/>
      </c>
      <c r="W385">
        <f>P$1*((-0.000002)*P385^3+0.00032*P385^2+(-0.0021)*P385)+Q$1*((-0.000002)*Q385^3+0.00032*Q385^2+(-0.0021)*Q385)+R$1*((-0.000002)*R385^3+0.00032*R385^2+(-0.0021)*R385)+S$1*((-0.000002)*S385^3+0.00032*S385^2+(-0.0021)*S385)+T$1*((-0.000002)*T385^3+0.00032*T385^2+(-0.0021)*T385)</f>
        <v/>
      </c>
      <c r="X385">
        <f>(I$1*((-0.000002)*I385^3+0.00032*I385^2+(-0.0021)*I385)+J$1*((-0.000002)*J385^3+0.00032*J385^2+(-0.0021)*J385)+H$1*((-0.000002)*H385^3+0.00032*H385^2+(-0.0021)*H385))*(MAX(0.05,MIN(1,(2*J385+I385)/120)*MIN(1,I385/10)*MIN(1,J385/10)))</f>
        <v/>
      </c>
      <c r="Y385">
        <f>(I$1*((-0.000002)*I385^3+0.00032*I385^2+(-0.0021)*I385)+J$1*((-0.000002)*J385^3+0.00032*J385^2+(-0.0021)*J385)+H$1*((-0.000002)*H385^3+0.00032*H385^2+(-0.0021)*H385))*(MAX(0.05,MIN(1,(2*J385+I385)/120)*MIN(1,I385/10)*MIN(1,J385/10)))</f>
        <v/>
      </c>
      <c r="Z385">
        <f>U385*J$2+V385*O$2+W385*H$2</f>
        <v/>
      </c>
      <c r="AA385">
        <f>IF(AND(J385&gt;50,I385+J385&gt;75),"SP",IF(2*I385+J385&gt;120,"RP","CRAP"))</f>
        <v/>
      </c>
    </row>
    <row r="386" ht="13.5" customHeight="1" s="27" thickBot="1">
      <c r="A386">
        <f>(V386*V$2+W386*W$2+X386*X$2)*100/(V$4*V$2+W$4*W$2+X$4*X$2)</f>
        <v/>
      </c>
      <c r="B386" s="16" t="n"/>
      <c r="C386" s="10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>
        <f>K$1*(0.000001*K386^3)+L$1*((-0.000002)*L386^3+0.00032*L386^2+(-0.0021)*L386)+M$1*((-0.000002)*M386^3+0.00032*M386^2+(-0.0021)*M386)+N$1*((-0.000002)*N386^3+0.00032*N386^2+(-0.0021)*N386)+O$1*((-0.000002)*O386^3+0.00032*O386^2+(-0.0021)*O386)</f>
        <v/>
      </c>
      <c r="W386">
        <f>P$1*((-0.000002)*P386^3+0.00032*P386^2+(-0.0021)*P386)+Q$1*((-0.000002)*Q386^3+0.00032*Q386^2+(-0.0021)*Q386)+R$1*((-0.000002)*R386^3+0.00032*R386^2+(-0.0021)*R386)+S$1*((-0.000002)*S386^3+0.00032*S386^2+(-0.0021)*S386)+T$1*((-0.000002)*T386^3+0.00032*T386^2+(-0.0021)*T386)</f>
        <v/>
      </c>
      <c r="X386">
        <f>(I$1*((-0.000002)*I386^3+0.00032*I386^2+(-0.0021)*I386)+J$1*((-0.000002)*J386^3+0.00032*J386^2+(-0.0021)*J386)+H$1*((-0.000002)*H386^3+0.00032*H386^2+(-0.0021)*H386))*(MAX(0.05,MIN(1,(2*J386+I386)/120)*MIN(1,I386/10)*MIN(1,J386/10)))</f>
        <v/>
      </c>
      <c r="Y386">
        <f>(I$1*((-0.000002)*I386^3+0.00032*I386^2+(-0.0021)*I386)+J$1*((-0.000002)*J386^3+0.00032*J386^2+(-0.0021)*J386)+H$1*((-0.000002)*H386^3+0.00032*H386^2+(-0.0021)*H386))*(MAX(0.05,MIN(1,(2*J386+I386)/120)*MIN(1,I386/10)*MIN(1,J386/10)))</f>
        <v/>
      </c>
      <c r="Z386">
        <f>U386*J$2+V386*O$2+W386*H$2</f>
        <v/>
      </c>
      <c r="AA386">
        <f>IF(AND(J386&gt;50,I386+J386&gt;75),"SP",IF(2*I386+J386&gt;120,"RP","CRAP"))</f>
        <v/>
      </c>
    </row>
    <row r="387" ht="13.5" customHeight="1" s="27" thickBot="1">
      <c r="A387">
        <f>(V387*V$2+W387*W$2+X387*X$2)*100/(V$4*V$2+W$4*W$2+X$4*X$2)</f>
        <v/>
      </c>
      <c r="B387" s="18" t="n"/>
      <c r="C387" s="11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>
        <f>K$1*(0.000001*K387^3)+L$1*((-0.000002)*L387^3+0.00032*L387^2+(-0.0021)*L387)+M$1*((-0.000002)*M387^3+0.00032*M387^2+(-0.0021)*M387)+N$1*((-0.000002)*N387^3+0.00032*N387^2+(-0.0021)*N387)+O$1*((-0.000002)*O387^3+0.00032*O387^2+(-0.0021)*O387)</f>
        <v/>
      </c>
      <c r="W387">
        <f>P$1*((-0.000002)*P387^3+0.00032*P387^2+(-0.0021)*P387)+Q$1*((-0.000002)*Q387^3+0.00032*Q387^2+(-0.0021)*Q387)+R$1*((-0.000002)*R387^3+0.00032*R387^2+(-0.0021)*R387)+S$1*((-0.000002)*S387^3+0.00032*S387^2+(-0.0021)*S387)+T$1*((-0.000002)*T387^3+0.00032*T387^2+(-0.0021)*T387)</f>
        <v/>
      </c>
      <c r="X387">
        <f>(I$1*((-0.000002)*I387^3+0.00032*I387^2+(-0.0021)*I387)+J$1*((-0.000002)*J387^3+0.00032*J387^2+(-0.0021)*J387)+H$1*((-0.000002)*H387^3+0.00032*H387^2+(-0.0021)*H387))*(MAX(0.05,MIN(1,(2*J387+I387)/120)*MIN(1,I387/10)*MIN(1,J387/10)))</f>
        <v/>
      </c>
      <c r="Y387">
        <f>(I$1*((-0.000002)*I387^3+0.00032*I387^2+(-0.0021)*I387)+J$1*((-0.000002)*J387^3+0.00032*J387^2+(-0.0021)*J387)+H$1*((-0.000002)*H387^3+0.00032*H387^2+(-0.0021)*H387))*(MAX(0.05,MIN(1,(2*J387+I387)/120)*MIN(1,I387/10)*MIN(1,J387/10)))</f>
        <v/>
      </c>
      <c r="Z387">
        <f>U387*J$2+V387*O$2+W387*H$2</f>
        <v/>
      </c>
      <c r="AA387">
        <f>IF(AND(J387&gt;50,I387+J387&gt;75),"SP",IF(2*I387+J387&gt;120,"RP","CRAP"))</f>
        <v/>
      </c>
    </row>
    <row r="388" ht="13.5" customHeight="1" s="27" thickBot="1">
      <c r="A388">
        <f>(V388*V$2+W388*W$2+X388*X$2)*100/(V$4*V$2+W$4*W$2+X$4*X$2)</f>
        <v/>
      </c>
      <c r="B388" s="16" t="n"/>
      <c r="C388" s="10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>
        <f>K$1*(0.000001*K388^3)+L$1*((-0.000002)*L388^3+0.00032*L388^2+(-0.0021)*L388)+M$1*((-0.000002)*M388^3+0.00032*M388^2+(-0.0021)*M388)+N$1*((-0.000002)*N388^3+0.00032*N388^2+(-0.0021)*N388)+O$1*((-0.000002)*O388^3+0.00032*O388^2+(-0.0021)*O388)</f>
        <v/>
      </c>
      <c r="W388">
        <f>P$1*((-0.000002)*P388^3+0.00032*P388^2+(-0.0021)*P388)+Q$1*((-0.000002)*Q388^3+0.00032*Q388^2+(-0.0021)*Q388)+R$1*((-0.000002)*R388^3+0.00032*R388^2+(-0.0021)*R388)+S$1*((-0.000002)*S388^3+0.00032*S388^2+(-0.0021)*S388)+T$1*((-0.000002)*T388^3+0.00032*T388^2+(-0.0021)*T388)</f>
        <v/>
      </c>
      <c r="X388">
        <f>(I$1*((-0.000002)*I388^3+0.00032*I388^2+(-0.0021)*I388)+J$1*((-0.000002)*J388^3+0.00032*J388^2+(-0.0021)*J388)+H$1*((-0.000002)*H388^3+0.00032*H388^2+(-0.0021)*H388))*(MAX(0.05,MIN(1,(2*J388+I388)/120)*MIN(1,I388/10)*MIN(1,J388/10)))</f>
        <v/>
      </c>
      <c r="Y388">
        <f>(I$1*((-0.000002)*I388^3+0.00032*I388^2+(-0.0021)*I388)+J$1*((-0.000002)*J388^3+0.00032*J388^2+(-0.0021)*J388)+H$1*((-0.000002)*H388^3+0.00032*H388^2+(-0.0021)*H388))*(MAX(0.05,MIN(1,(2*J388+I388)/120)*MIN(1,I388/10)*MIN(1,J388/10)))</f>
        <v/>
      </c>
      <c r="Z388">
        <f>U388*J$2+V388*O$2+W388*H$2</f>
        <v/>
      </c>
      <c r="AA388">
        <f>IF(AND(J388&gt;50,I388+J388&gt;75),"SP",IF(2*I388+J388&gt;120,"RP","CRAP"))</f>
        <v/>
      </c>
    </row>
    <row r="389" ht="13.5" customHeight="1" s="27" thickBot="1">
      <c r="A389">
        <f>(V389*V$2+W389*W$2+X389*X$2)*100/(V$4*V$2+W$4*W$2+X$4*X$2)</f>
        <v/>
      </c>
      <c r="B389" s="18" t="n"/>
      <c r="C389" s="11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>
        <f>K$1*(0.000001*K389^3)+L$1*((-0.000002)*L389^3+0.00032*L389^2+(-0.0021)*L389)+M$1*((-0.000002)*M389^3+0.00032*M389^2+(-0.0021)*M389)+N$1*((-0.000002)*N389^3+0.00032*N389^2+(-0.0021)*N389)+O$1*((-0.000002)*O389^3+0.00032*O389^2+(-0.0021)*O389)</f>
        <v/>
      </c>
      <c r="W389">
        <f>P$1*((-0.000002)*P389^3+0.00032*P389^2+(-0.0021)*P389)+Q$1*((-0.000002)*Q389^3+0.00032*Q389^2+(-0.0021)*Q389)+R$1*((-0.000002)*R389^3+0.00032*R389^2+(-0.0021)*R389)+S$1*((-0.000002)*S389^3+0.00032*S389^2+(-0.0021)*S389)+T$1*((-0.000002)*T389^3+0.00032*T389^2+(-0.0021)*T389)</f>
        <v/>
      </c>
      <c r="X389">
        <f>(I$1*((-0.000002)*I389^3+0.00032*I389^2+(-0.0021)*I389)+J$1*((-0.000002)*J389^3+0.00032*J389^2+(-0.0021)*J389)+H$1*((-0.000002)*H389^3+0.00032*H389^2+(-0.0021)*H389))*(MAX(0.05,MIN(1,(2*J389+I389)/120)*MIN(1,I389/10)*MIN(1,J389/10)))</f>
        <v/>
      </c>
      <c r="Y389">
        <f>(I$1*((-0.000002)*I389^3+0.00032*I389^2+(-0.0021)*I389)+J$1*((-0.000002)*J389^3+0.00032*J389^2+(-0.0021)*J389)+H$1*((-0.000002)*H389^3+0.00032*H389^2+(-0.0021)*H389))*(MAX(0.05,MIN(1,(2*J389+I389)/120)*MIN(1,I389/10)*MIN(1,J389/10)))</f>
        <v/>
      </c>
      <c r="Z389">
        <f>U389*J$2+V389*O$2+W389*H$2</f>
        <v/>
      </c>
      <c r="AA389">
        <f>IF(AND(J389&gt;50,I389+J389&gt;75),"SP",IF(2*I389+J389&gt;120,"RP","CRAP"))</f>
        <v/>
      </c>
    </row>
    <row r="390" ht="13.5" customHeight="1" s="27" thickBot="1">
      <c r="A390">
        <f>(V390*V$2+W390*W$2+X390*X$2)*100/(V$4*V$2+W$4*W$2+X$4*X$2)</f>
        <v/>
      </c>
      <c r="B390" s="16" t="n"/>
      <c r="C390" s="10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>
        <f>K$1*(0.000001*K390^3)+L$1*((-0.000002)*L390^3+0.00032*L390^2+(-0.0021)*L390)+M$1*((-0.000002)*M390^3+0.00032*M390^2+(-0.0021)*M390)+N$1*((-0.000002)*N390^3+0.00032*N390^2+(-0.0021)*N390)+O$1*((-0.000002)*O390^3+0.00032*O390^2+(-0.0021)*O390)</f>
        <v/>
      </c>
      <c r="W390">
        <f>P$1*((-0.000002)*P390^3+0.00032*P390^2+(-0.0021)*P390)+Q$1*((-0.000002)*Q390^3+0.00032*Q390^2+(-0.0021)*Q390)+R$1*((-0.000002)*R390^3+0.00032*R390^2+(-0.0021)*R390)+S$1*((-0.000002)*S390^3+0.00032*S390^2+(-0.0021)*S390)+T$1*((-0.000002)*T390^3+0.00032*T390^2+(-0.0021)*T390)</f>
        <v/>
      </c>
      <c r="X390">
        <f>(I$1*((-0.000002)*I390^3+0.00032*I390^2+(-0.0021)*I390)+J$1*((-0.000002)*J390^3+0.00032*J390^2+(-0.0021)*J390)+H$1*((-0.000002)*H390^3+0.00032*H390^2+(-0.0021)*H390))*(MAX(0.05,MIN(1,(2*J390+I390)/120)*MIN(1,I390/10)*MIN(1,J390/10)))</f>
        <v/>
      </c>
      <c r="Y390">
        <f>(I$1*((-0.000002)*I390^3+0.00032*I390^2+(-0.0021)*I390)+J$1*((-0.000002)*J390^3+0.00032*J390^2+(-0.0021)*J390)+H$1*((-0.000002)*H390^3+0.00032*H390^2+(-0.0021)*H390))*(MAX(0.05,MIN(1,(2*J390+I390)/120)*MIN(1,I390/10)*MIN(1,J390/10)))</f>
        <v/>
      </c>
      <c r="Z390">
        <f>U390*J$2+V390*O$2+W390*H$2</f>
        <v/>
      </c>
      <c r="AA390">
        <f>IF(AND(J390&gt;50,I390+J390&gt;75),"SP",IF(2*I390+J390&gt;120,"RP","CRAP"))</f>
        <v/>
      </c>
    </row>
    <row r="391" ht="13.5" customHeight="1" s="27" thickBot="1">
      <c r="A391">
        <f>(V391*V$2+W391*W$2+X391*X$2)*100/(V$4*V$2+W$4*W$2+X$4*X$2)</f>
        <v/>
      </c>
      <c r="B391" s="18" t="n"/>
      <c r="C391" s="11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>
        <f>K$1*(0.000001*K391^3)+L$1*((-0.000002)*L391^3+0.00032*L391^2+(-0.0021)*L391)+M$1*((-0.000002)*M391^3+0.00032*M391^2+(-0.0021)*M391)+N$1*((-0.000002)*N391^3+0.00032*N391^2+(-0.0021)*N391)+O$1*((-0.000002)*O391^3+0.00032*O391^2+(-0.0021)*O391)</f>
        <v/>
      </c>
      <c r="W391">
        <f>P$1*((-0.000002)*P391^3+0.00032*P391^2+(-0.0021)*P391)+Q$1*((-0.000002)*Q391^3+0.00032*Q391^2+(-0.0021)*Q391)+R$1*((-0.000002)*R391^3+0.00032*R391^2+(-0.0021)*R391)+S$1*((-0.000002)*S391^3+0.00032*S391^2+(-0.0021)*S391)+T$1*((-0.000002)*T391^3+0.00032*T391^2+(-0.0021)*T391)</f>
        <v/>
      </c>
      <c r="X391">
        <f>(I$1*((-0.000002)*I391^3+0.00032*I391^2+(-0.0021)*I391)+J$1*((-0.000002)*J391^3+0.00032*J391^2+(-0.0021)*J391)+H$1*((-0.000002)*H391^3+0.00032*H391^2+(-0.0021)*H391))*(MAX(0.05,MIN(1,(2*J391+I391)/120)*MIN(1,I391/10)*MIN(1,J391/10)))</f>
        <v/>
      </c>
      <c r="Y391">
        <f>(I$1*((-0.000002)*I391^3+0.00032*I391^2+(-0.0021)*I391)+J$1*((-0.000002)*J391^3+0.00032*J391^2+(-0.0021)*J391)+H$1*((-0.000002)*H391^3+0.00032*H391^2+(-0.0021)*H391))*(MAX(0.05,MIN(1,(2*J391+I391)/120)*MIN(1,I391/10)*MIN(1,J391/10)))</f>
        <v/>
      </c>
      <c r="Z391">
        <f>U391*J$2+V391*O$2+W391*H$2</f>
        <v/>
      </c>
      <c r="AA391">
        <f>IF(AND(J391&gt;50,I391+J391&gt;75),"SP",IF(2*I391+J391&gt;120,"RP","CRAP"))</f>
        <v/>
      </c>
    </row>
    <row r="392" ht="13.5" customHeight="1" s="27" thickBot="1">
      <c r="A392">
        <f>(V392*V$2+W392*W$2+X392*X$2)*100/(V$4*V$2+W$4*W$2+X$4*X$2)</f>
        <v/>
      </c>
      <c r="B392" s="16" t="n"/>
      <c r="C392" s="10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>
        <f>K$1*(0.000001*K392^3)+L$1*((-0.000002)*L392^3+0.00032*L392^2+(-0.0021)*L392)+M$1*((-0.000002)*M392^3+0.00032*M392^2+(-0.0021)*M392)+N$1*((-0.000002)*N392^3+0.00032*N392^2+(-0.0021)*N392)+O$1*((-0.000002)*O392^3+0.00032*O392^2+(-0.0021)*O392)</f>
        <v/>
      </c>
      <c r="W392">
        <f>P$1*((-0.000002)*P392^3+0.00032*P392^2+(-0.0021)*P392)+Q$1*((-0.000002)*Q392^3+0.00032*Q392^2+(-0.0021)*Q392)+R$1*((-0.000002)*R392^3+0.00032*R392^2+(-0.0021)*R392)+S$1*((-0.000002)*S392^3+0.00032*S392^2+(-0.0021)*S392)+T$1*((-0.000002)*T392^3+0.00032*T392^2+(-0.0021)*T392)</f>
        <v/>
      </c>
      <c r="X392">
        <f>(I$1*((-0.000002)*I392^3+0.00032*I392^2+(-0.0021)*I392)+J$1*((-0.000002)*J392^3+0.00032*J392^2+(-0.0021)*J392)+H$1*((-0.000002)*H392^3+0.00032*H392^2+(-0.0021)*H392))*(MAX(0.05,MIN(1,(2*J392+I392)/120)*MIN(1,I392/10)*MIN(1,J392/10)))</f>
        <v/>
      </c>
      <c r="Y392">
        <f>(I$1*((-0.000002)*I392^3+0.00032*I392^2+(-0.0021)*I392)+J$1*((-0.000002)*J392^3+0.00032*J392^2+(-0.0021)*J392)+H$1*((-0.000002)*H392^3+0.00032*H392^2+(-0.0021)*H392))*(MAX(0.05,MIN(1,(2*J392+I392)/120)*MIN(1,I392/10)*MIN(1,J392/10)))</f>
        <v/>
      </c>
      <c r="Z392">
        <f>U392*J$2+V392*O$2+W392*H$2</f>
        <v/>
      </c>
      <c r="AA392">
        <f>IF(AND(J392&gt;50,I392+J392&gt;75),"SP",IF(2*I392+J392&gt;120,"RP","CRAP"))</f>
        <v/>
      </c>
    </row>
    <row r="393" ht="13.5" customHeight="1" s="27" thickBot="1">
      <c r="A393">
        <f>(V393*V$2+W393*W$2+X393*X$2)*100/(V$4*V$2+W$4*W$2+X$4*X$2)</f>
        <v/>
      </c>
      <c r="B393" s="18" t="n"/>
      <c r="C393" s="11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>
        <f>K$1*(0.000001*K393^3)+L$1*((-0.000002)*L393^3+0.00032*L393^2+(-0.0021)*L393)+M$1*((-0.000002)*M393^3+0.00032*M393^2+(-0.0021)*M393)+N$1*((-0.000002)*N393^3+0.00032*N393^2+(-0.0021)*N393)+O$1*((-0.000002)*O393^3+0.00032*O393^2+(-0.0021)*O393)</f>
        <v/>
      </c>
      <c r="W393">
        <f>P$1*((-0.000002)*P393^3+0.00032*P393^2+(-0.0021)*P393)+Q$1*((-0.000002)*Q393^3+0.00032*Q393^2+(-0.0021)*Q393)+R$1*((-0.000002)*R393^3+0.00032*R393^2+(-0.0021)*R393)+S$1*((-0.000002)*S393^3+0.00032*S393^2+(-0.0021)*S393)+T$1*((-0.000002)*T393^3+0.00032*T393^2+(-0.0021)*T393)</f>
        <v/>
      </c>
      <c r="X393">
        <f>(I$1*((-0.000002)*I393^3+0.00032*I393^2+(-0.0021)*I393)+J$1*((-0.000002)*J393^3+0.00032*J393^2+(-0.0021)*J393)+H$1*((-0.000002)*H393^3+0.00032*H393^2+(-0.0021)*H393))*(MAX(0.05,MIN(1,(2*J393+I393)/120)*MIN(1,I393/10)*MIN(1,J393/10)))</f>
        <v/>
      </c>
      <c r="Y393">
        <f>(I$1*((-0.000002)*I393^3+0.00032*I393^2+(-0.0021)*I393)+J$1*((-0.000002)*J393^3+0.00032*J393^2+(-0.0021)*J393)+H$1*((-0.000002)*H393^3+0.00032*H393^2+(-0.0021)*H393))*(MAX(0.05,MIN(1,(2*J393+I393)/120)*MIN(1,I393/10)*MIN(1,J393/10)))</f>
        <v/>
      </c>
      <c r="Z393">
        <f>U393*J$2+V393*O$2+W393*H$2</f>
        <v/>
      </c>
      <c r="AA393">
        <f>IF(AND(J393&gt;50,I393+J393&gt;75),"SP",IF(2*I393+J393&gt;120,"RP","CRAP"))</f>
        <v/>
      </c>
    </row>
    <row r="394" ht="13.5" customHeight="1" s="27" thickBot="1">
      <c r="A394">
        <f>(V394*V$2+W394*W$2+X394*X$2)*100/(V$4*V$2+W$4*W$2+X$4*X$2)</f>
        <v/>
      </c>
      <c r="B394" s="16" t="n"/>
      <c r="C394" s="10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>
        <f>K$1*(0.000001*K394^3)+L$1*((-0.000002)*L394^3+0.00032*L394^2+(-0.0021)*L394)+M$1*((-0.000002)*M394^3+0.00032*M394^2+(-0.0021)*M394)+N$1*((-0.000002)*N394^3+0.00032*N394^2+(-0.0021)*N394)+O$1*((-0.000002)*O394^3+0.00032*O394^2+(-0.0021)*O394)</f>
        <v/>
      </c>
      <c r="W394">
        <f>P$1*((-0.000002)*P394^3+0.00032*P394^2+(-0.0021)*P394)+Q$1*((-0.000002)*Q394^3+0.00032*Q394^2+(-0.0021)*Q394)+R$1*((-0.000002)*R394^3+0.00032*R394^2+(-0.0021)*R394)+S$1*((-0.000002)*S394^3+0.00032*S394^2+(-0.0021)*S394)+T$1*((-0.000002)*T394^3+0.00032*T394^2+(-0.0021)*T394)</f>
        <v/>
      </c>
      <c r="X394">
        <f>(I$1*((-0.000002)*I394^3+0.00032*I394^2+(-0.0021)*I394)+J$1*((-0.000002)*J394^3+0.00032*J394^2+(-0.0021)*J394)+H$1*((-0.000002)*H394^3+0.00032*H394^2+(-0.0021)*H394))*(MAX(0.05,MIN(1,(2*J394+I394)/120)*MIN(1,I394/10)*MIN(1,J394/10)))</f>
        <v/>
      </c>
      <c r="Y394">
        <f>(I$1*((-0.000002)*I394^3+0.00032*I394^2+(-0.0021)*I394)+J$1*((-0.000002)*J394^3+0.00032*J394^2+(-0.0021)*J394)+H$1*((-0.000002)*H394^3+0.00032*H394^2+(-0.0021)*H394))*(MAX(0.05,MIN(1,(2*J394+I394)/120)*MIN(1,I394/10)*MIN(1,J394/10)))</f>
        <v/>
      </c>
      <c r="Z394">
        <f>U394*J$2+V394*O$2+W394*H$2</f>
        <v/>
      </c>
      <c r="AA394">
        <f>IF(AND(J394&gt;50,I394+J394&gt;75),"SP",IF(2*I394+J394&gt;120,"RP","CRAP"))</f>
        <v/>
      </c>
    </row>
    <row r="395" ht="13.5" customHeight="1" s="27" thickBot="1">
      <c r="A395">
        <f>(V395*V$2+W395*W$2+X395*X$2)*100/(V$4*V$2+W$4*W$2+X$4*X$2)</f>
        <v/>
      </c>
      <c r="B395" s="18" t="n"/>
      <c r="C395" s="11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>
        <f>K$1*(0.000001*K395^3)+L$1*((-0.000002)*L395^3+0.00032*L395^2+(-0.0021)*L395)+M$1*((-0.000002)*M395^3+0.00032*M395^2+(-0.0021)*M395)+N$1*((-0.000002)*N395^3+0.00032*N395^2+(-0.0021)*N395)+O$1*((-0.000002)*O395^3+0.00032*O395^2+(-0.0021)*O395)</f>
        <v/>
      </c>
      <c r="W395">
        <f>P$1*((-0.000002)*P395^3+0.00032*P395^2+(-0.0021)*P395)+Q$1*((-0.000002)*Q395^3+0.00032*Q395^2+(-0.0021)*Q395)+R$1*((-0.000002)*R395^3+0.00032*R395^2+(-0.0021)*R395)+S$1*((-0.000002)*S395^3+0.00032*S395^2+(-0.0021)*S395)+T$1*((-0.000002)*T395^3+0.00032*T395^2+(-0.0021)*T395)</f>
        <v/>
      </c>
      <c r="X395">
        <f>(I$1*((-0.000002)*I395^3+0.00032*I395^2+(-0.0021)*I395)+J$1*((-0.000002)*J395^3+0.00032*J395^2+(-0.0021)*J395)+H$1*((-0.000002)*H395^3+0.00032*H395^2+(-0.0021)*H395))*(MAX(0.05,MIN(1,(2*J395+I395)/120)*MIN(1,I395/10)*MIN(1,J395/10)))</f>
        <v/>
      </c>
      <c r="Y395">
        <f>(I$1*((-0.000002)*I395^3+0.00032*I395^2+(-0.0021)*I395)+J$1*((-0.000002)*J395^3+0.00032*J395^2+(-0.0021)*J395)+H$1*((-0.000002)*H395^3+0.00032*H395^2+(-0.0021)*H395))*(MAX(0.05,MIN(1,(2*J395+I395)/120)*MIN(1,I395/10)*MIN(1,J395/10)))</f>
        <v/>
      </c>
      <c r="Z395">
        <f>U395*J$2+V395*O$2+W395*H$2</f>
        <v/>
      </c>
      <c r="AA395">
        <f>IF(AND(J395&gt;50,I395+J395&gt;75),"SP",IF(2*I395+J395&gt;120,"RP","CRAP"))</f>
        <v/>
      </c>
    </row>
    <row r="396" ht="13.5" customHeight="1" s="27" thickBot="1">
      <c r="A396">
        <f>(V396*V$2+W396*W$2+X396*X$2)*100/(V$4*V$2+W$4*W$2+X$4*X$2)</f>
        <v/>
      </c>
      <c r="B396" s="16" t="n"/>
      <c r="C396" s="10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>
        <f>K$1*(0.000001*K396^3)+L$1*((-0.000002)*L396^3+0.00032*L396^2+(-0.0021)*L396)+M$1*((-0.000002)*M396^3+0.00032*M396^2+(-0.0021)*M396)+N$1*((-0.000002)*N396^3+0.00032*N396^2+(-0.0021)*N396)+O$1*((-0.000002)*O396^3+0.00032*O396^2+(-0.0021)*O396)</f>
        <v/>
      </c>
      <c r="W396">
        <f>P$1*((-0.000002)*P396^3+0.00032*P396^2+(-0.0021)*P396)+Q$1*((-0.000002)*Q396^3+0.00032*Q396^2+(-0.0021)*Q396)+R$1*((-0.000002)*R396^3+0.00032*R396^2+(-0.0021)*R396)+S$1*((-0.000002)*S396^3+0.00032*S396^2+(-0.0021)*S396)+T$1*((-0.000002)*T396^3+0.00032*T396^2+(-0.0021)*T396)</f>
        <v/>
      </c>
      <c r="X396">
        <f>(I$1*((-0.000002)*I396^3+0.00032*I396^2+(-0.0021)*I396)+J$1*((-0.000002)*J396^3+0.00032*J396^2+(-0.0021)*J396)+H$1*((-0.000002)*H396^3+0.00032*H396^2+(-0.0021)*H396))*(MAX(0.05,MIN(1,(2*J396+I396)/120)*MIN(1,I396/10)*MIN(1,J396/10)))</f>
        <v/>
      </c>
      <c r="Y396">
        <f>(I$1*((-0.000002)*I396^3+0.00032*I396^2+(-0.0021)*I396)+J$1*((-0.000002)*J396^3+0.00032*J396^2+(-0.0021)*J396)+H$1*((-0.000002)*H396^3+0.00032*H396^2+(-0.0021)*H396))*(MAX(0.05,MIN(1,(2*J396+I396)/120)*MIN(1,I396/10)*MIN(1,J396/10)))</f>
        <v/>
      </c>
      <c r="Z396">
        <f>U396*J$2+V396*O$2+W396*H$2</f>
        <v/>
      </c>
      <c r="AA396">
        <f>IF(AND(J396&gt;50,I396+J396&gt;75),"SP",IF(2*I396+J396&gt;120,"RP","CRAP"))</f>
        <v/>
      </c>
    </row>
    <row r="397" ht="13.5" customHeight="1" s="27" thickBot="1">
      <c r="A397">
        <f>(V397*V$2+W397*W$2+X397*X$2)*100/(V$4*V$2+W$4*W$2+X$4*X$2)</f>
        <v/>
      </c>
      <c r="B397" s="18" t="n"/>
      <c r="C397" s="11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>
        <f>K$1*(0.000001*K397^3)+L$1*((-0.000002)*L397^3+0.00032*L397^2+(-0.0021)*L397)+M$1*((-0.000002)*M397^3+0.00032*M397^2+(-0.0021)*M397)+N$1*((-0.000002)*N397^3+0.00032*N397^2+(-0.0021)*N397)+O$1*((-0.000002)*O397^3+0.00032*O397^2+(-0.0021)*O397)</f>
        <v/>
      </c>
      <c r="W397">
        <f>P$1*((-0.000002)*P397^3+0.00032*P397^2+(-0.0021)*P397)+Q$1*((-0.000002)*Q397^3+0.00032*Q397^2+(-0.0021)*Q397)+R$1*((-0.000002)*R397^3+0.00032*R397^2+(-0.0021)*R397)+S$1*((-0.000002)*S397^3+0.00032*S397^2+(-0.0021)*S397)+T$1*((-0.000002)*T397^3+0.00032*T397^2+(-0.0021)*T397)</f>
        <v/>
      </c>
      <c r="X397">
        <f>(I$1*((-0.000002)*I397^3+0.00032*I397^2+(-0.0021)*I397)+J$1*((-0.000002)*J397^3+0.00032*J397^2+(-0.0021)*J397)+H$1*((-0.000002)*H397^3+0.00032*H397^2+(-0.0021)*H397))*(MAX(0.05,MIN(1,(2*J397+I397)/120)*MIN(1,I397/10)*MIN(1,J397/10)))</f>
        <v/>
      </c>
      <c r="Y397">
        <f>(I$1*((-0.000002)*I397^3+0.00032*I397^2+(-0.0021)*I397)+J$1*((-0.000002)*J397^3+0.00032*J397^2+(-0.0021)*J397)+H$1*((-0.000002)*H397^3+0.00032*H397^2+(-0.0021)*H397))*(MAX(0.05,MIN(1,(2*J397+I397)/120)*MIN(1,I397/10)*MIN(1,J397/10)))</f>
        <v/>
      </c>
      <c r="Z397">
        <f>U397*J$2+V397*O$2+W397*H$2</f>
        <v/>
      </c>
      <c r="AA397">
        <f>IF(AND(J397&gt;50,I397+J397&gt;75),"SP",IF(2*I397+J397&gt;120,"RP","CRAP"))</f>
        <v/>
      </c>
    </row>
    <row r="398" ht="13.5" customHeight="1" s="27" thickBot="1">
      <c r="A398">
        <f>(V398*V$2+W398*W$2+X398*X$2)*100/(V$4*V$2+W$4*W$2+X$4*X$2)</f>
        <v/>
      </c>
      <c r="B398" s="16" t="n"/>
      <c r="C398" s="10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>
        <f>K$1*(0.000001*K398^3)+L$1*((-0.000002)*L398^3+0.00032*L398^2+(-0.0021)*L398)+M$1*((-0.000002)*M398^3+0.00032*M398^2+(-0.0021)*M398)+N$1*((-0.000002)*N398^3+0.00032*N398^2+(-0.0021)*N398)+O$1*((-0.000002)*O398^3+0.00032*O398^2+(-0.0021)*O398)</f>
        <v/>
      </c>
      <c r="W398">
        <f>P$1*((-0.000002)*P398^3+0.00032*P398^2+(-0.0021)*P398)+Q$1*((-0.000002)*Q398^3+0.00032*Q398^2+(-0.0021)*Q398)+R$1*((-0.000002)*R398^3+0.00032*R398^2+(-0.0021)*R398)+S$1*((-0.000002)*S398^3+0.00032*S398^2+(-0.0021)*S398)+T$1*((-0.000002)*T398^3+0.00032*T398^2+(-0.0021)*T398)</f>
        <v/>
      </c>
      <c r="X398">
        <f>(I$1*((-0.000002)*I398^3+0.00032*I398^2+(-0.0021)*I398)+J$1*((-0.000002)*J398^3+0.00032*J398^2+(-0.0021)*J398)+H$1*((-0.000002)*H398^3+0.00032*H398^2+(-0.0021)*H398))*(MAX(0.05,MIN(1,(2*J398+I398)/120)*MIN(1,I398/10)*MIN(1,J398/10)))</f>
        <v/>
      </c>
      <c r="Y398">
        <f>(I$1*((-0.000002)*I398^3+0.00032*I398^2+(-0.0021)*I398)+J$1*((-0.000002)*J398^3+0.00032*J398^2+(-0.0021)*J398)+H$1*((-0.000002)*H398^3+0.00032*H398^2+(-0.0021)*H398))*(MAX(0.05,MIN(1,(2*J398+I398)/120)*MIN(1,I398/10)*MIN(1,J398/10)))</f>
        <v/>
      </c>
      <c r="Z398">
        <f>U398*J$2+V398*O$2+W398*H$2</f>
        <v/>
      </c>
      <c r="AA398">
        <f>IF(AND(J398&gt;50,I398+J398&gt;75),"SP",IF(2*I398+J398&gt;120,"RP","CRAP"))</f>
        <v/>
      </c>
    </row>
    <row r="399" ht="13.5" customHeight="1" s="27" thickBot="1">
      <c r="A399">
        <f>(V399*V$2+W399*W$2+X399*X$2)*100/(V$4*V$2+W$4*W$2+X$4*X$2)</f>
        <v/>
      </c>
      <c r="B399" s="18" t="n"/>
      <c r="C399" s="11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>
        <f>K$1*(0.000001*K399^3)+L$1*((-0.000002)*L399^3+0.00032*L399^2+(-0.0021)*L399)+M$1*((-0.000002)*M399^3+0.00032*M399^2+(-0.0021)*M399)+N$1*((-0.000002)*N399^3+0.00032*N399^2+(-0.0021)*N399)+O$1*((-0.000002)*O399^3+0.00032*O399^2+(-0.0021)*O399)</f>
        <v/>
      </c>
      <c r="W399">
        <f>P$1*((-0.000002)*P399^3+0.00032*P399^2+(-0.0021)*P399)+Q$1*((-0.000002)*Q399^3+0.00032*Q399^2+(-0.0021)*Q399)+R$1*((-0.000002)*R399^3+0.00032*R399^2+(-0.0021)*R399)+S$1*((-0.000002)*S399^3+0.00032*S399^2+(-0.0021)*S399)+T$1*((-0.000002)*T399^3+0.00032*T399^2+(-0.0021)*T399)</f>
        <v/>
      </c>
      <c r="X399">
        <f>(I$1*((-0.000002)*I399^3+0.00032*I399^2+(-0.0021)*I399)+J$1*((-0.000002)*J399^3+0.00032*J399^2+(-0.0021)*J399)+H$1*((-0.000002)*H399^3+0.00032*H399^2+(-0.0021)*H399))*(MAX(0.05,MIN(1,(2*J399+I399)/120)*MIN(1,I399/10)*MIN(1,J399/10)))</f>
        <v/>
      </c>
      <c r="Y399">
        <f>(I$1*((-0.000002)*I399^3+0.00032*I399^2+(-0.0021)*I399)+J$1*((-0.000002)*J399^3+0.00032*J399^2+(-0.0021)*J399)+H$1*((-0.000002)*H399^3+0.00032*H399^2+(-0.0021)*H399))*(MAX(0.05,MIN(1,(2*J399+I399)/120)*MIN(1,I399/10)*MIN(1,J399/10)))</f>
        <v/>
      </c>
      <c r="Z399">
        <f>U399*J$2+V399*O$2+W399*H$2</f>
        <v/>
      </c>
      <c r="AA399">
        <f>IF(AND(J399&gt;50,I399+J399&gt;75),"SP",IF(2*I399+J399&gt;120,"RP","CRAP"))</f>
        <v/>
      </c>
    </row>
    <row r="400" ht="13.5" customHeight="1" s="27" thickBot="1">
      <c r="A400">
        <f>(V400*V$2+W400*W$2+X400*X$2)*100/(V$4*V$2+W$4*W$2+X$4*X$2)</f>
        <v/>
      </c>
      <c r="B400" s="16" t="n"/>
      <c r="C400" s="10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>
        <f>K$1*(0.000001*K400^3)+L$1*((-0.000002)*L400^3+0.00032*L400^2+(-0.0021)*L400)+M$1*((-0.000002)*M400^3+0.00032*M400^2+(-0.0021)*M400)+N$1*((-0.000002)*N400^3+0.00032*N400^2+(-0.0021)*N400)+O$1*((-0.000002)*O400^3+0.00032*O400^2+(-0.0021)*O400)</f>
        <v/>
      </c>
      <c r="W400">
        <f>P$1*((-0.000002)*P400^3+0.00032*P400^2+(-0.0021)*P400)+Q$1*((-0.000002)*Q400^3+0.00032*Q400^2+(-0.0021)*Q400)+R$1*((-0.000002)*R400^3+0.00032*R400^2+(-0.0021)*R400)+S$1*((-0.000002)*S400^3+0.00032*S400^2+(-0.0021)*S400)+T$1*((-0.000002)*T400^3+0.00032*T400^2+(-0.0021)*T400)</f>
        <v/>
      </c>
      <c r="X400">
        <f>(I$1*((-0.000002)*I400^3+0.00032*I400^2+(-0.0021)*I400)+J$1*((-0.000002)*J400^3+0.00032*J400^2+(-0.0021)*J400)+H$1*((-0.000002)*H400^3+0.00032*H400^2+(-0.0021)*H400))*(MAX(0.05,MIN(1,(2*J400+I400)/120)*MIN(1,I400/10)*MIN(1,J400/10)))</f>
        <v/>
      </c>
      <c r="Y400">
        <f>(I$1*((-0.000002)*I400^3+0.00032*I400^2+(-0.0021)*I400)+J$1*((-0.000002)*J400^3+0.00032*J400^2+(-0.0021)*J400)+H$1*((-0.000002)*H400^3+0.00032*H400^2+(-0.0021)*H400))*(MAX(0.05,MIN(1,(2*J400+I400)/120)*MIN(1,I400/10)*MIN(1,J400/10)))</f>
        <v/>
      </c>
      <c r="Z400">
        <f>U400*J$2+V400*O$2+W400*H$2</f>
        <v/>
      </c>
      <c r="AA400">
        <f>IF(AND(J400&gt;50,I400+J400&gt;75),"SP",IF(2*I400+J400&gt;120,"RP","CRAP"))</f>
        <v/>
      </c>
    </row>
    <row r="401" ht="13.5" customHeight="1" s="27" thickBot="1">
      <c r="A401">
        <f>(V401*V$2+W401*W$2+X401*X$2)*100/(V$4*V$2+W$4*W$2+X$4*X$2)</f>
        <v/>
      </c>
      <c r="B401" s="18" t="n"/>
      <c r="C401" s="11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>
        <f>K$1*(0.000001*K401^3)+L$1*((-0.000002)*L401^3+0.00032*L401^2+(-0.0021)*L401)+M$1*((-0.000002)*M401^3+0.00032*M401^2+(-0.0021)*M401)+N$1*((-0.000002)*N401^3+0.00032*N401^2+(-0.0021)*N401)+O$1*((-0.000002)*O401^3+0.00032*O401^2+(-0.0021)*O401)</f>
        <v/>
      </c>
      <c r="W401">
        <f>P$1*((-0.000002)*P401^3+0.00032*P401^2+(-0.0021)*P401)+Q$1*((-0.000002)*Q401^3+0.00032*Q401^2+(-0.0021)*Q401)+R$1*((-0.000002)*R401^3+0.00032*R401^2+(-0.0021)*R401)+S$1*((-0.000002)*S401^3+0.00032*S401^2+(-0.0021)*S401)+T$1*((-0.000002)*T401^3+0.00032*T401^2+(-0.0021)*T401)</f>
        <v/>
      </c>
      <c r="X401">
        <f>(I$1*((-0.000002)*I401^3+0.00032*I401^2+(-0.0021)*I401)+J$1*((-0.000002)*J401^3+0.00032*J401^2+(-0.0021)*J401)+H$1*((-0.000002)*H401^3+0.00032*H401^2+(-0.0021)*H401))*(MAX(0.05,MIN(1,(2*J401+I401)/120)*MIN(1,I401/10)*MIN(1,J401/10)))</f>
        <v/>
      </c>
      <c r="Y401">
        <f>(I$1*((-0.000002)*I401^3+0.00032*I401^2+(-0.0021)*I401)+J$1*((-0.000002)*J401^3+0.00032*J401^2+(-0.0021)*J401)+H$1*((-0.000002)*H401^3+0.00032*H401^2+(-0.0021)*H401))*(MAX(0.05,MIN(1,(2*J401+I401)/120)*MIN(1,I401/10)*MIN(1,J401/10)))</f>
        <v/>
      </c>
      <c r="Z401">
        <f>U401*J$2+V401*O$2+W401*H$2</f>
        <v/>
      </c>
      <c r="AA401">
        <f>IF(AND(J401&gt;50,I401+J401&gt;75),"SP",IF(2*I401+J401&gt;120,"RP","CRAP"))</f>
        <v/>
      </c>
    </row>
    <row r="402" ht="13.5" customHeight="1" s="27" thickBot="1">
      <c r="A402">
        <f>(V402*V$2+W402*W$2+X402*X$2)*100/(V$4*V$2+W$4*W$2+X$4*X$2)</f>
        <v/>
      </c>
      <c r="B402" s="16" t="n"/>
      <c r="C402" s="10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>
        <f>K$1*(0.000001*K402^3)+L$1*((-0.000002)*L402^3+0.00032*L402^2+(-0.0021)*L402)+M$1*((-0.000002)*M402^3+0.00032*M402^2+(-0.0021)*M402)+N$1*((-0.000002)*N402^3+0.00032*N402^2+(-0.0021)*N402)+O$1*((-0.000002)*O402^3+0.00032*O402^2+(-0.0021)*O402)</f>
        <v/>
      </c>
      <c r="W402">
        <f>P$1*((-0.000002)*P402^3+0.00032*P402^2+(-0.0021)*P402)+Q$1*((-0.000002)*Q402^3+0.00032*Q402^2+(-0.0021)*Q402)+R$1*((-0.000002)*R402^3+0.00032*R402^2+(-0.0021)*R402)+S$1*((-0.000002)*S402^3+0.00032*S402^2+(-0.0021)*S402)+T$1*((-0.000002)*T402^3+0.00032*T402^2+(-0.0021)*T402)</f>
        <v/>
      </c>
      <c r="X402">
        <f>(I$1*((-0.000002)*I402^3+0.00032*I402^2+(-0.0021)*I402)+J$1*((-0.000002)*J402^3+0.00032*J402^2+(-0.0021)*J402)+H$1*((-0.000002)*H402^3+0.00032*H402^2+(-0.0021)*H402))*(MAX(0.05,MIN(1,(2*J402+I402)/120)*MIN(1,I402/10)*MIN(1,J402/10)))</f>
        <v/>
      </c>
      <c r="Y402">
        <f>(I$1*((-0.000002)*I402^3+0.00032*I402^2+(-0.0021)*I402)+J$1*((-0.000002)*J402^3+0.00032*J402^2+(-0.0021)*J402)+H$1*((-0.000002)*H402^3+0.00032*H402^2+(-0.0021)*H402))*(MAX(0.05,MIN(1,(2*J402+I402)/120)*MIN(1,I402/10)*MIN(1,J402/10)))</f>
        <v/>
      </c>
      <c r="Z402">
        <f>U402*J$2+V402*O$2+W402*H$2</f>
        <v/>
      </c>
      <c r="AA402">
        <f>IF(AND(J402&gt;50,I402+J402&gt;75),"SP",IF(2*I402+J402&gt;120,"RP","CRAP"))</f>
        <v/>
      </c>
    </row>
    <row r="403" ht="13.5" customHeight="1" s="27" thickBot="1">
      <c r="A403">
        <f>(V403*V$2+W403*W$2+X403*X$2)*100/(V$4*V$2+W$4*W$2+X$4*X$2)</f>
        <v/>
      </c>
      <c r="B403" s="18" t="n"/>
      <c r="C403" s="11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>
        <f>K$1*(0.000001*K403^3)+L$1*((-0.000002)*L403^3+0.00032*L403^2+(-0.0021)*L403)+M$1*((-0.000002)*M403^3+0.00032*M403^2+(-0.0021)*M403)+N$1*((-0.000002)*N403^3+0.00032*N403^2+(-0.0021)*N403)+O$1*((-0.000002)*O403^3+0.00032*O403^2+(-0.0021)*O403)</f>
        <v/>
      </c>
      <c r="W403">
        <f>P$1*((-0.000002)*P403^3+0.00032*P403^2+(-0.0021)*P403)+Q$1*((-0.000002)*Q403^3+0.00032*Q403^2+(-0.0021)*Q403)+R$1*((-0.000002)*R403^3+0.00032*R403^2+(-0.0021)*R403)+S$1*((-0.000002)*S403^3+0.00032*S403^2+(-0.0021)*S403)+T$1*((-0.000002)*T403^3+0.00032*T403^2+(-0.0021)*T403)</f>
        <v/>
      </c>
      <c r="X403">
        <f>(I$1*((-0.000002)*I403^3+0.00032*I403^2+(-0.0021)*I403)+J$1*((-0.000002)*J403^3+0.00032*J403^2+(-0.0021)*J403)+H$1*((-0.000002)*H403^3+0.00032*H403^2+(-0.0021)*H403))*(MAX(0.05,MIN(1,(2*J403+I403)/120)*MIN(1,I403/10)*MIN(1,J403/10)))</f>
        <v/>
      </c>
      <c r="Y403">
        <f>(I$1*((-0.000002)*I403^3+0.00032*I403^2+(-0.0021)*I403)+J$1*((-0.000002)*J403^3+0.00032*J403^2+(-0.0021)*J403)+H$1*((-0.000002)*H403^3+0.00032*H403^2+(-0.0021)*H403))*(MAX(0.05,MIN(1,(2*J403+I403)/120)*MIN(1,I403/10)*MIN(1,J403/10)))</f>
        <v/>
      </c>
      <c r="Z403">
        <f>U403*J$2+V403*O$2+W403*H$2</f>
        <v/>
      </c>
      <c r="AA403">
        <f>IF(AND(J403&gt;50,I403+J403&gt;75),"SP",IF(2*I403+J403&gt;120,"RP","CRAP"))</f>
        <v/>
      </c>
    </row>
    <row r="404" ht="13.5" customHeight="1" s="27" thickBot="1">
      <c r="A404">
        <f>(V404*V$2+W404*W$2+X404*X$2)*100/(V$4*V$2+W$4*W$2+X$4*X$2)</f>
        <v/>
      </c>
      <c r="B404" s="16" t="n"/>
      <c r="C404" s="10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>
        <f>K$1*(0.000001*K404^3)+L$1*((-0.000002)*L404^3+0.00032*L404^2+(-0.0021)*L404)+M$1*((-0.000002)*M404^3+0.00032*M404^2+(-0.0021)*M404)+N$1*((-0.000002)*N404^3+0.00032*N404^2+(-0.0021)*N404)+O$1*((-0.000002)*O404^3+0.00032*O404^2+(-0.0021)*O404)</f>
        <v/>
      </c>
      <c r="W404">
        <f>P$1*((-0.000002)*P404^3+0.00032*P404^2+(-0.0021)*P404)+Q$1*((-0.000002)*Q404^3+0.00032*Q404^2+(-0.0021)*Q404)+R$1*((-0.000002)*R404^3+0.00032*R404^2+(-0.0021)*R404)+S$1*((-0.000002)*S404^3+0.00032*S404^2+(-0.0021)*S404)+T$1*((-0.000002)*T404^3+0.00032*T404^2+(-0.0021)*T404)</f>
        <v/>
      </c>
      <c r="X404">
        <f>(I$1*((-0.000002)*I404^3+0.00032*I404^2+(-0.0021)*I404)+J$1*((-0.000002)*J404^3+0.00032*J404^2+(-0.0021)*J404)+H$1*((-0.000002)*H404^3+0.00032*H404^2+(-0.0021)*H404))*(MAX(0.05,MIN(1,(2*J404+I404)/120)*MIN(1,I404/10)*MIN(1,J404/10)))</f>
        <v/>
      </c>
      <c r="Y404">
        <f>(I$1*((-0.000002)*I404^3+0.00032*I404^2+(-0.0021)*I404)+J$1*((-0.000002)*J404^3+0.00032*J404^2+(-0.0021)*J404)+H$1*((-0.000002)*H404^3+0.00032*H404^2+(-0.0021)*H404))*(MAX(0.05,MIN(1,(2*J404+I404)/120)*MIN(1,I404/10)*MIN(1,J404/10)))</f>
        <v/>
      </c>
      <c r="Z404">
        <f>U404*J$2+V404*O$2+W404*H$2</f>
        <v/>
      </c>
      <c r="AA404">
        <f>IF(AND(J404&gt;50,I404+J404&gt;75),"SP",IF(2*I404+J404&gt;120,"RP","CRAP"))</f>
        <v/>
      </c>
    </row>
    <row r="405" ht="13.5" customHeight="1" s="27" thickBot="1">
      <c r="A405">
        <f>(V405*V$2+W405*W$2+X405*X$2)*100/(V$4*V$2+W$4*W$2+X$4*X$2)</f>
        <v/>
      </c>
      <c r="B405" s="18" t="n"/>
      <c r="C405" s="11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>
        <f>K$1*(0.000001*K405^3)+L$1*((-0.000002)*L405^3+0.00032*L405^2+(-0.0021)*L405)+M$1*((-0.000002)*M405^3+0.00032*M405^2+(-0.0021)*M405)+N$1*((-0.000002)*N405^3+0.00032*N405^2+(-0.0021)*N405)+O$1*((-0.000002)*O405^3+0.00032*O405^2+(-0.0021)*O405)</f>
        <v/>
      </c>
      <c r="W405">
        <f>P$1*((-0.000002)*P405^3+0.00032*P405^2+(-0.0021)*P405)+Q$1*((-0.000002)*Q405^3+0.00032*Q405^2+(-0.0021)*Q405)+R$1*((-0.000002)*R405^3+0.00032*R405^2+(-0.0021)*R405)+S$1*((-0.000002)*S405^3+0.00032*S405^2+(-0.0021)*S405)+T$1*((-0.000002)*T405^3+0.00032*T405^2+(-0.0021)*T405)</f>
        <v/>
      </c>
      <c r="X405">
        <f>(I$1*((-0.000002)*I405^3+0.00032*I405^2+(-0.0021)*I405)+J$1*((-0.000002)*J405^3+0.00032*J405^2+(-0.0021)*J405)+H$1*((-0.000002)*H405^3+0.00032*H405^2+(-0.0021)*H405))*(MAX(0.05,MIN(1,(2*J405+I405)/120)*MIN(1,I405/10)*MIN(1,J405/10)))</f>
        <v/>
      </c>
      <c r="Y405">
        <f>(I$1*((-0.000002)*I405^3+0.00032*I405^2+(-0.0021)*I405)+J$1*((-0.000002)*J405^3+0.00032*J405^2+(-0.0021)*J405)+H$1*((-0.000002)*H405^3+0.00032*H405^2+(-0.0021)*H405))*(MAX(0.05,MIN(1,(2*J405+I405)/120)*MIN(1,I405/10)*MIN(1,J405/10)))</f>
        <v/>
      </c>
      <c r="Z405">
        <f>U405*J$2+V405*O$2+W405*H$2</f>
        <v/>
      </c>
      <c r="AA405">
        <f>IF(AND(J405&gt;50,I405+J405&gt;75),"SP",IF(2*I405+J405&gt;120,"RP","CRAP"))</f>
        <v/>
      </c>
    </row>
    <row r="406" ht="13.5" customHeight="1" s="27" thickBot="1">
      <c r="A406">
        <f>(V406*V$2+W406*W$2+X406*X$2)*100/(V$4*V$2+W$4*W$2+X$4*X$2)</f>
        <v/>
      </c>
      <c r="B406" s="16" t="n"/>
      <c r="C406" s="10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>
        <f>K$1*(0.000001*K406^3)+L$1*((-0.000002)*L406^3+0.00032*L406^2+(-0.0021)*L406)+M$1*((-0.000002)*M406^3+0.00032*M406^2+(-0.0021)*M406)+N$1*((-0.000002)*N406^3+0.00032*N406^2+(-0.0021)*N406)+O$1*((-0.000002)*O406^3+0.00032*O406^2+(-0.0021)*O406)</f>
        <v/>
      </c>
      <c r="W406">
        <f>P$1*((-0.000002)*P406^3+0.00032*P406^2+(-0.0021)*P406)+Q$1*((-0.000002)*Q406^3+0.00032*Q406^2+(-0.0021)*Q406)+R$1*((-0.000002)*R406^3+0.00032*R406^2+(-0.0021)*R406)+S$1*((-0.000002)*S406^3+0.00032*S406^2+(-0.0021)*S406)+T$1*((-0.000002)*T406^3+0.00032*T406^2+(-0.0021)*T406)</f>
        <v/>
      </c>
      <c r="X406">
        <f>(I$1*((-0.000002)*I406^3+0.00032*I406^2+(-0.0021)*I406)+J$1*((-0.000002)*J406^3+0.00032*J406^2+(-0.0021)*J406)+H$1*((-0.000002)*H406^3+0.00032*H406^2+(-0.0021)*H406))*(MAX(0.05,MIN(1,(2*J406+I406)/120)*MIN(1,I406/10)*MIN(1,J406/10)))</f>
        <v/>
      </c>
      <c r="Y406">
        <f>(I$1*((-0.000002)*I406^3+0.00032*I406^2+(-0.0021)*I406)+J$1*((-0.000002)*J406^3+0.00032*J406^2+(-0.0021)*J406)+H$1*((-0.000002)*H406^3+0.00032*H406^2+(-0.0021)*H406))*(MAX(0.05,MIN(1,(2*J406+I406)/120)*MIN(1,I406/10)*MIN(1,J406/10)))</f>
        <v/>
      </c>
      <c r="Z406">
        <f>U406*J$2+V406*O$2+W406*H$2</f>
        <v/>
      </c>
      <c r="AA406">
        <f>IF(AND(J406&gt;50,I406+J406&gt;75),"SP",IF(2*I406+J406&gt;120,"RP","CRAP"))</f>
        <v/>
      </c>
    </row>
    <row r="407" ht="13.5" customHeight="1" s="27" thickBot="1">
      <c r="A407">
        <f>(V407*V$2+W407*W$2+X407*X$2)*100/(V$4*V$2+W$4*W$2+X$4*X$2)</f>
        <v/>
      </c>
      <c r="B407" s="18" t="n"/>
      <c r="C407" s="11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>
        <f>K$1*(0.000001*K407^3)+L$1*((-0.000002)*L407^3+0.00032*L407^2+(-0.0021)*L407)+M$1*((-0.000002)*M407^3+0.00032*M407^2+(-0.0021)*M407)+N$1*((-0.000002)*N407^3+0.00032*N407^2+(-0.0021)*N407)+O$1*((-0.000002)*O407^3+0.00032*O407^2+(-0.0021)*O407)</f>
        <v/>
      </c>
      <c r="W407">
        <f>P$1*((-0.000002)*P407^3+0.00032*P407^2+(-0.0021)*P407)+Q$1*((-0.000002)*Q407^3+0.00032*Q407^2+(-0.0021)*Q407)+R$1*((-0.000002)*R407^3+0.00032*R407^2+(-0.0021)*R407)+S$1*((-0.000002)*S407^3+0.00032*S407^2+(-0.0021)*S407)+T$1*((-0.000002)*T407^3+0.00032*T407^2+(-0.0021)*T407)</f>
        <v/>
      </c>
      <c r="X407">
        <f>(I$1*((-0.000002)*I407^3+0.00032*I407^2+(-0.0021)*I407)+J$1*((-0.000002)*J407^3+0.00032*J407^2+(-0.0021)*J407)+H$1*((-0.000002)*H407^3+0.00032*H407^2+(-0.0021)*H407))*(MAX(0.05,MIN(1,(2*J407+I407)/120)*MIN(1,I407/10)*MIN(1,J407/10)))</f>
        <v/>
      </c>
      <c r="Y407">
        <f>(I$1*((-0.000002)*I407^3+0.00032*I407^2+(-0.0021)*I407)+J$1*((-0.000002)*J407^3+0.00032*J407^2+(-0.0021)*J407)+H$1*((-0.000002)*H407^3+0.00032*H407^2+(-0.0021)*H407))*(MAX(0.05,MIN(1,(2*J407+I407)/120)*MIN(1,I407/10)*MIN(1,J407/10)))</f>
        <v/>
      </c>
      <c r="Z407">
        <f>U407*J$2+V407*O$2+W407*H$2</f>
        <v/>
      </c>
      <c r="AA407">
        <f>IF(AND(J407&gt;50,I407+J407&gt;75),"SP",IF(2*I407+J407&gt;120,"RP","CRAP"))</f>
        <v/>
      </c>
    </row>
    <row r="408" ht="13.5" customHeight="1" s="27" thickBot="1">
      <c r="A408">
        <f>(V408*V$2+W408*W$2+X408*X$2)*100/(V$4*V$2+W$4*W$2+X$4*X$2)</f>
        <v/>
      </c>
      <c r="B408" s="16" t="n"/>
      <c r="C408" s="10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>
        <f>K$1*(0.000001*K408^3)+L$1*((-0.000002)*L408^3+0.00032*L408^2+(-0.0021)*L408)+M$1*((-0.000002)*M408^3+0.00032*M408^2+(-0.0021)*M408)+N$1*((-0.000002)*N408^3+0.00032*N408^2+(-0.0021)*N408)+O$1*((-0.000002)*O408^3+0.00032*O408^2+(-0.0021)*O408)</f>
        <v/>
      </c>
      <c r="W408">
        <f>P$1*((-0.000002)*P408^3+0.00032*P408^2+(-0.0021)*P408)+Q$1*((-0.000002)*Q408^3+0.00032*Q408^2+(-0.0021)*Q408)+R$1*((-0.000002)*R408^3+0.00032*R408^2+(-0.0021)*R408)+S$1*((-0.000002)*S408^3+0.00032*S408^2+(-0.0021)*S408)+T$1*((-0.000002)*T408^3+0.00032*T408^2+(-0.0021)*T408)</f>
        <v/>
      </c>
      <c r="X408">
        <f>(I$1*((-0.000002)*I408^3+0.00032*I408^2+(-0.0021)*I408)+J$1*((-0.000002)*J408^3+0.00032*J408^2+(-0.0021)*J408)+H$1*((-0.000002)*H408^3+0.00032*H408^2+(-0.0021)*H408))*(MAX(0.05,MIN(1,(2*J408+I408)/120)*MIN(1,I408/10)*MIN(1,J408/10)))</f>
        <v/>
      </c>
      <c r="Y408">
        <f>(I$1*((-0.000002)*I408^3+0.00032*I408^2+(-0.0021)*I408)+J$1*((-0.000002)*J408^3+0.00032*J408^2+(-0.0021)*J408)+H$1*((-0.000002)*H408^3+0.00032*H408^2+(-0.0021)*H408))*(MAX(0.05,MIN(1,(2*J408+I408)/120)*MIN(1,I408/10)*MIN(1,J408/10)))</f>
        <v/>
      </c>
      <c r="Z408">
        <f>U408*J$2+V408*O$2+W408*H$2</f>
        <v/>
      </c>
      <c r="AA408">
        <f>IF(AND(J408&gt;50,I408+J408&gt;75),"SP",IF(2*I408+J408&gt;120,"RP","CRAP"))</f>
        <v/>
      </c>
    </row>
    <row r="409" ht="13.5" customHeight="1" s="27" thickBot="1">
      <c r="A409">
        <f>(V409*V$2+W409*W$2+X409*X$2)*100/(V$4*V$2+W$4*W$2+X$4*X$2)</f>
        <v/>
      </c>
      <c r="B409" s="18" t="n"/>
      <c r="C409" s="11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>
        <f>K$1*(0.000001*K409^3)+L$1*((-0.000002)*L409^3+0.00032*L409^2+(-0.0021)*L409)+M$1*((-0.000002)*M409^3+0.00032*M409^2+(-0.0021)*M409)+N$1*((-0.000002)*N409^3+0.00032*N409^2+(-0.0021)*N409)+O$1*((-0.000002)*O409^3+0.00032*O409^2+(-0.0021)*O409)</f>
        <v/>
      </c>
      <c r="W409">
        <f>P$1*((-0.000002)*P409^3+0.00032*P409^2+(-0.0021)*P409)+Q$1*((-0.000002)*Q409^3+0.00032*Q409^2+(-0.0021)*Q409)+R$1*((-0.000002)*R409^3+0.00032*R409^2+(-0.0021)*R409)+S$1*((-0.000002)*S409^3+0.00032*S409^2+(-0.0021)*S409)+T$1*((-0.000002)*T409^3+0.00032*T409^2+(-0.0021)*T409)</f>
        <v/>
      </c>
      <c r="X409">
        <f>(I$1*((-0.000002)*I409^3+0.00032*I409^2+(-0.0021)*I409)+J$1*((-0.000002)*J409^3+0.00032*J409^2+(-0.0021)*J409)+H$1*((-0.000002)*H409^3+0.00032*H409^2+(-0.0021)*H409))*(MAX(0.05,MIN(1,(2*J409+I409)/120)*MIN(1,I409/10)*MIN(1,J409/10)))</f>
        <v/>
      </c>
      <c r="Y409">
        <f>(I$1*((-0.000002)*I409^3+0.00032*I409^2+(-0.0021)*I409)+J$1*((-0.000002)*J409^3+0.00032*J409^2+(-0.0021)*J409)+H$1*((-0.000002)*H409^3+0.00032*H409^2+(-0.0021)*H409))*(MAX(0.05,MIN(1,(2*J409+I409)/120)*MIN(1,I409/10)*MIN(1,J409/10)))</f>
        <v/>
      </c>
      <c r="Z409">
        <f>U409*J$2+V409*O$2+W409*H$2</f>
        <v/>
      </c>
      <c r="AA409">
        <f>IF(AND(J409&gt;50,I409+J409&gt;75),"SP",IF(2*I409+J409&gt;120,"RP","CRAP"))</f>
        <v/>
      </c>
    </row>
    <row r="410" ht="13.5" customHeight="1" s="27" thickBot="1">
      <c r="A410">
        <f>(V410*V$2+W410*W$2+X410*X$2)*100/(V$4*V$2+W$4*W$2+X$4*X$2)</f>
        <v/>
      </c>
      <c r="B410" s="16" t="n"/>
      <c r="C410" s="10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>
        <f>K$1*(0.000001*K410^3)+L$1*((-0.000002)*L410^3+0.00032*L410^2+(-0.0021)*L410)+M$1*((-0.000002)*M410^3+0.00032*M410^2+(-0.0021)*M410)+N$1*((-0.000002)*N410^3+0.00032*N410^2+(-0.0021)*N410)+O$1*((-0.000002)*O410^3+0.00032*O410^2+(-0.0021)*O410)</f>
        <v/>
      </c>
      <c r="W410">
        <f>P$1*((-0.000002)*P410^3+0.00032*P410^2+(-0.0021)*P410)+Q$1*((-0.000002)*Q410^3+0.00032*Q410^2+(-0.0021)*Q410)+R$1*((-0.000002)*R410^3+0.00032*R410^2+(-0.0021)*R410)+S$1*((-0.000002)*S410^3+0.00032*S410^2+(-0.0021)*S410)+T$1*((-0.000002)*T410^3+0.00032*T410^2+(-0.0021)*T410)</f>
        <v/>
      </c>
      <c r="X410">
        <f>(I$1*((-0.000002)*I410^3+0.00032*I410^2+(-0.0021)*I410)+J$1*((-0.000002)*J410^3+0.00032*J410^2+(-0.0021)*J410)+H$1*((-0.000002)*H410^3+0.00032*H410^2+(-0.0021)*H410))*(MAX(0.05,MIN(1,(2*J410+I410)/120)*MIN(1,I410/10)*MIN(1,J410/10)))</f>
        <v/>
      </c>
      <c r="Y410">
        <f>(I$1*((-0.000002)*I410^3+0.00032*I410^2+(-0.0021)*I410)+J$1*((-0.000002)*J410^3+0.00032*J410^2+(-0.0021)*J410)+H$1*((-0.000002)*H410^3+0.00032*H410^2+(-0.0021)*H410))*(MAX(0.05,MIN(1,(2*J410+I410)/120)*MIN(1,I410/10)*MIN(1,J410/10)))</f>
        <v/>
      </c>
      <c r="Z410">
        <f>U410*J$2+V410*O$2+W410*H$2</f>
        <v/>
      </c>
      <c r="AA410">
        <f>IF(AND(J410&gt;50,I410+J410&gt;75),"SP",IF(2*I410+J410&gt;120,"RP","CRAP"))</f>
        <v/>
      </c>
    </row>
    <row r="411" ht="13.5" customHeight="1" s="27" thickBot="1">
      <c r="A411">
        <f>(V411*V$2+W411*W$2+X411*X$2)*100/(V$4*V$2+W$4*W$2+X$4*X$2)</f>
        <v/>
      </c>
      <c r="B411" s="18" t="n"/>
      <c r="C411" s="11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>
        <f>K$1*(0.000001*K411^3)+L$1*((-0.000002)*L411^3+0.00032*L411^2+(-0.0021)*L411)+M$1*((-0.000002)*M411^3+0.00032*M411^2+(-0.0021)*M411)+N$1*((-0.000002)*N411^3+0.00032*N411^2+(-0.0021)*N411)+O$1*((-0.000002)*O411^3+0.00032*O411^2+(-0.0021)*O411)</f>
        <v/>
      </c>
      <c r="W411">
        <f>P$1*((-0.000002)*P411^3+0.00032*P411^2+(-0.0021)*P411)+Q$1*((-0.000002)*Q411^3+0.00032*Q411^2+(-0.0021)*Q411)+R$1*((-0.000002)*R411^3+0.00032*R411^2+(-0.0021)*R411)+S$1*((-0.000002)*S411^3+0.00032*S411^2+(-0.0021)*S411)+T$1*((-0.000002)*T411^3+0.00032*T411^2+(-0.0021)*T411)</f>
        <v/>
      </c>
      <c r="X411">
        <f>(I$1*((-0.000002)*I411^3+0.00032*I411^2+(-0.0021)*I411)+J$1*((-0.000002)*J411^3+0.00032*J411^2+(-0.0021)*J411)+H$1*((-0.000002)*H411^3+0.00032*H411^2+(-0.0021)*H411))*(MAX(0.05,MIN(1,(2*J411+I411)/120)*MIN(1,I411/10)*MIN(1,J411/10)))</f>
        <v/>
      </c>
      <c r="Y411">
        <f>(I$1*((-0.000002)*I411^3+0.00032*I411^2+(-0.0021)*I411)+J$1*((-0.000002)*J411^3+0.00032*J411^2+(-0.0021)*J411)+H$1*((-0.000002)*H411^3+0.00032*H411^2+(-0.0021)*H411))*(MAX(0.05,MIN(1,(2*J411+I411)/120)*MIN(1,I411/10)*MIN(1,J411/10)))</f>
        <v/>
      </c>
      <c r="Z411">
        <f>U411*J$2+V411*O$2+W411*H$2</f>
        <v/>
      </c>
      <c r="AA411">
        <f>IF(AND(J411&gt;50,I411+J411&gt;75),"SP",IF(2*I411+J411&gt;120,"RP","CRAP"))</f>
        <v/>
      </c>
    </row>
    <row r="412" ht="13.5" customHeight="1" s="27" thickBot="1">
      <c r="A412">
        <f>(V412*V$2+W412*W$2+X412*X$2)*100/(V$4*V$2+W$4*W$2+X$4*X$2)</f>
        <v/>
      </c>
      <c r="B412" s="16" t="n"/>
      <c r="C412" s="10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>
        <f>K$1*(0.000001*K412^3)+L$1*((-0.000002)*L412^3+0.00032*L412^2+(-0.0021)*L412)+M$1*((-0.000002)*M412^3+0.00032*M412^2+(-0.0021)*M412)+N$1*((-0.000002)*N412^3+0.00032*N412^2+(-0.0021)*N412)+O$1*((-0.000002)*O412^3+0.00032*O412^2+(-0.0021)*O412)</f>
        <v/>
      </c>
      <c r="W412">
        <f>P$1*((-0.000002)*P412^3+0.00032*P412^2+(-0.0021)*P412)+Q$1*((-0.000002)*Q412^3+0.00032*Q412^2+(-0.0021)*Q412)+R$1*((-0.000002)*R412^3+0.00032*R412^2+(-0.0021)*R412)+S$1*((-0.000002)*S412^3+0.00032*S412^2+(-0.0021)*S412)+T$1*((-0.000002)*T412^3+0.00032*T412^2+(-0.0021)*T412)</f>
        <v/>
      </c>
      <c r="X412">
        <f>(I$1*((-0.000002)*I412^3+0.00032*I412^2+(-0.0021)*I412)+J$1*((-0.000002)*J412^3+0.00032*J412^2+(-0.0021)*J412)+H$1*((-0.000002)*H412^3+0.00032*H412^2+(-0.0021)*H412))*(MAX(0.05,MIN(1,(2*J412+I412)/120)*MIN(1,I412/10)*MIN(1,J412/10)))</f>
        <v/>
      </c>
      <c r="Y412">
        <f>(I$1*((-0.000002)*I412^3+0.00032*I412^2+(-0.0021)*I412)+J$1*((-0.000002)*J412^3+0.00032*J412^2+(-0.0021)*J412)+H$1*((-0.000002)*H412^3+0.00032*H412^2+(-0.0021)*H412))*(MAX(0.05,MIN(1,(2*J412+I412)/120)*MIN(1,I412/10)*MIN(1,J412/10)))</f>
        <v/>
      </c>
      <c r="Z412">
        <f>U412*J$2+V412*O$2+W412*H$2</f>
        <v/>
      </c>
      <c r="AA412">
        <f>IF(AND(J412&gt;50,I412+J412&gt;75),"SP",IF(2*I412+J412&gt;120,"RP","CRAP"))</f>
        <v/>
      </c>
    </row>
    <row r="413" ht="13.5" customHeight="1" s="27" thickBot="1">
      <c r="A413">
        <f>(V413*V$2+W413*W$2+X413*X$2)*100/(V$4*V$2+W$4*W$2+X$4*X$2)</f>
        <v/>
      </c>
      <c r="B413" s="18" t="n"/>
      <c r="C413" s="11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>
        <f>K$1*(0.000001*K413^3)+L$1*((-0.000002)*L413^3+0.00032*L413^2+(-0.0021)*L413)+M$1*((-0.000002)*M413^3+0.00032*M413^2+(-0.0021)*M413)+N$1*((-0.000002)*N413^3+0.00032*N413^2+(-0.0021)*N413)+O$1*((-0.000002)*O413^3+0.00032*O413^2+(-0.0021)*O413)</f>
        <v/>
      </c>
      <c r="W413">
        <f>P$1*((-0.000002)*P413^3+0.00032*P413^2+(-0.0021)*P413)+Q$1*((-0.000002)*Q413^3+0.00032*Q413^2+(-0.0021)*Q413)+R$1*((-0.000002)*R413^3+0.00032*R413^2+(-0.0021)*R413)+S$1*((-0.000002)*S413^3+0.00032*S413^2+(-0.0021)*S413)+T$1*((-0.000002)*T413^3+0.00032*T413^2+(-0.0021)*T413)</f>
        <v/>
      </c>
      <c r="X413">
        <f>(I$1*((-0.000002)*I413^3+0.00032*I413^2+(-0.0021)*I413)+J$1*((-0.000002)*J413^3+0.00032*J413^2+(-0.0021)*J413)+H$1*((-0.000002)*H413^3+0.00032*H413^2+(-0.0021)*H413))*(MAX(0.05,MIN(1,(2*J413+I413)/120)*MIN(1,I413/10)*MIN(1,J413/10)))</f>
        <v/>
      </c>
      <c r="Y413">
        <f>(I$1*((-0.000002)*I413^3+0.00032*I413^2+(-0.0021)*I413)+J$1*((-0.000002)*J413^3+0.00032*J413^2+(-0.0021)*J413)+H$1*((-0.000002)*H413^3+0.00032*H413^2+(-0.0021)*H413))*(MAX(0.05,MIN(1,(2*J413+I413)/120)*MIN(1,I413/10)*MIN(1,J413/10)))</f>
        <v/>
      </c>
      <c r="Z413">
        <f>U413*J$2+V413*O$2+W413*H$2</f>
        <v/>
      </c>
      <c r="AA413">
        <f>IF(AND(J413&gt;50,I413+J413&gt;75),"SP",IF(2*I413+J413&gt;120,"RP","CRAP"))</f>
        <v/>
      </c>
    </row>
    <row r="414" ht="13.5" customHeight="1" s="27" thickBot="1">
      <c r="A414">
        <f>(V414*V$2+W414*W$2+X414*X$2)*100/(V$4*V$2+W$4*W$2+X$4*X$2)</f>
        <v/>
      </c>
      <c r="B414" s="16" t="n"/>
      <c r="C414" s="10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>
        <f>K$1*(0.000001*K414^3)+L$1*((-0.000002)*L414^3+0.00032*L414^2+(-0.0021)*L414)+M$1*((-0.000002)*M414^3+0.00032*M414^2+(-0.0021)*M414)+N$1*((-0.000002)*N414^3+0.00032*N414^2+(-0.0021)*N414)+O$1*((-0.000002)*O414^3+0.00032*O414^2+(-0.0021)*O414)</f>
        <v/>
      </c>
      <c r="W414">
        <f>P$1*((-0.000002)*P414^3+0.00032*P414^2+(-0.0021)*P414)+Q$1*((-0.000002)*Q414^3+0.00032*Q414^2+(-0.0021)*Q414)+R$1*((-0.000002)*R414^3+0.00032*R414^2+(-0.0021)*R414)+S$1*((-0.000002)*S414^3+0.00032*S414^2+(-0.0021)*S414)+T$1*((-0.000002)*T414^3+0.00032*T414^2+(-0.0021)*T414)</f>
        <v/>
      </c>
      <c r="X414">
        <f>(I$1*((-0.000002)*I414^3+0.00032*I414^2+(-0.0021)*I414)+J$1*((-0.000002)*J414^3+0.00032*J414^2+(-0.0021)*J414)+H$1*((-0.000002)*H414^3+0.00032*H414^2+(-0.0021)*H414))*(MAX(0.05,MIN(1,(2*J414+I414)/120)*MIN(1,I414/10)*MIN(1,J414/10)))</f>
        <v/>
      </c>
      <c r="Y414">
        <f>(I$1*((-0.000002)*I414^3+0.00032*I414^2+(-0.0021)*I414)+J$1*((-0.000002)*J414^3+0.00032*J414^2+(-0.0021)*J414)+H$1*((-0.000002)*H414^3+0.00032*H414^2+(-0.0021)*H414))*(MAX(0.05,MIN(1,(2*J414+I414)/120)*MIN(1,I414/10)*MIN(1,J414/10)))</f>
        <v/>
      </c>
      <c r="Z414">
        <f>U414*J$2+V414*O$2+W414*H$2</f>
        <v/>
      </c>
      <c r="AA414">
        <f>IF(AND(J414&gt;50,I414+J414&gt;75),"SP",IF(2*I414+J414&gt;120,"RP","CRAP"))</f>
        <v/>
      </c>
    </row>
    <row r="415" ht="13.5" customHeight="1" s="27" thickBot="1">
      <c r="A415">
        <f>(V415*V$2+W415*W$2+X415*X$2)*100/(V$4*V$2+W$4*W$2+X$4*X$2)</f>
        <v/>
      </c>
      <c r="B415" s="18" t="n"/>
      <c r="C415" s="11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>
        <f>K$1*(0.000001*K415^3)+L$1*((-0.000002)*L415^3+0.00032*L415^2+(-0.0021)*L415)+M$1*((-0.000002)*M415^3+0.00032*M415^2+(-0.0021)*M415)+N$1*((-0.000002)*N415^3+0.00032*N415^2+(-0.0021)*N415)+O$1*((-0.000002)*O415^3+0.00032*O415^2+(-0.0021)*O415)</f>
        <v/>
      </c>
      <c r="W415">
        <f>P$1*((-0.000002)*P415^3+0.00032*P415^2+(-0.0021)*P415)+Q$1*((-0.000002)*Q415^3+0.00032*Q415^2+(-0.0021)*Q415)+R$1*((-0.000002)*R415^3+0.00032*R415^2+(-0.0021)*R415)+S$1*((-0.000002)*S415^3+0.00032*S415^2+(-0.0021)*S415)+T$1*((-0.000002)*T415^3+0.00032*T415^2+(-0.0021)*T415)</f>
        <v/>
      </c>
      <c r="X415">
        <f>(I$1*((-0.000002)*I415^3+0.00032*I415^2+(-0.0021)*I415)+J$1*((-0.000002)*J415^3+0.00032*J415^2+(-0.0021)*J415)+H$1*((-0.000002)*H415^3+0.00032*H415^2+(-0.0021)*H415))*(MAX(0.05,MIN(1,(2*J415+I415)/120)*MIN(1,I415/10)*MIN(1,J415/10)))</f>
        <v/>
      </c>
      <c r="Y415">
        <f>(I$1*((-0.000002)*I415^3+0.00032*I415^2+(-0.0021)*I415)+J$1*((-0.000002)*J415^3+0.00032*J415^2+(-0.0021)*J415)+H$1*((-0.000002)*H415^3+0.00032*H415^2+(-0.0021)*H415))*(MAX(0.05,MIN(1,(2*J415+I415)/120)*MIN(1,I415/10)*MIN(1,J415/10)))</f>
        <v/>
      </c>
      <c r="Z415">
        <f>U415*J$2+V415*O$2+W415*H$2</f>
        <v/>
      </c>
      <c r="AA415">
        <f>IF(AND(J415&gt;50,I415+J415&gt;75),"SP",IF(2*I415+J415&gt;120,"RP","CRAP"))</f>
        <v/>
      </c>
    </row>
    <row r="416" ht="13.5" customHeight="1" s="27" thickBot="1">
      <c r="A416">
        <f>(V416*V$2+W416*W$2+X416*X$2)*100/(V$4*V$2+W$4*W$2+X$4*X$2)</f>
        <v/>
      </c>
      <c r="B416" s="16" t="n"/>
      <c r="C416" s="10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>
        <f>K$1*(0.000001*K416^3)+L$1*((-0.000002)*L416^3+0.00032*L416^2+(-0.0021)*L416)+M$1*((-0.000002)*M416^3+0.00032*M416^2+(-0.0021)*M416)+N$1*((-0.000002)*N416^3+0.00032*N416^2+(-0.0021)*N416)+O$1*((-0.000002)*O416^3+0.00032*O416^2+(-0.0021)*O416)</f>
        <v/>
      </c>
      <c r="W416">
        <f>P$1*((-0.000002)*P416^3+0.00032*P416^2+(-0.0021)*P416)+Q$1*((-0.000002)*Q416^3+0.00032*Q416^2+(-0.0021)*Q416)+R$1*((-0.000002)*R416^3+0.00032*R416^2+(-0.0021)*R416)+S$1*((-0.000002)*S416^3+0.00032*S416^2+(-0.0021)*S416)+T$1*((-0.000002)*T416^3+0.00032*T416^2+(-0.0021)*T416)</f>
        <v/>
      </c>
      <c r="X416">
        <f>(I$1*((-0.000002)*I416^3+0.00032*I416^2+(-0.0021)*I416)+J$1*((-0.000002)*J416^3+0.00032*J416^2+(-0.0021)*J416)+H$1*((-0.000002)*H416^3+0.00032*H416^2+(-0.0021)*H416))*(MAX(0.05,MIN(1,(2*J416+I416)/120)*MIN(1,I416/10)*MIN(1,J416/10)))</f>
        <v/>
      </c>
      <c r="Y416">
        <f>(I$1*((-0.000002)*I416^3+0.00032*I416^2+(-0.0021)*I416)+J$1*((-0.000002)*J416^3+0.00032*J416^2+(-0.0021)*J416)+H$1*((-0.000002)*H416^3+0.00032*H416^2+(-0.0021)*H416))*(MAX(0.05,MIN(1,(2*J416+I416)/120)*MIN(1,I416/10)*MIN(1,J416/10)))</f>
        <v/>
      </c>
      <c r="Z416">
        <f>U416*J$2+V416*O$2+W416*H$2</f>
        <v/>
      </c>
      <c r="AA416">
        <f>IF(AND(J416&gt;50,I416+J416&gt;75),"SP",IF(2*I416+J416&gt;120,"RP","CRAP"))</f>
        <v/>
      </c>
    </row>
    <row r="417" ht="13.5" customHeight="1" s="27" thickBot="1">
      <c r="A417">
        <f>(V417*V$2+W417*W$2+X417*X$2)*100/(V$4*V$2+W$4*W$2+X$4*X$2)</f>
        <v/>
      </c>
      <c r="B417" s="18" t="n"/>
      <c r="C417" s="11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>
        <f>K$1*(0.000001*K417^3)+L$1*((-0.000002)*L417^3+0.00032*L417^2+(-0.0021)*L417)+M$1*((-0.000002)*M417^3+0.00032*M417^2+(-0.0021)*M417)+N$1*((-0.000002)*N417^3+0.00032*N417^2+(-0.0021)*N417)+O$1*((-0.000002)*O417^3+0.00032*O417^2+(-0.0021)*O417)</f>
        <v/>
      </c>
      <c r="W417">
        <f>P$1*((-0.000002)*P417^3+0.00032*P417^2+(-0.0021)*P417)+Q$1*((-0.000002)*Q417^3+0.00032*Q417^2+(-0.0021)*Q417)+R$1*((-0.000002)*R417^3+0.00032*R417^2+(-0.0021)*R417)+S$1*((-0.000002)*S417^3+0.00032*S417^2+(-0.0021)*S417)+T$1*((-0.000002)*T417^3+0.00032*T417^2+(-0.0021)*T417)</f>
        <v/>
      </c>
      <c r="X417">
        <f>(I$1*((-0.000002)*I417^3+0.00032*I417^2+(-0.0021)*I417)+J$1*((-0.000002)*J417^3+0.00032*J417^2+(-0.0021)*J417)+H$1*((-0.000002)*H417^3+0.00032*H417^2+(-0.0021)*H417))*(MAX(0.05,MIN(1,(2*J417+I417)/120)*MIN(1,I417/10)*MIN(1,J417/10)))</f>
        <v/>
      </c>
      <c r="Y417">
        <f>(I$1*((-0.000002)*I417^3+0.00032*I417^2+(-0.0021)*I417)+J$1*((-0.000002)*J417^3+0.00032*J417^2+(-0.0021)*J417)+H$1*((-0.000002)*H417^3+0.00032*H417^2+(-0.0021)*H417))*(MAX(0.05,MIN(1,(2*J417+I417)/120)*MIN(1,I417/10)*MIN(1,J417/10)))</f>
        <v/>
      </c>
      <c r="Z417">
        <f>U417*J$2+V417*O$2+W417*H$2</f>
        <v/>
      </c>
      <c r="AA417">
        <f>IF(AND(J417&gt;50,I417+J417&gt;75),"SP",IF(2*I417+J417&gt;120,"RP","CRAP"))</f>
        <v/>
      </c>
    </row>
    <row r="418" ht="13.5" customHeight="1" s="27" thickBot="1">
      <c r="A418">
        <f>(V418*V$2+W418*W$2+X418*X$2)*100/(V$4*V$2+W$4*W$2+X$4*X$2)</f>
        <v/>
      </c>
      <c r="B418" s="16" t="n"/>
      <c r="C418" s="10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>
        <f>K$1*(0.000001*K418^3)+L$1*((-0.000002)*L418^3+0.00032*L418^2+(-0.0021)*L418)+M$1*((-0.000002)*M418^3+0.00032*M418^2+(-0.0021)*M418)+N$1*((-0.000002)*N418^3+0.00032*N418^2+(-0.0021)*N418)+O$1*((-0.000002)*O418^3+0.00032*O418^2+(-0.0021)*O418)</f>
        <v/>
      </c>
      <c r="W418">
        <f>P$1*((-0.000002)*P418^3+0.00032*P418^2+(-0.0021)*P418)+Q$1*((-0.000002)*Q418^3+0.00032*Q418^2+(-0.0021)*Q418)+R$1*((-0.000002)*R418^3+0.00032*R418^2+(-0.0021)*R418)+S$1*((-0.000002)*S418^3+0.00032*S418^2+(-0.0021)*S418)+T$1*((-0.000002)*T418^3+0.00032*T418^2+(-0.0021)*T418)</f>
        <v/>
      </c>
      <c r="X418">
        <f>(I$1*((-0.000002)*I418^3+0.00032*I418^2+(-0.0021)*I418)+J$1*((-0.000002)*J418^3+0.00032*J418^2+(-0.0021)*J418)+H$1*((-0.000002)*H418^3+0.00032*H418^2+(-0.0021)*H418))*(MAX(0.05,MIN(1,(2*J418+I418)/120)*MIN(1,I418/10)*MIN(1,J418/10)))</f>
        <v/>
      </c>
      <c r="Y418">
        <f>(I$1*((-0.000002)*I418^3+0.00032*I418^2+(-0.0021)*I418)+J$1*((-0.000002)*J418^3+0.00032*J418^2+(-0.0021)*J418)+H$1*((-0.000002)*H418^3+0.00032*H418^2+(-0.0021)*H418))*(MAX(0.05,MIN(1,(2*J418+I418)/120)*MIN(1,I418/10)*MIN(1,J418/10)))</f>
        <v/>
      </c>
      <c r="Z418">
        <f>U418*J$2+V418*O$2+W418*H$2</f>
        <v/>
      </c>
      <c r="AA418">
        <f>IF(AND(J418&gt;50,I418+J418&gt;75),"SP",IF(2*I418+J418&gt;120,"RP","CRAP"))</f>
        <v/>
      </c>
    </row>
    <row r="419" ht="13.5" customHeight="1" s="27" thickBot="1">
      <c r="A419">
        <f>(V419*V$2+W419*W$2+X419*X$2)*100/(V$4*V$2+W$4*W$2+X$4*X$2)</f>
        <v/>
      </c>
      <c r="B419" s="18" t="n"/>
      <c r="C419" s="11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>
        <f>K$1*(0.000001*K419^3)+L$1*((-0.000002)*L419^3+0.00032*L419^2+(-0.0021)*L419)+M$1*((-0.000002)*M419^3+0.00032*M419^2+(-0.0021)*M419)+N$1*((-0.000002)*N419^3+0.00032*N419^2+(-0.0021)*N419)+O$1*((-0.000002)*O419^3+0.00032*O419^2+(-0.0021)*O419)</f>
        <v/>
      </c>
      <c r="W419">
        <f>P$1*((-0.000002)*P419^3+0.00032*P419^2+(-0.0021)*P419)+Q$1*((-0.000002)*Q419^3+0.00032*Q419^2+(-0.0021)*Q419)+R$1*((-0.000002)*R419^3+0.00032*R419^2+(-0.0021)*R419)+S$1*((-0.000002)*S419^3+0.00032*S419^2+(-0.0021)*S419)+T$1*((-0.000002)*T419^3+0.00032*T419^2+(-0.0021)*T419)</f>
        <v/>
      </c>
      <c r="X419">
        <f>(I$1*((-0.000002)*I419^3+0.00032*I419^2+(-0.0021)*I419)+J$1*((-0.000002)*J419^3+0.00032*J419^2+(-0.0021)*J419)+H$1*((-0.000002)*H419^3+0.00032*H419^2+(-0.0021)*H419))*(MAX(0.05,MIN(1,(2*J419+I419)/120)*MIN(1,I419/10)*MIN(1,J419/10)))</f>
        <v/>
      </c>
      <c r="Y419">
        <f>(I$1*((-0.000002)*I419^3+0.00032*I419^2+(-0.0021)*I419)+J$1*((-0.000002)*J419^3+0.00032*J419^2+(-0.0021)*J419)+H$1*((-0.000002)*H419^3+0.00032*H419^2+(-0.0021)*H419))*(MAX(0.05,MIN(1,(2*J419+I419)/120)*MIN(1,I419/10)*MIN(1,J419/10)))</f>
        <v/>
      </c>
      <c r="Z419">
        <f>U419*J$2+V419*O$2+W419*H$2</f>
        <v/>
      </c>
      <c r="AA419">
        <f>IF(AND(J419&gt;50,I419+J419&gt;75),"SP",IF(2*I419+J419&gt;120,"RP","CRAP"))</f>
        <v/>
      </c>
    </row>
    <row r="420" ht="13.5" customHeight="1" s="27" thickBot="1">
      <c r="A420">
        <f>(V420*V$2+W420*W$2+X420*X$2)*100/(V$4*V$2+W$4*W$2+X$4*X$2)</f>
        <v/>
      </c>
      <c r="B420" s="16" t="n"/>
      <c r="C420" s="10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>
        <f>K$1*(0.000001*K420^3)+L$1*((-0.000002)*L420^3+0.00032*L420^2+(-0.0021)*L420)+M$1*((-0.000002)*M420^3+0.00032*M420^2+(-0.0021)*M420)+N$1*((-0.000002)*N420^3+0.00032*N420^2+(-0.0021)*N420)+O$1*((-0.000002)*O420^3+0.00032*O420^2+(-0.0021)*O420)</f>
        <v/>
      </c>
      <c r="W420">
        <f>P$1*((-0.000002)*P420^3+0.00032*P420^2+(-0.0021)*P420)+Q$1*((-0.000002)*Q420^3+0.00032*Q420^2+(-0.0021)*Q420)+R$1*((-0.000002)*R420^3+0.00032*R420^2+(-0.0021)*R420)+S$1*((-0.000002)*S420^3+0.00032*S420^2+(-0.0021)*S420)+T$1*((-0.000002)*T420^3+0.00032*T420^2+(-0.0021)*T420)</f>
        <v/>
      </c>
      <c r="X420">
        <f>(I$1*((-0.000002)*I420^3+0.00032*I420^2+(-0.0021)*I420)+J$1*((-0.000002)*J420^3+0.00032*J420^2+(-0.0021)*J420)+H$1*((-0.000002)*H420^3+0.00032*H420^2+(-0.0021)*H420))*(MAX(0.05,MIN(1,(2*J420+I420)/120)*MIN(1,I420/10)*MIN(1,J420/10)))</f>
        <v/>
      </c>
      <c r="Y420">
        <f>(I$1*((-0.000002)*I420^3+0.00032*I420^2+(-0.0021)*I420)+J$1*((-0.000002)*J420^3+0.00032*J420^2+(-0.0021)*J420)+H$1*((-0.000002)*H420^3+0.00032*H420^2+(-0.0021)*H420))*(MAX(0.05,MIN(1,(2*J420+I420)/120)*MIN(1,I420/10)*MIN(1,J420/10)))</f>
        <v/>
      </c>
      <c r="Z420">
        <f>U420*J$2+V420*O$2+W420*H$2</f>
        <v/>
      </c>
      <c r="AA420">
        <f>IF(AND(J420&gt;50,I420+J420&gt;75),"SP",IF(2*I420+J420&gt;120,"RP","CRAP"))</f>
        <v/>
      </c>
    </row>
    <row r="421" ht="13.5" customHeight="1" s="27" thickBot="1">
      <c r="A421">
        <f>(V421*V$2+W421*W$2+X421*X$2)*100/(V$4*V$2+W$4*W$2+X$4*X$2)</f>
        <v/>
      </c>
      <c r="B421" s="18" t="n"/>
      <c r="C421" s="11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>
        <f>K$1*(0.000001*K421^3)+L$1*((-0.000002)*L421^3+0.00032*L421^2+(-0.0021)*L421)+M$1*((-0.000002)*M421^3+0.00032*M421^2+(-0.0021)*M421)+N$1*((-0.000002)*N421^3+0.00032*N421^2+(-0.0021)*N421)+O$1*((-0.000002)*O421^3+0.00032*O421^2+(-0.0021)*O421)</f>
        <v/>
      </c>
      <c r="W421">
        <f>P$1*((-0.000002)*P421^3+0.00032*P421^2+(-0.0021)*P421)+Q$1*((-0.000002)*Q421^3+0.00032*Q421^2+(-0.0021)*Q421)+R$1*((-0.000002)*R421^3+0.00032*R421^2+(-0.0021)*R421)+S$1*((-0.000002)*S421^3+0.00032*S421^2+(-0.0021)*S421)+T$1*((-0.000002)*T421^3+0.00032*T421^2+(-0.0021)*T421)</f>
        <v/>
      </c>
      <c r="X421">
        <f>(I$1*((-0.000002)*I421^3+0.00032*I421^2+(-0.0021)*I421)+J$1*((-0.000002)*J421^3+0.00032*J421^2+(-0.0021)*J421)+H$1*((-0.000002)*H421^3+0.00032*H421^2+(-0.0021)*H421))*(MAX(0.05,MIN(1,(2*J421+I421)/120)*MIN(1,I421/10)*MIN(1,J421/10)))</f>
        <v/>
      </c>
      <c r="Y421">
        <f>(I$1*((-0.000002)*I421^3+0.00032*I421^2+(-0.0021)*I421)+J$1*((-0.000002)*J421^3+0.00032*J421^2+(-0.0021)*J421)+H$1*((-0.000002)*H421^3+0.00032*H421^2+(-0.0021)*H421))*(MAX(0.05,MIN(1,(2*J421+I421)/120)*MIN(1,I421/10)*MIN(1,J421/10)))</f>
        <v/>
      </c>
      <c r="Z421">
        <f>U421*J$2+V421*O$2+W421*H$2</f>
        <v/>
      </c>
      <c r="AA421">
        <f>IF(AND(J421&gt;50,I421+J421&gt;75),"SP",IF(2*I421+J421&gt;120,"RP","CRAP"))</f>
        <v/>
      </c>
    </row>
    <row r="422" ht="13.5" customHeight="1" s="27" thickBot="1">
      <c r="A422">
        <f>(V422*V$2+W422*W$2+X422*X$2)*100/(V$4*V$2+W$4*W$2+X$4*X$2)</f>
        <v/>
      </c>
      <c r="B422" s="16" t="n"/>
      <c r="C422" s="10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>
        <f>K$1*(0.000001*K422^3)+L$1*((-0.000002)*L422^3+0.00032*L422^2+(-0.0021)*L422)+M$1*((-0.000002)*M422^3+0.00032*M422^2+(-0.0021)*M422)+N$1*((-0.000002)*N422^3+0.00032*N422^2+(-0.0021)*N422)+O$1*((-0.000002)*O422^3+0.00032*O422^2+(-0.0021)*O422)</f>
        <v/>
      </c>
      <c r="W422">
        <f>P$1*((-0.000002)*P422^3+0.00032*P422^2+(-0.0021)*P422)+Q$1*((-0.000002)*Q422^3+0.00032*Q422^2+(-0.0021)*Q422)+R$1*((-0.000002)*R422^3+0.00032*R422^2+(-0.0021)*R422)+S$1*((-0.000002)*S422^3+0.00032*S422^2+(-0.0021)*S422)+T$1*((-0.000002)*T422^3+0.00032*T422^2+(-0.0021)*T422)</f>
        <v/>
      </c>
      <c r="X422">
        <f>(I$1*((-0.000002)*I422^3+0.00032*I422^2+(-0.0021)*I422)+J$1*((-0.000002)*J422^3+0.00032*J422^2+(-0.0021)*J422)+H$1*((-0.000002)*H422^3+0.00032*H422^2+(-0.0021)*H422))*(MAX(0.05,MIN(1,(2*J422+I422)/120)*MIN(1,I422/10)*MIN(1,J422/10)))</f>
        <v/>
      </c>
      <c r="Y422">
        <f>(I$1*((-0.000002)*I422^3+0.00032*I422^2+(-0.0021)*I422)+J$1*((-0.000002)*J422^3+0.00032*J422^2+(-0.0021)*J422)+H$1*((-0.000002)*H422^3+0.00032*H422^2+(-0.0021)*H422))*(MAX(0.05,MIN(1,(2*J422+I422)/120)*MIN(1,I422/10)*MIN(1,J422/10)))</f>
        <v/>
      </c>
      <c r="Z422">
        <f>U422*J$2+V422*O$2+W422*H$2</f>
        <v/>
      </c>
      <c r="AA422">
        <f>IF(AND(J422&gt;50,I422+J422&gt;75),"SP",IF(2*I422+J422&gt;120,"RP","CRAP"))</f>
        <v/>
      </c>
    </row>
    <row r="423" ht="13.5" customHeight="1" s="27" thickBot="1">
      <c r="A423">
        <f>(V423*V$2+W423*W$2+X423*X$2)*100/(V$4*V$2+W$4*W$2+X$4*X$2)</f>
        <v/>
      </c>
      <c r="B423" s="18" t="n"/>
      <c r="C423" s="11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>
        <f>K$1*(0.000001*K423^3)+L$1*((-0.000002)*L423^3+0.00032*L423^2+(-0.0021)*L423)+M$1*((-0.000002)*M423^3+0.00032*M423^2+(-0.0021)*M423)+N$1*((-0.000002)*N423^3+0.00032*N423^2+(-0.0021)*N423)+O$1*((-0.000002)*O423^3+0.00032*O423^2+(-0.0021)*O423)</f>
        <v/>
      </c>
      <c r="W423">
        <f>P$1*((-0.000002)*P423^3+0.00032*P423^2+(-0.0021)*P423)+Q$1*((-0.000002)*Q423^3+0.00032*Q423^2+(-0.0021)*Q423)+R$1*((-0.000002)*R423^3+0.00032*R423^2+(-0.0021)*R423)+S$1*((-0.000002)*S423^3+0.00032*S423^2+(-0.0021)*S423)+T$1*((-0.000002)*T423^3+0.00032*T423^2+(-0.0021)*T423)</f>
        <v/>
      </c>
      <c r="X423">
        <f>(I$1*((-0.000002)*I423^3+0.00032*I423^2+(-0.0021)*I423)+J$1*((-0.000002)*J423^3+0.00032*J423^2+(-0.0021)*J423)+H$1*((-0.000002)*H423^3+0.00032*H423^2+(-0.0021)*H423))*(MAX(0.05,MIN(1,(2*J423+I423)/120)*MIN(1,I423/10)*MIN(1,J423/10)))</f>
        <v/>
      </c>
      <c r="Y423">
        <f>(I$1*((-0.000002)*I423^3+0.00032*I423^2+(-0.0021)*I423)+J$1*((-0.000002)*J423^3+0.00032*J423^2+(-0.0021)*J423)+H$1*((-0.000002)*H423^3+0.00032*H423^2+(-0.0021)*H423))*(MAX(0.05,MIN(1,(2*J423+I423)/120)*MIN(1,I423/10)*MIN(1,J423/10)))</f>
        <v/>
      </c>
      <c r="Z423">
        <f>U423*J$2+V423*O$2+W423*H$2</f>
        <v/>
      </c>
      <c r="AA423">
        <f>IF(AND(J423&gt;50,I423+J423&gt;75),"SP",IF(2*I423+J423&gt;120,"RP","CRAP"))</f>
        <v/>
      </c>
    </row>
    <row r="424" ht="13.5" customHeight="1" s="27" thickBot="1">
      <c r="A424">
        <f>(V424*V$2+W424*W$2+X424*X$2)*100/(V$4*V$2+W$4*W$2+X$4*X$2)</f>
        <v/>
      </c>
      <c r="B424" s="16" t="n"/>
      <c r="C424" s="10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>
        <f>K$1*(0.000001*K424^3)+L$1*((-0.000002)*L424^3+0.00032*L424^2+(-0.0021)*L424)+M$1*((-0.000002)*M424^3+0.00032*M424^2+(-0.0021)*M424)+N$1*((-0.000002)*N424^3+0.00032*N424^2+(-0.0021)*N424)+O$1*((-0.000002)*O424^3+0.00032*O424^2+(-0.0021)*O424)</f>
        <v/>
      </c>
      <c r="W424">
        <f>P$1*((-0.000002)*P424^3+0.00032*P424^2+(-0.0021)*P424)+Q$1*((-0.000002)*Q424^3+0.00032*Q424^2+(-0.0021)*Q424)+R$1*((-0.000002)*R424^3+0.00032*R424^2+(-0.0021)*R424)+S$1*((-0.000002)*S424^3+0.00032*S424^2+(-0.0021)*S424)+T$1*((-0.000002)*T424^3+0.00032*T424^2+(-0.0021)*T424)</f>
        <v/>
      </c>
      <c r="X424">
        <f>(I$1*((-0.000002)*I424^3+0.00032*I424^2+(-0.0021)*I424)+J$1*((-0.000002)*J424^3+0.00032*J424^2+(-0.0021)*J424)+H$1*((-0.000002)*H424^3+0.00032*H424^2+(-0.0021)*H424))*(MAX(0.05,MIN(1,(2*J424+I424)/120)*MIN(1,I424/10)*MIN(1,J424/10)))</f>
        <v/>
      </c>
      <c r="Y424">
        <f>(I$1*((-0.000002)*I424^3+0.00032*I424^2+(-0.0021)*I424)+J$1*((-0.000002)*J424^3+0.00032*J424^2+(-0.0021)*J424)+H$1*((-0.000002)*H424^3+0.00032*H424^2+(-0.0021)*H424))*(MAX(0.05,MIN(1,(2*J424+I424)/120)*MIN(1,I424/10)*MIN(1,J424/10)))</f>
        <v/>
      </c>
      <c r="Z424">
        <f>U424*J$2+V424*O$2+W424*H$2</f>
        <v/>
      </c>
      <c r="AA424">
        <f>IF(AND(J424&gt;50,I424+J424&gt;75),"SP",IF(2*I424+J424&gt;120,"RP","CRAP"))</f>
        <v/>
      </c>
    </row>
    <row r="425" ht="13.5" customHeight="1" s="27" thickBot="1">
      <c r="A425">
        <f>(V425*V$2+W425*W$2+X425*X$2)*100/(V$4*V$2+W$4*W$2+X$4*X$2)</f>
        <v/>
      </c>
      <c r="B425" s="18" t="n"/>
      <c r="C425" s="11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>
        <f>K$1*(0.000001*K425^3)+L$1*((-0.000002)*L425^3+0.00032*L425^2+(-0.0021)*L425)+M$1*((-0.000002)*M425^3+0.00032*M425^2+(-0.0021)*M425)+N$1*((-0.000002)*N425^3+0.00032*N425^2+(-0.0021)*N425)+O$1*((-0.000002)*O425^3+0.00032*O425^2+(-0.0021)*O425)</f>
        <v/>
      </c>
      <c r="W425">
        <f>P$1*((-0.000002)*P425^3+0.00032*P425^2+(-0.0021)*P425)+Q$1*((-0.000002)*Q425^3+0.00032*Q425^2+(-0.0021)*Q425)+R$1*((-0.000002)*R425^3+0.00032*R425^2+(-0.0021)*R425)+S$1*((-0.000002)*S425^3+0.00032*S425^2+(-0.0021)*S425)+T$1*((-0.000002)*T425^3+0.00032*T425^2+(-0.0021)*T425)</f>
        <v/>
      </c>
      <c r="X425">
        <f>(I$1*((-0.000002)*I425^3+0.00032*I425^2+(-0.0021)*I425)+J$1*((-0.000002)*J425^3+0.00032*J425^2+(-0.0021)*J425)+H$1*((-0.000002)*H425^3+0.00032*H425^2+(-0.0021)*H425))*(MAX(0.05,MIN(1,(2*J425+I425)/120)*MIN(1,I425/10)*MIN(1,J425/10)))</f>
        <v/>
      </c>
      <c r="Y425">
        <f>(I$1*((-0.000002)*I425^3+0.00032*I425^2+(-0.0021)*I425)+J$1*((-0.000002)*J425^3+0.00032*J425^2+(-0.0021)*J425)+H$1*((-0.000002)*H425^3+0.00032*H425^2+(-0.0021)*H425))*(MAX(0.05,MIN(1,(2*J425+I425)/120)*MIN(1,I425/10)*MIN(1,J425/10)))</f>
        <v/>
      </c>
      <c r="Z425">
        <f>U425*J$2+V425*O$2+W425*H$2</f>
        <v/>
      </c>
      <c r="AA425">
        <f>IF(AND(J425&gt;50,I425+J425&gt;75),"SP",IF(2*I425+J425&gt;120,"RP","CRAP"))</f>
        <v/>
      </c>
    </row>
    <row r="426" ht="13.5" customHeight="1" s="27" thickBot="1">
      <c r="A426">
        <f>(V426*V$2+W426*W$2+X426*X$2)*100/(V$4*V$2+W$4*W$2+X$4*X$2)</f>
        <v/>
      </c>
      <c r="B426" s="16" t="n"/>
      <c r="C426" s="10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>
        <f>K$1*(0.000001*K426^3)+L$1*((-0.000002)*L426^3+0.00032*L426^2+(-0.0021)*L426)+M$1*((-0.000002)*M426^3+0.00032*M426^2+(-0.0021)*M426)+N$1*((-0.000002)*N426^3+0.00032*N426^2+(-0.0021)*N426)+O$1*((-0.000002)*O426^3+0.00032*O426^2+(-0.0021)*O426)</f>
        <v/>
      </c>
      <c r="W426">
        <f>P$1*((-0.000002)*P426^3+0.00032*P426^2+(-0.0021)*P426)+Q$1*((-0.000002)*Q426^3+0.00032*Q426^2+(-0.0021)*Q426)+R$1*((-0.000002)*R426^3+0.00032*R426^2+(-0.0021)*R426)+S$1*((-0.000002)*S426^3+0.00032*S426^2+(-0.0021)*S426)+T$1*((-0.000002)*T426^3+0.00032*T426^2+(-0.0021)*T426)</f>
        <v/>
      </c>
      <c r="X426">
        <f>(I$1*((-0.000002)*I426^3+0.00032*I426^2+(-0.0021)*I426)+J$1*((-0.000002)*J426^3+0.00032*J426^2+(-0.0021)*J426)+H$1*((-0.000002)*H426^3+0.00032*H426^2+(-0.0021)*H426))*(MAX(0.05,MIN(1,(2*J426+I426)/120)*MIN(1,I426/10)*MIN(1,J426/10)))</f>
        <v/>
      </c>
      <c r="Y426">
        <f>(I$1*((-0.000002)*I426^3+0.00032*I426^2+(-0.0021)*I426)+J$1*((-0.000002)*J426^3+0.00032*J426^2+(-0.0021)*J426)+H$1*((-0.000002)*H426^3+0.00032*H426^2+(-0.0021)*H426))*(MAX(0.05,MIN(1,(2*J426+I426)/120)*MIN(1,I426/10)*MIN(1,J426/10)))</f>
        <v/>
      </c>
      <c r="Z426">
        <f>U426*J$2+V426*O$2+W426*H$2</f>
        <v/>
      </c>
      <c r="AA426">
        <f>IF(AND(J426&gt;50,I426+J426&gt;75),"SP",IF(2*I426+J426&gt;120,"RP","CRAP"))</f>
        <v/>
      </c>
    </row>
    <row r="427" ht="13.5" customHeight="1" s="27" thickBot="1">
      <c r="A427">
        <f>(V427*V$2+W427*W$2+X427*X$2)*100/(V$4*V$2+W$4*W$2+X$4*X$2)</f>
        <v/>
      </c>
      <c r="B427" s="18" t="n"/>
      <c r="C427" s="11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>
        <f>K$1*(0.000001*K427^3)+L$1*((-0.000002)*L427^3+0.00032*L427^2+(-0.0021)*L427)+M$1*((-0.000002)*M427^3+0.00032*M427^2+(-0.0021)*M427)+N$1*((-0.000002)*N427^3+0.00032*N427^2+(-0.0021)*N427)+O$1*((-0.000002)*O427^3+0.00032*O427^2+(-0.0021)*O427)</f>
        <v/>
      </c>
      <c r="W427">
        <f>P$1*((-0.000002)*P427^3+0.00032*P427^2+(-0.0021)*P427)+Q$1*((-0.000002)*Q427^3+0.00032*Q427^2+(-0.0021)*Q427)+R$1*((-0.000002)*R427^3+0.00032*R427^2+(-0.0021)*R427)+S$1*((-0.000002)*S427^3+0.00032*S427^2+(-0.0021)*S427)+T$1*((-0.000002)*T427^3+0.00032*T427^2+(-0.0021)*T427)</f>
        <v/>
      </c>
      <c r="X427">
        <f>(I$1*((-0.000002)*I427^3+0.00032*I427^2+(-0.0021)*I427)+J$1*((-0.000002)*J427^3+0.00032*J427^2+(-0.0021)*J427)+H$1*((-0.000002)*H427^3+0.00032*H427^2+(-0.0021)*H427))*(MAX(0.05,MIN(1,(2*J427+I427)/120)*MIN(1,I427/10)*MIN(1,J427/10)))</f>
        <v/>
      </c>
      <c r="Y427">
        <f>(I$1*((-0.000002)*I427^3+0.00032*I427^2+(-0.0021)*I427)+J$1*((-0.000002)*J427^3+0.00032*J427^2+(-0.0021)*J427)+H$1*((-0.000002)*H427^3+0.00032*H427^2+(-0.0021)*H427))*(MAX(0.05,MIN(1,(2*J427+I427)/120)*MIN(1,I427/10)*MIN(1,J427/10)))</f>
        <v/>
      </c>
      <c r="Z427">
        <f>U427*J$2+V427*O$2+W427*H$2</f>
        <v/>
      </c>
      <c r="AA427">
        <f>IF(AND(J427&gt;50,I427+J427&gt;75),"SP",IF(2*I427+J427&gt;120,"RP","CRAP"))</f>
        <v/>
      </c>
    </row>
    <row r="428" ht="13.5" customHeight="1" s="27" thickBot="1">
      <c r="A428">
        <f>(V428*V$2+W428*W$2+X428*X$2)*100/(V$4*V$2+W$4*W$2+X$4*X$2)</f>
        <v/>
      </c>
      <c r="B428" s="16" t="n"/>
      <c r="C428" s="10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>
        <f>K$1*(0.000001*K428^3)+L$1*((-0.000002)*L428^3+0.00032*L428^2+(-0.0021)*L428)+M$1*((-0.000002)*M428^3+0.00032*M428^2+(-0.0021)*M428)+N$1*((-0.000002)*N428^3+0.00032*N428^2+(-0.0021)*N428)+O$1*((-0.000002)*O428^3+0.00032*O428^2+(-0.0021)*O428)</f>
        <v/>
      </c>
      <c r="W428">
        <f>P$1*((-0.000002)*P428^3+0.00032*P428^2+(-0.0021)*P428)+Q$1*((-0.000002)*Q428^3+0.00032*Q428^2+(-0.0021)*Q428)+R$1*((-0.000002)*R428^3+0.00032*R428^2+(-0.0021)*R428)+S$1*((-0.000002)*S428^3+0.00032*S428^2+(-0.0021)*S428)+T$1*((-0.000002)*T428^3+0.00032*T428^2+(-0.0021)*T428)</f>
        <v/>
      </c>
      <c r="X428">
        <f>(I$1*((-0.000002)*I428^3+0.00032*I428^2+(-0.0021)*I428)+J$1*((-0.000002)*J428^3+0.00032*J428^2+(-0.0021)*J428)+H$1*((-0.000002)*H428^3+0.00032*H428^2+(-0.0021)*H428))*(MAX(0.05,MIN(1,(2*J428+I428)/120)*MIN(1,I428/10)*MIN(1,J428/10)))</f>
        <v/>
      </c>
      <c r="Y428">
        <f>(I$1*((-0.000002)*I428^3+0.00032*I428^2+(-0.0021)*I428)+J$1*((-0.000002)*J428^3+0.00032*J428^2+(-0.0021)*J428)+H$1*((-0.000002)*H428^3+0.00032*H428^2+(-0.0021)*H428))*(MAX(0.05,MIN(1,(2*J428+I428)/120)*MIN(1,I428/10)*MIN(1,J428/10)))</f>
        <v/>
      </c>
      <c r="Z428">
        <f>U428*J$2+V428*O$2+W428*H$2</f>
        <v/>
      </c>
      <c r="AA428">
        <f>IF(AND(J428&gt;50,I428+J428&gt;75),"SP",IF(2*I428+J428&gt;120,"RP","CRAP"))</f>
        <v/>
      </c>
    </row>
    <row r="429" ht="13.5" customHeight="1" s="27" thickBot="1">
      <c r="A429">
        <f>(V429*V$2+W429*W$2+X429*X$2)*100/(V$4*V$2+W$4*W$2+X$4*X$2)</f>
        <v/>
      </c>
      <c r="B429" s="18" t="n"/>
      <c r="C429" s="11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>
        <f>K$1*(0.000001*K429^3)+L$1*((-0.000002)*L429^3+0.00032*L429^2+(-0.0021)*L429)+M$1*((-0.000002)*M429^3+0.00032*M429^2+(-0.0021)*M429)+N$1*((-0.000002)*N429^3+0.00032*N429^2+(-0.0021)*N429)+O$1*((-0.000002)*O429^3+0.00032*O429^2+(-0.0021)*O429)</f>
        <v/>
      </c>
      <c r="W429">
        <f>P$1*((-0.000002)*P429^3+0.00032*P429^2+(-0.0021)*P429)+Q$1*((-0.000002)*Q429^3+0.00032*Q429^2+(-0.0021)*Q429)+R$1*((-0.000002)*R429^3+0.00032*R429^2+(-0.0021)*R429)+S$1*((-0.000002)*S429^3+0.00032*S429^2+(-0.0021)*S429)+T$1*((-0.000002)*T429^3+0.00032*T429^2+(-0.0021)*T429)</f>
        <v/>
      </c>
      <c r="X429">
        <f>(I$1*((-0.000002)*I429^3+0.00032*I429^2+(-0.0021)*I429)+J$1*((-0.000002)*J429^3+0.00032*J429^2+(-0.0021)*J429)+H$1*((-0.000002)*H429^3+0.00032*H429^2+(-0.0021)*H429))*(MAX(0.05,MIN(1,(2*J429+I429)/120)*MIN(1,I429/10)*MIN(1,J429/10)))</f>
        <v/>
      </c>
      <c r="Y429">
        <f>(I$1*((-0.000002)*I429^3+0.00032*I429^2+(-0.0021)*I429)+J$1*((-0.000002)*J429^3+0.00032*J429^2+(-0.0021)*J429)+H$1*((-0.000002)*H429^3+0.00032*H429^2+(-0.0021)*H429))*(MAX(0.05,MIN(1,(2*J429+I429)/120)*MIN(1,I429/10)*MIN(1,J429/10)))</f>
        <v/>
      </c>
      <c r="Z429">
        <f>U429*J$2+V429*O$2+W429*H$2</f>
        <v/>
      </c>
      <c r="AA429">
        <f>IF(AND(J429&gt;50,I429+J429&gt;75),"SP",IF(2*I429+J429&gt;120,"RP","CRAP"))</f>
        <v/>
      </c>
    </row>
    <row r="430" ht="13.5" customHeight="1" s="27" thickBot="1">
      <c r="A430">
        <f>(V430*V$2+W430*W$2+X430*X$2)*100/(V$4*V$2+W$4*W$2+X$4*X$2)</f>
        <v/>
      </c>
      <c r="B430" s="16" t="n"/>
      <c r="C430" s="10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>
        <f>K$1*(0.000001*K430^3)+L$1*((-0.000002)*L430^3+0.00032*L430^2+(-0.0021)*L430)+M$1*((-0.000002)*M430^3+0.00032*M430^2+(-0.0021)*M430)+N$1*((-0.000002)*N430^3+0.00032*N430^2+(-0.0021)*N430)+O$1*((-0.000002)*O430^3+0.00032*O430^2+(-0.0021)*O430)</f>
        <v/>
      </c>
      <c r="W430">
        <f>P$1*((-0.000002)*P430^3+0.00032*P430^2+(-0.0021)*P430)+Q$1*((-0.000002)*Q430^3+0.00032*Q430^2+(-0.0021)*Q430)+R$1*((-0.000002)*R430^3+0.00032*R430^2+(-0.0021)*R430)+S$1*((-0.000002)*S430^3+0.00032*S430^2+(-0.0021)*S430)+T$1*((-0.000002)*T430^3+0.00032*T430^2+(-0.0021)*T430)</f>
        <v/>
      </c>
      <c r="X430">
        <f>(I$1*((-0.000002)*I430^3+0.00032*I430^2+(-0.0021)*I430)+J$1*((-0.000002)*J430^3+0.00032*J430^2+(-0.0021)*J430)+H$1*((-0.000002)*H430^3+0.00032*H430^2+(-0.0021)*H430))*(MAX(0.05,MIN(1,(2*J430+I430)/120)*MIN(1,I430/10)*MIN(1,J430/10)))</f>
        <v/>
      </c>
      <c r="Y430">
        <f>(I$1*((-0.000002)*I430^3+0.00032*I430^2+(-0.0021)*I430)+J$1*((-0.000002)*J430^3+0.00032*J430^2+(-0.0021)*J430)+H$1*((-0.000002)*H430^3+0.00032*H430^2+(-0.0021)*H430))*(MAX(0.05,MIN(1,(2*J430+I430)/120)*MIN(1,I430/10)*MIN(1,J430/10)))</f>
        <v/>
      </c>
      <c r="Z430">
        <f>U430*J$2+V430*O$2+W430*H$2</f>
        <v/>
      </c>
      <c r="AA430">
        <f>IF(AND(J430&gt;50,I430+J430&gt;75),"SP",IF(2*I430+J430&gt;120,"RP","CRAP"))</f>
        <v/>
      </c>
    </row>
    <row r="431" ht="13.5" customHeight="1" s="27" thickBot="1">
      <c r="A431">
        <f>(V431*V$2+W431*W$2+X431*X$2)*100/(V$4*V$2+W$4*W$2+X$4*X$2)</f>
        <v/>
      </c>
      <c r="B431" s="18" t="n"/>
      <c r="C431" s="11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>
        <f>K$1*(0.000001*K431^3)+L$1*((-0.000002)*L431^3+0.00032*L431^2+(-0.0021)*L431)+M$1*((-0.000002)*M431^3+0.00032*M431^2+(-0.0021)*M431)+N$1*((-0.000002)*N431^3+0.00032*N431^2+(-0.0021)*N431)+O$1*((-0.000002)*O431^3+0.00032*O431^2+(-0.0021)*O431)</f>
        <v/>
      </c>
      <c r="W431">
        <f>P$1*((-0.000002)*P431^3+0.00032*P431^2+(-0.0021)*P431)+Q$1*((-0.000002)*Q431^3+0.00032*Q431^2+(-0.0021)*Q431)+R$1*((-0.000002)*R431^3+0.00032*R431^2+(-0.0021)*R431)+S$1*((-0.000002)*S431^3+0.00032*S431^2+(-0.0021)*S431)+T$1*((-0.000002)*T431^3+0.00032*T431^2+(-0.0021)*T431)</f>
        <v/>
      </c>
      <c r="X431">
        <f>(I$1*((-0.000002)*I431^3+0.00032*I431^2+(-0.0021)*I431)+J$1*((-0.000002)*J431^3+0.00032*J431^2+(-0.0021)*J431)+H$1*((-0.000002)*H431^3+0.00032*H431^2+(-0.0021)*H431))*(MAX(0.05,MIN(1,(2*J431+I431)/120)*MIN(1,I431/10)*MIN(1,J431/10)))</f>
        <v/>
      </c>
      <c r="Y431">
        <f>(I$1*((-0.000002)*I431^3+0.00032*I431^2+(-0.0021)*I431)+J$1*((-0.000002)*J431^3+0.00032*J431^2+(-0.0021)*J431)+H$1*((-0.000002)*H431^3+0.00032*H431^2+(-0.0021)*H431))*(MAX(0.05,MIN(1,(2*J431+I431)/120)*MIN(1,I431/10)*MIN(1,J431/10)))</f>
        <v/>
      </c>
      <c r="Z431">
        <f>U431*J$2+V431*O$2+W431*H$2</f>
        <v/>
      </c>
      <c r="AA431">
        <f>IF(AND(J431&gt;50,I431+J431&gt;75),"SP",IF(2*I431+J431&gt;120,"RP","CRAP"))</f>
        <v/>
      </c>
    </row>
    <row r="432" ht="13.5" customHeight="1" s="27" thickBot="1">
      <c r="A432">
        <f>(V432*V$2+W432*W$2+X432*X$2)*100/(V$4*V$2+W$4*W$2+X$4*X$2)</f>
        <v/>
      </c>
      <c r="B432" s="16" t="n"/>
      <c r="C432" s="10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>
        <f>K$1*(0.000001*K432^3)+L$1*((-0.000002)*L432^3+0.00032*L432^2+(-0.0021)*L432)+M$1*((-0.000002)*M432^3+0.00032*M432^2+(-0.0021)*M432)+N$1*((-0.000002)*N432^3+0.00032*N432^2+(-0.0021)*N432)+O$1*((-0.000002)*O432^3+0.00032*O432^2+(-0.0021)*O432)</f>
        <v/>
      </c>
      <c r="W432">
        <f>P$1*((-0.000002)*P432^3+0.00032*P432^2+(-0.0021)*P432)+Q$1*((-0.000002)*Q432^3+0.00032*Q432^2+(-0.0021)*Q432)+R$1*((-0.000002)*R432^3+0.00032*R432^2+(-0.0021)*R432)+S$1*((-0.000002)*S432^3+0.00032*S432^2+(-0.0021)*S432)+T$1*((-0.000002)*T432^3+0.00032*T432^2+(-0.0021)*T432)</f>
        <v/>
      </c>
      <c r="X432">
        <f>(I$1*((-0.000002)*I432^3+0.00032*I432^2+(-0.0021)*I432)+J$1*((-0.000002)*J432^3+0.00032*J432^2+(-0.0021)*J432)+H$1*((-0.000002)*H432^3+0.00032*H432^2+(-0.0021)*H432))*(MAX(0.05,MIN(1,(2*J432+I432)/120)*MIN(1,I432/10)*MIN(1,J432/10)))</f>
        <v/>
      </c>
      <c r="Y432">
        <f>(I$1*((-0.000002)*I432^3+0.00032*I432^2+(-0.0021)*I432)+J$1*((-0.000002)*J432^3+0.00032*J432^2+(-0.0021)*J432)+H$1*((-0.000002)*H432^3+0.00032*H432^2+(-0.0021)*H432))*(MAX(0.05,MIN(1,(2*J432+I432)/120)*MIN(1,I432/10)*MIN(1,J432/10)))</f>
        <v/>
      </c>
      <c r="Z432">
        <f>U432*J$2+V432*O$2+W432*H$2</f>
        <v/>
      </c>
      <c r="AA432">
        <f>IF(AND(J432&gt;50,I432+J432&gt;75),"SP",IF(2*I432+J432&gt;120,"RP","CRAP"))</f>
        <v/>
      </c>
    </row>
    <row r="433" ht="13.5" customHeight="1" s="27" thickBot="1">
      <c r="A433">
        <f>(V433*V$2+W433*W$2+X433*X$2)*100/(V$4*V$2+W$4*W$2+X$4*X$2)</f>
        <v/>
      </c>
      <c r="B433" s="18" t="n"/>
      <c r="C433" s="11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>
        <f>K$1*(0.000001*K433^3)+L$1*((-0.000002)*L433^3+0.00032*L433^2+(-0.0021)*L433)+M$1*((-0.000002)*M433^3+0.00032*M433^2+(-0.0021)*M433)+N$1*((-0.000002)*N433^3+0.00032*N433^2+(-0.0021)*N433)+O$1*((-0.000002)*O433^3+0.00032*O433^2+(-0.0021)*O433)</f>
        <v/>
      </c>
      <c r="W433">
        <f>P$1*((-0.000002)*P433^3+0.00032*P433^2+(-0.0021)*P433)+Q$1*((-0.000002)*Q433^3+0.00032*Q433^2+(-0.0021)*Q433)+R$1*((-0.000002)*R433^3+0.00032*R433^2+(-0.0021)*R433)+S$1*((-0.000002)*S433^3+0.00032*S433^2+(-0.0021)*S433)+T$1*((-0.000002)*T433^3+0.00032*T433^2+(-0.0021)*T433)</f>
        <v/>
      </c>
      <c r="X433">
        <f>(I$1*((-0.000002)*I433^3+0.00032*I433^2+(-0.0021)*I433)+J$1*((-0.000002)*J433^3+0.00032*J433^2+(-0.0021)*J433)+H$1*((-0.000002)*H433^3+0.00032*H433^2+(-0.0021)*H433))*(MAX(0.05,MIN(1,(2*J433+I433)/120)*MIN(1,I433/10)*MIN(1,J433/10)))</f>
        <v/>
      </c>
      <c r="Y433">
        <f>(I$1*((-0.000002)*I433^3+0.00032*I433^2+(-0.0021)*I433)+J$1*((-0.000002)*J433^3+0.00032*J433^2+(-0.0021)*J433)+H$1*((-0.000002)*H433^3+0.00032*H433^2+(-0.0021)*H433))*(MAX(0.05,MIN(1,(2*J433+I433)/120)*MIN(1,I433/10)*MIN(1,J433/10)))</f>
        <v/>
      </c>
      <c r="Z433">
        <f>U433*J$2+V433*O$2+W433*H$2</f>
        <v/>
      </c>
      <c r="AA433">
        <f>IF(AND(J433&gt;50,I433+J433&gt;75),"SP",IF(2*I433+J433&gt;120,"RP","CRAP"))</f>
        <v/>
      </c>
    </row>
    <row r="434" ht="13.5" customHeight="1" s="27" thickBot="1">
      <c r="A434">
        <f>(V434*V$2+W434*W$2+X434*X$2)*100/(V$4*V$2+W$4*W$2+X$4*X$2)</f>
        <v/>
      </c>
      <c r="B434" s="16" t="n"/>
      <c r="C434" s="10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>
        <f>K$1*(0.000001*K434^3)+L$1*((-0.000002)*L434^3+0.00032*L434^2+(-0.0021)*L434)+M$1*((-0.000002)*M434^3+0.00032*M434^2+(-0.0021)*M434)+N$1*((-0.000002)*N434^3+0.00032*N434^2+(-0.0021)*N434)+O$1*((-0.000002)*O434^3+0.00032*O434^2+(-0.0021)*O434)</f>
        <v/>
      </c>
      <c r="W434">
        <f>P$1*((-0.000002)*P434^3+0.00032*P434^2+(-0.0021)*P434)+Q$1*((-0.000002)*Q434^3+0.00032*Q434^2+(-0.0021)*Q434)+R$1*((-0.000002)*R434^3+0.00032*R434^2+(-0.0021)*R434)+S$1*((-0.000002)*S434^3+0.00032*S434^2+(-0.0021)*S434)+T$1*((-0.000002)*T434^3+0.00032*T434^2+(-0.0021)*T434)</f>
        <v/>
      </c>
      <c r="X434">
        <f>(I$1*((-0.000002)*I434^3+0.00032*I434^2+(-0.0021)*I434)+J$1*((-0.000002)*J434^3+0.00032*J434^2+(-0.0021)*J434)+H$1*((-0.000002)*H434^3+0.00032*H434^2+(-0.0021)*H434))*(MAX(0.05,MIN(1,(2*J434+I434)/120)*MIN(1,I434/10)*MIN(1,J434/10)))</f>
        <v/>
      </c>
      <c r="Y434">
        <f>(I$1*((-0.000002)*I434^3+0.00032*I434^2+(-0.0021)*I434)+J$1*((-0.000002)*J434^3+0.00032*J434^2+(-0.0021)*J434)+H$1*((-0.000002)*H434^3+0.00032*H434^2+(-0.0021)*H434))*(MAX(0.05,MIN(1,(2*J434+I434)/120)*MIN(1,I434/10)*MIN(1,J434/10)))</f>
        <v/>
      </c>
      <c r="Z434">
        <f>U434*J$2+V434*O$2+W434*H$2</f>
        <v/>
      </c>
      <c r="AA434">
        <f>IF(AND(J434&gt;50,I434+J434&gt;75),"SP",IF(2*I434+J434&gt;120,"RP","CRAP"))</f>
        <v/>
      </c>
    </row>
    <row r="435" ht="13.5" customHeight="1" s="27" thickBot="1">
      <c r="A435">
        <f>(V435*V$2+W435*W$2+X435*X$2)*100/(V$4*V$2+W$4*W$2+X$4*X$2)</f>
        <v/>
      </c>
      <c r="B435" s="18" t="n"/>
      <c r="C435" s="11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>
        <f>K$1*(0.000001*K435^3)+L$1*((-0.000002)*L435^3+0.00032*L435^2+(-0.0021)*L435)+M$1*((-0.000002)*M435^3+0.00032*M435^2+(-0.0021)*M435)+N$1*((-0.000002)*N435^3+0.00032*N435^2+(-0.0021)*N435)+O$1*((-0.000002)*O435^3+0.00032*O435^2+(-0.0021)*O435)</f>
        <v/>
      </c>
      <c r="W435">
        <f>P$1*((-0.000002)*P435^3+0.00032*P435^2+(-0.0021)*P435)+Q$1*((-0.000002)*Q435^3+0.00032*Q435^2+(-0.0021)*Q435)+R$1*((-0.000002)*R435^3+0.00032*R435^2+(-0.0021)*R435)+S$1*((-0.000002)*S435^3+0.00032*S435^2+(-0.0021)*S435)+T$1*((-0.000002)*T435^3+0.00032*T435^2+(-0.0021)*T435)</f>
        <v/>
      </c>
      <c r="X435">
        <f>(I$1*((-0.000002)*I435^3+0.00032*I435^2+(-0.0021)*I435)+J$1*((-0.000002)*J435^3+0.00032*J435^2+(-0.0021)*J435)+H$1*((-0.000002)*H435^3+0.00032*H435^2+(-0.0021)*H435))*(MAX(0.05,MIN(1,(2*J435+I435)/120)*MIN(1,I435/10)*MIN(1,J435/10)))</f>
        <v/>
      </c>
      <c r="Y435">
        <f>(I$1*((-0.000002)*I435^3+0.00032*I435^2+(-0.0021)*I435)+J$1*((-0.000002)*J435^3+0.00032*J435^2+(-0.0021)*J435)+H$1*((-0.000002)*H435^3+0.00032*H435^2+(-0.0021)*H435))*(MAX(0.05,MIN(1,(2*J435+I435)/120)*MIN(1,I435/10)*MIN(1,J435/10)))</f>
        <v/>
      </c>
      <c r="Z435">
        <f>U435*J$2+V435*O$2+W435*H$2</f>
        <v/>
      </c>
      <c r="AA435">
        <f>IF(AND(J435&gt;50,I435+J435&gt;75),"SP",IF(2*I435+J435&gt;120,"RP","CRAP"))</f>
        <v/>
      </c>
    </row>
    <row r="436" ht="13.5" customHeight="1" s="27" thickBot="1">
      <c r="A436">
        <f>(V436*V$2+W436*W$2+X436*X$2)*100/(V$4*V$2+W$4*W$2+X$4*X$2)</f>
        <v/>
      </c>
      <c r="B436" s="16" t="n"/>
      <c r="C436" s="10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>
        <f>K$1*(0.000001*K436^3)+L$1*((-0.000002)*L436^3+0.00032*L436^2+(-0.0021)*L436)+M$1*((-0.000002)*M436^3+0.00032*M436^2+(-0.0021)*M436)+N$1*((-0.000002)*N436^3+0.00032*N436^2+(-0.0021)*N436)+O$1*((-0.000002)*O436^3+0.00032*O436^2+(-0.0021)*O436)</f>
        <v/>
      </c>
      <c r="W436">
        <f>P$1*((-0.000002)*P436^3+0.00032*P436^2+(-0.0021)*P436)+Q$1*((-0.000002)*Q436^3+0.00032*Q436^2+(-0.0021)*Q436)+R$1*((-0.000002)*R436^3+0.00032*R436^2+(-0.0021)*R436)+S$1*((-0.000002)*S436^3+0.00032*S436^2+(-0.0021)*S436)+T$1*((-0.000002)*T436^3+0.00032*T436^2+(-0.0021)*T436)</f>
        <v/>
      </c>
      <c r="X436">
        <f>(I$1*((-0.000002)*I436^3+0.00032*I436^2+(-0.0021)*I436)+J$1*((-0.000002)*J436^3+0.00032*J436^2+(-0.0021)*J436)+H$1*((-0.000002)*H436^3+0.00032*H436^2+(-0.0021)*H436))*(MAX(0.05,MIN(1,(2*J436+I436)/120)*MIN(1,I436/10)*MIN(1,J436/10)))</f>
        <v/>
      </c>
      <c r="Y436">
        <f>(I$1*((-0.000002)*I436^3+0.00032*I436^2+(-0.0021)*I436)+J$1*((-0.000002)*J436^3+0.00032*J436^2+(-0.0021)*J436)+H$1*((-0.000002)*H436^3+0.00032*H436^2+(-0.0021)*H436))*(MAX(0.05,MIN(1,(2*J436+I436)/120)*MIN(1,I436/10)*MIN(1,J436/10)))</f>
        <v/>
      </c>
      <c r="Z436">
        <f>U436*J$2+V436*O$2+W436*H$2</f>
        <v/>
      </c>
      <c r="AA436">
        <f>IF(AND(J436&gt;50,I436+J436&gt;75),"SP",IF(2*I436+J436&gt;120,"RP","CRAP"))</f>
        <v/>
      </c>
    </row>
    <row r="437" ht="13.5" customHeight="1" s="27" thickBot="1">
      <c r="A437">
        <f>(V437*V$2+W437*W$2+X437*X$2)*100/(V$4*V$2+W$4*W$2+X$4*X$2)</f>
        <v/>
      </c>
      <c r="B437" s="18" t="n"/>
      <c r="C437" s="11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>
        <f>K$1*(0.000001*K437^3)+L$1*((-0.000002)*L437^3+0.00032*L437^2+(-0.0021)*L437)+M$1*((-0.000002)*M437^3+0.00032*M437^2+(-0.0021)*M437)+N$1*((-0.000002)*N437^3+0.00032*N437^2+(-0.0021)*N437)+O$1*((-0.000002)*O437^3+0.00032*O437^2+(-0.0021)*O437)</f>
        <v/>
      </c>
      <c r="W437">
        <f>P$1*((-0.000002)*P437^3+0.00032*P437^2+(-0.0021)*P437)+Q$1*((-0.000002)*Q437^3+0.00032*Q437^2+(-0.0021)*Q437)+R$1*((-0.000002)*R437^3+0.00032*R437^2+(-0.0021)*R437)+S$1*((-0.000002)*S437^3+0.00032*S437^2+(-0.0021)*S437)+T$1*((-0.000002)*T437^3+0.00032*T437^2+(-0.0021)*T437)</f>
        <v/>
      </c>
      <c r="X437">
        <f>(I$1*((-0.000002)*I437^3+0.00032*I437^2+(-0.0021)*I437)+J$1*((-0.000002)*J437^3+0.00032*J437^2+(-0.0021)*J437)+H$1*((-0.000002)*H437^3+0.00032*H437^2+(-0.0021)*H437))*(MAX(0.05,MIN(1,(2*J437+I437)/120)*MIN(1,I437/10)*MIN(1,J437/10)))</f>
        <v/>
      </c>
      <c r="Y437">
        <f>(I$1*((-0.000002)*I437^3+0.00032*I437^2+(-0.0021)*I437)+J$1*((-0.000002)*J437^3+0.00032*J437^2+(-0.0021)*J437)+H$1*((-0.000002)*H437^3+0.00032*H437^2+(-0.0021)*H437))*(MAX(0.05,MIN(1,(2*J437+I437)/120)*MIN(1,I437/10)*MIN(1,J437/10)))</f>
        <v/>
      </c>
      <c r="Z437">
        <f>U437*J$2+V437*O$2+W437*H$2</f>
        <v/>
      </c>
      <c r="AA437">
        <f>IF(AND(J437&gt;50,I437+J437&gt;75),"SP",IF(2*I437+J437&gt;120,"RP","CRAP"))</f>
        <v/>
      </c>
    </row>
    <row r="438" ht="13.5" customHeight="1" s="27" thickBot="1">
      <c r="A438">
        <f>(V438*V$2+W438*W$2+X438*X$2)*100/(V$4*V$2+W$4*W$2+X$4*X$2)</f>
        <v/>
      </c>
      <c r="B438" s="16" t="n"/>
      <c r="C438" s="10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>
        <f>K$1*(0.000001*K438^3)+L$1*((-0.000002)*L438^3+0.00032*L438^2+(-0.0021)*L438)+M$1*((-0.000002)*M438^3+0.00032*M438^2+(-0.0021)*M438)+N$1*((-0.000002)*N438^3+0.00032*N438^2+(-0.0021)*N438)+O$1*((-0.000002)*O438^3+0.00032*O438^2+(-0.0021)*O438)</f>
        <v/>
      </c>
      <c r="W438">
        <f>P$1*((-0.000002)*P438^3+0.00032*P438^2+(-0.0021)*P438)+Q$1*((-0.000002)*Q438^3+0.00032*Q438^2+(-0.0021)*Q438)+R$1*((-0.000002)*R438^3+0.00032*R438^2+(-0.0021)*R438)+S$1*((-0.000002)*S438^3+0.00032*S438^2+(-0.0021)*S438)+T$1*((-0.000002)*T438^3+0.00032*T438^2+(-0.0021)*T438)</f>
        <v/>
      </c>
      <c r="X438">
        <f>(I$1*((-0.000002)*I438^3+0.00032*I438^2+(-0.0021)*I438)+J$1*((-0.000002)*J438^3+0.00032*J438^2+(-0.0021)*J438)+H$1*((-0.000002)*H438^3+0.00032*H438^2+(-0.0021)*H438))*(MAX(0.05,MIN(1,(2*J438+I438)/120)*MIN(1,I438/10)*MIN(1,J438/10)))</f>
        <v/>
      </c>
      <c r="Y438">
        <f>(I$1*((-0.000002)*I438^3+0.00032*I438^2+(-0.0021)*I438)+J$1*((-0.000002)*J438^3+0.00032*J438^2+(-0.0021)*J438)+H$1*((-0.000002)*H438^3+0.00032*H438^2+(-0.0021)*H438))*(MAX(0.05,MIN(1,(2*J438+I438)/120)*MIN(1,I438/10)*MIN(1,J438/10)))</f>
        <v/>
      </c>
      <c r="Z438">
        <f>U438*J$2+V438*O$2+W438*H$2</f>
        <v/>
      </c>
      <c r="AA438">
        <f>IF(AND(J438&gt;50,I438+J438&gt;75),"SP",IF(2*I438+J438&gt;120,"RP","CRAP"))</f>
        <v/>
      </c>
    </row>
    <row r="439" ht="13.5" customHeight="1" s="27" thickBot="1">
      <c r="A439">
        <f>(V439*V$2+W439*W$2+X439*X$2)*100/(V$4*V$2+W$4*W$2+X$4*X$2)</f>
        <v/>
      </c>
      <c r="B439" s="18" t="n"/>
      <c r="C439" s="11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>
        <f>K$1*(0.000001*K439^3)+L$1*((-0.000002)*L439^3+0.00032*L439^2+(-0.0021)*L439)+M$1*((-0.000002)*M439^3+0.00032*M439^2+(-0.0021)*M439)+N$1*((-0.000002)*N439^3+0.00032*N439^2+(-0.0021)*N439)+O$1*((-0.000002)*O439^3+0.00032*O439^2+(-0.0021)*O439)</f>
        <v/>
      </c>
      <c r="W439">
        <f>P$1*((-0.000002)*P439^3+0.00032*P439^2+(-0.0021)*P439)+Q$1*((-0.000002)*Q439^3+0.00032*Q439^2+(-0.0021)*Q439)+R$1*((-0.000002)*R439^3+0.00032*R439^2+(-0.0021)*R439)+S$1*((-0.000002)*S439^3+0.00032*S439^2+(-0.0021)*S439)+T$1*((-0.000002)*T439^3+0.00032*T439^2+(-0.0021)*T439)</f>
        <v/>
      </c>
      <c r="X439">
        <f>(I$1*((-0.000002)*I439^3+0.00032*I439^2+(-0.0021)*I439)+J$1*((-0.000002)*J439^3+0.00032*J439^2+(-0.0021)*J439)+H$1*((-0.000002)*H439^3+0.00032*H439^2+(-0.0021)*H439))*(MAX(0.05,MIN(1,(2*J439+I439)/120)*MIN(1,I439/10)*MIN(1,J439/10)))</f>
        <v/>
      </c>
      <c r="Y439">
        <f>(I$1*((-0.000002)*I439^3+0.00032*I439^2+(-0.0021)*I439)+J$1*((-0.000002)*J439^3+0.00032*J439^2+(-0.0021)*J439)+H$1*((-0.000002)*H439^3+0.00032*H439^2+(-0.0021)*H439))*(MAX(0.05,MIN(1,(2*J439+I439)/120)*MIN(1,I439/10)*MIN(1,J439/10)))</f>
        <v/>
      </c>
      <c r="Z439">
        <f>U439*J$2+V439*O$2+W439*H$2</f>
        <v/>
      </c>
      <c r="AA439">
        <f>IF(AND(J439&gt;50,I439+J439&gt;75),"SP",IF(2*I439+J439&gt;120,"RP","CRAP"))</f>
        <v/>
      </c>
    </row>
    <row r="440" ht="13.5" customHeight="1" s="27" thickBot="1">
      <c r="A440">
        <f>(V440*V$2+W440*W$2+X440*X$2)*100/(V$4*V$2+W$4*W$2+X$4*X$2)</f>
        <v/>
      </c>
      <c r="B440" s="16" t="n"/>
      <c r="C440" s="10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>
        <f>K$1*(0.000001*K440^3)+L$1*((-0.000002)*L440^3+0.00032*L440^2+(-0.0021)*L440)+M$1*((-0.000002)*M440^3+0.00032*M440^2+(-0.0021)*M440)+N$1*((-0.000002)*N440^3+0.00032*N440^2+(-0.0021)*N440)+O$1*((-0.000002)*O440^3+0.00032*O440^2+(-0.0021)*O440)</f>
        <v/>
      </c>
      <c r="W440">
        <f>P$1*((-0.000002)*P440^3+0.00032*P440^2+(-0.0021)*P440)+Q$1*((-0.000002)*Q440^3+0.00032*Q440^2+(-0.0021)*Q440)+R$1*((-0.000002)*R440^3+0.00032*R440^2+(-0.0021)*R440)+S$1*((-0.000002)*S440^3+0.00032*S440^2+(-0.0021)*S440)+T$1*((-0.000002)*T440^3+0.00032*T440^2+(-0.0021)*T440)</f>
        <v/>
      </c>
      <c r="X440">
        <f>(I$1*((-0.000002)*I440^3+0.00032*I440^2+(-0.0021)*I440)+J$1*((-0.000002)*J440^3+0.00032*J440^2+(-0.0021)*J440)+H$1*((-0.000002)*H440^3+0.00032*H440^2+(-0.0021)*H440))*(MAX(0.05,MIN(1,(2*J440+I440)/120)*MIN(1,I440/10)*MIN(1,J440/10)))</f>
        <v/>
      </c>
      <c r="Y440">
        <f>(I$1*((-0.000002)*I440^3+0.00032*I440^2+(-0.0021)*I440)+J$1*((-0.000002)*J440^3+0.00032*J440^2+(-0.0021)*J440)+H$1*((-0.000002)*H440^3+0.00032*H440^2+(-0.0021)*H440))*(MAX(0.05,MIN(1,(2*J440+I440)/120)*MIN(1,I440/10)*MIN(1,J440/10)))</f>
        <v/>
      </c>
      <c r="Z440">
        <f>U440*J$2+V440*O$2+W440*H$2</f>
        <v/>
      </c>
      <c r="AA440">
        <f>IF(AND(J440&gt;50,I440+J440&gt;75),"SP",IF(2*I440+J440&gt;120,"RP","CRAP"))</f>
        <v/>
      </c>
    </row>
    <row r="441" ht="13.5" customHeight="1" s="27" thickBot="1">
      <c r="A441">
        <f>(V441*V$2+W441*W$2+X441*X$2)*100/(V$4*V$2+W$4*W$2+X$4*X$2)</f>
        <v/>
      </c>
      <c r="B441" s="18" t="n"/>
      <c r="C441" s="11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>
        <f>K$1*(0.000001*K441^3)+L$1*((-0.000002)*L441^3+0.00032*L441^2+(-0.0021)*L441)+M$1*((-0.000002)*M441^3+0.00032*M441^2+(-0.0021)*M441)+N$1*((-0.000002)*N441^3+0.00032*N441^2+(-0.0021)*N441)+O$1*((-0.000002)*O441^3+0.00032*O441^2+(-0.0021)*O441)</f>
        <v/>
      </c>
      <c r="W441">
        <f>P$1*((-0.000002)*P441^3+0.00032*P441^2+(-0.0021)*P441)+Q$1*((-0.000002)*Q441^3+0.00032*Q441^2+(-0.0021)*Q441)+R$1*((-0.000002)*R441^3+0.00032*R441^2+(-0.0021)*R441)+S$1*((-0.000002)*S441^3+0.00032*S441^2+(-0.0021)*S441)+T$1*((-0.000002)*T441^3+0.00032*T441^2+(-0.0021)*T441)</f>
        <v/>
      </c>
      <c r="X441">
        <f>(I$1*((-0.000002)*I441^3+0.00032*I441^2+(-0.0021)*I441)+J$1*((-0.000002)*J441^3+0.00032*J441^2+(-0.0021)*J441)+H$1*((-0.000002)*H441^3+0.00032*H441^2+(-0.0021)*H441))*(MAX(0.05,MIN(1,(2*J441+I441)/120)*MIN(1,I441/10)*MIN(1,J441/10)))</f>
        <v/>
      </c>
      <c r="Y441">
        <f>(I$1*((-0.000002)*I441^3+0.00032*I441^2+(-0.0021)*I441)+J$1*((-0.000002)*J441^3+0.00032*J441^2+(-0.0021)*J441)+H$1*((-0.000002)*H441^3+0.00032*H441^2+(-0.0021)*H441))*(MAX(0.05,MIN(1,(2*J441+I441)/120)*MIN(1,I441/10)*MIN(1,J441/10)))</f>
        <v/>
      </c>
      <c r="Z441">
        <f>U441*J$2+V441*O$2+W441*H$2</f>
        <v/>
      </c>
      <c r="AA441">
        <f>IF(AND(J441&gt;50,I441+J441&gt;75),"SP",IF(2*I441+J441&gt;120,"RP","CRAP"))</f>
        <v/>
      </c>
    </row>
    <row r="442" ht="13.5" customHeight="1" s="27" thickBot="1">
      <c r="A442">
        <f>(V442*V$2+W442*W$2+X442*X$2)*100/(V$4*V$2+W$4*W$2+X$4*X$2)</f>
        <v/>
      </c>
      <c r="B442" s="16" t="n"/>
      <c r="C442" s="10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>
        <f>K$1*(0.000001*K442^3)+L$1*((-0.000002)*L442^3+0.00032*L442^2+(-0.0021)*L442)+M$1*((-0.000002)*M442^3+0.00032*M442^2+(-0.0021)*M442)+N$1*((-0.000002)*N442^3+0.00032*N442^2+(-0.0021)*N442)+O$1*((-0.000002)*O442^3+0.00032*O442^2+(-0.0021)*O442)</f>
        <v/>
      </c>
      <c r="W442">
        <f>P$1*((-0.000002)*P442^3+0.00032*P442^2+(-0.0021)*P442)+Q$1*((-0.000002)*Q442^3+0.00032*Q442^2+(-0.0021)*Q442)+R$1*((-0.000002)*R442^3+0.00032*R442^2+(-0.0021)*R442)+S$1*((-0.000002)*S442^3+0.00032*S442^2+(-0.0021)*S442)+T$1*((-0.000002)*T442^3+0.00032*T442^2+(-0.0021)*T442)</f>
        <v/>
      </c>
      <c r="X442">
        <f>(I$1*((-0.000002)*I442^3+0.00032*I442^2+(-0.0021)*I442)+J$1*((-0.000002)*J442^3+0.00032*J442^2+(-0.0021)*J442)+H$1*((-0.000002)*H442^3+0.00032*H442^2+(-0.0021)*H442))*(MAX(0.05,MIN(1,(2*J442+I442)/120)*MIN(1,I442/10)*MIN(1,J442/10)))</f>
        <v/>
      </c>
      <c r="Y442">
        <f>(I$1*((-0.000002)*I442^3+0.00032*I442^2+(-0.0021)*I442)+J$1*((-0.000002)*J442^3+0.00032*J442^2+(-0.0021)*J442)+H$1*((-0.000002)*H442^3+0.00032*H442^2+(-0.0021)*H442))*(MAX(0.05,MIN(1,(2*J442+I442)/120)*MIN(1,I442/10)*MIN(1,J442/10)))</f>
        <v/>
      </c>
      <c r="Z442">
        <f>U442*J$2+V442*O$2+W442*H$2</f>
        <v/>
      </c>
      <c r="AA442">
        <f>IF(AND(J442&gt;50,I442+J442&gt;75),"SP",IF(2*I442+J442&gt;120,"RP","CRAP"))</f>
        <v/>
      </c>
    </row>
    <row r="443" ht="13.5" customHeight="1" s="27" thickBot="1">
      <c r="A443">
        <f>(V443*V$2+W443*W$2+X443*X$2)*100/(V$4*V$2+W$4*W$2+X$4*X$2)</f>
        <v/>
      </c>
      <c r="B443" s="18" t="n"/>
      <c r="C443" s="11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>
        <f>K$1*(0.000001*K443^3)+L$1*((-0.000002)*L443^3+0.00032*L443^2+(-0.0021)*L443)+M$1*((-0.000002)*M443^3+0.00032*M443^2+(-0.0021)*M443)+N$1*((-0.000002)*N443^3+0.00032*N443^2+(-0.0021)*N443)+O$1*((-0.000002)*O443^3+0.00032*O443^2+(-0.0021)*O443)</f>
        <v/>
      </c>
      <c r="W443">
        <f>P$1*((-0.000002)*P443^3+0.00032*P443^2+(-0.0021)*P443)+Q$1*((-0.000002)*Q443^3+0.00032*Q443^2+(-0.0021)*Q443)+R$1*((-0.000002)*R443^3+0.00032*R443^2+(-0.0021)*R443)+S$1*((-0.000002)*S443^3+0.00032*S443^2+(-0.0021)*S443)+T$1*((-0.000002)*T443^3+0.00032*T443^2+(-0.0021)*T443)</f>
        <v/>
      </c>
      <c r="X443">
        <f>(I$1*((-0.000002)*I443^3+0.00032*I443^2+(-0.0021)*I443)+J$1*((-0.000002)*J443^3+0.00032*J443^2+(-0.0021)*J443)+H$1*((-0.000002)*H443^3+0.00032*H443^2+(-0.0021)*H443))*(MAX(0.05,MIN(1,(2*J443+I443)/120)*MIN(1,I443/10)*MIN(1,J443/10)))</f>
        <v/>
      </c>
      <c r="Y443">
        <f>(I$1*((-0.000002)*I443^3+0.00032*I443^2+(-0.0021)*I443)+J$1*((-0.000002)*J443^3+0.00032*J443^2+(-0.0021)*J443)+H$1*((-0.000002)*H443^3+0.00032*H443^2+(-0.0021)*H443))*(MAX(0.05,MIN(1,(2*J443+I443)/120)*MIN(1,I443/10)*MIN(1,J443/10)))</f>
        <v/>
      </c>
      <c r="Z443">
        <f>U443*J$2+V443*O$2+W443*H$2</f>
        <v/>
      </c>
      <c r="AA443">
        <f>IF(AND(J443&gt;50,I443+J443&gt;75),"SP",IF(2*I443+J443&gt;120,"RP","CRAP"))</f>
        <v/>
      </c>
    </row>
    <row r="444" ht="13.5" customHeight="1" s="27" thickBot="1">
      <c r="A444">
        <f>(V444*V$2+W444*W$2+X444*X$2)*100/(V$4*V$2+W$4*W$2+X$4*X$2)</f>
        <v/>
      </c>
      <c r="B444" s="16" t="n"/>
      <c r="C444" s="10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>
        <f>K$1*(0.000001*K444^3)+L$1*((-0.000002)*L444^3+0.00032*L444^2+(-0.0021)*L444)+M$1*((-0.000002)*M444^3+0.00032*M444^2+(-0.0021)*M444)+N$1*((-0.000002)*N444^3+0.00032*N444^2+(-0.0021)*N444)+O$1*((-0.000002)*O444^3+0.00032*O444^2+(-0.0021)*O444)</f>
        <v/>
      </c>
      <c r="W444">
        <f>P$1*((-0.000002)*P444^3+0.00032*P444^2+(-0.0021)*P444)+Q$1*((-0.000002)*Q444^3+0.00032*Q444^2+(-0.0021)*Q444)+R$1*((-0.000002)*R444^3+0.00032*R444^2+(-0.0021)*R444)+S$1*((-0.000002)*S444^3+0.00032*S444^2+(-0.0021)*S444)+T$1*((-0.000002)*T444^3+0.00032*T444^2+(-0.0021)*T444)</f>
        <v/>
      </c>
      <c r="X444">
        <f>(I$1*((-0.000002)*I444^3+0.00032*I444^2+(-0.0021)*I444)+J$1*((-0.000002)*J444^3+0.00032*J444^2+(-0.0021)*J444)+H$1*((-0.000002)*H444^3+0.00032*H444^2+(-0.0021)*H444))*(MAX(0.05,MIN(1,(2*J444+I444)/120)*MIN(1,I444/10)*MIN(1,J444/10)))</f>
        <v/>
      </c>
      <c r="Y444">
        <f>(I$1*((-0.000002)*I444^3+0.00032*I444^2+(-0.0021)*I444)+J$1*((-0.000002)*J444^3+0.00032*J444^2+(-0.0021)*J444)+H$1*((-0.000002)*H444^3+0.00032*H444^2+(-0.0021)*H444))*(MAX(0.05,MIN(1,(2*J444+I444)/120)*MIN(1,I444/10)*MIN(1,J444/10)))</f>
        <v/>
      </c>
      <c r="Z444">
        <f>U444*J$2+V444*O$2+W444*H$2</f>
        <v/>
      </c>
      <c r="AA444">
        <f>IF(AND(J444&gt;50,I444+J444&gt;75),"SP",IF(2*I444+J444&gt;120,"RP","CRAP"))</f>
        <v/>
      </c>
    </row>
    <row r="445" ht="13.5" customHeight="1" s="27" thickBot="1">
      <c r="A445">
        <f>(V445*V$2+W445*W$2+X445*X$2)*100/(V$4*V$2+W$4*W$2+X$4*X$2)</f>
        <v/>
      </c>
      <c r="B445" s="18" t="n"/>
      <c r="C445" s="11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>
        <f>K$1*(0.000001*K445^3)+L$1*((-0.000002)*L445^3+0.00032*L445^2+(-0.0021)*L445)+M$1*((-0.000002)*M445^3+0.00032*M445^2+(-0.0021)*M445)+N$1*((-0.000002)*N445^3+0.00032*N445^2+(-0.0021)*N445)+O$1*((-0.000002)*O445^3+0.00032*O445^2+(-0.0021)*O445)</f>
        <v/>
      </c>
      <c r="W445">
        <f>P$1*((-0.000002)*P445^3+0.00032*P445^2+(-0.0021)*P445)+Q$1*((-0.000002)*Q445^3+0.00032*Q445^2+(-0.0021)*Q445)+R$1*((-0.000002)*R445^3+0.00032*R445^2+(-0.0021)*R445)+S$1*((-0.000002)*S445^3+0.00032*S445^2+(-0.0021)*S445)+T$1*((-0.000002)*T445^3+0.00032*T445^2+(-0.0021)*T445)</f>
        <v/>
      </c>
      <c r="X445">
        <f>(I$1*((-0.000002)*I445^3+0.00032*I445^2+(-0.0021)*I445)+J$1*((-0.000002)*J445^3+0.00032*J445^2+(-0.0021)*J445)+H$1*((-0.000002)*H445^3+0.00032*H445^2+(-0.0021)*H445))*(MAX(0.05,MIN(1,(2*J445+I445)/120)*MIN(1,I445/10)*MIN(1,J445/10)))</f>
        <v/>
      </c>
      <c r="Y445">
        <f>(I$1*((-0.000002)*I445^3+0.00032*I445^2+(-0.0021)*I445)+J$1*((-0.000002)*J445^3+0.00032*J445^2+(-0.0021)*J445)+H$1*((-0.000002)*H445^3+0.00032*H445^2+(-0.0021)*H445))*(MAX(0.05,MIN(1,(2*J445+I445)/120)*MIN(1,I445/10)*MIN(1,J445/10)))</f>
        <v/>
      </c>
      <c r="Z445">
        <f>U445*J$2+V445*O$2+W445*H$2</f>
        <v/>
      </c>
      <c r="AA445">
        <f>IF(AND(J445&gt;50,I445+J445&gt;75),"SP",IF(2*I445+J445&gt;120,"RP","CRAP"))</f>
        <v/>
      </c>
    </row>
    <row r="446" ht="13.5" customHeight="1" s="27" thickBot="1">
      <c r="A446">
        <f>(V446*V$2+W446*W$2+X446*X$2)*100/(V$4*V$2+W$4*W$2+X$4*X$2)</f>
        <v/>
      </c>
      <c r="B446" s="16" t="n"/>
      <c r="C446" s="10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>
        <f>K$1*(0.000001*K446^3)+L$1*((-0.000002)*L446^3+0.00032*L446^2+(-0.0021)*L446)+M$1*((-0.000002)*M446^3+0.00032*M446^2+(-0.0021)*M446)+N$1*((-0.000002)*N446^3+0.00032*N446^2+(-0.0021)*N446)+O$1*((-0.000002)*O446^3+0.00032*O446^2+(-0.0021)*O446)</f>
        <v/>
      </c>
      <c r="W446">
        <f>P$1*((-0.000002)*P446^3+0.00032*P446^2+(-0.0021)*P446)+Q$1*((-0.000002)*Q446^3+0.00032*Q446^2+(-0.0021)*Q446)+R$1*((-0.000002)*R446^3+0.00032*R446^2+(-0.0021)*R446)+S$1*((-0.000002)*S446^3+0.00032*S446^2+(-0.0021)*S446)+T$1*((-0.000002)*T446^3+0.00032*T446^2+(-0.0021)*T446)</f>
        <v/>
      </c>
      <c r="X446">
        <f>(I$1*((-0.000002)*I446^3+0.00032*I446^2+(-0.0021)*I446)+J$1*((-0.000002)*J446^3+0.00032*J446^2+(-0.0021)*J446)+H$1*((-0.000002)*H446^3+0.00032*H446^2+(-0.0021)*H446))*(MAX(0.05,MIN(1,(2*J446+I446)/120)*MIN(1,I446/10)*MIN(1,J446/10)))</f>
        <v/>
      </c>
      <c r="Y446">
        <f>(I$1*((-0.000002)*I446^3+0.00032*I446^2+(-0.0021)*I446)+J$1*((-0.000002)*J446^3+0.00032*J446^2+(-0.0021)*J446)+H$1*((-0.000002)*H446^3+0.00032*H446^2+(-0.0021)*H446))*(MAX(0.05,MIN(1,(2*J446+I446)/120)*MIN(1,I446/10)*MIN(1,J446/10)))</f>
        <v/>
      </c>
      <c r="Z446">
        <f>U446*J$2+V446*O$2+W446*H$2</f>
        <v/>
      </c>
      <c r="AA446">
        <f>IF(AND(J446&gt;50,I446+J446&gt;75),"SP",IF(2*I446+J446&gt;120,"RP","CRAP"))</f>
        <v/>
      </c>
    </row>
    <row r="447" ht="13.5" customHeight="1" s="27" thickBot="1">
      <c r="A447">
        <f>(V447*V$2+W447*W$2+X447*X$2)*100/(V$4*V$2+W$4*W$2+X$4*X$2)</f>
        <v/>
      </c>
      <c r="B447" s="18" t="n"/>
      <c r="C447" s="11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>
        <f>K$1*(0.000001*K447^3)+L$1*((-0.000002)*L447^3+0.00032*L447^2+(-0.0021)*L447)+M$1*((-0.000002)*M447^3+0.00032*M447^2+(-0.0021)*M447)+N$1*((-0.000002)*N447^3+0.00032*N447^2+(-0.0021)*N447)+O$1*((-0.000002)*O447^3+0.00032*O447^2+(-0.0021)*O447)</f>
        <v/>
      </c>
      <c r="W447">
        <f>P$1*((-0.000002)*P447^3+0.00032*P447^2+(-0.0021)*P447)+Q$1*((-0.000002)*Q447^3+0.00032*Q447^2+(-0.0021)*Q447)+R$1*((-0.000002)*R447^3+0.00032*R447^2+(-0.0021)*R447)+S$1*((-0.000002)*S447^3+0.00032*S447^2+(-0.0021)*S447)+T$1*((-0.000002)*T447^3+0.00032*T447^2+(-0.0021)*T447)</f>
        <v/>
      </c>
      <c r="X447">
        <f>(I$1*((-0.000002)*I447^3+0.00032*I447^2+(-0.0021)*I447)+J$1*((-0.000002)*J447^3+0.00032*J447^2+(-0.0021)*J447)+H$1*((-0.000002)*H447^3+0.00032*H447^2+(-0.0021)*H447))*(MAX(0.05,MIN(1,(2*J447+I447)/120)*MIN(1,I447/10)*MIN(1,J447/10)))</f>
        <v/>
      </c>
      <c r="Y447">
        <f>(I$1*((-0.000002)*I447^3+0.00032*I447^2+(-0.0021)*I447)+J$1*((-0.000002)*J447^3+0.00032*J447^2+(-0.0021)*J447)+H$1*((-0.000002)*H447^3+0.00032*H447^2+(-0.0021)*H447))*(MAX(0.05,MIN(1,(2*J447+I447)/120)*MIN(1,I447/10)*MIN(1,J447/10)))</f>
        <v/>
      </c>
      <c r="Z447">
        <f>U447*J$2+V447*O$2+W447*H$2</f>
        <v/>
      </c>
      <c r="AA447">
        <f>IF(AND(J447&gt;50,I447+J447&gt;75),"SP",IF(2*I447+J447&gt;120,"RP","CRAP"))</f>
        <v/>
      </c>
    </row>
    <row r="448" ht="13.5" customHeight="1" s="27" thickBot="1">
      <c r="A448">
        <f>(V448*V$2+W448*W$2+X448*X$2)*100/(V$4*V$2+W$4*W$2+X$4*X$2)</f>
        <v/>
      </c>
      <c r="B448" s="16" t="n"/>
      <c r="C448" s="10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>
        <f>K$1*(0.000001*K448^3)+L$1*((-0.000002)*L448^3+0.00032*L448^2+(-0.0021)*L448)+M$1*((-0.000002)*M448^3+0.00032*M448^2+(-0.0021)*M448)+N$1*((-0.000002)*N448^3+0.00032*N448^2+(-0.0021)*N448)+O$1*((-0.000002)*O448^3+0.00032*O448^2+(-0.0021)*O448)</f>
        <v/>
      </c>
      <c r="W448">
        <f>P$1*((-0.000002)*P448^3+0.00032*P448^2+(-0.0021)*P448)+Q$1*((-0.000002)*Q448^3+0.00032*Q448^2+(-0.0021)*Q448)+R$1*((-0.000002)*R448^3+0.00032*R448^2+(-0.0021)*R448)+S$1*((-0.000002)*S448^3+0.00032*S448^2+(-0.0021)*S448)+T$1*((-0.000002)*T448^3+0.00032*T448^2+(-0.0021)*T448)</f>
        <v/>
      </c>
      <c r="X448">
        <f>(I$1*((-0.000002)*I448^3+0.00032*I448^2+(-0.0021)*I448)+J$1*((-0.000002)*J448^3+0.00032*J448^2+(-0.0021)*J448)+H$1*((-0.000002)*H448^3+0.00032*H448^2+(-0.0021)*H448))*(MAX(0.05,MIN(1,(2*J448+I448)/120)*MIN(1,I448/10)*MIN(1,J448/10)))</f>
        <v/>
      </c>
      <c r="Y448">
        <f>(I$1*((-0.000002)*I448^3+0.00032*I448^2+(-0.0021)*I448)+J$1*((-0.000002)*J448^3+0.00032*J448^2+(-0.0021)*J448)+H$1*((-0.000002)*H448^3+0.00032*H448^2+(-0.0021)*H448))*(MAX(0.05,MIN(1,(2*J448+I448)/120)*MIN(1,I448/10)*MIN(1,J448/10)))</f>
        <v/>
      </c>
      <c r="Z448">
        <f>U448*J$2+V448*O$2+W448*H$2</f>
        <v/>
      </c>
      <c r="AA448">
        <f>IF(AND(J448&gt;50,I448+J448&gt;75),"SP",IF(2*I448+J448&gt;120,"RP","CRAP"))</f>
        <v/>
      </c>
    </row>
    <row r="449" ht="13.5" customHeight="1" s="27" thickBot="1">
      <c r="A449">
        <f>(V449*V$2+W449*W$2+X449*X$2)*100/(V$4*V$2+W$4*W$2+X$4*X$2)</f>
        <v/>
      </c>
      <c r="B449" s="18" t="n"/>
      <c r="C449" s="11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>
        <f>K$1*(0.000001*K449^3)+L$1*((-0.000002)*L449^3+0.00032*L449^2+(-0.0021)*L449)+M$1*((-0.000002)*M449^3+0.00032*M449^2+(-0.0021)*M449)+N$1*((-0.000002)*N449^3+0.00032*N449^2+(-0.0021)*N449)+O$1*((-0.000002)*O449^3+0.00032*O449^2+(-0.0021)*O449)</f>
        <v/>
      </c>
      <c r="W449">
        <f>P$1*((-0.000002)*P449^3+0.00032*P449^2+(-0.0021)*P449)+Q$1*((-0.000002)*Q449^3+0.00032*Q449^2+(-0.0021)*Q449)+R$1*((-0.000002)*R449^3+0.00032*R449^2+(-0.0021)*R449)+S$1*((-0.000002)*S449^3+0.00032*S449^2+(-0.0021)*S449)+T$1*((-0.000002)*T449^3+0.00032*T449^2+(-0.0021)*T449)</f>
        <v/>
      </c>
      <c r="X449">
        <f>(I$1*((-0.000002)*I449^3+0.00032*I449^2+(-0.0021)*I449)+J$1*((-0.000002)*J449^3+0.00032*J449^2+(-0.0021)*J449)+H$1*((-0.000002)*H449^3+0.00032*H449^2+(-0.0021)*H449))*(MAX(0.05,MIN(1,(2*J449+I449)/120)*MIN(1,I449/10)*MIN(1,J449/10)))</f>
        <v/>
      </c>
      <c r="Y449">
        <f>(I$1*((-0.000002)*I449^3+0.00032*I449^2+(-0.0021)*I449)+J$1*((-0.000002)*J449^3+0.00032*J449^2+(-0.0021)*J449)+H$1*((-0.000002)*H449^3+0.00032*H449^2+(-0.0021)*H449))*(MAX(0.05,MIN(1,(2*J449+I449)/120)*MIN(1,I449/10)*MIN(1,J449/10)))</f>
        <v/>
      </c>
      <c r="Z449">
        <f>U449*J$2+V449*O$2+W449*H$2</f>
        <v/>
      </c>
      <c r="AA449">
        <f>IF(AND(J449&gt;50,I449+J449&gt;75),"SP",IF(2*I449+J449&gt;120,"RP","CRAP"))</f>
        <v/>
      </c>
    </row>
    <row r="450" ht="13.5" customHeight="1" s="27" thickBot="1">
      <c r="A450">
        <f>(V450*V$2+W450*W$2+X450*X$2)*100/(V$4*V$2+W$4*W$2+X$4*X$2)</f>
        <v/>
      </c>
      <c r="B450" s="16" t="n"/>
      <c r="C450" s="10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>
        <f>K$1*(0.000001*K450^3)+L$1*((-0.000002)*L450^3+0.00032*L450^2+(-0.0021)*L450)+M$1*((-0.000002)*M450^3+0.00032*M450^2+(-0.0021)*M450)+N$1*((-0.000002)*N450^3+0.00032*N450^2+(-0.0021)*N450)+O$1*((-0.000002)*O450^3+0.00032*O450^2+(-0.0021)*O450)</f>
        <v/>
      </c>
      <c r="W450">
        <f>P$1*((-0.000002)*P450^3+0.00032*P450^2+(-0.0021)*P450)+Q$1*((-0.000002)*Q450^3+0.00032*Q450^2+(-0.0021)*Q450)+R$1*((-0.000002)*R450^3+0.00032*R450^2+(-0.0021)*R450)+S$1*((-0.000002)*S450^3+0.00032*S450^2+(-0.0021)*S450)+T$1*((-0.000002)*T450^3+0.00032*T450^2+(-0.0021)*T450)</f>
        <v/>
      </c>
      <c r="X450">
        <f>(I$1*((-0.000002)*I450^3+0.00032*I450^2+(-0.0021)*I450)+J$1*((-0.000002)*J450^3+0.00032*J450^2+(-0.0021)*J450)+H$1*((-0.000002)*H450^3+0.00032*H450^2+(-0.0021)*H450))*(MAX(0.05,MIN(1,(2*J450+I450)/120)*MIN(1,I450/10)*MIN(1,J450/10)))</f>
        <v/>
      </c>
      <c r="Y450">
        <f>(I$1*((-0.000002)*I450^3+0.00032*I450^2+(-0.0021)*I450)+J$1*((-0.000002)*J450^3+0.00032*J450^2+(-0.0021)*J450)+H$1*((-0.000002)*H450^3+0.00032*H450^2+(-0.0021)*H450))*(MAX(0.05,MIN(1,(2*J450+I450)/120)*MIN(1,I450/10)*MIN(1,J450/10)))</f>
        <v/>
      </c>
      <c r="Z450">
        <f>U450*J$2+V450*O$2+W450*H$2</f>
        <v/>
      </c>
      <c r="AA450">
        <f>IF(AND(J450&gt;50,I450+J450&gt;75),"SP",IF(2*I450+J450&gt;120,"RP","CRAP"))</f>
        <v/>
      </c>
    </row>
    <row r="451" ht="13.5" customHeight="1" s="27" thickBot="1">
      <c r="A451">
        <f>(V451*V$2+W451*W$2+X451*X$2)*100/(V$4*V$2+W$4*W$2+X$4*X$2)</f>
        <v/>
      </c>
      <c r="B451" s="18" t="n"/>
      <c r="C451" s="11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>
        <f>K$1*(0.000001*K451^3)+L$1*((-0.000002)*L451^3+0.00032*L451^2+(-0.0021)*L451)+M$1*((-0.000002)*M451^3+0.00032*M451^2+(-0.0021)*M451)+N$1*((-0.000002)*N451^3+0.00032*N451^2+(-0.0021)*N451)+O$1*((-0.000002)*O451^3+0.00032*O451^2+(-0.0021)*O451)</f>
        <v/>
      </c>
      <c r="W451">
        <f>P$1*((-0.000002)*P451^3+0.00032*P451^2+(-0.0021)*P451)+Q$1*((-0.000002)*Q451^3+0.00032*Q451^2+(-0.0021)*Q451)+R$1*((-0.000002)*R451^3+0.00032*R451^2+(-0.0021)*R451)+S$1*((-0.000002)*S451^3+0.00032*S451^2+(-0.0021)*S451)+T$1*((-0.000002)*T451^3+0.00032*T451^2+(-0.0021)*T451)</f>
        <v/>
      </c>
      <c r="X451">
        <f>(I$1*((-0.000002)*I451^3+0.00032*I451^2+(-0.0021)*I451)+J$1*((-0.000002)*J451^3+0.00032*J451^2+(-0.0021)*J451)+H$1*((-0.000002)*H451^3+0.00032*H451^2+(-0.0021)*H451))*(MAX(0.05,MIN(1,(2*J451+I451)/120)*MIN(1,I451/10)*MIN(1,J451/10)))</f>
        <v/>
      </c>
      <c r="Y451">
        <f>(I$1*((-0.000002)*I451^3+0.00032*I451^2+(-0.0021)*I451)+J$1*((-0.000002)*J451^3+0.00032*J451^2+(-0.0021)*J451)+H$1*((-0.000002)*H451^3+0.00032*H451^2+(-0.0021)*H451))*(MAX(0.05,MIN(1,(2*J451+I451)/120)*MIN(1,I451/10)*MIN(1,J451/10)))</f>
        <v/>
      </c>
      <c r="Z451">
        <f>U451*J$2+V451*O$2+W451*H$2</f>
        <v/>
      </c>
      <c r="AA451">
        <f>IF(AND(J451&gt;50,I451+J451&gt;75),"SP",IF(2*I451+J451&gt;120,"RP","CRAP"))</f>
        <v/>
      </c>
    </row>
    <row r="452" ht="13.5" customHeight="1" s="27" thickBot="1">
      <c r="A452">
        <f>(V452*V$2+W452*W$2+X452*X$2)*100/(V$4*V$2+W$4*W$2+X$4*X$2)</f>
        <v/>
      </c>
      <c r="B452" s="16" t="n"/>
      <c r="C452" s="10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>
        <f>K$1*(0.000001*K452^3)+L$1*((-0.000002)*L452^3+0.00032*L452^2+(-0.0021)*L452)+M$1*((-0.000002)*M452^3+0.00032*M452^2+(-0.0021)*M452)+N$1*((-0.000002)*N452^3+0.00032*N452^2+(-0.0021)*N452)+O$1*((-0.000002)*O452^3+0.00032*O452^2+(-0.0021)*O452)</f>
        <v/>
      </c>
      <c r="W452">
        <f>P$1*((-0.000002)*P452^3+0.00032*P452^2+(-0.0021)*P452)+Q$1*((-0.000002)*Q452^3+0.00032*Q452^2+(-0.0021)*Q452)+R$1*((-0.000002)*R452^3+0.00032*R452^2+(-0.0021)*R452)+S$1*((-0.000002)*S452^3+0.00032*S452^2+(-0.0021)*S452)+T$1*((-0.000002)*T452^3+0.00032*T452^2+(-0.0021)*T452)</f>
        <v/>
      </c>
      <c r="X452">
        <f>(I$1*((-0.000002)*I452^3+0.00032*I452^2+(-0.0021)*I452)+J$1*((-0.000002)*J452^3+0.00032*J452^2+(-0.0021)*J452)+H$1*((-0.000002)*H452^3+0.00032*H452^2+(-0.0021)*H452))*(MAX(0.05,MIN(1,(2*J452+I452)/120)*MIN(1,I452/10)*MIN(1,J452/10)))</f>
        <v/>
      </c>
      <c r="Y452">
        <f>(I$1*((-0.000002)*I452^3+0.00032*I452^2+(-0.0021)*I452)+J$1*((-0.000002)*J452^3+0.00032*J452^2+(-0.0021)*J452)+H$1*((-0.000002)*H452^3+0.00032*H452^2+(-0.0021)*H452))*(MAX(0.05,MIN(1,(2*J452+I452)/120)*MIN(1,I452/10)*MIN(1,J452/10)))</f>
        <v/>
      </c>
      <c r="Z452">
        <f>U452*J$2+V452*O$2+W452*H$2</f>
        <v/>
      </c>
      <c r="AA452">
        <f>IF(AND(J452&gt;50,I452+J452&gt;75),"SP",IF(2*I452+J452&gt;120,"RP","CRAP"))</f>
        <v/>
      </c>
    </row>
    <row r="453" ht="13.5" customHeight="1" s="27" thickBot="1">
      <c r="A453">
        <f>(V453*V$2+W453*W$2+X453*X$2)*100/(V$4*V$2+W$4*W$2+X$4*X$2)</f>
        <v/>
      </c>
      <c r="B453" s="18" t="n"/>
      <c r="C453" s="11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>
        <f>K$1*(0.000001*K453^3)+L$1*((-0.000002)*L453^3+0.00032*L453^2+(-0.0021)*L453)+M$1*((-0.000002)*M453^3+0.00032*M453^2+(-0.0021)*M453)+N$1*((-0.000002)*N453^3+0.00032*N453^2+(-0.0021)*N453)+O$1*((-0.000002)*O453^3+0.00032*O453^2+(-0.0021)*O453)</f>
        <v/>
      </c>
      <c r="W453">
        <f>P$1*((-0.000002)*P453^3+0.00032*P453^2+(-0.0021)*P453)+Q$1*((-0.000002)*Q453^3+0.00032*Q453^2+(-0.0021)*Q453)+R$1*((-0.000002)*R453^3+0.00032*R453^2+(-0.0021)*R453)+S$1*((-0.000002)*S453^3+0.00032*S453^2+(-0.0021)*S453)+T$1*((-0.000002)*T453^3+0.00032*T453^2+(-0.0021)*T453)</f>
        <v/>
      </c>
      <c r="X453">
        <f>(I$1*((-0.000002)*I453^3+0.00032*I453^2+(-0.0021)*I453)+J$1*((-0.000002)*J453^3+0.00032*J453^2+(-0.0021)*J453)+H$1*((-0.000002)*H453^3+0.00032*H453^2+(-0.0021)*H453))*(MAX(0.05,MIN(1,(2*J453+I453)/120)*MIN(1,I453/10)*MIN(1,J453/10)))</f>
        <v/>
      </c>
      <c r="Y453">
        <f>(I$1*((-0.000002)*I453^3+0.00032*I453^2+(-0.0021)*I453)+J$1*((-0.000002)*J453^3+0.00032*J453^2+(-0.0021)*J453)+H$1*((-0.000002)*H453^3+0.00032*H453^2+(-0.0021)*H453))*(MAX(0.05,MIN(1,(2*J453+I453)/120)*MIN(1,I453/10)*MIN(1,J453/10)))</f>
        <v/>
      </c>
      <c r="Z453">
        <f>U453*J$2+V453*O$2+W453*H$2</f>
        <v/>
      </c>
      <c r="AA453">
        <f>IF(AND(J453&gt;50,I453+J453&gt;75),"SP",IF(2*I453+J453&gt;120,"RP","CRAP"))</f>
        <v/>
      </c>
    </row>
    <row r="454" ht="13.5" customHeight="1" s="27" thickBot="1">
      <c r="A454">
        <f>(V454*V$2+W454*W$2+X454*X$2)*100/(V$4*V$2+W$4*W$2+X$4*X$2)</f>
        <v/>
      </c>
      <c r="B454" s="16" t="n"/>
      <c r="C454" s="10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>
        <f>K$1*(0.000001*K454^3)+L$1*((-0.000002)*L454^3+0.00032*L454^2+(-0.0021)*L454)+M$1*((-0.000002)*M454^3+0.00032*M454^2+(-0.0021)*M454)+N$1*((-0.000002)*N454^3+0.00032*N454^2+(-0.0021)*N454)+O$1*((-0.000002)*O454^3+0.00032*O454^2+(-0.0021)*O454)</f>
        <v/>
      </c>
      <c r="W454">
        <f>P$1*((-0.000002)*P454^3+0.00032*P454^2+(-0.0021)*P454)+Q$1*((-0.000002)*Q454^3+0.00032*Q454^2+(-0.0021)*Q454)+R$1*((-0.000002)*R454^3+0.00032*R454^2+(-0.0021)*R454)+S$1*((-0.000002)*S454^3+0.00032*S454^2+(-0.0021)*S454)+T$1*((-0.000002)*T454^3+0.00032*T454^2+(-0.0021)*T454)</f>
        <v/>
      </c>
      <c r="X454">
        <f>(I$1*((-0.000002)*I454^3+0.00032*I454^2+(-0.0021)*I454)+J$1*((-0.000002)*J454^3+0.00032*J454^2+(-0.0021)*J454)+H$1*((-0.000002)*H454^3+0.00032*H454^2+(-0.0021)*H454))*(MAX(0.05,MIN(1,(2*J454+I454)/120)*MIN(1,I454/10)*MIN(1,J454/10)))</f>
        <v/>
      </c>
      <c r="Y454">
        <f>(I$1*((-0.000002)*I454^3+0.00032*I454^2+(-0.0021)*I454)+J$1*((-0.000002)*J454^3+0.00032*J454^2+(-0.0021)*J454)+H$1*((-0.000002)*H454^3+0.00032*H454^2+(-0.0021)*H454))*(MAX(0.05,MIN(1,(2*J454+I454)/120)*MIN(1,I454/10)*MIN(1,J454/10)))</f>
        <v/>
      </c>
      <c r="Z454">
        <f>U454*J$2+V454*O$2+W454*H$2</f>
        <v/>
      </c>
      <c r="AA454">
        <f>IF(AND(J454&gt;50,I454+J454&gt;75),"SP",IF(2*I454+J454&gt;120,"RP","CRAP"))</f>
        <v/>
      </c>
    </row>
    <row r="455" ht="13.5" customHeight="1" s="27" thickBot="1">
      <c r="A455">
        <f>(V455*V$2+W455*W$2+X455*X$2)*100/(V$4*V$2+W$4*W$2+X$4*X$2)</f>
        <v/>
      </c>
      <c r="B455" s="18" t="n"/>
      <c r="C455" s="11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>
        <f>K$1*(0.000001*K455^3)+L$1*((-0.000002)*L455^3+0.00032*L455^2+(-0.0021)*L455)+M$1*((-0.000002)*M455^3+0.00032*M455^2+(-0.0021)*M455)+N$1*((-0.000002)*N455^3+0.00032*N455^2+(-0.0021)*N455)+O$1*((-0.000002)*O455^3+0.00032*O455^2+(-0.0021)*O455)</f>
        <v/>
      </c>
      <c r="W455">
        <f>P$1*((-0.000002)*P455^3+0.00032*P455^2+(-0.0021)*P455)+Q$1*((-0.000002)*Q455^3+0.00032*Q455^2+(-0.0021)*Q455)+R$1*((-0.000002)*R455^3+0.00032*R455^2+(-0.0021)*R455)+S$1*((-0.000002)*S455^3+0.00032*S455^2+(-0.0021)*S455)+T$1*((-0.000002)*T455^3+0.00032*T455^2+(-0.0021)*T455)</f>
        <v/>
      </c>
      <c r="X455">
        <f>(I$1*((-0.000002)*I455^3+0.00032*I455^2+(-0.0021)*I455)+J$1*((-0.000002)*J455^3+0.00032*J455^2+(-0.0021)*J455)+H$1*((-0.000002)*H455^3+0.00032*H455^2+(-0.0021)*H455))*(MAX(0.05,MIN(1,(2*J455+I455)/120)*MIN(1,I455/10)*MIN(1,J455/10)))</f>
        <v/>
      </c>
      <c r="Y455">
        <f>(I$1*((-0.000002)*I455^3+0.00032*I455^2+(-0.0021)*I455)+J$1*((-0.000002)*J455^3+0.00032*J455^2+(-0.0021)*J455)+H$1*((-0.000002)*H455^3+0.00032*H455^2+(-0.0021)*H455))*(MAX(0.05,MIN(1,(2*J455+I455)/120)*MIN(1,I455/10)*MIN(1,J455/10)))</f>
        <v/>
      </c>
      <c r="Z455">
        <f>U455*J$2+V455*O$2+W455*H$2</f>
        <v/>
      </c>
      <c r="AA455">
        <f>IF(AND(J455&gt;50,I455+J455&gt;75),"SP",IF(2*I455+J455&gt;120,"RP","CRAP"))</f>
        <v/>
      </c>
    </row>
    <row r="456" ht="13.5" customHeight="1" s="27" thickBot="1">
      <c r="A456">
        <f>(V456*V$2+W456*W$2+X456*X$2)*100/(V$4*V$2+W$4*W$2+X$4*X$2)</f>
        <v/>
      </c>
      <c r="B456" s="16" t="n"/>
      <c r="C456" s="10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>
        <f>K$1*(0.000001*K456^3)+L$1*((-0.000002)*L456^3+0.00032*L456^2+(-0.0021)*L456)+M$1*((-0.000002)*M456^3+0.00032*M456^2+(-0.0021)*M456)+N$1*((-0.000002)*N456^3+0.00032*N456^2+(-0.0021)*N456)+O$1*((-0.000002)*O456^3+0.00032*O456^2+(-0.0021)*O456)</f>
        <v/>
      </c>
      <c r="W456">
        <f>P$1*((-0.000002)*P456^3+0.00032*P456^2+(-0.0021)*P456)+Q$1*((-0.000002)*Q456^3+0.00032*Q456^2+(-0.0021)*Q456)+R$1*((-0.000002)*R456^3+0.00032*R456^2+(-0.0021)*R456)+S$1*((-0.000002)*S456^3+0.00032*S456^2+(-0.0021)*S456)+T$1*((-0.000002)*T456^3+0.00032*T456^2+(-0.0021)*T456)</f>
        <v/>
      </c>
      <c r="X456">
        <f>(I$1*((-0.000002)*I456^3+0.00032*I456^2+(-0.0021)*I456)+J$1*((-0.000002)*J456^3+0.00032*J456^2+(-0.0021)*J456)+H$1*((-0.000002)*H456^3+0.00032*H456^2+(-0.0021)*H456))*(MAX(0.05,MIN(1,(2*J456+I456)/120)*MIN(1,I456/10)*MIN(1,J456/10)))</f>
        <v/>
      </c>
      <c r="Y456">
        <f>(I$1*((-0.000002)*I456^3+0.00032*I456^2+(-0.0021)*I456)+J$1*((-0.000002)*J456^3+0.00032*J456^2+(-0.0021)*J456)+H$1*((-0.000002)*H456^3+0.00032*H456^2+(-0.0021)*H456))*(MAX(0.05,MIN(1,(2*J456+I456)/120)*MIN(1,I456/10)*MIN(1,J456/10)))</f>
        <v/>
      </c>
      <c r="Z456">
        <f>U456*J$2+V456*O$2+W456*H$2</f>
        <v/>
      </c>
      <c r="AA456">
        <f>IF(AND(J456&gt;50,I456+J456&gt;75),"SP",IF(2*I456+J456&gt;120,"RP","CRAP"))</f>
        <v/>
      </c>
    </row>
    <row r="457" ht="13.5" customHeight="1" s="27" thickBot="1">
      <c r="A457">
        <f>(V457*V$2+W457*W$2+X457*X$2)*100/(V$4*V$2+W$4*W$2+X$4*X$2)</f>
        <v/>
      </c>
      <c r="B457" s="18" t="n"/>
      <c r="C457" s="11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>
        <f>K$1*(0.000001*K457^3)+L$1*((-0.000002)*L457^3+0.00032*L457^2+(-0.0021)*L457)+M$1*((-0.000002)*M457^3+0.00032*M457^2+(-0.0021)*M457)+N$1*((-0.000002)*N457^3+0.00032*N457^2+(-0.0021)*N457)+O$1*((-0.000002)*O457^3+0.00032*O457^2+(-0.0021)*O457)</f>
        <v/>
      </c>
      <c r="W457">
        <f>P$1*((-0.000002)*P457^3+0.00032*P457^2+(-0.0021)*P457)+Q$1*((-0.000002)*Q457^3+0.00032*Q457^2+(-0.0021)*Q457)+R$1*((-0.000002)*R457^3+0.00032*R457^2+(-0.0021)*R457)+S$1*((-0.000002)*S457^3+0.00032*S457^2+(-0.0021)*S457)+T$1*((-0.000002)*T457^3+0.00032*T457^2+(-0.0021)*T457)</f>
        <v/>
      </c>
      <c r="X457">
        <f>(I$1*((-0.000002)*I457^3+0.00032*I457^2+(-0.0021)*I457)+J$1*((-0.000002)*J457^3+0.00032*J457^2+(-0.0021)*J457)+H$1*((-0.000002)*H457^3+0.00032*H457^2+(-0.0021)*H457))*(MAX(0.05,MIN(1,(2*J457+I457)/120)*MIN(1,I457/10)*MIN(1,J457/10)))</f>
        <v/>
      </c>
      <c r="Y457">
        <f>(I$1*((-0.000002)*I457^3+0.00032*I457^2+(-0.0021)*I457)+J$1*((-0.000002)*J457^3+0.00032*J457^2+(-0.0021)*J457)+H$1*((-0.000002)*H457^3+0.00032*H457^2+(-0.0021)*H457))*(MAX(0.05,MIN(1,(2*J457+I457)/120)*MIN(1,I457/10)*MIN(1,J457/10)))</f>
        <v/>
      </c>
      <c r="Z457">
        <f>U457*J$2+V457*O$2+W457*H$2</f>
        <v/>
      </c>
      <c r="AA457">
        <f>IF(AND(J457&gt;50,I457+J457&gt;75),"SP",IF(2*I457+J457&gt;120,"RP","CRAP"))</f>
        <v/>
      </c>
    </row>
    <row r="458" ht="13.5" customHeight="1" s="27" thickBot="1">
      <c r="A458">
        <f>(V458*V$2+W458*W$2+X458*X$2)*100/(V$4*V$2+W$4*W$2+X$4*X$2)</f>
        <v/>
      </c>
      <c r="B458" s="16" t="n"/>
      <c r="C458" s="10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>
        <f>K$1*(0.000001*K458^3)+L$1*((-0.000002)*L458^3+0.00032*L458^2+(-0.0021)*L458)+M$1*((-0.000002)*M458^3+0.00032*M458^2+(-0.0021)*M458)+N$1*((-0.000002)*N458^3+0.00032*N458^2+(-0.0021)*N458)+O$1*((-0.000002)*O458^3+0.00032*O458^2+(-0.0021)*O458)</f>
        <v/>
      </c>
      <c r="W458">
        <f>P$1*((-0.000002)*P458^3+0.00032*P458^2+(-0.0021)*P458)+Q$1*((-0.000002)*Q458^3+0.00032*Q458^2+(-0.0021)*Q458)+R$1*((-0.000002)*R458^3+0.00032*R458^2+(-0.0021)*R458)+S$1*((-0.000002)*S458^3+0.00032*S458^2+(-0.0021)*S458)+T$1*((-0.000002)*T458^3+0.00032*T458^2+(-0.0021)*T458)</f>
        <v/>
      </c>
      <c r="X458">
        <f>(I$1*((-0.000002)*I458^3+0.00032*I458^2+(-0.0021)*I458)+J$1*((-0.000002)*J458^3+0.00032*J458^2+(-0.0021)*J458)+H$1*((-0.000002)*H458^3+0.00032*H458^2+(-0.0021)*H458))*(MAX(0.05,MIN(1,(2*J458+I458)/120)*MIN(1,I458/10)*MIN(1,J458/10)))</f>
        <v/>
      </c>
      <c r="Y458">
        <f>(I$1*((-0.000002)*I458^3+0.00032*I458^2+(-0.0021)*I458)+J$1*((-0.000002)*J458^3+0.00032*J458^2+(-0.0021)*J458)+H$1*((-0.000002)*H458^3+0.00032*H458^2+(-0.0021)*H458))*(MAX(0.05,MIN(1,(2*J458+I458)/120)*MIN(1,I458/10)*MIN(1,J458/10)))</f>
        <v/>
      </c>
      <c r="Z458">
        <f>U458*J$2+V458*O$2+W458*H$2</f>
        <v/>
      </c>
      <c r="AA458">
        <f>IF(AND(J458&gt;50,I458+J458&gt;75),"SP",IF(2*I458+J458&gt;120,"RP","CRAP"))</f>
        <v/>
      </c>
    </row>
    <row r="459" ht="13.5" customHeight="1" s="27" thickBot="1">
      <c r="A459">
        <f>(V459*V$2+W459*W$2+X459*X$2)*100/(V$4*V$2+W$4*W$2+X$4*X$2)</f>
        <v/>
      </c>
      <c r="B459" s="18" t="n"/>
      <c r="C459" s="11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>
        <f>K$1*(0.000001*K459^3)+L$1*((-0.000002)*L459^3+0.00032*L459^2+(-0.0021)*L459)+M$1*((-0.000002)*M459^3+0.00032*M459^2+(-0.0021)*M459)+N$1*((-0.000002)*N459^3+0.00032*N459^2+(-0.0021)*N459)+O$1*((-0.000002)*O459^3+0.00032*O459^2+(-0.0021)*O459)</f>
        <v/>
      </c>
      <c r="W459">
        <f>P$1*((-0.000002)*P459^3+0.00032*P459^2+(-0.0021)*P459)+Q$1*((-0.000002)*Q459^3+0.00032*Q459^2+(-0.0021)*Q459)+R$1*((-0.000002)*R459^3+0.00032*R459^2+(-0.0021)*R459)+S$1*((-0.000002)*S459^3+0.00032*S459^2+(-0.0021)*S459)+T$1*((-0.000002)*T459^3+0.00032*T459^2+(-0.0021)*T459)</f>
        <v/>
      </c>
      <c r="X459">
        <f>(I$1*((-0.000002)*I459^3+0.00032*I459^2+(-0.0021)*I459)+J$1*((-0.000002)*J459^3+0.00032*J459^2+(-0.0021)*J459)+H$1*((-0.000002)*H459^3+0.00032*H459^2+(-0.0021)*H459))*(MAX(0.05,MIN(1,(2*J459+I459)/120)*MIN(1,I459/10)*MIN(1,J459/10)))</f>
        <v/>
      </c>
      <c r="Y459">
        <f>(I$1*((-0.000002)*I459^3+0.00032*I459^2+(-0.0021)*I459)+J$1*((-0.000002)*J459^3+0.00032*J459^2+(-0.0021)*J459)+H$1*((-0.000002)*H459^3+0.00032*H459^2+(-0.0021)*H459))*(MAX(0.05,MIN(1,(2*J459+I459)/120)*MIN(1,I459/10)*MIN(1,J459/10)))</f>
        <v/>
      </c>
      <c r="Z459">
        <f>U459*J$2+V459*O$2+W459*H$2</f>
        <v/>
      </c>
      <c r="AA459">
        <f>IF(AND(J459&gt;50,I459+J459&gt;75),"SP",IF(2*I459+J459&gt;120,"RP","CRAP"))</f>
        <v/>
      </c>
    </row>
    <row r="460" ht="13.5" customHeight="1" s="27" thickBot="1">
      <c r="A460">
        <f>(V460*V$2+W460*W$2+X460*X$2)*100/(V$4*V$2+W$4*W$2+X$4*X$2)</f>
        <v/>
      </c>
      <c r="B460" s="16" t="n"/>
      <c r="C460" s="10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>
        <f>K$1*(0.000001*K460^3)+L$1*((-0.000002)*L460^3+0.00032*L460^2+(-0.0021)*L460)+M$1*((-0.000002)*M460^3+0.00032*M460^2+(-0.0021)*M460)+N$1*((-0.000002)*N460^3+0.00032*N460^2+(-0.0021)*N460)+O$1*((-0.000002)*O460^3+0.00032*O460^2+(-0.0021)*O460)</f>
        <v/>
      </c>
      <c r="W460">
        <f>P$1*((-0.000002)*P460^3+0.00032*P460^2+(-0.0021)*P460)+Q$1*((-0.000002)*Q460^3+0.00032*Q460^2+(-0.0021)*Q460)+R$1*((-0.000002)*R460^3+0.00032*R460^2+(-0.0021)*R460)+S$1*((-0.000002)*S460^3+0.00032*S460^2+(-0.0021)*S460)+T$1*((-0.000002)*T460^3+0.00032*T460^2+(-0.0021)*T460)</f>
        <v/>
      </c>
      <c r="X460">
        <f>(I$1*((-0.000002)*I460^3+0.00032*I460^2+(-0.0021)*I460)+J$1*((-0.000002)*J460^3+0.00032*J460^2+(-0.0021)*J460)+H$1*((-0.000002)*H460^3+0.00032*H460^2+(-0.0021)*H460))*(MAX(0.05,MIN(1,(2*J460+I460)/120)*MIN(1,I460/10)*MIN(1,J460/10)))</f>
        <v/>
      </c>
      <c r="Y460">
        <f>(I$1*((-0.000002)*I460^3+0.00032*I460^2+(-0.0021)*I460)+J$1*((-0.000002)*J460^3+0.00032*J460^2+(-0.0021)*J460)+H$1*((-0.000002)*H460^3+0.00032*H460^2+(-0.0021)*H460))*(MAX(0.05,MIN(1,(2*J460+I460)/120)*MIN(1,I460/10)*MIN(1,J460/10)))</f>
        <v/>
      </c>
      <c r="Z460">
        <f>U460*J$2+V460*O$2+W460*H$2</f>
        <v/>
      </c>
      <c r="AA460">
        <f>IF(AND(J460&gt;50,I460+J460&gt;75),"SP",IF(2*I460+J460&gt;120,"RP","CRAP"))</f>
        <v/>
      </c>
    </row>
    <row r="461" ht="13.5" customHeight="1" s="27" thickBot="1">
      <c r="A461">
        <f>(V461*V$2+W461*W$2+X461*X$2)*100/(V$4*V$2+W$4*W$2+X$4*X$2)</f>
        <v/>
      </c>
      <c r="B461" s="18" t="n"/>
      <c r="C461" s="11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>
        <f>K$1*(0.000001*K461^3)+L$1*((-0.000002)*L461^3+0.00032*L461^2+(-0.0021)*L461)+M$1*((-0.000002)*M461^3+0.00032*M461^2+(-0.0021)*M461)+N$1*((-0.000002)*N461^3+0.00032*N461^2+(-0.0021)*N461)+O$1*((-0.000002)*O461^3+0.00032*O461^2+(-0.0021)*O461)</f>
        <v/>
      </c>
      <c r="W461">
        <f>P$1*((-0.000002)*P461^3+0.00032*P461^2+(-0.0021)*P461)+Q$1*((-0.000002)*Q461^3+0.00032*Q461^2+(-0.0021)*Q461)+R$1*((-0.000002)*R461^3+0.00032*R461^2+(-0.0021)*R461)+S$1*((-0.000002)*S461^3+0.00032*S461^2+(-0.0021)*S461)+T$1*((-0.000002)*T461^3+0.00032*T461^2+(-0.0021)*T461)</f>
        <v/>
      </c>
      <c r="X461">
        <f>(I$1*((-0.000002)*I461^3+0.00032*I461^2+(-0.0021)*I461)+J$1*((-0.000002)*J461^3+0.00032*J461^2+(-0.0021)*J461)+H$1*((-0.000002)*H461^3+0.00032*H461^2+(-0.0021)*H461))*(MAX(0.05,MIN(1,(2*J461+I461)/120)*MIN(1,I461/10)*MIN(1,J461/10)))</f>
        <v/>
      </c>
      <c r="Y461">
        <f>(I$1*((-0.000002)*I461^3+0.00032*I461^2+(-0.0021)*I461)+J$1*((-0.000002)*J461^3+0.00032*J461^2+(-0.0021)*J461)+H$1*((-0.000002)*H461^3+0.00032*H461^2+(-0.0021)*H461))*(MAX(0.05,MIN(1,(2*J461+I461)/120)*MIN(1,I461/10)*MIN(1,J461/10)))</f>
        <v/>
      </c>
      <c r="Z461">
        <f>U461*J$2+V461*O$2+W461*H$2</f>
        <v/>
      </c>
      <c r="AA461">
        <f>IF(AND(J461&gt;50,I461+J461&gt;75),"SP",IF(2*I461+J461&gt;120,"RP","CRAP"))</f>
        <v/>
      </c>
    </row>
    <row r="462" ht="13.5" customHeight="1" s="27" thickBot="1">
      <c r="A462">
        <f>(V462*V$2+W462*W$2+X462*X$2)*100/(V$4*V$2+W$4*W$2+X$4*X$2)</f>
        <v/>
      </c>
      <c r="B462" s="16" t="n"/>
      <c r="C462" s="10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>
        <f>K$1*(0.000001*K462^3)+L$1*((-0.000002)*L462^3+0.00032*L462^2+(-0.0021)*L462)+M$1*((-0.000002)*M462^3+0.00032*M462^2+(-0.0021)*M462)+N$1*((-0.000002)*N462^3+0.00032*N462^2+(-0.0021)*N462)+O$1*((-0.000002)*O462^3+0.00032*O462^2+(-0.0021)*O462)</f>
        <v/>
      </c>
      <c r="W462">
        <f>P$1*((-0.000002)*P462^3+0.00032*P462^2+(-0.0021)*P462)+Q$1*((-0.000002)*Q462^3+0.00032*Q462^2+(-0.0021)*Q462)+R$1*((-0.000002)*R462^3+0.00032*R462^2+(-0.0021)*R462)+S$1*((-0.000002)*S462^3+0.00032*S462^2+(-0.0021)*S462)+T$1*((-0.000002)*T462^3+0.00032*T462^2+(-0.0021)*T462)</f>
        <v/>
      </c>
      <c r="X462">
        <f>(I$1*((-0.000002)*I462^3+0.00032*I462^2+(-0.0021)*I462)+J$1*((-0.000002)*J462^3+0.00032*J462^2+(-0.0021)*J462)+H$1*((-0.000002)*H462^3+0.00032*H462^2+(-0.0021)*H462))*(MAX(0.05,MIN(1,(2*J462+I462)/120)*MIN(1,I462/10)*MIN(1,J462/10)))</f>
        <v/>
      </c>
      <c r="Y462">
        <f>(I$1*((-0.000002)*I462^3+0.00032*I462^2+(-0.0021)*I462)+J$1*((-0.000002)*J462^3+0.00032*J462^2+(-0.0021)*J462)+H$1*((-0.000002)*H462^3+0.00032*H462^2+(-0.0021)*H462))*(MAX(0.05,MIN(1,(2*J462+I462)/120)*MIN(1,I462/10)*MIN(1,J462/10)))</f>
        <v/>
      </c>
      <c r="Z462">
        <f>U462*J$2+V462*O$2+W462*H$2</f>
        <v/>
      </c>
      <c r="AA462">
        <f>IF(AND(J462&gt;50,I462+J462&gt;75),"SP",IF(2*I462+J462&gt;120,"RP","CRAP"))</f>
        <v/>
      </c>
    </row>
    <row r="463" ht="13.5" customHeight="1" s="27" thickBot="1">
      <c r="A463">
        <f>(V463*V$2+W463*W$2+X463*X$2)*100/(V$4*V$2+W$4*W$2+X$4*X$2)</f>
        <v/>
      </c>
      <c r="B463" s="18" t="n"/>
      <c r="C463" s="11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>
        <f>K$1*(0.000001*K463^3)+L$1*((-0.000002)*L463^3+0.00032*L463^2+(-0.0021)*L463)+M$1*((-0.000002)*M463^3+0.00032*M463^2+(-0.0021)*M463)+N$1*((-0.000002)*N463^3+0.00032*N463^2+(-0.0021)*N463)+O$1*((-0.000002)*O463^3+0.00032*O463^2+(-0.0021)*O463)</f>
        <v/>
      </c>
      <c r="W463">
        <f>P$1*((-0.000002)*P463^3+0.00032*P463^2+(-0.0021)*P463)+Q$1*((-0.000002)*Q463^3+0.00032*Q463^2+(-0.0021)*Q463)+R$1*((-0.000002)*R463^3+0.00032*R463^2+(-0.0021)*R463)+S$1*((-0.000002)*S463^3+0.00032*S463^2+(-0.0021)*S463)+T$1*((-0.000002)*T463^3+0.00032*T463^2+(-0.0021)*T463)</f>
        <v/>
      </c>
      <c r="X463">
        <f>(I$1*((-0.000002)*I463^3+0.00032*I463^2+(-0.0021)*I463)+J$1*((-0.000002)*J463^3+0.00032*J463^2+(-0.0021)*J463)+H$1*((-0.000002)*H463^3+0.00032*H463^2+(-0.0021)*H463))*(MAX(0.05,MIN(1,(2*J463+I463)/120)*MIN(1,I463/10)*MIN(1,J463/10)))</f>
        <v/>
      </c>
      <c r="Y463">
        <f>(I$1*((-0.000002)*I463^3+0.00032*I463^2+(-0.0021)*I463)+J$1*((-0.000002)*J463^3+0.00032*J463^2+(-0.0021)*J463)+H$1*((-0.000002)*H463^3+0.00032*H463^2+(-0.0021)*H463))*(MAX(0.05,MIN(1,(2*J463+I463)/120)*MIN(1,I463/10)*MIN(1,J463/10)))</f>
        <v/>
      </c>
      <c r="Z463">
        <f>U463*J$2+V463*O$2+W463*H$2</f>
        <v/>
      </c>
      <c r="AA463">
        <f>IF(AND(J463&gt;50,I463+J463&gt;75),"SP",IF(2*I463+J463&gt;120,"RP","CRAP"))</f>
        <v/>
      </c>
    </row>
    <row r="464" ht="13.5" customHeight="1" s="27" thickBot="1">
      <c r="A464">
        <f>(V464*V$2+W464*W$2+X464*X$2)*100/(V$4*V$2+W$4*W$2+X$4*X$2)</f>
        <v/>
      </c>
      <c r="B464" s="16" t="n"/>
      <c r="C464" s="10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>
        <f>K$1*(0.000001*K464^3)+L$1*((-0.000002)*L464^3+0.00032*L464^2+(-0.0021)*L464)+M$1*((-0.000002)*M464^3+0.00032*M464^2+(-0.0021)*M464)+N$1*((-0.000002)*N464^3+0.00032*N464^2+(-0.0021)*N464)+O$1*((-0.000002)*O464^3+0.00032*O464^2+(-0.0021)*O464)</f>
        <v/>
      </c>
      <c r="W464">
        <f>P$1*((-0.000002)*P464^3+0.00032*P464^2+(-0.0021)*P464)+Q$1*((-0.000002)*Q464^3+0.00032*Q464^2+(-0.0021)*Q464)+R$1*((-0.000002)*R464^3+0.00032*R464^2+(-0.0021)*R464)+S$1*((-0.000002)*S464^3+0.00032*S464^2+(-0.0021)*S464)+T$1*((-0.000002)*T464^3+0.00032*T464^2+(-0.0021)*T464)</f>
        <v/>
      </c>
      <c r="X464">
        <f>(I$1*((-0.000002)*I464^3+0.00032*I464^2+(-0.0021)*I464)+J$1*((-0.000002)*J464^3+0.00032*J464^2+(-0.0021)*J464)+H$1*((-0.000002)*H464^3+0.00032*H464^2+(-0.0021)*H464))*(MAX(0.05,MIN(1,(2*J464+I464)/120)*MIN(1,I464/10)*MIN(1,J464/10)))</f>
        <v/>
      </c>
      <c r="Y464">
        <f>(I$1*((-0.000002)*I464^3+0.00032*I464^2+(-0.0021)*I464)+J$1*((-0.000002)*J464^3+0.00032*J464^2+(-0.0021)*J464)+H$1*((-0.000002)*H464^3+0.00032*H464^2+(-0.0021)*H464))*(MAX(0.05,MIN(1,(2*J464+I464)/120)*MIN(1,I464/10)*MIN(1,J464/10)))</f>
        <v/>
      </c>
      <c r="Z464">
        <f>U464*J$2+V464*O$2+W464*H$2</f>
        <v/>
      </c>
      <c r="AA464">
        <f>IF(AND(J464&gt;50,I464+J464&gt;75),"SP",IF(2*I464+J464&gt;120,"RP","CRAP"))</f>
        <v/>
      </c>
    </row>
    <row r="465" ht="13.5" customHeight="1" s="27" thickBot="1">
      <c r="A465">
        <f>(V465*V$2+W465*W$2+X465*X$2)*100/(V$4*V$2+W$4*W$2+X$4*X$2)</f>
        <v/>
      </c>
      <c r="B465" s="18" t="n"/>
      <c r="C465" s="11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>
        <f>K$1*(0.000001*K465^3)+L$1*((-0.000002)*L465^3+0.00032*L465^2+(-0.0021)*L465)+M$1*((-0.000002)*M465^3+0.00032*M465^2+(-0.0021)*M465)+N$1*((-0.000002)*N465^3+0.00032*N465^2+(-0.0021)*N465)+O$1*((-0.000002)*O465^3+0.00032*O465^2+(-0.0021)*O465)</f>
        <v/>
      </c>
      <c r="W465">
        <f>P$1*((-0.000002)*P465^3+0.00032*P465^2+(-0.0021)*P465)+Q$1*((-0.000002)*Q465^3+0.00032*Q465^2+(-0.0021)*Q465)+R$1*((-0.000002)*R465^3+0.00032*R465^2+(-0.0021)*R465)+S$1*((-0.000002)*S465^3+0.00032*S465^2+(-0.0021)*S465)+T$1*((-0.000002)*T465^3+0.00032*T465^2+(-0.0021)*T465)</f>
        <v/>
      </c>
      <c r="X465">
        <f>(I$1*((-0.000002)*I465^3+0.00032*I465^2+(-0.0021)*I465)+J$1*((-0.000002)*J465^3+0.00032*J465^2+(-0.0021)*J465)+H$1*((-0.000002)*H465^3+0.00032*H465^2+(-0.0021)*H465))*(MAX(0.05,MIN(1,(2*J465+I465)/120)*MIN(1,I465/10)*MIN(1,J465/10)))</f>
        <v/>
      </c>
      <c r="Y465">
        <f>(I$1*((-0.000002)*I465^3+0.00032*I465^2+(-0.0021)*I465)+J$1*((-0.000002)*J465^3+0.00032*J465^2+(-0.0021)*J465)+H$1*((-0.000002)*H465^3+0.00032*H465^2+(-0.0021)*H465))*(MAX(0.05,MIN(1,(2*J465+I465)/120)*MIN(1,I465/10)*MIN(1,J465/10)))</f>
        <v/>
      </c>
      <c r="Z465">
        <f>U465*J$2+V465*O$2+W465*H$2</f>
        <v/>
      </c>
      <c r="AA465">
        <f>IF(AND(J465&gt;50,I465+J465&gt;75),"SP",IF(2*I465+J465&gt;120,"RP","CRAP"))</f>
        <v/>
      </c>
    </row>
    <row r="466" ht="13.5" customHeight="1" s="27" thickBot="1">
      <c r="A466">
        <f>(V466*V$2+W466*W$2+X466*X$2)*100/(V$4*V$2+W$4*W$2+X$4*X$2)</f>
        <v/>
      </c>
      <c r="B466" s="16" t="n"/>
      <c r="C466" s="10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>
        <f>K$1*(0.000001*K466^3)+L$1*((-0.000002)*L466^3+0.00032*L466^2+(-0.0021)*L466)+M$1*((-0.000002)*M466^3+0.00032*M466^2+(-0.0021)*M466)+N$1*((-0.000002)*N466^3+0.00032*N466^2+(-0.0021)*N466)+O$1*((-0.000002)*O466^3+0.00032*O466^2+(-0.0021)*O466)</f>
        <v/>
      </c>
      <c r="W466">
        <f>P$1*((-0.000002)*P466^3+0.00032*P466^2+(-0.0021)*P466)+Q$1*((-0.000002)*Q466^3+0.00032*Q466^2+(-0.0021)*Q466)+R$1*((-0.000002)*R466^3+0.00032*R466^2+(-0.0021)*R466)+S$1*((-0.000002)*S466^3+0.00032*S466^2+(-0.0021)*S466)+T$1*((-0.000002)*T466^3+0.00032*T466^2+(-0.0021)*T466)</f>
        <v/>
      </c>
      <c r="X466">
        <f>(I$1*((-0.000002)*I466^3+0.00032*I466^2+(-0.0021)*I466)+J$1*((-0.000002)*J466^3+0.00032*J466^2+(-0.0021)*J466)+H$1*((-0.000002)*H466^3+0.00032*H466^2+(-0.0021)*H466))*(MAX(0.05,MIN(1,(2*J466+I466)/120)*MIN(1,I466/10)*MIN(1,J466/10)))</f>
        <v/>
      </c>
      <c r="Y466">
        <f>(I$1*((-0.000002)*I466^3+0.00032*I466^2+(-0.0021)*I466)+J$1*((-0.000002)*J466^3+0.00032*J466^2+(-0.0021)*J466)+H$1*((-0.000002)*H466^3+0.00032*H466^2+(-0.0021)*H466))*(MAX(0.05,MIN(1,(2*J466+I466)/120)*MIN(1,I466/10)*MIN(1,J466/10)))</f>
        <v/>
      </c>
      <c r="Z466">
        <f>U466*J$2+V466*O$2+W466*H$2</f>
        <v/>
      </c>
      <c r="AA466">
        <f>IF(AND(J466&gt;50,I466+J466&gt;75),"SP",IF(2*I466+J466&gt;120,"RP","CRAP"))</f>
        <v/>
      </c>
    </row>
    <row r="467" ht="13.5" customHeight="1" s="27" thickBot="1">
      <c r="A467">
        <f>(V467*V$2+W467*W$2+X467*X$2)*100/(V$4*V$2+W$4*W$2+X$4*X$2)</f>
        <v/>
      </c>
      <c r="B467" s="18" t="n"/>
      <c r="C467" s="11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>
        <f>K$1*(0.000001*K467^3)+L$1*((-0.000002)*L467^3+0.00032*L467^2+(-0.0021)*L467)+M$1*((-0.000002)*M467^3+0.00032*M467^2+(-0.0021)*M467)+N$1*((-0.000002)*N467^3+0.00032*N467^2+(-0.0021)*N467)+O$1*((-0.000002)*O467^3+0.00032*O467^2+(-0.0021)*O467)</f>
        <v/>
      </c>
      <c r="W467">
        <f>P$1*((-0.000002)*P467^3+0.00032*P467^2+(-0.0021)*P467)+Q$1*((-0.000002)*Q467^3+0.00032*Q467^2+(-0.0021)*Q467)+R$1*((-0.000002)*R467^3+0.00032*R467^2+(-0.0021)*R467)+S$1*((-0.000002)*S467^3+0.00032*S467^2+(-0.0021)*S467)+T$1*((-0.000002)*T467^3+0.00032*T467^2+(-0.0021)*T467)</f>
        <v/>
      </c>
      <c r="X467">
        <f>(I$1*((-0.000002)*I467^3+0.00032*I467^2+(-0.0021)*I467)+J$1*((-0.000002)*J467^3+0.00032*J467^2+(-0.0021)*J467)+H$1*((-0.000002)*H467^3+0.00032*H467^2+(-0.0021)*H467))*(MAX(0.05,MIN(1,(2*J467+I467)/120)*MIN(1,I467/10)*MIN(1,J467/10)))</f>
        <v/>
      </c>
      <c r="Y467">
        <f>(I$1*((-0.000002)*I467^3+0.00032*I467^2+(-0.0021)*I467)+J$1*((-0.000002)*J467^3+0.00032*J467^2+(-0.0021)*J467)+H$1*((-0.000002)*H467^3+0.00032*H467^2+(-0.0021)*H467))*(MAX(0.05,MIN(1,(2*J467+I467)/120)*MIN(1,I467/10)*MIN(1,J467/10)))</f>
        <v/>
      </c>
      <c r="Z467">
        <f>U467*J$2+V467*O$2+W467*H$2</f>
        <v/>
      </c>
      <c r="AA467">
        <f>IF(AND(J467&gt;50,I467+J467&gt;75),"SP",IF(2*I467+J467&gt;120,"RP","CRAP"))</f>
        <v/>
      </c>
    </row>
    <row r="468" ht="13.5" customHeight="1" s="27" thickBot="1">
      <c r="A468">
        <f>(V468*V$2+W468*W$2+X468*X$2)*100/(V$4*V$2+W$4*W$2+X$4*X$2)</f>
        <v/>
      </c>
      <c r="B468" s="16" t="n"/>
      <c r="C468" s="10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>
        <f>K$1*(0.000001*K468^3)+L$1*((-0.000002)*L468^3+0.00032*L468^2+(-0.0021)*L468)+M$1*((-0.000002)*M468^3+0.00032*M468^2+(-0.0021)*M468)+N$1*((-0.000002)*N468^3+0.00032*N468^2+(-0.0021)*N468)+O$1*((-0.000002)*O468^3+0.00032*O468^2+(-0.0021)*O468)</f>
        <v/>
      </c>
      <c r="W468">
        <f>P$1*((-0.000002)*P468^3+0.00032*P468^2+(-0.0021)*P468)+Q$1*((-0.000002)*Q468^3+0.00032*Q468^2+(-0.0021)*Q468)+R$1*((-0.000002)*R468^3+0.00032*R468^2+(-0.0021)*R468)+S$1*((-0.000002)*S468^3+0.00032*S468^2+(-0.0021)*S468)+T$1*((-0.000002)*T468^3+0.00032*T468^2+(-0.0021)*T468)</f>
        <v/>
      </c>
      <c r="X468">
        <f>(I$1*((-0.000002)*I468^3+0.00032*I468^2+(-0.0021)*I468)+J$1*((-0.000002)*J468^3+0.00032*J468^2+(-0.0021)*J468)+H$1*((-0.000002)*H468^3+0.00032*H468^2+(-0.0021)*H468))*(MAX(0.05,MIN(1,(2*J468+I468)/120)*MIN(1,I468/10)*MIN(1,J468/10)))</f>
        <v/>
      </c>
      <c r="Y468">
        <f>(I$1*((-0.000002)*I468^3+0.00032*I468^2+(-0.0021)*I468)+J$1*((-0.000002)*J468^3+0.00032*J468^2+(-0.0021)*J468)+H$1*((-0.000002)*H468^3+0.00032*H468^2+(-0.0021)*H468))*(MAX(0.05,MIN(1,(2*J468+I468)/120)*MIN(1,I468/10)*MIN(1,J468/10)))</f>
        <v/>
      </c>
      <c r="Z468">
        <f>U468*J$2+V468*O$2+W468*H$2</f>
        <v/>
      </c>
      <c r="AA468">
        <f>IF(AND(J468&gt;50,I468+J468&gt;75),"SP",IF(2*I468+J468&gt;120,"RP","CRAP"))</f>
        <v/>
      </c>
    </row>
    <row r="469" ht="13.5" customHeight="1" s="27" thickBot="1">
      <c r="A469">
        <f>(V469*V$2+W469*W$2+X469*X$2)*100/(V$4*V$2+W$4*W$2+X$4*X$2)</f>
        <v/>
      </c>
      <c r="B469" s="18" t="n"/>
      <c r="C469" s="11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>
        <f>K$1*(0.000001*K469^3)+L$1*((-0.000002)*L469^3+0.00032*L469^2+(-0.0021)*L469)+M$1*((-0.000002)*M469^3+0.00032*M469^2+(-0.0021)*M469)+N$1*((-0.000002)*N469^3+0.00032*N469^2+(-0.0021)*N469)+O$1*((-0.000002)*O469^3+0.00032*O469^2+(-0.0021)*O469)</f>
        <v/>
      </c>
      <c r="W469">
        <f>P$1*((-0.000002)*P469^3+0.00032*P469^2+(-0.0021)*P469)+Q$1*((-0.000002)*Q469^3+0.00032*Q469^2+(-0.0021)*Q469)+R$1*((-0.000002)*R469^3+0.00032*R469^2+(-0.0021)*R469)+S$1*((-0.000002)*S469^3+0.00032*S469^2+(-0.0021)*S469)+T$1*((-0.000002)*T469^3+0.00032*T469^2+(-0.0021)*T469)</f>
        <v/>
      </c>
      <c r="X469">
        <f>(I$1*((-0.000002)*I469^3+0.00032*I469^2+(-0.0021)*I469)+J$1*((-0.000002)*J469^3+0.00032*J469^2+(-0.0021)*J469)+H$1*((-0.000002)*H469^3+0.00032*H469^2+(-0.0021)*H469))*(MAX(0.05,MIN(1,(2*J469+I469)/120)*MIN(1,I469/10)*MIN(1,J469/10)))</f>
        <v/>
      </c>
      <c r="Y469">
        <f>(I$1*((-0.000002)*I469^3+0.00032*I469^2+(-0.0021)*I469)+J$1*((-0.000002)*J469^3+0.00032*J469^2+(-0.0021)*J469)+H$1*((-0.000002)*H469^3+0.00032*H469^2+(-0.0021)*H469))*(MAX(0.05,MIN(1,(2*J469+I469)/120)*MIN(1,I469/10)*MIN(1,J469/10)))</f>
        <v/>
      </c>
      <c r="Z469">
        <f>U469*J$2+V469*O$2+W469*H$2</f>
        <v/>
      </c>
      <c r="AA469">
        <f>IF(AND(J469&gt;50,I469+J469&gt;75),"SP",IF(2*I469+J469&gt;120,"RP","CRAP"))</f>
        <v/>
      </c>
    </row>
    <row r="470" ht="13.5" customHeight="1" s="27" thickBot="1">
      <c r="A470">
        <f>(V470*V$2+W470*W$2+X470*X$2)*100/(V$4*V$2+W$4*W$2+X$4*X$2)</f>
        <v/>
      </c>
      <c r="B470" s="16" t="n"/>
      <c r="C470" s="10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>
        <f>K$1*(0.000001*K470^3)+L$1*((-0.000002)*L470^3+0.00032*L470^2+(-0.0021)*L470)+M$1*((-0.000002)*M470^3+0.00032*M470^2+(-0.0021)*M470)+N$1*((-0.000002)*N470^3+0.00032*N470^2+(-0.0021)*N470)+O$1*((-0.000002)*O470^3+0.00032*O470^2+(-0.0021)*O470)</f>
        <v/>
      </c>
      <c r="W470">
        <f>P$1*((-0.000002)*P470^3+0.00032*P470^2+(-0.0021)*P470)+Q$1*((-0.000002)*Q470^3+0.00032*Q470^2+(-0.0021)*Q470)+R$1*((-0.000002)*R470^3+0.00032*R470^2+(-0.0021)*R470)+S$1*((-0.000002)*S470^3+0.00032*S470^2+(-0.0021)*S470)+T$1*((-0.000002)*T470^3+0.00032*T470^2+(-0.0021)*T470)</f>
        <v/>
      </c>
      <c r="X470">
        <f>(I$1*((-0.000002)*I470^3+0.00032*I470^2+(-0.0021)*I470)+J$1*((-0.000002)*J470^3+0.00032*J470^2+(-0.0021)*J470)+H$1*((-0.000002)*H470^3+0.00032*H470^2+(-0.0021)*H470))*(MAX(0.05,MIN(1,(2*J470+I470)/120)*MIN(1,I470/10)*MIN(1,J470/10)))</f>
        <v/>
      </c>
      <c r="Y470">
        <f>(I$1*((-0.000002)*I470^3+0.00032*I470^2+(-0.0021)*I470)+J$1*((-0.000002)*J470^3+0.00032*J470^2+(-0.0021)*J470)+H$1*((-0.000002)*H470^3+0.00032*H470^2+(-0.0021)*H470))*(MAX(0.05,MIN(1,(2*J470+I470)/120)*MIN(1,I470/10)*MIN(1,J470/10)))</f>
        <v/>
      </c>
      <c r="Z470">
        <f>U470*J$2+V470*O$2+W470*H$2</f>
        <v/>
      </c>
      <c r="AA470">
        <f>IF(AND(J470&gt;50,I470+J470&gt;75),"SP",IF(2*I470+J470&gt;120,"RP","CRAP"))</f>
        <v/>
      </c>
    </row>
    <row r="471" ht="13.5" customHeight="1" s="27" thickBot="1">
      <c r="A471">
        <f>(V471*V$2+W471*W$2+X471*X$2)*100/(V$4*V$2+W$4*W$2+X$4*X$2)</f>
        <v/>
      </c>
      <c r="B471" s="18" t="n"/>
      <c r="C471" s="11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>
        <f>K$1*(0.000001*K471^3)+L$1*((-0.000002)*L471^3+0.00032*L471^2+(-0.0021)*L471)+M$1*((-0.000002)*M471^3+0.00032*M471^2+(-0.0021)*M471)+N$1*((-0.000002)*N471^3+0.00032*N471^2+(-0.0021)*N471)+O$1*((-0.000002)*O471^3+0.00032*O471^2+(-0.0021)*O471)</f>
        <v/>
      </c>
      <c r="W471">
        <f>P$1*((-0.000002)*P471^3+0.00032*P471^2+(-0.0021)*P471)+Q$1*((-0.000002)*Q471^3+0.00032*Q471^2+(-0.0021)*Q471)+R$1*((-0.000002)*R471^3+0.00032*R471^2+(-0.0021)*R471)+S$1*((-0.000002)*S471^3+0.00032*S471^2+(-0.0021)*S471)+T$1*((-0.000002)*T471^3+0.00032*T471^2+(-0.0021)*T471)</f>
        <v/>
      </c>
      <c r="X471">
        <f>(I$1*((-0.000002)*I471^3+0.00032*I471^2+(-0.0021)*I471)+J$1*((-0.000002)*J471^3+0.00032*J471^2+(-0.0021)*J471)+H$1*((-0.000002)*H471^3+0.00032*H471^2+(-0.0021)*H471))*(MAX(0.05,MIN(1,(2*J471+I471)/120)*MIN(1,I471/10)*MIN(1,J471/10)))</f>
        <v/>
      </c>
      <c r="Y471">
        <f>(I$1*((-0.000002)*I471^3+0.00032*I471^2+(-0.0021)*I471)+J$1*((-0.000002)*J471^3+0.00032*J471^2+(-0.0021)*J471)+H$1*((-0.000002)*H471^3+0.00032*H471^2+(-0.0021)*H471))*(MAX(0.05,MIN(1,(2*J471+I471)/120)*MIN(1,I471/10)*MIN(1,J471/10)))</f>
        <v/>
      </c>
      <c r="Z471">
        <f>U471*J$2+V471*O$2+W471*H$2</f>
        <v/>
      </c>
      <c r="AA471">
        <f>IF(AND(J471&gt;50,I471+J471&gt;75),"SP",IF(2*I471+J471&gt;120,"RP","CRAP"))</f>
        <v/>
      </c>
    </row>
    <row r="472" ht="13.5" customHeight="1" s="27" thickBot="1">
      <c r="A472">
        <f>(V472*V$2+W472*W$2+X472*X$2)*100/(V$4*V$2+W$4*W$2+X$4*X$2)</f>
        <v/>
      </c>
      <c r="B472" s="16" t="n"/>
      <c r="C472" s="10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>
        <f>K$1*(0.000001*K472^3)+L$1*((-0.000002)*L472^3+0.00032*L472^2+(-0.0021)*L472)+M$1*((-0.000002)*M472^3+0.00032*M472^2+(-0.0021)*M472)+N$1*((-0.000002)*N472^3+0.00032*N472^2+(-0.0021)*N472)+O$1*((-0.000002)*O472^3+0.00032*O472^2+(-0.0021)*O472)</f>
        <v/>
      </c>
      <c r="W472">
        <f>P$1*((-0.000002)*P472^3+0.00032*P472^2+(-0.0021)*P472)+Q$1*((-0.000002)*Q472^3+0.00032*Q472^2+(-0.0021)*Q472)+R$1*((-0.000002)*R472^3+0.00032*R472^2+(-0.0021)*R472)+S$1*((-0.000002)*S472^3+0.00032*S472^2+(-0.0021)*S472)+T$1*((-0.000002)*T472^3+0.00032*T472^2+(-0.0021)*T472)</f>
        <v/>
      </c>
      <c r="X472">
        <f>(I$1*((-0.000002)*I472^3+0.00032*I472^2+(-0.0021)*I472)+J$1*((-0.000002)*J472^3+0.00032*J472^2+(-0.0021)*J472)+H$1*((-0.000002)*H472^3+0.00032*H472^2+(-0.0021)*H472))*(MAX(0.05,MIN(1,(2*J472+I472)/120)*MIN(1,I472/10)*MIN(1,J472/10)))</f>
        <v/>
      </c>
      <c r="Y472">
        <f>(I$1*((-0.000002)*I472^3+0.00032*I472^2+(-0.0021)*I472)+J$1*((-0.000002)*J472^3+0.00032*J472^2+(-0.0021)*J472)+H$1*((-0.000002)*H472^3+0.00032*H472^2+(-0.0021)*H472))*(MAX(0.05,MIN(1,(2*J472+I472)/120)*MIN(1,I472/10)*MIN(1,J472/10)))</f>
        <v/>
      </c>
      <c r="Z472">
        <f>U472*J$2+V472*O$2+W472*H$2</f>
        <v/>
      </c>
      <c r="AA472">
        <f>IF(AND(J472&gt;50,I472+J472&gt;75),"SP",IF(2*I472+J472&gt;120,"RP","CRAP"))</f>
        <v/>
      </c>
    </row>
    <row r="473" ht="13.5" customHeight="1" s="27" thickBot="1">
      <c r="A473">
        <f>(V473*V$2+W473*W$2+X473*X$2)*100/(V$4*V$2+W$4*W$2+X$4*X$2)</f>
        <v/>
      </c>
      <c r="B473" s="18" t="n"/>
      <c r="C473" s="11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>
        <f>K$1*(0.000001*K473^3)+L$1*((-0.000002)*L473^3+0.00032*L473^2+(-0.0021)*L473)+M$1*((-0.000002)*M473^3+0.00032*M473^2+(-0.0021)*M473)+N$1*((-0.000002)*N473^3+0.00032*N473^2+(-0.0021)*N473)+O$1*((-0.000002)*O473^3+0.00032*O473^2+(-0.0021)*O473)</f>
        <v/>
      </c>
      <c r="W473">
        <f>P$1*((-0.000002)*P473^3+0.00032*P473^2+(-0.0021)*P473)+Q$1*((-0.000002)*Q473^3+0.00032*Q473^2+(-0.0021)*Q473)+R$1*((-0.000002)*R473^3+0.00032*R473^2+(-0.0021)*R473)+S$1*((-0.000002)*S473^3+0.00032*S473^2+(-0.0021)*S473)+T$1*((-0.000002)*T473^3+0.00032*T473^2+(-0.0021)*T473)</f>
        <v/>
      </c>
      <c r="X473">
        <f>(I$1*((-0.000002)*I473^3+0.00032*I473^2+(-0.0021)*I473)+J$1*((-0.000002)*J473^3+0.00032*J473^2+(-0.0021)*J473)+H$1*((-0.000002)*H473^3+0.00032*H473^2+(-0.0021)*H473))*(MAX(0.05,MIN(1,(2*J473+I473)/120)*MIN(1,I473/10)*MIN(1,J473/10)))</f>
        <v/>
      </c>
      <c r="Y473">
        <f>(I$1*((-0.000002)*I473^3+0.00032*I473^2+(-0.0021)*I473)+J$1*((-0.000002)*J473^3+0.00032*J473^2+(-0.0021)*J473)+H$1*((-0.000002)*H473^3+0.00032*H473^2+(-0.0021)*H473))*(MAX(0.05,MIN(1,(2*J473+I473)/120)*MIN(1,I473/10)*MIN(1,J473/10)))</f>
        <v/>
      </c>
      <c r="Z473">
        <f>U473*J$2+V473*O$2+W473*H$2</f>
        <v/>
      </c>
      <c r="AA473">
        <f>IF(AND(J473&gt;50,I473+J473&gt;75),"SP",IF(2*I473+J473&gt;120,"RP","CRAP"))</f>
        <v/>
      </c>
    </row>
    <row r="474" ht="13.5" customHeight="1" s="27" thickBot="1">
      <c r="A474">
        <f>(V474*V$2+W474*W$2+X474*X$2)*100/(V$4*V$2+W$4*W$2+X$4*X$2)</f>
        <v/>
      </c>
      <c r="B474" s="16" t="n"/>
      <c r="C474" s="10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>
        <f>K$1*(0.000001*K474^3)+L$1*((-0.000002)*L474^3+0.00032*L474^2+(-0.0021)*L474)+M$1*((-0.000002)*M474^3+0.00032*M474^2+(-0.0021)*M474)+N$1*((-0.000002)*N474^3+0.00032*N474^2+(-0.0021)*N474)+O$1*((-0.000002)*O474^3+0.00032*O474^2+(-0.0021)*O474)</f>
        <v/>
      </c>
      <c r="W474">
        <f>P$1*((-0.000002)*P474^3+0.00032*P474^2+(-0.0021)*P474)+Q$1*((-0.000002)*Q474^3+0.00032*Q474^2+(-0.0021)*Q474)+R$1*((-0.000002)*R474^3+0.00032*R474^2+(-0.0021)*R474)+S$1*((-0.000002)*S474^3+0.00032*S474^2+(-0.0021)*S474)+T$1*((-0.000002)*T474^3+0.00032*T474^2+(-0.0021)*T474)</f>
        <v/>
      </c>
      <c r="X474">
        <f>(I$1*((-0.000002)*I474^3+0.00032*I474^2+(-0.0021)*I474)+J$1*((-0.000002)*J474^3+0.00032*J474^2+(-0.0021)*J474)+H$1*((-0.000002)*H474^3+0.00032*H474^2+(-0.0021)*H474))*(MAX(0.05,MIN(1,(2*J474+I474)/120)*MIN(1,I474/10)*MIN(1,J474/10)))</f>
        <v/>
      </c>
      <c r="Y474">
        <f>(I$1*((-0.000002)*I474^3+0.00032*I474^2+(-0.0021)*I474)+J$1*((-0.000002)*J474^3+0.00032*J474^2+(-0.0021)*J474)+H$1*((-0.000002)*H474^3+0.00032*H474^2+(-0.0021)*H474))*(MAX(0.05,MIN(1,(2*J474+I474)/120)*MIN(1,I474/10)*MIN(1,J474/10)))</f>
        <v/>
      </c>
      <c r="Z474">
        <f>U474*J$2+V474*O$2+W474*H$2</f>
        <v/>
      </c>
      <c r="AA474">
        <f>IF(AND(J474&gt;50,I474+J474&gt;75),"SP",IF(2*I474+J474&gt;120,"RP","CRAP"))</f>
        <v/>
      </c>
    </row>
    <row r="475" ht="13.5" customHeight="1" s="27" thickBot="1">
      <c r="A475">
        <f>(V475*V$2+W475*W$2+X475*X$2)*100/(V$4*V$2+W$4*W$2+X$4*X$2)</f>
        <v/>
      </c>
      <c r="B475" s="18" t="n"/>
      <c r="C475" s="11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>
        <f>K$1*(0.000001*K475^3)+L$1*((-0.000002)*L475^3+0.00032*L475^2+(-0.0021)*L475)+M$1*((-0.000002)*M475^3+0.00032*M475^2+(-0.0021)*M475)+N$1*((-0.000002)*N475^3+0.00032*N475^2+(-0.0021)*N475)+O$1*((-0.000002)*O475^3+0.00032*O475^2+(-0.0021)*O475)</f>
        <v/>
      </c>
      <c r="W475">
        <f>P$1*((-0.000002)*P475^3+0.00032*P475^2+(-0.0021)*P475)+Q$1*((-0.000002)*Q475^3+0.00032*Q475^2+(-0.0021)*Q475)+R$1*((-0.000002)*R475^3+0.00032*R475^2+(-0.0021)*R475)+S$1*((-0.000002)*S475^3+0.00032*S475^2+(-0.0021)*S475)+T$1*((-0.000002)*T475^3+0.00032*T475^2+(-0.0021)*T475)</f>
        <v/>
      </c>
      <c r="X475">
        <f>(I$1*((-0.000002)*I475^3+0.00032*I475^2+(-0.0021)*I475)+J$1*((-0.000002)*J475^3+0.00032*J475^2+(-0.0021)*J475)+H$1*((-0.000002)*H475^3+0.00032*H475^2+(-0.0021)*H475))*(MAX(0.05,MIN(1,(2*J475+I475)/120)*MIN(1,I475/10)*MIN(1,J475/10)))</f>
        <v/>
      </c>
      <c r="Y475">
        <f>(I$1*((-0.000002)*I475^3+0.00032*I475^2+(-0.0021)*I475)+J$1*((-0.000002)*J475^3+0.00032*J475^2+(-0.0021)*J475)+H$1*((-0.000002)*H475^3+0.00032*H475^2+(-0.0021)*H475))*(MAX(0.05,MIN(1,(2*J475+I475)/120)*MIN(1,I475/10)*MIN(1,J475/10)))</f>
        <v/>
      </c>
      <c r="Z475">
        <f>U475*J$2+V475*O$2+W475*H$2</f>
        <v/>
      </c>
      <c r="AA475">
        <f>IF(AND(J475&gt;50,I475+J475&gt;75),"SP",IF(2*I475+J475&gt;120,"RP","CRAP"))</f>
        <v/>
      </c>
    </row>
    <row r="476" ht="13.5" customHeight="1" s="27" thickBot="1">
      <c r="A476">
        <f>(V476*V$2+W476*W$2+X476*X$2)*100/(V$4*V$2+W$4*W$2+X$4*X$2)</f>
        <v/>
      </c>
      <c r="B476" s="16" t="n"/>
      <c r="C476" s="10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>
        <f>K$1*(0.000001*K476^3)+L$1*((-0.000002)*L476^3+0.00032*L476^2+(-0.0021)*L476)+M$1*((-0.000002)*M476^3+0.00032*M476^2+(-0.0021)*M476)+N$1*((-0.000002)*N476^3+0.00032*N476^2+(-0.0021)*N476)+O$1*((-0.000002)*O476^3+0.00032*O476^2+(-0.0021)*O476)</f>
        <v/>
      </c>
      <c r="W476">
        <f>P$1*((-0.000002)*P476^3+0.00032*P476^2+(-0.0021)*P476)+Q$1*((-0.000002)*Q476^3+0.00032*Q476^2+(-0.0021)*Q476)+R$1*((-0.000002)*R476^3+0.00032*R476^2+(-0.0021)*R476)+S$1*((-0.000002)*S476^3+0.00032*S476^2+(-0.0021)*S476)+T$1*((-0.000002)*T476^3+0.00032*T476^2+(-0.0021)*T476)</f>
        <v/>
      </c>
      <c r="X476">
        <f>(I$1*((-0.000002)*I476^3+0.00032*I476^2+(-0.0021)*I476)+J$1*((-0.000002)*J476^3+0.00032*J476^2+(-0.0021)*J476)+H$1*((-0.000002)*H476^3+0.00032*H476^2+(-0.0021)*H476))*(MAX(0.05,MIN(1,(2*J476+I476)/120)*MIN(1,I476/10)*MIN(1,J476/10)))</f>
        <v/>
      </c>
      <c r="Y476">
        <f>(I$1*((-0.000002)*I476^3+0.00032*I476^2+(-0.0021)*I476)+J$1*((-0.000002)*J476^3+0.00032*J476^2+(-0.0021)*J476)+H$1*((-0.000002)*H476^3+0.00032*H476^2+(-0.0021)*H476))*(MAX(0.05,MIN(1,(2*J476+I476)/120)*MIN(1,I476/10)*MIN(1,J476/10)))</f>
        <v/>
      </c>
      <c r="Z476">
        <f>U476*J$2+V476*O$2+W476*H$2</f>
        <v/>
      </c>
      <c r="AA476">
        <f>IF(AND(J476&gt;50,I476+J476&gt;75),"SP",IF(2*I476+J476&gt;120,"RP","CRAP"))</f>
        <v/>
      </c>
    </row>
    <row r="477" ht="13.5" customHeight="1" s="27" thickBot="1">
      <c r="A477">
        <f>(V477*V$2+W477*W$2+X477*X$2)*100/(V$4*V$2+W$4*W$2+X$4*X$2)</f>
        <v/>
      </c>
      <c r="B477" s="18" t="n"/>
      <c r="C477" s="11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>
        <f>K$1*(0.000001*K477^3)+L$1*((-0.000002)*L477^3+0.00032*L477^2+(-0.0021)*L477)+M$1*((-0.000002)*M477^3+0.00032*M477^2+(-0.0021)*M477)+N$1*((-0.000002)*N477^3+0.00032*N477^2+(-0.0021)*N477)+O$1*((-0.000002)*O477^3+0.00032*O477^2+(-0.0021)*O477)</f>
        <v/>
      </c>
      <c r="W477">
        <f>P$1*((-0.000002)*P477^3+0.00032*P477^2+(-0.0021)*P477)+Q$1*((-0.000002)*Q477^3+0.00032*Q477^2+(-0.0021)*Q477)+R$1*((-0.000002)*R477^3+0.00032*R477^2+(-0.0021)*R477)+S$1*((-0.000002)*S477^3+0.00032*S477^2+(-0.0021)*S477)+T$1*((-0.000002)*T477^3+0.00032*T477^2+(-0.0021)*T477)</f>
        <v/>
      </c>
      <c r="X477">
        <f>(I$1*((-0.000002)*I477^3+0.00032*I477^2+(-0.0021)*I477)+J$1*((-0.000002)*J477^3+0.00032*J477^2+(-0.0021)*J477)+H$1*((-0.000002)*H477^3+0.00032*H477^2+(-0.0021)*H477))*(MAX(0.05,MIN(1,(2*J477+I477)/120)*MIN(1,I477/10)*MIN(1,J477/10)))</f>
        <v/>
      </c>
      <c r="Y477">
        <f>(I$1*((-0.000002)*I477^3+0.00032*I477^2+(-0.0021)*I477)+J$1*((-0.000002)*J477^3+0.00032*J477^2+(-0.0021)*J477)+H$1*((-0.000002)*H477^3+0.00032*H477^2+(-0.0021)*H477))*(MAX(0.05,MIN(1,(2*J477+I477)/120)*MIN(1,I477/10)*MIN(1,J477/10)))</f>
        <v/>
      </c>
      <c r="Z477">
        <f>U477*J$2+V477*O$2+W477*H$2</f>
        <v/>
      </c>
      <c r="AA477">
        <f>IF(AND(J477&gt;50,I477+J477&gt;75),"SP",IF(2*I477+J477&gt;120,"RP","CRAP"))</f>
        <v/>
      </c>
    </row>
    <row r="478" ht="13.5" customHeight="1" s="27" thickBot="1">
      <c r="A478">
        <f>(V478*V$2+W478*W$2+X478*X$2)*100/(V$4*V$2+W$4*W$2+X$4*X$2)</f>
        <v/>
      </c>
      <c r="B478" s="16" t="n"/>
      <c r="C478" s="10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>
        <f>K$1*(0.000001*K478^3)+L$1*((-0.000002)*L478^3+0.00032*L478^2+(-0.0021)*L478)+M$1*((-0.000002)*M478^3+0.00032*M478^2+(-0.0021)*M478)+N$1*((-0.000002)*N478^3+0.00032*N478^2+(-0.0021)*N478)+O$1*((-0.000002)*O478^3+0.00032*O478^2+(-0.0021)*O478)</f>
        <v/>
      </c>
      <c r="W478">
        <f>P$1*((-0.000002)*P478^3+0.00032*P478^2+(-0.0021)*P478)+Q$1*((-0.000002)*Q478^3+0.00032*Q478^2+(-0.0021)*Q478)+R$1*((-0.000002)*R478^3+0.00032*R478^2+(-0.0021)*R478)+S$1*((-0.000002)*S478^3+0.00032*S478^2+(-0.0021)*S478)+T$1*((-0.000002)*T478^3+0.00032*T478^2+(-0.0021)*T478)</f>
        <v/>
      </c>
      <c r="X478">
        <f>(I$1*((-0.000002)*I478^3+0.00032*I478^2+(-0.0021)*I478)+J$1*((-0.000002)*J478^3+0.00032*J478^2+(-0.0021)*J478)+H$1*((-0.000002)*H478^3+0.00032*H478^2+(-0.0021)*H478))*(MAX(0.05,MIN(1,(2*J478+I478)/120)*MIN(1,I478/10)*MIN(1,J478/10)))</f>
        <v/>
      </c>
      <c r="Y478">
        <f>(I$1*((-0.000002)*I478^3+0.00032*I478^2+(-0.0021)*I478)+J$1*((-0.000002)*J478^3+0.00032*J478^2+(-0.0021)*J478)+H$1*((-0.000002)*H478^3+0.00032*H478^2+(-0.0021)*H478))*(MAX(0.05,MIN(1,(2*J478+I478)/120)*MIN(1,I478/10)*MIN(1,J478/10)))</f>
        <v/>
      </c>
      <c r="Z478">
        <f>U478*J$2+V478*O$2+W478*H$2</f>
        <v/>
      </c>
      <c r="AA478">
        <f>IF(AND(J478&gt;50,I478+J478&gt;75),"SP",IF(2*I478+J478&gt;120,"RP","CRAP"))</f>
        <v/>
      </c>
    </row>
    <row r="479" ht="13.5" customHeight="1" s="27" thickBot="1">
      <c r="A479">
        <f>(V479*V$2+W479*W$2+X479*X$2)*100/(V$4*V$2+W$4*W$2+X$4*X$2)</f>
        <v/>
      </c>
      <c r="B479" s="18" t="n"/>
      <c r="C479" s="11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>
        <f>K$1*(0.000001*K479^3)+L$1*((-0.000002)*L479^3+0.00032*L479^2+(-0.0021)*L479)+M$1*((-0.000002)*M479^3+0.00032*M479^2+(-0.0021)*M479)+N$1*((-0.000002)*N479^3+0.00032*N479^2+(-0.0021)*N479)+O$1*((-0.000002)*O479^3+0.00032*O479^2+(-0.0021)*O479)</f>
        <v/>
      </c>
      <c r="W479">
        <f>P$1*((-0.000002)*P479^3+0.00032*P479^2+(-0.0021)*P479)+Q$1*((-0.000002)*Q479^3+0.00032*Q479^2+(-0.0021)*Q479)+R$1*((-0.000002)*R479^3+0.00032*R479^2+(-0.0021)*R479)+S$1*((-0.000002)*S479^3+0.00032*S479^2+(-0.0021)*S479)+T$1*((-0.000002)*T479^3+0.00032*T479^2+(-0.0021)*T479)</f>
        <v/>
      </c>
      <c r="X479">
        <f>(I$1*((-0.000002)*I479^3+0.00032*I479^2+(-0.0021)*I479)+J$1*((-0.000002)*J479^3+0.00032*J479^2+(-0.0021)*J479)+H$1*((-0.000002)*H479^3+0.00032*H479^2+(-0.0021)*H479))*(MAX(0.05,MIN(1,(2*J479+I479)/120)*MIN(1,I479/10)*MIN(1,J479/10)))</f>
        <v/>
      </c>
      <c r="Y479">
        <f>(I$1*((-0.000002)*I479^3+0.00032*I479^2+(-0.0021)*I479)+J$1*((-0.000002)*J479^3+0.00032*J479^2+(-0.0021)*J479)+H$1*((-0.000002)*H479^3+0.00032*H479^2+(-0.0021)*H479))*(MAX(0.05,MIN(1,(2*J479+I479)/120)*MIN(1,I479/10)*MIN(1,J479/10)))</f>
        <v/>
      </c>
      <c r="Z479">
        <f>U479*J$2+V479*O$2+W479*H$2</f>
        <v/>
      </c>
      <c r="AA479">
        <f>IF(AND(J479&gt;50,I479+J479&gt;75),"SP",IF(2*I479+J479&gt;120,"RP","CRAP"))</f>
        <v/>
      </c>
    </row>
    <row r="480" ht="13.5" customHeight="1" s="27" thickBot="1">
      <c r="A480">
        <f>(V480*V$2+W480*W$2+X480*X$2)*100/(V$4*V$2+W$4*W$2+X$4*X$2)</f>
        <v/>
      </c>
      <c r="B480" s="16" t="n"/>
      <c r="C480" s="10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>
        <f>K$1*(0.000001*K480^3)+L$1*((-0.000002)*L480^3+0.00032*L480^2+(-0.0021)*L480)+M$1*((-0.000002)*M480^3+0.00032*M480^2+(-0.0021)*M480)+N$1*((-0.000002)*N480^3+0.00032*N480^2+(-0.0021)*N480)+O$1*((-0.000002)*O480^3+0.00032*O480^2+(-0.0021)*O480)</f>
        <v/>
      </c>
      <c r="W480">
        <f>P$1*((-0.000002)*P480^3+0.00032*P480^2+(-0.0021)*P480)+Q$1*((-0.000002)*Q480^3+0.00032*Q480^2+(-0.0021)*Q480)+R$1*((-0.000002)*R480^3+0.00032*R480^2+(-0.0021)*R480)+S$1*((-0.000002)*S480^3+0.00032*S480^2+(-0.0021)*S480)+T$1*((-0.000002)*T480^3+0.00032*T480^2+(-0.0021)*T480)</f>
        <v/>
      </c>
      <c r="X480">
        <f>(I$1*((-0.000002)*I480^3+0.00032*I480^2+(-0.0021)*I480)+J$1*((-0.000002)*J480^3+0.00032*J480^2+(-0.0021)*J480)+H$1*((-0.000002)*H480^3+0.00032*H480^2+(-0.0021)*H480))*(MAX(0.05,MIN(1,(2*J480+I480)/120)*MIN(1,I480/10)*MIN(1,J480/10)))</f>
        <v/>
      </c>
      <c r="Y480">
        <f>(I$1*((-0.000002)*I480^3+0.00032*I480^2+(-0.0021)*I480)+J$1*((-0.000002)*J480^3+0.00032*J480^2+(-0.0021)*J480)+H$1*((-0.000002)*H480^3+0.00032*H480^2+(-0.0021)*H480))*(MAX(0.05,MIN(1,(2*J480+I480)/120)*MIN(1,I480/10)*MIN(1,J480/10)))</f>
        <v/>
      </c>
      <c r="Z480">
        <f>U480*J$2+V480*O$2+W480*H$2</f>
        <v/>
      </c>
      <c r="AA480">
        <f>IF(AND(J480&gt;50,I480+J480&gt;75),"SP",IF(2*I480+J480&gt;120,"RP","CRAP"))</f>
        <v/>
      </c>
    </row>
    <row r="481" ht="13.5" customHeight="1" s="27" thickBot="1">
      <c r="A481">
        <f>(V481*V$2+W481*W$2+X481*X$2)*100/(V$4*V$2+W$4*W$2+X$4*X$2)</f>
        <v/>
      </c>
      <c r="B481" s="18" t="n"/>
      <c r="C481" s="11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>
        <f>K$1*(0.000001*K481^3)+L$1*((-0.000002)*L481^3+0.00032*L481^2+(-0.0021)*L481)+M$1*((-0.000002)*M481^3+0.00032*M481^2+(-0.0021)*M481)+N$1*((-0.000002)*N481^3+0.00032*N481^2+(-0.0021)*N481)+O$1*((-0.000002)*O481^3+0.00032*O481^2+(-0.0021)*O481)</f>
        <v/>
      </c>
      <c r="W481">
        <f>P$1*((-0.000002)*P481^3+0.00032*P481^2+(-0.0021)*P481)+Q$1*((-0.000002)*Q481^3+0.00032*Q481^2+(-0.0021)*Q481)+R$1*((-0.000002)*R481^3+0.00032*R481^2+(-0.0021)*R481)+S$1*((-0.000002)*S481^3+0.00032*S481^2+(-0.0021)*S481)+T$1*((-0.000002)*T481^3+0.00032*T481^2+(-0.0021)*T481)</f>
        <v/>
      </c>
      <c r="X481">
        <f>(I$1*((-0.000002)*I481^3+0.00032*I481^2+(-0.0021)*I481)+J$1*((-0.000002)*J481^3+0.00032*J481^2+(-0.0021)*J481)+H$1*((-0.000002)*H481^3+0.00032*H481^2+(-0.0021)*H481))*(MAX(0.05,MIN(1,(2*J481+I481)/120)*MIN(1,I481/10)*MIN(1,J481/10)))</f>
        <v/>
      </c>
      <c r="Y481">
        <f>(I$1*((-0.000002)*I481^3+0.00032*I481^2+(-0.0021)*I481)+J$1*((-0.000002)*J481^3+0.00032*J481^2+(-0.0021)*J481)+H$1*((-0.000002)*H481^3+0.00032*H481^2+(-0.0021)*H481))*(MAX(0.05,MIN(1,(2*J481+I481)/120)*MIN(1,I481/10)*MIN(1,J481/10)))</f>
        <v/>
      </c>
      <c r="Z481">
        <f>U481*J$2+V481*O$2+W481*H$2</f>
        <v/>
      </c>
      <c r="AA481">
        <f>IF(AND(J481&gt;50,I481+J481&gt;75),"SP",IF(2*I481+J481&gt;120,"RP","CRAP"))</f>
        <v/>
      </c>
    </row>
    <row r="482" ht="13.5" customHeight="1" s="27" thickBot="1">
      <c r="A482">
        <f>(V482*V$2+W482*W$2+X482*X$2)*100/(V$4*V$2+W$4*W$2+X$4*X$2)</f>
        <v/>
      </c>
      <c r="B482" s="16" t="n"/>
      <c r="C482" s="10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>
        <f>K$1*(0.000001*K482^3)+L$1*((-0.000002)*L482^3+0.00032*L482^2+(-0.0021)*L482)+M$1*((-0.000002)*M482^3+0.00032*M482^2+(-0.0021)*M482)+N$1*((-0.000002)*N482^3+0.00032*N482^2+(-0.0021)*N482)+O$1*((-0.000002)*O482^3+0.00032*O482^2+(-0.0021)*O482)</f>
        <v/>
      </c>
      <c r="W482">
        <f>P$1*((-0.000002)*P482^3+0.00032*P482^2+(-0.0021)*P482)+Q$1*((-0.000002)*Q482^3+0.00032*Q482^2+(-0.0021)*Q482)+R$1*((-0.000002)*R482^3+0.00032*R482^2+(-0.0021)*R482)+S$1*((-0.000002)*S482^3+0.00032*S482^2+(-0.0021)*S482)+T$1*((-0.000002)*T482^3+0.00032*T482^2+(-0.0021)*T482)</f>
        <v/>
      </c>
      <c r="X482">
        <f>(I$1*((-0.000002)*I482^3+0.00032*I482^2+(-0.0021)*I482)+J$1*((-0.000002)*J482^3+0.00032*J482^2+(-0.0021)*J482)+H$1*((-0.000002)*H482^3+0.00032*H482^2+(-0.0021)*H482))*(MAX(0.05,MIN(1,(2*J482+I482)/120)*MIN(1,I482/10)*MIN(1,J482/10)))</f>
        <v/>
      </c>
      <c r="Y482">
        <f>(I$1*((-0.000002)*I482^3+0.00032*I482^2+(-0.0021)*I482)+J$1*((-0.000002)*J482^3+0.00032*J482^2+(-0.0021)*J482)+H$1*((-0.000002)*H482^3+0.00032*H482^2+(-0.0021)*H482))*(MAX(0.05,MIN(1,(2*J482+I482)/120)*MIN(1,I482/10)*MIN(1,J482/10)))</f>
        <v/>
      </c>
      <c r="Z482">
        <f>U482*J$2+V482*O$2+W482*H$2</f>
        <v/>
      </c>
      <c r="AA482">
        <f>IF(AND(J482&gt;50,I482+J482&gt;75),"SP",IF(2*I482+J482&gt;120,"RP","CRAP"))</f>
        <v/>
      </c>
    </row>
    <row r="483" ht="13.5" customHeight="1" s="27" thickBot="1">
      <c r="A483">
        <f>(V483*V$2+W483*W$2+X483*X$2)*100/(V$4*V$2+W$4*W$2+X$4*X$2)</f>
        <v/>
      </c>
      <c r="B483" s="18" t="n"/>
      <c r="C483" s="11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>
        <f>K$1*(0.000001*K483^3)+L$1*((-0.000002)*L483^3+0.00032*L483^2+(-0.0021)*L483)+M$1*((-0.000002)*M483^3+0.00032*M483^2+(-0.0021)*M483)+N$1*((-0.000002)*N483^3+0.00032*N483^2+(-0.0021)*N483)+O$1*((-0.000002)*O483^3+0.00032*O483^2+(-0.0021)*O483)</f>
        <v/>
      </c>
      <c r="W483">
        <f>P$1*((-0.000002)*P483^3+0.00032*P483^2+(-0.0021)*P483)+Q$1*((-0.000002)*Q483^3+0.00032*Q483^2+(-0.0021)*Q483)+R$1*((-0.000002)*R483^3+0.00032*R483^2+(-0.0021)*R483)+S$1*((-0.000002)*S483^3+0.00032*S483^2+(-0.0021)*S483)+T$1*((-0.000002)*T483^3+0.00032*T483^2+(-0.0021)*T483)</f>
        <v/>
      </c>
      <c r="X483">
        <f>(I$1*((-0.000002)*I483^3+0.00032*I483^2+(-0.0021)*I483)+J$1*((-0.000002)*J483^3+0.00032*J483^2+(-0.0021)*J483)+H$1*((-0.000002)*H483^3+0.00032*H483^2+(-0.0021)*H483))*(MAX(0.05,MIN(1,(2*J483+I483)/120)*MIN(1,I483/10)*MIN(1,J483/10)))</f>
        <v/>
      </c>
      <c r="Y483">
        <f>(I$1*((-0.000002)*I483^3+0.00032*I483^2+(-0.0021)*I483)+J$1*((-0.000002)*J483^3+0.00032*J483^2+(-0.0021)*J483)+H$1*((-0.000002)*H483^3+0.00032*H483^2+(-0.0021)*H483))*(MAX(0.05,MIN(1,(2*J483+I483)/120)*MIN(1,I483/10)*MIN(1,J483/10)))</f>
        <v/>
      </c>
      <c r="Z483">
        <f>U483*J$2+V483*O$2+W483*H$2</f>
        <v/>
      </c>
      <c r="AA483">
        <f>IF(AND(J483&gt;50,I483+J483&gt;75),"SP",IF(2*I483+J483&gt;120,"RP","CRAP"))</f>
        <v/>
      </c>
    </row>
    <row r="484" ht="13.5" customHeight="1" s="27" thickBot="1">
      <c r="A484">
        <f>(V484*V$2+W484*W$2+X484*X$2)*100/(V$4*V$2+W$4*W$2+X$4*X$2)</f>
        <v/>
      </c>
      <c r="B484" s="16" t="n"/>
      <c r="C484" s="10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>
        <f>K$1*(0.000001*K484^3)+L$1*((-0.000002)*L484^3+0.00032*L484^2+(-0.0021)*L484)+M$1*((-0.000002)*M484^3+0.00032*M484^2+(-0.0021)*M484)+N$1*((-0.000002)*N484^3+0.00032*N484^2+(-0.0021)*N484)+O$1*((-0.000002)*O484^3+0.00032*O484^2+(-0.0021)*O484)</f>
        <v/>
      </c>
      <c r="W484">
        <f>P$1*((-0.000002)*P484^3+0.00032*P484^2+(-0.0021)*P484)+Q$1*((-0.000002)*Q484^3+0.00032*Q484^2+(-0.0021)*Q484)+R$1*((-0.000002)*R484^3+0.00032*R484^2+(-0.0021)*R484)+S$1*((-0.000002)*S484^3+0.00032*S484^2+(-0.0021)*S484)+T$1*((-0.000002)*T484^3+0.00032*T484^2+(-0.0021)*T484)</f>
        <v/>
      </c>
      <c r="X484">
        <f>(I$1*((-0.000002)*I484^3+0.00032*I484^2+(-0.0021)*I484)+J$1*((-0.000002)*J484^3+0.00032*J484^2+(-0.0021)*J484)+H$1*((-0.000002)*H484^3+0.00032*H484^2+(-0.0021)*H484))*(MAX(0.05,MIN(1,(2*J484+I484)/120)*MIN(1,I484/10)*MIN(1,J484/10)))</f>
        <v/>
      </c>
      <c r="Y484">
        <f>(I$1*((-0.000002)*I484^3+0.00032*I484^2+(-0.0021)*I484)+J$1*((-0.000002)*J484^3+0.00032*J484^2+(-0.0021)*J484)+H$1*((-0.000002)*H484^3+0.00032*H484^2+(-0.0021)*H484))*(MAX(0.05,MIN(1,(2*J484+I484)/120)*MIN(1,I484/10)*MIN(1,J484/10)))</f>
        <v/>
      </c>
      <c r="Z484">
        <f>U484*J$2+V484*O$2+W484*H$2</f>
        <v/>
      </c>
      <c r="AA484">
        <f>IF(AND(J484&gt;50,I484+J484&gt;75),"SP",IF(2*I484+J484&gt;120,"RP","CRAP"))</f>
        <v/>
      </c>
    </row>
    <row r="485" ht="13.5" customHeight="1" s="27" thickBot="1">
      <c r="A485">
        <f>(V485*V$2+W485*W$2+X485*X$2)*100/(V$4*V$2+W$4*W$2+X$4*X$2)</f>
        <v/>
      </c>
      <c r="B485" s="18" t="n"/>
      <c r="C485" s="11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>
        <f>K$1*(0.000001*K485^3)+L$1*((-0.000002)*L485^3+0.00032*L485^2+(-0.0021)*L485)+M$1*((-0.000002)*M485^3+0.00032*M485^2+(-0.0021)*M485)+N$1*((-0.000002)*N485^3+0.00032*N485^2+(-0.0021)*N485)+O$1*((-0.000002)*O485^3+0.00032*O485^2+(-0.0021)*O485)</f>
        <v/>
      </c>
      <c r="W485">
        <f>P$1*((-0.000002)*P485^3+0.00032*P485^2+(-0.0021)*P485)+Q$1*((-0.000002)*Q485^3+0.00032*Q485^2+(-0.0021)*Q485)+R$1*((-0.000002)*R485^3+0.00032*R485^2+(-0.0021)*R485)+S$1*((-0.000002)*S485^3+0.00032*S485^2+(-0.0021)*S485)+T$1*((-0.000002)*T485^3+0.00032*T485^2+(-0.0021)*T485)</f>
        <v/>
      </c>
      <c r="X485">
        <f>(I$1*((-0.000002)*I485^3+0.00032*I485^2+(-0.0021)*I485)+J$1*((-0.000002)*J485^3+0.00032*J485^2+(-0.0021)*J485)+H$1*((-0.000002)*H485^3+0.00032*H485^2+(-0.0021)*H485))*(MAX(0.05,MIN(1,(2*J485+I485)/120)*MIN(1,I485/10)*MIN(1,J485/10)))</f>
        <v/>
      </c>
      <c r="Y485">
        <f>(I$1*((-0.000002)*I485^3+0.00032*I485^2+(-0.0021)*I485)+J$1*((-0.000002)*J485^3+0.00032*J485^2+(-0.0021)*J485)+H$1*((-0.000002)*H485^3+0.00032*H485^2+(-0.0021)*H485))*(MAX(0.05,MIN(1,(2*J485+I485)/120)*MIN(1,I485/10)*MIN(1,J485/10)))</f>
        <v/>
      </c>
      <c r="Z485">
        <f>U485*J$2+V485*O$2+W485*H$2</f>
        <v/>
      </c>
      <c r="AA485">
        <f>IF(AND(J485&gt;50,I485+J485&gt;75),"SP",IF(2*I485+J485&gt;120,"RP","CRAP"))</f>
        <v/>
      </c>
    </row>
    <row r="486" ht="13.5" customHeight="1" s="27" thickBot="1">
      <c r="A486">
        <f>(V486*V$2+W486*W$2+X486*X$2)*100/(V$4*V$2+W$4*W$2+X$4*X$2)</f>
        <v/>
      </c>
      <c r="B486" s="16" t="n"/>
      <c r="C486" s="10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>
        <f>K$1*(0.000001*K486^3)+L$1*((-0.000002)*L486^3+0.00032*L486^2+(-0.0021)*L486)+M$1*((-0.000002)*M486^3+0.00032*M486^2+(-0.0021)*M486)+N$1*((-0.000002)*N486^3+0.00032*N486^2+(-0.0021)*N486)+O$1*((-0.000002)*O486^3+0.00032*O486^2+(-0.0021)*O486)</f>
        <v/>
      </c>
      <c r="W486">
        <f>P$1*((-0.000002)*P486^3+0.00032*P486^2+(-0.0021)*P486)+Q$1*((-0.000002)*Q486^3+0.00032*Q486^2+(-0.0021)*Q486)+R$1*((-0.000002)*R486^3+0.00032*R486^2+(-0.0021)*R486)+S$1*((-0.000002)*S486^3+0.00032*S486^2+(-0.0021)*S486)+T$1*((-0.000002)*T486^3+0.00032*T486^2+(-0.0021)*T486)</f>
        <v/>
      </c>
      <c r="X486">
        <f>(I$1*((-0.000002)*I486^3+0.00032*I486^2+(-0.0021)*I486)+J$1*((-0.000002)*J486^3+0.00032*J486^2+(-0.0021)*J486)+H$1*((-0.000002)*H486^3+0.00032*H486^2+(-0.0021)*H486))*(MAX(0.05,MIN(1,(2*J486+I486)/120)*MIN(1,I486/10)*MIN(1,J486/10)))</f>
        <v/>
      </c>
      <c r="Y486">
        <f>(I$1*((-0.000002)*I486^3+0.00032*I486^2+(-0.0021)*I486)+J$1*((-0.000002)*J486^3+0.00032*J486^2+(-0.0021)*J486)+H$1*((-0.000002)*H486^3+0.00032*H486^2+(-0.0021)*H486))*(MAX(0.05,MIN(1,(2*J486+I486)/120)*MIN(1,I486/10)*MIN(1,J486/10)))</f>
        <v/>
      </c>
      <c r="Z486">
        <f>U486*J$2+V486*O$2+W486*H$2</f>
        <v/>
      </c>
      <c r="AA486">
        <f>IF(AND(J486&gt;50,I486+J486&gt;75),"SP",IF(2*I486+J486&gt;120,"RP","CRAP"))</f>
        <v/>
      </c>
    </row>
    <row r="487" ht="13.5" customHeight="1" s="27" thickBot="1">
      <c r="A487">
        <f>(V487*V$2+W487*W$2+X487*X$2)*100/(V$4*V$2+W$4*W$2+X$4*X$2)</f>
        <v/>
      </c>
      <c r="B487" s="18" t="n"/>
      <c r="C487" s="11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>
        <f>K$1*(0.000001*K487^3)+L$1*((-0.000002)*L487^3+0.00032*L487^2+(-0.0021)*L487)+M$1*((-0.000002)*M487^3+0.00032*M487^2+(-0.0021)*M487)+N$1*((-0.000002)*N487^3+0.00032*N487^2+(-0.0021)*N487)+O$1*((-0.000002)*O487^3+0.00032*O487^2+(-0.0021)*O487)</f>
        <v/>
      </c>
      <c r="W487">
        <f>P$1*((-0.000002)*P487^3+0.00032*P487^2+(-0.0021)*P487)+Q$1*((-0.000002)*Q487^3+0.00032*Q487^2+(-0.0021)*Q487)+R$1*((-0.000002)*R487^3+0.00032*R487^2+(-0.0021)*R487)+S$1*((-0.000002)*S487^3+0.00032*S487^2+(-0.0021)*S487)+T$1*((-0.000002)*T487^3+0.00032*T487^2+(-0.0021)*T487)</f>
        <v/>
      </c>
      <c r="X487">
        <f>(I$1*((-0.000002)*I487^3+0.00032*I487^2+(-0.0021)*I487)+J$1*((-0.000002)*J487^3+0.00032*J487^2+(-0.0021)*J487)+H$1*((-0.000002)*H487^3+0.00032*H487^2+(-0.0021)*H487))*(MAX(0.05,MIN(1,(2*J487+I487)/120)*MIN(1,I487/10)*MIN(1,J487/10)))</f>
        <v/>
      </c>
      <c r="Y487">
        <f>(I$1*((-0.000002)*I487^3+0.00032*I487^2+(-0.0021)*I487)+J$1*((-0.000002)*J487^3+0.00032*J487^2+(-0.0021)*J487)+H$1*((-0.000002)*H487^3+0.00032*H487^2+(-0.0021)*H487))*(MAX(0.05,MIN(1,(2*J487+I487)/120)*MIN(1,I487/10)*MIN(1,J487/10)))</f>
        <v/>
      </c>
      <c r="Z487">
        <f>U487*J$2+V487*O$2+W487*H$2</f>
        <v/>
      </c>
      <c r="AA487">
        <f>IF(AND(J487&gt;50,I487+J487&gt;75),"SP",IF(2*I487+J487&gt;120,"RP","CRAP"))</f>
        <v/>
      </c>
    </row>
    <row r="488" ht="13.5" customHeight="1" s="27" thickBot="1">
      <c r="A488">
        <f>(V488*V$2+W488*W$2+X488*X$2)*100/(V$4*V$2+W$4*W$2+X$4*X$2)</f>
        <v/>
      </c>
      <c r="B488" s="16" t="n"/>
      <c r="C488" s="10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>
        <f>K$1*(0.000001*K488^3)+L$1*((-0.000002)*L488^3+0.00032*L488^2+(-0.0021)*L488)+M$1*((-0.000002)*M488^3+0.00032*M488^2+(-0.0021)*M488)+N$1*((-0.000002)*N488^3+0.00032*N488^2+(-0.0021)*N488)+O$1*((-0.000002)*O488^3+0.00032*O488^2+(-0.0021)*O488)</f>
        <v/>
      </c>
      <c r="W488">
        <f>P$1*((-0.000002)*P488^3+0.00032*P488^2+(-0.0021)*P488)+Q$1*((-0.000002)*Q488^3+0.00032*Q488^2+(-0.0021)*Q488)+R$1*((-0.000002)*R488^3+0.00032*R488^2+(-0.0021)*R488)+S$1*((-0.000002)*S488^3+0.00032*S488^2+(-0.0021)*S488)+T$1*((-0.000002)*T488^3+0.00032*T488^2+(-0.0021)*T488)</f>
        <v/>
      </c>
      <c r="X488">
        <f>(I$1*((-0.000002)*I488^3+0.00032*I488^2+(-0.0021)*I488)+J$1*((-0.000002)*J488^3+0.00032*J488^2+(-0.0021)*J488)+H$1*((-0.000002)*H488^3+0.00032*H488^2+(-0.0021)*H488))*(MAX(0.05,MIN(1,(2*J488+I488)/120)*MIN(1,I488/10)*MIN(1,J488/10)))</f>
        <v/>
      </c>
      <c r="Y488">
        <f>(I$1*((-0.000002)*I488^3+0.00032*I488^2+(-0.0021)*I488)+J$1*((-0.000002)*J488^3+0.00032*J488^2+(-0.0021)*J488)+H$1*((-0.000002)*H488^3+0.00032*H488^2+(-0.0021)*H488))*(MAX(0.05,MIN(1,(2*J488+I488)/120)*MIN(1,I488/10)*MIN(1,J488/10)))</f>
        <v/>
      </c>
      <c r="Z488">
        <f>U488*J$2+V488*O$2+W488*H$2</f>
        <v/>
      </c>
      <c r="AA488">
        <f>IF(AND(J488&gt;50,I488+J488&gt;75),"SP",IF(2*I488+J488&gt;120,"RP","CRAP"))</f>
        <v/>
      </c>
    </row>
    <row r="489" ht="13.5" customHeight="1" s="27" thickBot="1">
      <c r="A489">
        <f>(V489*V$2+W489*W$2+X489*X$2)*100/(V$4*V$2+W$4*W$2+X$4*X$2)</f>
        <v/>
      </c>
      <c r="B489" s="18" t="n"/>
      <c r="C489" s="11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>
        <f>K$1*(0.000001*K489^3)+L$1*((-0.000002)*L489^3+0.00032*L489^2+(-0.0021)*L489)+M$1*((-0.000002)*M489^3+0.00032*M489^2+(-0.0021)*M489)+N$1*((-0.000002)*N489^3+0.00032*N489^2+(-0.0021)*N489)+O$1*((-0.000002)*O489^3+0.00032*O489^2+(-0.0021)*O489)</f>
        <v/>
      </c>
      <c r="W489">
        <f>P$1*((-0.000002)*P489^3+0.00032*P489^2+(-0.0021)*P489)+Q$1*((-0.000002)*Q489^3+0.00032*Q489^2+(-0.0021)*Q489)+R$1*((-0.000002)*R489^3+0.00032*R489^2+(-0.0021)*R489)+S$1*((-0.000002)*S489^3+0.00032*S489^2+(-0.0021)*S489)+T$1*((-0.000002)*T489^3+0.00032*T489^2+(-0.0021)*T489)</f>
        <v/>
      </c>
      <c r="X489">
        <f>(I$1*((-0.000002)*I489^3+0.00032*I489^2+(-0.0021)*I489)+J$1*((-0.000002)*J489^3+0.00032*J489^2+(-0.0021)*J489)+H$1*((-0.000002)*H489^3+0.00032*H489^2+(-0.0021)*H489))*(MAX(0.05,MIN(1,(2*J489+I489)/120)*MIN(1,I489/10)*MIN(1,J489/10)))</f>
        <v/>
      </c>
      <c r="Y489">
        <f>(I$1*((-0.000002)*I489^3+0.00032*I489^2+(-0.0021)*I489)+J$1*((-0.000002)*J489^3+0.00032*J489^2+(-0.0021)*J489)+H$1*((-0.000002)*H489^3+0.00032*H489^2+(-0.0021)*H489))*(MAX(0.05,MIN(1,(2*J489+I489)/120)*MIN(1,I489/10)*MIN(1,J489/10)))</f>
        <v/>
      </c>
      <c r="Z489">
        <f>U489*J$2+V489*O$2+W489*H$2</f>
        <v/>
      </c>
      <c r="AA489">
        <f>IF(AND(J489&gt;50,I489+J489&gt;75),"SP",IF(2*I489+J489&gt;120,"RP","CRAP"))</f>
        <v/>
      </c>
    </row>
    <row r="490" ht="13.5" customHeight="1" s="27" thickBot="1">
      <c r="A490">
        <f>(V490*V$2+W490*W$2+X490*X$2)*100/(V$4*V$2+W$4*W$2+X$4*X$2)</f>
        <v/>
      </c>
      <c r="B490" s="16" t="n"/>
      <c r="C490" s="10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>
        <f>K$1*(0.000001*K490^3)+L$1*((-0.000002)*L490^3+0.00032*L490^2+(-0.0021)*L490)+M$1*((-0.000002)*M490^3+0.00032*M490^2+(-0.0021)*M490)+N$1*((-0.000002)*N490^3+0.00032*N490^2+(-0.0021)*N490)+O$1*((-0.000002)*O490^3+0.00032*O490^2+(-0.0021)*O490)</f>
        <v/>
      </c>
      <c r="W490">
        <f>P$1*((-0.000002)*P490^3+0.00032*P490^2+(-0.0021)*P490)+Q$1*((-0.000002)*Q490^3+0.00032*Q490^2+(-0.0021)*Q490)+R$1*((-0.000002)*R490^3+0.00032*R490^2+(-0.0021)*R490)+S$1*((-0.000002)*S490^3+0.00032*S490^2+(-0.0021)*S490)+T$1*((-0.000002)*T490^3+0.00032*T490^2+(-0.0021)*T490)</f>
        <v/>
      </c>
      <c r="X490">
        <f>(I$1*((-0.000002)*I490^3+0.00032*I490^2+(-0.0021)*I490)+J$1*((-0.000002)*J490^3+0.00032*J490^2+(-0.0021)*J490)+H$1*((-0.000002)*H490^3+0.00032*H490^2+(-0.0021)*H490))*(MAX(0.05,MIN(1,(2*J490+I490)/120)*MIN(1,I490/10)*MIN(1,J490/10)))</f>
        <v/>
      </c>
      <c r="Y490">
        <f>(I$1*((-0.000002)*I490^3+0.00032*I490^2+(-0.0021)*I490)+J$1*((-0.000002)*J490^3+0.00032*J490^2+(-0.0021)*J490)+H$1*((-0.000002)*H490^3+0.00032*H490^2+(-0.0021)*H490))*(MAX(0.05,MIN(1,(2*J490+I490)/120)*MIN(1,I490/10)*MIN(1,J490/10)))</f>
        <v/>
      </c>
      <c r="Z490">
        <f>U490*J$2+V490*O$2+W490*H$2</f>
        <v/>
      </c>
      <c r="AA490">
        <f>IF(AND(J490&gt;50,I490+J490&gt;75),"SP",IF(2*I490+J490&gt;120,"RP","CRAP"))</f>
        <v/>
      </c>
    </row>
    <row r="491" ht="13.5" customHeight="1" s="27" thickBot="1">
      <c r="A491">
        <f>(V491*V$2+W491*W$2+X491*X$2)*100/(V$4*V$2+W$4*W$2+X$4*X$2)</f>
        <v/>
      </c>
      <c r="B491" s="18" t="n"/>
      <c r="C491" s="11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>
        <f>K$1*(0.000001*K491^3)+L$1*((-0.000002)*L491^3+0.00032*L491^2+(-0.0021)*L491)+M$1*((-0.000002)*M491^3+0.00032*M491^2+(-0.0021)*M491)+N$1*((-0.000002)*N491^3+0.00032*N491^2+(-0.0021)*N491)+O$1*((-0.000002)*O491^3+0.00032*O491^2+(-0.0021)*O491)</f>
        <v/>
      </c>
      <c r="W491">
        <f>P$1*((-0.000002)*P491^3+0.00032*P491^2+(-0.0021)*P491)+Q$1*((-0.000002)*Q491^3+0.00032*Q491^2+(-0.0021)*Q491)+R$1*((-0.000002)*R491^3+0.00032*R491^2+(-0.0021)*R491)+S$1*((-0.000002)*S491^3+0.00032*S491^2+(-0.0021)*S491)+T$1*((-0.000002)*T491^3+0.00032*T491^2+(-0.0021)*T491)</f>
        <v/>
      </c>
      <c r="X491">
        <f>(I$1*((-0.000002)*I491^3+0.00032*I491^2+(-0.0021)*I491)+J$1*((-0.000002)*J491^3+0.00032*J491^2+(-0.0021)*J491)+H$1*((-0.000002)*H491^3+0.00032*H491^2+(-0.0021)*H491))*(MAX(0.05,MIN(1,(2*J491+I491)/120)*MIN(1,I491/10)*MIN(1,J491/10)))</f>
        <v/>
      </c>
      <c r="Y491">
        <f>(I$1*((-0.000002)*I491^3+0.00032*I491^2+(-0.0021)*I491)+J$1*((-0.000002)*J491^3+0.00032*J491^2+(-0.0021)*J491)+H$1*((-0.000002)*H491^3+0.00032*H491^2+(-0.0021)*H491))*(MAX(0.05,MIN(1,(2*J491+I491)/120)*MIN(1,I491/10)*MIN(1,J491/10)))</f>
        <v/>
      </c>
      <c r="Z491">
        <f>U491*J$2+V491*O$2+W491*H$2</f>
        <v/>
      </c>
      <c r="AA491">
        <f>IF(AND(J491&gt;50,I491+J491&gt;75),"SP",IF(2*I491+J491&gt;120,"RP","CRAP"))</f>
        <v/>
      </c>
    </row>
    <row r="492" ht="13.5" customHeight="1" s="27" thickBot="1">
      <c r="A492">
        <f>(V492*V$2+W492*W$2+X492*X$2)*100/(V$4*V$2+W$4*W$2+X$4*X$2)</f>
        <v/>
      </c>
      <c r="B492" s="16" t="n"/>
      <c r="C492" s="10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>
        <f>K$1*(0.000001*K492^3)+L$1*((-0.000002)*L492^3+0.00032*L492^2+(-0.0021)*L492)+M$1*((-0.000002)*M492^3+0.00032*M492^2+(-0.0021)*M492)+N$1*((-0.000002)*N492^3+0.00032*N492^2+(-0.0021)*N492)+O$1*((-0.000002)*O492^3+0.00032*O492^2+(-0.0021)*O492)</f>
        <v/>
      </c>
      <c r="W492">
        <f>P$1*((-0.000002)*P492^3+0.00032*P492^2+(-0.0021)*P492)+Q$1*((-0.000002)*Q492^3+0.00032*Q492^2+(-0.0021)*Q492)+R$1*((-0.000002)*R492^3+0.00032*R492^2+(-0.0021)*R492)+S$1*((-0.000002)*S492^3+0.00032*S492^2+(-0.0021)*S492)+T$1*((-0.000002)*T492^3+0.00032*T492^2+(-0.0021)*T492)</f>
        <v/>
      </c>
      <c r="X492">
        <f>(I$1*((-0.000002)*I492^3+0.00032*I492^2+(-0.0021)*I492)+J$1*((-0.000002)*J492^3+0.00032*J492^2+(-0.0021)*J492)+H$1*((-0.000002)*H492^3+0.00032*H492^2+(-0.0021)*H492))*(MAX(0.05,MIN(1,(2*J492+I492)/120)*MIN(1,I492/10)*MIN(1,J492/10)))</f>
        <v/>
      </c>
      <c r="Y492">
        <f>(I$1*((-0.000002)*I492^3+0.00032*I492^2+(-0.0021)*I492)+J$1*((-0.000002)*J492^3+0.00032*J492^2+(-0.0021)*J492)+H$1*((-0.000002)*H492^3+0.00032*H492^2+(-0.0021)*H492))*(MAX(0.05,MIN(1,(2*J492+I492)/120)*MIN(1,I492/10)*MIN(1,J492/10)))</f>
        <v/>
      </c>
      <c r="Z492">
        <f>U492*J$2+V492*O$2+W492*H$2</f>
        <v/>
      </c>
      <c r="AA492">
        <f>IF(AND(J492&gt;50,I492+J492&gt;75),"SP",IF(2*I492+J492&gt;120,"RP","CRAP"))</f>
        <v/>
      </c>
    </row>
    <row r="493" ht="13.5" customHeight="1" s="27" thickBot="1">
      <c r="A493">
        <f>(V493*V$2+W493*W$2+X493*X$2)*100/(V$4*V$2+W$4*W$2+X$4*X$2)</f>
        <v/>
      </c>
      <c r="B493" s="18" t="n"/>
      <c r="C493" s="11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>
        <f>K$1*(0.000001*K493^3)+L$1*((-0.000002)*L493^3+0.00032*L493^2+(-0.0021)*L493)+M$1*((-0.000002)*M493^3+0.00032*M493^2+(-0.0021)*M493)+N$1*((-0.000002)*N493^3+0.00032*N493^2+(-0.0021)*N493)+O$1*((-0.000002)*O493^3+0.00032*O493^2+(-0.0021)*O493)</f>
        <v/>
      </c>
      <c r="W493">
        <f>P$1*((-0.000002)*P493^3+0.00032*P493^2+(-0.0021)*P493)+Q$1*((-0.000002)*Q493^3+0.00032*Q493^2+(-0.0021)*Q493)+R$1*((-0.000002)*R493^3+0.00032*R493^2+(-0.0021)*R493)+S$1*((-0.000002)*S493^3+0.00032*S493^2+(-0.0021)*S493)+T$1*((-0.000002)*T493^3+0.00032*T493^2+(-0.0021)*T493)</f>
        <v/>
      </c>
      <c r="X493">
        <f>(I$1*((-0.000002)*I493^3+0.00032*I493^2+(-0.0021)*I493)+J$1*((-0.000002)*J493^3+0.00032*J493^2+(-0.0021)*J493)+H$1*((-0.000002)*H493^3+0.00032*H493^2+(-0.0021)*H493))*(MAX(0.05,MIN(1,(2*J493+I493)/120)*MIN(1,I493/10)*MIN(1,J493/10)))</f>
        <v/>
      </c>
      <c r="Y493">
        <f>(I$1*((-0.000002)*I493^3+0.00032*I493^2+(-0.0021)*I493)+J$1*((-0.000002)*J493^3+0.00032*J493^2+(-0.0021)*J493)+H$1*((-0.000002)*H493^3+0.00032*H493^2+(-0.0021)*H493))*(MAX(0.05,MIN(1,(2*J493+I493)/120)*MIN(1,I493/10)*MIN(1,J493/10)))</f>
        <v/>
      </c>
      <c r="Z493">
        <f>U493*J$2+V493*O$2+W493*H$2</f>
        <v/>
      </c>
      <c r="AA493">
        <f>IF(AND(J493&gt;50,I493+J493&gt;75),"SP",IF(2*I493+J493&gt;120,"RP","CRAP"))</f>
        <v/>
      </c>
    </row>
    <row r="494" ht="13.5" customHeight="1" s="27" thickBot="1">
      <c r="A494">
        <f>(V494*V$2+W494*W$2+X494*X$2)*100/(V$4*V$2+W$4*W$2+X$4*X$2)</f>
        <v/>
      </c>
      <c r="B494" s="16" t="n"/>
      <c r="C494" s="10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>
        <f>K$1*(0.000001*K494^3)+L$1*((-0.000002)*L494^3+0.00032*L494^2+(-0.0021)*L494)+M$1*((-0.000002)*M494^3+0.00032*M494^2+(-0.0021)*M494)+N$1*((-0.000002)*N494^3+0.00032*N494^2+(-0.0021)*N494)+O$1*((-0.000002)*O494^3+0.00032*O494^2+(-0.0021)*O494)</f>
        <v/>
      </c>
      <c r="W494">
        <f>P$1*((-0.000002)*P494^3+0.00032*P494^2+(-0.0021)*P494)+Q$1*((-0.000002)*Q494^3+0.00032*Q494^2+(-0.0021)*Q494)+R$1*((-0.000002)*R494^3+0.00032*R494^2+(-0.0021)*R494)+S$1*((-0.000002)*S494^3+0.00032*S494^2+(-0.0021)*S494)+T$1*((-0.000002)*T494^3+0.00032*T494^2+(-0.0021)*T494)</f>
        <v/>
      </c>
      <c r="X494">
        <f>(I$1*((-0.000002)*I494^3+0.00032*I494^2+(-0.0021)*I494)+J$1*((-0.000002)*J494^3+0.00032*J494^2+(-0.0021)*J494)+H$1*((-0.000002)*H494^3+0.00032*H494^2+(-0.0021)*H494))*(MAX(0.05,MIN(1,(2*J494+I494)/120)*MIN(1,I494/10)*MIN(1,J494/10)))</f>
        <v/>
      </c>
      <c r="Y494">
        <f>(I$1*((-0.000002)*I494^3+0.00032*I494^2+(-0.0021)*I494)+J$1*((-0.000002)*J494^3+0.00032*J494^2+(-0.0021)*J494)+H$1*((-0.000002)*H494^3+0.00032*H494^2+(-0.0021)*H494))*(MAX(0.05,MIN(1,(2*J494+I494)/120)*MIN(1,I494/10)*MIN(1,J494/10)))</f>
        <v/>
      </c>
      <c r="Z494">
        <f>U494*J$2+V494*O$2+W494*H$2</f>
        <v/>
      </c>
      <c r="AA494">
        <f>IF(AND(J494&gt;50,I494+J494&gt;75),"SP",IF(2*I494+J494&gt;120,"RP","CRAP"))</f>
        <v/>
      </c>
    </row>
    <row r="495" ht="13.5" customHeight="1" s="27" thickBot="1">
      <c r="A495">
        <f>(V495*V$2+W495*W$2+X495*X$2)*100/(V$4*V$2+W$4*W$2+X$4*X$2)</f>
        <v/>
      </c>
      <c r="B495" s="18" t="n"/>
      <c r="C495" s="11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>
        <f>K$1*(0.000001*K495^3)+L$1*((-0.000002)*L495^3+0.00032*L495^2+(-0.0021)*L495)+M$1*((-0.000002)*M495^3+0.00032*M495^2+(-0.0021)*M495)+N$1*((-0.000002)*N495^3+0.00032*N495^2+(-0.0021)*N495)+O$1*((-0.000002)*O495^3+0.00032*O495^2+(-0.0021)*O495)</f>
        <v/>
      </c>
      <c r="W495">
        <f>P$1*((-0.000002)*P495^3+0.00032*P495^2+(-0.0021)*P495)+Q$1*((-0.000002)*Q495^3+0.00032*Q495^2+(-0.0021)*Q495)+R$1*((-0.000002)*R495^3+0.00032*R495^2+(-0.0021)*R495)+S$1*((-0.000002)*S495^3+0.00032*S495^2+(-0.0021)*S495)+T$1*((-0.000002)*T495^3+0.00032*T495^2+(-0.0021)*T495)</f>
        <v/>
      </c>
      <c r="X495">
        <f>(I$1*((-0.000002)*I495^3+0.00032*I495^2+(-0.0021)*I495)+J$1*((-0.000002)*J495^3+0.00032*J495^2+(-0.0021)*J495)+H$1*((-0.000002)*H495^3+0.00032*H495^2+(-0.0021)*H495))*(MAX(0.05,MIN(1,(2*J495+I495)/120)*MIN(1,I495/10)*MIN(1,J495/10)))</f>
        <v/>
      </c>
      <c r="Y495">
        <f>(I$1*((-0.000002)*I495^3+0.00032*I495^2+(-0.0021)*I495)+J$1*((-0.000002)*J495^3+0.00032*J495^2+(-0.0021)*J495)+H$1*((-0.000002)*H495^3+0.00032*H495^2+(-0.0021)*H495))*(MAX(0.05,MIN(1,(2*J495+I495)/120)*MIN(1,I495/10)*MIN(1,J495/10)))</f>
        <v/>
      </c>
      <c r="Z495">
        <f>U495*J$2+V495*O$2+W495*H$2</f>
        <v/>
      </c>
      <c r="AA495">
        <f>IF(AND(J495&gt;50,I495+J495&gt;75),"SP",IF(2*I495+J495&gt;120,"RP","CRAP"))</f>
        <v/>
      </c>
    </row>
    <row r="496" ht="13.5" customHeight="1" s="27" thickBot="1">
      <c r="A496">
        <f>(V496*V$2+W496*W$2+X496*X$2)*100/(V$4*V$2+W$4*W$2+X$4*X$2)</f>
        <v/>
      </c>
      <c r="B496" s="16" t="n"/>
      <c r="C496" s="10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>
        <f>K$1*(0.000001*K496^3)+L$1*((-0.000002)*L496^3+0.00032*L496^2+(-0.0021)*L496)+M$1*((-0.000002)*M496^3+0.00032*M496^2+(-0.0021)*M496)+N$1*((-0.000002)*N496^3+0.00032*N496^2+(-0.0021)*N496)+O$1*((-0.000002)*O496^3+0.00032*O496^2+(-0.0021)*O496)</f>
        <v/>
      </c>
      <c r="W496">
        <f>P$1*((-0.000002)*P496^3+0.00032*P496^2+(-0.0021)*P496)+Q$1*((-0.000002)*Q496^3+0.00032*Q496^2+(-0.0021)*Q496)+R$1*((-0.000002)*R496^3+0.00032*R496^2+(-0.0021)*R496)+S$1*((-0.000002)*S496^3+0.00032*S496^2+(-0.0021)*S496)+T$1*((-0.000002)*T496^3+0.00032*T496^2+(-0.0021)*T496)</f>
        <v/>
      </c>
      <c r="X496">
        <f>(I$1*((-0.000002)*I496^3+0.00032*I496^2+(-0.0021)*I496)+J$1*((-0.000002)*J496^3+0.00032*J496^2+(-0.0021)*J496)+H$1*((-0.000002)*H496^3+0.00032*H496^2+(-0.0021)*H496))*(MAX(0.05,MIN(1,(2*J496+I496)/120)*MIN(1,I496/10)*MIN(1,J496/10)))</f>
        <v/>
      </c>
      <c r="Y496">
        <f>(I$1*((-0.000002)*I496^3+0.00032*I496^2+(-0.0021)*I496)+J$1*((-0.000002)*J496^3+0.00032*J496^2+(-0.0021)*J496)+H$1*((-0.000002)*H496^3+0.00032*H496^2+(-0.0021)*H496))*(MAX(0.05,MIN(1,(2*J496+I496)/120)*MIN(1,I496/10)*MIN(1,J496/10)))</f>
        <v/>
      </c>
      <c r="Z496">
        <f>U496*J$2+V496*O$2+W496*H$2</f>
        <v/>
      </c>
      <c r="AA496">
        <f>IF(AND(J496&gt;50,I496+J496&gt;75),"SP",IF(2*I496+J496&gt;120,"RP","CRAP"))</f>
        <v/>
      </c>
    </row>
    <row r="497" ht="13.5" customHeight="1" s="27" thickBot="1">
      <c r="A497">
        <f>(V497*V$2+W497*W$2+X497*X$2)*100/(V$4*V$2+W$4*W$2+X$4*X$2)</f>
        <v/>
      </c>
      <c r="B497" s="18" t="n"/>
      <c r="C497" s="11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>
        <f>K$1*(0.000001*K497^3)+L$1*((-0.000002)*L497^3+0.00032*L497^2+(-0.0021)*L497)+M$1*((-0.000002)*M497^3+0.00032*M497^2+(-0.0021)*M497)+N$1*((-0.000002)*N497^3+0.00032*N497^2+(-0.0021)*N497)+O$1*((-0.000002)*O497^3+0.00032*O497^2+(-0.0021)*O497)</f>
        <v/>
      </c>
      <c r="W497">
        <f>P$1*((-0.000002)*P497^3+0.00032*P497^2+(-0.0021)*P497)+Q$1*((-0.000002)*Q497^3+0.00032*Q497^2+(-0.0021)*Q497)+R$1*((-0.000002)*R497^3+0.00032*R497^2+(-0.0021)*R497)+S$1*((-0.000002)*S497^3+0.00032*S497^2+(-0.0021)*S497)+T$1*((-0.000002)*T497^3+0.00032*T497^2+(-0.0021)*T497)</f>
        <v/>
      </c>
      <c r="X497">
        <f>(I$1*((-0.000002)*I497^3+0.00032*I497^2+(-0.0021)*I497)+J$1*((-0.000002)*J497^3+0.00032*J497^2+(-0.0021)*J497)+H$1*((-0.000002)*H497^3+0.00032*H497^2+(-0.0021)*H497))*(MAX(0.05,MIN(1,(2*J497+I497)/120)*MIN(1,I497/10)*MIN(1,J497/10)))</f>
        <v/>
      </c>
      <c r="Y497">
        <f>(I$1*((-0.000002)*I497^3+0.00032*I497^2+(-0.0021)*I497)+J$1*((-0.000002)*J497^3+0.00032*J497^2+(-0.0021)*J497)+H$1*((-0.000002)*H497^3+0.00032*H497^2+(-0.0021)*H497))*(MAX(0.05,MIN(1,(2*J497+I497)/120)*MIN(1,I497/10)*MIN(1,J497/10)))</f>
        <v/>
      </c>
      <c r="Z497">
        <f>U497*J$2+V497*O$2+W497*H$2</f>
        <v/>
      </c>
      <c r="AA497">
        <f>IF(AND(J497&gt;50,I497+J497&gt;75),"SP",IF(2*I497+J497&gt;120,"RP","CRAP"))</f>
        <v/>
      </c>
    </row>
    <row r="498" ht="13.5" customHeight="1" s="27" thickBot="1">
      <c r="A498">
        <f>(V498*V$2+W498*W$2+X498*X$2)*100/(V$4*V$2+W$4*W$2+X$4*X$2)</f>
        <v/>
      </c>
      <c r="B498" s="16" t="n"/>
      <c r="C498" s="10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>
        <f>K$1*(0.000001*K498^3)+L$1*((-0.000002)*L498^3+0.00032*L498^2+(-0.0021)*L498)+M$1*((-0.000002)*M498^3+0.00032*M498^2+(-0.0021)*M498)+N$1*((-0.000002)*N498^3+0.00032*N498^2+(-0.0021)*N498)+O$1*((-0.000002)*O498^3+0.00032*O498^2+(-0.0021)*O498)</f>
        <v/>
      </c>
      <c r="W498">
        <f>P$1*((-0.000002)*P498^3+0.00032*P498^2+(-0.0021)*P498)+Q$1*((-0.000002)*Q498^3+0.00032*Q498^2+(-0.0021)*Q498)+R$1*((-0.000002)*R498^3+0.00032*R498^2+(-0.0021)*R498)+S$1*((-0.000002)*S498^3+0.00032*S498^2+(-0.0021)*S498)+T$1*((-0.000002)*T498^3+0.00032*T498^2+(-0.0021)*T498)</f>
        <v/>
      </c>
      <c r="X498">
        <f>(I$1*((-0.000002)*I498^3+0.00032*I498^2+(-0.0021)*I498)+J$1*((-0.000002)*J498^3+0.00032*J498^2+(-0.0021)*J498)+H$1*((-0.000002)*H498^3+0.00032*H498^2+(-0.0021)*H498))*(MAX(0.05,MIN(1,(2*J498+I498)/120)*MIN(1,I498/10)*MIN(1,J498/10)))</f>
        <v/>
      </c>
      <c r="Y498">
        <f>(I$1*((-0.000002)*I498^3+0.00032*I498^2+(-0.0021)*I498)+J$1*((-0.000002)*J498^3+0.00032*J498^2+(-0.0021)*J498)+H$1*((-0.000002)*H498^3+0.00032*H498^2+(-0.0021)*H498))*(MAX(0.05,MIN(1,(2*J498+I498)/120)*MIN(1,I498/10)*MIN(1,J498/10)))</f>
        <v/>
      </c>
      <c r="Z498">
        <f>U498*J$2+V498*O$2+W498*H$2</f>
        <v/>
      </c>
      <c r="AA498">
        <f>IF(AND(J498&gt;50,I498+J498&gt;75),"SP",IF(2*I498+J498&gt;120,"RP","CRAP"))</f>
        <v/>
      </c>
    </row>
    <row r="499" ht="13.5" customHeight="1" s="27" thickBot="1">
      <c r="A499">
        <f>(V499*V$2+W499*W$2+X499*X$2)*100/(V$4*V$2+W$4*W$2+X$4*X$2)</f>
        <v/>
      </c>
      <c r="B499" s="18" t="n"/>
      <c r="C499" s="11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>
        <f>K$1*(0.000001*K499^3)+L$1*((-0.000002)*L499^3+0.00032*L499^2+(-0.0021)*L499)+M$1*((-0.000002)*M499^3+0.00032*M499^2+(-0.0021)*M499)+N$1*((-0.000002)*N499^3+0.00032*N499^2+(-0.0021)*N499)+O$1*((-0.000002)*O499^3+0.00032*O499^2+(-0.0021)*O499)</f>
        <v/>
      </c>
      <c r="W499">
        <f>P$1*((-0.000002)*P499^3+0.00032*P499^2+(-0.0021)*P499)+Q$1*((-0.000002)*Q499^3+0.00032*Q499^2+(-0.0021)*Q499)+R$1*((-0.000002)*R499^3+0.00032*R499^2+(-0.0021)*R499)+S$1*((-0.000002)*S499^3+0.00032*S499^2+(-0.0021)*S499)+T$1*((-0.000002)*T499^3+0.00032*T499^2+(-0.0021)*T499)</f>
        <v/>
      </c>
      <c r="X499">
        <f>(I$1*((-0.000002)*I499^3+0.00032*I499^2+(-0.0021)*I499)+J$1*((-0.000002)*J499^3+0.00032*J499^2+(-0.0021)*J499)+H$1*((-0.000002)*H499^3+0.00032*H499^2+(-0.0021)*H499))*(MAX(0.05,MIN(1,(2*J499+I499)/120)*MIN(1,I499/10)*MIN(1,J499/10)))</f>
        <v/>
      </c>
      <c r="Y499">
        <f>(I$1*((-0.000002)*I499^3+0.00032*I499^2+(-0.0021)*I499)+J$1*((-0.000002)*J499^3+0.00032*J499^2+(-0.0021)*J499)+H$1*((-0.000002)*H499^3+0.00032*H499^2+(-0.0021)*H499))*(MAX(0.05,MIN(1,(2*J499+I499)/120)*MIN(1,I499/10)*MIN(1,J499/10)))</f>
        <v/>
      </c>
      <c r="Z499">
        <f>U499*J$2+V499*O$2+W499*H$2</f>
        <v/>
      </c>
      <c r="AA499">
        <f>IF(AND(J499&gt;50,I499+J499&gt;75),"SP",IF(2*I499+J499&gt;120,"RP","CRAP"))</f>
        <v/>
      </c>
    </row>
    <row r="500" ht="13.5" customHeight="1" s="27" thickBot="1">
      <c r="A500">
        <f>(V500*V$2+W500*W$2+X500*X$2)*100/(V$4*V$2+W$4*W$2+X$4*X$2)</f>
        <v/>
      </c>
      <c r="B500" s="16" t="n"/>
      <c r="C500" s="10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>
        <f>K$1*(0.000001*K500^3)+L$1*((-0.000002)*L500^3+0.00032*L500^2+(-0.0021)*L500)+M$1*((-0.000002)*M500^3+0.00032*M500^2+(-0.0021)*M500)+N$1*((-0.000002)*N500^3+0.00032*N500^2+(-0.0021)*N500)+O$1*((-0.000002)*O500^3+0.00032*O500^2+(-0.0021)*O500)</f>
        <v/>
      </c>
      <c r="W500">
        <f>P$1*((-0.000002)*P500^3+0.00032*P500^2+(-0.0021)*P500)+Q$1*((-0.000002)*Q500^3+0.00032*Q500^2+(-0.0021)*Q500)+R$1*((-0.000002)*R500^3+0.00032*R500^2+(-0.0021)*R500)+S$1*((-0.000002)*S500^3+0.00032*S500^2+(-0.0021)*S500)+T$1*((-0.000002)*T500^3+0.00032*T500^2+(-0.0021)*T500)</f>
        <v/>
      </c>
      <c r="X500">
        <f>(I$1*((-0.000002)*I500^3+0.00032*I500^2+(-0.0021)*I500)+J$1*((-0.000002)*J500^3+0.00032*J500^2+(-0.0021)*J500)+H$1*((-0.000002)*H500^3+0.00032*H500^2+(-0.0021)*H500))*(MAX(0.05,MIN(1,(2*J500+I500)/120)*MIN(1,I500/10)*MIN(1,J500/10)))</f>
        <v/>
      </c>
      <c r="Y500">
        <f>(I$1*((-0.000002)*I500^3+0.00032*I500^2+(-0.0021)*I500)+J$1*((-0.000002)*J500^3+0.00032*J500^2+(-0.0021)*J500)+H$1*((-0.000002)*H500^3+0.00032*H500^2+(-0.0021)*H500))*(MAX(0.05,MIN(1,(2*J500+I500)/120)*MIN(1,I500/10)*MIN(1,J500/10)))</f>
        <v/>
      </c>
      <c r="Z500">
        <f>U500*J$2+V500*O$2+W500*H$2</f>
        <v/>
      </c>
      <c r="AA500">
        <f>IF(AND(J500&gt;50,I500+J500&gt;75),"SP",IF(2*I500+J500&gt;120,"RP","CRAP"))</f>
        <v/>
      </c>
    </row>
    <row r="501" ht="13.5" customHeight="1" s="27" thickBot="1">
      <c r="A501">
        <f>(V501*V$2+W501*W$2+X501*X$2)*100/(V$4*V$2+W$4*W$2+X$4*X$2)</f>
        <v/>
      </c>
      <c r="B501" s="18" t="n"/>
      <c r="C501" s="11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>
        <f>K$1*(0.000001*K501^3)+L$1*((-0.000002)*L501^3+0.00032*L501^2+(-0.0021)*L501)+M$1*((-0.000002)*M501^3+0.00032*M501^2+(-0.0021)*M501)+N$1*((-0.000002)*N501^3+0.00032*N501^2+(-0.0021)*N501)+O$1*((-0.000002)*O501^3+0.00032*O501^2+(-0.0021)*O501)</f>
        <v/>
      </c>
      <c r="W501">
        <f>P$1*((-0.000002)*P501^3+0.00032*P501^2+(-0.0021)*P501)+Q$1*((-0.000002)*Q501^3+0.00032*Q501^2+(-0.0021)*Q501)+R$1*((-0.000002)*R501^3+0.00032*R501^2+(-0.0021)*R501)+S$1*((-0.000002)*S501^3+0.00032*S501^2+(-0.0021)*S501)+T$1*((-0.000002)*T501^3+0.00032*T501^2+(-0.0021)*T501)</f>
        <v/>
      </c>
      <c r="X501">
        <f>(I$1*((-0.000002)*I501^3+0.00032*I501^2+(-0.0021)*I501)+J$1*((-0.000002)*J501^3+0.00032*J501^2+(-0.0021)*J501)+H$1*((-0.000002)*H501^3+0.00032*H501^2+(-0.0021)*H501))*(MAX(0.05,MIN(1,(2*J501+I501)/120)*MIN(1,I501/10)*MIN(1,J501/10)))</f>
        <v/>
      </c>
      <c r="Y501">
        <f>(I$1*((-0.000002)*I501^3+0.00032*I501^2+(-0.0021)*I501)+J$1*((-0.000002)*J501^3+0.00032*J501^2+(-0.0021)*J501)+H$1*((-0.000002)*H501^3+0.00032*H501^2+(-0.0021)*H501))*(MAX(0.05,MIN(1,(2*J501+I501)/120)*MIN(1,I501/10)*MIN(1,J501/10)))</f>
        <v/>
      </c>
      <c r="Z501">
        <f>U501*J$2+V501*O$2+W501*H$2</f>
        <v/>
      </c>
      <c r="AA501">
        <f>IF(AND(J501&gt;50,I501+J501&gt;75),"SP",IF(2*I501+J501&gt;120,"RP","CRAP"))</f>
        <v/>
      </c>
    </row>
    <row r="502" ht="13.5" customHeight="1" s="27" thickBot="1">
      <c r="A502">
        <f>(V502*V$2+W502*W$2+X502*X$2)*100/(V$4*V$2+W$4*W$2+X$4*X$2)</f>
        <v/>
      </c>
      <c r="B502" s="16" t="n"/>
      <c r="C502" s="10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>
        <f>K$1*(0.000001*K502^3)+L$1*((-0.000002)*L502^3+0.00032*L502^2+(-0.0021)*L502)+M$1*((-0.000002)*M502^3+0.00032*M502^2+(-0.0021)*M502)+N$1*((-0.000002)*N502^3+0.00032*N502^2+(-0.0021)*N502)+O$1*((-0.000002)*O502^3+0.00032*O502^2+(-0.0021)*O502)</f>
        <v/>
      </c>
      <c r="W502">
        <f>P$1*((-0.000002)*P502^3+0.00032*P502^2+(-0.0021)*P502)+Q$1*((-0.000002)*Q502^3+0.00032*Q502^2+(-0.0021)*Q502)+R$1*((-0.000002)*R502^3+0.00032*R502^2+(-0.0021)*R502)+S$1*((-0.000002)*S502^3+0.00032*S502^2+(-0.0021)*S502)+T$1*((-0.000002)*T502^3+0.00032*T502^2+(-0.0021)*T502)</f>
        <v/>
      </c>
      <c r="X502">
        <f>(I$1*((-0.000002)*I502^3+0.00032*I502^2+(-0.0021)*I502)+J$1*((-0.000002)*J502^3+0.00032*J502^2+(-0.0021)*J502)+H$1*((-0.000002)*H502^3+0.00032*H502^2+(-0.0021)*H502))*(MAX(0.05,MIN(1,(2*J502+I502)/120)*MIN(1,I502/10)*MIN(1,J502/10)))</f>
        <v/>
      </c>
      <c r="Y502">
        <f>(I$1*((-0.000002)*I502^3+0.00032*I502^2+(-0.0021)*I502)+J$1*((-0.000002)*J502^3+0.00032*J502^2+(-0.0021)*J502)+H$1*((-0.000002)*H502^3+0.00032*H502^2+(-0.0021)*H502))*(MAX(0.05,MIN(1,(2*J502+I502)/120)*MIN(1,I502/10)*MIN(1,J502/10)))</f>
        <v/>
      </c>
      <c r="Z502">
        <f>U502*J$2+V502*O$2+W502*H$2</f>
        <v/>
      </c>
      <c r="AA502">
        <f>IF(AND(J502&gt;50,I502+J502&gt;75),"SP",IF(2*I502+J502&gt;120,"RP","CRAP"))</f>
        <v/>
      </c>
    </row>
    <row r="503" ht="13.5" customHeight="1" s="27" thickBot="1">
      <c r="A503">
        <f>(V503*V$2+W503*W$2+X503*X$2)*100/(V$4*V$2+W$4*W$2+X$4*X$2)</f>
        <v/>
      </c>
      <c r="B503" s="18" t="n"/>
      <c r="C503" s="11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>
        <f>K$1*(0.000001*K503^3)+L$1*((-0.000002)*L503^3+0.00032*L503^2+(-0.0021)*L503)+M$1*((-0.000002)*M503^3+0.00032*M503^2+(-0.0021)*M503)+N$1*((-0.000002)*N503^3+0.00032*N503^2+(-0.0021)*N503)+O$1*((-0.000002)*O503^3+0.00032*O503^2+(-0.0021)*O503)</f>
        <v/>
      </c>
      <c r="W503">
        <f>P$1*((-0.000002)*P503^3+0.00032*P503^2+(-0.0021)*P503)+Q$1*((-0.000002)*Q503^3+0.00032*Q503^2+(-0.0021)*Q503)+R$1*((-0.000002)*R503^3+0.00032*R503^2+(-0.0021)*R503)+S$1*((-0.000002)*S503^3+0.00032*S503^2+(-0.0021)*S503)+T$1*((-0.000002)*T503^3+0.00032*T503^2+(-0.0021)*T503)</f>
        <v/>
      </c>
      <c r="X503">
        <f>(I$1*((-0.000002)*I503^3+0.00032*I503^2+(-0.0021)*I503)+J$1*((-0.000002)*J503^3+0.00032*J503^2+(-0.0021)*J503)+H$1*((-0.000002)*H503^3+0.00032*H503^2+(-0.0021)*H503))*(MAX(0.05,MIN(1,(2*J503+I503)/120)*MIN(1,I503/10)*MIN(1,J503/10)))</f>
        <v/>
      </c>
      <c r="Y503">
        <f>(I$1*((-0.000002)*I503^3+0.00032*I503^2+(-0.0021)*I503)+J$1*((-0.000002)*J503^3+0.00032*J503^2+(-0.0021)*J503)+H$1*((-0.000002)*H503^3+0.00032*H503^2+(-0.0021)*H503))*(MAX(0.05,MIN(1,(2*J503+I503)/120)*MIN(1,I503/10)*MIN(1,J503/10)))</f>
        <v/>
      </c>
      <c r="Z503">
        <f>U503*J$2+V503*O$2+W503*H$2</f>
        <v/>
      </c>
      <c r="AA503">
        <f>IF(AND(J503&gt;50,I503+J503&gt;75),"SP",IF(2*I503+J503&gt;120,"RP","CRAP"))</f>
        <v/>
      </c>
    </row>
    <row r="504" ht="13.5" customHeight="1" s="27" thickBot="1">
      <c r="A504">
        <f>(V504*V$2+W504*W$2+X504*X$2)*100/(V$4*V$2+W$4*W$2+X$4*X$2)</f>
        <v/>
      </c>
      <c r="B504" s="16" t="n"/>
      <c r="C504" s="10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>
        <f>K$1*(0.000001*K504^3)+L$1*((-0.000002)*L504^3+0.00032*L504^2+(-0.0021)*L504)+M$1*((-0.000002)*M504^3+0.00032*M504^2+(-0.0021)*M504)+N$1*((-0.000002)*N504^3+0.00032*N504^2+(-0.0021)*N504)+O$1*((-0.000002)*O504^3+0.00032*O504^2+(-0.0021)*O504)</f>
        <v/>
      </c>
      <c r="W504">
        <f>P$1*((-0.000002)*P504^3+0.00032*P504^2+(-0.0021)*P504)+Q$1*((-0.000002)*Q504^3+0.00032*Q504^2+(-0.0021)*Q504)+R$1*((-0.000002)*R504^3+0.00032*R504^2+(-0.0021)*R504)+S$1*((-0.000002)*S504^3+0.00032*S504^2+(-0.0021)*S504)+T$1*((-0.000002)*T504^3+0.00032*T504^2+(-0.0021)*T504)</f>
        <v/>
      </c>
      <c r="X504">
        <f>(I$1*((-0.000002)*I504^3+0.00032*I504^2+(-0.0021)*I504)+J$1*((-0.000002)*J504^3+0.00032*J504^2+(-0.0021)*J504)+H$1*((-0.000002)*H504^3+0.00032*H504^2+(-0.0021)*H504))*(MAX(0.05,MIN(1,(2*J504+I504)/120)*MIN(1,I504/10)*MIN(1,J504/10)))</f>
        <v/>
      </c>
      <c r="Y504">
        <f>(I$1*((-0.000002)*I504^3+0.00032*I504^2+(-0.0021)*I504)+J$1*((-0.000002)*J504^3+0.00032*J504^2+(-0.0021)*J504)+H$1*((-0.000002)*H504^3+0.00032*H504^2+(-0.0021)*H504))*(MAX(0.05,MIN(1,(2*J504+I504)/120)*MIN(1,I504/10)*MIN(1,J504/10)))</f>
        <v/>
      </c>
      <c r="Z504">
        <f>U504*J$2+V504*O$2+W504*H$2</f>
        <v/>
      </c>
      <c r="AA504">
        <f>IF(AND(J504&gt;50,I504+J504&gt;75),"SP",IF(2*I504+J504&gt;120,"RP","CRAP"))</f>
        <v/>
      </c>
    </row>
    <row r="505" ht="13.5" customHeight="1" s="27" thickBot="1">
      <c r="A505">
        <f>(V505*V$2+W505*W$2+X505*X$2)*100/(V$4*V$2+W$4*W$2+X$4*X$2)</f>
        <v/>
      </c>
      <c r="B505" s="18" t="n"/>
      <c r="C505" s="11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>
        <f>K$1*(0.000001*K505^3)+L$1*((-0.000002)*L505^3+0.00032*L505^2+(-0.0021)*L505)+M$1*((-0.000002)*M505^3+0.00032*M505^2+(-0.0021)*M505)+N$1*((-0.000002)*N505^3+0.00032*N505^2+(-0.0021)*N505)+O$1*((-0.000002)*O505^3+0.00032*O505^2+(-0.0021)*O505)</f>
        <v/>
      </c>
      <c r="W505">
        <f>P$1*((-0.000002)*P505^3+0.00032*P505^2+(-0.0021)*P505)+Q$1*((-0.000002)*Q505^3+0.00032*Q505^2+(-0.0021)*Q505)+R$1*((-0.000002)*R505^3+0.00032*R505^2+(-0.0021)*R505)+S$1*((-0.000002)*S505^3+0.00032*S505^2+(-0.0021)*S505)+T$1*((-0.000002)*T505^3+0.00032*T505^2+(-0.0021)*T505)</f>
        <v/>
      </c>
      <c r="X505">
        <f>(I$1*((-0.000002)*I505^3+0.00032*I505^2+(-0.0021)*I505)+J$1*((-0.000002)*J505^3+0.00032*J505^2+(-0.0021)*J505)+H$1*((-0.000002)*H505^3+0.00032*H505^2+(-0.0021)*H505))*(MAX(0.05,MIN(1,(2*J505+I505)/120)*MIN(1,I505/10)*MIN(1,J505/10)))</f>
        <v/>
      </c>
      <c r="Y505">
        <f>(I$1*((-0.000002)*I505^3+0.00032*I505^2+(-0.0021)*I505)+J$1*((-0.000002)*J505^3+0.00032*J505^2+(-0.0021)*J505)+H$1*((-0.000002)*H505^3+0.00032*H505^2+(-0.0021)*H505))*(MAX(0.05,MIN(1,(2*J505+I505)/120)*MIN(1,I505/10)*MIN(1,J505/10)))</f>
        <v/>
      </c>
      <c r="Z505">
        <f>U505*J$2+V505*O$2+W505*H$2</f>
        <v/>
      </c>
      <c r="AA505">
        <f>IF(AND(J505&gt;50,I505+J505&gt;75),"SP",IF(2*I505+J505&gt;120,"RP","CRAP"))</f>
        <v/>
      </c>
    </row>
  </sheetData>
  <autoFilter ref="A5:Y5">
    <sortState ref="A6:Y206">
      <sortCondition descending="1" ref="A5"/>
    </sortState>
  </autoFilter>
  <hyperlinks>
    <hyperlink xmlns:r="http://schemas.openxmlformats.org/officeDocument/2006/relationships" ref="B5" display="https://www.whatifsports.com/hbd/Pages/GM/AmateurDraftPlayerPool.aspx" r:id="rId1"/>
    <hyperlink xmlns:r="http://schemas.openxmlformats.org/officeDocument/2006/relationships" ref="C5" display="https://www.whatifsports.com/hbd/Pages/GM/AmateurDraftPlayerPool.aspx" r:id="rId2"/>
    <hyperlink xmlns:r="http://schemas.openxmlformats.org/officeDocument/2006/relationships" ref="D5" display="https://www.whatifsports.com/hbd/Pages/GM/AmateurDraftPlayerPool.aspx" r:id="rId3"/>
    <hyperlink xmlns:r="http://schemas.openxmlformats.org/officeDocument/2006/relationships" ref="E5" display="https://www.whatifsports.com/hbd/Pages/GM/AmateurDraftPlayerPool.aspx" r:id="rId4"/>
    <hyperlink xmlns:r="http://schemas.openxmlformats.org/officeDocument/2006/relationships" ref="F5" display="https://www.whatifsports.com/hbd/Pages/GM/AmateurDraftPlayerPool.aspx" r:id="rId5"/>
    <hyperlink xmlns:r="http://schemas.openxmlformats.org/officeDocument/2006/relationships" ref="G5" display="https://www.whatifsports.com/hbd/Pages/GM/AmateurDraftPlayerPool.aspx" r:id="rId6"/>
    <hyperlink ref="H5" display="Health"/>
    <hyperlink xmlns:r="http://schemas.openxmlformats.org/officeDocument/2006/relationships" ref="C6" tooltip="Open Prospect Profile" display="https://www.whatifsports.com/hbd/Pages/Popups/ProspectProfile.aspx?pid=13632168" r:id="rId7"/>
    <hyperlink xmlns:r="http://schemas.openxmlformats.org/officeDocument/2006/relationships" ref="C7" tooltip="Open Prospect Profile" display="https://www.whatifsports.com/hbd/Pages/Popups/ProspectProfile.aspx?pid=13632221" r:id="rId8"/>
    <hyperlink xmlns:r="http://schemas.openxmlformats.org/officeDocument/2006/relationships" ref="C8" tooltip="Open Prospect Profile" display="https://www.whatifsports.com/hbd/Pages/Popups/ProspectProfile.aspx?pid=13632238" r:id="rId9"/>
    <hyperlink xmlns:r="http://schemas.openxmlformats.org/officeDocument/2006/relationships" ref="C9" tooltip="Open Prospect Profile" display="https://www.whatifsports.com/hbd/Pages/Popups/ProspectProfile.aspx?pid=13632216" r:id="rId10"/>
    <hyperlink xmlns:r="http://schemas.openxmlformats.org/officeDocument/2006/relationships" ref="C10" tooltip="Open Prospect Profile" display="https://www.whatifsports.com/hbd/Pages/Popups/ProspectProfile.aspx?pid=13632232" r:id="rId11"/>
    <hyperlink xmlns:r="http://schemas.openxmlformats.org/officeDocument/2006/relationships" ref="C11" tooltip="Open Prospect Profile" display="https://www.whatifsports.com/hbd/Pages/Popups/ProspectProfile.aspx?pid=13632233" r:id="rId12"/>
    <hyperlink xmlns:r="http://schemas.openxmlformats.org/officeDocument/2006/relationships" ref="C12" tooltip="Open Prospect Profile" display="https://www.whatifsports.com/hbd/Pages/Popups/ProspectProfile.aspx?pid=13632194" r:id="rId13"/>
    <hyperlink xmlns:r="http://schemas.openxmlformats.org/officeDocument/2006/relationships" ref="C13" tooltip="Open Prospect Profile" display="https://www.whatifsports.com/hbd/Pages/Popups/ProspectProfile.aspx?pid=13632205" r:id="rId14"/>
    <hyperlink xmlns:r="http://schemas.openxmlformats.org/officeDocument/2006/relationships" ref="C14" tooltip="Open Prospect Profile" display="https://www.whatifsports.com/hbd/Pages/Popups/ProspectProfile.aspx?pid=13632207" r:id="rId15"/>
    <hyperlink xmlns:r="http://schemas.openxmlformats.org/officeDocument/2006/relationships" ref="C15" tooltip="Open Prospect Profile" display="https://www.whatifsports.com/hbd/Pages/Popups/ProspectProfile.aspx?pid=13632211" r:id="rId16"/>
    <hyperlink xmlns:r="http://schemas.openxmlformats.org/officeDocument/2006/relationships" ref="C16" tooltip="Open Prospect Profile" display="https://www.whatifsports.com/hbd/Pages/Popups/ProspectProfile.aspx?pid=13632199" r:id="rId17"/>
    <hyperlink xmlns:r="http://schemas.openxmlformats.org/officeDocument/2006/relationships" ref="C17" tooltip="Open Prospect Profile" display="https://www.whatifsports.com/hbd/Pages/Popups/ProspectProfile.aspx?pid=13632178" r:id="rId18"/>
    <hyperlink xmlns:r="http://schemas.openxmlformats.org/officeDocument/2006/relationships" ref="C18" tooltip="Open Prospect Profile" display="https://www.whatifsports.com/hbd/Pages/Popups/ProspectProfile.aspx?pid=13632234" r:id="rId19"/>
    <hyperlink xmlns:r="http://schemas.openxmlformats.org/officeDocument/2006/relationships" ref="C19" tooltip="Open Prospect Profile" display="https://www.whatifsports.com/hbd/Pages/Popups/ProspectProfile.aspx?pid=13632223" r:id="rId20"/>
    <hyperlink xmlns:r="http://schemas.openxmlformats.org/officeDocument/2006/relationships" ref="C20" tooltip="Open Prospect Profile" display="https://www.whatifsports.com/hbd/Pages/Popups/ProspectProfile.aspx?pid=13632217" r:id="rId21"/>
    <hyperlink xmlns:r="http://schemas.openxmlformats.org/officeDocument/2006/relationships" ref="C21" tooltip="Open Prospect Profile" display="https://www.whatifsports.com/hbd/Pages/Popups/ProspectProfile.aspx?pid=13632201" r:id="rId22"/>
    <hyperlink xmlns:r="http://schemas.openxmlformats.org/officeDocument/2006/relationships" ref="C22" tooltip="Open Prospect Profile" display="https://www.whatifsports.com/hbd/Pages/Popups/ProspectProfile.aspx?pid=13632164" r:id="rId23"/>
    <hyperlink xmlns:r="http://schemas.openxmlformats.org/officeDocument/2006/relationships" ref="C23" tooltip="Open Prospect Profile" display="https://www.whatifsports.com/hbd/Pages/Popups/ProspectProfile.aspx?pid=13632171" r:id="rId24"/>
    <hyperlink xmlns:r="http://schemas.openxmlformats.org/officeDocument/2006/relationships" ref="C24" tooltip="Open Prospect Profile" display="https://www.whatifsports.com/hbd/Pages/Popups/ProspectProfile.aspx?pid=13632212" r:id="rId25"/>
    <hyperlink xmlns:r="http://schemas.openxmlformats.org/officeDocument/2006/relationships" ref="C25" tooltip="Open Prospect Profile" display="https://www.whatifsports.com/hbd/Pages/Popups/ProspectProfile.aspx?pid=13632206" r:id="rId26"/>
    <hyperlink xmlns:r="http://schemas.openxmlformats.org/officeDocument/2006/relationships" ref="C26" tooltip="Open Prospect Profile" display="https://www.whatifsports.com/hbd/Pages/Popups/ProspectProfile.aspx?pid=13632071" r:id="rId27"/>
    <hyperlink xmlns:r="http://schemas.openxmlformats.org/officeDocument/2006/relationships" ref="C27" tooltip="Open Prospect Profile" display="https://www.whatifsports.com/hbd/Pages/Popups/ProspectProfile.aspx?pid=13632066" r:id="rId28"/>
    <hyperlink xmlns:r="http://schemas.openxmlformats.org/officeDocument/2006/relationships" ref="C28" tooltip="Open Prospect Profile" display="https://www.whatifsports.com/hbd/Pages/Popups/ProspectProfile.aspx?pid=13632229" r:id="rId29"/>
    <hyperlink xmlns:r="http://schemas.openxmlformats.org/officeDocument/2006/relationships" ref="C29" tooltip="Open Prospect Profile" display="https://www.whatifsports.com/hbd/Pages/Popups/ProspectProfile.aspx?pid=13631900" r:id="rId30"/>
    <hyperlink xmlns:r="http://schemas.openxmlformats.org/officeDocument/2006/relationships" ref="C30" tooltip="Open Prospect Profile" display="https://www.whatifsports.com/hbd/Pages/Popups/ProspectProfile.aspx?pid=13632224" r:id="rId31"/>
    <hyperlink xmlns:r="http://schemas.openxmlformats.org/officeDocument/2006/relationships" ref="C31" tooltip="Open Prospect Profile" display="https://www.whatifsports.com/hbd/Pages/Popups/ProspectProfile.aspx?pid=13632130" r:id="rId32"/>
    <hyperlink xmlns:r="http://schemas.openxmlformats.org/officeDocument/2006/relationships" ref="C32" tooltip="Open Prospect Profile" display="https://www.whatifsports.com/hbd/Pages/Popups/ProspectProfile.aspx?pid=13632169" r:id="rId33"/>
    <hyperlink xmlns:r="http://schemas.openxmlformats.org/officeDocument/2006/relationships" ref="C33" tooltip="Open Prospect Profile" display="https://www.whatifsports.com/hbd/Pages/Popups/ProspectProfile.aspx?pid=13631946" r:id="rId34"/>
    <hyperlink xmlns:r="http://schemas.openxmlformats.org/officeDocument/2006/relationships" ref="C34" tooltip="Open Prospect Profile" display="https://www.whatifsports.com/hbd/Pages/Popups/ProspectProfile.aspx?pid=13632099" r:id="rId35"/>
    <hyperlink xmlns:r="http://schemas.openxmlformats.org/officeDocument/2006/relationships" ref="C35" tooltip="Open Prospect Profile" display="https://www.whatifsports.com/hbd/Pages/Popups/ProspectProfile.aspx?pid=13632172" r:id="rId36"/>
    <hyperlink xmlns:r="http://schemas.openxmlformats.org/officeDocument/2006/relationships" ref="C36" tooltip="Open Prospect Profile" display="https://www.whatifsports.com/hbd/Pages/Popups/ProspectProfile.aspx?pid=13632116" r:id="rId37"/>
    <hyperlink xmlns:r="http://schemas.openxmlformats.org/officeDocument/2006/relationships" ref="C37" tooltip="Open Prospect Profile" display="https://www.whatifsports.com/hbd/Pages/Popups/ProspectProfile.aspx?pid=13632183" r:id="rId38"/>
    <hyperlink xmlns:r="http://schemas.openxmlformats.org/officeDocument/2006/relationships" ref="C38" tooltip="Open Prospect Profile" display="https://www.whatifsports.com/hbd/Pages/Popups/ProspectProfile.aspx?pid=13632036" r:id="rId39"/>
    <hyperlink xmlns:r="http://schemas.openxmlformats.org/officeDocument/2006/relationships" ref="C39" tooltip="Open Prospect Profile" display="https://www.whatifsports.com/hbd/Pages/Popups/ProspectProfile.aspx?pid=13632186" r:id="rId40"/>
    <hyperlink xmlns:r="http://schemas.openxmlformats.org/officeDocument/2006/relationships" ref="C40" tooltip="Open Prospect Profile" display="https://www.whatifsports.com/hbd/Pages/Popups/ProspectProfile.aspx?pid=13632123" r:id="rId41"/>
    <hyperlink xmlns:r="http://schemas.openxmlformats.org/officeDocument/2006/relationships" ref="C41" tooltip="Open Prospect Profile" display="https://www.whatifsports.com/hbd/Pages/Popups/ProspectProfile.aspx?pid=13632143" r:id="rId42"/>
    <hyperlink xmlns:r="http://schemas.openxmlformats.org/officeDocument/2006/relationships" ref="C42" tooltip="Open Prospect Profile" display="https://www.whatifsports.com/hbd/Pages/Popups/ProspectProfile.aspx?pid=13632154" r:id="rId43"/>
    <hyperlink xmlns:r="http://schemas.openxmlformats.org/officeDocument/2006/relationships" ref="C43" tooltip="Open Prospect Profile" display="https://www.whatifsports.com/hbd/Pages/Popups/ProspectProfile.aspx?pid=13632237" r:id="rId44"/>
    <hyperlink xmlns:r="http://schemas.openxmlformats.org/officeDocument/2006/relationships" ref="C44" tooltip="Open Prospect Profile" display="https://www.whatifsports.com/hbd/Pages/Popups/ProspectProfile.aspx?pid=13632035" r:id="rId45"/>
    <hyperlink xmlns:r="http://schemas.openxmlformats.org/officeDocument/2006/relationships" ref="C45" tooltip="Open Prospect Profile" display="https://www.whatifsports.com/hbd/Pages/Popups/ProspectProfile.aspx?pid=13632149" r:id="rId46"/>
    <hyperlink xmlns:r="http://schemas.openxmlformats.org/officeDocument/2006/relationships" ref="C46" tooltip="Open Prospect Profile" display="https://www.whatifsports.com/hbd/Pages/Popups/ProspectProfile.aspx?pid=13632078" r:id="rId47"/>
    <hyperlink xmlns:r="http://schemas.openxmlformats.org/officeDocument/2006/relationships" ref="C47" tooltip="Open Prospect Profile" display="https://www.whatifsports.com/hbd/Pages/Popups/ProspectProfile.aspx?pid=13632087" r:id="rId48"/>
    <hyperlink xmlns:r="http://schemas.openxmlformats.org/officeDocument/2006/relationships" ref="C48" tooltip="Open Prospect Profile" display="https://www.whatifsports.com/hbd/Pages/Popups/ProspectProfile.aspx?pid=13632197" r:id="rId49"/>
    <hyperlink xmlns:r="http://schemas.openxmlformats.org/officeDocument/2006/relationships" ref="C49" tooltip="Open Prospect Profile" display="https://www.whatifsports.com/hbd/Pages/Popups/ProspectProfile.aspx?pid=13632052" r:id="rId50"/>
    <hyperlink xmlns:r="http://schemas.openxmlformats.org/officeDocument/2006/relationships" ref="C50" tooltip="Open Prospect Profile" display="https://www.whatifsports.com/hbd/Pages/Popups/ProspectProfile.aspx?pid=13632030" r:id="rId51"/>
    <hyperlink xmlns:r="http://schemas.openxmlformats.org/officeDocument/2006/relationships" ref="C51" tooltip="Open Prospect Profile" display="https://www.whatifsports.com/hbd/Pages/Popups/ProspectProfile.aspx?pid=13631977" r:id="rId52"/>
    <hyperlink xmlns:r="http://schemas.openxmlformats.org/officeDocument/2006/relationships" ref="C52" tooltip="Open Prospect Profile" display="https://www.whatifsports.com/hbd/Pages/Popups/ProspectProfile.aspx?pid=13631972" r:id="rId53"/>
    <hyperlink xmlns:r="http://schemas.openxmlformats.org/officeDocument/2006/relationships" ref="C53" tooltip="Open Prospect Profile" display="https://www.whatifsports.com/hbd/Pages/Popups/ProspectProfile.aspx?pid=13632160" r:id="rId54"/>
    <hyperlink xmlns:r="http://schemas.openxmlformats.org/officeDocument/2006/relationships" ref="C54" tooltip="Open Prospect Profile" display="https://www.whatifsports.com/hbd/Pages/Popups/ProspectProfile.aspx?pid=13632084" r:id="rId55"/>
    <hyperlink xmlns:r="http://schemas.openxmlformats.org/officeDocument/2006/relationships" ref="C55" tooltip="Open Prospect Profile" display="https://www.whatifsports.com/hbd/Pages/Popups/ProspectProfile.aspx?pid=13631876" r:id="rId56"/>
    <hyperlink xmlns:r="http://schemas.openxmlformats.org/officeDocument/2006/relationships" ref="C56" tooltip="Open Prospect Profile" display="https://www.whatifsports.com/hbd/Pages/Popups/ProspectProfile.aspx?pid=13632208" r:id="rId57"/>
    <hyperlink xmlns:r="http://schemas.openxmlformats.org/officeDocument/2006/relationships" ref="C57" tooltip="Open Prospect Profile" display="https://www.whatifsports.com/hbd/Pages/Popups/ProspectProfile.aspx?pid=13631852" r:id="rId58"/>
    <hyperlink xmlns:r="http://schemas.openxmlformats.org/officeDocument/2006/relationships" ref="C58" tooltip="Open Prospect Profile" display="https://www.whatifsports.com/hbd/Pages/Popups/ProspectProfile.aspx?pid=13631871" r:id="rId59"/>
    <hyperlink xmlns:r="http://schemas.openxmlformats.org/officeDocument/2006/relationships" ref="C59" tooltip="Open Prospect Profile" display="https://www.whatifsports.com/hbd/Pages/Popups/ProspectProfile.aspx?pid=13631904" r:id="rId60"/>
    <hyperlink xmlns:r="http://schemas.openxmlformats.org/officeDocument/2006/relationships" ref="C60" tooltip="Open Prospect Profile" display="https://www.whatifsports.com/hbd/Pages/Popups/ProspectProfile.aspx?pid=13632001" r:id="rId61"/>
    <hyperlink xmlns:r="http://schemas.openxmlformats.org/officeDocument/2006/relationships" ref="C61" tooltip="Open Prospect Profile" display="https://www.whatifsports.com/hbd/Pages/Popups/ProspectProfile.aspx?pid=13631916" r:id="rId62"/>
    <hyperlink xmlns:r="http://schemas.openxmlformats.org/officeDocument/2006/relationships" ref="C62" tooltip="Open Prospect Profile" display="https://www.whatifsports.com/hbd/Pages/Popups/ProspectProfile.aspx?pid=13632075" r:id="rId63"/>
    <hyperlink xmlns:r="http://schemas.openxmlformats.org/officeDocument/2006/relationships" ref="C63" tooltip="Open Prospect Profile" display="https://www.whatifsports.com/hbd/Pages/Popups/ProspectProfile.aspx?pid=13632113" r:id="rId64"/>
    <hyperlink xmlns:r="http://schemas.openxmlformats.org/officeDocument/2006/relationships" ref="C64" tooltip="Open Prospect Profile" display="https://www.whatifsports.com/hbd/Pages/Popups/ProspectProfile.aspx?pid=13632213" r:id="rId65"/>
    <hyperlink xmlns:r="http://schemas.openxmlformats.org/officeDocument/2006/relationships" ref="C65" tooltip="Open Prospect Profile" display="https://www.whatifsports.com/hbd/Pages/Popups/ProspectProfile.aspx?pid=13631926" r:id="rId66"/>
    <hyperlink xmlns:r="http://schemas.openxmlformats.org/officeDocument/2006/relationships" ref="C66" tooltip="Open Prospect Profile" display="https://www.whatifsports.com/hbd/Pages/Popups/ProspectProfile.aspx?pid=13631989" r:id="rId67"/>
    <hyperlink xmlns:r="http://schemas.openxmlformats.org/officeDocument/2006/relationships" ref="C67" tooltip="Open Prospect Profile" display="https://www.whatifsports.com/hbd/Pages/Popups/ProspectProfile.aspx?pid=13632013" r:id="rId68"/>
    <hyperlink xmlns:r="http://schemas.openxmlformats.org/officeDocument/2006/relationships" ref="C68" tooltip="Open Prospect Profile" display="https://www.whatifsports.com/hbd/Pages/Popups/ProspectProfile.aspx?pid=13631896" r:id="rId69"/>
    <hyperlink xmlns:r="http://schemas.openxmlformats.org/officeDocument/2006/relationships" ref="C69" tooltip="Open Prospect Profile" display="https://www.whatifsports.com/hbd/Pages/Popups/ProspectProfile.aspx?pid=13632204" r:id="rId70"/>
    <hyperlink xmlns:r="http://schemas.openxmlformats.org/officeDocument/2006/relationships" ref="C70" tooltip="Open Prospect Profile" display="https://www.whatifsports.com/hbd/Pages/Popups/ProspectProfile.aspx?pid=13632107" r:id="rId71"/>
    <hyperlink xmlns:r="http://schemas.openxmlformats.org/officeDocument/2006/relationships" ref="C71" tooltip="Open Prospect Profile" display="https://www.whatifsports.com/hbd/Pages/Popups/ProspectProfile.aspx?pid=13632019" r:id="rId72"/>
    <hyperlink xmlns:r="http://schemas.openxmlformats.org/officeDocument/2006/relationships" ref="C72" tooltip="Open Prospect Profile" display="https://www.whatifsports.com/hbd/Pages/Popups/ProspectProfile.aspx?pid=13632115" r:id="rId73"/>
    <hyperlink xmlns:r="http://schemas.openxmlformats.org/officeDocument/2006/relationships" ref="C73" tooltip="Open Prospect Profile" display="https://www.whatifsports.com/hbd/Pages/Popups/ProspectProfile.aspx?pid=13631994" r:id="rId74"/>
    <hyperlink xmlns:r="http://schemas.openxmlformats.org/officeDocument/2006/relationships" ref="C74" tooltip="Open Prospect Profile" display="https://www.whatifsports.com/hbd/Pages/Popups/ProspectProfile.aspx?pid=13631952" r:id="rId75"/>
    <hyperlink xmlns:r="http://schemas.openxmlformats.org/officeDocument/2006/relationships" ref="C75" tooltip="Open Prospect Profile" display="https://www.whatifsports.com/hbd/Pages/Popups/ProspectProfile.aspx?pid=13632104" r:id="rId76"/>
    <hyperlink xmlns:r="http://schemas.openxmlformats.org/officeDocument/2006/relationships" ref="C76" tooltip="Open Prospect Profile" display="https://www.whatifsports.com/hbd/Pages/Popups/ProspectProfile.aspx?pid=13631874" r:id="rId77"/>
    <hyperlink xmlns:r="http://schemas.openxmlformats.org/officeDocument/2006/relationships" ref="C77" tooltip="Open Prospect Profile" display="https://www.whatifsports.com/hbd/Pages/Popups/ProspectProfile.aspx?pid=13632063" r:id="rId78"/>
    <hyperlink xmlns:r="http://schemas.openxmlformats.org/officeDocument/2006/relationships" ref="C78" tooltip="Open Prospect Profile" display="https://www.whatifsports.com/hbd/Pages/Popups/ProspectProfile.aspx?pid=13632058" r:id="rId79"/>
    <hyperlink xmlns:r="http://schemas.openxmlformats.org/officeDocument/2006/relationships" ref="C79" tooltip="Open Prospect Profile" display="https://www.whatifsports.com/hbd/Pages/Popups/ProspectProfile.aspx?pid=13631991" r:id="rId80"/>
    <hyperlink xmlns:r="http://schemas.openxmlformats.org/officeDocument/2006/relationships" ref="C80" tooltip="Open Prospect Profile" display="https://www.whatifsports.com/hbd/Pages/Popups/ProspectProfile.aspx?pid=13632055" r:id="rId81"/>
    <hyperlink xmlns:r="http://schemas.openxmlformats.org/officeDocument/2006/relationships" ref="C81" tooltip="Open Prospect Profile" display="https://www.whatifsports.com/hbd/Pages/Popups/ProspectProfile.aspx?pid=13632022" r:id="rId82"/>
    <hyperlink xmlns:r="http://schemas.openxmlformats.org/officeDocument/2006/relationships" ref="C82" tooltip="Open Prospect Profile" display="https://www.whatifsports.com/hbd/Pages/Popups/ProspectProfile.aspx?pid=13632023" r:id="rId83"/>
    <hyperlink xmlns:r="http://schemas.openxmlformats.org/officeDocument/2006/relationships" ref="C83" tooltip="Open Prospect Profile" display="https://www.whatifsports.com/hbd/Pages/Popups/ProspectProfile.aspx?pid=13632131" r:id="rId84"/>
    <hyperlink xmlns:r="http://schemas.openxmlformats.org/officeDocument/2006/relationships" ref="C84" tooltip="Open Prospect Profile" display="https://www.whatifsports.com/hbd/Pages/Popups/ProspectProfile.aspx?pid=13631885" r:id="rId85"/>
    <hyperlink xmlns:r="http://schemas.openxmlformats.org/officeDocument/2006/relationships" ref="C85" tooltip="Open Prospect Profile" display="https://www.whatifsports.com/hbd/Pages/Popups/ProspectProfile.aspx?pid=13632236" r:id="rId86"/>
    <hyperlink xmlns:r="http://schemas.openxmlformats.org/officeDocument/2006/relationships" ref="C86" tooltip="Open Prospect Profile" display="https://www.whatifsports.com/hbd/Pages/Popups/ProspectProfile.aspx?pid=13632048" r:id="rId87"/>
    <hyperlink xmlns:r="http://schemas.openxmlformats.org/officeDocument/2006/relationships" ref="C87" tooltip="Open Prospect Profile" display="https://www.whatifsports.com/hbd/Pages/Popups/ProspectProfile.aspx?pid=13632029" r:id="rId88"/>
    <hyperlink xmlns:r="http://schemas.openxmlformats.org/officeDocument/2006/relationships" ref="C88" tooltip="Open Prospect Profile" display="https://www.whatifsports.com/hbd/Pages/Popups/ProspectProfile.aspx?pid=13632085" r:id="rId89"/>
    <hyperlink xmlns:r="http://schemas.openxmlformats.org/officeDocument/2006/relationships" ref="C89" tooltip="Open Prospect Profile" display="https://www.whatifsports.com/hbd/Pages/Popups/ProspectProfile.aspx?pid=13631910" r:id="rId90"/>
    <hyperlink xmlns:r="http://schemas.openxmlformats.org/officeDocument/2006/relationships" ref="C90" tooltip="Open Prospect Profile" display="https://www.whatifsports.com/hbd/Pages/Popups/ProspectProfile.aspx?pid=13631875" r:id="rId91"/>
    <hyperlink xmlns:r="http://schemas.openxmlformats.org/officeDocument/2006/relationships" ref="C91" tooltip="Open Prospect Profile" display="https://www.whatifsports.com/hbd/Pages/Popups/ProspectProfile.aspx?pid=13631877" r:id="rId92"/>
    <hyperlink xmlns:r="http://schemas.openxmlformats.org/officeDocument/2006/relationships" ref="C92" tooltip="Open Prospect Profile" display="https://www.whatifsports.com/hbd/Pages/Popups/ProspectProfile.aspx?pid=13631968" r:id="rId93"/>
    <hyperlink xmlns:r="http://schemas.openxmlformats.org/officeDocument/2006/relationships" ref="C93" tooltip="Open Prospect Profile" display="https://www.whatifsports.com/hbd/Pages/Popups/ProspectProfile.aspx?pid=13631996" r:id="rId94"/>
    <hyperlink xmlns:r="http://schemas.openxmlformats.org/officeDocument/2006/relationships" ref="C94" tooltip="Open Prospect Profile" display="https://www.whatifsports.com/hbd/Pages/Popups/ProspectProfile.aspx?pid=13631914" r:id="rId95"/>
    <hyperlink xmlns:r="http://schemas.openxmlformats.org/officeDocument/2006/relationships" ref="C95" tooltip="Open Prospect Profile" display="https://www.whatifsports.com/hbd/Pages/Popups/ProspectProfile.aspx?pid=13631882" r:id="rId96"/>
    <hyperlink xmlns:r="http://schemas.openxmlformats.org/officeDocument/2006/relationships" ref="C96" tooltip="Open Prospect Profile" display="https://www.whatifsports.com/hbd/Pages/Popups/ProspectProfile.aspx?pid=13632156" r:id="rId97"/>
    <hyperlink xmlns:r="http://schemas.openxmlformats.org/officeDocument/2006/relationships" ref="C97" tooltip="Open Prospect Profile" display="https://www.whatifsports.com/hbd/Pages/Popups/ProspectProfile.aspx?pid=13631844" r:id="rId98"/>
    <hyperlink xmlns:r="http://schemas.openxmlformats.org/officeDocument/2006/relationships" ref="C98" tooltip="Open Prospect Profile" display="https://www.whatifsports.com/hbd/Pages/Popups/ProspectProfile.aspx?pid=13631963" r:id="rId99"/>
    <hyperlink xmlns:r="http://schemas.openxmlformats.org/officeDocument/2006/relationships" ref="C99" tooltip="Open Prospect Profile" display="https://www.whatifsports.com/hbd/Pages/Popups/ProspectProfile.aspx?pid=13631849" r:id="rId100"/>
    <hyperlink xmlns:r="http://schemas.openxmlformats.org/officeDocument/2006/relationships" ref="C100" tooltip="Open Prospect Profile" display="https://www.whatifsports.com/hbd/Pages/Popups/ProspectProfile.aspx?pid=13631913" r:id="rId101"/>
    <hyperlink xmlns:r="http://schemas.openxmlformats.org/officeDocument/2006/relationships" ref="C101" tooltip="Open Prospect Profile" display="https://www.whatifsports.com/hbd/Pages/Popups/ProspectProfile.aspx?pid=13631945" r:id="rId102"/>
    <hyperlink xmlns:r="http://schemas.openxmlformats.org/officeDocument/2006/relationships" ref="C102" tooltip="Open Prospect Profile" display="https://www.whatifsports.com/hbd/Pages/Popups/ProspectProfile.aspx?pid=13631863" r:id="rId103"/>
    <hyperlink xmlns:r="http://schemas.openxmlformats.org/officeDocument/2006/relationships" ref="C103" tooltip="Open Prospect Profile" display="https://www.whatifsports.com/hbd/Pages/Popups/ProspectProfile.aspx?pid=13631939" r:id="rId104"/>
    <hyperlink xmlns:r="http://schemas.openxmlformats.org/officeDocument/2006/relationships" ref="C104" tooltip="Open Prospect Profile" display="https://www.whatifsports.com/hbd/Pages/Popups/ProspectProfile.aspx?pid=13631860" r:id="rId105"/>
    <hyperlink xmlns:r="http://schemas.openxmlformats.org/officeDocument/2006/relationships" ref="C105" tooltip="Open Prospect Profile" display="https://www.whatifsports.com/hbd/Pages/Popups/ProspectProfile.aspx?pid=13631853" r:id="rId106"/>
    <hyperlink xmlns:r="http://schemas.openxmlformats.org/officeDocument/2006/relationships" ref="C106" tooltip="Open Prospect Profile" display="https://www.whatifsports.com/hbd/Pages/Popups/ProspectProfile.aspx?pid=13631908" r:id="rId107"/>
    <hyperlink xmlns:r="http://schemas.openxmlformats.org/officeDocument/2006/relationships" ref="C107" tooltip="Open Prospect Profile" display="https://www.whatifsports.com/hbd/Pages/Popups/ProspectProfile.aspx?pid=13631576" r:id="rId108"/>
    <hyperlink xmlns:r="http://schemas.openxmlformats.org/officeDocument/2006/relationships" ref="C108" tooltip="Open Prospect Profile" display="https://www.whatifsports.com/hbd/Pages/Popups/ProspectProfile.aspx?pid=13631526" r:id="rId109"/>
    <hyperlink xmlns:r="http://schemas.openxmlformats.org/officeDocument/2006/relationships" ref="C109" tooltip="Open Prospect Profile" display="https://www.whatifsports.com/hbd/Pages/Popups/ProspectProfile.aspx?pid=13631732" r:id="rId110"/>
    <hyperlink xmlns:r="http://schemas.openxmlformats.org/officeDocument/2006/relationships" ref="C110" tooltip="Open Prospect Profile" display="https://www.whatifsports.com/hbd/Pages/Popups/ProspectProfile.aspx?pid=13631636" r:id="rId111"/>
    <hyperlink xmlns:r="http://schemas.openxmlformats.org/officeDocument/2006/relationships" ref="C111" tooltip="Open Prospect Profile" display="https://www.whatifsports.com/hbd/Pages/Popups/ProspectProfile.aspx?pid=13631678" r:id="rId112"/>
    <hyperlink xmlns:r="http://schemas.openxmlformats.org/officeDocument/2006/relationships" ref="C112" tooltip="Open Prospect Profile" display="https://www.whatifsports.com/hbd/Pages/Popups/ProspectProfile.aspx?pid=13631448" r:id="rId113"/>
    <hyperlink xmlns:r="http://schemas.openxmlformats.org/officeDocument/2006/relationships" ref="C113" tooltip="Open Prospect Profile" display="https://www.whatifsports.com/hbd/Pages/Popups/ProspectProfile.aspx?pid=13631567" r:id="rId114"/>
    <hyperlink xmlns:r="http://schemas.openxmlformats.org/officeDocument/2006/relationships" ref="C114" tooltip="Open Prospect Profile" display="https://www.whatifsports.com/hbd/Pages/Popups/ProspectProfile.aspx?pid=13631672" r:id="rId115"/>
    <hyperlink xmlns:r="http://schemas.openxmlformats.org/officeDocument/2006/relationships" ref="C115" tooltip="Open Prospect Profile" display="https://www.whatifsports.com/hbd/Pages/Popups/ProspectProfile.aspx?pid=13631585" r:id="rId116"/>
    <hyperlink xmlns:r="http://schemas.openxmlformats.org/officeDocument/2006/relationships" ref="C116" tooltip="Open Prospect Profile" display="https://www.whatifsports.com/hbd/Pages/Popups/ProspectProfile.aspx?pid=13631514" r:id="rId117"/>
    <hyperlink xmlns:r="http://schemas.openxmlformats.org/officeDocument/2006/relationships" ref="C117" tooltip="Open Prospect Profile" display="https://www.whatifsports.com/hbd/Pages/Popups/ProspectProfile.aspx?pid=13631431" r:id="rId118"/>
    <hyperlink xmlns:r="http://schemas.openxmlformats.org/officeDocument/2006/relationships" ref="C118" tooltip="Open Prospect Profile" display="https://www.whatifsports.com/hbd/Pages/Popups/ProspectProfile.aspx?pid=13631674" r:id="rId119"/>
    <hyperlink xmlns:r="http://schemas.openxmlformats.org/officeDocument/2006/relationships" ref="C119" tooltip="Open Prospect Profile" display="https://www.whatifsports.com/hbd/Pages/Popups/ProspectProfile.aspx?pid=13631409" r:id="rId120"/>
    <hyperlink xmlns:r="http://schemas.openxmlformats.org/officeDocument/2006/relationships" ref="C120" tooltip="Open Prospect Profile" display="https://www.whatifsports.com/hbd/Pages/Popups/ProspectProfile.aspx?pid=13631391" r:id="rId121"/>
    <hyperlink xmlns:r="http://schemas.openxmlformats.org/officeDocument/2006/relationships" ref="C121" tooltip="Open Prospect Profile" display="https://www.whatifsports.com/hbd/Pages/Popups/ProspectProfile.aspx?pid=13631791" r:id="rId122"/>
    <hyperlink xmlns:r="http://schemas.openxmlformats.org/officeDocument/2006/relationships" ref="C122" tooltip="Open Prospect Profile" display="https://www.whatifsports.com/hbd/Pages/Popups/ProspectProfile.aspx?pid=13631677" r:id="rId123"/>
    <hyperlink xmlns:r="http://schemas.openxmlformats.org/officeDocument/2006/relationships" ref="C123" tooltip="Open Prospect Profile" display="https://www.whatifsports.com/hbd/Pages/Popups/ProspectProfile.aspx?pid=13631814" r:id="rId124"/>
    <hyperlink xmlns:r="http://schemas.openxmlformats.org/officeDocument/2006/relationships" ref="C124" tooltip="Open Prospect Profile" display="https://www.whatifsports.com/hbd/Pages/Popups/ProspectProfile.aspx?pid=13631698" r:id="rId125"/>
    <hyperlink xmlns:r="http://schemas.openxmlformats.org/officeDocument/2006/relationships" ref="C125" tooltip="Open Prospect Profile" display="https://www.whatifsports.com/hbd/Pages/Popups/ProspectProfile.aspx?pid=13631579" r:id="rId126"/>
    <hyperlink xmlns:r="http://schemas.openxmlformats.org/officeDocument/2006/relationships" ref="C126" tooltip="Open Prospect Profile" display="https://www.whatifsports.com/hbd/Pages/Popups/ProspectProfile.aspx?pid=13631635" r:id="rId127"/>
    <hyperlink xmlns:r="http://schemas.openxmlformats.org/officeDocument/2006/relationships" ref="C127" tooltip="Open Prospect Profile" display="https://www.whatifsports.com/hbd/Pages/Popups/ProspectProfile.aspx?pid=13631584" r:id="rId128"/>
    <hyperlink xmlns:r="http://schemas.openxmlformats.org/officeDocument/2006/relationships" ref="C128" tooltip="Open Prospect Profile" display="https://www.whatifsports.com/hbd/Pages/Popups/ProspectProfile.aspx?pid=13631565" r:id="rId129"/>
    <hyperlink xmlns:r="http://schemas.openxmlformats.org/officeDocument/2006/relationships" ref="C129" tooltip="Open Prospect Profile" display="https://www.whatifsports.com/hbd/Pages/Popups/ProspectProfile.aspx?pid=13631506" r:id="rId130"/>
    <hyperlink xmlns:r="http://schemas.openxmlformats.org/officeDocument/2006/relationships" ref="C130" tooltip="Open Prospect Profile" display="https://www.whatifsports.com/hbd/Pages/Popups/ProspectProfile.aspx?pid=13631789" r:id="rId131"/>
    <hyperlink xmlns:r="http://schemas.openxmlformats.org/officeDocument/2006/relationships" ref="C131" tooltip="Open Prospect Profile" display="https://www.whatifsports.com/hbd/Pages/Popups/ProspectProfile.aspx?pid=13631505" r:id="rId132"/>
    <hyperlink xmlns:r="http://schemas.openxmlformats.org/officeDocument/2006/relationships" ref="C132" tooltip="Open Prospect Profile" display="https://www.whatifsports.com/hbd/Pages/Popups/ProspectProfile.aspx?pid=13631433" r:id="rId133"/>
    <hyperlink xmlns:r="http://schemas.openxmlformats.org/officeDocument/2006/relationships" ref="C133" tooltip="Open Prospect Profile" display="https://www.whatifsports.com/hbd/Pages/Popups/ProspectProfile.aspx?pid=13631531" r:id="rId134"/>
    <hyperlink xmlns:r="http://schemas.openxmlformats.org/officeDocument/2006/relationships" ref="C134" tooltip="Open Prospect Profile" display="https://www.whatifsports.com/hbd/Pages/Popups/ProspectProfile.aspx?pid=13631552" r:id="rId135"/>
    <hyperlink xmlns:r="http://schemas.openxmlformats.org/officeDocument/2006/relationships" ref="C135" tooltip="Open Prospect Profile" display="https://www.whatifsports.com/hbd/Pages/Popups/ProspectProfile.aspx?pid=13631500" r:id="rId136"/>
    <hyperlink xmlns:r="http://schemas.openxmlformats.org/officeDocument/2006/relationships" ref="C136" tooltip="Open Prospect Profile" display="https://www.whatifsports.com/hbd/Pages/Popups/ProspectProfile.aspx?pid=13631839" r:id="rId137"/>
    <hyperlink xmlns:r="http://schemas.openxmlformats.org/officeDocument/2006/relationships" ref="C137" tooltip="Open Prospect Profile" display="https://www.whatifsports.com/hbd/Pages/Popups/ProspectProfile.aspx?pid=13631591" r:id="rId138"/>
    <hyperlink xmlns:r="http://schemas.openxmlformats.org/officeDocument/2006/relationships" ref="C138" tooltip="Open Prospect Profile" display="https://www.whatifsports.com/hbd/Pages/Popups/ProspectProfile.aspx?pid=13631459" r:id="rId139"/>
    <hyperlink xmlns:r="http://schemas.openxmlformats.org/officeDocument/2006/relationships" ref="C139" tooltip="Open Prospect Profile" display="https://www.whatifsports.com/hbd/Pages/Popups/ProspectProfile.aspx?pid=13631716" r:id="rId140"/>
    <hyperlink xmlns:r="http://schemas.openxmlformats.org/officeDocument/2006/relationships" ref="C140" tooltip="Open Prospect Profile" display="https://www.whatifsports.com/hbd/Pages/Popups/ProspectProfile.aspx?pid=13631406" r:id="rId141"/>
    <hyperlink xmlns:r="http://schemas.openxmlformats.org/officeDocument/2006/relationships" ref="C141" tooltip="Open Prospect Profile" display="https://www.whatifsports.com/hbd/Pages/Popups/ProspectProfile.aspx?pid=13631701" r:id="rId142"/>
    <hyperlink xmlns:r="http://schemas.openxmlformats.org/officeDocument/2006/relationships" ref="C142" tooltip="Open Prospect Profile" display="https://www.whatifsports.com/hbd/Pages/Popups/ProspectProfile.aspx?pid=13631607" r:id="rId143"/>
    <hyperlink xmlns:r="http://schemas.openxmlformats.org/officeDocument/2006/relationships" ref="C143" tooltip="Open Prospect Profile" display="https://www.whatifsports.com/hbd/Pages/Popups/ProspectProfile.aspx?pid=13631583" r:id="rId144"/>
    <hyperlink xmlns:r="http://schemas.openxmlformats.org/officeDocument/2006/relationships" ref="C144" tooltip="Open Prospect Profile" display="https://www.whatifsports.com/hbd/Pages/Popups/ProspectProfile.aspx?pid=13631838" r:id="rId145"/>
    <hyperlink xmlns:r="http://schemas.openxmlformats.org/officeDocument/2006/relationships" ref="C145" tooltip="Open Prospect Profile" display="https://www.whatifsports.com/hbd/Pages/Popups/ProspectProfile.aspx?pid=13631835" r:id="rId146"/>
    <hyperlink xmlns:r="http://schemas.openxmlformats.org/officeDocument/2006/relationships" ref="C146" tooltip="Open Prospect Profile" display="https://www.whatifsports.com/hbd/Pages/Popups/ProspectProfile.aspx?pid=13631601" r:id="rId147"/>
    <hyperlink xmlns:r="http://schemas.openxmlformats.org/officeDocument/2006/relationships" ref="C147" tooltip="Open Prospect Profile" display="https://www.whatifsports.com/hbd/Pages/Popups/ProspectProfile.aspx?pid=13631617" r:id="rId148"/>
    <hyperlink xmlns:r="http://schemas.openxmlformats.org/officeDocument/2006/relationships" ref="C148" tooltip="Open Prospect Profile" display="https://www.whatifsports.com/hbd/Pages/Popups/ProspectProfile.aspx?pid=13631833" r:id="rId149"/>
    <hyperlink xmlns:r="http://schemas.openxmlformats.org/officeDocument/2006/relationships" ref="C149" tooltip="Open Prospect Profile" display="https://www.whatifsports.com/hbd/Pages/Popups/ProspectProfile.aspx?pid=13631792" r:id="rId150"/>
    <hyperlink xmlns:r="http://schemas.openxmlformats.org/officeDocument/2006/relationships" ref="C150" tooltip="Open Prospect Profile" display="https://www.whatifsports.com/hbd/Pages/Popups/ProspectProfile.aspx?pid=13631507" r:id="rId151"/>
    <hyperlink xmlns:r="http://schemas.openxmlformats.org/officeDocument/2006/relationships" ref="C151" tooltip="Open Prospect Profile" display="https://www.whatifsports.com/hbd/Pages/Popups/ProspectProfile.aspx?pid=13631454" r:id="rId152"/>
    <hyperlink xmlns:r="http://schemas.openxmlformats.org/officeDocument/2006/relationships" ref="C152" tooltip="Open Prospect Profile" display="https://www.whatifsports.com/hbd/Pages/Popups/ProspectProfile.aspx?pid=13631730" r:id="rId153"/>
    <hyperlink xmlns:r="http://schemas.openxmlformats.org/officeDocument/2006/relationships" ref="C153" tooltip="Open Prospect Profile" display="https://www.whatifsports.com/hbd/Pages/Popups/ProspectProfile.aspx?pid=13631605" r:id="rId154"/>
    <hyperlink xmlns:r="http://schemas.openxmlformats.org/officeDocument/2006/relationships" ref="C154" tooltip="Open Prospect Profile" display="https://www.whatifsports.com/hbd/Pages/Popups/ProspectProfile.aspx?pid=13631642" r:id="rId155"/>
    <hyperlink xmlns:r="http://schemas.openxmlformats.org/officeDocument/2006/relationships" ref="C155" tooltip="Open Prospect Profile" display="https://www.whatifsports.com/hbd/Pages/Popups/ProspectProfile.aspx?pid=13631699" r:id="rId156"/>
    <hyperlink xmlns:r="http://schemas.openxmlformats.org/officeDocument/2006/relationships" ref="C156" tooltip="Open Prospect Profile" display="https://www.whatifsports.com/hbd/Pages/Popups/ProspectProfile.aspx?pid=13631518" r:id="rId157"/>
    <hyperlink xmlns:r="http://schemas.openxmlformats.org/officeDocument/2006/relationships" ref="C157" tooltip="Open Prospect Profile" display="https://www.whatifsports.com/hbd/Pages/Popups/ProspectProfile.aspx?pid=13631752" r:id="rId158"/>
    <hyperlink xmlns:r="http://schemas.openxmlformats.org/officeDocument/2006/relationships" ref="C158" tooltip="Open Prospect Profile" display="https://www.whatifsports.com/hbd/Pages/Popups/ProspectProfile.aspx?pid=13631818" r:id="rId159"/>
    <hyperlink xmlns:r="http://schemas.openxmlformats.org/officeDocument/2006/relationships" ref="C159" tooltip="Open Prospect Profile" display="https://www.whatifsports.com/hbd/Pages/Popups/ProspectProfile.aspx?pid=13631767" r:id="rId160"/>
    <hyperlink xmlns:r="http://schemas.openxmlformats.org/officeDocument/2006/relationships" ref="C160" tooltip="Open Prospect Profile" display="https://www.whatifsports.com/hbd/Pages/Popups/ProspectProfile.aspx?pid=13631630" r:id="rId161"/>
    <hyperlink xmlns:r="http://schemas.openxmlformats.org/officeDocument/2006/relationships" ref="C161" tooltip="Open Prospect Profile" display="https://www.whatifsports.com/hbd/Pages/Popups/ProspectProfile.aspx?pid=13631836" r:id="rId162"/>
    <hyperlink xmlns:r="http://schemas.openxmlformats.org/officeDocument/2006/relationships" ref="C162" tooltip="Open Prospect Profile" display="https://www.whatifsports.com/hbd/Pages/Popups/ProspectProfile.aspx?pid=13631429" r:id="rId163"/>
    <hyperlink xmlns:r="http://schemas.openxmlformats.org/officeDocument/2006/relationships" ref="C163" tooltip="Open Prospect Profile" display="https://www.whatifsports.com/hbd/Pages/Popups/ProspectProfile.aspx?pid=13631680" r:id="rId164"/>
    <hyperlink xmlns:r="http://schemas.openxmlformats.org/officeDocument/2006/relationships" ref="C164" tooltip="Open Prospect Profile" display="https://www.whatifsports.com/hbd/Pages/Popups/ProspectProfile.aspx?pid=13631532" r:id="rId165"/>
    <hyperlink xmlns:r="http://schemas.openxmlformats.org/officeDocument/2006/relationships" ref="C165" tooltip="Open Prospect Profile" display="https://www.whatifsports.com/hbd/Pages/Popups/ProspectProfile.aspx?pid=13631768" r:id="rId166"/>
    <hyperlink xmlns:r="http://schemas.openxmlformats.org/officeDocument/2006/relationships" ref="C166" tooltip="Open Prospect Profile" display="https://www.whatifsports.com/hbd/Pages/Popups/ProspectProfile.aspx?pid=13631802" r:id="rId167"/>
    <hyperlink xmlns:r="http://schemas.openxmlformats.org/officeDocument/2006/relationships" ref="C167" tooltip="Open Prospect Profile" display="https://www.whatifsports.com/hbd/Pages/Popups/ProspectProfile.aspx?pid=13631389" r:id="rId168"/>
    <hyperlink xmlns:r="http://schemas.openxmlformats.org/officeDocument/2006/relationships" ref="C168" tooltip="Open Prospect Profile" display="https://www.whatifsports.com/hbd/Pages/Popups/ProspectProfile.aspx?pid=13631667" r:id="rId169"/>
    <hyperlink xmlns:r="http://schemas.openxmlformats.org/officeDocument/2006/relationships" ref="C169" tooltip="Open Prospect Profile" display="https://www.whatifsports.com/hbd/Pages/Popups/ProspectProfile.aspx?pid=13631560" r:id="rId170"/>
    <hyperlink xmlns:r="http://schemas.openxmlformats.org/officeDocument/2006/relationships" ref="C170" tooltip="Open Prospect Profile" display="https://www.whatifsports.com/hbd/Pages/Popups/ProspectProfile.aspx?pid=13631763" r:id="rId171"/>
    <hyperlink xmlns:r="http://schemas.openxmlformats.org/officeDocument/2006/relationships" ref="C171" tooltip="Open Prospect Profile" display="https://www.whatifsports.com/hbd/Pages/Popups/ProspectProfile.aspx?pid=13631780" r:id="rId172"/>
    <hyperlink xmlns:r="http://schemas.openxmlformats.org/officeDocument/2006/relationships" ref="C172" tooltip="Open Prospect Profile" display="https://www.whatifsports.com/hbd/Pages/Popups/ProspectProfile.aspx?pid=13631471" r:id="rId173"/>
    <hyperlink xmlns:r="http://schemas.openxmlformats.org/officeDocument/2006/relationships" ref="C173" tooltip="Open Prospect Profile" display="https://www.whatifsports.com/hbd/Pages/Popups/ProspectProfile.aspx?pid=13631497" r:id="rId174"/>
    <hyperlink xmlns:r="http://schemas.openxmlformats.org/officeDocument/2006/relationships" ref="C174" tooltip="Open Prospect Profile" display="https://www.whatifsports.com/hbd/Pages/Popups/ProspectProfile.aspx?pid=13631414" r:id="rId175"/>
    <hyperlink xmlns:r="http://schemas.openxmlformats.org/officeDocument/2006/relationships" ref="C175" tooltip="Open Prospect Profile" display="https://www.whatifsports.com/hbd/Pages/Popups/ProspectProfile.aspx?pid=13631442" r:id="rId176"/>
    <hyperlink xmlns:r="http://schemas.openxmlformats.org/officeDocument/2006/relationships" ref="C176" tooltip="Open Prospect Profile" display="https://www.whatifsports.com/hbd/Pages/Popups/ProspectProfile.aspx?pid=13631650" r:id="rId177"/>
    <hyperlink xmlns:r="http://schemas.openxmlformats.org/officeDocument/2006/relationships" ref="C177" tooltip="Open Prospect Profile" display="https://www.whatifsports.com/hbd/Pages/Popups/ProspectProfile.aspx?pid=13631808" r:id="rId178"/>
    <hyperlink xmlns:r="http://schemas.openxmlformats.org/officeDocument/2006/relationships" ref="C178" tooltip="Open Prospect Profile" display="https://www.whatifsports.com/hbd/Pages/Popups/ProspectProfile.aspx?pid=13631762" r:id="rId179"/>
    <hyperlink xmlns:r="http://schemas.openxmlformats.org/officeDocument/2006/relationships" ref="C179" tooltip="Open Prospect Profile" display="https://www.whatifsports.com/hbd/Pages/Popups/ProspectProfile.aspx?pid=13631648" r:id="rId180"/>
    <hyperlink xmlns:r="http://schemas.openxmlformats.org/officeDocument/2006/relationships" ref="C180" tooltip="Open Prospect Profile" display="https://www.whatifsports.com/hbd/Pages/Popups/ProspectProfile.aspx?pid=13631796" r:id="rId181"/>
    <hyperlink xmlns:r="http://schemas.openxmlformats.org/officeDocument/2006/relationships" ref="C181" tooltip="Open Prospect Profile" display="https://www.whatifsports.com/hbd/Pages/Popups/ProspectProfile.aspx?pid=13631468" r:id="rId182"/>
    <hyperlink xmlns:r="http://schemas.openxmlformats.org/officeDocument/2006/relationships" ref="C182" tooltip="Open Prospect Profile" display="https://www.whatifsports.com/hbd/Pages/Popups/ProspectProfile.aspx?pid=13631718" r:id="rId183"/>
    <hyperlink xmlns:r="http://schemas.openxmlformats.org/officeDocument/2006/relationships" ref="C183" tooltip="Open Prospect Profile" display="https://www.whatifsports.com/hbd/Pages/Popups/ProspectProfile.aspx?pid=13631673" r:id="rId184"/>
    <hyperlink xmlns:r="http://schemas.openxmlformats.org/officeDocument/2006/relationships" ref="C184" tooltip="Open Prospect Profile" display="https://www.whatifsports.com/hbd/Pages/Popups/ProspectProfile.aspx?pid=13631610" r:id="rId185"/>
    <hyperlink xmlns:r="http://schemas.openxmlformats.org/officeDocument/2006/relationships" ref="C185" tooltip="Open Prospect Profile" display="https://www.whatifsports.com/hbd/Pages/Popups/ProspectProfile.aspx?pid=13631837" r:id="rId186"/>
    <hyperlink xmlns:r="http://schemas.openxmlformats.org/officeDocument/2006/relationships" ref="C186" tooltip="Open Prospect Profile" display="https://www.whatifsports.com/hbd/Pages/Popups/ProspectProfile.aspx?pid=13631725" r:id="rId187"/>
    <hyperlink xmlns:r="http://schemas.openxmlformats.org/officeDocument/2006/relationships" ref="C187" tooltip="Open Prospect Profile" display="https://www.whatifsports.com/hbd/Pages/Popups/ProspectProfile.aspx?pid=13631457" r:id="rId188"/>
    <hyperlink xmlns:r="http://schemas.openxmlformats.org/officeDocument/2006/relationships" ref="C188" tooltip="Open Prospect Profile" display="https://www.whatifsports.com/hbd/Pages/Popups/ProspectProfile.aspx?pid=13631775" r:id="rId189"/>
    <hyperlink xmlns:r="http://schemas.openxmlformats.org/officeDocument/2006/relationships" ref="C189" tooltip="Open Prospect Profile" display="https://www.whatifsports.com/hbd/Pages/Popups/ProspectProfile.aspx?pid=13631551" r:id="rId190"/>
    <hyperlink xmlns:r="http://schemas.openxmlformats.org/officeDocument/2006/relationships" ref="C190" tooltip="Open Prospect Profile" display="https://www.whatifsports.com/hbd/Pages/Popups/ProspectProfile.aspx?pid=13631453" r:id="rId191"/>
    <hyperlink xmlns:r="http://schemas.openxmlformats.org/officeDocument/2006/relationships" ref="C191" tooltip="Open Prospect Profile" display="https://www.whatifsports.com/hbd/Pages/Popups/ProspectProfile.aspx?pid=13631482" r:id="rId192"/>
    <hyperlink xmlns:r="http://schemas.openxmlformats.org/officeDocument/2006/relationships" ref="C192" tooltip="Open Prospect Profile" display="https://www.whatifsports.com/hbd/Pages/Popups/ProspectProfile.aspx?pid=13631516" r:id="rId193"/>
    <hyperlink xmlns:r="http://schemas.openxmlformats.org/officeDocument/2006/relationships" ref="C193" tooltip="Open Prospect Profile" display="https://www.whatifsports.com/hbd/Pages/Popups/ProspectProfile.aspx?pid=13631703" r:id="rId194"/>
    <hyperlink xmlns:r="http://schemas.openxmlformats.org/officeDocument/2006/relationships" ref="C194" tooltip="Open Prospect Profile" display="https://www.whatifsports.com/hbd/Pages/Popups/ProspectProfile.aspx?pid=13631478" r:id="rId195"/>
    <hyperlink xmlns:r="http://schemas.openxmlformats.org/officeDocument/2006/relationships" ref="C195" tooltip="Open Prospect Profile" display="https://www.whatifsports.com/hbd/Pages/Popups/ProspectProfile.aspx?pid=13631731" r:id="rId196"/>
    <hyperlink xmlns:r="http://schemas.openxmlformats.org/officeDocument/2006/relationships" ref="C196" tooltip="Open Prospect Profile" display="https://www.whatifsports.com/hbd/Pages/Popups/ProspectProfile.aspx?pid=13631713" r:id="rId197"/>
    <hyperlink xmlns:r="http://schemas.openxmlformats.org/officeDocument/2006/relationships" ref="C197" tooltip="Open Prospect Profile" display="https://www.whatifsports.com/hbd/Pages/Popups/ProspectProfile.aspx?pid=13631541" r:id="rId198"/>
    <hyperlink xmlns:r="http://schemas.openxmlformats.org/officeDocument/2006/relationships" ref="C198" tooltip="Open Prospect Profile" display="https://www.whatifsports.com/hbd/Pages/Popups/ProspectProfile.aspx?pid=13631803" r:id="rId199"/>
    <hyperlink xmlns:r="http://schemas.openxmlformats.org/officeDocument/2006/relationships" ref="C199" tooltip="Open Prospect Profile" display="https://www.whatifsports.com/hbd/Pages/Popups/ProspectProfile.aspx?pid=13631484" r:id="rId200"/>
    <hyperlink xmlns:r="http://schemas.openxmlformats.org/officeDocument/2006/relationships" ref="C200" tooltip="Open Prospect Profile" display="https://www.whatifsports.com/hbd/Pages/Popups/ProspectProfile.aspx?pid=13631823" r:id="rId201"/>
    <hyperlink xmlns:r="http://schemas.openxmlformats.org/officeDocument/2006/relationships" ref="C201" tooltip="Open Prospect Profile" display="https://www.whatifsports.com/hbd/Pages/Popups/ProspectProfile.aspx?pid=13631772" r:id="rId202"/>
    <hyperlink xmlns:r="http://schemas.openxmlformats.org/officeDocument/2006/relationships" ref="C202" tooltip="Open Prospect Profile" display="https://www.whatifsports.com/hbd/Pages/Popups/ProspectProfile.aspx?pid=13631437" r:id="rId203"/>
    <hyperlink xmlns:r="http://schemas.openxmlformats.org/officeDocument/2006/relationships" ref="C203" tooltip="Open Prospect Profile" display="https://www.whatifsports.com/hbd/Pages/Popups/ProspectProfile.aspx?pid=13631435" r:id="rId204"/>
    <hyperlink xmlns:r="http://schemas.openxmlformats.org/officeDocument/2006/relationships" ref="C204" tooltip="Open Prospect Profile" display="https://www.whatifsports.com/hbd/Pages/Popups/ProspectProfile.aspx?pid=13631742" r:id="rId205"/>
    <hyperlink xmlns:r="http://schemas.openxmlformats.org/officeDocument/2006/relationships" ref="C205" tooltip="Open Prospect Profile" display="https://www.whatifsports.com/hbd/Pages/Popups/ProspectProfile.aspx?pid=13631714" r:id="rId206"/>
    <hyperlink xmlns:r="http://schemas.openxmlformats.org/officeDocument/2006/relationships" ref="C206" tooltip="Open Prospect Profile" display="https://www.whatifsports.com/hbd/Pages/Popups/ProspectProfile.aspx?pid=13631555" r:id="rId207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L15" sqref="L15"/>
    </sheetView>
  </sheetViews>
  <sheetFormatPr baseColWidth="8" defaultRowHeight="14.4"/>
  <cols>
    <col width="12" bestFit="1" customWidth="1" style="27" min="4" max="4"/>
    <col width="9.6640625" bestFit="1" customWidth="1" style="27" min="7" max="7"/>
  </cols>
  <sheetData>
    <row r="1">
      <c r="A1" t="n">
        <v>0</v>
      </c>
      <c r="B1" t="n">
        <v>0</v>
      </c>
      <c r="C1">
        <f>1/LOG10(111-A1)</f>
        <v/>
      </c>
      <c r="D1">
        <f>MAX(0, (((LOG(A1+0.000001, 100)*2.6-0.92))))</f>
        <v/>
      </c>
      <c r="E1">
        <f>(-2*10^-6)*A1^3+0.00032*A1^2-0.0021*A1</f>
        <v/>
      </c>
      <c r="G1">
        <f>-2*10^-6*A1^3</f>
        <v/>
      </c>
      <c r="H1">
        <f>0.00032*A1^2</f>
        <v/>
      </c>
      <c r="I1">
        <f>-0.0021*A1</f>
        <v/>
      </c>
      <c r="J1" t="n">
        <v>0</v>
      </c>
      <c r="K1">
        <f>SUM(G1:J1)</f>
        <v/>
      </c>
    </row>
    <row r="2">
      <c r="A2" t="n">
        <v>10</v>
      </c>
      <c r="B2" t="n">
        <v>0.05</v>
      </c>
      <c r="C2">
        <f>1/LOG10(111-A2)</f>
        <v/>
      </c>
      <c r="D2">
        <f>MAX(0, (((LOG(A2+0.000001, 100)*2.6-0.92))))</f>
        <v/>
      </c>
      <c r="E2">
        <f>(-2*10^-6)*A2^3+0.00032*A2^2-0.0021*A2</f>
        <v/>
      </c>
      <c r="G2">
        <f>-2*10^-6*A2^3</f>
        <v/>
      </c>
      <c r="H2">
        <f>0.00032*A2^2</f>
        <v/>
      </c>
      <c r="I2">
        <f>-0.0021*A2</f>
        <v/>
      </c>
      <c r="J2" t="n">
        <v>0</v>
      </c>
      <c r="K2">
        <f>SUM(G2:J2)</f>
        <v/>
      </c>
    </row>
    <row r="3">
      <c r="A3" t="n">
        <v>20</v>
      </c>
      <c r="B3" t="n">
        <v>0.1</v>
      </c>
      <c r="C3">
        <f>1/LOG10(111-A3)</f>
        <v/>
      </c>
      <c r="D3">
        <f>MAX(0, (((LOG(A3+0.000001, 100)*2.6-0.92))))</f>
        <v/>
      </c>
      <c r="E3">
        <f>(-2*10^-6)*A3^3+0.00032*A3^2-0.0021*A3</f>
        <v/>
      </c>
      <c r="G3">
        <f>-2*10^-6*A3^3</f>
        <v/>
      </c>
      <c r="H3">
        <f>0.00032*A3^2</f>
        <v/>
      </c>
      <c r="I3">
        <f>-0.0021*A3</f>
        <v/>
      </c>
      <c r="J3" t="n">
        <v>0</v>
      </c>
      <c r="K3">
        <f>SUM(G3:J3)</f>
        <v/>
      </c>
    </row>
    <row r="4">
      <c r="A4" t="n">
        <v>22</v>
      </c>
      <c r="B4" t="n">
        <v>0.11</v>
      </c>
      <c r="C4">
        <f>1/LOG10(111-A4)</f>
        <v/>
      </c>
      <c r="D4">
        <f>MAX(0, (((LOG(A4+0.000001, 100)*2.6-0.92))))</f>
        <v/>
      </c>
      <c r="E4">
        <f>(-2*10^-6)*A4^3+0.00032*A4^2-0.0021*A4</f>
        <v/>
      </c>
      <c r="G4">
        <f>-2*10^-6*A4^3</f>
        <v/>
      </c>
      <c r="H4">
        <f>0.00032*A4^2</f>
        <v/>
      </c>
      <c r="I4">
        <f>-0.0021*A4</f>
        <v/>
      </c>
      <c r="J4" t="n">
        <v>0</v>
      </c>
      <c r="K4">
        <f>SUM(G4:J4)</f>
        <v/>
      </c>
    </row>
    <row r="5">
      <c r="A5" t="n">
        <v>24</v>
      </c>
      <c r="B5" t="n">
        <v>0.12</v>
      </c>
      <c r="C5">
        <f>1/LOG10(111-A5)</f>
        <v/>
      </c>
      <c r="D5">
        <f>MAX(0, (((LOG(A5+0.000001, 100)*2.6-0.92))))</f>
        <v/>
      </c>
      <c r="E5">
        <f>(-2*10^-6)*A5^3+0.00032*A5^2-0.0021*A5</f>
        <v/>
      </c>
      <c r="G5">
        <f>-2*10^-6*A5^3</f>
        <v/>
      </c>
      <c r="H5">
        <f>0.00032*A5^2</f>
        <v/>
      </c>
      <c r="I5">
        <f>-0.0021*A5</f>
        <v/>
      </c>
      <c r="J5" t="n">
        <v>0</v>
      </c>
      <c r="K5">
        <f>SUM(G5:J5)</f>
        <v/>
      </c>
    </row>
    <row r="6">
      <c r="A6" t="n">
        <v>26</v>
      </c>
      <c r="B6" t="n">
        <v>0.13</v>
      </c>
      <c r="C6">
        <f>1/LOG10(111-A6)</f>
        <v/>
      </c>
      <c r="D6">
        <f>MAX(0, (((LOG(A6+0.000001, 100)*2.6-0.92))))</f>
        <v/>
      </c>
      <c r="E6">
        <f>(-2*10^-6)*A6^3+0.00032*A6^2-0.0021*A6</f>
        <v/>
      </c>
      <c r="G6">
        <f>-2*10^-6*A6^3</f>
        <v/>
      </c>
      <c r="H6">
        <f>0.00032*A6^2</f>
        <v/>
      </c>
      <c r="I6">
        <f>-0.0021*A6</f>
        <v/>
      </c>
      <c r="J6" t="n">
        <v>0</v>
      </c>
      <c r="K6">
        <f>SUM(G6:J6)</f>
        <v/>
      </c>
    </row>
    <row r="7">
      <c r="A7" t="n">
        <v>30</v>
      </c>
      <c r="B7" t="n">
        <v>0.15</v>
      </c>
      <c r="C7">
        <f>1/LOG10(111-A7)</f>
        <v/>
      </c>
      <c r="D7">
        <f>MAX(0, (((LOG(A7+0.000001, 100)*2.6-0.92))))</f>
        <v/>
      </c>
      <c r="E7">
        <f>(-2*10^-6)*A7^3+0.00032*A7^2-0.0021*A7</f>
        <v/>
      </c>
      <c r="G7">
        <f>-2*10^-6*A7^3</f>
        <v/>
      </c>
      <c r="H7">
        <f>0.00032*A7^2</f>
        <v/>
      </c>
      <c r="I7">
        <f>-0.0021*A7</f>
        <v/>
      </c>
      <c r="J7" t="n">
        <v>0</v>
      </c>
      <c r="K7">
        <f>SUM(G7:J7)</f>
        <v/>
      </c>
    </row>
    <row r="8">
      <c r="A8" t="n">
        <v>40</v>
      </c>
      <c r="B8" t="n">
        <v>0.3</v>
      </c>
      <c r="C8">
        <f>1/LOG10(111-A8)</f>
        <v/>
      </c>
      <c r="D8">
        <f>MAX(0, (((LOG(A8+0.000001, 100)*2.6-0.92))))</f>
        <v/>
      </c>
      <c r="E8">
        <f>(-2*10^-6)*A8^3+0.00032*A8^2-0.0021*A8</f>
        <v/>
      </c>
      <c r="G8">
        <f>-2*10^-6*A8^3</f>
        <v/>
      </c>
      <c r="H8">
        <f>0.00032*A8^2</f>
        <v/>
      </c>
      <c r="I8">
        <f>-0.0021*A8</f>
        <v/>
      </c>
      <c r="J8" t="n">
        <v>0</v>
      </c>
      <c r="K8">
        <f>SUM(G8:J8)</f>
        <v/>
      </c>
    </row>
    <row r="9">
      <c r="A9" t="n">
        <v>50</v>
      </c>
      <c r="B9" t="n">
        <v>0.45</v>
      </c>
      <c r="C9">
        <f>1/LOG10(111-A9)</f>
        <v/>
      </c>
      <c r="D9">
        <f>MAX(0, (((LOG(A9+0.000001, 100)*2.6-0.92))))</f>
        <v/>
      </c>
      <c r="E9">
        <f>(-2*10^-6)*A9^3+0.00032*A9^2-0.0021*A9</f>
        <v/>
      </c>
      <c r="G9">
        <f>-2*10^-6*A9^3</f>
        <v/>
      </c>
      <c r="H9">
        <f>0.00032*A9^2</f>
        <v/>
      </c>
      <c r="I9">
        <f>-0.0021*A9</f>
        <v/>
      </c>
      <c r="J9" t="n">
        <v>0</v>
      </c>
      <c r="K9">
        <f>SUM(G9:J9)</f>
        <v/>
      </c>
    </row>
    <row r="10">
      <c r="A10" t="n">
        <v>60</v>
      </c>
      <c r="B10" t="n">
        <v>0.6</v>
      </c>
      <c r="C10">
        <f>1/LOG10(111-A10)</f>
        <v/>
      </c>
      <c r="D10">
        <f>MAX(0, (((LOG(A10+0.000001, 100)*2.6-0.92))))</f>
        <v/>
      </c>
      <c r="E10">
        <f>(-2*10^-6)*A10^3+0.00032*A10^2-0.0021*A10</f>
        <v/>
      </c>
      <c r="G10">
        <f>-2*10^-6*A10^3</f>
        <v/>
      </c>
      <c r="H10">
        <f>0.00032*A10^2</f>
        <v/>
      </c>
      <c r="I10">
        <f>-0.0021*A10</f>
        <v/>
      </c>
      <c r="J10" t="n">
        <v>0</v>
      </c>
      <c r="K10">
        <f>SUM(G10:J10)</f>
        <v/>
      </c>
    </row>
    <row r="11">
      <c r="A11" t="n">
        <v>70</v>
      </c>
      <c r="B11" t="n">
        <v>0.75</v>
      </c>
      <c r="C11">
        <f>1/LOG10(111-A11)</f>
        <v/>
      </c>
      <c r="D11">
        <f>MAX(0, (((LOG(A11+0.000001, 100)*2.6-0.92))))</f>
        <v/>
      </c>
      <c r="E11">
        <f>(-2*10^-6)*A11^3+0.00032*A11^2-0.0021*A11</f>
        <v/>
      </c>
      <c r="G11">
        <f>-2*10^-6*A11^3</f>
        <v/>
      </c>
      <c r="H11">
        <f>0.00032*A11^2</f>
        <v/>
      </c>
      <c r="I11">
        <f>-0.0021*A11</f>
        <v/>
      </c>
      <c r="J11" t="n">
        <v>0</v>
      </c>
      <c r="K11">
        <f>SUM(G11:J11)</f>
        <v/>
      </c>
    </row>
    <row r="12">
      <c r="A12" t="n">
        <v>80</v>
      </c>
      <c r="B12" t="n">
        <v>0.85</v>
      </c>
      <c r="C12">
        <f>1/LOG10(111-A12)</f>
        <v/>
      </c>
      <c r="D12">
        <f>MAX(0, (((LOG(A12+0.000001, 100)*2.6-0.92))))</f>
        <v/>
      </c>
      <c r="E12">
        <f>(-2*10^-6)*A12^3+0.00032*A12^2-0.0021*A12</f>
        <v/>
      </c>
      <c r="G12">
        <f>-2*10^-6*A12^3</f>
        <v/>
      </c>
      <c r="H12">
        <f>0.00032*A12^2</f>
        <v/>
      </c>
      <c r="I12">
        <f>-0.0021*A12</f>
        <v/>
      </c>
      <c r="J12" t="n">
        <v>0</v>
      </c>
      <c r="K12">
        <f>SUM(G12:J12)</f>
        <v/>
      </c>
    </row>
    <row r="13">
      <c r="A13" t="n">
        <v>90</v>
      </c>
      <c r="B13" t="n">
        <v>0.95</v>
      </c>
      <c r="C13">
        <f>1/LOG10(111-A13)</f>
        <v/>
      </c>
      <c r="D13">
        <f>MAX(0, (((LOG(A13+0.000001, 100)*2.6-0.92))))</f>
        <v/>
      </c>
      <c r="E13">
        <f>(-2*10^-6)*A13^3+0.00032*A13^2-0.0021*A13</f>
        <v/>
      </c>
      <c r="G13">
        <f>-2*10^-6*A13^3</f>
        <v/>
      </c>
      <c r="H13">
        <f>0.00032*A13^2</f>
        <v/>
      </c>
      <c r="I13">
        <f>-0.0021*A13</f>
        <v/>
      </c>
      <c r="J13" t="n">
        <v>0</v>
      </c>
      <c r="K13">
        <f>SUM(G13:J13)</f>
        <v/>
      </c>
    </row>
    <row r="14">
      <c r="A14" t="n">
        <v>100</v>
      </c>
      <c r="B14" t="n">
        <v>1</v>
      </c>
      <c r="C14">
        <f>1/LOG10(111-A14)</f>
        <v/>
      </c>
      <c r="D14">
        <f>MAX(0, (((LOG(A14+0.000001, 100)*2.6-0.92))))</f>
        <v/>
      </c>
      <c r="E14">
        <f>(-2*10^-6)*A14^3+0.00032*A14^2-0.0021*A14</f>
        <v/>
      </c>
      <c r="G14">
        <f>-2*10^-6*A14^3</f>
        <v/>
      </c>
      <c r="H14">
        <f>0.00032*A14^2</f>
        <v/>
      </c>
      <c r="I14">
        <f>-0.0021*A14</f>
        <v/>
      </c>
      <c r="J14" t="n">
        <v>0</v>
      </c>
      <c r="K14">
        <f>SUM(G14:J14)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M1:P2"/>
  <sheetViews>
    <sheetView workbookViewId="0">
      <selection activeCell="A1" sqref="A1"/>
    </sheetView>
  </sheetViews>
  <sheetFormatPr baseColWidth="8" defaultRowHeight="14.4"/>
  <sheetData>
    <row r="1">
      <c r="M1" t="inlineStr">
        <is>
          <t>a3</t>
        </is>
      </c>
      <c r="N1" t="inlineStr">
        <is>
          <t>a2</t>
        </is>
      </c>
      <c r="O1" t="inlineStr">
        <is>
          <t>a1</t>
        </is>
      </c>
      <c r="P1" t="inlineStr">
        <is>
          <t>a0</t>
        </is>
      </c>
    </row>
    <row r="2">
      <c r="M2" t="n">
        <v>-2e-06</v>
      </c>
      <c r="N2" t="n">
        <v>0.00032</v>
      </c>
      <c r="O2" t="n">
        <v>-0.0021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2010-05-20T16:36:20Z</dcterms:created>
  <dcterms:modified xmlns:dcterms="http://purl.org/dc/terms/" xmlns:xsi="http://www.w3.org/2001/XMLSchema-instance" xsi:type="dcterms:W3CDTF">2026-06-15T11:45:05Z</dcterms:modified>
  <cp:lastModifiedBy>Josh Stafford</cp:lastModifiedBy>
</cp:coreProperties>
</file>